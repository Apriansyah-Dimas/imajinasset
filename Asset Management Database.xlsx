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Assets" sheetId="1" r:id="rId4"/>
    <sheet state="visible" name="Tag Asset" sheetId="2" r:id="rId5"/>
    <sheet state="visible" name="Project Deltamas 2" sheetId="3" r:id="rId6"/>
    <sheet state="visible" name="Tools Akinawa" sheetId="4" r:id="rId7"/>
    <sheet state="hidden" name="Sheet9" sheetId="5" r:id="rId8"/>
    <sheet state="visible" name="Maintenance Asset" sheetId="6" r:id="rId9"/>
    <sheet state="visible" name="Database" sheetId="7" r:id="rId10"/>
    <sheet state="visible" name="Planning SO Asset 2024" sheetId="8" r:id="rId11"/>
    <sheet state="visible" name="Planning SO Asset 2025" sheetId="9" r:id="rId12"/>
    <sheet state="visible" name="Sheet10" sheetId="10" r:id="rId13"/>
    <sheet state="visible" name="Analysis" sheetId="11" r:id="rId14"/>
    <sheet state="hidden" name="Catatan Dimas" sheetId="12" r:id="rId15"/>
    <sheet state="hidden" name="checking" sheetId="13" r:id="rId16"/>
    <sheet state="hidden" name="List of Assets (Old Data)" sheetId="14" r:id="rId17"/>
    <sheet state="hidden" name="Assets 2024" sheetId="15" r:id="rId18"/>
  </sheets>
  <definedNames>
    <definedName hidden="1" localSheetId="0" name="_xlnm._FilterDatabase">'List of Assets'!$A$9:$S$719</definedName>
    <definedName hidden="1" localSheetId="11" name="_xlnm._FilterDatabase">'Catatan Dimas'!$B$1:$B$1000</definedName>
    <definedName hidden="1" localSheetId="12" name="_xlnm._FilterDatabase">checking!$A$9:$S$443</definedName>
    <definedName hidden="1" localSheetId="14" name="_xlnm._FilterDatabase">'Assets 2024'!$A$9:$O$83</definedName>
    <definedName hidden="1" localSheetId="0" name="Z_B45B4F1B_E3DF_4A75_A762_96C9B9B1C98C_.wvu.FilterData">'List of Assets'!$A$9:$S$1058</definedName>
    <definedName hidden="1" localSheetId="12" name="Z_B45B4F1B_E3DF_4A75_A762_96C9B9B1C98C_.wvu.FilterData">checking!$A$9:$S$1000</definedName>
  </definedNames>
  <calcPr/>
  <customWorkbookViews>
    <customWorkbookView activeSheetId="0" maximized="1" windowHeight="0" windowWidth="0" guid="{B45B4F1B-E3DF-4A75-A762-96C9B9B1C98C}" name="filter rino "/>
  </customWorkbookViews>
  <extLst>
    <ext uri="GoogleSheetsCustomDataVersion2">
      <go:sheetsCustomData xmlns:go="http://customooxmlschemas.google.com/" r:id="rId19" roundtripDataChecksum="ovQz3NwKGoxPaM9a+BWsJCZvF0CrLNMqebKOTee6+6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
ID#AAABXZppK04
rino imajin    (2024-11-05 09:52:40)
printer 3d nya merk apa ?
------
ID#AAABYM377nE
General Affair    (2024-11-06 02:51:41)
kalo itu harus di cari dulu sih mas. mungkin coba hitung ada berapa 3d printer di deltamas, cari juga di aset ada berapa 3d printer di deltamas yang tercatat.
kalo soal merek coba cek merek 3d print yang ada di deltamas. abis itu compare sama harga di Aset cost(finance) di tahun pembelian tsb.
------
ID#AAABYM377ng
rino imajin    (2024-11-06 04:00:01)
di deltamas ada 3 printer 3d,
2 merek Ender
1 nya ngga tau merk apa
------
ID#AAABYM377ns
General Affair    (2024-11-06 04:30:30)
nomor modelnya berapa mas?
kalo yang di bsd ada 9 3d printer:
Anet e12
Creality cr20pro
Creality Ender 3 pro
Creality Ender 3 pro
Anychubic photon-5.5 (FA029/I/01)
Rexyz a1 Metal
Creality crealityEnder 5
Creality ld003
IMA-2020</t>
      </text>
    </comment>
  </commentList>
  <extLst>
    <ext uri="GoogleSheetsCustomDataVersion2">
      <go:sheetsCustomData xmlns:go="http://customooxmlschemas.google.com/" r:id="rId1" roundtripDataSignature="AMtx7mi2WRa+O7vdNa3vYh/UDhK+e8MI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67">
      <text>
        <t xml:space="preserve">======
ID#AAABS5UF-Zo
rino imajin    (2024-08-05 07:10:43)
kulkas? atau apa? tidak ada di deltamas</t>
      </text>
    </comment>
    <comment authorId="0" ref="C331">
      <text>
        <t xml:space="preserve">======
ID#AAABS5UF-Zk
rino imajin    (2024-08-05 07:08:30)
rusak, ada di delta 2</t>
      </text>
    </comment>
    <comment authorId="0" ref="C401">
      <text>
        <t xml:space="preserve">======
ID#AAABS5UF-Zc
rino imajin    (2024-08-05 07:02:49)
pembelian arbor + collet tapping untuk deltamas purchase via HQ</t>
      </text>
    </comment>
    <comment authorId="0" ref="C402">
      <text>
        <t xml:space="preserve">======
ID#AAABS5UF-ZY
rino imajin    (2024-08-05 07:02:44)
pembelian arbor + collet tapping untuk deltamas purchase via H</t>
      </text>
    </comment>
    <comment authorId="0" ref="C374">
      <text>
        <t xml:space="preserve">======
ID#AAABQoUhHBY
tc={19C6BC55-2B4E-7345-BE3D-FD0EE6AF3EF1}    (2024-07-03 03:55:49)
[Threaded comment]
Your version of Excel allows you to read this threaded comment; however, any edits to it will get removed if the file is opened in a newer version of Excel. Learn more: https://go.microsoft.com/fwlink/?linkid=870924
Comment:
    Qty 2 tp harga total</t>
      </text>
    </comment>
    <comment authorId="0" ref="C383">
      <text>
        <t xml:space="preserve">======
ID#AAABQoUhHBU
tc={5619B884-E616-9143-82EE-EF40F0FB5C48}    (2024-07-03 03:55:49)
[Threaded comment]
Your version of Excel allows you to read this threaded comment; however, any edits to it will get removed if the file is opened in a newer version of Excel. Learn more: https://go.microsoft.com/fwlink/?linkid=870924
Comment:
    [C381:C383] Qty 3 tapi harga total</t>
      </text>
    </comment>
    <comment authorId="0" ref="C376">
      <text>
        <t xml:space="preserve">======
ID#AAABQoUhHBM
tc={624AD8DF-048E-9D44-A017-7B6E839BE4CD}    (2024-07-03 03:55:49)
[Threaded comment]
Your version of Excel allows you to read this threaded comment; however, any edits to it will get removed if the file is opened in a newer version of Excel. Learn more: https://go.microsoft.com/fwlink/?linkid=870924
Comment:
    [C378:C379] Qty 2 tp harga total</t>
      </text>
    </comment>
    <comment authorId="0" ref="C363">
      <text>
        <t xml:space="preserve">======
ID#AAABQoUhHBI
tc={61A5A178-050C-AD4D-B57A-9757F773B52A}    (2024-07-03 03:55:49)
[Threaded comment]
Your version of Excel allows you to read this threaded comment; however, any edits to it will get removed if the file is opened in a newer version of Excel. Learn more: https://go.microsoft.com/fwlink/?linkid=870924
Comment:
    Mesin Cut Off 14" MAKITA LW1400 Potong Pemotong Besi 14 Inch Cutting
------
ID#AAABS5UF-Zg
rino imajin    (2024-08-05 07:04:32)
crane deltamas 1 Nusa Krantechnik</t>
      </text>
    </comment>
    <comment authorId="0" ref="C378">
      <text>
        <t xml:space="preserve">======
ID#AAABQoUhHBE
tc={1ED0FF35-410E-F64B-B5B0-442A3A6055F1}    (2024-07-03 03:55:49)
[Threaded comment]
Your version of Excel allows you to read this threaded comment; however, any edits to it will get removed if the file is opened in a newer version of Excel. Learn more: https://go.microsoft.com/fwlink/?linkid=870924
Comment:
    Datanya gak ada di file finance</t>
      </text>
    </comment>
    <comment authorId="0" ref="C355">
      <text>
        <t xml:space="preserve">======
ID#AAABQoUhHBA
tc={5803F25C-1653-0F48-A659-98FE3D9F5549}    (2024-07-03 03:55:49)
[Threaded comment]
Your version of Excel allows you to read this threaded comment; however, any edits to it will get removed if the file is opened in a newer version of Excel. Learn more: https://go.microsoft.com/fwlink/?linkid=870924
Comment:
    [C355:C366] Harga dari GA dan Finance gak sama</t>
      </text>
    </comment>
    <comment authorId="0" ref="C379">
      <text>
        <t xml:space="preserve">======
ID#AAABQoUhHA4
tc={95A71CAD-CE7F-B74C-9977-18B636C1903F}    (2024-07-03 03:55:49)
[Threaded comment]
Your version of Excel allows you to read this threaded comment; however, any edits to it will get removed if the file is opened in a newer version of Excel. Learn more: https://go.microsoft.com/fwlink/?linkid=870924
Comment:
    Gak ada di file finance</t>
      </text>
    </comment>
    <comment authorId="0" ref="C286">
      <text>
        <t xml:space="preserve">======
ID#AAABQoUhHA0
tc={1A3F7C3C-1A87-1F4B-9000-2B2A07AD4AB6}    (2024-07-03 03:55:49)
[Threaded comment]
Your version of Excel allows you to read this threaded comment; however, any edits to it will get removed if the file is opened in a newer version of Excel. Learn more: https://go.microsoft.com/fwlink/?linkid=870924
Comment:
    Qty 2, kenapa cuma diinput 1?</t>
      </text>
    </comment>
    <comment authorId="0" ref="C396">
      <text>
        <t xml:space="preserve">======
ID#AAABQoUhHAw
tc={C88815A8-85A1-5E49-A4DF-28EF97326B7B}    (2024-07-03 03:55:49)
[Threaded comment]
Your version of Excel allows you to read this threaded comment; however, any edits to it will get removed if the file is opened in a newer version of Excel. Learn more: https://go.microsoft.com/fwlink/?linkid=870924
Comment:
    [C391:C393] Gak ada di file finance</t>
      </text>
    </comment>
    <comment authorId="0" ref="C403">
      <text>
        <t xml:space="preserve">======
ID#AAABQoUhHAs
tc={5A505E37-3D8C-CC47-8812-D2C53ACA489F}    (2024-07-03 03:55:49)
[Threaded comment]
Your version of Excel allows you to read this threaded comment; however, any edits to it will get removed if the file is opened in a newer version of Excel. Learn more: https://go.microsoft.com/fwlink/?linkid=870924
Comment:
    [C396:C399] Qty 2 tapi harga total</t>
      </text>
    </comment>
    <comment authorId="0" ref="C381">
      <text>
        <t xml:space="preserve">======
ID#AAABQoUhHAo
tc={46402226-DAFA-384F-8839-0592C622BB8A}    (2024-07-03 03:55:49)
[Threaded comment]
Your version of Excel allows you to read this threaded comment; however, any edits to it will get removed if the file is opened in a newer version of Excel. Learn more: https://go.microsoft.com/fwlink/?linkid=870924
Comment:
    Qty 2 tapi yg diinput 1</t>
      </text>
    </comment>
    <comment authorId="0" ref="C372">
      <text>
        <t xml:space="preserve">======
ID#AAABQoUhHAk
tc={7BB8BB0C-5BEE-AF4E-BBD6-C64BFA3DDCF6}    (2024-07-03 03:55:49)
[Threaded comment]
Your version of Excel allows you to read this threaded comment; however, any edits to it will get removed if the file is opened in a newer version of Excel. Learn more: https://go.microsoft.com/fwlink/?linkid=870924
Comment:
    [C371:C374] Datanya gak ada di file finance
------
ID#AAABVYnA4b0
HR Imajin    (2024-09-03 08:11:06)
Qty 2</t>
      </text>
    </comment>
    <comment authorId="0" ref="B293">
      <text>
        <t xml:space="preserve">======
ID#AAABQoUhHAg
tc={1729EBEE-96BF-4A48-A640-A2E988106BD1}    (2024-07-03 03:55:49)
[Threaded comment]
Your version of Excel allows you to read this threaded comment; however, any edits to it will get removed if the file is opened in a newer version of Excel. Learn more: https://go.microsoft.com/fwlink/?linkid=870924
Comment:
    Isuzu sama HP jadi satu asset ID</t>
      </text>
    </comment>
  </commentList>
  <extLst>
    <ext uri="GoogleSheetsCustomDataVersion2">
      <go:sheetsCustomData xmlns:go="http://customooxmlschemas.google.com/" r:id="rId1" roundtripDataSignature="AMtx7mhnXZP/MDEEajvlktvFcyam5iRPxw=="/>
    </ext>
  </extLst>
</comments>
</file>

<file path=xl/sharedStrings.xml><?xml version="1.0" encoding="utf-8"?>
<sst xmlns="http://schemas.openxmlformats.org/spreadsheetml/2006/main" count="10608" uniqueCount="2379">
  <si>
    <t>LEGENDA</t>
  </si>
  <si>
    <t>Category</t>
  </si>
  <si>
    <t>ID Category</t>
  </si>
  <si>
    <t>Site</t>
  </si>
  <si>
    <t>ID Site</t>
  </si>
  <si>
    <t>Lost/ Missing</t>
  </si>
  <si>
    <t>Elektronik</t>
  </si>
  <si>
    <t>I</t>
  </si>
  <si>
    <t>BSD</t>
  </si>
  <si>
    <t>01</t>
  </si>
  <si>
    <t>Broken</t>
  </si>
  <si>
    <t>Furniture</t>
  </si>
  <si>
    <t>II</t>
  </si>
  <si>
    <t>Deltamas 1</t>
  </si>
  <si>
    <t>02</t>
  </si>
  <si>
    <t>Sell</t>
  </si>
  <si>
    <t>Laptop and Komp</t>
  </si>
  <si>
    <t>III</t>
  </si>
  <si>
    <t>Deltamas 2</t>
  </si>
  <si>
    <t>03</t>
  </si>
  <si>
    <t>Odd (See Comment)</t>
  </si>
  <si>
    <t>Kendaraan</t>
  </si>
  <si>
    <t>IV</t>
  </si>
  <si>
    <t>Belum diinput Finance</t>
  </si>
  <si>
    <t>Machine and Tooling</t>
  </si>
  <si>
    <t>V</t>
  </si>
  <si>
    <t xml:space="preserve"> </t>
  </si>
  <si>
    <t>ID</t>
  </si>
  <si>
    <t>Asset ID</t>
  </si>
  <si>
    <t>Asset Name</t>
  </si>
  <si>
    <t>Purchase Date</t>
  </si>
  <si>
    <t>Cost (Finance)</t>
  </si>
  <si>
    <t>Cost (GA &amp; Supply Chain)</t>
  </si>
  <si>
    <t>PIC</t>
  </si>
  <si>
    <t>Department</t>
  </si>
  <si>
    <t>Brand</t>
  </si>
  <si>
    <t>Model</t>
  </si>
  <si>
    <t>Serial Number</t>
  </si>
  <si>
    <t>Notes</t>
  </si>
  <si>
    <t>Status</t>
  </si>
  <si>
    <t>Price</t>
  </si>
  <si>
    <t>FA001</t>
  </si>
  <si>
    <t>MONITOR DELL P2314H 23 INC</t>
  </si>
  <si>
    <t>Dell</t>
  </si>
  <si>
    <t>FA002</t>
  </si>
  <si>
    <t>LAPTOP</t>
  </si>
  <si>
    <t>Diki</t>
  </si>
  <si>
    <t>Supply Chain</t>
  </si>
  <si>
    <t>FA003</t>
  </si>
  <si>
    <t>HARDISK SEAGATE SRD0NF1</t>
  </si>
  <si>
    <t>Adi Kusumah</t>
  </si>
  <si>
    <t>Engineering</t>
  </si>
  <si>
    <t>Active</t>
  </si>
  <si>
    <t>FA004</t>
  </si>
  <si>
    <t>BANGKU</t>
  </si>
  <si>
    <t>FA005</t>
  </si>
  <si>
    <t>RAK</t>
  </si>
  <si>
    <t>FA006</t>
  </si>
  <si>
    <t>MEJA PRINTER KOTAK</t>
  </si>
  <si>
    <t>Herfian</t>
  </si>
  <si>
    <t>FA007</t>
  </si>
  <si>
    <t>LEMARI</t>
  </si>
  <si>
    <t>FA008</t>
  </si>
  <si>
    <t>KIPAS</t>
  </si>
  <si>
    <t>FA009</t>
  </si>
  <si>
    <t>HP SAMSUNG GALAXY</t>
  </si>
  <si>
    <t>Samsung</t>
  </si>
  <si>
    <t>FA010</t>
  </si>
  <si>
    <t>TV</t>
  </si>
  <si>
    <t>FA011</t>
  </si>
  <si>
    <t>LAPTOP HP I3</t>
  </si>
  <si>
    <t>HP</t>
  </si>
  <si>
    <t>FA012</t>
  </si>
  <si>
    <t>MESIN ABSEN</t>
  </si>
  <si>
    <t>FA013</t>
  </si>
  <si>
    <t>PRINTER</t>
  </si>
  <si>
    <t>FA014</t>
  </si>
  <si>
    <t>KURSI STAFF</t>
  </si>
  <si>
    <t>FA015</t>
  </si>
  <si>
    <t>HECTOR OFFICE TABLE WALNUT BLACK</t>
  </si>
  <si>
    <t>Corneleo</t>
  </si>
  <si>
    <t>Sales &amp; Marketing</t>
  </si>
  <si>
    <t>FA016</t>
  </si>
  <si>
    <t>LAPTOP ASUS ROG GL553V</t>
  </si>
  <si>
    <t>Asus</t>
  </si>
  <si>
    <t>FA017</t>
  </si>
  <si>
    <t>PC. DELL PRECISION TOWER 5810</t>
  </si>
  <si>
    <t>FA018</t>
  </si>
  <si>
    <t>LAPTOP ROG GL552VX</t>
  </si>
  <si>
    <t>FA019</t>
  </si>
  <si>
    <t>PRINTER 3D</t>
  </si>
  <si>
    <t>FA020</t>
  </si>
  <si>
    <t>AC POLYTRON</t>
  </si>
  <si>
    <t>Polytron</t>
  </si>
  <si>
    <t>FA021</t>
  </si>
  <si>
    <t>HRGA &amp; Legal</t>
  </si>
  <si>
    <t>FA022</t>
  </si>
  <si>
    <t>Hari TM</t>
  </si>
  <si>
    <t>FA023</t>
  </si>
  <si>
    <t>Laptop Dell G5590</t>
  </si>
  <si>
    <t>Agus RH</t>
  </si>
  <si>
    <t>FA024</t>
  </si>
  <si>
    <t>ACER PREDATOR NITRO</t>
  </si>
  <si>
    <t>Acer</t>
  </si>
  <si>
    <t>FA025</t>
  </si>
  <si>
    <t>FA026</t>
  </si>
  <si>
    <t>3 MONITOR + KEYBOARD 2 + MOUSE 2 + ACC + KABEL VGA + KABEL USG EXT STD</t>
  </si>
  <si>
    <t>Bilkis Ismail</t>
  </si>
  <si>
    <t>PITD</t>
  </si>
  <si>
    <t>FA026.1</t>
  </si>
  <si>
    <t>Rifky Fauzi</t>
  </si>
  <si>
    <t>FA026.2</t>
  </si>
  <si>
    <t>Dimas</t>
  </si>
  <si>
    <t>FA027</t>
  </si>
  <si>
    <t>Camera Sony A6400</t>
  </si>
  <si>
    <t>Yogie</t>
  </si>
  <si>
    <t>Business &amp; Digital Development</t>
  </si>
  <si>
    <t>Sony</t>
  </si>
  <si>
    <t>FA028</t>
  </si>
  <si>
    <t>Lenovo IP1205</t>
  </si>
  <si>
    <t>Rispandi</t>
  </si>
  <si>
    <t>Lenovo</t>
  </si>
  <si>
    <t>Tidak terpakai ada di lemari HRGA</t>
  </si>
  <si>
    <t>FA029</t>
  </si>
  <si>
    <t>3D PRINTER</t>
  </si>
  <si>
    <t>FA030</t>
  </si>
  <si>
    <t>HP XIAOMI</t>
  </si>
  <si>
    <t>Xiaomi</t>
  </si>
  <si>
    <t>FA031</t>
  </si>
  <si>
    <t>3D PRINTER ANYCUBIC PHOTON</t>
  </si>
  <si>
    <t>Anycubic</t>
  </si>
  <si>
    <t>FA032</t>
  </si>
  <si>
    <t>LEMARI &amp; TURN TABLE U/ 3D SCANNING IMAJIN</t>
  </si>
  <si>
    <t>FA033</t>
  </si>
  <si>
    <t>MESIN ABSEN FINGER SPOA REVO 163BNC</t>
  </si>
  <si>
    <t>Revo</t>
  </si>
  <si>
    <t>FA034</t>
  </si>
  <si>
    <t xml:space="preserve">LAPTOP ASUS A407 MA N4000 4GB 128 SSD 14' </t>
  </si>
  <si>
    <t>Rino</t>
  </si>
  <si>
    <t>FA035</t>
  </si>
  <si>
    <t>AC GREE GWC 05C3E INDOOR + OUTDOOR (1/2 PK)</t>
  </si>
  <si>
    <t>Gree</t>
  </si>
  <si>
    <t>FA036.1</t>
  </si>
  <si>
    <t>AC GREE GWC 09C3E INDOOR + OUTDOOR (1 PK)</t>
  </si>
  <si>
    <t>FA036.2</t>
  </si>
  <si>
    <t>FA036.3</t>
  </si>
  <si>
    <t>FA037</t>
  </si>
  <si>
    <t>AC GREE GKH 48K3H INDDOOR + OUTDOOR (5 PK)</t>
  </si>
  <si>
    <t>FA038.1</t>
  </si>
  <si>
    <t>KNOXHULT BASE CB W DRS/DRW 120 WHI</t>
  </si>
  <si>
    <t>FA038.2</t>
  </si>
  <si>
    <t>KNOXHULT BASE CB W DOORS 80X85 WHITE AP</t>
  </si>
  <si>
    <t>Knoxhult</t>
  </si>
  <si>
    <t>FA039.1</t>
  </si>
  <si>
    <t>LOMO WORKING CHAIR LOW BACK BL 15</t>
  </si>
  <si>
    <t>Informa</t>
  </si>
  <si>
    <t>FA039.2</t>
  </si>
  <si>
    <t>FA039.3</t>
  </si>
  <si>
    <t>Finance &amp; Accounting</t>
  </si>
  <si>
    <t>FA039.4</t>
  </si>
  <si>
    <t>Audrey</t>
  </si>
  <si>
    <t>FA039.5</t>
  </si>
  <si>
    <t>Daniella</t>
  </si>
  <si>
    <t>FA039.6</t>
  </si>
  <si>
    <t>FA039.7</t>
  </si>
  <si>
    <t>FA039.8</t>
  </si>
  <si>
    <t>Arina</t>
  </si>
  <si>
    <t>FA039.9</t>
  </si>
  <si>
    <t>NEWVY 4 TIER BLACK</t>
  </si>
  <si>
    <t>Chendy</t>
  </si>
  <si>
    <t>BOD</t>
  </si>
  <si>
    <t>FA040.1</t>
  </si>
  <si>
    <t>ZEDD STAFF CHAIR LOW BACK GREY</t>
  </si>
  <si>
    <t>FA040.2</t>
  </si>
  <si>
    <t>FA040.3</t>
  </si>
  <si>
    <t>Rubi</t>
  </si>
  <si>
    <t>FA040.4</t>
  </si>
  <si>
    <t>FA040.5</t>
  </si>
  <si>
    <t>FA040.6</t>
  </si>
  <si>
    <t>FA040.7</t>
  </si>
  <si>
    <t>FA040.8</t>
  </si>
  <si>
    <t>FA040.9</t>
  </si>
  <si>
    <t>MELVILLE BAR TABLE 180X70X105 CM BROWN</t>
  </si>
  <si>
    <t>FA040.10</t>
  </si>
  <si>
    <t>LAREDO BAR CHAIR BLACK</t>
  </si>
  <si>
    <t>FA040.11</t>
  </si>
  <si>
    <t>FA040.12</t>
  </si>
  <si>
    <t>FA040.13</t>
  </si>
  <si>
    <t>FA040.14</t>
  </si>
  <si>
    <t>FA040.15</t>
  </si>
  <si>
    <t>FA040.16</t>
  </si>
  <si>
    <t>FA040.17</t>
  </si>
  <si>
    <t>FA040.18</t>
  </si>
  <si>
    <t>FA040.19</t>
  </si>
  <si>
    <t>FA040.20</t>
  </si>
  <si>
    <t>Marcel</t>
  </si>
  <si>
    <t>FA040.21</t>
  </si>
  <si>
    <t>FA040.22</t>
  </si>
  <si>
    <t>Fitria</t>
  </si>
  <si>
    <t>FA040.23</t>
  </si>
  <si>
    <t>MAINE DSTP+MDSTY MGR DESK 160 KW-R(P1/3)</t>
  </si>
  <si>
    <t>FA040.24</t>
  </si>
  <si>
    <t>MAINE LEG+HRDWR MGR DESK 160 KW-R (P2/3)</t>
  </si>
  <si>
    <t>FA040.25</t>
  </si>
  <si>
    <t>MAINE RETURN MANAGER DESK 160 KW-R(P3/3</t>
  </si>
  <si>
    <t>FA040.26</t>
  </si>
  <si>
    <t>MAINE DESKTOP+MDSTY STFDSK 140KW (P1/3)</t>
  </si>
  <si>
    <t>Joseline</t>
  </si>
  <si>
    <t>FA040.27</t>
  </si>
  <si>
    <t>MAINE PEDESTAL STAFF DSK 140 KW (P3/3)</t>
  </si>
  <si>
    <t>FA040.28</t>
  </si>
  <si>
    <t>MAINE LEG+HRDWR STF DESK 140 KW (P2/3)</t>
  </si>
  <si>
    <t>FA040.29</t>
  </si>
  <si>
    <t>DESKTOP SIEBEN RECT MTG 2412 CO (P1/3)</t>
  </si>
  <si>
    <t>FA040.30</t>
  </si>
  <si>
    <t>LEG SIEBEN RECT MTG 2412 CO (P2/3)</t>
  </si>
  <si>
    <t>FA040.31</t>
  </si>
  <si>
    <t>BEAM SIEBEN RECT MTG 2412 CO (P3/3)</t>
  </si>
  <si>
    <t>FA041</t>
  </si>
  <si>
    <t>MICROWAVE</t>
  </si>
  <si>
    <t>FA042</t>
  </si>
  <si>
    <t>DISPENSER</t>
  </si>
  <si>
    <t>Bocor</t>
  </si>
  <si>
    <t>FA043</t>
  </si>
  <si>
    <t>CCTV CAMERA (6) + DVR 8 TITIK + HARDISK 500GB</t>
  </si>
  <si>
    <t>FA044</t>
  </si>
  <si>
    <t>HP PRINTER 2135</t>
  </si>
  <si>
    <t>Rumah Pak Chendy</t>
  </si>
  <si>
    <t>FA045</t>
  </si>
  <si>
    <t>SHARK COMPRESSOR OIL FREE</t>
  </si>
  <si>
    <t>Shark</t>
  </si>
  <si>
    <t>FA046</t>
  </si>
  <si>
    <t>PHONE TAB A 8" + SILICON TAB A8" SAMSUNG</t>
  </si>
  <si>
    <t>Galaxy</t>
  </si>
  <si>
    <t>FA047</t>
  </si>
  <si>
    <t>GIANT - TV LED 40 " (2UNIT) + BREKET (2PC)</t>
  </si>
  <si>
    <t>TCL</t>
  </si>
  <si>
    <t>FA047.1</t>
  </si>
  <si>
    <t>Proses repair di Pak Chendy</t>
  </si>
  <si>
    <t>FA047.2</t>
  </si>
  <si>
    <t>FA048</t>
  </si>
  <si>
    <t>OCULUS QUEST 64 GB</t>
  </si>
  <si>
    <t>Oculus</t>
  </si>
  <si>
    <t>FA049</t>
  </si>
  <si>
    <t>MESIN CNC 3018 ENGRAVING MILLING ER11</t>
  </si>
  <si>
    <t>Di Pak Hari</t>
  </si>
  <si>
    <t>FA050</t>
  </si>
  <si>
    <t>PRINTER THERMAL</t>
  </si>
  <si>
    <t>Enibit</t>
  </si>
  <si>
    <t>FA051</t>
  </si>
  <si>
    <t>RAK STORAGE INFORMA</t>
  </si>
  <si>
    <t>FA052</t>
  </si>
  <si>
    <t>RAK STORAGE INFORMA 2 UNIT</t>
  </si>
  <si>
    <t>Terguyur hujan saat pindah</t>
  </si>
  <si>
    <t>FA052.1</t>
  </si>
  <si>
    <t>FA053</t>
  </si>
  <si>
    <t>COMPRESSOR, AIRBRUSH</t>
  </si>
  <si>
    <t>Swan</t>
  </si>
  <si>
    <t>Airbrush ada di Deltamas, Compressor belum ketemu</t>
  </si>
  <si>
    <t>FA054.1</t>
  </si>
  <si>
    <t>FA054.2</t>
  </si>
  <si>
    <t>MJOLNIR STAFF CHAIR LOW BACK BLACK</t>
  </si>
  <si>
    <t>Shela Oktania</t>
  </si>
  <si>
    <t>FA054.3</t>
  </si>
  <si>
    <t>Felix Firmansyah</t>
  </si>
  <si>
    <t>FA055</t>
  </si>
  <si>
    <t>LEO TASK CHAIR BLACK</t>
  </si>
  <si>
    <t>FA056</t>
  </si>
  <si>
    <t>FA062</t>
  </si>
  <si>
    <t>HARDISK EKSTERNAL 1 TB - HITAM - TOSHIBA</t>
  </si>
  <si>
    <t>Toshiba</t>
  </si>
  <si>
    <t>FA063</t>
  </si>
  <si>
    <t>PEMBELIAN HP UNTUK MARKETING</t>
  </si>
  <si>
    <t>Carissa</t>
  </si>
  <si>
    <t>FA064</t>
  </si>
  <si>
    <t>LENOVO IDEPAD SLIM 3I I5 10210 8GB 512SSD MX330 2G W11+OHS21 14.OFHD</t>
  </si>
  <si>
    <t>Alvin</t>
  </si>
  <si>
    <t>FA065</t>
  </si>
  <si>
    <t>PRINTER EPSON L3210</t>
  </si>
  <si>
    <t>Epson</t>
  </si>
  <si>
    <t>FA066</t>
  </si>
  <si>
    <t>ASUS TUF | FX506HC | I535B6TO11 |8GB 512SSD RTX3050 4GB GRY</t>
  </si>
  <si>
    <t>FA067</t>
  </si>
  <si>
    <t>SIGMAT CALIPER 300MM | INSIZE</t>
  </si>
  <si>
    <t>Insize</t>
  </si>
  <si>
    <t>FA068</t>
  </si>
  <si>
    <t>LENOVO VIU 62 141TL | I3-11156U | 8GB | 512GB</t>
  </si>
  <si>
    <t>Siska</t>
  </si>
  <si>
    <t>FA073</t>
  </si>
  <si>
    <t>Daihatsu Granmax</t>
  </si>
  <si>
    <t>Daihatsu</t>
  </si>
  <si>
    <t>FA074</t>
  </si>
  <si>
    <t>Mitsubishi Xpander</t>
  </si>
  <si>
    <t>Mitsubishi</t>
  </si>
  <si>
    <t>FA069</t>
  </si>
  <si>
    <t>LENOVO IDEAPAD SLIM 3 14 ATHLON 3020E 4GB 265SSD</t>
  </si>
  <si>
    <t>Tegar Terthio</t>
  </si>
  <si>
    <t>FA070</t>
  </si>
  <si>
    <t>LENOVO FLEX 3 11 2IN1 TOUCH N4020 4GB 265SSD</t>
  </si>
  <si>
    <t>Eka Puteri</t>
  </si>
  <si>
    <t>Flex 3</t>
  </si>
  <si>
    <t>FA071</t>
  </si>
  <si>
    <t>CARTER CREDENZE 2 SWING DOOR</t>
  </si>
  <si>
    <t>Carter</t>
  </si>
  <si>
    <t>FA072</t>
  </si>
  <si>
    <t>CARTER HIGH CABINET GLASSDOOR</t>
  </si>
  <si>
    <t>FA075</t>
  </si>
  <si>
    <t>COCOA 43 INCH SMART TV</t>
  </si>
  <si>
    <t>Coocaa</t>
  </si>
  <si>
    <t>FA076</t>
  </si>
  <si>
    <t>FA077</t>
  </si>
  <si>
    <t>FA078</t>
  </si>
  <si>
    <t>FA079</t>
  </si>
  <si>
    <t>HP XIAOMI REDMI 10 | 128 GB | BLUE</t>
  </si>
  <si>
    <t>Devi Erliani</t>
  </si>
  <si>
    <t>FA080</t>
  </si>
  <si>
    <t>PAPAN TULIS KACA</t>
  </si>
  <si>
    <t>FA081</t>
  </si>
  <si>
    <t>AC GREE 1 PK DELTAMAS</t>
  </si>
  <si>
    <t>FA082</t>
  </si>
  <si>
    <t>FA083</t>
  </si>
  <si>
    <t>TROLEY 300 KG DELTAMAS</t>
  </si>
  <si>
    <t>Joko Prihono</t>
  </si>
  <si>
    <t>QA/QC</t>
  </si>
  <si>
    <t>Krisbow</t>
  </si>
  <si>
    <t>Roda rusak</t>
  </si>
  <si>
    <t>FA084</t>
  </si>
  <si>
    <t>KURSI KK O2 WHT DELTAMAS</t>
  </si>
  <si>
    <t>KK</t>
  </si>
  <si>
    <t>FA085</t>
  </si>
  <si>
    <t>FA086</t>
  </si>
  <si>
    <t>FA087</t>
  </si>
  <si>
    <t>FA088</t>
  </si>
  <si>
    <t>MEJA MT SN 1207 SOL (DELTAMAS)</t>
  </si>
  <si>
    <t>MT SN</t>
  </si>
  <si>
    <t>FA089</t>
  </si>
  <si>
    <t>Gedeon</t>
  </si>
  <si>
    <t>FA090</t>
  </si>
  <si>
    <t>Iyan Hardiyansah</t>
  </si>
  <si>
    <t>FA091</t>
  </si>
  <si>
    <t>FA092</t>
  </si>
  <si>
    <t>LEMARI PENYIMPANAN DELTAMAS</t>
  </si>
  <si>
    <t>EMPU ADAM</t>
  </si>
  <si>
    <t>FA093</t>
  </si>
  <si>
    <t>Miyako</t>
  </si>
  <si>
    <t>FA094</t>
  </si>
  <si>
    <t>LENOVO NB YOGA SLIM 7/I5 +11357G/8</t>
  </si>
  <si>
    <t>FA095</t>
  </si>
  <si>
    <t>LENOVO IDEAPAD SLIM 1 14 |CELERON N4020 4GB SSD 256GB</t>
  </si>
  <si>
    <t>Lut Fatul</t>
  </si>
  <si>
    <t>FA096</t>
  </si>
  <si>
    <t>LENOVO IDEAPAD SLIM 1 14 |CELERON N4020 RAM 4GB SSD 256GB</t>
  </si>
  <si>
    <t>Rafida</t>
  </si>
  <si>
    <t>FA097</t>
  </si>
  <si>
    <t>Atina</t>
  </si>
  <si>
    <t>FA098</t>
  </si>
  <si>
    <t xml:space="preserve">DELL VOSTRO V3401 |I3-1005G1 RAM 8GB SSD256GB </t>
  </si>
  <si>
    <t>Khrisna</t>
  </si>
  <si>
    <t>FA099</t>
  </si>
  <si>
    <t>DELL VOSTRO V3401 |I3-1005G1 RAM 8GB SSD256GB</t>
  </si>
  <si>
    <t>FA100</t>
  </si>
  <si>
    <t>FA101</t>
  </si>
  <si>
    <t>FA102</t>
  </si>
  <si>
    <t>FA103</t>
  </si>
  <si>
    <t>FA104</t>
  </si>
  <si>
    <t>FA105</t>
  </si>
  <si>
    <t>FEIYUTECH G6 MAX 3-AXIS UHANDHELD GIMBAL</t>
  </si>
  <si>
    <t>Feiyutech</t>
  </si>
  <si>
    <t>FA106</t>
  </si>
  <si>
    <t>HDD HARDDISK EXTERNAL TOSHIBA CANVIO 1TB</t>
  </si>
  <si>
    <t>FA107</t>
  </si>
  <si>
    <t>Camera Sony A6000</t>
  </si>
  <si>
    <t>Fattah</t>
  </si>
  <si>
    <t>FA108</t>
  </si>
  <si>
    <t>LENSA CAMERA (Lensa SONY FE 50 MM)</t>
  </si>
  <si>
    <t>FA109</t>
  </si>
  <si>
    <t>MAKITA 95538 GERINDA TANGAN 4 INC</t>
  </si>
  <si>
    <t>Makita</t>
  </si>
  <si>
    <t>FA110</t>
  </si>
  <si>
    <t>FA111</t>
  </si>
  <si>
    <t>FA112</t>
  </si>
  <si>
    <t>COSMO OFFICE CHAIR LOW BACK BLACK</t>
  </si>
  <si>
    <t>FA113</t>
  </si>
  <si>
    <t>FA114</t>
  </si>
  <si>
    <t>COSMO OFFICE CHAIR LOW BACK BLACK DELTAMAS</t>
  </si>
  <si>
    <t>FA115</t>
  </si>
  <si>
    <t>Gilbert Bagas</t>
  </si>
  <si>
    <t>FA116</t>
  </si>
  <si>
    <t>LENOVO IDEAPAD 3 14 i5 1035G1 8GB 256SSD W10 14.0FHD</t>
  </si>
  <si>
    <t>Melisa</t>
  </si>
  <si>
    <t>FA117</t>
  </si>
  <si>
    <t>LENOVO IDEAPAD SLIM 3I I5-1235U 512GB SSD 8GB ABYSS BLUE</t>
  </si>
  <si>
    <t>Stefanus</t>
  </si>
  <si>
    <t>FA118</t>
  </si>
  <si>
    <t>FA119</t>
  </si>
  <si>
    <t>KRISBOW HAND PALLET MANUAL NYLON 55X115 CM 3 TON</t>
  </si>
  <si>
    <t>FA120</t>
  </si>
  <si>
    <t>STRIDER KERTAS</t>
  </si>
  <si>
    <t>Deli</t>
  </si>
  <si>
    <t>FA121</t>
  </si>
  <si>
    <t>KAMERA CCTV &amp; ASURANSI</t>
  </si>
  <si>
    <t>Kris</t>
  </si>
  <si>
    <t>FA122</t>
  </si>
  <si>
    <t>FA123</t>
  </si>
  <si>
    <t>FA124</t>
  </si>
  <si>
    <t>FA125</t>
  </si>
  <si>
    <t>FA126</t>
  </si>
  <si>
    <t>FA127</t>
  </si>
  <si>
    <t>FA128</t>
  </si>
  <si>
    <t>FA129</t>
  </si>
  <si>
    <t>FA130</t>
  </si>
  <si>
    <t>FA131</t>
  </si>
  <si>
    <t>FA132</t>
  </si>
  <si>
    <t>FA133</t>
  </si>
  <si>
    <t>FA134</t>
  </si>
  <si>
    <t>FA135</t>
  </si>
  <si>
    <t>FA136</t>
  </si>
  <si>
    <t>FA137</t>
  </si>
  <si>
    <t>KAMERA EZVIZ</t>
  </si>
  <si>
    <t>EZVIZ</t>
  </si>
  <si>
    <t>FA138</t>
  </si>
  <si>
    <t>PRINTER EPSON LX 310</t>
  </si>
  <si>
    <t>Cokyat</t>
  </si>
  <si>
    <t>FA139</t>
  </si>
  <si>
    <t>LENOVO FLEX 5</t>
  </si>
  <si>
    <t>Ranti</t>
  </si>
  <si>
    <t>FA140</t>
  </si>
  <si>
    <t>Gabriella</t>
  </si>
  <si>
    <t>FA141</t>
  </si>
  <si>
    <t>PC ADMIN DELTAMAS</t>
  </si>
  <si>
    <t>FA142</t>
  </si>
  <si>
    <t>PC PAK TRI</t>
  </si>
  <si>
    <t>FA143</t>
  </si>
  <si>
    <t>PC OTSUKA (Monitor LG, PC, Keyboard)</t>
  </si>
  <si>
    <t>LG</t>
  </si>
  <si>
    <t>FA144</t>
  </si>
  <si>
    <t>PRINTER EPSON L6490</t>
  </si>
  <si>
    <t>FA145</t>
  </si>
  <si>
    <t>MEJA TULIS ORBITREND COSMIC SERIS CST 1061</t>
  </si>
  <si>
    <t>Harmoko</t>
  </si>
  <si>
    <t>FA146</t>
  </si>
  <si>
    <t>NETAC SSD 1TB NVME, (LAPTOP PAK ADI)</t>
  </si>
  <si>
    <t>FA147</t>
  </si>
  <si>
    <t>LENOVO IDEAPAD SLIM 5 PRO 14IA P7 I7 1260P 16GB I TB</t>
  </si>
  <si>
    <t>FA148</t>
  </si>
  <si>
    <t>MACBOOK APPMNEJ3I MBP 13.3 SG/M2</t>
  </si>
  <si>
    <t>Apple</t>
  </si>
  <si>
    <t>FA149</t>
  </si>
  <si>
    <t>AC DELTAMAS</t>
  </si>
  <si>
    <t>Sharp</t>
  </si>
  <si>
    <t>FA150</t>
  </si>
  <si>
    <t>LENOVO IDEAPAD FLEX 5 14IUA7 I7 1255U 16GB 512GBSSD</t>
  </si>
  <si>
    <t>FA151</t>
  </si>
  <si>
    <t>XIAOMI REDMI 10 | 6GB/128GB |WHITE</t>
  </si>
  <si>
    <t>FA153</t>
  </si>
  <si>
    <t>MEJA OFFICE STAFF (DELTAMAS)</t>
  </si>
  <si>
    <t>FA154</t>
  </si>
  <si>
    <t>Adelia</t>
  </si>
  <si>
    <t>FA155</t>
  </si>
  <si>
    <t>FA156</t>
  </si>
  <si>
    <t>FA157</t>
  </si>
  <si>
    <t>KURSI OFFICE STAFF (DELTAMAS)</t>
  </si>
  <si>
    <t>FA158</t>
  </si>
  <si>
    <t>FA159</t>
  </si>
  <si>
    <t>FA160</t>
  </si>
  <si>
    <t>FA161</t>
  </si>
  <si>
    <t>MOTHANA MEETING TABLE (DELTAMAS)</t>
  </si>
  <si>
    <t>FA162</t>
  </si>
  <si>
    <t>SHIELD TASK CHAIR BLACK (DELTAMAS)</t>
  </si>
  <si>
    <t>Sunon</t>
  </si>
  <si>
    <t>FA163</t>
  </si>
  <si>
    <t>FA164</t>
  </si>
  <si>
    <t>FA165</t>
  </si>
  <si>
    <t>FA166</t>
  </si>
  <si>
    <t>FA167</t>
  </si>
  <si>
    <t>FA168</t>
  </si>
  <si>
    <t>JANSON STORAGE SHELVING (DELTAMAS)</t>
  </si>
  <si>
    <t>Janson</t>
  </si>
  <si>
    <t>FA169</t>
  </si>
  <si>
    <t>FA170</t>
  </si>
  <si>
    <t>LIVERPOOL WORKING CHAIR HIGH B (DELTAMAS)</t>
  </si>
  <si>
    <t>Liverpool</t>
  </si>
  <si>
    <t>FA171</t>
  </si>
  <si>
    <t>FA172</t>
  </si>
  <si>
    <t>SIGMAT DIGITAL MITUTOYO 200 MM / 8 INCHI / VERNIER CALIPER/ ALAT UKUR</t>
  </si>
  <si>
    <t>Mitutoyo</t>
  </si>
  <si>
    <t>FA173</t>
  </si>
  <si>
    <t xml:space="preserve">PRINTER EPSON L1300 </t>
  </si>
  <si>
    <t>FA174</t>
  </si>
  <si>
    <t>Hendra Nur</t>
  </si>
  <si>
    <t>FA175</t>
  </si>
  <si>
    <t>FA176</t>
  </si>
  <si>
    <t>FA177</t>
  </si>
  <si>
    <t>FA178</t>
  </si>
  <si>
    <t>FA179</t>
  </si>
  <si>
    <t>FA180</t>
  </si>
  <si>
    <t>FA181</t>
  </si>
  <si>
    <t>FA182</t>
  </si>
  <si>
    <t>FA183</t>
  </si>
  <si>
    <t>FA184</t>
  </si>
  <si>
    <t>FA185</t>
  </si>
  <si>
    <t>FA186</t>
  </si>
  <si>
    <t>FA187</t>
  </si>
  <si>
    <t>FA188</t>
  </si>
  <si>
    <t>FA189</t>
  </si>
  <si>
    <t>FA190</t>
  </si>
  <si>
    <t>FA191</t>
  </si>
  <si>
    <t>FA192</t>
  </si>
  <si>
    <t>FA193</t>
  </si>
  <si>
    <t>FA194</t>
  </si>
  <si>
    <t>FA195</t>
  </si>
  <si>
    <t>FA196</t>
  </si>
  <si>
    <t>FA197</t>
  </si>
  <si>
    <t>FA198</t>
  </si>
  <si>
    <t>FA199</t>
  </si>
  <si>
    <t>FA200</t>
  </si>
  <si>
    <t>FA201</t>
  </si>
  <si>
    <t>FA202</t>
  </si>
  <si>
    <t>FA203</t>
  </si>
  <si>
    <t>FA204</t>
  </si>
  <si>
    <t>MJOLNIR WORKING CHAIR LOWBACK 4</t>
  </si>
  <si>
    <t>FA205</t>
  </si>
  <si>
    <t>FA206</t>
  </si>
  <si>
    <t>FA207</t>
  </si>
  <si>
    <t>FA208</t>
  </si>
  <si>
    <t>JASON STORAGE SHELVING 2</t>
  </si>
  <si>
    <t>FA209</t>
  </si>
  <si>
    <t>FA210</t>
  </si>
  <si>
    <t>MAINE STAFF DESK 140 KALDI WOO 4</t>
  </si>
  <si>
    <t>FA211</t>
  </si>
  <si>
    <t>FA212</t>
  </si>
  <si>
    <t>FA213</t>
  </si>
  <si>
    <t>FA214</t>
  </si>
  <si>
    <t xml:space="preserve">MANDOLINE CHAIR BLACK 2 </t>
  </si>
  <si>
    <t>FA215</t>
  </si>
  <si>
    <t>FA216</t>
  </si>
  <si>
    <t>MILLBURN TABLE DIA52CMXH50CM B</t>
  </si>
  <si>
    <t>FA217</t>
  </si>
  <si>
    <t>CARTER HIGH CABINET GLASSDOOR 2</t>
  </si>
  <si>
    <t>FA218</t>
  </si>
  <si>
    <t>FA219</t>
  </si>
  <si>
    <t>EVAPORATIVE AIR COOLER 2500 CM</t>
  </si>
  <si>
    <t>FA220</t>
  </si>
  <si>
    <t>VACUUM WET &amp; DRY HOME USE BUD</t>
  </si>
  <si>
    <t>FA222</t>
  </si>
  <si>
    <t>KULKAS POLYTRON HITAM</t>
  </si>
  <si>
    <t>FA223</t>
  </si>
  <si>
    <t>DISPENSER SANKEN</t>
  </si>
  <si>
    <t>Sanken</t>
  </si>
  <si>
    <t>FA224</t>
  </si>
  <si>
    <t>FA225</t>
  </si>
  <si>
    <t>JASON STORAGE SHELVING</t>
  </si>
  <si>
    <t>FA226</t>
  </si>
  <si>
    <t>FA227</t>
  </si>
  <si>
    <t>GEMINI DESK CONCRETE</t>
  </si>
  <si>
    <t>FA228</t>
  </si>
  <si>
    <t>GEMINI CABINET CONCERTA (U/2)</t>
  </si>
  <si>
    <t>FA229</t>
  </si>
  <si>
    <t>PABX DELTAMAS</t>
  </si>
  <si>
    <t>Panasonic</t>
  </si>
  <si>
    <t>FA230</t>
  </si>
  <si>
    <t>SMART LIFE DOOR LOCK KACA FRAMELESS GLASS TO GLASS DL06</t>
  </si>
  <si>
    <t>FA231</t>
  </si>
  <si>
    <t>BRACKET STANDING BRECKET STAND TV BRAKET 43-55 INCH</t>
  </si>
  <si>
    <t>FA232</t>
  </si>
  <si>
    <t>MITUTOYO HIGH GATE 300MM</t>
  </si>
  <si>
    <t>FA233</t>
  </si>
  <si>
    <t>MITUTOYO CALIPER 200 MM</t>
  </si>
  <si>
    <t>Rusak, tidak optimal</t>
  </si>
  <si>
    <t>FA234</t>
  </si>
  <si>
    <t>LENOVO IDEAPAD LIM 3 14IUA7 1255U 8GB</t>
  </si>
  <si>
    <t>FA235</t>
  </si>
  <si>
    <t>LENOVO GAMING 3 15ACH6 RYZEN</t>
  </si>
  <si>
    <t>FA236</t>
  </si>
  <si>
    <t>3200 MBPS WI-FI 6 DUAL BAND GIGABIT MESG ROUTER</t>
  </si>
  <si>
    <t>Ruijie</t>
  </si>
  <si>
    <t>FA320</t>
  </si>
  <si>
    <t>FA237</t>
  </si>
  <si>
    <t>PRINTER EPSON L121 L-121 HITAM PRINT WARNA INFUS MODIF INK TANK PABRIK</t>
  </si>
  <si>
    <t>FA238</t>
  </si>
  <si>
    <t>HP ENVY X360 13 BF0089TU</t>
  </si>
  <si>
    <t>FA239</t>
  </si>
  <si>
    <t>FA240</t>
  </si>
  <si>
    <t>FA241</t>
  </si>
  <si>
    <t>FA242</t>
  </si>
  <si>
    <t>FA247</t>
  </si>
  <si>
    <t>Truk Isuzu Elf NKR 55 CC E2-1</t>
  </si>
  <si>
    <t>Gilang R</t>
  </si>
  <si>
    <t>Isuzu</t>
  </si>
  <si>
    <t>FA243</t>
  </si>
  <si>
    <t>HP SAMSUNG AD44 3/32 BLACK (NEW)</t>
  </si>
  <si>
    <t>FA244</t>
  </si>
  <si>
    <t>1 3D SCANNER</t>
  </si>
  <si>
    <t>FA245</t>
  </si>
  <si>
    <t>1 LICENSE GEOMAGIC</t>
  </si>
  <si>
    <t>FA246</t>
  </si>
  <si>
    <t>1 HANDHELD 3D SCANNER</t>
  </si>
  <si>
    <t>FA248</t>
  </si>
  <si>
    <t>Saramonic Blink 500 PRO X Q20 Wireless Microphone PROX Q20</t>
  </si>
  <si>
    <t>Saramonic</t>
  </si>
  <si>
    <t>FA249</t>
  </si>
  <si>
    <t>Troli Krisbow Barang 150 Kg</t>
  </si>
  <si>
    <t>FA250</t>
  </si>
  <si>
    <t>SOFA RUANG BOD</t>
  </si>
  <si>
    <t>FA251</t>
  </si>
  <si>
    <t>MESIN ABSENSI SOLUTION</t>
  </si>
  <si>
    <t>Solution</t>
  </si>
  <si>
    <t>FA252</t>
  </si>
  <si>
    <t>SSD M2 NVME / M.2 NVME/ M2NVME 1TB KAIZEN RESMI</t>
  </si>
  <si>
    <t>Kaizen</t>
  </si>
  <si>
    <t>Laptop Pak Hari</t>
  </si>
  <si>
    <t>FA253</t>
  </si>
  <si>
    <t>Tempat sampah besar 100 Liter + roda- Kuning</t>
  </si>
  <si>
    <t>FA254</t>
  </si>
  <si>
    <t>TEMPAT SAMPAH HIJAU 660 LITER RODA</t>
  </si>
  <si>
    <t>FA255</t>
  </si>
  <si>
    <t>AUSDOM AF640 WEB CAMERA</t>
  </si>
  <si>
    <t>Ausdom</t>
  </si>
  <si>
    <t>FA256</t>
  </si>
  <si>
    <t>BRACKET STANDING TV</t>
  </si>
  <si>
    <t>FA257</t>
  </si>
  <si>
    <t>GRINDER BOSCH GWS060</t>
  </si>
  <si>
    <t>Operational</t>
  </si>
  <si>
    <t>Bosch</t>
  </si>
  <si>
    <t>FA258</t>
  </si>
  <si>
    <t>BOR CORDLESS RYU IMPACT DRILL 20V</t>
  </si>
  <si>
    <t>Ryu</t>
  </si>
  <si>
    <t>FA259</t>
  </si>
  <si>
    <t>MADANI SINGLE CHAIR BROWN</t>
  </si>
  <si>
    <t>FA260</t>
  </si>
  <si>
    <t>FA261</t>
  </si>
  <si>
    <t>NEO LONDON ELM STOOL COFFE</t>
  </si>
  <si>
    <t>FA262</t>
  </si>
  <si>
    <t>FA263</t>
  </si>
  <si>
    <t>FA264</t>
  </si>
  <si>
    <t>FA265</t>
  </si>
  <si>
    <t>FA266</t>
  </si>
  <si>
    <t>FA267</t>
  </si>
  <si>
    <t>FA268</t>
  </si>
  <si>
    <t>FA269</t>
  </si>
  <si>
    <t>FA270</t>
  </si>
  <si>
    <t>FA271</t>
  </si>
  <si>
    <t>FA272</t>
  </si>
  <si>
    <t>FA273</t>
  </si>
  <si>
    <t>FA274</t>
  </si>
  <si>
    <t>FA275</t>
  </si>
  <si>
    <t>FA276</t>
  </si>
  <si>
    <t>EDEN M 2S LOUNGE CHAIR BROWN</t>
  </si>
  <si>
    <t>FA277</t>
  </si>
  <si>
    <t>MANFORD X TABLE DIA 50XH60CM MOZAIC</t>
  </si>
  <si>
    <t>FA278</t>
  </si>
  <si>
    <t>LONDON ELM TABLE 110X55X45CM BLACK</t>
  </si>
  <si>
    <t>FA279</t>
  </si>
  <si>
    <t>KIEV MULTI LOCKER 12 DOOR LIGHT BROWN</t>
  </si>
  <si>
    <t>FA280</t>
  </si>
  <si>
    <t>Laptop ACER SWIFT GO OLED I7</t>
  </si>
  <si>
    <t>FA281</t>
  </si>
  <si>
    <t>Screw Compressor Bekas Atlas Copco GA37</t>
  </si>
  <si>
    <t>Atlas</t>
  </si>
  <si>
    <t>FA282</t>
  </si>
  <si>
    <t>Lemari Dokumen Deltamas</t>
  </si>
  <si>
    <t>Empu Adam</t>
  </si>
  <si>
    <t>FA283</t>
  </si>
  <si>
    <t>DISPENSER MIYAKO WDP-300 Variant: 27kg</t>
  </si>
  <si>
    <t>FA284</t>
  </si>
  <si>
    <t>Tangki Udara</t>
  </si>
  <si>
    <t>Future Star</t>
  </si>
  <si>
    <t>FA285</t>
  </si>
  <si>
    <t>Air Dryer</t>
  </si>
  <si>
    <t>FA286</t>
  </si>
  <si>
    <t>MITUTOYO | Dial Test Indicator | 1.0/.01mm 513- 415-10H</t>
  </si>
  <si>
    <t>FA287</t>
  </si>
  <si>
    <t>Mesin Las Trafo Las Inverter Lakoni Falcon 205A 205 A 200 Berat : 10 kg</t>
  </si>
  <si>
    <t>Lakoni</t>
  </si>
  <si>
    <t>FA288</t>
  </si>
  <si>
    <t>Mesin Cutting Wheel Mesin Potong Besi Cut Off Maktec MT243 MT 243 Berat  : 17.70 kg</t>
  </si>
  <si>
    <t>FA291</t>
  </si>
  <si>
    <t>Lenovo Slim 3 i3 1115G4 8GB 256GB SSD Win 11+OHS</t>
  </si>
  <si>
    <t>FA292</t>
  </si>
  <si>
    <t>Lemari arsip besi 2 pintu sliding kaca geser AA MS</t>
  </si>
  <si>
    <t>FA293</t>
  </si>
  <si>
    <t>FA294</t>
  </si>
  <si>
    <t>IMBA Office PC | i3-12100 | UHD 730 | 8GB | Rakitan Mini PC</t>
  </si>
  <si>
    <t>FA295</t>
  </si>
  <si>
    <t>Xiaomi Mi 23.8 Inch Desktop Monitor 1C - Monitor 24 inch Xiaomi</t>
  </si>
  <si>
    <t>FA296</t>
  </si>
  <si>
    <t>HP PAVILION X360 14-EKO114TU I5-1235U 8GB 512GB INTEL IRIS</t>
  </si>
  <si>
    <t>FA297</t>
  </si>
  <si>
    <t>HP PAVILION 14-DV2000TX-17-1255U 16GB 512GB SSD MX550</t>
  </si>
  <si>
    <t>FA298</t>
  </si>
  <si>
    <t>HP PAVILION 14-DV2000TX-I7-1255U 16GB 512 SSD MX550</t>
  </si>
  <si>
    <t>FA299</t>
  </si>
  <si>
    <t>Xiaomi Redmi 10 | Kapasitas 4GB/64GB dan 6GB/128GB</t>
  </si>
  <si>
    <t>FA300</t>
  </si>
  <si>
    <t>FA301</t>
  </si>
  <si>
    <t>FA302</t>
  </si>
  <si>
    <t>FA303</t>
  </si>
  <si>
    <t>FA304</t>
  </si>
  <si>
    <t>FA305</t>
  </si>
  <si>
    <t>FA306</t>
  </si>
  <si>
    <t>FARO Design ScanArm 2.5C, 2.5M | Color Design Scan Arm, 2.5m | (8.2 ft), 7 axis</t>
  </si>
  <si>
    <t>FARO</t>
  </si>
  <si>
    <t>FA307</t>
  </si>
  <si>
    <t>Lemari Arsip Besi 2 Pintu Sliding Kaca|Kantor File| Sleding Geser</t>
  </si>
  <si>
    <t>FA308</t>
  </si>
  <si>
    <t>tempat sampah outdoor 3 pilah kapasitas 50 liter model bulat 3 warna</t>
  </si>
  <si>
    <t>FA309</t>
  </si>
  <si>
    <t>FA310</t>
  </si>
  <si>
    <t>Aoyama 1888 Kipas Angin Tornado Besi 18 inch 3in1 Stand Desk Wall Fan</t>
  </si>
  <si>
    <t>Aoyama</t>
  </si>
  <si>
    <t>FA311</t>
  </si>
  <si>
    <t>FA312</t>
  </si>
  <si>
    <t>FA313</t>
  </si>
  <si>
    <t>Xiaomi Redmi 12 8/128GB &amp; 8/256GB Android 13 Garansi Resmi - Black</t>
  </si>
  <si>
    <t>FA314</t>
  </si>
  <si>
    <t>Monitor Samsung 24" 75hz S24R350 IPS FHD HDMI LED (LS24R350FZE)</t>
  </si>
  <si>
    <t>FA315</t>
  </si>
  <si>
    <t>SINGLE GIRDER - OVERHEAD TRAVELLING CRANES | 1.1 ELECTRIC WIRE ROPE HOIST STANDARD MONORAIL</t>
  </si>
  <si>
    <t>Nusa Krantechnik</t>
  </si>
  <si>
    <t>FA316</t>
  </si>
  <si>
    <t xml:space="preserve">LENOVO IDEAPAD SLIM 3 14ITL I3 1115GB 8GB 256GB SSD INTEGRATES 14" </t>
  </si>
  <si>
    <t>FA317</t>
  </si>
  <si>
    <t>LENOVO IDEAPAD SLIM 3 14IAH8 I5 12450H 8GB 512 SSD INTERGRATED 14"</t>
  </si>
  <si>
    <t>FA318</t>
  </si>
  <si>
    <t>HP PAVILION 14-DV2000TX I7-1255U 16GB 512GB SSD MX550 14" FHD IPS BACKLIT W11 OHS SILVER FINGERPRINT BAG 5CD242B8K2</t>
  </si>
  <si>
    <t>FA319</t>
  </si>
  <si>
    <t>MOLD BOTOL PETROASIA</t>
  </si>
  <si>
    <t>Customer</t>
  </si>
  <si>
    <t>FA321</t>
  </si>
  <si>
    <t>Lemari Es Deltamas (Kulkas LG GN-B202SQIB 202L Top Freezer Fridge in Dark Graphite Steel)</t>
  </si>
  <si>
    <t>FA322</t>
  </si>
  <si>
    <t>HONDA VARIO 125</t>
  </si>
  <si>
    <t>Honda</t>
  </si>
  <si>
    <t>FA323</t>
  </si>
  <si>
    <t>ALL NEW AVANZA 1.3 E CVT</t>
  </si>
  <si>
    <t>Avanza</t>
  </si>
  <si>
    <t>FA324</t>
  </si>
  <si>
    <t>Webcam Logitec C270 HD 720p</t>
  </si>
  <si>
    <t>Logitech</t>
  </si>
  <si>
    <t>FA325</t>
  </si>
  <si>
    <t>FA326</t>
  </si>
  <si>
    <t>Kuris Kantor / Kursi Jaring / Kursi Staf Black - White Frame</t>
  </si>
  <si>
    <t>FA327</t>
  </si>
  <si>
    <t>FA328</t>
  </si>
  <si>
    <t>Meja Kantor Minimalis Putih Sonoma Oak Light via Cargo - ATP-MTB-WHT-102 2 UNIT</t>
  </si>
  <si>
    <t>FA329</t>
  </si>
  <si>
    <t>FA330</t>
  </si>
  <si>
    <t>Kompresor Screw 50 HP</t>
  </si>
  <si>
    <t>FA331</t>
  </si>
  <si>
    <t>Softboard Cork Pin Board / Papan Mading Standing Keiko 90 x 120 cm</t>
  </si>
  <si>
    <t>FA332</t>
  </si>
  <si>
    <t>Seagate One Touch Hardisk Eksternal 1TB USB3.0</t>
  </si>
  <si>
    <t>Seagate</t>
  </si>
  <si>
    <t>FA333</t>
  </si>
  <si>
    <t>FA334</t>
  </si>
  <si>
    <t>FA335</t>
  </si>
  <si>
    <t>FA336</t>
  </si>
  <si>
    <t>FA337</t>
  </si>
  <si>
    <t>FA338</t>
  </si>
  <si>
    <t>FA339</t>
  </si>
  <si>
    <t>Lenovo IdeaPad Slim 3i 14ITL6 (Intel Core i7 1165G7, Win11 Home, 8GB DDR4, 512GB SSD, 14" FHD IPS 45% NTSC  Antiglare, NVIDIA GeForce MX450 2GB, Backlit, 2Y Premium Care + ADP) + OHS 2021</t>
  </si>
  <si>
    <t>FA340</t>
  </si>
  <si>
    <t>Xiaomi Redmi 12 8/128GB &amp; 8/256GB Android 13 Garansi Resmi - Black, 8/128GB</t>
  </si>
  <si>
    <t>FA341</t>
  </si>
  <si>
    <t>DN Solutions Compact, Simultaneous 5-axis Machining Center For High Speed Machining model DVF-5000 with Fanuc F31B5P</t>
  </si>
  <si>
    <t>DN Solutions</t>
  </si>
  <si>
    <t>FA342</t>
  </si>
  <si>
    <t>IP Phone Fanvil X303W Include adaptor</t>
  </si>
  <si>
    <t>Fanvil</t>
  </si>
  <si>
    <t>FA343</t>
  </si>
  <si>
    <t>FA344</t>
  </si>
  <si>
    <t>FA345</t>
  </si>
  <si>
    <t>FA346</t>
  </si>
  <si>
    <t>IP Phone Fanvil X303W Include Adaptor</t>
  </si>
  <si>
    <t>FA347</t>
  </si>
  <si>
    <t>MITSUBISHI MV2400S D-CUBES Wire-cut EDM</t>
  </si>
  <si>
    <t>FA348</t>
  </si>
  <si>
    <t>GPS Tracker SUPERSPRING tipe C40 (2G &amp; 4G) + 6 Bulan
(untuk di mobil operasional)</t>
  </si>
  <si>
    <t>Superspring</t>
  </si>
  <si>
    <t>FA349</t>
  </si>
  <si>
    <t>FA350</t>
  </si>
  <si>
    <t>Kompresor Screw 15 HP | Volume Flow Rate 1,8 M³/mm | Rated Discharged Pressure 0,8 Mpa | Motor Power 11 KW | Overall dimensions (LxWxH) 104x75x104MM | Net Weight 258 kg, Air Dry &amp; Tangki</t>
  </si>
  <si>
    <t>FA351</t>
  </si>
  <si>
    <t>Air Dryer 20 HP</t>
  </si>
  <si>
    <t>FA352</t>
  </si>
  <si>
    <t>Tangki 300 Liter</t>
  </si>
  <si>
    <t>FA353</t>
  </si>
  <si>
    <t>Printer Brother MFC-J3540DW A3 Inkjet AIO WIFI Duplex Garansi Resmi</t>
  </si>
  <si>
    <t>Brother</t>
  </si>
  <si>
    <t>FA354</t>
  </si>
  <si>
    <t xml:space="preserve">Printer Canon PIXMA G4770 All in One ADF WiFi FAX pengganti G4010 </t>
  </si>
  <si>
    <t>Canon</t>
  </si>
  <si>
    <t>FA355</t>
  </si>
  <si>
    <t>Lemari Pajangan Kaca 2 Pintu</t>
  </si>
  <si>
    <t>FA356</t>
  </si>
  <si>
    <t>FA357</t>
  </si>
  <si>
    <t>Mitutoyo Caliper 300 MM China</t>
  </si>
  <si>
    <t>FA358</t>
  </si>
  <si>
    <t>CCTV Ezviz C6N 2 MP Black Smart Home Wifi IP Camera CCTV Indoor 1080p</t>
  </si>
  <si>
    <t>Ezviz</t>
  </si>
  <si>
    <t>FA359</t>
  </si>
  <si>
    <t>FA360</t>
  </si>
  <si>
    <t>FA361</t>
  </si>
  <si>
    <t>FA362</t>
  </si>
  <si>
    <t>FA363</t>
  </si>
  <si>
    <t>FA364</t>
  </si>
  <si>
    <t>FA365</t>
  </si>
  <si>
    <t>FA366</t>
  </si>
  <si>
    <t>FA367</t>
  </si>
  <si>
    <t>FA368</t>
  </si>
  <si>
    <t>FA369</t>
  </si>
  <si>
    <t>FA370</t>
  </si>
  <si>
    <t>Bardi Smart Door Lock with Handle (Lite Version)</t>
  </si>
  <si>
    <t>Bardi</t>
  </si>
  <si>
    <t>FA371</t>
  </si>
  <si>
    <t>Access control Access Door Akses Drop bolt lock RFID Card PIN - Dropbolt Lock, No Touch</t>
  </si>
  <si>
    <t>FA372</t>
  </si>
  <si>
    <t>FA373</t>
  </si>
  <si>
    <t>FA374</t>
  </si>
  <si>
    <t>FA375</t>
  </si>
  <si>
    <t>FA376</t>
  </si>
  <si>
    <t>FA377</t>
  </si>
  <si>
    <t>Laptop Lenovo V14 G3 i3 1215GU 8GB 256SSD 14.0HD Windows 11 Resmi - Unit, 8/256 GB</t>
  </si>
  <si>
    <t>FA378</t>
  </si>
  <si>
    <t>Bracket Standing TV</t>
  </si>
  <si>
    <t>FA379</t>
  </si>
  <si>
    <t>MITUTOYO 103-139-10 OUTSIDE Micrometer Economy Design 50-75mm 0.01mm</t>
  </si>
  <si>
    <t>Tokopedia</t>
  </si>
  <si>
    <t>FA380</t>
  </si>
  <si>
    <t>Clamping Kit M12 Claim Milling - Clamping Set M12</t>
  </si>
  <si>
    <t>FA381</t>
  </si>
  <si>
    <t>Dispenser Cosmos CWD-7601 (3 keran)</t>
  </si>
  <si>
    <t>Cosmos</t>
  </si>
  <si>
    <t>FA382</t>
  </si>
  <si>
    <t>Informa Carter Credenza Kabinet Kantor Metal 2 Pintu - Putih</t>
  </si>
  <si>
    <t>FA383</t>
  </si>
  <si>
    <t>Magnetic Dial Holder 0,01 | Merk Mitutoyo | 1 Set</t>
  </si>
  <si>
    <t>Techo</t>
  </si>
  <si>
    <t>FA384</t>
  </si>
  <si>
    <t>MITUTOYO Micrometer / Micro meter 103-137 / 0-25mm / 0.01 mm</t>
  </si>
  <si>
    <t>FA385</t>
  </si>
  <si>
    <t>Caliper Digital 200 mm | Mitutoyo</t>
  </si>
  <si>
    <t>FA386</t>
  </si>
  <si>
    <t>Nakas laci minimalis/ rak kantor locker bedside table</t>
  </si>
  <si>
    <t>FA387</t>
  </si>
  <si>
    <t>FA388</t>
  </si>
  <si>
    <t>Air Tank 1000 Ltr</t>
  </si>
  <si>
    <t>FA389</t>
  </si>
  <si>
    <t>Screw Air Compressor 50 HP</t>
  </si>
  <si>
    <t>FA390</t>
  </si>
  <si>
    <t>Air Dryer Screw 50 HP</t>
  </si>
  <si>
    <t>FA391</t>
  </si>
  <si>
    <t>Hand Pallet 3 ton 'Carlift'</t>
  </si>
  <si>
    <t>Carlift</t>
  </si>
  <si>
    <t>FA392</t>
  </si>
  <si>
    <t>Handi Lift 1 ton 'Carlift'</t>
  </si>
  <si>
    <t>FA393</t>
  </si>
  <si>
    <t>Pallet Plastik tye NPJ-1111 "Hitam"</t>
  </si>
  <si>
    <t>FA394</t>
  </si>
  <si>
    <t>FA395</t>
  </si>
  <si>
    <t>Kunci Sok Set (6-24mm) "Tekiro"</t>
  </si>
  <si>
    <t>Tekiro</t>
  </si>
  <si>
    <t>FA396</t>
  </si>
  <si>
    <t>Gerinda Listrik Merk BOSCH | Uk. 4 Inch</t>
  </si>
  <si>
    <t>BOSCH</t>
  </si>
  <si>
    <t>FA397</t>
  </si>
  <si>
    <t>Charger Laptop "Charger Azuz ADP-120RH B Input 100-240V 5"</t>
  </si>
  <si>
    <t>FA398</t>
  </si>
  <si>
    <t>Laptop Acer Nitro V 15 ANV15-51 i9-13900H RTX4060 512G 15.6”FHD 144Hz W11 OHS - Ram 64GB</t>
  </si>
  <si>
    <t>9-Okt-24</t>
  </si>
  <si>
    <t>FA399</t>
  </si>
  <si>
    <t>FA400</t>
  </si>
  <si>
    <t>Elegoo Phecda 10W Laser Cutting Engraving High Precision - Basic Set</t>
  </si>
  <si>
    <t>FA402</t>
  </si>
  <si>
    <t>Mini Pneumatic Chamfering 30000 Rpm 45 Degree</t>
  </si>
  <si>
    <t>FA403</t>
  </si>
  <si>
    <t>Standing Bracket TV - 32 - 55 Inch</t>
  </si>
  <si>
    <t>FA404</t>
  </si>
  <si>
    <t>FA405</t>
  </si>
  <si>
    <t>TEKIRO - CATOK RAGUM MEJA 5 INCH BENCH VICE ORIGINAL</t>
  </si>
  <si>
    <t>FA406</t>
  </si>
  <si>
    <t>Promo /Kwh meter 3 Phase Digital Fort Murah</t>
  </si>
  <si>
    <t>19-Agu-24</t>
  </si>
  <si>
    <t>FA407</t>
  </si>
  <si>
    <t>Mesin Asah Endmill Resharpening</t>
  </si>
  <si>
    <t>FA408</t>
  </si>
  <si>
    <t>Troli REAIM Handtruck 800 kg</t>
  </si>
  <si>
    <t>REAIM</t>
  </si>
  <si>
    <t>FA409</t>
  </si>
  <si>
    <t>Inside Micrometer | 3220 - 30 (5-30 x 0,01 M) Merk Insize</t>
  </si>
  <si>
    <t>FA410</t>
  </si>
  <si>
    <t>Xiaomi Redmi 13 8GB/12 8GB 8GB/256GB Camera 108MP 6.79" FHD+ 90Hz 33W Fast Charging - 8GB/128GB</t>
  </si>
  <si>
    <t>Redmi 13</t>
  </si>
  <si>
    <t>FA411</t>
  </si>
  <si>
    <t>LG Monitor 24MR400-B 24" Full HD Display with AMD FreeSync 100Hz</t>
  </si>
  <si>
    <t>24MR400-B</t>
  </si>
  <si>
    <t>FA412</t>
  </si>
  <si>
    <t>Showa BT40-HPC04M-185</t>
  </si>
  <si>
    <t>Showa</t>
  </si>
  <si>
    <t>FA413</t>
  </si>
  <si>
    <t>Showa BT40-HPC06M-185</t>
  </si>
  <si>
    <t>FA414</t>
  </si>
  <si>
    <t>Vise/ Ragum Wirecut 100mm</t>
  </si>
  <si>
    <t>FA415</t>
  </si>
  <si>
    <t>FA415/II/01</t>
  </si>
  <si>
    <t>FA416</t>
  </si>
  <si>
    <t>FA416/II/01</t>
  </si>
  <si>
    <t>FA417</t>
  </si>
  <si>
    <t>FA417/III/01</t>
  </si>
  <si>
    <t>Lenovo Ideapad Slim 3 14IAU7 I3 1215u 16GB 512GB Windows 11 14" fhd - UNIT ONLY 8GB/256GB</t>
  </si>
  <si>
    <t>14IAU7</t>
  </si>
  <si>
    <t>PF56RVNJ</t>
  </si>
  <si>
    <t>FA418</t>
  </si>
  <si>
    <t xml:space="preserve">Boring Head BT50 NBH2084
</t>
  </si>
  <si>
    <t>FA419</t>
  </si>
  <si>
    <t>Tekiro Palu tembaga 1Kg</t>
  </si>
  <si>
    <t>9-Mei-25</t>
  </si>
  <si>
    <t>FA420</t>
  </si>
  <si>
    <t>Tabung Gas Oksigen 6M3</t>
  </si>
  <si>
    <t>14-Mei-25</t>
  </si>
  <si>
    <t>FA421</t>
  </si>
  <si>
    <t>Lenovo ideapad slim 3 14iau7 i3 1215u 16gb 512gb windows 11 14"fhd - UNIT ONLY, 8GB/256GB</t>
  </si>
  <si>
    <t>30-Mei-25</t>
  </si>
  <si>
    <t>FA422</t>
  </si>
  <si>
    <t>SJCAM C100 Bodycam</t>
  </si>
  <si>
    <t>FA423</t>
  </si>
  <si>
    <t>Ulanzi GO001 Magnetic Mount for Bodycam</t>
  </si>
  <si>
    <t>FA424</t>
  </si>
  <si>
    <t>Multimeter Digital Sanwa CD800A</t>
  </si>
  <si>
    <t>FA425</t>
  </si>
  <si>
    <t>FA426</t>
  </si>
  <si>
    <t>Seagate Expansion Harddisk External 2TB</t>
  </si>
  <si>
    <t>SRD0NF1</t>
  </si>
  <si>
    <t>NT1AJ7VD</t>
  </si>
  <si>
    <t>FA428</t>
  </si>
  <si>
    <t>Nakas Laci Loker Bawah Meja</t>
  </si>
  <si>
    <t>FA429</t>
  </si>
  <si>
    <t>FA430</t>
  </si>
  <si>
    <t>FA437</t>
  </si>
  <si>
    <t>Acer Nitro V 15 I9 13900H 8 / 16 GB 512GB</t>
  </si>
  <si>
    <t>Acer Nitro V15</t>
  </si>
  <si>
    <t>FA438</t>
  </si>
  <si>
    <t>Monitor Dahua 22"</t>
  </si>
  <si>
    <t>Dahua</t>
  </si>
  <si>
    <t>FA439</t>
  </si>
  <si>
    <t>Lenovo Ideapad Slim 3 i3</t>
  </si>
  <si>
    <t>Silmi</t>
  </si>
  <si>
    <t>FA440</t>
  </si>
  <si>
    <t>Showcase Gea Expo 26C</t>
  </si>
  <si>
    <t>Gea</t>
  </si>
  <si>
    <t>FA441</t>
  </si>
  <si>
    <t>TP-Link TL-MR100 | 300 Mbps MR105 MR6400</t>
  </si>
  <si>
    <t>TP Link</t>
  </si>
  <si>
    <t>TL-MR100</t>
  </si>
  <si>
    <t>FA442</t>
  </si>
  <si>
    <t>PADBOT Reception Robot, Model P3, HILLS &amp; HILLS LIMITED</t>
  </si>
  <si>
    <t>FA443</t>
  </si>
  <si>
    <t>PADBOT Cleaning Robot, Model C3, HILLS &amp; HILLS LIMITED</t>
  </si>
  <si>
    <t>FA444</t>
  </si>
  <si>
    <t>Robot arm with Welding function, 6-axis Robot BRTIRUS2110A + welder MIG350, HILLS LIMITED</t>
  </si>
  <si>
    <t>FA445</t>
  </si>
  <si>
    <t>6-axis Robot BRTIRUS2110A, with Max. loading capacity 10kgs, HILLS LIMITED</t>
  </si>
  <si>
    <t>FA446</t>
  </si>
  <si>
    <t>Holder Treadmill dia 16, Pitch 3</t>
  </si>
  <si>
    <t>Production</t>
  </si>
  <si>
    <t>FA447</t>
  </si>
  <si>
    <t>Holder Treadmill dia 20, Pitch 4</t>
  </si>
  <si>
    <t>FA448</t>
  </si>
  <si>
    <t>Pompa Stempet 500cc</t>
  </si>
  <si>
    <t>FA449</t>
  </si>
  <si>
    <t>Arbor (BT50-FMB22-250)</t>
  </si>
  <si>
    <t>FA450</t>
  </si>
  <si>
    <t>Arbor (BT50-FMB60-250)</t>
  </si>
  <si>
    <t>FA451</t>
  </si>
  <si>
    <t>Facemill (APMT16-22-50)</t>
  </si>
  <si>
    <t>FA452</t>
  </si>
  <si>
    <t>Facemill (SEKN15-60-200)</t>
  </si>
  <si>
    <t>FA453</t>
  </si>
  <si>
    <t>Tabung Gas ELPIJI 12Kg + Isi</t>
  </si>
  <si>
    <t>FA454</t>
  </si>
  <si>
    <t>Alat Strapping Band</t>
  </si>
  <si>
    <t>FA455</t>
  </si>
  <si>
    <t>Mesin Bench Grinder 5" (TDS125-41-5105) "WIPRO"</t>
  </si>
  <si>
    <t>FA456</t>
  </si>
  <si>
    <t>Permanent Magnet Lifter PML-C 3 Ton "TOYO"</t>
  </si>
  <si>
    <t>FA457</t>
  </si>
  <si>
    <t>Back Borring Head EWN41-74CKB4</t>
  </si>
  <si>
    <t>FA458</t>
  </si>
  <si>
    <t>Arbor Boring BT50-LBK6-170</t>
  </si>
  <si>
    <t>FA459</t>
  </si>
  <si>
    <t>Adaptor Boring LBK6-6-120</t>
  </si>
  <si>
    <t>FA460</t>
  </si>
  <si>
    <t>FA461</t>
  </si>
  <si>
    <t>FA462</t>
  </si>
  <si>
    <t>FA463</t>
  </si>
  <si>
    <t>FA464</t>
  </si>
  <si>
    <t>Arbor BT50 ER32 150</t>
  </si>
  <si>
    <t>FA465</t>
  </si>
  <si>
    <t>Arbor BT50 ER32 300</t>
  </si>
  <si>
    <t>FA466</t>
  </si>
  <si>
    <t>APAR ABC Powder 6kg</t>
  </si>
  <si>
    <t>Tonata</t>
  </si>
  <si>
    <t>FA467</t>
  </si>
  <si>
    <t>Holder APMT 32-300</t>
  </si>
  <si>
    <t>FA468</t>
  </si>
  <si>
    <t>Arbor BT50 FBM 22-48-350</t>
  </si>
  <si>
    <t>FA469</t>
  </si>
  <si>
    <t>Arbor BT50 er 20-150</t>
  </si>
  <si>
    <t>FA470</t>
  </si>
  <si>
    <t>Facemill 22 Cutter 63 (Insert SEKT12)</t>
  </si>
  <si>
    <t>FA471</t>
  </si>
  <si>
    <t>Holder APMT 25-150</t>
  </si>
  <si>
    <t>FA472</t>
  </si>
  <si>
    <t>BT Device BT50 (Alat Pembuka Kunci Arbor BT50)</t>
  </si>
  <si>
    <t>FA473</t>
  </si>
  <si>
    <t>Caliper Manual 200mm "MITUTOYO"</t>
  </si>
  <si>
    <t>FA474</t>
  </si>
  <si>
    <t>Caliper Digital 300mm "MITUTOYO"</t>
  </si>
  <si>
    <t>FA475</t>
  </si>
  <si>
    <t>Dial Test Indicator 513-404-10E "MITUTOYO"</t>
  </si>
  <si>
    <t>FA476</t>
  </si>
  <si>
    <t>Holder Ballnose 20 x 200 R10</t>
  </si>
  <si>
    <t>FA477</t>
  </si>
  <si>
    <t>Holder Ballnose 16 x 150 R8</t>
  </si>
  <si>
    <t>FA478</t>
  </si>
  <si>
    <t>Holder EXM-6063R-HF-22</t>
  </si>
  <si>
    <t>FA479</t>
  </si>
  <si>
    <t>Mesin Gerinda 4" "BOSCH"</t>
  </si>
  <si>
    <t>FA480</t>
  </si>
  <si>
    <t>Kabel Roll 25M "KRISBOW"</t>
  </si>
  <si>
    <t>FA481</t>
  </si>
  <si>
    <t>Holder Ballnose ASP-20-250-M10 Carbaide "NICHE"</t>
  </si>
  <si>
    <t>FA482</t>
  </si>
  <si>
    <t>Head Holder Ballnose 20 ABF-20-M10 "NICHE"</t>
  </si>
  <si>
    <t>FA483</t>
  </si>
  <si>
    <t>FA484</t>
  </si>
  <si>
    <t>ARBOR BT40 | LOCK SEAT</t>
  </si>
  <si>
    <t>FA485</t>
  </si>
  <si>
    <t>ZERO SETTER | 50mm</t>
  </si>
  <si>
    <t>FA486</t>
  </si>
  <si>
    <t>FA487</t>
  </si>
  <si>
    <t>BORING HEAD | BT40 NBH2084</t>
  </si>
  <si>
    <t>FA488</t>
  </si>
  <si>
    <t>FACEMILL  BAP | 400R 50-22-4T APMT16</t>
  </si>
  <si>
    <t>FA489</t>
  </si>
  <si>
    <t>FACEMILL  BAP | 400R 63-22-4T APMT16</t>
  </si>
  <si>
    <t>FA490</t>
  </si>
  <si>
    <t>Arbor BT40-FMB22-100</t>
  </si>
  <si>
    <t>Proses Finance</t>
  </si>
  <si>
    <t>FA491</t>
  </si>
  <si>
    <t>Arbor BT40-FMB22-200</t>
  </si>
  <si>
    <t>FA492</t>
  </si>
  <si>
    <t>Arbor BT40-ER20-150</t>
  </si>
  <si>
    <t>FA493</t>
  </si>
  <si>
    <t>FA494</t>
  </si>
  <si>
    <t>FA495</t>
  </si>
  <si>
    <t>Arbor BT40-ER32-150</t>
  </si>
  <si>
    <t>FA496</t>
  </si>
  <si>
    <t>FA497</t>
  </si>
  <si>
    <t>Arbor BT40-SC32-105</t>
  </si>
  <si>
    <t>FA498</t>
  </si>
  <si>
    <t>FA499</t>
  </si>
  <si>
    <t>Collet ER20 (isi 12 Pcs)</t>
  </si>
  <si>
    <t>FA500</t>
  </si>
  <si>
    <t>Collet ER32 (Isi 18 Pcs)</t>
  </si>
  <si>
    <t>FA501</t>
  </si>
  <si>
    <t>Collet SC32 (Isi 7 Pcs)</t>
  </si>
  <si>
    <t>Arbor BT50 MT4Y-180</t>
  </si>
  <si>
    <t>Masih PO belum diakui sebagai Asset</t>
  </si>
  <si>
    <t>Adapter MTA4 to MTA3</t>
  </si>
  <si>
    <t>Adapter MTA3 to MTA2</t>
  </si>
  <si>
    <t>Adapter MTA2 to MTA</t>
  </si>
  <si>
    <t>Angel Grinder FA-30-3 "FUJI"</t>
  </si>
  <si>
    <t>2-Mei-25</t>
  </si>
  <si>
    <t>Tidak ada di list  Accounting</t>
  </si>
  <si>
    <t>Infonya barang belum sampai</t>
  </si>
  <si>
    <t>Die Grinder FG-26H-20 "FUJI"</t>
  </si>
  <si>
    <t>FA027/I/01</t>
  </si>
  <si>
    <t>FA107/I/01</t>
  </si>
  <si>
    <t>FA040.10/II/01</t>
  </si>
  <si>
    <t>FA040.11/II/01</t>
  </si>
  <si>
    <t>FA442/I/01</t>
  </si>
  <si>
    <t>FA443/I/01</t>
  </si>
  <si>
    <t>FA444/I/02</t>
  </si>
  <si>
    <t>FA445/I/02</t>
  </si>
  <si>
    <t>FA040.13/II/01</t>
  </si>
  <si>
    <t>FA040.14/II/01</t>
  </si>
  <si>
    <t>FA040.15/II/01</t>
  </si>
  <si>
    <t>FA044/I/01</t>
  </si>
  <si>
    <t>FA050/I/01</t>
  </si>
  <si>
    <t>FA446/V/01</t>
  </si>
  <si>
    <t>FA447/V/02</t>
  </si>
  <si>
    <t>FA448/V/02</t>
  </si>
  <si>
    <t>FA449/V/02</t>
  </si>
  <si>
    <t>FA063/I/01</t>
  </si>
  <si>
    <t>FA070/III/01</t>
  </si>
  <si>
    <t>FA108/I/01</t>
  </si>
  <si>
    <t>FA177/II/01</t>
  </si>
  <si>
    <t>FA212/II/01</t>
  </si>
  <si>
    <t>FA450/V/02</t>
  </si>
  <si>
    <t>FA451/V/02</t>
  </si>
  <si>
    <t>FA452/V/02</t>
  </si>
  <si>
    <t>FA453/V/02</t>
  </si>
  <si>
    <t>FA454/V/02</t>
  </si>
  <si>
    <t>FA414/V/01</t>
  </si>
  <si>
    <t>FA418/V/02</t>
  </si>
  <si>
    <t>FA460/V/02</t>
  </si>
  <si>
    <t>FA461/V/02</t>
  </si>
  <si>
    <t>FA462/V/02</t>
  </si>
  <si>
    <t>FA463/V/02</t>
  </si>
  <si>
    <t>FA464/V/02</t>
  </si>
  <si>
    <t>FA419/V/02</t>
  </si>
  <si>
    <t>FA420/V/02</t>
  </si>
  <si>
    <t>FA421/III/01</t>
  </si>
  <si>
    <t>FA422/I/01</t>
  </si>
  <si>
    <t>FA423/I/01</t>
  </si>
  <si>
    <t>FA016/III/01</t>
  </si>
  <si>
    <t>FA023/I/01</t>
  </si>
  <si>
    <t>FA026/III/01</t>
  </si>
  <si>
    <t>FA026.1/III/01</t>
  </si>
  <si>
    <t>FA026.2/III/01</t>
  </si>
  <si>
    <t>FA424/V/01</t>
  </si>
  <si>
    <t>FA425/III/01</t>
  </si>
  <si>
    <t>FA426/I/01</t>
  </si>
  <si>
    <t>FA428/II/01</t>
  </si>
  <si>
    <t>FA429/II/01</t>
  </si>
  <si>
    <t>FA034/III/02</t>
  </si>
  <si>
    <t>FA052.1/II/03</t>
  </si>
  <si>
    <t>FA252/I/01</t>
  </si>
  <si>
    <t>FA094/III/01</t>
  </si>
  <si>
    <t>FA465/V/02</t>
  </si>
  <si>
    <t>FA430/II/01</t>
  </si>
  <si>
    <t>FA437/III/01</t>
  </si>
  <si>
    <t>FA438/III/03</t>
  </si>
  <si>
    <t>FA439/III/03</t>
  </si>
  <si>
    <t>FA440/I/02</t>
  </si>
  <si>
    <t>FA466/V/01</t>
  </si>
  <si>
    <t>FA467/V/02</t>
  </si>
  <si>
    <t>FA468/V/02</t>
  </si>
  <si>
    <t>FA469/V/02</t>
  </si>
  <si>
    <t>FA470/V/02</t>
  </si>
  <si>
    <t>FA471/V/02</t>
  </si>
  <si>
    <t>FA472/V/02</t>
  </si>
  <si>
    <t>FA473/V/02</t>
  </si>
  <si>
    <t>FA474/V/02</t>
  </si>
  <si>
    <t>FA475/V/02</t>
  </si>
  <si>
    <t>FA476/V/02</t>
  </si>
  <si>
    <t>FA477/V/02</t>
  </si>
  <si>
    <t>FA478/V/02</t>
  </si>
  <si>
    <t>FA479/V/02</t>
  </si>
  <si>
    <t>FA480/V/02</t>
  </si>
  <si>
    <t>FA481/V/02</t>
  </si>
  <si>
    <t>FA482/V/02</t>
  </si>
  <si>
    <t>FA483/V/02</t>
  </si>
  <si>
    <t>FA484/V/02</t>
  </si>
  <si>
    <t>FA485/V/02</t>
  </si>
  <si>
    <t>FA486/V/02</t>
  </si>
  <si>
    <t>FA487/V/02</t>
  </si>
  <si>
    <t>FA488/V/02</t>
  </si>
  <si>
    <t>FA489/V/02</t>
  </si>
  <si>
    <t>FA490/V/02</t>
  </si>
  <si>
    <t>FA491/V/02</t>
  </si>
  <si>
    <t>FA492/V/02</t>
  </si>
  <si>
    <t>FA493/V/02</t>
  </si>
  <si>
    <t>FA494/V/02</t>
  </si>
  <si>
    <t>FA495/V/02</t>
  </si>
  <si>
    <t>FA496/V/02</t>
  </si>
  <si>
    <t>FA497/V/02</t>
  </si>
  <si>
    <t>FA498/V/02</t>
  </si>
  <si>
    <t>FA499/V/02</t>
  </si>
  <si>
    <t>FA500/V/02</t>
  </si>
  <si>
    <t>FA501/V/02</t>
  </si>
  <si>
    <t>No</t>
  </si>
  <si>
    <t>Item</t>
  </si>
  <si>
    <t>Qty</t>
  </si>
  <si>
    <t>UOM</t>
  </si>
  <si>
    <t>Price 1</t>
  </si>
  <si>
    <t>Product Information</t>
  </si>
  <si>
    <t>Price 2</t>
  </si>
  <si>
    <t>Price 3</t>
  </si>
  <si>
    <t>First Purchase</t>
  </si>
  <si>
    <t>Second Purchase</t>
  </si>
  <si>
    <t>Actual Qty</t>
  </si>
  <si>
    <t>Actual Price</t>
  </si>
  <si>
    <t>Shipping Fee</t>
  </si>
  <si>
    <t>Sub Total</t>
  </si>
  <si>
    <t>Total</t>
  </si>
  <si>
    <t>Remain Qty</t>
  </si>
  <si>
    <t>OFFICE</t>
  </si>
  <si>
    <t>Meja Kerja Office Lt. 2</t>
  </si>
  <si>
    <t>Pcs</t>
  </si>
  <si>
    <t>https://tk.tokopedia.com/ZSSc5DEfp/</t>
  </si>
  <si>
    <t>Rp345.000</t>
  </si>
  <si>
    <t>https://tk.tokopedia.com/ZSScaCX99/</t>
  </si>
  <si>
    <t>Rp325.000</t>
  </si>
  <si>
    <t>https://tk.tokopedia.com/ZSScmrg2n/</t>
  </si>
  <si>
    <t>Proposed</t>
  </si>
  <si>
    <t>Kursi Kerja Office Lt. 2</t>
  </si>
  <si>
    <t>Rp299.000</t>
  </si>
  <si>
    <t>https://www.ruparupa.com/p/selma-lyon-kursi-kantor-sandaran-rendah-abu-abu.html?itm_source=search&amp;itm_campaign=direct_search&amp;itm_term=kursi-kantor-%26-10605782&amp;itm_device=desktop&amp;queryId=106cf15159825ae1f370f09b142a6a4d&amp;sid=ETFj5JgBdpC1r0iu7vd0</t>
  </si>
  <si>
    <t>Rp299.800</t>
  </si>
  <si>
    <t>https://tk.tokopedia.com/ZSScmMRaD/</t>
  </si>
  <si>
    <t>https://tk.tokopedia.com/ZSScmS1TT/</t>
  </si>
  <si>
    <t>Utilities service (Toilet dan pantry)</t>
  </si>
  <si>
    <t>Lot</t>
  </si>
  <si>
    <t>Internet (Instalasi)</t>
  </si>
  <si>
    <t>Rp980.000</t>
  </si>
  <si>
    <t>Indibiz</t>
  </si>
  <si>
    <t>PT MORATELINDO</t>
  </si>
  <si>
    <t>PT. SMT</t>
  </si>
  <si>
    <t>TV Ruang Meeting</t>
  </si>
  <si>
    <t>https://tk.tokopedia.com/ZSAUkDvqt/</t>
  </si>
  <si>
    <t>https://tk.tokopedia.com/ZSAUk7TTv/</t>
  </si>
  <si>
    <t>https://tk.tokopedia.com/ZSAUknwUY/</t>
  </si>
  <si>
    <t>TV Android 40"</t>
  </si>
  <si>
    <t>Renovasi lantai 2 (Partisi Ruang meeting)</t>
  </si>
  <si>
    <t>Rp27.563.800</t>
  </si>
  <si>
    <t>Designstudio</t>
  </si>
  <si>
    <t>Rp47.100.000</t>
  </si>
  <si>
    <t>Intan Safety Glass</t>
  </si>
  <si>
    <t>AC Office 1/2 pk</t>
  </si>
  <si>
    <t>Unit</t>
  </si>
  <si>
    <t>Installed</t>
  </si>
  <si>
    <t>Instalasi AC</t>
  </si>
  <si>
    <t>-</t>
  </si>
  <si>
    <t>Roller Blind</t>
  </si>
  <si>
    <t>Rp550.000</t>
  </si>
  <si>
    <t>CGG Works</t>
  </si>
  <si>
    <t>Meja Ruang Meeting</t>
  </si>
  <si>
    <t>https://tk.tokopedia.com/ZSAUByWJR/</t>
  </si>
  <si>
    <t>https://www.ruparupa.com/informastore/p/sieben-i-i-i-meja-rapat-2012-iw-putih.html</t>
  </si>
  <si>
    <t>https://www.ruparupa.com/p/informa-maven-meja-rapat-220-abu-abu-cokelat-oak.html?itm_source=product-recommendation-search-result-rr&amp;itm_campaign=direct-search&amp;itm_term=10591345&amp;itm_device=desktop</t>
  </si>
  <si>
    <t>Kursi Ruang Meeting</t>
  </si>
  <si>
    <t>Rp228.900</t>
  </si>
  <si>
    <t>Lemari Arsip</t>
  </si>
  <si>
    <t>https://tk.tokopedia.com/ZSAUS8MTv/</t>
  </si>
  <si>
    <t>https://www.ruparupa.com/p/kiev-lemari-arsip-dengan-pintu-kaca-80x40x180-cm-cokelat.html?itm_source=search&amp;itm_campaign=direct_search&amp;itm_term=lemari-arsip-%26-10450019&amp;itm_device=desktop&amp;queryId=d8a62aa5a3480b2e1405fbfbfde2b9b0&amp;sid=hYfv35gBSC0oiPerAXbg</t>
  </si>
  <si>
    <t>Rp2.331.900</t>
  </si>
  <si>
    <t>https://www.tokopedia.com/informa/informa-lemari-arsip-kantor-metal-4-pintu-high-putih-1729857549483148897?extParam=ivf%3Dfalse%26keyword%3Dlemari+arsip+informa%26search_id%3D2025082604364111B9842E0A271F2ADNOG%26src%3Dsearch%26whid%3D17430154&amp;t_id=1756182822447&amp;t_st=5&amp;t_pp=search_result&amp;t_efo=search_pure_goods_card&amp;t_ef=goods_search&amp;t_sm=&amp;t_spt=search_result</t>
  </si>
  <si>
    <t>Printer</t>
  </si>
  <si>
    <t>https://www.tokopedia.com/metroelektro/jkt-printer-epson-l3210-l-3210-l-3210-l3211-l-3211-l-3211-3-in-1-pengganti-epson-l3110-print-scan-copy-a4-all-in-one-garansi-resmi-1731966599558694489?extParam=ivf%3Dfalse%26keyword%3Dprinter+epson+l3210%26search_id%3D20250827072908D947BF06A885DB0214OJ%26src%3Dsearch</t>
  </si>
  <si>
    <t>https://www.tokopedia.com/fixprint-indonesia/printer-epson-l3210-l3250-print-scan-copy-multifungsi-wifi-wireless-l3210-no-wifi-xantri-ink-deba9?extParam=ivf%3Dtrue%26keyword%3Dprinter+epson+l3210%26search_id%3D20250827072908D947BF06A885DB0214OJ%26src%3Dsearch%26whid%3D12813586</t>
  </si>
  <si>
    <t>https://www.tokopedia.com/ciptakaryashop/epson-l3210-all-in-one-ink-tank-printer-hitam-putih-original-tinta-1-set-garansi-resmi-2-tahun-1729826990812267912?extParam=ivf%3Dfalse%26keyword%3Dprinter+epson+l3210%26search_id%3D20250827072908D947BF06A885DB0214OJ%26src%3Dsearch</t>
  </si>
  <si>
    <t>PC Komputer Admin</t>
  </si>
  <si>
    <t>Set</t>
  </si>
  <si>
    <t>https://tk.tokopedia.com/ZSAadebyn/</t>
  </si>
  <si>
    <t>https://tk.tokopedia.com/ZSAaewdp9/</t>
  </si>
  <si>
    <t>https://tk.tokopedia.com/ZSAadRMky/</t>
  </si>
  <si>
    <t>Mesin absensi (attendance)</t>
  </si>
  <si>
    <t>https://tk.tokopedia.com/ZSA6L5q9J/</t>
  </si>
  <si>
    <t>https://tk.tokopedia.com/ZSA6BrEFw/</t>
  </si>
  <si>
    <t>Rp1.679.000</t>
  </si>
  <si>
    <t>https://www.tokopedia.com/solutionofficial/mesin-absensi-fingerprint-solution-x100-c?extParam=ivf%3Dfalse%26keyword%3Dmeisn+absensi+%26search_id%3D20250826043741577BCC914F9E55011N2C%26src%3Dsearch&amp;t_id=1756182822447&amp;t_st=6&amp;t_pp=search_result&amp;t_efo=search_pure_goods_card&amp;t_ef=goods_search&amp;t_sm=&amp;t_spt=search_result</t>
  </si>
  <si>
    <t>Ambil dari Delta 1</t>
  </si>
  <si>
    <t>Tempat sampah Kecil</t>
  </si>
  <si>
    <t>https://tk.tokopedia.com/ZSAadnVkK/</t>
  </si>
  <si>
    <t>https://tk.tokopedia.com/ZSAaR1TQW/</t>
  </si>
  <si>
    <t>https://tk.tokopedia.com/ZSApgnuQr/</t>
  </si>
  <si>
    <t>Tempat sampah Sedang</t>
  </si>
  <si>
    <t>https://tk.tokopedia.com/ZSApbJAQB/</t>
  </si>
  <si>
    <t>https://tk.tokopedia.com/ZSApqK96f/</t>
  </si>
  <si>
    <t>&gt;60 Liter</t>
  </si>
  <si>
    <t>Tempat sampah area</t>
  </si>
  <si>
    <t>SURVEILANCE</t>
  </si>
  <si>
    <t>Magnetic Door</t>
  </si>
  <si>
    <t>Rp650.000</t>
  </si>
  <si>
    <t>https://www.tokopedia.com/buditronik/m-loock-solution-magnetic-door-sliding-door-full-set?extParam=ivf%3Dfalse%26keyword%3Dmagnetic+door%26search_id%3D2025082604491637BC2F75BF1BCF296A71%26src%3Dsearch&amp;t_id=1756183763009&amp;t_st=1&amp;t_pp=search_result&amp;t_efo=search_pure_goods_card&amp;t_ef=goods_search&amp;t_sm=&amp;t_spt=search_result</t>
  </si>
  <si>
    <t>Rp925.252</t>
  </si>
  <si>
    <t>https://www.tokopedia.com/dur-elektronik/solution-magnetic-door-model-em-600?extParam=ivf%3Dfalse%26keyword%3Dmagnetic+door%26search_id%3D2025082604491637BC2F75BF1BCF296A71%26src%3Dsearch&amp;t_id=1756183763009&amp;t_st=2&amp;t_pp=search_result&amp;t_efo=search_pure_goods_card&amp;t_ef=goods_search&amp;t_sm=&amp;t_spt=search_result</t>
  </si>
  <si>
    <t>Rp880.000</t>
  </si>
  <si>
    <t>https://www.tokopedia.com/data-online-system/solution-magnetic-door?extParam=ivf%3Dfalse%26keyword%3Dmagnetic+door%26search_id%3D2025082604491637BC2F75BF1BCF296A71%26src%3Dsearch&amp;t_id=1756183763009&amp;t_st=3&amp;t_pp=search_result&amp;t_efo=search_pure_goods_card&amp;t_ef=goods_search&amp;t_sm=&amp;t_spt=search_result</t>
  </si>
  <si>
    <t>Automatic Door Closer</t>
  </si>
  <si>
    <t>Rp81,700</t>
  </si>
  <si>
    <t>https://tk.tokopedia.com/ZSAaNML5S/</t>
  </si>
  <si>
    <t>Rp85,498</t>
  </si>
  <si>
    <t>https://tk.tokopedia.com/ZSAaNjCDk/</t>
  </si>
  <si>
    <t>Rp120,650</t>
  </si>
  <si>
    <t>https://tk.tokopedia.com/ZSAaNY2us/</t>
  </si>
  <si>
    <t>Akses Door</t>
  </si>
  <si>
    <t>Rp559.000</t>
  </si>
  <si>
    <t>https://tk.tokopedia.com/ZSAfB18Jv/</t>
  </si>
  <si>
    <t>Rp2.132.000</t>
  </si>
  <si>
    <t>Putra Teknologi Mandiri</t>
  </si>
  <si>
    <t>Instalasi Door Akses</t>
  </si>
  <si>
    <t>https://tk.tokopedia.com/ZSAfBBaCj/</t>
  </si>
  <si>
    <t>Rp0</t>
  </si>
  <si>
    <t>Include Putra Teknologi Mandiri</t>
  </si>
  <si>
    <t>Monitor CCTV</t>
  </si>
  <si>
    <t>Rp2.397.000</t>
  </si>
  <si>
    <t>Rp2.339.900</t>
  </si>
  <si>
    <t>Rp2.519.000</t>
  </si>
  <si>
    <t>TV HDMI 40"</t>
  </si>
  <si>
    <t>CCTV 12 titik</t>
  </si>
  <si>
    <t>Rp10.750.000</t>
  </si>
  <si>
    <t>https://tk.tokopedia.com/ZSAfBQaxd/</t>
  </si>
  <si>
    <t>Rp39.594.599</t>
  </si>
  <si>
    <t>Cendana Teknik</t>
  </si>
  <si>
    <t>Rp11.523.000</t>
  </si>
  <si>
    <t>https://www.tokopedia.com/cctvcom10/paket-cctv-hikvision-5mp-8-channel-8-camera-turbo-hd-kamera-cctv-infrared-1730179095987193151?extParam=ivf%3Dfalse%26keyword%3Dcctv+krisbow%26search_id%3D2025082606201611B9842E0A271F284857%26src%3Dsearch</t>
  </si>
  <si>
    <t>Instalasi CCTV</t>
  </si>
  <si>
    <t>Include Cendana Teknik</t>
  </si>
  <si>
    <t>LISTRIK OFFICE</t>
  </si>
  <si>
    <t>Kabel TC 6</t>
  </si>
  <si>
    <t>https://tk.tokopedia.com/ZSAaLexsA/</t>
  </si>
  <si>
    <t>https://tk.tokopedia.com/ZSAa8t6f3/</t>
  </si>
  <si>
    <t>https://tk.tokopedia.com/ZSAa8ga7X/</t>
  </si>
  <si>
    <t>https://tk.tokopedia.com/ZSA61PyUP/</t>
  </si>
  <si>
    <t>https://tk.tokopedia.com/ZSA61PP7k/</t>
  </si>
  <si>
    <t>https://tk.tokopedia.com/ZSA61kbCf/</t>
  </si>
  <si>
    <t>32 - 55 inch</t>
  </si>
  <si>
    <t>Kabel HDMI 2.0 3 Meter</t>
  </si>
  <si>
    <t>https://tk.tokopedia.com/ZSAa87kx9/</t>
  </si>
  <si>
    <t>https://tk.tokopedia.com/ZSAa8gfLx/</t>
  </si>
  <si>
    <t>https://tk.tokopedia.com/ZSAaLLwjx/</t>
  </si>
  <si>
    <t>Vention, Ugreen, Bafo</t>
  </si>
  <si>
    <t>Bracket Dinding TV</t>
  </si>
  <si>
    <t>https://tk.tokopedia.com/ZSAaLAgoE/</t>
  </si>
  <si>
    <t>https://tk.tokopedia.com/ZSAaLBEbE/</t>
  </si>
  <si>
    <t>https://tk.tokopedia.com/ZSAaLaJfx/</t>
  </si>
  <si>
    <t>42"</t>
  </si>
  <si>
    <t>Locker Besi 12 Pintu</t>
  </si>
  <si>
    <t>https://www.ruparupa.com/p/informa-kiev-loker-12-pintu-cokelat-muda.html?itm_source=search&amp;itm_campaign=direct_search&amp;itm_term=loker-besi-12-pintu-%26-10507509&amp;itm_device=desktop&amp;queryId=b0164af4e6ca5e2197c284e491c63c8b&amp;sid=ryC4CZkBeHn2cx7nL1Z4</t>
  </si>
  <si>
    <t>https://tk.tokopedia.com/ZSAaL2t8T/</t>
  </si>
  <si>
    <t>https://tk.tokopedia.com/ZSAaLUSho/</t>
  </si>
  <si>
    <t>Stekker Arde Broco</t>
  </si>
  <si>
    <t>https://tk.tokopedia.com/ZSAaLF5Yp/</t>
  </si>
  <si>
    <t>https://tk.tokopedia.com/ZSAaLBW9G/</t>
  </si>
  <si>
    <t>https://tk.tokopedia.com/ZSAaLT4sM/</t>
  </si>
  <si>
    <t>Stekker T Broco</t>
  </si>
  <si>
    <t>https://tk.tokopedia.com/ZSAaLGWe2/</t>
  </si>
  <si>
    <t>https://tk.tokopedia.com/ZSAaL3VFp/</t>
  </si>
  <si>
    <t>https://tk.tokopedia.com/ZSAaLWPy2/</t>
  </si>
  <si>
    <t>Colokan 5 Lubang</t>
  </si>
  <si>
    <t>https://tk.tokopedia.com/ZSAaLVDxW/</t>
  </si>
  <si>
    <t>https://tk.tokopedia.com/ZSAaLs52k/</t>
  </si>
  <si>
    <t>https://tk.tokopedia.com/ZSAaLcrTe/</t>
  </si>
  <si>
    <t>Lampu LED Philips</t>
  </si>
  <si>
    <t>https://tk.tokopedia.com/ZSAMc7KB6/</t>
  </si>
  <si>
    <t>https://tk.tokopedia.com/ZSAM3M9Qs/</t>
  </si>
  <si>
    <t>10 Watt</t>
  </si>
  <si>
    <t>Sertifikasi Instalasi Listrik</t>
  </si>
  <si>
    <t>Pc</t>
  </si>
  <si>
    <t>CV IAM HERE INSPIRATION</t>
  </si>
  <si>
    <t>On Process</t>
  </si>
  <si>
    <t>APAR</t>
  </si>
  <si>
    <t>Sertifikasi APAR</t>
  </si>
  <si>
    <t>PT GLOBAL MITRA PROTEKSINDO (Include)</t>
  </si>
  <si>
    <t>APAR 9 KG</t>
  </si>
  <si>
    <t>PT Sinar Proteksindo Optimal</t>
  </si>
  <si>
    <t>PT GLOBAL MITRA PROTEKSINDO</t>
  </si>
  <si>
    <t>Delivered</t>
  </si>
  <si>
    <t>APAR 6 KG</t>
  </si>
  <si>
    <t>PANTRY &amp; CONSUMABLE</t>
  </si>
  <si>
    <t>Cangkir Kaca (1 Lusin)</t>
  </si>
  <si>
    <t>Lusin</t>
  </si>
  <si>
    <t>https://tk.tokopedia.com/ZSA6SsrXB/</t>
  </si>
  <si>
    <t>https://tk.tokopedia.com/ZSA6A9ax8/</t>
  </si>
  <si>
    <t>Rp100.610</t>
  </si>
  <si>
    <t>https://www.tokopedia.com/gelas5saudara/1-set-6-pcs-maxim-gelas-mug-beer-gelas-mug-tempered-glass-mug-kaca-mug?extParam=ivf%3Dfalse%26keyword%3Dcangkir+kaca%26search_id%3D20250826045158577BCC914F9E55064Q56%26src%3Dsearch&amp;t_id=1756183763009&amp;t_st=4&amp;t_pp=search_result&amp;t_efo=search_pure_goods_card&amp;t_ef=goods_search&amp;t_sm=&amp;t_spt=search_result</t>
  </si>
  <si>
    <t>Sendok Garpu (1 Lusin)</t>
  </si>
  <si>
    <t>https://tk.tokopedia.com/ZSAaRMQfd/</t>
  </si>
  <si>
    <t>https://tk.tokopedia.com/ZSAaRrQQ4/</t>
  </si>
  <si>
    <t>https://tk.tokopedia.com/ZSAaRmMUk/</t>
  </si>
  <si>
    <t>Piring makan</t>
  </si>
  <si>
    <t>https://tk.tokopedia.com/ZSAaRXeVU/</t>
  </si>
  <si>
    <t>https://tk.tokopedia.com/ZSAaRm4du/</t>
  </si>
  <si>
    <t>https://tk.tokopedia.com/ZSAaRhd1c/</t>
  </si>
  <si>
    <t>Dispenser Otomatis</t>
  </si>
  <si>
    <t>Rp1.799.000</t>
  </si>
  <si>
    <t>https://www.tokopedia.com/satu-elektronik/philips-add4948-dispenser-galon-bawah-add-4948-add4948-hitam?extParam=ivf%3Dfalse%26keyword%3Ddispenser%26search_id%3D2025082602463437BC2F75BF1BCF3ABPCO%26src%3Dsearch&amp;t_id=1756176155674&amp;t_st=7&amp;t_pp=search_result&amp;t_efo=search_pure_goods_card&amp;t_ef=goods_search&amp;t_sm=&amp;t_spt=search_result</t>
  </si>
  <si>
    <t>https://tk.tokopedia.com/ZSA6S6rdG/</t>
  </si>
  <si>
    <t>Rp1.489.000</t>
  </si>
  <si>
    <t>https://www.tokopedia.com/mideaofficial/midea-dispenser-air-galon-bawah-yd-1634w-bottom-loading?extParam=ivf%3Dfalse%26keyword%3Ddispenser%26search_id%3D2025082602463437BC2F75BF1BCF3ABPCO%26src%3Dsearch&amp;t_id=1756176155674&amp;t_st=11&amp;t_pp=search_result&amp;t_efo=search_pure_goods_card&amp;t_ef=goods_search&amp;t_sm=&amp;t_spt=search_result</t>
  </si>
  <si>
    <t>Nampan minuman</t>
  </si>
  <si>
    <t>https://tk.tokopedia.com/ZSAaRQM4V/</t>
  </si>
  <si>
    <t>https://tk.tokopedia.com/ZSAaRkUCT/</t>
  </si>
  <si>
    <t>https://tk.tokopedia.com/ZSAaRQDfq/</t>
  </si>
  <si>
    <t>Kulkas (if necessary)</t>
  </si>
  <si>
    <t>https://tk.tokopedia.com/ZSAaRgUwP/</t>
  </si>
  <si>
    <t>https://tk.tokopedia.com/ZSAaRsQ7T/</t>
  </si>
  <si>
    <t>https://tk.tokopedia.com/ZSAaRtKjs/</t>
  </si>
  <si>
    <t>Rak peralatan</t>
  </si>
  <si>
    <t>https://tk.tokopedia.com/ZSAaRo7qy/</t>
  </si>
  <si>
    <t>https://tk.tokopedia.com/ZSAaRcDPk/</t>
  </si>
  <si>
    <t>Dispenser Lapangan</t>
  </si>
  <si>
    <t>CLEANING &amp; SANITARY</t>
  </si>
  <si>
    <t>Sapu Produksi</t>
  </si>
  <si>
    <t>Rp25.475</t>
  </si>
  <si>
    <t>https://www.tokopedia.com/pamosroom-living/pamosroom-dragon-sapu-ijuk-besar-sapu-lantai-rumah-sapu-kipas-besar-1731349345081132181?extParam=ivf%3Dfalse%26keyword%3Dsapu%26search_id%3D2025081109544206EB61B839A0CE048EN8%26src%3Dsearch&amp;t_id=1754906032843&amp;t_st=1&amp;t_pp=search_result&amp;t_efo=search_pure_goods_card&amp;t_ef=goods_search&amp;t_sm=&amp;t_spt=search_result</t>
  </si>
  <si>
    <t>Rp8.075</t>
  </si>
  <si>
    <t>https://www.tokopedia.com/ghrcolection/sapu-lantai-ijuk-dengan-gagang-panjang-tidak-mudah-patah-1729557113027659814?extParam=ivf%3Dfalse%26keyword%3Dsapu%26search_id%3D2025081109544206EB61B839A0CE048EN8%26src%3Dsearch&amp;t_id=1754906195226&amp;t_st=1&amp;t_pp=search_result&amp;t_efo=search_pure_goods_card&amp;t_ef=goods_search&amp;t_sm=&amp;t_spt=search_result</t>
  </si>
  <si>
    <t>Rp9.499</t>
  </si>
  <si>
    <t>https://www.tokopedia.com/anova-indonesia/broom-sapu-ijuk-hitam-dragon-plus-gagang-kumbo-standar-733a5?extParam=ivf%3Dfalse%26keyword%3Dsapu%26search_id%3D2025081109544206EB61B839A0CE048EN8%26src%3Dsearch&amp;t_id=1754906251638&amp;t_st=1&amp;t_pp=search_result&amp;t_efo=search_pure_goods_card&amp;t_ef=goods_search&amp;t_sm=&amp;t_spt=search_result</t>
  </si>
  <si>
    <t>Pel Produksi</t>
  </si>
  <si>
    <t>Rp21.375</t>
  </si>
  <si>
    <t>https://www.tokopedia.com/athirashop-1/pelan-pel-lantai-dragon-ukuran-besar-18-cm-original-include-gagang?extParam=ivf%3Dfalse%26keyword%3Dpel%26search_id%3D2025081109591737BC2F75BF1BCF2D4QS5%26src%3Dsearch&amp;t_id=1754906251638&amp;t_st=2&amp;t_pp=search_result&amp;t_efo=search_pure_goods_card&amp;t_ef=goods_search&amp;t_sm=&amp;t_spt=search_result</t>
  </si>
  <si>
    <t>Rp23.132</t>
  </si>
  <si>
    <t>https://www.tokopedia.com/8jayahengky/pel-nagoya-pel-lantai-lebar-pel-kain-pel-pembersih-mop-lantai-1731421579575658230?extParam=ivf%3Dfalse%26keyword%3Dpel%26search_id%3D2025081109591737BC2F75BF1BCF2D4QS5%26src%3Dsearch&amp;t_id=1754906251638&amp;t_st=3&amp;t_pp=search_result&amp;t_efo=search_pure_goods_card&amp;t_ef=goods_search&amp;t_sm=&amp;t_spt=search_result</t>
  </si>
  <si>
    <t>Rp20.900</t>
  </si>
  <si>
    <t>https://www.tokopedia.com/felisacollection24/nagoya-pel-lantai-medium-702-alat-pel-lantai-kuat-dan-berkualitas-gagang-panjang?extParam=ivf%3Dfalse%26keyword%3Dpel%26search_id%3D2025081109591737BC2F75BF1BCF2D4QS5%26src%3Dsearch&amp;t_id=1754906251638&amp;t_st=4&amp;t_pp=search_result&amp;t_efo=search_pure_goods_card&amp;t_ef=goods_search&amp;t_sm=&amp;t_spt=search_result</t>
  </si>
  <si>
    <t>Ember Cat</t>
  </si>
  <si>
    <t>Rp11.875</t>
  </si>
  <si>
    <t>https://www.tokopedia.com/syulthon/ember-bekas-cat-ember-plastik-pot-tanaman-tempat-sampah-tong-air?extParam=ivf%3Dfalse%26keyword%3Dember+cat%26search_id%3D202508111001335B8ADD2A5D98B1028XNH%26src%3Dsearch</t>
  </si>
  <si>
    <t>Rp19.000</t>
  </si>
  <si>
    <t>https://www.tokopedia.com/arsenmart-1/ember-cat-25kg-non-tutup-pail-plastik?extParam=ivf%3Dfalse%26keyword%3Dember+cat%26search_id%3D202508111001335B8ADD2A5D98B1028XNH%26src%3Dsearch</t>
  </si>
  <si>
    <t>Rp22.800</t>
  </si>
  <si>
    <t>https://www.tokopedia.com/arsenmart-1/ember-cat-25-kg-putih-polos-lengkap-tutup?extParam=ivf%3Dfalse%26keyword%3Dember+cat%26search_id%3D202508111001335B8ADD2A5D98B1028XNH%26src%3Dsearch</t>
  </si>
  <si>
    <t>Sapu Kantor</t>
  </si>
  <si>
    <t>Pel Kantor</t>
  </si>
  <si>
    <t>Rinso</t>
  </si>
  <si>
    <t>Dus</t>
  </si>
  <si>
    <t>Rp97.676</t>
  </si>
  <si>
    <t>https://shopee.co.id/RINSO-BUBUK-40-GR-(126-PCS)-DUS-i.336396557.26955833416</t>
  </si>
  <si>
    <t>Liquid Pel</t>
  </si>
  <si>
    <t>Liter</t>
  </si>
  <si>
    <t>Rp45.000</t>
  </si>
  <si>
    <t>https://shopee.co.id/Karbol-Wangi-Sereh-(Pembersih-Lantai-dan-Kamar-Mandi)-5-LITER-Jerigen-i.1053187645.21896322729?xptdk=37b3de05-6993-455c-b678-ac739f22f111</t>
  </si>
  <si>
    <t>Liquid Cuci Tangan</t>
  </si>
  <si>
    <t>Rp41.250</t>
  </si>
  <si>
    <t>https://shopee.co.id/CLEAN-CLEAN-Sabun-Cuci-Tangan-Antiseptik-Antibacterial-Hand-Soap-5L-AROMA-DETTOL-i.1053187645.24164566389</t>
  </si>
  <si>
    <t>Kemoceng</t>
  </si>
  <si>
    <t>Rp18.900</t>
  </si>
  <si>
    <t>https://shopee.co.id/Kemoceng-Teleskopik-2.8-Meter-Microfiber-Magnet-Debu-Bisa-Tekuk-Adjustable-Alat-Pembersih-Rumah-i.1405216909.26630563257?xptdk=d66c4291-cd92-4416-95a3-eb801859c3b8</t>
  </si>
  <si>
    <t>Lap Kaca</t>
  </si>
  <si>
    <t>Rp10.000</t>
  </si>
  <si>
    <t>https://shopee.co.id/PREMIUM-Microfiber-Kain-Lap-Multifungsi-Serbaguna-611-GSM-30-x-30-cm-i.192635131.20994736339?xptdk=c48075e0-9579-4c6e-8020-67249c682543</t>
  </si>
  <si>
    <t>Liquid Pembersih Kaca</t>
  </si>
  <si>
    <t>Rp26.555</t>
  </si>
  <si>
    <t>https://shopee.co.id/Glass-Cleaner-Pembersih-Kaca-i.19073520.262539389?xptdk=47df84c1-bdc7-4feb-9828-5f5a601dc6fc</t>
  </si>
  <si>
    <t>AREA LUAR &amp; POS SECURITY</t>
  </si>
  <si>
    <t>Asbak Standing</t>
  </si>
  <si>
    <t>https://tk.tokopedia.com/ZSAa8SGRu/</t>
  </si>
  <si>
    <t>https://tk.tokopedia.com/ZSAa8jg8n/</t>
  </si>
  <si>
    <t>https://tk.tokopedia.com/ZSAa8H9oc/</t>
  </si>
  <si>
    <t>Kipas Angin Industri</t>
  </si>
  <si>
    <t>https://tk.tokopedia.com/ZSAGr1SfY/</t>
  </si>
  <si>
    <t>https://tk.tokopedia.com/ZSAGrpUWa/</t>
  </si>
  <si>
    <t>https://tk.tokopedia.com/ZSAGhnqMJ/</t>
  </si>
  <si>
    <t>Lapangan</t>
  </si>
  <si>
    <t>Bendera Merah Putih</t>
  </si>
  <si>
    <t>Rp23.900</t>
  </si>
  <si>
    <t>https://www.tokopedia.com/topping-bag-shop/bendera-merah-putih-80-x-120-bahan-katun-asli-100-ukuran-real-bendera-merah-putih-bahan-katun-1731603471061320833?extParam=ivf%3Dfalse%26keyword%3Dbendera%26search_id%3D2025082601391737BC2F75BF1BCF136OBS%26src%3Dsearch&amp;t_id=1756172367635&amp;t_st=1&amp;t_pp=search_result&amp;t_efo=search_pure_goods_card&amp;t_ef=goods_search&amp;t_sm=&amp;t_spt=search_result</t>
  </si>
  <si>
    <t>Rp44.100</t>
  </si>
  <si>
    <t>https://www.tokopedia.com/kheyra-colection-15/bendera-merah-putih-150x200cm-merah-1729624981151124431?extParam=ivf%3Dfalse%26keyword%3Dbendera%26search_id%3D2025082601391737BC2F75BF1BCF136OBS%26src%3Dsearch&amp;t_id=1756172367635&amp;t_st=2&amp;t_pp=search_result&amp;t_efo=search_pure_goods_card&amp;t_ef=goods_search&amp;t_sm=&amp;t_spt=search_result</t>
  </si>
  <si>
    <t>Rp28.900</t>
  </si>
  <si>
    <t>https://www.tokopedia.com/jashujansuroboyo/termurah-bendera-merah-putih-katun-tebal-80-x-120?extParam=ivf%3Dfalse%26keyword%3Dbendera%26search_id%3D2025082601391737BC2F75BF1BCF136OBS%26src%3Dsearch&amp;t_id=1756172367635&amp;t_st=3&amp;t_pp=search_result&amp;t_efo=search_pure_goods_card&amp;t_ef=goods_search&amp;t_sm=&amp;t_spt=search_result</t>
  </si>
  <si>
    <t>Bendera K3</t>
  </si>
  <si>
    <t>https://www.tokopedia.com/jashujansuroboyo/bendera-k3-kesehatan-keselamatan-dan-kerja-90-x-120-k-k-k-k-3-f7297?extParam=ivf%3Dfalse%26keyword%3Dbendera+k3%26search_id%3D2025082601422711B9842E0A271F02065F%26src%3Dsearch&amp;t_id=1756172367635&amp;t_st=4&amp;t_pp=search_result&amp;t_efo=search_pure_goods_card&amp;t_ef=goods_search&amp;t_sm=&amp;t_spt=search_result</t>
  </si>
  <si>
    <t>Rp24.990</t>
  </si>
  <si>
    <t>https://www.tokopedia.com/kakascout/bendera-k3-90x120-cm?extParam=ivf%3Dfalse%26keyword%3Dbendera+k3%26search_id%3D2025082601422711B9842E0A271F02065F%26src%3Dsearch&amp;t_id=1756172367635&amp;t_st=5&amp;t_pp=search_result&amp;t_efo=search_pure_goods_card&amp;t_ef=goods_search&amp;t_sm=&amp;t_spt=search_result</t>
  </si>
  <si>
    <t>Rp30.000</t>
  </si>
  <si>
    <t>https://www.tokopedia.com/tkcahaya-utama-adv/cahaya-olshop-bendera-k3-standar-depnaker-bahan-satin-asahi-90x135cm-utamakan-keselamatan-dan-kesehatan-kerja-1731612670626727344?extParam=ivf%3Dfalse%26keyword%3Dbendera+k3%26search_id%3D2025082601422711B9842E0A271F02065F%26src%3Dsearch&amp;t_id=1756172367635&amp;t_st=6&amp;t_pp=search_result&amp;t_efo=search_pure_goods_card&amp;t_ef=goods_search&amp;t_sm=&amp;t_spt=search_result</t>
  </si>
  <si>
    <t>PEST Control</t>
  </si>
  <si>
    <t>Rp1.250.000</t>
  </si>
  <si>
    <t>Proton</t>
  </si>
  <si>
    <t>Meja Makan Karyawan</t>
  </si>
  <si>
    <t>Rp1.299.000</t>
  </si>
  <si>
    <t>https://www.ruparupa.com/p/zoe-set-meja-dan-kursi-makan-1-meja-dan-4-kursi.html?itm_source=search&amp;itm_campaign=direct_search&amp;itm_term=meja-makan-%26-10061281&amp;itm_device=desktop&amp;queryId=217487d5e7b512dbf8843573e1b11234&amp;sid=m4dm5JgBSC0oiPerg6dT</t>
  </si>
  <si>
    <t>Rp1.300.000</t>
  </si>
  <si>
    <t>https://tk.tokopedia.com/ZSAfhEg5o/</t>
  </si>
  <si>
    <t>https://tk.tokopedia.com/ZSAfk84B9/</t>
  </si>
  <si>
    <t>Meja sudah include 4 kursi</t>
  </si>
  <si>
    <t>Kursi Makan Karyawan (bisa pakai kursi bakso)</t>
  </si>
  <si>
    <t>Rp23.300</t>
  </si>
  <si>
    <t>https://www.tokopedia.com/ngobral/kursi-bakso-rotan-kursi-bakso-tikar-plastik-bangku-anyam-tinggi-coklat-coklat?extParam=ivf%3Dfalse%26keyword%3Dkursi+bakso%26search_id%3D202508260144204734BA6F3DE83D1A4MYS%26src%3Dsearch&amp;t_id=1756172367635&amp;t_st=7&amp;t_pp=search_result&amp;t_efo=search_pure_goods_card&amp;t_ef=goods_search&amp;t_sm=&amp;t_spt=search_result</t>
  </si>
  <si>
    <t>Rp69.900</t>
  </si>
  <si>
    <t>https://www.tokopedia.com/salsaashop-1/kursi-bakso-kursi-baso-kursi-kafe-kursi-cafe-besi-kayu-t-50-cm?extParam=ivf%3Dfalse%26keyword%3Dkursi+bakso%26search_id%3D202508260144204734BA6F3DE83D1A4MYS%26src%3Dsearch&amp;t_id=1756172367635&amp;t_st=8&amp;t_pp=search_result&amp;t_efo=search_pure_goods_card&amp;t_ef=goods_search&amp;t_sm=&amp;t_spt=search_result</t>
  </si>
  <si>
    <t>Rp30.975</t>
  </si>
  <si>
    <t>https://www.tokopedia.com/tokopantes/kursi-tinggi-bakso-warna-dx-gmp-coklat-random?extParam=ivf%3Dfalse%26keyword%3Dkursi+bakso%26search_id%3D202508260144204734BA6F3DE83D1A4MYS%26src%3Dsearch&amp;t_id=1756172367635&amp;t_st=11&amp;t_pp=search_result&amp;t_efo=search_pure_goods_card&amp;t_ef=goods_search&amp;t_sm=&amp;t_spt=search_result</t>
  </si>
  <si>
    <t>Kipas Angin Meja</t>
  </si>
  <si>
    <t>https://tk.tokopedia.com/ZSAGAHP9a/</t>
  </si>
  <si>
    <t>https://tk.tokopedia.com/ZSAGAKfYT/</t>
  </si>
  <si>
    <t>https://tk.tokopedia.com/ZSAGD8qDj/</t>
  </si>
  <si>
    <t>Security</t>
  </si>
  <si>
    <t>Type</t>
  </si>
  <si>
    <t>Kondisi</t>
  </si>
  <si>
    <t>Tanggal Keluar</t>
  </si>
  <si>
    <t>Dokumen Surat Keluar</t>
  </si>
  <si>
    <t>Dokumen di upload pada folder berikut
Dokumen Surat Keluar - Tools Akinawa</t>
  </si>
  <si>
    <t xml:space="preserve">ARBOR BT 50						</t>
  </si>
  <si>
    <t>Arbor Angle Head</t>
  </si>
  <si>
    <t>PCS</t>
  </si>
  <si>
    <t>Belum terpakai</t>
  </si>
  <si>
    <t>Arbor L400 Shank 48</t>
  </si>
  <si>
    <t>Ok</t>
  </si>
  <si>
    <t>Arbor L350 Shank 48</t>
  </si>
  <si>
    <t>Arbor L200 Shank 48</t>
  </si>
  <si>
    <t>Arbor Facemill 200</t>
  </si>
  <si>
    <t>Arbor Drill Tapper</t>
  </si>
  <si>
    <t>Arbor L70 Shank 72</t>
  </si>
  <si>
    <t>Arbor L100 Shank 34</t>
  </si>
  <si>
    <t>Arbor L80 Shank 48</t>
  </si>
  <si>
    <t>Arbor L100 Shank 35</t>
  </si>
  <si>
    <t>Arbor L100 Shank 44</t>
  </si>
  <si>
    <t>Arbor L100 Shank 42</t>
  </si>
  <si>
    <t>Arbor booring head extension</t>
  </si>
  <si>
    <t>Arbor L50</t>
  </si>
  <si>
    <t>Arbor Type C L80</t>
  </si>
  <si>
    <t>Arbor L80 Clamp U Drill</t>
  </si>
  <si>
    <t>Arbor Setter</t>
  </si>
  <si>
    <t>Arbor Type C L 150</t>
  </si>
  <si>
    <t>Booring Head</t>
  </si>
  <si>
    <t>Arbor L200 Shank 58</t>
  </si>
  <si>
    <t>Arbor L15 Shank 50</t>
  </si>
  <si>
    <t>Rusak sejak tiba / Tidak terpakai</t>
  </si>
  <si>
    <t>Arbor L 50 Shank 40</t>
  </si>
  <si>
    <t>Arbor L 100 Clamp U Drill</t>
  </si>
  <si>
    <t>Arbor L 80 Shank 80</t>
  </si>
  <si>
    <t>Tidak Terpakai</t>
  </si>
  <si>
    <t>Arbor L 100 Shank 80</t>
  </si>
  <si>
    <t>Arbor L 300 Shank 80</t>
  </si>
  <si>
    <t>Arbor L 300 Shank 58</t>
  </si>
  <si>
    <t>Arbor Extention boring head shank 69</t>
  </si>
  <si>
    <t>Arbor Facemill 100</t>
  </si>
  <si>
    <t>Arbor Chuk Drill</t>
  </si>
  <si>
    <t>Arbor Rusak</t>
  </si>
  <si>
    <t>Arbor L50 ER Collet</t>
  </si>
  <si>
    <t>Arbor L50 Shank 48</t>
  </si>
  <si>
    <t>Arbor Type C L 50</t>
  </si>
  <si>
    <t>Arbor ER 40</t>
  </si>
  <si>
    <t xml:space="preserve">ARBOR BT 40						</t>
  </si>
  <si>
    <t>Arbor Rusak / Tidak Terpakai dari pertama datang Qty 23 Pcs</t>
  </si>
  <si>
    <t>Arbor BT 30 / Milling Manual 4 Pcs</t>
  </si>
  <si>
    <t>Arbor L 100 Shank 34</t>
  </si>
  <si>
    <t>OK</t>
  </si>
  <si>
    <t>Arbor L100 Shank 50</t>
  </si>
  <si>
    <t>Arbor Chuck Drill</t>
  </si>
  <si>
    <t>Arbor L130 Shank 48</t>
  </si>
  <si>
    <t>Arbor Type C</t>
  </si>
  <si>
    <t xml:space="preserve">ALAT BANTU						</t>
  </si>
  <si>
    <t>Ragum Vise Hidrolik</t>
  </si>
  <si>
    <t>Rotary Table</t>
  </si>
  <si>
    <t>Belum Dipakai</t>
  </si>
  <si>
    <t>Ragum manual kotak</t>
  </si>
  <si>
    <t>Tidak terpakai</t>
  </si>
  <si>
    <t>Ragum Bulat</t>
  </si>
  <si>
    <t>Dongkrak Hijau</t>
  </si>
  <si>
    <t>Kepala Takel / Crane</t>
  </si>
  <si>
    <t>Adjuster</t>
  </si>
  <si>
    <t>Kepala Boring Head</t>
  </si>
  <si>
    <t>Kepala Facemill 80 Apmt</t>
  </si>
  <si>
    <t>Kepala Facemill 63 Apmt</t>
  </si>
  <si>
    <t>Kepala Facemill 50 Apmt</t>
  </si>
  <si>
    <t>Collet ER 40</t>
  </si>
  <si>
    <t>Collet ER 32</t>
  </si>
  <si>
    <t>Collet ER 25</t>
  </si>
  <si>
    <t>Collet ER 20</t>
  </si>
  <si>
    <t>Collet Baby</t>
  </si>
  <si>
    <t>Collet C</t>
  </si>
  <si>
    <t>Tail Stock Bubut manual</t>
  </si>
  <si>
    <t>Ragum Manual Meja</t>
  </si>
  <si>
    <t>Chuck Drill Bubut Manual</t>
  </si>
  <si>
    <t xml:space="preserve">DRILL						</t>
  </si>
  <si>
    <t>Drill Ø 49</t>
  </si>
  <si>
    <t>Ok (Tidak Terpakai)</t>
  </si>
  <si>
    <t>Drill Ø 31</t>
  </si>
  <si>
    <t>Drill Ø 40</t>
  </si>
  <si>
    <t>Drill Ø 43</t>
  </si>
  <si>
    <t>Drill Ø 30</t>
  </si>
  <si>
    <t>U-Drill Ø 48</t>
  </si>
  <si>
    <t>U-Drill Ø 47</t>
  </si>
  <si>
    <t>U-Drill Ø 36</t>
  </si>
  <si>
    <t>U-Drill Ø 50</t>
  </si>
  <si>
    <t>Chuck Drill Bubut manual</t>
  </si>
  <si>
    <t>Drill Extention</t>
  </si>
  <si>
    <t>Bushing CNC Bubut</t>
  </si>
  <si>
    <t>OTHERS</t>
  </si>
  <si>
    <t>Drill Extentension</t>
  </si>
  <si>
    <t>Facemill Ø 50-63-80 Moldino + APMT</t>
  </si>
  <si>
    <t>Rusak / Tidak Terpakai Sejak Datang</t>
  </si>
  <si>
    <t>Meja Troly Arbor</t>
  </si>
  <si>
    <t>2025-11-07_SJ MANUAL_AKINAWA_PENGAMBILAN BARANG.pdf</t>
  </si>
  <si>
    <t>Meja Ragum Manual</t>
  </si>
  <si>
    <t>Meja Open / Lock Arbor BT 40</t>
  </si>
  <si>
    <t>Kunci Ragum Manual</t>
  </si>
  <si>
    <t>Bucket Pindad</t>
  </si>
  <si>
    <t>Chuck Drill</t>
  </si>
  <si>
    <t>Boring Head</t>
  </si>
  <si>
    <t>Pull Stud Mazak</t>
  </si>
  <si>
    <t>Head Heimer</t>
  </si>
  <si>
    <t>Marking Angka</t>
  </si>
  <si>
    <t>Meja Open / Lock Arbor BT 50</t>
  </si>
  <si>
    <t>Box Tools</t>
  </si>
  <si>
    <t>Mata Bor</t>
  </si>
  <si>
    <t>Paket</t>
  </si>
  <si>
    <t>Holder 32</t>
  </si>
  <si>
    <t>Holder Chamfer</t>
  </si>
  <si>
    <t>Holder 25 APMT</t>
  </si>
  <si>
    <t>Holder 20 APMT</t>
  </si>
  <si>
    <t>Boring Head Kecil</t>
  </si>
  <si>
    <t>Holder 45</t>
  </si>
  <si>
    <t>Holder Nanas</t>
  </si>
  <si>
    <t>Holder T Slot 45</t>
  </si>
  <si>
    <t>U Drill 26</t>
  </si>
  <si>
    <t>U Drill 22</t>
  </si>
  <si>
    <t>Holder TNMG 25</t>
  </si>
  <si>
    <t>Holder DNMG 32</t>
  </si>
  <si>
    <t>Rak Susun</t>
  </si>
  <si>
    <t>MESIN</t>
  </si>
  <si>
    <t>Mesin Milling Manual</t>
  </si>
  <si>
    <t>Mesin Bubut Manual</t>
  </si>
  <si>
    <t>Mesin Okuma</t>
  </si>
  <si>
    <t>2025-11-10_SJ MANUAL_PT AKINAWA_PENGAMBILAN MESIN.pdf</t>
  </si>
  <si>
    <t>Mesin Doosan</t>
  </si>
  <si>
    <t>Mesin CNC YCM</t>
  </si>
  <si>
    <t>Mesin CNC Tongtai</t>
  </si>
  <si>
    <t>Mesin CNC Bubut Leadwey</t>
  </si>
  <si>
    <t>Mesin CNC Mazak</t>
  </si>
  <si>
    <t>2025-11-11_SJ MANUAL_AKINAWA MESIN MAZAK.pdf</t>
  </si>
  <si>
    <t>Mesin CNC Vtec</t>
  </si>
  <si>
    <t>2025-11-11_SJ MANUAL_AKINAWA MESIN VTEC.pdf</t>
  </si>
  <si>
    <t>PT Imajin Manufaktur Indonesia</t>
  </si>
  <si>
    <t>Biaya Tambahan Instalasi CCTV</t>
  </si>
  <si>
    <t>*Harga tidak termasuk ongkir</t>
  </si>
  <si>
    <t>Connector BNC</t>
  </si>
  <si>
    <t>Dibayarkan ke teknisi</t>
  </si>
  <si>
    <t>Volume (L)</t>
  </si>
  <si>
    <t>Supplier 1</t>
  </si>
  <si>
    <t>Supplier 2</t>
  </si>
  <si>
    <t>Connector DC</t>
  </si>
  <si>
    <t>https://tk.tokopedia.com/ZSUPneQQa/</t>
  </si>
  <si>
    <t>Power Supply 20A</t>
  </si>
  <si>
    <t>https://tk.tokopedia.com/ZSUPnrGT2/</t>
  </si>
  <si>
    <t>Isolasi</t>
  </si>
  <si>
    <t>GEA</t>
  </si>
  <si>
    <t>https://tk.tokopedia.com/ZSUPnLTne/</t>
  </si>
  <si>
    <t>https://tk.tokopedia.com/ZSUPWVoT2/</t>
  </si>
  <si>
    <t>Cable Ties</t>
  </si>
  <si>
    <t>https://tk.tokopedia.com/ZSUPnGATg/</t>
  </si>
  <si>
    <t>https://tk.tokopedia.com/ZSUP7jSSp/</t>
  </si>
  <si>
    <t>Doradus</t>
  </si>
  <si>
    <t>https://tk.tokopedia.com/ZSUPnv8VW/</t>
  </si>
  <si>
    <t>Kabel HDMI</t>
  </si>
  <si>
    <t>https://tk.tokopedia.com/ZSUPnW3YT/</t>
  </si>
  <si>
    <t>Biaya Tarikan Kabel</t>
  </si>
  <si>
    <t>RSA</t>
  </si>
  <si>
    <t>https://tk.tokopedia.com/ZSUPWtAJU/</t>
  </si>
  <si>
    <t>Kabel RG6</t>
  </si>
  <si>
    <t>https://tk.tokopedia.com/ZSUUK2r1S/</t>
  </si>
  <si>
    <t>Monitor Dahua 22 inch</t>
  </si>
  <si>
    <t>https://tk.tokopedia.com/ZSUUKRS77/</t>
  </si>
  <si>
    <t>Sewa Tangga</t>
  </si>
  <si>
    <t>Grand Total</t>
  </si>
  <si>
    <t>Catatan</t>
  </si>
  <si>
    <t>Disetujui Oleh</t>
  </si>
  <si>
    <t>Access Link Maintenance Report</t>
  </si>
  <si>
    <t>Maintenance Report</t>
  </si>
  <si>
    <t>Tanggal Maintenance</t>
  </si>
  <si>
    <t>Nomor Asset</t>
  </si>
  <si>
    <t>Nama Asset</t>
  </si>
  <si>
    <t>Identitas Asset</t>
  </si>
  <si>
    <t>Komponen Perbaikan</t>
  </si>
  <si>
    <t>Person in Charge</t>
  </si>
  <si>
    <t>Maintenance Fee</t>
  </si>
  <si>
    <t>FA322/IV/01</t>
  </si>
  <si>
    <t>Pembayaran pajak tahunan</t>
  </si>
  <si>
    <t>FA323/IV/02</t>
  </si>
  <si>
    <t>F 1310 FBM</t>
  </si>
  <si>
    <t>Mahmudin</t>
  </si>
  <si>
    <t>Perpanjangan asuransi</t>
  </si>
  <si>
    <t>Della</t>
  </si>
  <si>
    <t>FA073/IV/01</t>
  </si>
  <si>
    <t>F 82526 HS</t>
  </si>
  <si>
    <t>Perpanjangan izin KIR</t>
  </si>
  <si>
    <t>FA247/IV/02</t>
  </si>
  <si>
    <t>F 8298 MC</t>
  </si>
  <si>
    <t>Service Rutin Avanza Auto2000</t>
  </si>
  <si>
    <t>Ganti oli mesin, Filter Solar, Filter Oli</t>
  </si>
  <si>
    <t>Service radiator. perbaikan Bocor Ganti tutup atas + Ganti Air coolant</t>
  </si>
  <si>
    <t>Honda Vario 125 CC</t>
  </si>
  <si>
    <t>F 5469 FJD</t>
  </si>
  <si>
    <t>Vanbelt, Roller, Oli Mesin, CVT</t>
  </si>
  <si>
    <t>FA354/I/01</t>
  </si>
  <si>
    <t>Network</t>
  </si>
  <si>
    <t>F 8526 HS</t>
  </si>
  <si>
    <t>Busi, Oli Mesin, Filter Oli, Air Cleaner, Filter AC, Brake Fluid, Radiator Coolant + Flushing</t>
  </si>
  <si>
    <t>Ban</t>
  </si>
  <si>
    <t>FA073/IV/02</t>
  </si>
  <si>
    <t>AC</t>
  </si>
  <si>
    <t>Hendra</t>
  </si>
  <si>
    <t>FA116/III/01</t>
  </si>
  <si>
    <t>Maintenance &amp; repasta</t>
  </si>
  <si>
    <t xml:space="preserve">Mainboard </t>
  </si>
  <si>
    <t>FA398/III/01</t>
  </si>
  <si>
    <t>BIOS Password &amp; Instal Ulang</t>
  </si>
  <si>
    <t>FA066/III/01</t>
  </si>
  <si>
    <t>Instal Ulang Windows</t>
  </si>
  <si>
    <t>FA318/III/01</t>
  </si>
  <si>
    <t>Repasta dan Intal Ulang Windows</t>
  </si>
  <si>
    <t>FA118/III/02</t>
  </si>
  <si>
    <t>FA298/III/01</t>
  </si>
  <si>
    <t>Chendy Martika Jaya</t>
  </si>
  <si>
    <t>Joseline Olivia</t>
  </si>
  <si>
    <t>Stefanus Hodir</t>
  </si>
  <si>
    <t>Silmi Khoiriyah</t>
  </si>
  <si>
    <t>Rafida Afnan</t>
  </si>
  <si>
    <t>Rispandi Mandala Putra</t>
  </si>
  <si>
    <t>Corneleo Dimas Yulendra Wasisto</t>
  </si>
  <si>
    <t>Melisa Aprilia</t>
  </si>
  <si>
    <t>Rubi Anggoro</t>
  </si>
  <si>
    <t>Agus Rianto Harjono</t>
  </si>
  <si>
    <t>Gilbert Bagas Sadewo</t>
  </si>
  <si>
    <t>Hari Tri Mukti</t>
  </si>
  <si>
    <t>Arina Khujjatul Khaq</t>
  </si>
  <si>
    <t>Ranti Veronika Sidauruk</t>
  </si>
  <si>
    <t>Diki Darmawan</t>
  </si>
  <si>
    <t>Fattah Juliandoko</t>
  </si>
  <si>
    <t>Lanang Fajar Nugroho</t>
  </si>
  <si>
    <t>Lanang Fajar</t>
  </si>
  <si>
    <t>Muhamad Rino Rifa'i</t>
  </si>
  <si>
    <t>Atina Balqis Izza</t>
  </si>
  <si>
    <t>Khrisna Rizky Meilarani</t>
  </si>
  <si>
    <t>Gedeon Enggar Satrio</t>
  </si>
  <si>
    <t>Hendra Nur Solichin</t>
  </si>
  <si>
    <t>Tegar Terthio Putra</t>
  </si>
  <si>
    <t>Lut Fatul Amanah</t>
  </si>
  <si>
    <t>Adelia Putri Ariansyah</t>
  </si>
  <si>
    <t>Herfian Pradityo</t>
  </si>
  <si>
    <t>Yogie Alfath</t>
  </si>
  <si>
    <t>Muhamad Apriansyah Dimas Saputra</t>
  </si>
  <si>
    <t>Cokyat Christian</t>
  </si>
  <si>
    <t>Andi Aprian</t>
  </si>
  <si>
    <t>Andi</t>
  </si>
  <si>
    <t>Eka Puteri Shelayanti</t>
  </si>
  <si>
    <t>Gilang Rizki Ramadhan</t>
  </si>
  <si>
    <t>Siska Kusmayanti</t>
  </si>
  <si>
    <t>Daniella Vannesa Chrissant Putri</t>
  </si>
  <si>
    <t>Alvin Julianto Liaunardi</t>
  </si>
  <si>
    <t>Gabriella Magdalena</t>
  </si>
  <si>
    <t>Carissa Christybella</t>
  </si>
  <si>
    <t>Planning SO Asset 2024</t>
  </si>
  <si>
    <t>Activity</t>
  </si>
  <si>
    <t>Duration</t>
  </si>
  <si>
    <t>Start Date</t>
  </si>
  <si>
    <t>End Date</t>
  </si>
  <si>
    <t>Progress</t>
  </si>
  <si>
    <t>Lead</t>
  </si>
  <si>
    <t>Support</t>
  </si>
  <si>
    <t>Rino, Kevin, Della</t>
  </si>
  <si>
    <t>Retagging All Asset</t>
  </si>
  <si>
    <t>3 weeks</t>
  </si>
  <si>
    <t>28/10/2024</t>
  </si>
  <si>
    <t>15/11/2024</t>
  </si>
  <si>
    <t>Identified 263/269 Asset (BSD) 
Identified 136/142 Asset (Deltamas 1)
Identified 19/21 Asset (Deltamas 2)
Identified 16 assets not yet recorded</t>
  </si>
  <si>
    <t>6 tidak teridentifikasi karena tidak ditemukan barangnya. (BSD)
4 odd | 3 lost (dari so tahun kemarin) | 123 active (tagged &amp; identified) | 1 sold (2023) | 13 broken (deltamas 1)
 203 Done | 9 Broken | 19 Missing | 15 not identified | 21 belum di tag | 3</t>
  </si>
  <si>
    <t>Document Preparation</t>
  </si>
  <si>
    <t>1 day</t>
  </si>
  <si>
    <t>18/11/2024</t>
  </si>
  <si>
    <t>Done (19/11/2024)</t>
  </si>
  <si>
    <t>Team Briefing</t>
  </si>
  <si>
    <t>Done (20/11/2024)</t>
  </si>
  <si>
    <t>Dimas (BSD)
Rino (Deltamas)</t>
  </si>
  <si>
    <t>Rispandi (BSD)
Diki (Deltamas)</t>
  </si>
  <si>
    <t>Stock Opname Batch 1</t>
  </si>
  <si>
    <t>3 days</t>
  </si>
  <si>
    <t>19/11/2024</t>
  </si>
  <si>
    <t>21/11/2024</t>
  </si>
  <si>
    <t>Done</t>
  </si>
  <si>
    <t>Arina, Della (BSD)
Diki (Deltamas)</t>
  </si>
  <si>
    <t>Stock Opname Batch 2</t>
  </si>
  <si>
    <t>22/11/2024</t>
  </si>
  <si>
    <t>26/11/2024</t>
  </si>
  <si>
    <t>Rispandi, Agus RH (BSD)
Wahyu QC (Deltamas)</t>
  </si>
  <si>
    <t>Stock Opname Batch 3</t>
  </si>
  <si>
    <t>27/11/2024</t>
  </si>
  <si>
    <t>29/11/2024</t>
  </si>
  <si>
    <t>Buffer Stock Opname</t>
  </si>
  <si>
    <t>1 week</t>
  </si>
  <si>
    <t>In Progress</t>
  </si>
  <si>
    <t>Handover Inventory</t>
  </si>
  <si>
    <t>Compile Stock Opname Report</t>
  </si>
  <si>
    <t>2 days</t>
  </si>
  <si>
    <t>Report Stock Opname</t>
  </si>
  <si>
    <t>Arina, Della</t>
  </si>
  <si>
    <t>Reconciliation</t>
  </si>
  <si>
    <t>13/12/2024</t>
  </si>
  <si>
    <t>17/12/2024</t>
  </si>
  <si>
    <t>Meeting dg Purchasing &amp; Finance</t>
  </si>
  <si>
    <t>Final Report Stock Opname</t>
  </si>
  <si>
    <t>18/12/2024</t>
  </si>
  <si>
    <t>Planning SO Asset 2025</t>
  </si>
  <si>
    <t>Description</t>
  </si>
  <si>
    <t>Arina, Della, Rino</t>
  </si>
  <si>
    <t>Development of Stock Opname Platform</t>
  </si>
  <si>
    <t>10 Days</t>
  </si>
  <si>
    <t>13/10/2025</t>
  </si>
  <si>
    <t>28/10/2025</t>
  </si>
  <si>
    <t>Proses development platform asset management dengan fitur utama Stock Opname</t>
  </si>
  <si>
    <t>Data Optimalization on Stock Opname Platform</t>
  </si>
  <si>
    <t>5 Days</t>
  </si>
  <si>
    <t>20/10/2025</t>
  </si>
  <si>
    <t>Proses optimalisasi data dan upload seluruh asset yang telah tercatat dari awal pembelian hingga asset yang dibeli pada September 2025</t>
  </si>
  <si>
    <t>Arina, Della, Rino, Rispandi, Andi</t>
  </si>
  <si>
    <t>Presentation of new Asset Management Platform</t>
  </si>
  <si>
    <t>1 Day</t>
  </si>
  <si>
    <t>29/10/2025</t>
  </si>
  <si>
    <t>Briefing informasi proses SO</t>
  </si>
  <si>
    <t>Rino, Dimas, Rispandi, Andi</t>
  </si>
  <si>
    <t>Tag Checking &amp; Tagging New Asset</t>
  </si>
  <si>
    <t>Proses checking setiap asset yang sudah diberi tag pada SO sebelumnya dan tagging asset baru 2025 sampai bulan September</t>
  </si>
  <si>
    <t>Dimas (BSD)
Rino (Business Unit)</t>
  </si>
  <si>
    <t>Arina, Della, Rispandi, Andi</t>
  </si>
  <si>
    <t>Stock Opname</t>
  </si>
  <si>
    <t>14/11/2025</t>
  </si>
  <si>
    <t>Tagging New Asset</t>
  </si>
  <si>
    <t>3 Days</t>
  </si>
  <si>
    <t>Proses tagging asset yang dibeli pada bulan Oktober 2025</t>
  </si>
  <si>
    <t>Arina, Dimas, Rispandi, Rino, Andi</t>
  </si>
  <si>
    <t>Maintenance Process for 'Broken' Assets</t>
  </si>
  <si>
    <t>32 Days</t>
  </si>
  <si>
    <t>17/11/2025</t>
  </si>
  <si>
    <t>21/11/2025</t>
  </si>
  <si>
    <t>Arina, Rino</t>
  </si>
  <si>
    <t>24/11/2025</t>
  </si>
  <si>
    <t>28/11/2025</t>
  </si>
  <si>
    <t>Proses tagging asset yang dibeli pada bulan November 2025</t>
  </si>
  <si>
    <t>Finalization of Stock Opname</t>
  </si>
  <si>
    <t>2 Days</t>
  </si>
  <si>
    <t>22/12/2025</t>
  </si>
  <si>
    <t>STOCK OPNAME TIMELINE</t>
  </si>
  <si>
    <t>PHASE</t>
  </si>
  <si>
    <t>DETAILS</t>
  </si>
  <si>
    <t>October</t>
  </si>
  <si>
    <t>November</t>
  </si>
  <si>
    <t>December</t>
  </si>
  <si>
    <t>Development</t>
  </si>
  <si>
    <t>Development of Asset Management Platform</t>
  </si>
  <si>
    <t>Main Feature for Stock Opname</t>
  </si>
  <si>
    <t>Additional Feature</t>
  </si>
  <si>
    <t>S
O
C
O
M
P
L
E
T
E</t>
  </si>
  <si>
    <t>Optimalization of new Asset Management Platform</t>
  </si>
  <si>
    <t>Main data for Stock Opname</t>
  </si>
  <si>
    <t>Additional Data and New Data of Fixed Asset</t>
  </si>
  <si>
    <t>Administration</t>
  </si>
  <si>
    <t>Administrative Fullfilment</t>
  </si>
  <si>
    <t>Pull data from Supply Chain &amp; Crosscheck with Finance (Main Data)</t>
  </si>
  <si>
    <t>Pull data from Supply Chain &amp; Crosscheck with Finance (Additional Data &amp; New Assets)</t>
  </si>
  <si>
    <t>Tag Checking</t>
  </si>
  <si>
    <t>Dimas, Rino</t>
  </si>
  <si>
    <t>New Asset from Jan to Sep</t>
  </si>
  <si>
    <t>New Asset Oct</t>
  </si>
  <si>
    <t>SO Asset until Sep 25</t>
  </si>
  <si>
    <t>SO Asset Oct 25</t>
  </si>
  <si>
    <t>Finalization Stock Opname</t>
  </si>
  <si>
    <t>Finalization for New Asset Nov 25</t>
  </si>
  <si>
    <t>Maintenance</t>
  </si>
  <si>
    <t>Identification Process for 'Broken' Assets</t>
  </si>
  <si>
    <t>Identification for Asset until Sep 25</t>
  </si>
  <si>
    <t>Assigning each Broken Assets to PIC</t>
  </si>
  <si>
    <t>Maintenance Process for Broken Assets</t>
  </si>
  <si>
    <t>Closing</t>
  </si>
  <si>
    <t>Report of Stock Opname Result</t>
  </si>
  <si>
    <t>Release Final Report of Stock Opname Result</t>
  </si>
  <si>
    <t>Total Assets</t>
  </si>
  <si>
    <t>Cost</t>
  </si>
  <si>
    <t>Finance</t>
  </si>
  <si>
    <t>GA</t>
  </si>
  <si>
    <t>Not Identified Yet</t>
  </si>
  <si>
    <t>Donate</t>
  </si>
  <si>
    <t>Dispose</t>
  </si>
  <si>
    <t>Tidak Ada di BSD</t>
  </si>
  <si>
    <t>Tidak Ada Sticker</t>
  </si>
  <si>
    <t xml:space="preserve">3D Printer - Anet e12
</t>
  </si>
  <si>
    <t>Agus</t>
  </si>
  <si>
    <t>3D Printer - Creality cr20pro</t>
  </si>
  <si>
    <t>3D Printer - Creality Ender 3 pro</t>
  </si>
  <si>
    <t>3D Printer - Creality crealityEnder 5</t>
  </si>
  <si>
    <t>3D Printer - Creality ld003</t>
  </si>
  <si>
    <t>3D Printer - IMA-2020</t>
  </si>
  <si>
    <t>3D Printer - Creality Ender 3 Pro</t>
  </si>
  <si>
    <t>3D Printer - Creality Ender 5</t>
  </si>
  <si>
    <t>3D Printer Custom (Makerbase)</t>
  </si>
  <si>
    <t>Tripod Akira</t>
  </si>
  <si>
    <t>Monitor Sharp Aquos</t>
  </si>
  <si>
    <t>Pak Agus</t>
  </si>
  <si>
    <t>Hector Office Table (Meja Ina)</t>
  </si>
  <si>
    <t xml:space="preserve">Rak Wifi </t>
  </si>
  <si>
    <t>Set Office Table (Meja)</t>
  </si>
  <si>
    <t>2 Meja (3 Okt 23) 260rb x 2</t>
  </si>
  <si>
    <t>Laptop Pak Agus (Dell G5 5590)</t>
  </si>
  <si>
    <t>Notes [SO 2023]</t>
  </si>
  <si>
    <t>HARDISK</t>
  </si>
  <si>
    <t>MEJA</t>
  </si>
  <si>
    <t>LAPTOP &amp; MONITOR</t>
  </si>
  <si>
    <t>Adi Kusuma</t>
  </si>
  <si>
    <t>Hari Mulyanto</t>
  </si>
  <si>
    <t>HECTOR OFFICE TABLE WALNUT BLA 15</t>
  </si>
  <si>
    <t>Gio Saputra</t>
  </si>
  <si>
    <t>KOMPUTER VGA ASUS</t>
  </si>
  <si>
    <t>Yogi</t>
  </si>
  <si>
    <t>Digital Marketing &amp; Creative</t>
  </si>
  <si>
    <t>LOMO STAFF CHAIR + NEWVY 4 TIER BLACK</t>
  </si>
  <si>
    <t>Bilkis</t>
  </si>
  <si>
    <t>Adya</t>
  </si>
  <si>
    <t>Ardi</t>
  </si>
  <si>
    <t>Aji</t>
  </si>
  <si>
    <t>Rifky</t>
  </si>
  <si>
    <t>Ricardo</t>
  </si>
  <si>
    <t>Business Development</t>
  </si>
  <si>
    <t>Shela Octania</t>
  </si>
  <si>
    <t>Felix</t>
  </si>
  <si>
    <t>HARDISK EKSTERNAL 1 TB - HITAM</t>
  </si>
  <si>
    <t>Sella</t>
  </si>
  <si>
    <t>TOKOPEDIA, SIGMAT</t>
  </si>
  <si>
    <t>Liza</t>
  </si>
  <si>
    <t>Nabilla</t>
  </si>
  <si>
    <t>Eko Wahyu</t>
  </si>
  <si>
    <t>Bayu Prasetyo</t>
  </si>
  <si>
    <t>Ricardo Aristides</t>
  </si>
  <si>
    <t>Bekas Apriliani</t>
  </si>
  <si>
    <t>KURSI LOMO WORKING BLACK</t>
  </si>
  <si>
    <t>Nabila</t>
  </si>
  <si>
    <t>Deigo</t>
  </si>
  <si>
    <t>HECTOR OFFICE TABLE WALNUT</t>
  </si>
  <si>
    <t>Ricardo Aris</t>
  </si>
  <si>
    <t>Adi</t>
  </si>
  <si>
    <t>Bagas</t>
  </si>
  <si>
    <t>LAPTOP LENOVO IDEAPAD SLIM 2 14 I5 10210 RAM 8 GB 512 SSD</t>
  </si>
  <si>
    <t>Bekas Jaka Komara</t>
  </si>
  <si>
    <t>Gilang Rusmana</t>
  </si>
  <si>
    <t>Ainun</t>
  </si>
  <si>
    <t>Devi</t>
  </si>
  <si>
    <t>Bekas Otsuka</t>
  </si>
  <si>
    <t>Bekas Gilang</t>
  </si>
  <si>
    <t>Dina</t>
  </si>
  <si>
    <t>Eka</t>
  </si>
  <si>
    <t>Ina</t>
  </si>
  <si>
    <t>Andhika</t>
  </si>
  <si>
    <t>bekas Otsuka</t>
  </si>
  <si>
    <t>cokyat</t>
  </si>
  <si>
    <t>bekas Kevin</t>
  </si>
  <si>
    <t>KULKAS POLYTRON GOP 6</t>
  </si>
  <si>
    <t>LOMO WORKING CHAIR LOW BACK BLACK</t>
  </si>
  <si>
    <t xml:space="preserve">Chendy </t>
  </si>
  <si>
    <t>Wahyu QC</t>
  </si>
  <si>
    <t>Ardi Nugraha</t>
  </si>
  <si>
    <t>LOMO WORKING CHAIR LOW BACK BL</t>
  </si>
  <si>
    <t>Gaby</t>
  </si>
  <si>
    <t>Dika</t>
  </si>
  <si>
    <t>HECTOR OFFICE TABLE WELNUT</t>
  </si>
  <si>
    <t>HECTOR OFFICE TABLE WELNUT 3 UNIT</t>
  </si>
  <si>
    <t>Sella Gustin</t>
  </si>
  <si>
    <t>Barang di Customer</t>
  </si>
  <si>
    <t>Bayu</t>
  </si>
  <si>
    <t>Lomo Working Chair Low Back</t>
  </si>
  <si>
    <t>Leo</t>
  </si>
  <si>
    <t>Hector Office Table</t>
  </si>
  <si>
    <t>Informa Hector Meja Kantor - Hitam/cokelat Walnut</t>
  </si>
  <si>
    <t>Cost (GA)</t>
  </si>
  <si>
    <t>FA001/I/02</t>
  </si>
  <si>
    <t>FA002/I/01</t>
  </si>
  <si>
    <t>FA003/I/01</t>
  </si>
  <si>
    <t>FA004/II/01</t>
  </si>
  <si>
    <t>FA005/II/01</t>
  </si>
  <si>
    <t>FA006/II/01</t>
  </si>
  <si>
    <t>FA007/II/01</t>
  </si>
  <si>
    <t>FA008/II/01</t>
  </si>
  <si>
    <t>FA009/I/01</t>
  </si>
  <si>
    <t>FA010/I/01</t>
  </si>
  <si>
    <t>FA011/III/01</t>
  </si>
  <si>
    <t>FA012/I/01</t>
  </si>
  <si>
    <t>FA013/I/01</t>
  </si>
  <si>
    <t>FA014/II/01</t>
  </si>
  <si>
    <t>FA015/II/01</t>
  </si>
  <si>
    <t>FA017/I/01</t>
  </si>
  <si>
    <t>FA018/III/01</t>
  </si>
  <si>
    <t>FA019/I/02</t>
  </si>
  <si>
    <t>FA020/I/02</t>
  </si>
  <si>
    <t>Deltamas</t>
  </si>
  <si>
    <t>FA021/II/01</t>
  </si>
  <si>
    <t>FA022/III/01</t>
  </si>
  <si>
    <t>FA024/III/01</t>
  </si>
  <si>
    <t>FA025/I/02</t>
  </si>
  <si>
    <t>FA026/I/01</t>
  </si>
  <si>
    <t>CAMERA UTK IMAJIN</t>
  </si>
  <si>
    <t>FA028/I/01</t>
  </si>
  <si>
    <t>FA029/I/02</t>
  </si>
  <si>
    <t>FA030/I/01</t>
  </si>
  <si>
    <t>FA031/I/02</t>
  </si>
  <si>
    <t>FA032/I/01</t>
  </si>
  <si>
    <t>FA033/I/01</t>
  </si>
  <si>
    <t>FA034/III/01</t>
  </si>
  <si>
    <t>FA035/I/02</t>
  </si>
  <si>
    <t>FA036.1/I/02</t>
  </si>
  <si>
    <t>FA036.2/I/02</t>
  </si>
  <si>
    <t>FA036.3/I/02</t>
  </si>
  <si>
    <t>FA037/I/01</t>
  </si>
  <si>
    <t>FA038.1/II/01</t>
  </si>
  <si>
    <t>FA038.2/II/01</t>
  </si>
  <si>
    <t>FA039.1/II/01</t>
  </si>
  <si>
    <t>FA039.2/II/01</t>
  </si>
  <si>
    <t>FA039.3/II/01</t>
  </si>
  <si>
    <t>FA039.4/II/01</t>
  </si>
  <si>
    <t>FA039.5/II/01</t>
  </si>
  <si>
    <t>FA039.6/II/01</t>
  </si>
  <si>
    <t>FA039.7/II/01</t>
  </si>
  <si>
    <t>FA039.8/II/01</t>
  </si>
  <si>
    <t>FA039.9/II/01</t>
  </si>
  <si>
    <t>FA040.1/II/01</t>
  </si>
  <si>
    <t>FA040.2/II/01</t>
  </si>
  <si>
    <t>FA040.3/II/01</t>
  </si>
  <si>
    <t>FA040.4/II/01</t>
  </si>
  <si>
    <t>FA040.5/II/01</t>
  </si>
  <si>
    <t>FA040.6/II/01</t>
  </si>
  <si>
    <t>FA040.7/II/01</t>
  </si>
  <si>
    <t>FA040.8/II/01</t>
  </si>
  <si>
    <t>FA040.9/II/01</t>
  </si>
  <si>
    <t>FA040.12/II/01</t>
  </si>
  <si>
    <t>FA040.16/II/01</t>
  </si>
  <si>
    <t>FA040.17/II/01</t>
  </si>
  <si>
    <t>FA040.18/II/01</t>
  </si>
  <si>
    <t>FA040.19/II/01</t>
  </si>
  <si>
    <t>FA040.20/II/01</t>
  </si>
  <si>
    <t>FA040.21/II/01</t>
  </si>
  <si>
    <t>FA040.22/II/01</t>
  </si>
  <si>
    <t>FA040.23/II/01</t>
  </si>
  <si>
    <t>FA040.24/II/01</t>
  </si>
  <si>
    <t>FA040.25/II/01</t>
  </si>
  <si>
    <t>FA040.26/II/01</t>
  </si>
  <si>
    <t>FA040.27/II/01</t>
  </si>
  <si>
    <t>FA040.28/II/01</t>
  </si>
  <si>
    <t>FA040.29/II/01</t>
  </si>
  <si>
    <t>FA040.30/II/01</t>
  </si>
  <si>
    <t>FA040.31/II/01</t>
  </si>
  <si>
    <t>FA041/I/01</t>
  </si>
  <si>
    <t>FA042/I/01</t>
  </si>
  <si>
    <t>FA043/I/01</t>
  </si>
  <si>
    <t>FA045/V/02</t>
  </si>
  <si>
    <t>FA046/I/01</t>
  </si>
  <si>
    <t>FA047/I/01</t>
  </si>
  <si>
    <t>FA048/I/01</t>
  </si>
  <si>
    <t>FA049/V/02</t>
  </si>
  <si>
    <t>FA051/II/01</t>
  </si>
  <si>
    <t>FA052/II/01</t>
  </si>
  <si>
    <t>FA053/V/02</t>
  </si>
  <si>
    <t>FA054.1/II/01</t>
  </si>
  <si>
    <t>FA054.2/II/01</t>
  </si>
  <si>
    <t>FA054.3/II/01</t>
  </si>
  <si>
    <t>FA055/II/01</t>
  </si>
  <si>
    <t>FA056/I/01</t>
  </si>
  <si>
    <t>FA057</t>
  </si>
  <si>
    <t>PERBAIKAN KANTOR LANTAI 1</t>
  </si>
  <si>
    <t>FA058</t>
  </si>
  <si>
    <t>Interior Evelyn</t>
  </si>
  <si>
    <t>FA059</t>
  </si>
  <si>
    <t>Renovasi Store The Breeze</t>
  </si>
  <si>
    <t>FA060</t>
  </si>
  <si>
    <t>FA061</t>
  </si>
  <si>
    <t>FA062/I/01</t>
  </si>
  <si>
    <t>FA063/I/02</t>
  </si>
  <si>
    <t>FA064/III/01</t>
  </si>
  <si>
    <t>FA065/I/02</t>
  </si>
  <si>
    <t>FA067/II/01</t>
  </si>
  <si>
    <t>FA068/III/01</t>
  </si>
  <si>
    <t>FA069/III/01</t>
  </si>
  <si>
    <t>Halimah</t>
  </si>
  <si>
    <t>FA071/II/01</t>
  </si>
  <si>
    <t>FA072/II/01</t>
  </si>
  <si>
    <t>FA074/IV/01</t>
  </si>
  <si>
    <t>FA075/I/01</t>
  </si>
  <si>
    <t>FA076/I/01</t>
  </si>
  <si>
    <t>FA077/I/01</t>
  </si>
  <si>
    <t>FA078/I/01</t>
  </si>
  <si>
    <t>FA079/I/01</t>
  </si>
  <si>
    <t>FA080/II/01</t>
  </si>
  <si>
    <t>FA081/I/02</t>
  </si>
  <si>
    <t>FA082/I/02</t>
  </si>
  <si>
    <t>FA083/V/02</t>
  </si>
  <si>
    <t>FA084/II/02</t>
  </si>
  <si>
    <t>FA085/II/02</t>
  </si>
  <si>
    <t>FA086/II/02</t>
  </si>
  <si>
    <t>FA087/II/02</t>
  </si>
  <si>
    <t>FA088/II/02</t>
  </si>
  <si>
    <t>FA089/II/02</t>
  </si>
  <si>
    <t>FA090/II/02</t>
  </si>
  <si>
    <t>FA091/II/02</t>
  </si>
  <si>
    <t>FA092/II/02</t>
  </si>
  <si>
    <t>FA093/II/02</t>
  </si>
  <si>
    <t>FA095/III/01</t>
  </si>
  <si>
    <t>Lily</t>
  </si>
  <si>
    <t>FA096/III/01</t>
  </si>
  <si>
    <t>FA097/III/01</t>
  </si>
  <si>
    <t>April</t>
  </si>
  <si>
    <t>FA098/III/01</t>
  </si>
  <si>
    <t>FA099/III/01</t>
  </si>
  <si>
    <t>FA100/III/02</t>
  </si>
  <si>
    <t>FA101/II/01</t>
  </si>
  <si>
    <t>FA102/II/01</t>
  </si>
  <si>
    <t>FA103/II/01</t>
  </si>
  <si>
    <t>FA104/II/01</t>
  </si>
  <si>
    <t>FA105/I/01</t>
  </si>
  <si>
    <t>Rafi</t>
  </si>
  <si>
    <t>FA106/I/01</t>
  </si>
  <si>
    <t>CAMERA MARKETING</t>
  </si>
  <si>
    <t>FA109/V/02</t>
  </si>
  <si>
    <t>FA110/II/01</t>
  </si>
  <si>
    <t>FA111/II/01</t>
  </si>
  <si>
    <t>FA112/II/01</t>
  </si>
  <si>
    <t>FA113/II/01</t>
  </si>
  <si>
    <t>FA114/II/01</t>
  </si>
  <si>
    <t>FA115/II/01</t>
  </si>
  <si>
    <t>FA117/III/01</t>
  </si>
  <si>
    <t>FA118/III/01</t>
  </si>
  <si>
    <t>Jaka Komara</t>
  </si>
  <si>
    <t>FA119/V/02</t>
  </si>
  <si>
    <t>FA120/I/01</t>
  </si>
  <si>
    <t>FA121/I/02</t>
  </si>
  <si>
    <t>FA122/I/02</t>
  </si>
  <si>
    <t>FA123/I/02</t>
  </si>
  <si>
    <t>FA124/I/02</t>
  </si>
  <si>
    <t>FA125/I/02</t>
  </si>
  <si>
    <t>FA126/I/02</t>
  </si>
  <si>
    <t>FA127/I/02</t>
  </si>
  <si>
    <t>FA128/I/02</t>
  </si>
  <si>
    <t>FA129/I/02</t>
  </si>
  <si>
    <t>FA130/I/02</t>
  </si>
  <si>
    <t>FA131/I/02</t>
  </si>
  <si>
    <t>FA132/I/02</t>
  </si>
  <si>
    <t>FA133/I/02</t>
  </si>
  <si>
    <t>FA134/I/02</t>
  </si>
  <si>
    <t>FA135/I/02</t>
  </si>
  <si>
    <t>FA136/I/02</t>
  </si>
  <si>
    <t>FA137/I/01</t>
  </si>
  <si>
    <t>FA138/I/02</t>
  </si>
  <si>
    <t>FA139/III/01</t>
  </si>
  <si>
    <t>FA140/III/01</t>
  </si>
  <si>
    <t>Adhesya</t>
  </si>
  <si>
    <t>FA141/I/02</t>
  </si>
  <si>
    <t>FA142/I/02</t>
  </si>
  <si>
    <t>Tri Utomo</t>
  </si>
  <si>
    <t>FA143/I/01</t>
  </si>
  <si>
    <t>PC OTSUKA</t>
  </si>
  <si>
    <t>FA144/I/01</t>
  </si>
  <si>
    <t>FA145/II/01</t>
  </si>
  <si>
    <t>FA146/I/01</t>
  </si>
  <si>
    <t>NETAC SSD 1TB NVME, (LAPTOP PAK ADHI)</t>
  </si>
  <si>
    <t>FA147/III/01</t>
  </si>
  <si>
    <t>FA148/III/01</t>
  </si>
  <si>
    <t>FA149/I/02</t>
  </si>
  <si>
    <t>FA150/III/01</t>
  </si>
  <si>
    <t>Evan</t>
  </si>
  <si>
    <t>FA151/I/02</t>
  </si>
  <si>
    <t>FA153/II/02</t>
  </si>
  <si>
    <t>FA154/II/02</t>
  </si>
  <si>
    <t>FA155/II/02</t>
  </si>
  <si>
    <t>FA156/II/02</t>
  </si>
  <si>
    <t>FA157/II/02</t>
  </si>
  <si>
    <t>FA158/II/02</t>
  </si>
  <si>
    <t>FA159/II/02</t>
  </si>
  <si>
    <t>FA160/II/02</t>
  </si>
  <si>
    <t>FA161/II/02</t>
  </si>
  <si>
    <t>FA162/II/02</t>
  </si>
  <si>
    <t>FA163/II/02</t>
  </si>
  <si>
    <t>FA164/II/02</t>
  </si>
  <si>
    <t>FA165/II/02</t>
  </si>
  <si>
    <t>FA166/II/02</t>
  </si>
  <si>
    <t>FA167/II/02</t>
  </si>
  <si>
    <t>FA168/II/02</t>
  </si>
  <si>
    <t>FA169/II/02</t>
  </si>
  <si>
    <t>FA170/II/02</t>
  </si>
  <si>
    <t>FA171/II/02</t>
  </si>
  <si>
    <t>FA172/V/02</t>
  </si>
  <si>
    <t>FA173/I/01</t>
  </si>
  <si>
    <t>PRINTER L1300 CANON</t>
  </si>
  <si>
    <t>FA174/II/01</t>
  </si>
  <si>
    <t>FA175/II/01</t>
  </si>
  <si>
    <t>FA176/II/01</t>
  </si>
  <si>
    <t>FA178/II/01</t>
  </si>
  <si>
    <t>FA179/II/01</t>
  </si>
  <si>
    <t>FA180/II/01</t>
  </si>
  <si>
    <t>FA181/II/01</t>
  </si>
  <si>
    <t>FA182/II/01</t>
  </si>
  <si>
    <t>FA183/II/01</t>
  </si>
  <si>
    <t>FA184/II/01</t>
  </si>
  <si>
    <t>FA185/II/01</t>
  </si>
  <si>
    <t>FA186/II/01</t>
  </si>
  <si>
    <t>FA187/II/01</t>
  </si>
  <si>
    <t>FA188/II/01</t>
  </si>
  <si>
    <t>FA189/II/01</t>
  </si>
  <si>
    <t>FA190/II/01</t>
  </si>
  <si>
    <t>FA191/II/01</t>
  </si>
  <si>
    <t>FA192/II/01</t>
  </si>
  <si>
    <t>FA193/II/01</t>
  </si>
  <si>
    <t>FA194/II/01</t>
  </si>
  <si>
    <t>FA195/II/01</t>
  </si>
  <si>
    <t>FA196/II/01</t>
  </si>
  <si>
    <t>FA197/II/01</t>
  </si>
  <si>
    <t>FA198/II/01</t>
  </si>
  <si>
    <t>FA199/II/01</t>
  </si>
  <si>
    <t>FA200/II/01</t>
  </si>
  <si>
    <t>FA201/II/01</t>
  </si>
  <si>
    <t>FA202/II/01</t>
  </si>
  <si>
    <t>FA203/II/01</t>
  </si>
  <si>
    <t>FA204/II/01</t>
  </si>
  <si>
    <t>FA205/II/01</t>
  </si>
  <si>
    <t>FA206/II/01</t>
  </si>
  <si>
    <t>FA207/II/01</t>
  </si>
  <si>
    <t>FA208/II/01</t>
  </si>
  <si>
    <t>FA209/II/01</t>
  </si>
  <si>
    <t>FA210/II/01</t>
  </si>
  <si>
    <t>FA211/II/01</t>
  </si>
  <si>
    <t>FA213/II/01</t>
  </si>
  <si>
    <t>FA214/II/01</t>
  </si>
  <si>
    <t>FA215/II/01</t>
  </si>
  <si>
    <t>FA216/II/01</t>
  </si>
  <si>
    <t>FA217/II/01</t>
  </si>
  <si>
    <t>FA218/II/01</t>
  </si>
  <si>
    <t>FA219/I/01</t>
  </si>
  <si>
    <t>FA220/I/01</t>
  </si>
  <si>
    <t>FA222/I/01</t>
  </si>
  <si>
    <t>FA223/I/01</t>
  </si>
  <si>
    <t>FA224/II/01</t>
  </si>
  <si>
    <t>FA225/II/01</t>
  </si>
  <si>
    <t>FA226/II/01</t>
  </si>
  <si>
    <t>FA227/II/01</t>
  </si>
  <si>
    <t>FA228/II/01</t>
  </si>
  <si>
    <t>FA229/II/01</t>
  </si>
  <si>
    <t>FA230/I/01</t>
  </si>
  <si>
    <t>FA231/II/01</t>
  </si>
  <si>
    <t>FA232/V/02</t>
  </si>
  <si>
    <t>FA233/V/02</t>
  </si>
  <si>
    <t>FA234/III/01</t>
  </si>
  <si>
    <t>FA235/III/01</t>
  </si>
  <si>
    <t>FA236/I/01</t>
  </si>
  <si>
    <t>FA237/I/01</t>
  </si>
  <si>
    <t>FA238/III/01</t>
  </si>
  <si>
    <t>FA239/II/01</t>
  </si>
  <si>
    <t>FA240/II/01</t>
  </si>
  <si>
    <t>FA241/II/01</t>
  </si>
  <si>
    <t>FA242/II/01</t>
  </si>
  <si>
    <t>FA243/II/01</t>
  </si>
  <si>
    <t>FA243/IV/02</t>
  </si>
  <si>
    <t>FA244/I/02</t>
  </si>
  <si>
    <t>FA245/I/02</t>
  </si>
  <si>
    <t>FA246/I/01</t>
  </si>
  <si>
    <t>FA248/I/01</t>
  </si>
  <si>
    <t>FA249/V/02</t>
  </si>
  <si>
    <t>FA250/II/01</t>
  </si>
  <si>
    <t>FA251/I/02</t>
  </si>
  <si>
    <t>FA253/II/02</t>
  </si>
  <si>
    <t>FA254/II/02</t>
  </si>
  <si>
    <t>FA255/I/02</t>
  </si>
  <si>
    <t>FA256/II/02</t>
  </si>
  <si>
    <t>FA257/V/02</t>
  </si>
  <si>
    <t>FA258/V/02</t>
  </si>
  <si>
    <t>FA259/II/02</t>
  </si>
  <si>
    <t>FA260/II/02</t>
  </si>
  <si>
    <t>FA261/II/02</t>
  </si>
  <si>
    <t>FA262/II/02</t>
  </si>
  <si>
    <t>FA263/II/02</t>
  </si>
  <si>
    <t>FA264/II/02</t>
  </si>
  <si>
    <t>FA265/II/02</t>
  </si>
  <si>
    <t>FA266/II/02</t>
  </si>
  <si>
    <t>FA267/II/02</t>
  </si>
  <si>
    <t>FA268/II/02</t>
  </si>
  <si>
    <t>FA269/II/02</t>
  </si>
  <si>
    <t>FA270/II/02</t>
  </si>
  <si>
    <t>FA271/II/02</t>
  </si>
  <si>
    <t>FA272/II/02</t>
  </si>
  <si>
    <t>FA273/II/02</t>
  </si>
  <si>
    <t>FA274/II/02</t>
  </si>
  <si>
    <t>FA275/II/02</t>
  </si>
  <si>
    <t>FA276/II/02</t>
  </si>
  <si>
    <t>FA277/II/02</t>
  </si>
  <si>
    <t>FA278/II/02</t>
  </si>
  <si>
    <t>FA279/II/02</t>
  </si>
  <si>
    <t>FA280/III/01</t>
  </si>
  <si>
    <t>FA281/V/02</t>
  </si>
  <si>
    <t>IMAWA</t>
  </si>
  <si>
    <t>FA282/II/02</t>
  </si>
  <si>
    <t>FA283/I/02</t>
  </si>
  <si>
    <t>FA284/V/02</t>
  </si>
  <si>
    <t>FA285/V/02</t>
  </si>
  <si>
    <t>FA286/V/02</t>
  </si>
  <si>
    <t>FA287/V/02</t>
  </si>
  <si>
    <t>FA291/III/01</t>
  </si>
  <si>
    <t>FA292/II/02</t>
  </si>
  <si>
    <t>FA293/II/02</t>
  </si>
  <si>
    <t>FA294/I/02</t>
  </si>
  <si>
    <t>FA295/I/02</t>
  </si>
  <si>
    <t>FA296/III/01</t>
  </si>
  <si>
    <t>FA297/III/01</t>
  </si>
  <si>
    <t>FA299/I/01</t>
  </si>
  <si>
    <t>FA300/II/01</t>
  </si>
  <si>
    <t>FA301/II/01</t>
  </si>
  <si>
    <t>FA302/II/01</t>
  </si>
  <si>
    <t>FA303/II/01</t>
  </si>
  <si>
    <t>FA304/II/01</t>
  </si>
  <si>
    <t>FA305/II/01</t>
  </si>
  <si>
    <t>FA306/V/02</t>
  </si>
  <si>
    <t>FA307/II/02</t>
  </si>
  <si>
    <t>FA308/II/02</t>
  </si>
  <si>
    <t>FA309/II/02</t>
  </si>
  <si>
    <t>FA310/I/02</t>
  </si>
  <si>
    <t>FA311/I/02</t>
  </si>
  <si>
    <t>FA312/I/02</t>
  </si>
  <si>
    <t>FA313/I/02</t>
  </si>
  <si>
    <t>FA314/I/02</t>
  </si>
  <si>
    <t>FA315/V/02</t>
  </si>
  <si>
    <t>DELTAMAS 1</t>
  </si>
  <si>
    <t>FA316/III/02</t>
  </si>
  <si>
    <t>FA317/III/01</t>
  </si>
  <si>
    <t>FA319/I/02</t>
  </si>
  <si>
    <t>Lemari AC Deltamas</t>
  </si>
  <si>
    <t>FA320/I/02</t>
  </si>
  <si>
    <t>Kulkas LG GN-B202SQIB 202L Top Freezer Fridge in Dark Graphite Steel</t>
  </si>
  <si>
    <t>Lomo Working Chair Low Back &amp; Hector Office Table</t>
  </si>
  <si>
    <t>Kompresore Screw 15 HP</t>
  </si>
  <si>
    <t>Monica</t>
  </si>
  <si>
    <t>Tools (Arbor Tapping BT50-WF20 Taiwan dan Collet Tapping TCB20 Taiwan)</t>
  </si>
  <si>
    <t>Ojiyas Tread Plug Gage M24x3</t>
  </si>
  <si>
    <t>Rifqi Caesara</t>
  </si>
  <si>
    <t>Putra</t>
  </si>
  <si>
    <t>Smart TV Box MXQ Pro</t>
  </si>
  <si>
    <t>MXQ Pro</t>
  </si>
  <si>
    <t>FA331/II/01</t>
  </si>
  <si>
    <t>FA332/I/01</t>
  </si>
  <si>
    <t>FA333/I/01</t>
  </si>
  <si>
    <t>FA334/II/01</t>
  </si>
  <si>
    <t>FA335/II/01</t>
  </si>
  <si>
    <t>FA336/II/01</t>
  </si>
  <si>
    <t>FA337/II/01</t>
  </si>
  <si>
    <t>FA338/II/01</t>
  </si>
  <si>
    <t>FA340/I/01</t>
  </si>
  <si>
    <t>FA341/V/01</t>
  </si>
  <si>
    <t>FA342/I/01</t>
  </si>
  <si>
    <t>FA343/I/01</t>
  </si>
  <si>
    <t>FA344/I/01</t>
  </si>
  <si>
    <t>FA345/I/01</t>
  </si>
  <si>
    <t>FA346/I/01</t>
  </si>
  <si>
    <t>FA347/V/01</t>
  </si>
  <si>
    <t>FA349/I/01</t>
  </si>
  <si>
    <t>FA350/V/01</t>
  </si>
  <si>
    <t>FA351/V/01</t>
  </si>
  <si>
    <t>FA352/V/01</t>
  </si>
  <si>
    <t>FA358/I/01</t>
  </si>
  <si>
    <t>FA359/I/01</t>
  </si>
  <si>
    <t>FA360/I/01</t>
  </si>
  <si>
    <t>FA361/I/01</t>
  </si>
  <si>
    <t>FA362/I/01</t>
  </si>
  <si>
    <t>FA363/I/01</t>
  </si>
  <si>
    <t>FA364/I/01</t>
  </si>
  <si>
    <t>FA365/I/01</t>
  </si>
  <si>
    <t>FA366/I/01</t>
  </si>
  <si>
    <t>FA367/I/01</t>
  </si>
  <si>
    <t>FA368/I/01</t>
  </si>
  <si>
    <t>FA369/I/01</t>
  </si>
  <si>
    <t>FA370/I/01</t>
  </si>
  <si>
    <t>FA371/I/01</t>
  </si>
  <si>
    <t>FA372/I/01</t>
  </si>
  <si>
    <t>FA373/II/01</t>
  </si>
  <si>
    <t>FA374/II/01</t>
  </si>
  <si>
    <t>FA375/II/01</t>
  </si>
  <si>
    <t>FA376/II/01</t>
  </si>
  <si>
    <t>FA377/III/01</t>
  </si>
  <si>
    <t>FA378/II/01</t>
  </si>
  <si>
    <t>FA379/V/01</t>
  </si>
  <si>
    <t>FA380/V/01</t>
  </si>
  <si>
    <t>FA381/I/01</t>
  </si>
  <si>
    <t>FA382/II/01</t>
  </si>
  <si>
    <t>FA383/V/01</t>
  </si>
  <si>
    <t>FA384/V/01</t>
  </si>
  <si>
    <t>FA385/V/01</t>
  </si>
  <si>
    <t>FA386/II/01</t>
  </si>
  <si>
    <t>FA387/I/01</t>
  </si>
  <si>
    <t>FA321/I/02</t>
  </si>
  <si>
    <t>FA324/I/02</t>
  </si>
  <si>
    <t>FA325/I/02</t>
  </si>
  <si>
    <t>FA326/II/02</t>
  </si>
  <si>
    <t>FA327/II/02</t>
  </si>
  <si>
    <t>FA328/II/02</t>
  </si>
  <si>
    <t>FA329/II/02</t>
  </si>
  <si>
    <t>FA330/V/02</t>
  </si>
  <si>
    <t>FA339/III/02</t>
  </si>
  <si>
    <t>FA348/I/02</t>
  </si>
  <si>
    <t>FA353/I/02</t>
  </si>
  <si>
    <t>FA355/II/02</t>
  </si>
  <si>
    <t>FA356/II/02</t>
  </si>
  <si>
    <t>FA357/V/02</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</si>
</sst>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Rp&quot;#,##0_);\(&quot;Rp&quot;#,##0\)"/>
    <numFmt numFmtId="165" formatCode="[$Rp]#,##0"/>
    <numFmt numFmtId="166" formatCode="[$-409]dd\-mmm\-yy"/>
    <numFmt numFmtId="167" formatCode="[$-409]mmm\-yy"/>
    <numFmt numFmtId="168" formatCode="d-mmm-yy"/>
    <numFmt numFmtId="169" formatCode="M/d/yyyy"/>
    <numFmt numFmtId="170" formatCode="m/d/yyyy"/>
    <numFmt numFmtId="171" formatCode="mm/dd/yyyy"/>
    <numFmt numFmtId="172" formatCode="&quot;$&quot;#,##0.00"/>
  </numFmts>
  <fonts count="67">
    <font>
      <sz val="12.0"/>
      <color theme="1"/>
      <name val="Aptos Narrow"/>
      <scheme val="minor"/>
    </font>
    <font>
      <b/>
      <sz val="7.0"/>
      <color theme="1"/>
      <name val="Verdana"/>
    </font>
    <font/>
    <font>
      <sz val="7.0"/>
      <color theme="1"/>
      <name val="Verdana"/>
    </font>
    <font>
      <b/>
      <sz val="7.0"/>
      <color rgb="FFFFFFFF"/>
      <name val="Verdana"/>
    </font>
    <font>
      <b/>
      <sz val="7.0"/>
      <color theme="0"/>
      <name val="Verdana"/>
    </font>
    <font>
      <sz val="7.0"/>
      <color rgb="FF000000"/>
      <name val="Verdana"/>
    </font>
    <font>
      <sz val="7.0"/>
      <color theme="1"/>
      <name val="Arial"/>
    </font>
    <font>
      <sz val="7.0"/>
      <color rgb="FF343030"/>
      <name val="Verdana"/>
    </font>
    <font>
      <sz val="7.0"/>
      <color rgb="FF212121"/>
      <name val="Verdana"/>
    </font>
    <font>
      <sz val="7.0"/>
      <color rgb="FFFFFFFF"/>
      <name val="Verdana"/>
    </font>
    <font>
      <sz val="8.0"/>
      <color theme="1"/>
      <name val="Verdana"/>
    </font>
    <font>
      <sz val="8.0"/>
      <color rgb="FF000000"/>
      <name val="Verdana"/>
    </font>
    <font>
      <sz val="9.0"/>
      <color rgb="FF000000"/>
      <name val="&quot;Google Sans Mono&quot;"/>
    </font>
    <font>
      <b/>
      <sz val="9.0"/>
      <color rgb="FFFFFFFF"/>
      <name val="Hind"/>
    </font>
    <font>
      <b/>
      <sz val="9.0"/>
      <color theme="1"/>
      <name val="Hind"/>
    </font>
    <font>
      <sz val="9.0"/>
      <color theme="1"/>
      <name val="Hind"/>
    </font>
    <font>
      <u/>
      <sz val="9.0"/>
      <color rgb="FF0000FF"/>
      <name val="Hind"/>
    </font>
    <font>
      <u/>
      <sz val="9.0"/>
      <color rgb="FF467886"/>
      <name val="Hind"/>
    </font>
    <font>
      <u/>
      <sz val="9.0"/>
      <color rgb="FF0000FF"/>
      <name val="Hind"/>
    </font>
    <font>
      <u/>
      <sz val="9.0"/>
      <color rgb="FF0000FF"/>
      <name val="Hind"/>
    </font>
    <font>
      <u/>
      <sz val="9.0"/>
      <color rgb="FF0000FF"/>
      <name val="Hind"/>
    </font>
    <font>
      <b/>
      <sz val="10.0"/>
      <color rgb="FFFFFFFF"/>
      <name val="Hind"/>
    </font>
    <font>
      <u/>
      <sz val="7.0"/>
      <color rgb="FF000000"/>
      <name val="Hind"/>
    </font>
    <font>
      <sz val="10.0"/>
      <color rgb="FF000000"/>
      <name val="Hind"/>
    </font>
    <font>
      <sz val="10.0"/>
      <color theme="1"/>
      <name val="Hind"/>
    </font>
    <font>
      <u/>
      <sz val="10.0"/>
      <color theme="1"/>
      <name val="Hind"/>
    </font>
    <font>
      <u/>
      <sz val="10.0"/>
      <color theme="1"/>
      <name val="Hind"/>
    </font>
    <font>
      <u/>
      <sz val="10.0"/>
      <color theme="1"/>
      <name val="Hind"/>
    </font>
    <font>
      <color theme="1"/>
      <name val="Aptos Narrow"/>
      <scheme val="minor"/>
    </font>
    <font>
      <b/>
      <sz val="20.0"/>
      <color theme="1"/>
      <name val="Hind"/>
    </font>
    <font>
      <b/>
      <sz val="11.0"/>
      <color theme="1"/>
      <name val="Hind"/>
    </font>
    <font>
      <i/>
      <sz val="8.0"/>
      <color theme="1"/>
      <name val="Hind"/>
    </font>
    <font>
      <i/>
      <sz val="9.0"/>
      <color theme="1"/>
      <name val="Hind"/>
    </font>
    <font>
      <u/>
      <sz val="9.0"/>
      <color rgb="FF0000FF"/>
      <name val="Hind"/>
    </font>
    <font>
      <u/>
      <sz val="9.0"/>
      <color rgb="FF0000FF"/>
      <name val="Hind"/>
    </font>
    <font>
      <u/>
      <sz val="9.0"/>
      <color rgb="FF0000FF"/>
      <name val="Hind"/>
    </font>
    <font>
      <u/>
      <sz val="9.0"/>
      <color rgb="FF0000FF"/>
      <name val="Hind"/>
    </font>
    <font>
      <b/>
      <sz val="10.0"/>
      <color theme="1"/>
      <name val="Hind"/>
    </font>
    <font>
      <sz val="10.0"/>
      <color theme="1"/>
      <name val="Verdana"/>
    </font>
    <font>
      <sz val="9.0"/>
      <color theme="1"/>
      <name val="Verdana"/>
    </font>
    <font>
      <u/>
      <sz val="10.0"/>
      <color rgb="FF467886"/>
      <name val="Verdana"/>
    </font>
    <font>
      <b/>
      <sz val="9.0"/>
      <color theme="1"/>
      <name val="Verdana"/>
    </font>
    <font>
      <b/>
      <sz val="10.0"/>
      <color theme="1"/>
      <name val="Verdana"/>
    </font>
    <font>
      <sz val="12.0"/>
      <color theme="1"/>
      <name val="Hind"/>
    </font>
    <font>
      <b/>
      <sz val="26.0"/>
      <color rgb="FF0B5394"/>
      <name val="Hind"/>
    </font>
    <font>
      <b/>
      <sz val="30.0"/>
      <color rgb="FF0B5394"/>
      <name val="Hind"/>
    </font>
    <font>
      <b/>
      <sz val="8.0"/>
      <color rgb="FFFFFFFF"/>
      <name val="Hind"/>
    </font>
    <font>
      <sz val="9.0"/>
      <color rgb="FF666666"/>
      <name val="Hind"/>
    </font>
    <font>
      <sz val="14.0"/>
      <color rgb="FFFFFFFF"/>
      <name val="Hind"/>
    </font>
    <font>
      <b/>
      <sz val="14.0"/>
      <color rgb="FF000000"/>
      <name val="Hind"/>
    </font>
    <font>
      <sz val="9.0"/>
      <color rgb="FF000000"/>
      <name val="Hind"/>
    </font>
    <font>
      <sz val="8.0"/>
      <color theme="1"/>
      <name val="Hind"/>
    </font>
    <font>
      <b/>
      <sz val="13.0"/>
      <color rgb="FFFFFFFF"/>
      <name val="Hind"/>
    </font>
    <font>
      <sz val="8.0"/>
      <color rgb="FFFFFFFF"/>
      <name val="Hind"/>
    </font>
    <font>
      <b/>
      <sz val="8.0"/>
      <color theme="1"/>
      <name val="Verdana"/>
    </font>
    <font>
      <b/>
      <color theme="1"/>
      <name val="Arial"/>
    </font>
    <font>
      <b/>
      <color theme="1"/>
      <name val="Aptos Narrow"/>
      <scheme val="minor"/>
    </font>
    <font>
      <b/>
      <sz val="12.0"/>
      <color rgb="FF000000"/>
      <name val="Arial"/>
    </font>
    <font>
      <color theme="1"/>
      <name val="Arial"/>
    </font>
    <font>
      <b/>
      <sz val="8.0"/>
      <color theme="0"/>
      <name val="Verdana"/>
    </font>
    <font>
      <b/>
      <sz val="8.0"/>
      <color rgb="FFFFFFFF"/>
      <name val="Verdana"/>
    </font>
    <font>
      <b/>
      <sz val="8.0"/>
      <color rgb="FF000000"/>
      <name val="Verdana"/>
    </font>
    <font>
      <sz val="8.0"/>
      <color theme="1"/>
      <name val="Arial"/>
    </font>
    <font>
      <sz val="8.0"/>
      <color rgb="FF343030"/>
      <name val="Verdana"/>
    </font>
    <font>
      <sz val="8.0"/>
      <color rgb="FF212121"/>
      <name val="Verdana"/>
    </font>
    <font>
      <b/>
      <sz val="8.0"/>
      <color rgb="FFFF0000"/>
      <name val="Verdana"/>
    </font>
  </fonts>
  <fills count="46">
    <fill>
      <patternFill patternType="none"/>
    </fill>
    <fill>
      <patternFill patternType="lightGray"/>
    </fill>
    <fill>
      <patternFill patternType="solid">
        <fgColor rgb="FFFFFF00"/>
        <bgColor rgb="FFFFFF00"/>
      </patternFill>
    </fill>
    <fill>
      <patternFill patternType="solid">
        <fgColor rgb="FFBF4F14"/>
        <bgColor rgb="FFBF4F14"/>
      </patternFill>
    </fill>
    <fill>
      <patternFill patternType="solid">
        <fgColor theme="9"/>
        <bgColor theme="9"/>
      </patternFill>
    </fill>
    <fill>
      <patternFill patternType="solid">
        <fgColor rgb="FFD76DCC"/>
        <bgColor rgb="FFD76DCC"/>
      </patternFill>
    </fill>
    <fill>
      <patternFill patternType="solid">
        <fgColor rgb="FFFF0000"/>
        <bgColor rgb="FFFF0000"/>
      </patternFill>
    </fill>
    <fill>
      <patternFill patternType="solid">
        <fgColor rgb="FF002060"/>
        <bgColor rgb="FF002060"/>
      </patternFill>
    </fill>
    <fill>
      <patternFill patternType="solid">
        <fgColor rgb="FFFFFFFF"/>
        <bgColor rgb="FFFFFFFF"/>
      </patternFill>
    </fill>
    <fill>
      <patternFill patternType="solid">
        <fgColor rgb="FFD0E0E3"/>
        <bgColor rgb="FFD0E0E3"/>
      </patternFill>
    </fill>
    <fill>
      <patternFill patternType="solid">
        <fgColor rgb="FFC9DAF8"/>
        <bgColor rgb="FFC9DAF8"/>
      </patternFill>
    </fill>
    <fill>
      <patternFill patternType="solid">
        <fgColor rgb="FFB7E1CD"/>
        <bgColor rgb="FFB7E1CD"/>
      </patternFill>
    </fill>
    <fill>
      <patternFill patternType="solid">
        <fgColor rgb="FFF4CCCC"/>
        <bgColor rgb="FFF4CCCC"/>
      </patternFill>
    </fill>
    <fill>
      <patternFill patternType="solid">
        <fgColor rgb="FF0B5394"/>
        <bgColor rgb="FF0B5394"/>
      </patternFill>
    </fill>
    <fill>
      <patternFill patternType="solid">
        <fgColor rgb="FF990000"/>
        <bgColor rgb="FF990000"/>
      </patternFill>
    </fill>
    <fill>
      <patternFill patternType="solid">
        <fgColor rgb="FF00FF00"/>
        <bgColor rgb="FF00FF00"/>
      </patternFill>
    </fill>
    <fill>
      <patternFill patternType="solid">
        <fgColor rgb="FFF9CB9C"/>
        <bgColor rgb="FFF9CB9C"/>
      </patternFill>
    </fill>
    <fill>
      <patternFill patternType="solid">
        <fgColor rgb="FF8E7BC3"/>
        <bgColor rgb="FF8E7BC3"/>
      </patternFill>
    </fill>
    <fill>
      <patternFill patternType="solid">
        <fgColor rgb="FF8E7CC3"/>
        <bgColor rgb="FF8E7CC3"/>
      </patternFill>
    </fill>
    <fill>
      <patternFill patternType="solid">
        <fgColor rgb="FFD9EAD3"/>
        <bgColor rgb="FFD9EAD3"/>
      </patternFill>
    </fill>
    <fill>
      <patternFill patternType="solid">
        <fgColor rgb="FF434343"/>
        <bgColor rgb="FF434343"/>
      </patternFill>
    </fill>
    <fill>
      <patternFill patternType="solid">
        <fgColor rgb="FFD9D9D9"/>
        <bgColor rgb="FFD9D9D9"/>
      </patternFill>
    </fill>
    <fill>
      <patternFill patternType="solid">
        <fgColor rgb="FF666666"/>
        <bgColor rgb="FF666666"/>
      </patternFill>
    </fill>
    <fill>
      <patternFill patternType="solid">
        <fgColor rgb="FFF8F8F8"/>
        <bgColor rgb="FFF8F8F8"/>
      </patternFill>
    </fill>
    <fill>
      <patternFill patternType="solid">
        <fgColor rgb="FF6AA84F"/>
        <bgColor rgb="FF6AA84F"/>
      </patternFill>
    </fill>
    <fill>
      <patternFill patternType="solid">
        <fgColor rgb="FFB6D7A8"/>
        <bgColor rgb="FFB6D7A8"/>
      </patternFill>
    </fill>
    <fill>
      <patternFill patternType="solid">
        <fgColor rgb="FF38761D"/>
        <bgColor rgb="FF38761D"/>
      </patternFill>
    </fill>
    <fill>
      <patternFill patternType="solid">
        <fgColor rgb="FF93C47D"/>
        <bgColor rgb="FF93C47D"/>
      </patternFill>
    </fill>
    <fill>
      <patternFill patternType="solid">
        <fgColor rgb="FF274E13"/>
        <bgColor rgb="FF274E13"/>
      </patternFill>
    </fill>
    <fill>
      <patternFill patternType="solid">
        <fgColor rgb="FF45818E"/>
        <bgColor rgb="FF45818E"/>
      </patternFill>
    </fill>
    <fill>
      <patternFill patternType="solid">
        <fgColor rgb="FF134F5C"/>
        <bgColor rgb="FF134F5C"/>
      </patternFill>
    </fill>
    <fill>
      <patternFill patternType="solid">
        <fgColor rgb="FF76A5AF"/>
        <bgColor rgb="FF76A5AF"/>
      </patternFill>
    </fill>
    <fill>
      <patternFill patternType="solid">
        <fgColor rgb="FFB4A7D6"/>
        <bgColor rgb="FFB4A7D6"/>
      </patternFill>
    </fill>
    <fill>
      <patternFill patternType="solid">
        <fgColor rgb="FFD9D2E9"/>
        <bgColor rgb="FFD9D2E9"/>
      </patternFill>
    </fill>
    <fill>
      <patternFill patternType="solid">
        <fgColor rgb="FF674EA7"/>
        <bgColor rgb="FF674EA7"/>
      </patternFill>
    </fill>
    <fill>
      <patternFill patternType="solid">
        <fgColor rgb="FF351C75"/>
        <bgColor rgb="FF351C75"/>
      </patternFill>
    </fill>
    <fill>
      <patternFill patternType="solid">
        <fgColor rgb="FF20124D"/>
        <bgColor rgb="FF20124D"/>
      </patternFill>
    </fill>
    <fill>
      <patternFill patternType="solid">
        <fgColor rgb="FFF6B26B"/>
        <bgColor rgb="FFF6B26B"/>
      </patternFill>
    </fill>
    <fill>
      <patternFill patternType="solid">
        <fgColor rgb="FFE69138"/>
        <bgColor rgb="FFE69138"/>
      </patternFill>
    </fill>
    <fill>
      <patternFill patternType="solid">
        <fgColor rgb="FFDD7E6B"/>
        <bgColor rgb="FFDD7E6B"/>
      </patternFill>
    </fill>
    <fill>
      <patternFill patternType="solid">
        <fgColor rgb="FFCC4125"/>
        <bgColor rgb="FFCC4125"/>
      </patternFill>
    </fill>
    <fill>
      <patternFill patternType="solid">
        <fgColor rgb="FFA61C00"/>
        <bgColor rgb="FFA61C00"/>
      </patternFill>
    </fill>
    <fill>
      <patternFill patternType="solid">
        <fgColor rgb="FFA4C2F4"/>
        <bgColor rgb="FFA4C2F4"/>
      </patternFill>
    </fill>
    <fill>
      <patternFill patternType="solid">
        <fgColor rgb="FF0E2841"/>
        <bgColor rgb="FF0E2841"/>
      </patternFill>
    </fill>
    <fill>
      <patternFill patternType="solid">
        <fgColor theme="5"/>
        <bgColor theme="5"/>
      </patternFill>
    </fill>
    <fill>
      <patternFill patternType="solid">
        <fgColor rgb="FF000000"/>
        <bgColor rgb="FF000000"/>
      </patternFill>
    </fill>
  </fills>
  <borders count="8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right style="hair">
        <color rgb="FF000000"/>
      </right>
      <top style="hair">
        <color rgb="FF000000"/>
      </top>
    </border>
    <border>
      <left style="hair">
        <color rgb="FF000000"/>
      </left>
      <right style="thick">
        <color rgb="FF000000"/>
      </right>
      <top style="hair">
        <color rgb="FF000000"/>
      </top>
    </border>
    <border>
      <left style="thick">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right style="thick">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thick">
        <color rgb="FF000000"/>
      </right>
      <top style="hair">
        <color rgb="FF000000"/>
      </top>
      <bottom style="hair">
        <color rgb="FF000000"/>
      </bottom>
    </border>
    <border>
      <left style="hair">
        <color rgb="FF000000"/>
      </left>
      <right style="hair">
        <color rgb="FF000000"/>
      </right>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thick">
        <color rgb="FF0B5394"/>
      </bottom>
    </border>
    <border>
      <left style="thin">
        <color rgb="FF999999"/>
      </left>
    </border>
    <border>
      <left style="thin">
        <color rgb="FF999999"/>
      </left>
      <bottom style="thin">
        <color rgb="FF999999"/>
      </bottom>
    </border>
    <border>
      <bottom style="thin">
        <color rgb="FF999999"/>
      </bottom>
    </border>
    <border>
      <right style="thin">
        <color rgb="FF000000"/>
      </right>
      <bottom style="thin">
        <color rgb="FF999999"/>
      </bottom>
    </border>
    <border>
      <right style="thin">
        <color rgb="FFD9D9D9"/>
      </right>
    </border>
    <border>
      <left style="thin">
        <color rgb="FF999999"/>
      </left>
      <bottom style="hair">
        <color rgb="FF000000"/>
      </bottom>
    </border>
    <border>
      <bottom style="hair">
        <color rgb="FF000000"/>
      </bottom>
    </border>
    <border>
      <right style="hair">
        <color rgb="FF000000"/>
      </right>
      <bottom style="hair">
        <color rgb="FF000000"/>
      </bottom>
    </border>
    <border>
      <right style="thin">
        <color rgb="FF000000"/>
      </right>
      <top style="hair">
        <color rgb="FF000000"/>
      </top>
      <bottom style="hair">
        <color rgb="FF000000"/>
      </bottom>
    </border>
    <border>
      <left style="hair">
        <color rgb="FF000000"/>
      </left>
    </border>
    <border>
      <left style="thin">
        <color rgb="FF999999"/>
      </left>
      <right style="hair">
        <color rgb="FF000000"/>
      </right>
      <top style="hair">
        <color rgb="FF000000"/>
      </top>
      <bottom style="hair">
        <color rgb="FF000000"/>
      </bottom>
    </border>
    <border>
      <bottom style="medium">
        <color rgb="FF0B5394"/>
      </bottom>
    </border>
    <border>
      <left style="thin">
        <color rgb="FF999999"/>
      </left>
      <right style="hair">
        <color rgb="FF000000"/>
      </right>
      <top style="hair">
        <color rgb="FF000000"/>
      </top>
    </border>
    <border>
      <left style="hair">
        <color rgb="FF000000"/>
      </left>
      <right style="thin">
        <color rgb="FF000000"/>
      </right>
      <top style="hair">
        <color rgb="FF000000"/>
      </top>
    </border>
    <border>
      <right style="hair">
        <color rgb="FF000000"/>
      </right>
      <top style="hair">
        <color rgb="FF000000"/>
      </top>
    </border>
    <border>
      <top style="thick">
        <color rgb="FF666666"/>
      </top>
    </border>
    <border>
      <right style="thin">
        <color rgb="FFD9D9D9"/>
      </right>
      <top style="thick">
        <color rgb="FF666666"/>
      </top>
    </border>
    <border>
      <left style="thin">
        <color rgb="FF999999"/>
      </left>
      <right style="hair">
        <color rgb="FF000000"/>
      </right>
      <top style="thick">
        <color rgb="FF666666"/>
      </top>
      <bottom style="hair">
        <color rgb="FF000000"/>
      </bottom>
    </border>
    <border>
      <left style="hair">
        <color rgb="FF000000"/>
      </left>
      <right style="hair">
        <color rgb="FF000000"/>
      </right>
      <top style="thick">
        <color rgb="FF666666"/>
      </top>
      <bottom style="hair">
        <color rgb="FF000000"/>
      </bottom>
    </border>
    <border>
      <left style="hair">
        <color rgb="FF000000"/>
      </left>
      <right style="thin">
        <color rgb="FF000000"/>
      </right>
      <top style="thick">
        <color rgb="FF666666"/>
      </top>
      <bottom style="hair">
        <color rgb="FF000000"/>
      </bottom>
    </border>
    <border>
      <right style="hair">
        <color rgb="FF000000"/>
      </right>
      <top style="thick">
        <color rgb="FF666666"/>
      </top>
      <bottom style="hair">
        <color rgb="FF000000"/>
      </bottom>
    </border>
    <border>
      <bottom style="thick">
        <color rgb="FF666666"/>
      </bottom>
    </border>
    <border>
      <right style="thin">
        <color rgb="FFD9D9D9"/>
      </right>
      <bottom style="thick">
        <color rgb="FF666666"/>
      </bottom>
    </border>
    <border>
      <left style="thin">
        <color rgb="FF999999"/>
      </left>
      <top style="hair">
        <color rgb="FF000000"/>
      </top>
      <bottom style="thick">
        <color rgb="FF666666"/>
      </bottom>
    </border>
    <border>
      <top style="hair">
        <color rgb="FF000000"/>
      </top>
      <bottom style="thick">
        <color rgb="FF666666"/>
      </bottom>
    </border>
    <border>
      <right style="thin">
        <color rgb="FF000000"/>
      </right>
      <top style="hair">
        <color rgb="FF000000"/>
      </top>
      <bottom style="thick">
        <color rgb="FF666666"/>
      </bottom>
    </border>
    <border>
      <right style="hair">
        <color rgb="FF000000"/>
      </right>
      <top style="hair">
        <color rgb="FF000000"/>
      </top>
      <bottom style="thick">
        <color rgb="FF666666"/>
      </bottom>
    </border>
    <border>
      <left style="hair">
        <color rgb="FF000000"/>
      </left>
      <right style="hair">
        <color rgb="FF000000"/>
      </right>
      <top style="hair">
        <color rgb="FF000000"/>
      </top>
      <bottom style="thick">
        <color rgb="FF666666"/>
      </bottom>
    </border>
    <border>
      <left style="thin">
        <color rgb="FF999999"/>
      </left>
      <right style="hair">
        <color rgb="FF000000"/>
      </right>
      <bottom style="hair">
        <color rgb="FF000000"/>
      </bottom>
    </border>
    <border>
      <left style="hair">
        <color rgb="FF000000"/>
      </left>
      <right style="thin">
        <color rgb="FF000000"/>
      </right>
      <bottom style="hair">
        <color rgb="FF000000"/>
      </bottom>
    </border>
    <border>
      <bottom style="medium">
        <color rgb="FFC76121"/>
      </bottom>
    </border>
    <border>
      <top style="hair">
        <color rgb="FF000000"/>
      </top>
    </border>
    <border>
      <left style="hair">
        <color rgb="FF000000"/>
      </left>
      <top style="thick">
        <color rgb="FF666666"/>
      </top>
      <bottom style="hair">
        <color rgb="FF000000"/>
      </bottom>
    </border>
    <border>
      <top style="thick">
        <color rgb="FF666666"/>
      </top>
      <bottom style="hair">
        <color rgb="FF000000"/>
      </bottom>
    </border>
    <border>
      <left style="thin">
        <color rgb="FF999999"/>
      </left>
      <right style="hair">
        <color rgb="FF000000"/>
      </right>
      <top style="hair">
        <color rgb="FF000000"/>
      </top>
      <bottom style="thick">
        <color rgb="FF666666"/>
      </bottom>
    </border>
    <border>
      <left style="hair">
        <color rgb="FF000000"/>
      </left>
      <right style="thin">
        <color rgb="FF000000"/>
      </right>
      <top style="hair">
        <color rgb="FF000000"/>
      </top>
      <bottom style="thick">
        <color rgb="FF666666"/>
      </bottom>
    </border>
    <border>
      <left style="hair">
        <color rgb="FF000000"/>
      </left>
      <top style="hair">
        <color rgb="FF000000"/>
      </top>
      <bottom style="thick">
        <color rgb="FF666666"/>
      </bottom>
    </border>
    <border>
      <left style="hair">
        <color rgb="FF000000"/>
      </left>
      <bottom style="hair">
        <color rgb="FF000000"/>
      </bottom>
    </border>
    <border>
      <right style="thin">
        <color rgb="FFD9D9D9"/>
      </right>
      <bottom style="thin">
        <color rgb="FF000000"/>
      </bottom>
    </border>
    <border>
      <left style="thin">
        <color rgb="FF999999"/>
      </left>
      <right style="hair">
        <color rgb="FF000000"/>
      </right>
      <top style="hair">
        <color rgb="FF000000"/>
      </top>
      <bottom style="thin">
        <color rgb="FF000000"/>
      </bottom>
    </border>
    <border>
      <right style="hair">
        <color rgb="FF000000"/>
      </right>
      <top style="hair">
        <color rgb="FF000000"/>
      </top>
      <bottom style="thin">
        <color rgb="FF000000"/>
      </bottom>
    </border>
    <border>
      <left/>
      <right/>
      <top/>
      <bottom/>
    </border>
    <border>
      <left style="thin">
        <color rgb="FF000000"/>
      </left>
      <right/>
      <top style="thin">
        <color rgb="FF000000"/>
      </top>
      <bottom style="thin">
        <color rgb="FF000000"/>
      </bottom>
    </border>
  </borders>
  <cellStyleXfs count="1">
    <xf borderId="0" fillId="0" fontId="0" numFmtId="0" applyAlignment="1" applyFont="1"/>
  </cellStyleXfs>
  <cellXfs count="78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1" numFmtId="0" xfId="0" applyAlignment="1" applyBorder="1" applyFont="1">
      <alignment horizontal="center" shrinkToFit="0" vertical="center" wrapText="1"/>
    </xf>
    <xf borderId="3" fillId="0" fontId="1" numFmtId="0" xfId="0" applyAlignment="1" applyBorder="1" applyFont="1">
      <alignment shrinkToFit="0" vertical="center" wrapText="1"/>
    </xf>
    <xf borderId="3" fillId="0" fontId="1" numFmtId="0" xfId="0" applyAlignment="1" applyBorder="1" applyFont="1">
      <alignment horizontal="center" readingOrder="0" shrinkToFit="0" vertical="center" wrapText="1"/>
    </xf>
    <xf borderId="3" fillId="0" fontId="1" numFmtId="164" xfId="0" applyAlignment="1" applyBorder="1" applyFont="1" applyNumberFormat="1">
      <alignment horizontal="right" readingOrder="0" shrinkToFit="0" vertical="center" wrapText="1"/>
    </xf>
    <xf borderId="3" fillId="0" fontId="3" numFmtId="164" xfId="0" applyAlignment="1" applyBorder="1" applyFont="1" applyNumberFormat="1">
      <alignment shrinkToFit="0" vertical="center" wrapText="1"/>
    </xf>
    <xf borderId="3" fillId="0" fontId="3" numFmtId="0" xfId="0" applyAlignment="1" applyBorder="1" applyFont="1">
      <alignment shrinkToFit="0" vertical="center" wrapText="1"/>
    </xf>
    <xf borderId="3" fillId="0" fontId="3" numFmtId="0" xfId="0" applyAlignment="1" applyBorder="1" applyFont="1">
      <alignment horizontal="center" shrinkToFit="0" vertical="center" wrapText="1"/>
    </xf>
    <xf borderId="3" fillId="0" fontId="3" numFmtId="165" xfId="0" applyAlignment="1" applyBorder="1" applyFont="1" applyNumberFormat="1">
      <alignment shrinkToFit="0" vertical="center" wrapText="1"/>
    </xf>
    <xf borderId="3" fillId="2" fontId="3" numFmtId="0" xfId="0" applyAlignment="1" applyBorder="1" applyFill="1" applyFont="1">
      <alignment horizontal="center" shrinkToFit="0" vertical="center" wrapText="1"/>
    </xf>
    <xf borderId="3" fillId="0" fontId="3" numFmtId="0" xfId="0" applyAlignment="1" applyBorder="1" applyFont="1">
      <alignment horizontal="center" readingOrder="0" shrinkToFit="0" vertical="center" wrapText="1"/>
    </xf>
    <xf borderId="3" fillId="0" fontId="3" numFmtId="164" xfId="0" applyAlignment="1" applyBorder="1" applyFont="1" applyNumberFormat="1">
      <alignment horizontal="right" readingOrder="0" shrinkToFit="0" vertical="center" wrapText="1"/>
    </xf>
    <xf quotePrefix="1" borderId="3" fillId="0" fontId="3" numFmtId="0" xfId="0" applyAlignment="1" applyBorder="1" applyFont="1">
      <alignment horizontal="center" readingOrder="0" shrinkToFit="0" vertical="center" wrapText="1"/>
    </xf>
    <xf borderId="3" fillId="3" fontId="3"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3" fillId="5" fontId="3" numFmtId="0" xfId="0" applyAlignment="1" applyBorder="1" applyFill="1" applyFont="1">
      <alignment horizontal="center" shrinkToFit="0" vertical="center" wrapText="1"/>
    </xf>
    <xf borderId="3" fillId="6" fontId="3" numFmtId="0" xfId="0" applyAlignment="1" applyBorder="1" applyFill="1" applyFont="1">
      <alignment horizontal="center" shrinkToFit="0" vertical="center" wrapText="1"/>
    </xf>
    <xf borderId="3" fillId="0" fontId="3" numFmtId="166" xfId="0" applyAlignment="1" applyBorder="1" applyFont="1" applyNumberFormat="1">
      <alignment horizontal="center" shrinkToFit="0" vertical="center" wrapText="1"/>
    </xf>
    <xf borderId="3" fillId="0" fontId="3" numFmtId="164" xfId="0" applyAlignment="1" applyBorder="1" applyFont="1" applyNumberFormat="1">
      <alignment horizontal="right" shrinkToFit="0" vertical="center" wrapText="1"/>
    </xf>
    <xf borderId="3" fillId="7" fontId="4" numFmtId="0" xfId="0" applyAlignment="1" applyBorder="1" applyFill="1" applyFont="1">
      <alignment horizontal="center" readingOrder="0" shrinkToFit="0" vertical="center" wrapText="1"/>
    </xf>
    <xf borderId="3" fillId="7" fontId="5" numFmtId="0" xfId="0" applyAlignment="1" applyBorder="1" applyFont="1">
      <alignment horizontal="center" shrinkToFit="0" vertical="center" wrapText="1"/>
    </xf>
    <xf borderId="3" fillId="7" fontId="5" numFmtId="166" xfId="0" applyAlignment="1" applyBorder="1" applyFont="1" applyNumberFormat="1">
      <alignment horizontal="center" shrinkToFit="0" vertical="center" wrapText="1"/>
    </xf>
    <xf borderId="3" fillId="7" fontId="5" numFmtId="164" xfId="0" applyAlignment="1" applyBorder="1" applyFont="1" applyNumberFormat="1">
      <alignment horizontal="center" shrinkToFit="0" vertical="center" wrapText="1"/>
    </xf>
    <xf borderId="3" fillId="7" fontId="4" numFmtId="164" xfId="0" applyAlignment="1" applyBorder="1" applyFont="1" applyNumberFormat="1">
      <alignment horizontal="center" readingOrder="0" shrinkToFit="0" vertical="center" wrapText="1"/>
    </xf>
    <xf borderId="3" fillId="7" fontId="4" numFmtId="165" xfId="0" applyAlignment="1" applyBorder="1" applyFont="1" applyNumberFormat="1">
      <alignment horizontal="center" readingOrder="0" shrinkToFit="0" vertical="center" wrapText="1"/>
    </xf>
    <xf borderId="3" fillId="2" fontId="6" numFmtId="0" xfId="0" applyAlignment="1" applyBorder="1" applyFont="1">
      <alignment horizontal="center" shrinkToFit="0" vertical="center" wrapText="1"/>
    </xf>
    <xf borderId="3" fillId="2" fontId="6" numFmtId="0" xfId="0" applyAlignment="1" applyBorder="1" applyFont="1">
      <alignment readingOrder="0" shrinkToFit="0" vertical="center" wrapText="1"/>
    </xf>
    <xf borderId="3" fillId="2" fontId="6" numFmtId="164" xfId="0" applyAlignment="1" applyBorder="1" applyFont="1" applyNumberFormat="1">
      <alignment horizontal="center" readingOrder="0" shrinkToFit="0" vertical="center" wrapText="1"/>
    </xf>
    <xf borderId="3" fillId="2" fontId="6" numFmtId="0" xfId="0" applyAlignment="1" applyBorder="1" applyFont="1">
      <alignment shrinkToFit="0" vertical="center" wrapText="1"/>
    </xf>
    <xf borderId="3" fillId="2" fontId="6" numFmtId="166" xfId="0" applyAlignment="1" applyBorder="1" applyFont="1" applyNumberFormat="1">
      <alignment horizontal="center" shrinkToFit="0" vertical="center" wrapText="1"/>
    </xf>
    <xf borderId="3" fillId="2" fontId="6" numFmtId="164" xfId="0" applyAlignment="1" applyBorder="1" applyFont="1" applyNumberFormat="1">
      <alignment horizontal="right" shrinkToFit="0" vertical="center" wrapText="1"/>
    </xf>
    <xf borderId="3" fillId="2" fontId="3" numFmtId="164" xfId="0" applyAlignment="1" applyBorder="1" applyFont="1" applyNumberFormat="1">
      <alignment shrinkToFit="0" vertical="center" wrapText="1"/>
    </xf>
    <xf borderId="3" fillId="2" fontId="3" numFmtId="0" xfId="0" applyAlignment="1" applyBorder="1" applyFont="1">
      <alignment shrinkToFit="0" vertical="center" wrapText="1"/>
    </xf>
    <xf borderId="3" fillId="2" fontId="3" numFmtId="0" xfId="0" applyAlignment="1" applyBorder="1" applyFont="1">
      <alignment readingOrder="0" shrinkToFit="0" vertical="center" wrapText="1"/>
    </xf>
    <xf borderId="3" fillId="2" fontId="3" numFmtId="165" xfId="0" applyAlignment="1" applyBorder="1" applyFont="1" applyNumberFormat="1">
      <alignment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readingOrder="0" shrinkToFit="0" vertical="center" wrapText="1"/>
    </xf>
    <xf borderId="3" fillId="0" fontId="6" numFmtId="164" xfId="0" applyAlignment="1" applyBorder="1" applyFont="1" applyNumberFormat="1">
      <alignment horizontal="center" readingOrder="0" shrinkToFit="0" vertical="center" wrapText="1"/>
    </xf>
    <xf borderId="3" fillId="0" fontId="6" numFmtId="0" xfId="0" applyAlignment="1" applyBorder="1" applyFont="1">
      <alignment shrinkToFit="0" vertical="center" wrapText="1"/>
    </xf>
    <xf borderId="3" fillId="0" fontId="6" numFmtId="166" xfId="0" applyAlignment="1" applyBorder="1" applyFont="1" applyNumberFormat="1">
      <alignment horizontal="center" shrinkToFit="0" vertical="center" wrapText="1"/>
    </xf>
    <xf borderId="3" fillId="0" fontId="6" numFmtId="164" xfId="0" applyAlignment="1" applyBorder="1" applyFont="1" applyNumberFormat="1">
      <alignment horizontal="right" shrinkToFit="0" vertical="center" wrapText="1"/>
    </xf>
    <xf borderId="3" fillId="0" fontId="3" numFmtId="0" xfId="0" applyAlignment="1" applyBorder="1" applyFont="1">
      <alignment readingOrder="0" shrinkToFit="0" vertical="center" wrapText="1"/>
    </xf>
    <xf borderId="3" fillId="8" fontId="6" numFmtId="164" xfId="0" applyAlignment="1" applyBorder="1" applyFill="1" applyFont="1" applyNumberFormat="1">
      <alignment horizontal="right" shrinkToFit="0" vertical="center" wrapText="1"/>
    </xf>
    <xf borderId="3" fillId="3" fontId="6" numFmtId="0" xfId="0" applyAlignment="1" applyBorder="1" applyFont="1">
      <alignment horizontal="center" shrinkToFit="0" vertical="center" wrapText="1"/>
    </xf>
    <xf borderId="3" fillId="3" fontId="6" numFmtId="0" xfId="0" applyAlignment="1" applyBorder="1" applyFont="1">
      <alignment readingOrder="0" shrinkToFit="0" vertical="center" wrapText="1"/>
    </xf>
    <xf borderId="3" fillId="3" fontId="6" numFmtId="164" xfId="0" applyAlignment="1" applyBorder="1" applyFont="1" applyNumberFormat="1">
      <alignment horizontal="center" readingOrder="0" shrinkToFit="0" vertical="center" wrapText="1"/>
    </xf>
    <xf borderId="3" fillId="3" fontId="6" numFmtId="0" xfId="0" applyAlignment="1" applyBorder="1" applyFont="1">
      <alignment shrinkToFit="0" vertical="center" wrapText="1"/>
    </xf>
    <xf borderId="3" fillId="3" fontId="6" numFmtId="166" xfId="0" applyAlignment="1" applyBorder="1" applyFont="1" applyNumberFormat="1">
      <alignment horizontal="center" shrinkToFit="0" vertical="center" wrapText="1"/>
    </xf>
    <xf borderId="3" fillId="3" fontId="6" numFmtId="164" xfId="0" applyAlignment="1" applyBorder="1" applyFont="1" applyNumberFormat="1">
      <alignment horizontal="right" shrinkToFit="0" vertical="center" wrapText="1"/>
    </xf>
    <xf borderId="3" fillId="3" fontId="3" numFmtId="164" xfId="0" applyAlignment="1" applyBorder="1" applyFont="1" applyNumberFormat="1">
      <alignment shrinkToFit="0" vertical="center" wrapText="1"/>
    </xf>
    <xf borderId="3" fillId="3" fontId="3" numFmtId="0" xfId="0" applyAlignment="1" applyBorder="1" applyFont="1">
      <alignment shrinkToFit="0" vertical="center" wrapText="1"/>
    </xf>
    <xf borderId="3" fillId="3" fontId="3" numFmtId="0" xfId="0" applyAlignment="1" applyBorder="1" applyFont="1">
      <alignment readingOrder="0" shrinkToFit="0" vertical="center" wrapText="1"/>
    </xf>
    <xf borderId="3" fillId="3" fontId="3" numFmtId="165" xfId="0" applyAlignment="1" applyBorder="1" applyFont="1" applyNumberFormat="1">
      <alignment shrinkToFit="0" vertical="center" wrapText="1"/>
    </xf>
    <xf borderId="3" fillId="9" fontId="6" numFmtId="0" xfId="0" applyAlignment="1" applyBorder="1" applyFill="1" applyFont="1">
      <alignment horizontal="center" shrinkToFit="0" vertical="center" wrapText="1"/>
    </xf>
    <xf borderId="3" fillId="9" fontId="6" numFmtId="0" xfId="0" applyAlignment="1" applyBorder="1" applyFont="1">
      <alignment readingOrder="0" shrinkToFit="0" vertical="center" wrapText="1"/>
    </xf>
    <xf borderId="3" fillId="9" fontId="6" numFmtId="164" xfId="0" applyAlignment="1" applyBorder="1" applyFont="1" applyNumberFormat="1">
      <alignment horizontal="center" readingOrder="0" shrinkToFit="0" vertical="center" wrapText="1"/>
    </xf>
    <xf borderId="3" fillId="9" fontId="6" numFmtId="0" xfId="0" applyAlignment="1" applyBorder="1" applyFont="1">
      <alignment shrinkToFit="0" vertical="center" wrapText="1"/>
    </xf>
    <xf borderId="3" fillId="9" fontId="6" numFmtId="166" xfId="0" applyAlignment="1" applyBorder="1" applyFont="1" applyNumberFormat="1">
      <alignment horizontal="center" shrinkToFit="0" vertical="center" wrapText="1"/>
    </xf>
    <xf borderId="3" fillId="9" fontId="6" numFmtId="164" xfId="0" applyAlignment="1" applyBorder="1" applyFont="1" applyNumberFormat="1">
      <alignment horizontal="right" shrinkToFit="0" vertical="center" wrapText="1"/>
    </xf>
    <xf borderId="3" fillId="9" fontId="3" numFmtId="164" xfId="0" applyAlignment="1" applyBorder="1" applyFont="1" applyNumberFormat="1">
      <alignment shrinkToFit="0" vertical="center" wrapText="1"/>
    </xf>
    <xf borderId="3" fillId="9" fontId="3" numFmtId="0" xfId="0" applyAlignment="1" applyBorder="1" applyFont="1">
      <alignment readingOrder="0" shrinkToFit="0" vertical="center" wrapText="1"/>
    </xf>
    <xf borderId="3" fillId="9" fontId="3" numFmtId="0" xfId="0" applyAlignment="1" applyBorder="1" applyFont="1">
      <alignment shrinkToFit="0" vertical="center" wrapText="1"/>
    </xf>
    <xf borderId="3" fillId="9" fontId="3" numFmtId="0" xfId="0" applyAlignment="1" applyBorder="1" applyFont="1">
      <alignment horizontal="center" shrinkToFit="0" vertical="center" wrapText="1"/>
    </xf>
    <xf borderId="3" fillId="9" fontId="3" numFmtId="165" xfId="0" applyAlignment="1" applyBorder="1" applyFont="1" applyNumberFormat="1">
      <alignment shrinkToFit="0" vertical="center" wrapText="1"/>
    </xf>
    <xf borderId="3" fillId="5" fontId="6" numFmtId="0" xfId="0" applyAlignment="1" applyBorder="1" applyFont="1">
      <alignment horizontal="center" shrinkToFit="0" vertical="center" wrapText="1"/>
    </xf>
    <xf borderId="3" fillId="5" fontId="6" numFmtId="0" xfId="0" applyAlignment="1" applyBorder="1" applyFont="1">
      <alignment readingOrder="0" shrinkToFit="0" vertical="center" wrapText="1"/>
    </xf>
    <xf borderId="3" fillId="5" fontId="6" numFmtId="164" xfId="0" applyAlignment="1" applyBorder="1" applyFont="1" applyNumberFormat="1">
      <alignment horizontal="center" readingOrder="0" shrinkToFit="0" vertical="center" wrapText="1"/>
    </xf>
    <xf borderId="3" fillId="5" fontId="6" numFmtId="0" xfId="0" applyAlignment="1" applyBorder="1" applyFont="1">
      <alignment shrinkToFit="0" vertical="center" wrapText="1"/>
    </xf>
    <xf borderId="3" fillId="5" fontId="6" numFmtId="166" xfId="0" applyAlignment="1" applyBorder="1" applyFont="1" applyNumberFormat="1">
      <alignment horizontal="center" shrinkToFit="0" vertical="center" wrapText="1"/>
    </xf>
    <xf borderId="3" fillId="5" fontId="6" numFmtId="164" xfId="0" applyAlignment="1" applyBorder="1" applyFont="1" applyNumberFormat="1">
      <alignment horizontal="right" shrinkToFit="0" vertical="center" wrapText="1"/>
    </xf>
    <xf borderId="3" fillId="5" fontId="3" numFmtId="0" xfId="0" applyAlignment="1" applyBorder="1" applyFont="1">
      <alignment shrinkToFit="0" vertical="center" wrapText="1"/>
    </xf>
    <xf borderId="3" fillId="5" fontId="3" numFmtId="0" xfId="0" applyAlignment="1" applyBorder="1" applyFont="1">
      <alignment readingOrder="0" shrinkToFit="0" vertical="center" wrapText="1"/>
    </xf>
    <xf borderId="3" fillId="5" fontId="3" numFmtId="165" xfId="0" applyAlignment="1" applyBorder="1" applyFont="1" applyNumberFormat="1">
      <alignment shrinkToFit="0" vertical="center" wrapText="1"/>
    </xf>
    <xf borderId="3" fillId="9" fontId="6" numFmtId="0" xfId="0" applyAlignment="1" applyBorder="1" applyFont="1">
      <alignment horizontal="center" readingOrder="0" shrinkToFit="0" vertical="center" wrapText="1"/>
    </xf>
    <xf borderId="3" fillId="8" fontId="6" numFmtId="0" xfId="0" applyAlignment="1" applyBorder="1" applyFont="1">
      <alignment horizontal="center" shrinkToFit="0" vertical="center" wrapText="1"/>
    </xf>
    <xf borderId="3" fillId="8" fontId="6" numFmtId="0" xfId="0" applyAlignment="1" applyBorder="1" applyFont="1">
      <alignment readingOrder="0" shrinkToFit="0" vertical="center" wrapText="1"/>
    </xf>
    <xf borderId="3" fillId="8" fontId="6" numFmtId="164" xfId="0" applyAlignment="1" applyBorder="1" applyFont="1" applyNumberFormat="1">
      <alignment horizontal="center" readingOrder="0" shrinkToFit="0" vertical="center" wrapText="1"/>
    </xf>
    <xf borderId="3" fillId="8" fontId="6" numFmtId="0" xfId="0" applyAlignment="1" applyBorder="1" applyFont="1">
      <alignment shrinkToFit="0" vertical="center" wrapText="1"/>
    </xf>
    <xf borderId="3" fillId="8" fontId="6" numFmtId="166" xfId="0" applyAlignment="1" applyBorder="1" applyFont="1" applyNumberFormat="1">
      <alignment horizontal="center" shrinkToFit="0" vertical="center" wrapText="1"/>
    </xf>
    <xf borderId="3" fillId="8" fontId="3" numFmtId="0" xfId="0" applyAlignment="1" applyBorder="1" applyFont="1">
      <alignment readingOrder="0" shrinkToFit="0" vertical="center" wrapText="1"/>
    </xf>
    <xf borderId="3" fillId="8" fontId="3" numFmtId="0" xfId="0" applyAlignment="1" applyBorder="1" applyFont="1">
      <alignment horizontal="center" shrinkToFit="0" vertical="center" wrapText="1"/>
    </xf>
    <xf borderId="3" fillId="8" fontId="3" numFmtId="0" xfId="0" applyAlignment="1" applyBorder="1" applyFont="1">
      <alignment shrinkToFit="0" vertical="center" wrapText="1"/>
    </xf>
    <xf borderId="3" fillId="8" fontId="3" numFmtId="165" xfId="0" applyAlignment="1" applyBorder="1" applyFont="1" applyNumberFormat="1">
      <alignment shrinkToFit="0" vertical="center" wrapText="1"/>
    </xf>
    <xf borderId="3" fillId="2" fontId="6" numFmtId="164" xfId="0" applyAlignment="1" applyBorder="1" applyFont="1" applyNumberFormat="1">
      <alignment horizontal="right" readingOrder="0" shrinkToFit="0" vertical="center" wrapText="1"/>
    </xf>
    <xf borderId="3" fillId="4" fontId="6" numFmtId="0" xfId="0" applyAlignment="1" applyBorder="1" applyFont="1">
      <alignment horizontal="center" shrinkToFit="0" vertical="center" wrapText="1"/>
    </xf>
    <xf borderId="3" fillId="4" fontId="6" numFmtId="0" xfId="0" applyAlignment="1" applyBorder="1" applyFont="1">
      <alignment readingOrder="0" shrinkToFit="0" vertical="center" wrapText="1"/>
    </xf>
    <xf borderId="3" fillId="4" fontId="6" numFmtId="164" xfId="0" applyAlignment="1" applyBorder="1" applyFont="1" applyNumberFormat="1">
      <alignment horizontal="center" readingOrder="0" shrinkToFit="0" vertical="center" wrapText="1"/>
    </xf>
    <xf borderId="3" fillId="4" fontId="6" numFmtId="0" xfId="0" applyAlignment="1" applyBorder="1" applyFont="1">
      <alignment shrinkToFit="0" vertical="center" wrapText="1"/>
    </xf>
    <xf borderId="3" fillId="4" fontId="6" numFmtId="166" xfId="0" applyAlignment="1" applyBorder="1" applyFont="1" applyNumberFormat="1">
      <alignment horizontal="center" shrinkToFit="0" vertical="center" wrapText="1"/>
    </xf>
    <xf borderId="3" fillId="4" fontId="3" numFmtId="164" xfId="0" applyAlignment="1" applyBorder="1" applyFont="1" applyNumberFormat="1">
      <alignment horizontal="right" shrinkToFit="0" vertical="center" wrapText="1"/>
    </xf>
    <xf borderId="3" fillId="4" fontId="3" numFmtId="164" xfId="0" applyAlignment="1" applyBorder="1" applyFont="1" applyNumberFormat="1">
      <alignment shrinkToFit="0" vertical="center" wrapText="1"/>
    </xf>
    <xf borderId="3" fillId="4" fontId="3" numFmtId="0" xfId="0" applyAlignment="1" applyBorder="1" applyFont="1">
      <alignment shrinkToFit="0" vertical="center" wrapText="1"/>
    </xf>
    <xf borderId="3" fillId="4" fontId="3" numFmtId="0" xfId="0" applyAlignment="1" applyBorder="1" applyFont="1">
      <alignment readingOrder="0" shrinkToFit="0" vertical="center" wrapText="1"/>
    </xf>
    <xf borderId="3" fillId="4" fontId="3" numFmtId="165" xfId="0" applyAlignment="1" applyBorder="1" applyFont="1" applyNumberFormat="1">
      <alignment readingOrder="0" shrinkToFit="0" vertical="center" wrapText="1"/>
    </xf>
    <xf borderId="3" fillId="0" fontId="3" numFmtId="0" xfId="0" applyAlignment="1" applyBorder="1" applyFont="1">
      <alignment shrinkToFit="0" vertical="center" wrapText="1"/>
    </xf>
    <xf borderId="3" fillId="3" fontId="3" numFmtId="165" xfId="0" applyAlignment="1" applyBorder="1" applyFont="1" applyNumberFormat="1">
      <alignment readingOrder="0" shrinkToFit="0" vertical="center" wrapText="1"/>
    </xf>
    <xf borderId="3" fillId="8" fontId="3" numFmtId="164" xfId="0" applyAlignment="1" applyBorder="1" applyFont="1" applyNumberFormat="1">
      <alignment shrinkToFit="0" vertical="center" wrapText="1"/>
    </xf>
    <xf borderId="3" fillId="8" fontId="6" numFmtId="0" xfId="0" applyAlignment="1" applyBorder="1" applyFont="1">
      <alignment horizontal="center" readingOrder="0" shrinkToFit="0" vertical="center" wrapText="1"/>
    </xf>
    <xf borderId="3" fillId="8" fontId="6" numFmtId="164" xfId="0" applyAlignment="1" applyBorder="1" applyFont="1" applyNumberFormat="1">
      <alignment horizontal="right" readingOrder="0" shrinkToFit="0" vertical="center" wrapText="1"/>
    </xf>
    <xf borderId="3" fillId="8" fontId="3" numFmtId="164" xfId="0" applyAlignment="1" applyBorder="1" applyFont="1" applyNumberFormat="1">
      <alignment horizontal="right" shrinkToFit="0" vertical="center" wrapText="1"/>
    </xf>
    <xf borderId="3" fillId="10" fontId="6" numFmtId="0" xfId="0" applyAlignment="1" applyBorder="1" applyFill="1" applyFont="1">
      <alignment horizontal="center" shrinkToFit="0" vertical="center" wrapText="1"/>
    </xf>
    <xf borderId="3" fillId="10" fontId="6" numFmtId="0" xfId="0" applyAlignment="1" applyBorder="1" applyFont="1">
      <alignment readingOrder="0" shrinkToFit="0" vertical="center" wrapText="1"/>
    </xf>
    <xf borderId="3" fillId="10" fontId="3" numFmtId="0" xfId="0" applyAlignment="1" applyBorder="1" applyFont="1">
      <alignment readingOrder="0" shrinkToFit="0" vertical="center" wrapText="1"/>
    </xf>
    <xf borderId="3" fillId="10" fontId="6" numFmtId="164" xfId="0" applyAlignment="1" applyBorder="1" applyFont="1" applyNumberFormat="1">
      <alignment horizontal="center" readingOrder="0" shrinkToFit="0" vertical="center" wrapText="1"/>
    </xf>
    <xf borderId="3" fillId="10" fontId="6" numFmtId="0" xfId="0" applyAlignment="1" applyBorder="1" applyFont="1">
      <alignment shrinkToFit="0" vertical="center" wrapText="1"/>
    </xf>
    <xf borderId="3" fillId="10" fontId="3" numFmtId="0" xfId="0" applyAlignment="1" applyBorder="1" applyFont="1">
      <alignment shrinkToFit="0" vertical="center" wrapText="1"/>
    </xf>
    <xf borderId="3" fillId="10" fontId="6" numFmtId="166" xfId="0" applyAlignment="1" applyBorder="1" applyFont="1" applyNumberFormat="1">
      <alignment horizontal="center" shrinkToFit="0" vertical="center" wrapText="1"/>
    </xf>
    <xf borderId="3" fillId="10" fontId="3" numFmtId="164" xfId="0" applyAlignment="1" applyBorder="1" applyFont="1" applyNumberFormat="1">
      <alignment horizontal="right" shrinkToFit="0" vertical="center" wrapText="1"/>
    </xf>
    <xf borderId="3" fillId="10" fontId="3" numFmtId="164" xfId="0" applyAlignment="1" applyBorder="1" applyFont="1" applyNumberFormat="1">
      <alignment shrinkToFit="0" vertical="center" wrapText="1"/>
    </xf>
    <xf borderId="3" fillId="10" fontId="3" numFmtId="0" xfId="0" applyAlignment="1" applyBorder="1" applyFont="1">
      <alignment horizontal="center" shrinkToFit="0" vertical="center" wrapText="1"/>
    </xf>
    <xf borderId="3" fillId="10" fontId="3" numFmtId="165" xfId="0" applyAlignment="1" applyBorder="1" applyFont="1" applyNumberFormat="1">
      <alignment shrinkToFit="0" vertical="center" wrapText="1"/>
    </xf>
    <xf borderId="3" fillId="0" fontId="3" numFmtId="0" xfId="0" applyAlignment="1" applyBorder="1" applyFont="1">
      <alignment readingOrder="0" vertical="center"/>
    </xf>
    <xf borderId="3" fillId="5" fontId="3" numFmtId="164" xfId="0" applyAlignment="1" applyBorder="1" applyFont="1" applyNumberFormat="1">
      <alignment horizontal="right" shrinkToFit="0" vertical="center" wrapText="1"/>
    </xf>
    <xf borderId="3" fillId="5" fontId="3" numFmtId="164" xfId="0" applyAlignment="1" applyBorder="1" applyFont="1" applyNumberFormat="1">
      <alignment shrinkToFit="0" vertical="center" wrapText="1"/>
    </xf>
    <xf borderId="3" fillId="0" fontId="3" numFmtId="164" xfId="0" applyAlignment="1" applyBorder="1" applyFont="1" applyNumberFormat="1">
      <alignment readingOrder="0" shrinkToFit="0" vertical="center" wrapText="1"/>
    </xf>
    <xf borderId="3" fillId="11" fontId="6" numFmtId="166" xfId="0" applyAlignment="1" applyBorder="1" applyFill="1" applyFont="1" applyNumberFormat="1">
      <alignment horizontal="center" shrinkToFit="0" vertical="center" wrapText="1"/>
    </xf>
    <xf borderId="3" fillId="8" fontId="6" numFmtId="0" xfId="0" applyBorder="1" applyFont="1"/>
    <xf borderId="3" fillId="0" fontId="7" numFmtId="0" xfId="0" applyAlignment="1" applyBorder="1" applyFont="1">
      <alignment readingOrder="0" vertical="center"/>
    </xf>
    <xf borderId="3" fillId="3" fontId="3" numFmtId="164" xfId="0" applyAlignment="1" applyBorder="1" applyFont="1" applyNumberFormat="1">
      <alignment horizontal="right" shrinkToFit="0" vertical="center" wrapText="1"/>
    </xf>
    <xf borderId="3" fillId="9" fontId="3" numFmtId="164" xfId="0" applyAlignment="1" applyBorder="1" applyFont="1" applyNumberFormat="1">
      <alignment horizontal="right" shrinkToFit="0" vertical="center" wrapText="1"/>
    </xf>
    <xf borderId="3" fillId="0" fontId="6" numFmtId="166" xfId="0" applyAlignment="1" applyBorder="1" applyFont="1" applyNumberFormat="1">
      <alignment horizontal="center" readingOrder="0" shrinkToFit="0" vertical="center" wrapText="1"/>
    </xf>
    <xf borderId="3" fillId="0" fontId="8" numFmtId="164" xfId="0" applyAlignment="1" applyBorder="1" applyFont="1" applyNumberFormat="1">
      <alignment shrinkToFit="0" vertical="center" wrapText="1"/>
    </xf>
    <xf borderId="3" fillId="0" fontId="3" numFmtId="167" xfId="0" applyAlignment="1" applyBorder="1" applyFont="1" applyNumberFormat="1">
      <alignment horizontal="left" shrinkToFit="0" vertical="center" wrapText="1"/>
    </xf>
    <xf borderId="3" fillId="0" fontId="3" numFmtId="0" xfId="0" applyAlignment="1" applyBorder="1" applyFont="1">
      <alignment horizontal="left" shrinkToFit="0" vertical="center" wrapText="1"/>
    </xf>
    <xf borderId="3" fillId="0" fontId="3" numFmtId="0" xfId="0" applyAlignment="1" applyBorder="1" applyFont="1">
      <alignment vertical="center"/>
    </xf>
    <xf borderId="3" fillId="0" fontId="6" numFmtId="0" xfId="0" applyAlignment="1" applyBorder="1" applyFont="1">
      <alignment readingOrder="0" vertical="center"/>
    </xf>
    <xf borderId="3" fillId="0" fontId="6" numFmtId="166" xfId="0" applyAlignment="1" applyBorder="1" applyFont="1" applyNumberFormat="1">
      <alignment horizontal="center" readingOrder="0" shrinkToFit="0" vertical="center" wrapText="0"/>
    </xf>
    <xf borderId="3" fillId="0" fontId="6" numFmtId="164" xfId="0" applyAlignment="1" applyBorder="1" applyFont="1" applyNumberFormat="1">
      <alignment horizontal="right" readingOrder="0" vertical="center"/>
    </xf>
    <xf borderId="3" fillId="0" fontId="6" numFmtId="164" xfId="0" applyAlignment="1" applyBorder="1" applyFont="1" applyNumberFormat="1">
      <alignment horizontal="right" readingOrder="0" shrinkToFit="0" vertical="center" wrapText="0"/>
    </xf>
    <xf borderId="3" fillId="0" fontId="9" numFmtId="0" xfId="0" applyAlignment="1" applyBorder="1" applyFont="1">
      <alignment readingOrder="0" shrinkToFit="0" vertical="center" wrapText="0"/>
    </xf>
    <xf borderId="3" fillId="0" fontId="3" numFmtId="166" xfId="0" applyAlignment="1" applyBorder="1" applyFont="1" applyNumberFormat="1">
      <alignment horizontal="center" readingOrder="0" shrinkToFit="0" vertical="center" wrapText="0"/>
    </xf>
    <xf borderId="3" fillId="0" fontId="6" numFmtId="168" xfId="0" applyAlignment="1" applyBorder="1" applyFont="1" applyNumberFormat="1">
      <alignment horizontal="center" readingOrder="0" shrinkToFit="0" vertical="center" wrapText="1"/>
    </xf>
    <xf borderId="3" fillId="0" fontId="6" numFmtId="0" xfId="0" applyAlignment="1" applyBorder="1" applyFont="1">
      <alignment horizontal="center" readingOrder="0" shrinkToFit="0" vertical="center" wrapText="1"/>
    </xf>
    <xf borderId="3" fillId="8" fontId="3" numFmtId="0" xfId="0" applyAlignment="1" applyBorder="1" applyFont="1">
      <alignment horizontal="center" readingOrder="0" shrinkToFit="0" vertical="center" wrapText="1"/>
    </xf>
    <xf borderId="3" fillId="8" fontId="6" numFmtId="166" xfId="0" applyAlignment="1" applyBorder="1" applyFont="1" applyNumberFormat="1">
      <alignment horizontal="center" readingOrder="0" shrinkToFit="0" vertical="center" wrapText="1"/>
    </xf>
    <xf borderId="3" fillId="8" fontId="3" numFmtId="164" xfId="0" applyAlignment="1" applyBorder="1" applyFont="1" applyNumberFormat="1">
      <alignment horizontal="right" readingOrder="0" shrinkToFit="0" vertical="center" wrapText="1"/>
    </xf>
    <xf borderId="3" fillId="8" fontId="3" numFmtId="164" xfId="0" applyAlignment="1" applyBorder="1" applyFont="1" applyNumberFormat="1">
      <alignment readingOrder="0" shrinkToFit="0" vertical="center" wrapText="1"/>
    </xf>
    <xf borderId="3" fillId="8" fontId="10" numFmtId="164" xfId="0" applyAlignment="1" applyBorder="1" applyFont="1" applyNumberFormat="1">
      <alignment readingOrder="0" shrinkToFit="0" vertical="center" wrapText="1"/>
    </xf>
    <xf borderId="3" fillId="9" fontId="3" numFmtId="0" xfId="0" applyAlignment="1" applyBorder="1" applyFont="1">
      <alignment horizontal="center" readingOrder="0" shrinkToFit="0" vertical="center" wrapText="1"/>
    </xf>
    <xf borderId="3" fillId="9" fontId="6" numFmtId="166" xfId="0" applyAlignment="1" applyBorder="1" applyFont="1" applyNumberFormat="1">
      <alignment horizontal="center" readingOrder="0" shrinkToFit="0" vertical="center" wrapText="1"/>
    </xf>
    <xf borderId="3" fillId="9" fontId="3" numFmtId="164" xfId="0" applyAlignment="1" applyBorder="1" applyFont="1" applyNumberFormat="1">
      <alignment horizontal="right" readingOrder="0" shrinkToFit="0" vertical="center" wrapText="1"/>
    </xf>
    <xf borderId="3" fillId="9" fontId="10" numFmtId="164" xfId="0" applyAlignment="1" applyBorder="1" applyFont="1" applyNumberFormat="1">
      <alignment readingOrder="0" shrinkToFit="0" vertical="center" wrapText="1"/>
    </xf>
    <xf borderId="3" fillId="9" fontId="6" numFmtId="164" xfId="0" applyAlignment="1" applyBorder="1" applyFont="1" applyNumberFormat="1">
      <alignment horizontal="center" shrinkToFit="0" vertical="center" wrapText="1"/>
    </xf>
    <xf borderId="3" fillId="9" fontId="10" numFmtId="164" xfId="0" applyAlignment="1" applyBorder="1" applyFont="1" applyNumberFormat="1">
      <alignment shrinkToFit="0" vertical="center" wrapText="1"/>
    </xf>
    <xf borderId="3" fillId="9" fontId="3" numFmtId="3" xfId="0" applyAlignment="1" applyBorder="1" applyFont="1" applyNumberFormat="1">
      <alignment horizontal="right" readingOrder="0" shrinkToFit="0" vertical="center" wrapText="1"/>
    </xf>
    <xf borderId="3" fillId="9" fontId="3" numFmtId="0" xfId="0" applyAlignment="1" applyBorder="1" applyFont="1">
      <alignment shrinkToFit="0" vertical="center" wrapText="1"/>
    </xf>
    <xf borderId="3" fillId="9" fontId="6" numFmtId="168" xfId="0" applyAlignment="1" applyBorder="1" applyFont="1" applyNumberFormat="1">
      <alignment horizontal="center" readingOrder="0" shrinkToFit="0" vertical="center" wrapText="1"/>
    </xf>
    <xf borderId="3" fillId="9" fontId="3" numFmtId="164" xfId="0" applyAlignment="1" applyBorder="1" applyFont="1" applyNumberFormat="1">
      <alignment readingOrder="0" shrinkToFit="0" vertical="center" wrapText="1"/>
    </xf>
    <xf borderId="3" fillId="12" fontId="3" numFmtId="0" xfId="0" applyAlignment="1" applyBorder="1" applyFill="1" applyFont="1">
      <alignment horizontal="center" readingOrder="0" shrinkToFit="0" vertical="center" wrapText="1"/>
    </xf>
    <xf borderId="3" fillId="12" fontId="3" numFmtId="0" xfId="0" applyAlignment="1" applyBorder="1" applyFont="1">
      <alignment readingOrder="0" shrinkToFit="0" vertical="center" wrapText="1"/>
    </xf>
    <xf borderId="3" fillId="12" fontId="6" numFmtId="164" xfId="0" applyAlignment="1" applyBorder="1" applyFont="1" applyNumberFormat="1">
      <alignment horizontal="center" readingOrder="0" shrinkToFit="0" vertical="center" wrapText="1"/>
    </xf>
    <xf borderId="3" fillId="12" fontId="6" numFmtId="0" xfId="0" applyAlignment="1" applyBorder="1" applyFont="1">
      <alignment shrinkToFit="0" vertical="center" wrapText="1"/>
    </xf>
    <xf borderId="3" fillId="12" fontId="3" numFmtId="0" xfId="0" applyAlignment="1" applyBorder="1" applyFont="1">
      <alignment shrinkToFit="0" vertical="center" wrapText="1"/>
    </xf>
    <xf borderId="3" fillId="12" fontId="6" numFmtId="166" xfId="0" applyAlignment="1" applyBorder="1" applyFont="1" applyNumberFormat="1">
      <alignment horizontal="center" readingOrder="0" shrinkToFit="0" vertical="center" wrapText="1"/>
    </xf>
    <xf borderId="3" fillId="12" fontId="3" numFmtId="164" xfId="0" applyAlignment="1" applyBorder="1" applyFont="1" applyNumberFormat="1">
      <alignment horizontal="right" readingOrder="0" shrinkToFit="0" vertical="center" wrapText="1"/>
    </xf>
    <xf borderId="3" fillId="12" fontId="3" numFmtId="164" xfId="0" applyAlignment="1" applyBorder="1" applyFont="1" applyNumberFormat="1">
      <alignment readingOrder="0" shrinkToFit="0" vertical="center" wrapText="1"/>
    </xf>
    <xf borderId="3" fillId="12" fontId="3" numFmtId="0" xfId="0" applyAlignment="1" applyBorder="1" applyFont="1">
      <alignment horizontal="center" shrinkToFit="0" vertical="center" wrapText="1"/>
    </xf>
    <xf borderId="3" fillId="12" fontId="3" numFmtId="0" xfId="0" applyAlignment="1" applyBorder="1" applyFont="1">
      <alignment shrinkToFit="0" vertical="center" wrapText="1"/>
    </xf>
    <xf borderId="3" fillId="12" fontId="3" numFmtId="165" xfId="0" applyAlignment="1" applyBorder="1" applyFont="1" applyNumberFormat="1">
      <alignment shrinkToFit="0" vertical="center" wrapText="1"/>
    </xf>
    <xf borderId="3" fillId="12" fontId="6" numFmtId="0" xfId="0" applyAlignment="1" applyBorder="1" applyFont="1">
      <alignment horizontal="center" readingOrder="0" shrinkToFit="0" vertical="center" wrapText="1"/>
    </xf>
    <xf borderId="3" fillId="0" fontId="3" numFmtId="166" xfId="0" applyAlignment="1" applyBorder="1" applyFont="1" applyNumberFormat="1">
      <alignment horizontal="center" readingOrder="0" shrinkToFit="0" vertical="center" wrapText="1"/>
    </xf>
    <xf borderId="0" fillId="0" fontId="11" numFmtId="0" xfId="0" applyAlignment="1" applyFont="1">
      <alignment horizontal="center" vertical="center"/>
    </xf>
    <xf borderId="4" fillId="0" fontId="11" numFmtId="0" xfId="0" applyAlignment="1" applyBorder="1" applyFont="1">
      <alignment horizontal="center" vertical="center"/>
    </xf>
    <xf borderId="0" fillId="2" fontId="11" numFmtId="0" xfId="0" applyAlignment="1" applyFont="1">
      <alignment horizontal="center" vertical="center"/>
    </xf>
    <xf borderId="5" fillId="8" fontId="11" numFmtId="0" xfId="0" applyAlignment="1" applyBorder="1" applyFont="1">
      <alignment horizontal="center" readingOrder="0" vertical="center"/>
    </xf>
    <xf borderId="5" fillId="0" fontId="11" numFmtId="0" xfId="0" applyAlignment="1" applyBorder="1" applyFont="1">
      <alignment horizontal="center" readingOrder="0" vertical="center"/>
    </xf>
    <xf borderId="6" fillId="8" fontId="11" numFmtId="0" xfId="0" applyAlignment="1" applyBorder="1" applyFont="1">
      <alignment horizontal="center" vertical="center"/>
    </xf>
    <xf borderId="6" fillId="0" fontId="11" numFmtId="0" xfId="0" applyAlignment="1" applyBorder="1" applyFont="1">
      <alignment horizontal="center" vertical="center"/>
    </xf>
    <xf borderId="5" fillId="8" fontId="12" numFmtId="0" xfId="0" applyAlignment="1" applyBorder="1" applyFont="1">
      <alignment horizontal="center" readingOrder="0" shrinkToFit="0" vertical="center" wrapText="1"/>
    </xf>
    <xf borderId="5" fillId="0" fontId="11" numFmtId="0" xfId="0" applyAlignment="1" applyBorder="1" applyFont="1">
      <alignment horizontal="center" vertical="center"/>
    </xf>
    <xf borderId="5" fillId="8" fontId="11" numFmtId="0" xfId="0" applyAlignment="1" applyBorder="1" applyFont="1">
      <alignment horizontal="center" vertical="center"/>
    </xf>
    <xf borderId="5" fillId="0" fontId="12" numFmtId="0" xfId="0" applyAlignment="1" applyBorder="1" applyFont="1">
      <alignment horizontal="center" readingOrder="0" shrinkToFit="0" vertical="center" wrapText="1"/>
    </xf>
    <xf borderId="6" fillId="8" fontId="13" numFmtId="0" xfId="0" applyAlignment="1" applyBorder="1" applyFont="1">
      <alignment horizontal="center"/>
    </xf>
    <xf borderId="7" fillId="13" fontId="14" numFmtId="0" xfId="0" applyAlignment="1" applyBorder="1" applyFill="1" applyFont="1">
      <alignment horizontal="center" readingOrder="0" shrinkToFit="0" vertical="center" wrapText="1"/>
    </xf>
    <xf borderId="7" fillId="13" fontId="14" numFmtId="165" xfId="0" applyAlignment="1" applyBorder="1" applyFont="1" applyNumberFormat="1">
      <alignment horizontal="center" readingOrder="0" shrinkToFit="0" vertical="center" wrapText="1"/>
    </xf>
    <xf borderId="8" fillId="13" fontId="14" numFmtId="0" xfId="0" applyAlignment="1" applyBorder="1" applyFont="1">
      <alignment horizontal="center" readingOrder="0" shrinkToFit="0" vertical="center" wrapText="1"/>
    </xf>
    <xf borderId="0" fillId="13" fontId="14" numFmtId="0" xfId="0" applyAlignment="1" applyFont="1">
      <alignment horizontal="center" readingOrder="0" shrinkToFit="0" vertical="center" wrapText="1"/>
    </xf>
    <xf borderId="9" fillId="13" fontId="14" numFmtId="0" xfId="0" applyAlignment="1" applyBorder="1" applyFont="1">
      <alignment horizontal="center" readingOrder="0" shrinkToFit="0" vertical="center" wrapText="1"/>
    </xf>
    <xf borderId="10" fillId="13" fontId="14"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2" fillId="13" fontId="14" numFmtId="0" xfId="0" applyAlignment="1" applyBorder="1" applyFont="1">
      <alignment horizontal="center" readingOrder="0" shrinkToFit="0" vertical="center" wrapText="1"/>
    </xf>
    <xf borderId="15" fillId="13" fontId="14" numFmtId="165" xfId="0" applyAlignment="1" applyBorder="1" applyFont="1" applyNumberFormat="1">
      <alignment horizontal="center" readingOrder="0" shrinkToFit="0" vertical="center" wrapText="1"/>
    </xf>
    <xf borderId="15" fillId="13" fontId="14" numFmtId="0" xfId="0" applyAlignment="1" applyBorder="1" applyFont="1">
      <alignment horizontal="center" readingOrder="0" shrinkToFit="0" vertical="center" wrapText="1"/>
    </xf>
    <xf borderId="10" fillId="0" fontId="15" numFmtId="0" xfId="0" applyAlignment="1" applyBorder="1" applyFont="1">
      <alignment horizontal="center" readingOrder="0" shrinkToFit="0" vertical="center" wrapText="1"/>
    </xf>
    <xf borderId="15" fillId="0" fontId="16" numFmtId="0" xfId="0" applyAlignment="1" applyBorder="1" applyFont="1">
      <alignment horizontal="center" readingOrder="0" shrinkToFit="0" vertical="center" wrapText="1"/>
    </xf>
    <xf borderId="15" fillId="0" fontId="16" numFmtId="0" xfId="0" applyAlignment="1" applyBorder="1" applyFont="1">
      <alignment readingOrder="0" shrinkToFit="0" vertical="center" wrapText="1"/>
    </xf>
    <xf borderId="15" fillId="0" fontId="16" numFmtId="165" xfId="0" applyAlignment="1" applyBorder="1" applyFont="1" applyNumberFormat="1">
      <alignment horizontal="center" readingOrder="0" shrinkToFit="0" vertical="center" wrapText="1"/>
    </xf>
    <xf borderId="15" fillId="0" fontId="17" numFmtId="0" xfId="0" applyAlignment="1" applyBorder="1" applyFont="1">
      <alignment readingOrder="0" shrinkToFit="0" vertical="center" wrapText="0"/>
    </xf>
    <xf borderId="16" fillId="0" fontId="16" numFmtId="0" xfId="0" applyAlignment="1" applyBorder="1" applyFont="1">
      <alignment shrinkToFit="0" vertical="center" wrapText="1"/>
    </xf>
    <xf borderId="12" fillId="0" fontId="16" numFmtId="0" xfId="0" applyAlignment="1" applyBorder="1" applyFont="1">
      <alignment horizontal="center" readingOrder="0" shrinkToFit="0" vertical="center" wrapText="1"/>
    </xf>
    <xf borderId="15" fillId="0" fontId="16" numFmtId="165" xfId="0" applyAlignment="1" applyBorder="1" applyFont="1" applyNumberFormat="1">
      <alignment horizontal="center" shrinkToFit="0" vertical="center" wrapText="1"/>
    </xf>
    <xf borderId="7" fillId="0" fontId="16" numFmtId="165" xfId="0" applyAlignment="1" applyBorder="1" applyFont="1" applyNumberFormat="1">
      <alignment horizontal="center" shrinkToFit="0" vertical="center" wrapText="1"/>
    </xf>
    <xf borderId="10" fillId="0" fontId="16" numFmtId="0" xfId="0" applyAlignment="1" applyBorder="1" applyFont="1">
      <alignment readingOrder="0" shrinkToFit="0" vertical="center" wrapText="1"/>
    </xf>
    <xf borderId="9" fillId="0" fontId="16" numFmtId="0" xfId="0" applyAlignment="1" applyBorder="1" applyFont="1">
      <alignment horizontal="center" shrinkToFit="0" vertical="center" wrapText="1"/>
    </xf>
    <xf borderId="15" fillId="0" fontId="16" numFmtId="0" xfId="0" applyAlignment="1" applyBorder="1" applyFont="1">
      <alignment shrinkToFit="0" vertical="center" wrapText="1"/>
    </xf>
    <xf borderId="17" fillId="0" fontId="2" numFmtId="0" xfId="0" applyBorder="1" applyFont="1"/>
    <xf borderId="15" fillId="0" fontId="16" numFmtId="0" xfId="0" applyAlignment="1" applyBorder="1" applyFont="1">
      <alignment shrinkToFit="0" vertical="center" wrapText="0"/>
    </xf>
    <xf borderId="12" fillId="0" fontId="16" numFmtId="0" xfId="0" applyAlignment="1" applyBorder="1" applyFont="1">
      <alignment horizontal="center" shrinkToFit="0" vertical="center" wrapText="1"/>
    </xf>
    <xf borderId="10" fillId="0" fontId="16" numFmtId="0" xfId="0" applyAlignment="1" applyBorder="1" applyFont="1">
      <alignment shrinkToFit="0" vertical="center" wrapText="1"/>
    </xf>
    <xf borderId="15" fillId="14" fontId="16" numFmtId="165" xfId="0" applyAlignment="1" applyBorder="1" applyFill="1" applyFont="1" applyNumberFormat="1">
      <alignment horizontal="center" readingOrder="0" shrinkToFit="0" vertical="center" wrapText="1"/>
    </xf>
    <xf borderId="15" fillId="14" fontId="16" numFmtId="0" xfId="0" applyAlignment="1" applyBorder="1" applyFont="1">
      <alignment readingOrder="0" shrinkToFit="0" vertical="center" wrapText="0"/>
    </xf>
    <xf borderId="15" fillId="0" fontId="16" numFmtId="0" xfId="0" applyAlignment="1" applyBorder="1" applyFont="1">
      <alignment readingOrder="0" shrinkToFit="0" vertical="center" wrapText="0"/>
    </xf>
    <xf borderId="16" fillId="0" fontId="16" numFmtId="0" xfId="0" applyAlignment="1" applyBorder="1" applyFont="1">
      <alignment readingOrder="0" shrinkToFit="0" vertical="center" wrapText="1"/>
    </xf>
    <xf borderId="15" fillId="15" fontId="16" numFmtId="0" xfId="0" applyAlignment="1" applyBorder="1" applyFill="1" applyFont="1">
      <alignment horizontal="center" readingOrder="0" shrinkToFit="0" vertical="center" wrapText="1"/>
    </xf>
    <xf borderId="15" fillId="15" fontId="16" numFmtId="0" xfId="0" applyAlignment="1" applyBorder="1" applyFont="1">
      <alignment readingOrder="0" shrinkToFit="0" vertical="center" wrapText="1"/>
    </xf>
    <xf borderId="15" fillId="15" fontId="16" numFmtId="165" xfId="0" applyAlignment="1" applyBorder="1" applyFont="1" applyNumberFormat="1">
      <alignment horizontal="center" shrinkToFit="0" vertical="center" wrapText="1"/>
    </xf>
    <xf borderId="15" fillId="15" fontId="16" numFmtId="0" xfId="0" applyAlignment="1" applyBorder="1" applyFont="1">
      <alignment shrinkToFit="0" vertical="center" wrapText="0"/>
    </xf>
    <xf borderId="16" fillId="15" fontId="16" numFmtId="0" xfId="0" applyAlignment="1" applyBorder="1" applyFont="1">
      <alignment shrinkToFit="0" vertical="center" wrapText="1"/>
    </xf>
    <xf borderId="12" fillId="15" fontId="16" numFmtId="0" xfId="0" applyAlignment="1" applyBorder="1" applyFont="1">
      <alignment horizontal="center" readingOrder="0" shrinkToFit="0" vertical="center" wrapText="1"/>
    </xf>
    <xf borderId="10" fillId="15" fontId="16" numFmtId="0" xfId="0" applyAlignment="1" applyBorder="1" applyFont="1">
      <alignment readingOrder="0" shrinkToFit="0" vertical="center" wrapText="1"/>
    </xf>
    <xf borderId="9" fillId="15" fontId="16" numFmtId="0" xfId="0" applyAlignment="1" applyBorder="1" applyFont="1">
      <alignment horizontal="center" shrinkToFit="0" vertical="center" wrapText="1"/>
    </xf>
    <xf borderId="15" fillId="15" fontId="16" numFmtId="165" xfId="0" applyAlignment="1" applyBorder="1" applyFont="1" applyNumberFormat="1">
      <alignment horizontal="center" readingOrder="0" shrinkToFit="0" vertical="center" wrapText="1"/>
    </xf>
    <xf borderId="15" fillId="0" fontId="18" numFmtId="0" xfId="0" applyAlignment="1" applyBorder="1" applyFont="1">
      <alignment readingOrder="0" shrinkToFit="0" vertical="center" wrapText="0"/>
    </xf>
    <xf borderId="11" fillId="0" fontId="15" numFmtId="0" xfId="0" applyAlignment="1" applyBorder="1" applyFont="1">
      <alignment horizontal="center" readingOrder="0" shrinkToFit="0" vertical="center" wrapText="1"/>
    </xf>
    <xf borderId="12" fillId="0" fontId="15" numFmtId="0" xfId="0" applyAlignment="1" applyBorder="1" applyFont="1">
      <alignment horizontal="center" readingOrder="0" shrinkToFit="0" vertical="center" wrapText="1"/>
    </xf>
    <xf borderId="15" fillId="0" fontId="19" numFmtId="0" xfId="0" applyAlignment="1" applyBorder="1" applyFont="1">
      <alignment readingOrder="0" shrinkToFit="0" vertical="center" wrapText="0"/>
    </xf>
    <xf borderId="15" fillId="15" fontId="20" numFmtId="0" xfId="0" applyAlignment="1" applyBorder="1" applyFont="1">
      <alignment readingOrder="0" shrinkToFit="0" vertical="center" wrapText="0"/>
    </xf>
    <xf borderId="16" fillId="15" fontId="16" numFmtId="0" xfId="0" applyAlignment="1" applyBorder="1" applyFont="1">
      <alignment readingOrder="0" shrinkToFit="0" vertical="center" wrapText="1"/>
    </xf>
    <xf borderId="10" fillId="15" fontId="16" numFmtId="0" xfId="0" applyAlignment="1" applyBorder="1" applyFont="1">
      <alignment shrinkToFit="0" vertical="center" wrapText="1"/>
    </xf>
    <xf borderId="15" fillId="15" fontId="16" numFmtId="0" xfId="0" applyAlignment="1" applyBorder="1" applyFont="1">
      <alignment shrinkToFit="0" vertical="center" wrapText="1"/>
    </xf>
    <xf borderId="15" fillId="15" fontId="16" numFmtId="0" xfId="0" applyAlignment="1" applyBorder="1" applyFont="1">
      <alignment readingOrder="0" shrinkToFit="0" vertical="center" wrapText="0"/>
    </xf>
    <xf borderId="12" fillId="15" fontId="16" numFmtId="0" xfId="0" applyAlignment="1" applyBorder="1" applyFont="1">
      <alignment horizontal="center" shrinkToFit="0" vertical="center" wrapText="1"/>
    </xf>
    <xf borderId="15" fillId="16" fontId="16" numFmtId="0" xfId="0" applyAlignment="1" applyBorder="1" applyFill="1" applyFont="1">
      <alignment horizontal="center" readingOrder="0" shrinkToFit="0" vertical="center" wrapText="1"/>
    </xf>
    <xf borderId="15" fillId="16" fontId="16" numFmtId="0" xfId="0" applyAlignment="1" applyBorder="1" applyFont="1">
      <alignment readingOrder="0" shrinkToFit="0" vertical="center" wrapText="1"/>
    </xf>
    <xf borderId="15" fillId="16" fontId="16" numFmtId="165" xfId="0" applyAlignment="1" applyBorder="1" applyFont="1" applyNumberFormat="1">
      <alignment horizontal="center" readingOrder="0" shrinkToFit="0" vertical="center" wrapText="1"/>
    </xf>
    <xf borderId="15" fillId="16" fontId="16" numFmtId="0" xfId="0" applyAlignment="1" applyBorder="1" applyFont="1">
      <alignment readingOrder="0" shrinkToFit="0" vertical="center" wrapText="0"/>
    </xf>
    <xf borderId="15" fillId="16" fontId="16" numFmtId="165" xfId="0" applyAlignment="1" applyBorder="1" applyFont="1" applyNumberFormat="1">
      <alignment horizontal="center" shrinkToFit="0" vertical="center" wrapText="1"/>
    </xf>
    <xf borderId="15" fillId="16" fontId="16" numFmtId="0" xfId="0" applyAlignment="1" applyBorder="1" applyFont="1">
      <alignment shrinkToFit="0" vertical="center" wrapText="0"/>
    </xf>
    <xf borderId="16" fillId="16" fontId="16" numFmtId="0" xfId="0" applyAlignment="1" applyBorder="1" applyFont="1">
      <alignment shrinkToFit="0" vertical="center" wrapText="1"/>
    </xf>
    <xf borderId="12" fillId="16" fontId="16" numFmtId="0" xfId="0" applyAlignment="1" applyBorder="1" applyFont="1">
      <alignment horizontal="center" readingOrder="0" shrinkToFit="0" vertical="center" wrapText="1"/>
    </xf>
    <xf borderId="10" fillId="16" fontId="16" numFmtId="0" xfId="0" applyAlignment="1" applyBorder="1" applyFont="1">
      <alignment readingOrder="0" shrinkToFit="0" vertical="center" wrapText="1"/>
    </xf>
    <xf borderId="9" fillId="16" fontId="16" numFmtId="0" xfId="0" applyAlignment="1" applyBorder="1" applyFont="1">
      <alignment horizontal="center" shrinkToFit="0" vertical="center" wrapText="1"/>
    </xf>
    <xf borderId="15" fillId="16" fontId="16" numFmtId="0" xfId="0" applyAlignment="1" applyBorder="1" applyFont="1">
      <alignment shrinkToFit="0" vertical="center" wrapText="1"/>
    </xf>
    <xf borderId="16" fillId="16" fontId="16" numFmtId="0" xfId="0" applyAlignment="1" applyBorder="1" applyFont="1">
      <alignment readingOrder="0" shrinkToFit="0" vertical="center" wrapText="1"/>
    </xf>
    <xf borderId="15" fillId="16" fontId="21" numFmtId="0" xfId="0" applyAlignment="1" applyBorder="1" applyFont="1">
      <alignment readingOrder="0" shrinkToFit="0" vertical="center" wrapText="0"/>
    </xf>
    <xf borderId="11" fillId="0" fontId="16" numFmtId="0" xfId="0" applyAlignment="1" applyBorder="1" applyFont="1">
      <alignment shrinkToFit="0" vertical="center" wrapText="1"/>
    </xf>
    <xf borderId="11" fillId="0" fontId="16" numFmtId="165" xfId="0" applyAlignment="1" applyBorder="1" applyFont="1" applyNumberFormat="1">
      <alignment horizontal="center" shrinkToFit="0" vertical="center" wrapText="1"/>
    </xf>
    <xf borderId="12" fillId="0" fontId="16" numFmtId="0" xfId="0" applyAlignment="1" applyBorder="1" applyFont="1">
      <alignment shrinkToFit="0" vertical="center" wrapText="1"/>
    </xf>
    <xf borderId="15" fillId="15" fontId="16" numFmtId="0" xfId="0" applyAlignment="1" applyBorder="1" applyFont="1">
      <alignment horizontal="left" readingOrder="0" shrinkToFit="0" vertical="center" wrapText="1"/>
    </xf>
    <xf borderId="16" fillId="15" fontId="16" numFmtId="0" xfId="0" applyAlignment="1" applyBorder="1" applyFont="1">
      <alignment horizontal="center" readingOrder="0" shrinkToFit="0" vertical="center" wrapText="1"/>
    </xf>
    <xf borderId="12" fillId="16" fontId="16" numFmtId="0" xfId="0" applyAlignment="1" applyBorder="1" applyFont="1">
      <alignment horizontal="center" shrinkToFit="0" vertical="center" wrapText="1"/>
    </xf>
    <xf borderId="10" fillId="16" fontId="16" numFmtId="0" xfId="0" applyAlignment="1" applyBorder="1" applyFont="1">
      <alignment shrinkToFit="0" vertical="center" wrapText="1"/>
    </xf>
    <xf borderId="15" fillId="0" fontId="16" numFmtId="0" xfId="0" applyAlignment="1" applyBorder="1" applyFont="1">
      <alignment horizontal="center" shrinkToFit="0" vertical="center" wrapText="1"/>
    </xf>
    <xf borderId="4" fillId="17" fontId="22" numFmtId="0" xfId="0" applyAlignment="1" applyBorder="1" applyFill="1" applyFont="1">
      <alignment horizontal="center" readingOrder="0" shrinkToFit="0" vertical="center" wrapText="1"/>
    </xf>
    <xf borderId="4" fillId="17" fontId="22" numFmtId="169" xfId="0" applyAlignment="1" applyBorder="1" applyFont="1" applyNumberFormat="1">
      <alignment horizontal="center" readingOrder="0" shrinkToFit="0" vertical="center" wrapText="1"/>
    </xf>
    <xf borderId="3" fillId="17" fontId="22" numFmtId="0" xfId="0" applyAlignment="1" applyBorder="1" applyFont="1">
      <alignment horizontal="center" readingOrder="0" shrinkToFit="0" vertical="center" wrapText="0"/>
    </xf>
    <xf borderId="6" fillId="0" fontId="2" numFmtId="0" xfId="0" applyBorder="1" applyFont="1"/>
    <xf borderId="3" fillId="17" fontId="23"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3" fillId="0" fontId="25" numFmtId="0" xfId="0" applyAlignment="1" applyBorder="1" applyFont="1">
      <alignment horizontal="left" readingOrder="0" shrinkToFit="0" vertical="center" wrapText="1"/>
    </xf>
    <xf borderId="3" fillId="0" fontId="25" numFmtId="0" xfId="0" applyAlignment="1" applyBorder="1" applyFont="1">
      <alignment horizontal="center" readingOrder="0" shrinkToFit="0" vertical="center" wrapText="1"/>
    </xf>
    <xf borderId="3" fillId="0" fontId="25" numFmtId="169" xfId="0" applyAlignment="1" applyBorder="1" applyFont="1" applyNumberFormat="1">
      <alignment shrinkToFit="0" vertical="center" wrapText="1"/>
    </xf>
    <xf borderId="3" fillId="0" fontId="25" numFmtId="0" xfId="0" applyAlignment="1" applyBorder="1" applyFont="1">
      <alignment readingOrder="0" shrinkToFit="0" vertical="center" wrapText="0"/>
    </xf>
    <xf borderId="5" fillId="0" fontId="2" numFmtId="0" xfId="0" applyBorder="1" applyFont="1"/>
    <xf borderId="4" fillId="0" fontId="24" numFmtId="0" xfId="0" applyAlignment="1" applyBorder="1" applyFont="1">
      <alignment horizontal="center" readingOrder="0" shrinkToFit="0" vertical="center" wrapText="1"/>
    </xf>
    <xf borderId="4" fillId="0" fontId="25" numFmtId="0" xfId="0" applyAlignment="1" applyBorder="1" applyFont="1">
      <alignment horizontal="left" readingOrder="0" shrinkToFit="0" vertical="center" wrapText="1"/>
    </xf>
    <xf borderId="4" fillId="0" fontId="25" numFmtId="0" xfId="0" applyAlignment="1" applyBorder="1" applyFont="1">
      <alignment horizontal="center" readingOrder="0" shrinkToFit="0" vertical="center" wrapText="1"/>
    </xf>
    <xf borderId="4" fillId="0" fontId="25" numFmtId="169" xfId="0" applyAlignment="1" applyBorder="1" applyFont="1" applyNumberFormat="1">
      <alignment shrinkToFit="0" vertical="center" wrapText="1"/>
    </xf>
    <xf borderId="4" fillId="0" fontId="25" numFmtId="0" xfId="0" applyAlignment="1" applyBorder="1" applyFont="1">
      <alignment readingOrder="0" shrinkToFit="0" vertical="center" wrapText="0"/>
    </xf>
    <xf borderId="18" fillId="17" fontId="22" numFmtId="0" xfId="0" applyAlignment="1" applyBorder="1" applyFont="1">
      <alignment horizontal="center" readingOrder="0" shrinkToFit="0" vertical="center" wrapText="1"/>
    </xf>
    <xf borderId="19" fillId="0" fontId="24" numFmtId="0" xfId="0" applyAlignment="1" applyBorder="1" applyFont="1">
      <alignment horizontal="center" readingOrder="0" shrinkToFit="0" vertical="center" wrapText="1"/>
    </xf>
    <xf borderId="20" fillId="0" fontId="25" numFmtId="0" xfId="0" applyAlignment="1" applyBorder="1" applyFont="1">
      <alignment horizontal="left" readingOrder="0" shrinkToFit="0" vertical="center" wrapText="1"/>
    </xf>
    <xf borderId="21" fillId="0" fontId="2" numFmtId="0" xfId="0" applyBorder="1" applyFont="1"/>
    <xf borderId="19" fillId="0" fontId="24" numFmtId="0" xfId="0" applyAlignment="1" applyBorder="1" applyFont="1">
      <alignment horizontal="center" shrinkToFit="0" vertical="center" wrapText="1"/>
    </xf>
    <xf borderId="19" fillId="0" fontId="24" numFmtId="0" xfId="0" applyAlignment="1" applyBorder="1" applyFont="1">
      <alignment horizontal="left" shrinkToFit="0" vertical="center" wrapText="1"/>
    </xf>
    <xf borderId="19" fillId="0" fontId="25" numFmtId="169" xfId="0" applyAlignment="1" applyBorder="1" applyFont="1" applyNumberFormat="1">
      <alignment shrinkToFit="0" vertical="center" wrapText="1"/>
    </xf>
    <xf borderId="19" fillId="0" fontId="25" numFmtId="0" xfId="0" applyAlignment="1" applyBorder="1" applyFont="1">
      <alignment shrinkToFit="0" vertical="center" wrapText="0"/>
    </xf>
    <xf borderId="3" fillId="0" fontId="24" numFmtId="0" xfId="0" applyAlignment="1" applyBorder="1" applyFont="1">
      <alignment horizontal="center" shrinkToFit="0" vertical="center" wrapText="1"/>
    </xf>
    <xf borderId="3" fillId="0" fontId="24" numFmtId="0" xfId="0" applyAlignment="1" applyBorder="1" applyFont="1">
      <alignment horizontal="left" shrinkToFit="0" vertical="center" wrapText="1"/>
    </xf>
    <xf borderId="3" fillId="0" fontId="25" numFmtId="0" xfId="0" applyAlignment="1" applyBorder="1" applyFont="1">
      <alignment shrinkToFit="0" vertical="center" wrapText="0"/>
    </xf>
    <xf borderId="22" fillId="0" fontId="2" numFmtId="0" xfId="0" applyBorder="1" applyFont="1"/>
    <xf borderId="23" fillId="0" fontId="24" numFmtId="0" xfId="0" applyAlignment="1" applyBorder="1" applyFont="1">
      <alignment horizontal="center" readingOrder="0" shrinkToFit="0" vertical="center" wrapText="1"/>
    </xf>
    <xf borderId="23" fillId="0" fontId="25" numFmtId="0" xfId="0" applyAlignment="1" applyBorder="1" applyFont="1">
      <alignment horizontal="left" readingOrder="0" shrinkToFit="0" vertical="center" wrapText="1"/>
    </xf>
    <xf borderId="23" fillId="0" fontId="25" numFmtId="0" xfId="0" applyAlignment="1" applyBorder="1" applyFont="1">
      <alignment horizontal="center" readingOrder="0" shrinkToFit="0" vertical="center" wrapText="1"/>
    </xf>
    <xf borderId="23" fillId="0" fontId="25" numFmtId="169" xfId="0" applyAlignment="1" applyBorder="1" applyFont="1" applyNumberFormat="1">
      <alignment shrinkToFit="0" vertical="center" wrapText="1"/>
    </xf>
    <xf borderId="23" fillId="0" fontId="25" numFmtId="0" xfId="0" applyAlignment="1" applyBorder="1" applyFont="1">
      <alignment shrinkToFit="0" vertical="center" wrapText="0"/>
    </xf>
    <xf borderId="5" fillId="17" fontId="22" numFmtId="0" xfId="0" applyAlignment="1" applyBorder="1" applyFont="1">
      <alignment horizontal="center" readingOrder="0" shrinkToFit="0" vertical="center" wrapText="1"/>
    </xf>
    <xf borderId="6" fillId="0" fontId="24" numFmtId="0" xfId="0" applyAlignment="1" applyBorder="1" applyFont="1">
      <alignment horizontal="center" readingOrder="0" shrinkToFit="0" vertical="center" wrapText="1"/>
    </xf>
    <xf borderId="6" fillId="0" fontId="25" numFmtId="0" xfId="0" applyAlignment="1" applyBorder="1" applyFont="1">
      <alignment horizontal="left" readingOrder="0" shrinkToFit="0" vertical="center" wrapText="1"/>
    </xf>
    <xf borderId="6" fillId="0" fontId="25" numFmtId="0" xfId="0" applyAlignment="1" applyBorder="1" applyFont="1">
      <alignment horizontal="center" readingOrder="0" shrinkToFit="0" vertical="center" wrapText="1"/>
    </xf>
    <xf borderId="6" fillId="0" fontId="25" numFmtId="169" xfId="0" applyAlignment="1" applyBorder="1" applyFont="1" applyNumberFormat="1">
      <alignment shrinkToFit="0" vertical="center" wrapText="1"/>
    </xf>
    <xf borderId="6" fillId="0" fontId="25" numFmtId="0" xfId="0" applyAlignment="1" applyBorder="1" applyFont="1">
      <alignment shrinkToFit="0" vertical="center" wrapText="0"/>
    </xf>
    <xf borderId="4" fillId="0" fontId="25" numFmtId="0" xfId="0" applyAlignment="1" applyBorder="1" applyFont="1">
      <alignment shrinkToFit="0" vertical="center" wrapText="0"/>
    </xf>
    <xf borderId="19" fillId="0" fontId="25" numFmtId="0" xfId="0" applyAlignment="1" applyBorder="1" applyFont="1">
      <alignment horizontal="left" readingOrder="0" shrinkToFit="0" vertical="center" wrapText="1"/>
    </xf>
    <xf borderId="19" fillId="0" fontId="25" numFmtId="0" xfId="0" applyAlignment="1" applyBorder="1" applyFont="1">
      <alignment horizontal="center" readingOrder="0" shrinkToFit="0" vertical="center" wrapText="1"/>
    </xf>
    <xf borderId="5" fillId="18" fontId="22" numFmtId="0" xfId="0" applyAlignment="1" applyBorder="1" applyFill="1" applyFont="1">
      <alignment horizontal="center" readingOrder="0" shrinkToFit="0" vertical="center" wrapText="1"/>
    </xf>
    <xf borderId="6" fillId="0" fontId="25" numFmtId="0" xfId="0" applyAlignment="1" applyBorder="1" applyFont="1">
      <alignment readingOrder="0" shrinkToFit="0" vertical="center" wrapText="1"/>
    </xf>
    <xf borderId="3" fillId="0" fontId="25" numFmtId="0" xfId="0" applyAlignment="1" applyBorder="1" applyFont="1">
      <alignment readingOrder="0" shrinkToFit="0" vertical="center" wrapText="1"/>
    </xf>
    <xf borderId="3" fillId="0" fontId="25" numFmtId="169" xfId="0" applyAlignment="1" applyBorder="1" applyFont="1" applyNumberFormat="1">
      <alignment horizontal="center" readingOrder="0" shrinkToFit="0" vertical="center" wrapText="1"/>
    </xf>
    <xf borderId="3" fillId="0" fontId="26" numFmtId="0" xfId="0" applyAlignment="1" applyBorder="1" applyFont="1">
      <alignment readingOrder="0" shrinkToFit="0" vertical="center" wrapText="0"/>
    </xf>
    <xf borderId="4" fillId="0" fontId="25" numFmtId="0" xfId="0" applyAlignment="1" applyBorder="1" applyFont="1">
      <alignment readingOrder="0" shrinkToFit="0" vertical="center" wrapText="1"/>
    </xf>
    <xf borderId="4" fillId="0" fontId="25" numFmtId="169" xfId="0" applyAlignment="1" applyBorder="1" applyFont="1" applyNumberFormat="1">
      <alignment horizontal="center" readingOrder="0" shrinkToFit="0" vertical="center" wrapText="1"/>
    </xf>
    <xf borderId="4" fillId="0" fontId="27" numFmtId="0" xfId="0" applyAlignment="1" applyBorder="1" applyFont="1">
      <alignment readingOrder="0" shrinkToFit="0" vertical="center" wrapText="0"/>
    </xf>
    <xf borderId="18" fillId="18" fontId="22" numFmtId="0" xfId="0" applyAlignment="1" applyBorder="1" applyFont="1">
      <alignment horizontal="center" readingOrder="0" shrinkToFit="0" vertical="center" wrapText="1"/>
    </xf>
    <xf borderId="19" fillId="0" fontId="25" numFmtId="0" xfId="0" applyAlignment="1" applyBorder="1" applyFont="1">
      <alignment readingOrder="0" shrinkToFit="0" vertical="center" wrapText="1"/>
    </xf>
    <xf borderId="19" fillId="0" fontId="25" numFmtId="169" xfId="0" applyAlignment="1" applyBorder="1" applyFont="1" applyNumberFormat="1">
      <alignment horizontal="center" readingOrder="0" shrinkToFit="0" vertical="center" wrapText="1"/>
    </xf>
    <xf borderId="19" fillId="0" fontId="28" numFmtId="0" xfId="0" applyAlignment="1" applyBorder="1" applyFont="1">
      <alignment readingOrder="0" shrinkToFit="0" vertical="center" wrapText="0"/>
    </xf>
    <xf borderId="3" fillId="0" fontId="25" numFmtId="0" xfId="0" applyAlignment="1" applyBorder="1" applyFont="1">
      <alignment shrinkToFit="0" vertical="center" wrapText="1"/>
    </xf>
    <xf borderId="0" fillId="0" fontId="22"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25" numFmtId="0" xfId="0" applyAlignment="1" applyFont="1">
      <alignment shrinkToFit="0" vertical="center" wrapText="1"/>
    </xf>
    <xf borderId="0" fillId="0" fontId="25" numFmtId="169" xfId="0" applyAlignment="1" applyFont="1" applyNumberFormat="1">
      <alignment shrinkToFit="0" vertical="center" wrapText="1"/>
    </xf>
    <xf borderId="0" fillId="0" fontId="25" numFmtId="0" xfId="0" applyAlignment="1" applyFont="1">
      <alignment shrinkToFit="0" vertical="center" wrapText="0"/>
    </xf>
    <xf borderId="1" fillId="0" fontId="29" numFmtId="0" xfId="0" applyAlignment="1" applyBorder="1" applyFont="1">
      <alignment horizontal="center"/>
    </xf>
    <xf borderId="1" fillId="0" fontId="30" numFmtId="0" xfId="0" applyAlignment="1" applyBorder="1" applyFont="1">
      <alignment horizontal="center" readingOrder="0" shrinkToFit="0" vertical="center" wrapText="1"/>
    </xf>
    <xf borderId="24" fillId="0" fontId="2" numFmtId="0" xfId="0" applyBorder="1" applyFont="1"/>
    <xf borderId="0" fillId="0" fontId="31" numFmtId="0" xfId="0" applyAlignment="1" applyFont="1">
      <alignment horizontal="center" shrinkToFit="0" vertical="center" wrapText="1"/>
    </xf>
    <xf borderId="0" fillId="0" fontId="31" numFmtId="3" xfId="0" applyAlignment="1" applyFont="1" applyNumberFormat="1">
      <alignment horizontal="center" shrinkToFit="0" vertical="center" wrapText="1"/>
    </xf>
    <xf borderId="0" fillId="0" fontId="31" numFmtId="0" xfId="0" applyAlignment="1" applyFont="1">
      <alignment horizontal="center" shrinkToFit="0" vertical="center" wrapText="0"/>
    </xf>
    <xf borderId="1" fillId="0" fontId="31" numFmtId="0" xfId="0" applyAlignment="1" applyBorder="1" applyFont="1">
      <alignment horizontal="center" readingOrder="0" shrinkToFit="0" vertical="center" wrapText="1"/>
    </xf>
    <xf borderId="3" fillId="0" fontId="31" numFmtId="0" xfId="0" applyAlignment="1" applyBorder="1" applyFont="1">
      <alignment horizontal="center" readingOrder="0" shrinkToFit="0" vertical="center" wrapText="1"/>
    </xf>
    <xf borderId="3" fillId="0" fontId="31" numFmtId="165" xfId="0" applyAlignment="1" applyBorder="1" applyFont="1" applyNumberFormat="1">
      <alignment horizontal="center" readingOrder="0" shrinkToFit="0" vertical="center" wrapText="1"/>
    </xf>
    <xf borderId="3" fillId="0" fontId="31" numFmtId="0" xfId="0" applyAlignment="1" applyBorder="1" applyFont="1">
      <alignment horizontal="center" readingOrder="0" shrinkToFit="0" vertical="center" wrapText="0"/>
    </xf>
    <xf borderId="0" fillId="0" fontId="32" numFmtId="0" xfId="0" applyAlignment="1" applyFont="1">
      <alignment horizontal="left" readingOrder="0" shrinkToFit="0" vertical="center" wrapText="1"/>
    </xf>
    <xf borderId="3" fillId="0" fontId="16" numFmtId="0" xfId="0" applyAlignment="1" applyBorder="1" applyFont="1">
      <alignment horizontal="center" readingOrder="0" vertical="center"/>
    </xf>
    <xf borderId="3" fillId="0" fontId="16" numFmtId="0" xfId="0" applyAlignment="1" applyBorder="1" applyFont="1">
      <alignment readingOrder="0" vertical="center"/>
    </xf>
    <xf borderId="3" fillId="0" fontId="16" numFmtId="165" xfId="0" applyAlignment="1" applyBorder="1" applyFont="1" applyNumberFormat="1">
      <alignment horizontal="center" readingOrder="0" vertical="center"/>
    </xf>
    <xf borderId="3" fillId="0" fontId="16" numFmtId="165" xfId="0" applyAlignment="1" applyBorder="1" applyFont="1" applyNumberFormat="1">
      <alignment horizontal="center" vertical="center"/>
    </xf>
    <xf borderId="4" fillId="0" fontId="33" numFmtId="0" xfId="0" applyAlignment="1" applyBorder="1" applyFont="1">
      <alignment horizontal="left" readingOrder="0" shrinkToFit="0" vertical="center" wrapText="0"/>
    </xf>
    <xf borderId="0" fillId="0" fontId="16" numFmtId="0" xfId="0" applyAlignment="1" applyFont="1">
      <alignment vertical="center"/>
    </xf>
    <xf borderId="3" fillId="0" fontId="16" numFmtId="3" xfId="0" applyAlignment="1" applyBorder="1" applyFont="1" applyNumberFormat="1">
      <alignment horizontal="center" readingOrder="0" vertical="center"/>
    </xf>
    <xf borderId="3" fillId="0" fontId="16" numFmtId="0" xfId="0" applyAlignment="1" applyBorder="1" applyFont="1">
      <alignment horizontal="center" readingOrder="0" shrinkToFit="0" vertical="center" wrapText="0"/>
    </xf>
    <xf borderId="25" fillId="0" fontId="16" numFmtId="0" xfId="0" applyAlignment="1" applyBorder="1" applyFont="1">
      <alignment horizontal="center" readingOrder="0" vertical="center"/>
    </xf>
    <xf borderId="26" fillId="0" fontId="16" numFmtId="0" xfId="0" applyAlignment="1" applyBorder="1" applyFont="1">
      <alignment readingOrder="0" vertical="center"/>
    </xf>
    <xf borderId="26" fillId="0" fontId="16" numFmtId="0" xfId="0" applyAlignment="1" applyBorder="1" applyFont="1">
      <alignment horizontal="center" readingOrder="0" vertical="center"/>
    </xf>
    <xf borderId="26" fillId="0" fontId="16" numFmtId="3" xfId="0" applyAlignment="1" applyBorder="1" applyFont="1" applyNumberFormat="1">
      <alignment horizontal="center" readingOrder="0" vertical="center"/>
    </xf>
    <xf borderId="26" fillId="0" fontId="34" numFmtId="0" xfId="0" applyAlignment="1" applyBorder="1" applyFont="1">
      <alignment readingOrder="0" shrinkToFit="0" vertical="center" wrapText="0"/>
    </xf>
    <xf borderId="26" fillId="0" fontId="16" numFmtId="3" xfId="0" applyAlignment="1" applyBorder="1" applyFont="1" applyNumberFormat="1">
      <alignment horizontal="center" vertical="center"/>
    </xf>
    <xf borderId="27" fillId="0" fontId="16" numFmtId="0" xfId="0" applyAlignment="1" applyBorder="1" applyFont="1">
      <alignment shrinkToFit="0" vertical="center" wrapText="0"/>
    </xf>
    <xf borderId="28" fillId="0" fontId="16" numFmtId="0" xfId="0" applyAlignment="1" applyBorder="1" applyFont="1">
      <alignment horizontal="center" readingOrder="0" vertical="center"/>
    </xf>
    <xf borderId="15" fillId="0" fontId="16" numFmtId="0" xfId="0" applyAlignment="1" applyBorder="1" applyFont="1">
      <alignment readingOrder="0" vertical="center"/>
    </xf>
    <xf borderId="15" fillId="0" fontId="16" numFmtId="0" xfId="0" applyAlignment="1" applyBorder="1" applyFont="1">
      <alignment horizontal="center" readingOrder="0" vertical="center"/>
    </xf>
    <xf borderId="15" fillId="0" fontId="16" numFmtId="3" xfId="0" applyAlignment="1" applyBorder="1" applyFont="1" applyNumberFormat="1">
      <alignment horizontal="center" readingOrder="0" vertical="center"/>
    </xf>
    <xf borderId="15" fillId="0" fontId="16" numFmtId="3" xfId="0" applyAlignment="1" applyBorder="1" applyFont="1" applyNumberFormat="1">
      <alignment horizontal="center" vertical="center"/>
    </xf>
    <xf borderId="29" fillId="0" fontId="16" numFmtId="0" xfId="0" applyAlignment="1" applyBorder="1" applyFont="1">
      <alignment shrinkToFit="0" vertical="center" wrapText="0"/>
    </xf>
    <xf borderId="29" fillId="0" fontId="35" numFmtId="0" xfId="0" applyAlignment="1" applyBorder="1" applyFont="1">
      <alignment readingOrder="0" shrinkToFit="0" vertical="center" wrapText="0"/>
    </xf>
    <xf borderId="30" fillId="0" fontId="16" numFmtId="0" xfId="0" applyAlignment="1" applyBorder="1" applyFont="1">
      <alignment horizontal="center" readingOrder="0" vertical="center"/>
    </xf>
    <xf borderId="31" fillId="0" fontId="16" numFmtId="0" xfId="0" applyAlignment="1" applyBorder="1" applyFont="1">
      <alignment readingOrder="0" vertical="center"/>
    </xf>
    <xf borderId="31" fillId="0" fontId="16" numFmtId="0" xfId="0" applyAlignment="1" applyBorder="1" applyFont="1">
      <alignment horizontal="center" readingOrder="0" vertical="center"/>
    </xf>
    <xf borderId="31" fillId="0" fontId="16" numFmtId="3" xfId="0" applyAlignment="1" applyBorder="1" applyFont="1" applyNumberFormat="1">
      <alignment horizontal="center" readingOrder="0" vertical="center"/>
    </xf>
    <xf borderId="31" fillId="0" fontId="36" numFmtId="0" xfId="0" applyAlignment="1" applyBorder="1" applyFont="1">
      <alignment readingOrder="0" shrinkToFit="0" vertical="center" wrapText="0"/>
    </xf>
    <xf borderId="31" fillId="0" fontId="16" numFmtId="3" xfId="0" applyAlignment="1" applyBorder="1" applyFont="1" applyNumberFormat="1">
      <alignment horizontal="center" vertical="center"/>
    </xf>
    <xf borderId="32" fillId="0" fontId="16" numFmtId="0" xfId="0" applyAlignment="1" applyBorder="1" applyFont="1">
      <alignment shrinkToFit="0" vertical="center" wrapText="0"/>
    </xf>
    <xf borderId="3" fillId="0" fontId="37" numFmtId="0" xfId="0" applyAlignment="1" applyBorder="1" applyFont="1">
      <alignment horizontal="left" readingOrder="0" shrinkToFit="0" vertical="center" wrapText="0"/>
    </xf>
    <xf borderId="0" fillId="0" fontId="16" numFmtId="0" xfId="0" applyAlignment="1" applyFont="1">
      <alignment horizontal="center" vertical="center"/>
    </xf>
    <xf borderId="0" fillId="0" fontId="16" numFmtId="3" xfId="0" applyAlignment="1" applyFont="1" applyNumberFormat="1">
      <alignment horizontal="center" vertical="center"/>
    </xf>
    <xf borderId="0" fillId="0" fontId="16" numFmtId="0" xfId="0" applyAlignment="1" applyFont="1">
      <alignment shrinkToFit="0" vertical="center" wrapText="0"/>
    </xf>
    <xf borderId="3" fillId="0" fontId="16" numFmtId="0" xfId="0" applyAlignment="1" applyBorder="1" applyFont="1">
      <alignment horizontal="left" readingOrder="0" shrinkToFit="0" vertical="center" wrapText="0"/>
    </xf>
    <xf borderId="1" fillId="0" fontId="15" numFmtId="0" xfId="0" applyAlignment="1" applyBorder="1" applyFont="1">
      <alignment horizontal="center" readingOrder="0" vertical="center"/>
    </xf>
    <xf borderId="3" fillId="0" fontId="15" numFmtId="165" xfId="0" applyAlignment="1" applyBorder="1" applyFont="1" applyNumberFormat="1">
      <alignment horizontal="center" vertical="center"/>
    </xf>
    <xf borderId="3" fillId="0" fontId="16" numFmtId="0" xfId="0" applyAlignment="1" applyBorder="1" applyFont="1">
      <alignment horizontal="left" shrinkToFit="0" vertical="center" wrapText="0"/>
    </xf>
    <xf borderId="1" fillId="0" fontId="25" numFmtId="0" xfId="0" applyAlignment="1" applyBorder="1" applyFont="1">
      <alignment horizontal="center" vertical="center"/>
    </xf>
    <xf borderId="0" fillId="0" fontId="25" numFmtId="0" xfId="0" applyAlignment="1" applyFont="1">
      <alignment vertical="center"/>
    </xf>
    <xf borderId="0" fillId="0" fontId="25" numFmtId="0" xfId="0" applyAlignment="1" applyFont="1">
      <alignment horizontal="center" vertical="center"/>
    </xf>
    <xf borderId="0" fillId="0" fontId="25" numFmtId="3" xfId="0" applyAlignment="1" applyFont="1" applyNumberFormat="1">
      <alignment horizontal="center" vertical="center"/>
    </xf>
    <xf borderId="1" fillId="0" fontId="38" numFmtId="0" xfId="0" applyAlignment="1" applyBorder="1" applyFont="1">
      <alignment horizontal="center" readingOrder="0" vertical="center"/>
    </xf>
    <xf borderId="1" fillId="0" fontId="38" numFmtId="165" xfId="0" applyAlignment="1" applyBorder="1" applyFont="1" applyNumberFormat="1">
      <alignment horizontal="center" readingOrder="0" vertical="center"/>
    </xf>
    <xf borderId="33" fillId="0" fontId="25" numFmtId="0" xfId="0" applyAlignment="1" applyBorder="1" applyFont="1">
      <alignment horizontal="center" vertical="center"/>
    </xf>
    <xf borderId="34" fillId="0" fontId="2" numFmtId="0" xfId="0" applyBorder="1" applyFont="1"/>
    <xf borderId="35" fillId="0" fontId="2" numFmtId="0" xfId="0" applyBorder="1" applyFont="1"/>
    <xf borderId="1" fillId="0" fontId="25" numFmtId="165" xfId="0" applyAlignment="1" applyBorder="1" applyFont="1" applyNumberFormat="1">
      <alignment horizontal="center" readingOrder="0" vertical="center"/>
    </xf>
    <xf borderId="36" fillId="0" fontId="2" numFmtId="0" xfId="0" applyBorder="1" applyFont="1"/>
    <xf borderId="37" fillId="0" fontId="2" numFmtId="0" xfId="0" applyBorder="1" applyFont="1"/>
    <xf borderId="33" fillId="0" fontId="25" numFmtId="165" xfId="0" applyAlignment="1" applyBorder="1" applyFont="1" applyNumberFormat="1">
      <alignment horizontal="center" vertical="center"/>
    </xf>
    <xf borderId="38" fillId="0" fontId="2" numFmtId="0" xfId="0" applyBorder="1" applyFont="1"/>
    <xf borderId="39" fillId="0" fontId="2" numFmtId="0" xfId="0" applyBorder="1" applyFont="1"/>
    <xf borderId="40" fillId="0" fontId="2" numFmtId="0" xfId="0" applyBorder="1" applyFont="1"/>
    <xf borderId="0" fillId="0" fontId="25" numFmtId="0" xfId="0" applyAlignment="1" applyFont="1">
      <alignment horizontal="center" readingOrder="0" vertical="center"/>
    </xf>
    <xf borderId="0" fillId="0" fontId="25" numFmtId="165" xfId="0" applyAlignment="1" applyFont="1" applyNumberFormat="1">
      <alignment horizontal="center" vertical="center"/>
    </xf>
    <xf borderId="0" fillId="0" fontId="25" numFmtId="0" xfId="0" applyAlignment="1" applyFont="1">
      <alignment horizontal="left" shrinkToFit="0" vertical="center" wrapText="0"/>
    </xf>
    <xf borderId="0" fillId="0" fontId="39" numFmtId="0" xfId="0" applyAlignment="1" applyFont="1">
      <alignment horizontal="left" readingOrder="0" shrinkToFit="0" vertical="center" wrapText="1"/>
    </xf>
    <xf borderId="0" fillId="0" fontId="40" numFmtId="0" xfId="0" applyAlignment="1" applyFont="1">
      <alignment shrinkToFit="0" vertical="center" wrapText="1"/>
    </xf>
    <xf borderId="0" fillId="0" fontId="40" numFmtId="0" xfId="0" applyAlignment="1" applyFont="1">
      <alignment horizontal="center" shrinkToFit="0" vertical="center" wrapText="1"/>
    </xf>
    <xf borderId="0" fillId="0" fontId="41" numFmtId="0" xfId="0" applyAlignment="1" applyFont="1">
      <alignment horizontal="left" readingOrder="0" shrinkToFit="0" vertical="center" wrapText="1"/>
    </xf>
    <xf borderId="4" fillId="19" fontId="42" numFmtId="0" xfId="0" applyAlignment="1" applyBorder="1" applyFill="1" applyFont="1">
      <alignment horizontal="center" readingOrder="0" shrinkToFit="0" vertical="center" wrapText="1"/>
    </xf>
    <xf borderId="15" fillId="0" fontId="11" numFmtId="0" xfId="0" applyAlignment="1" applyBorder="1" applyFont="1">
      <alignment horizontal="center" readingOrder="0" shrinkToFit="0" vertical="center" wrapText="1"/>
    </xf>
    <xf borderId="15" fillId="0" fontId="11" numFmtId="169" xfId="0" applyAlignment="1" applyBorder="1" applyFont="1" applyNumberFormat="1">
      <alignment horizontal="center" readingOrder="0" shrinkToFit="0" vertical="center" wrapText="1"/>
    </xf>
    <xf borderId="15" fillId="0" fontId="11" numFmtId="0" xfId="0" applyAlignment="1" applyBorder="1" applyFont="1">
      <alignment shrinkToFit="0" vertical="center" wrapText="1"/>
    </xf>
    <xf borderId="15" fillId="0" fontId="11" numFmtId="167" xfId="0" applyAlignment="1" applyBorder="1" applyFont="1" applyNumberFormat="1">
      <alignment shrinkToFit="0" vertical="center" wrapText="1"/>
    </xf>
    <xf borderId="15" fillId="0" fontId="11" numFmtId="0" xfId="0" applyAlignment="1" applyBorder="1" applyFont="1">
      <alignment readingOrder="0" shrinkToFit="0" vertical="center" wrapText="1"/>
    </xf>
    <xf borderId="15" fillId="0" fontId="11" numFmtId="165" xfId="0" applyAlignment="1" applyBorder="1" applyFont="1" applyNumberFormat="1">
      <alignment horizontal="center" readingOrder="0" shrinkToFit="0" vertical="center" wrapText="1"/>
    </xf>
    <xf borderId="13" fillId="0" fontId="11" numFmtId="169" xfId="0" applyAlignment="1" applyBorder="1" applyFont="1" applyNumberFormat="1">
      <alignment horizontal="center" readingOrder="0" shrinkToFit="0" vertical="center" wrapText="1"/>
    </xf>
    <xf borderId="13" fillId="0" fontId="11" numFmtId="0" xfId="0" applyAlignment="1" applyBorder="1" applyFont="1">
      <alignment shrinkToFit="0" vertical="center" wrapText="1"/>
    </xf>
    <xf borderId="13" fillId="0" fontId="11" numFmtId="167" xfId="0" applyAlignment="1" applyBorder="1" applyFont="1" applyNumberFormat="1">
      <alignment shrinkToFit="0" vertical="center" wrapText="1"/>
    </xf>
    <xf borderId="13" fillId="0" fontId="11" numFmtId="0" xfId="0" applyAlignment="1" applyBorder="1" applyFont="1">
      <alignment readingOrder="0" shrinkToFit="0" vertical="center" wrapText="1"/>
    </xf>
    <xf borderId="13" fillId="0" fontId="11" numFmtId="165" xfId="0" applyAlignment="1" applyBorder="1" applyFont="1" applyNumberFormat="1">
      <alignment horizontal="center" readingOrder="0" shrinkToFit="0" vertical="center" wrapText="1"/>
    </xf>
    <xf borderId="15" fillId="0" fontId="11" numFmtId="170" xfId="0" applyAlignment="1" applyBorder="1" applyFont="1" applyNumberFormat="1">
      <alignment horizontal="center" readingOrder="0" shrinkToFit="0" vertical="center" wrapText="1"/>
    </xf>
    <xf borderId="15" fillId="0" fontId="11" numFmtId="0" xfId="0" applyAlignment="1" applyBorder="1" applyFont="1">
      <alignment shrinkToFit="0" vertical="center" wrapText="1"/>
    </xf>
    <xf borderId="15" fillId="0" fontId="11" numFmtId="169" xfId="0" applyAlignment="1" applyBorder="1" applyFont="1" applyNumberFormat="1">
      <alignment horizontal="center" shrinkToFit="0" vertical="center" wrapText="1"/>
    </xf>
    <xf borderId="15" fillId="0" fontId="11" numFmtId="165" xfId="0" applyAlignment="1" applyBorder="1" applyFont="1" applyNumberFormat="1">
      <alignment horizontal="center" shrinkToFit="0" vertical="center" wrapText="1"/>
    </xf>
    <xf borderId="15" fillId="0" fontId="11" numFmtId="0" xfId="0" applyAlignment="1" applyBorder="1" applyFont="1">
      <alignment horizontal="center" shrinkToFit="0" vertical="center" wrapText="1"/>
    </xf>
    <xf borderId="3" fillId="0" fontId="29" numFmtId="0" xfId="0" applyAlignment="1" applyBorder="1" applyFont="1">
      <alignment vertical="center"/>
    </xf>
    <xf borderId="3" fillId="0" fontId="11" numFmtId="0" xfId="0" applyAlignment="1" applyBorder="1" applyFont="1">
      <alignment vertical="center"/>
    </xf>
    <xf borderId="0" fillId="0" fontId="29" numFmtId="0" xfId="0" applyAlignment="1" applyFont="1">
      <alignment vertical="center"/>
    </xf>
    <xf borderId="3" fillId="0" fontId="11" numFmtId="0" xfId="0" applyAlignment="1" applyBorder="1" applyFont="1">
      <alignment shrinkToFit="0" vertical="center" wrapText="1"/>
    </xf>
    <xf borderId="3" fillId="0" fontId="11" numFmtId="0" xfId="0" applyAlignment="1" applyBorder="1" applyFont="1">
      <alignment readingOrder="0" vertical="center"/>
    </xf>
    <xf borderId="3" fillId="0" fontId="11" numFmtId="0" xfId="0" applyAlignment="1" applyBorder="1" applyFont="1">
      <alignment readingOrder="0" shrinkToFit="0" vertical="center" wrapText="1"/>
    </xf>
    <xf borderId="3" fillId="8" fontId="11" numFmtId="0" xfId="0" applyAlignment="1" applyBorder="1" applyFont="1">
      <alignment shrinkToFit="0" vertical="center" wrapText="1"/>
    </xf>
    <xf borderId="33" fillId="0" fontId="43" numFmtId="0" xfId="0" applyAlignment="1" applyBorder="1" applyFont="1">
      <alignment horizontal="center" readingOrder="0" vertical="center"/>
    </xf>
    <xf borderId="0" fillId="0" fontId="39" numFmtId="0" xfId="0" applyAlignment="1" applyFont="1">
      <alignment vertical="center"/>
    </xf>
    <xf borderId="1" fillId="0" fontId="43" numFmtId="0" xfId="0" applyAlignment="1" applyBorder="1" applyFont="1">
      <alignment horizontal="center" readingOrder="0" vertical="center"/>
    </xf>
    <xf borderId="4" fillId="0" fontId="43" numFmtId="0" xfId="0" applyAlignment="1" applyBorder="1" applyFont="1">
      <alignment horizontal="center" readingOrder="0" vertical="center"/>
    </xf>
    <xf borderId="3" fillId="0" fontId="42" numFmtId="0" xfId="0" applyAlignment="1" applyBorder="1" applyFont="1">
      <alignment horizontal="center" readingOrder="0" vertical="center"/>
    </xf>
    <xf borderId="3" fillId="0" fontId="42" numFmtId="0" xfId="0" applyAlignment="1" applyBorder="1" applyFont="1">
      <alignment horizontal="center" readingOrder="0" shrinkToFit="0" vertical="center" wrapText="1"/>
    </xf>
    <xf borderId="0" fillId="0" fontId="40" numFmtId="0" xfId="0" applyAlignment="1" applyFont="1">
      <alignment vertical="center"/>
    </xf>
    <xf borderId="3" fillId="0" fontId="40" numFmtId="0" xfId="0" applyAlignment="1" applyBorder="1" applyFont="1">
      <alignment horizontal="center" readingOrder="0" vertical="center"/>
    </xf>
    <xf borderId="3" fillId="0" fontId="40" numFmtId="0" xfId="0" applyAlignment="1" applyBorder="1" applyFont="1">
      <alignment horizontal="center" readingOrder="0" shrinkToFit="0" vertical="center" wrapText="1"/>
    </xf>
    <xf borderId="3" fillId="0" fontId="40" numFmtId="0" xfId="0" applyAlignment="1" applyBorder="1" applyFont="1">
      <alignment readingOrder="0" vertical="center"/>
    </xf>
    <xf borderId="3" fillId="0" fontId="40" numFmtId="0" xfId="0" applyAlignment="1" applyBorder="1" applyFont="1">
      <alignment readingOrder="0" shrinkToFit="0" vertical="center" wrapText="1"/>
    </xf>
    <xf borderId="3" fillId="0" fontId="40" numFmtId="0" xfId="0" applyAlignment="1" applyBorder="1" applyFont="1">
      <alignment vertical="center"/>
    </xf>
    <xf borderId="3" fillId="0" fontId="40" numFmtId="0" xfId="0" applyAlignment="1" applyBorder="1" applyFont="1">
      <alignment horizontal="left" readingOrder="0" vertical="center"/>
    </xf>
    <xf borderId="3" fillId="0" fontId="40" numFmtId="170" xfId="0" applyAlignment="1" applyBorder="1" applyFont="1" applyNumberFormat="1">
      <alignment horizontal="center" readingOrder="0" vertical="center"/>
    </xf>
    <xf borderId="3" fillId="0" fontId="40" numFmtId="171" xfId="0" applyAlignment="1" applyBorder="1" applyFont="1" applyNumberFormat="1">
      <alignment horizontal="center" readingOrder="0" vertical="center"/>
    </xf>
    <xf borderId="0" fillId="0" fontId="40" numFmtId="0" xfId="0" applyAlignment="1" applyFont="1">
      <alignment horizontal="center" vertical="center"/>
    </xf>
    <xf borderId="0" fillId="0" fontId="39" numFmtId="0" xfId="0" applyAlignment="1" applyFont="1">
      <alignment shrinkToFit="0" vertical="center" wrapText="1"/>
    </xf>
    <xf borderId="4" fillId="0" fontId="43" numFmtId="0" xfId="0" applyAlignment="1" applyBorder="1" applyFont="1">
      <alignment horizontal="center" readingOrder="0" shrinkToFit="0" vertical="center" wrapText="1"/>
    </xf>
    <xf borderId="4" fillId="0" fontId="43" numFmtId="169" xfId="0" applyAlignment="1" applyBorder="1" applyFont="1" applyNumberFormat="1">
      <alignment horizontal="center" readingOrder="0" vertical="center"/>
    </xf>
    <xf borderId="3" fillId="0" fontId="40" numFmtId="169" xfId="0" applyAlignment="1" applyBorder="1" applyFont="1" applyNumberFormat="1">
      <alignment horizontal="center" readingOrder="0" vertical="center"/>
    </xf>
    <xf borderId="3" fillId="0" fontId="40" numFmtId="0" xfId="0" applyAlignment="1" applyBorder="1" applyFont="1">
      <alignment horizontal="left" readingOrder="0" shrinkToFit="0" vertical="center" wrapText="1"/>
    </xf>
    <xf borderId="3" fillId="0" fontId="40" numFmtId="169" xfId="0" applyAlignment="1" applyBorder="1" applyFont="1" applyNumberFormat="1">
      <alignment horizontal="left" readingOrder="0" shrinkToFit="0" vertical="center" wrapText="1"/>
    </xf>
    <xf borderId="4" fillId="0" fontId="40" numFmtId="0" xfId="0" applyAlignment="1" applyBorder="1" applyFont="1">
      <alignment readingOrder="0" shrinkToFit="0" vertical="center" wrapText="1"/>
    </xf>
    <xf borderId="34" fillId="0" fontId="40" numFmtId="0" xfId="0" applyAlignment="1" applyBorder="1" applyFont="1">
      <alignment readingOrder="0" shrinkToFit="0" vertical="center" wrapText="1"/>
    </xf>
    <xf borderId="0" fillId="0" fontId="40" numFmtId="169" xfId="0" applyAlignment="1" applyFont="1" applyNumberFormat="1">
      <alignment horizontal="center" vertical="center"/>
    </xf>
    <xf borderId="0" fillId="0" fontId="40" numFmtId="169" xfId="0" applyAlignment="1" applyFont="1" applyNumberFormat="1">
      <alignment horizontal="left" shrinkToFit="0" vertical="center" wrapText="1"/>
    </xf>
    <xf borderId="0" fillId="0" fontId="40" numFmtId="0" xfId="0" applyAlignment="1" applyFont="1">
      <alignment readingOrder="0" shrinkToFit="0" vertical="center" wrapText="1"/>
    </xf>
    <xf borderId="0" fillId="0" fontId="40" numFmtId="169" xfId="0" applyAlignment="1" applyFont="1" applyNumberFormat="1">
      <alignment vertical="center"/>
    </xf>
    <xf borderId="0" fillId="0" fontId="39" numFmtId="169" xfId="0" applyAlignment="1" applyFont="1" applyNumberFormat="1">
      <alignment vertical="center"/>
    </xf>
    <xf borderId="0" fillId="0" fontId="39" numFmtId="169" xfId="0" applyAlignment="1" applyFont="1" applyNumberFormat="1">
      <alignment horizontal="left" shrinkToFit="0" vertical="center" wrapText="1"/>
    </xf>
    <xf borderId="0" fillId="0" fontId="44" numFmtId="0" xfId="0" applyAlignment="1" applyFont="1">
      <alignment vertical="center"/>
    </xf>
    <xf borderId="0" fillId="8" fontId="44" numFmtId="0" xfId="0" applyAlignment="1" applyFont="1">
      <alignment vertical="center"/>
    </xf>
    <xf borderId="41" fillId="8" fontId="45" numFmtId="0" xfId="0" applyAlignment="1" applyBorder="1" applyFont="1">
      <alignment readingOrder="0" shrinkToFit="0" vertical="center" wrapText="1"/>
    </xf>
    <xf borderId="41" fillId="0" fontId="2" numFmtId="0" xfId="0" applyBorder="1" applyFont="1"/>
    <xf borderId="41" fillId="8" fontId="46" numFmtId="0" xfId="0" applyAlignment="1" applyBorder="1" applyFont="1">
      <alignment readingOrder="0" vertical="center"/>
    </xf>
    <xf borderId="0" fillId="0" fontId="46" numFmtId="0" xfId="0" applyAlignment="1" applyFont="1">
      <alignment readingOrder="0" vertical="center"/>
    </xf>
    <xf borderId="0" fillId="20" fontId="47" numFmtId="0" xfId="0" applyAlignment="1" applyFill="1" applyFont="1">
      <alignment horizontal="center" shrinkToFit="0" vertical="center" wrapText="1"/>
    </xf>
    <xf borderId="42" fillId="20" fontId="14" numFmtId="0" xfId="0" applyAlignment="1" applyBorder="1" applyFont="1">
      <alignment horizontal="center" readingOrder="0" vertical="center"/>
    </xf>
    <xf borderId="0" fillId="20" fontId="14" numFmtId="0" xfId="0" applyAlignment="1" applyFont="1">
      <alignment horizontal="center" readingOrder="0" vertical="center"/>
    </xf>
    <xf borderId="0" fillId="0" fontId="14" numFmtId="0" xfId="0" applyAlignment="1" applyFont="1">
      <alignment horizontal="center" readingOrder="0" vertical="center"/>
    </xf>
    <xf borderId="43" fillId="0" fontId="2" numFmtId="0" xfId="0" applyBorder="1" applyFont="1"/>
    <xf borderId="44" fillId="0" fontId="2" numFmtId="0" xfId="0" applyBorder="1" applyFont="1"/>
    <xf borderId="45" fillId="0" fontId="2" numFmtId="0" xfId="0" applyBorder="1" applyFont="1"/>
    <xf borderId="43" fillId="21" fontId="48" numFmtId="0" xfId="0" applyAlignment="1" applyBorder="1" applyFill="1" applyFont="1">
      <alignment horizontal="center" readingOrder="0" vertical="center"/>
    </xf>
    <xf borderId="44" fillId="21" fontId="48" numFmtId="0" xfId="0" applyAlignment="1" applyBorder="1" applyFont="1">
      <alignment horizontal="center" readingOrder="0" vertical="center"/>
    </xf>
    <xf borderId="0" fillId="21" fontId="48" numFmtId="0" xfId="0" applyAlignment="1" applyFont="1">
      <alignment horizontal="center" readingOrder="0" vertical="center"/>
    </xf>
    <xf borderId="42" fillId="21" fontId="48" numFmtId="0" xfId="0" applyAlignment="1" applyBorder="1" applyFont="1">
      <alignment horizontal="center" readingOrder="0" vertical="center"/>
    </xf>
    <xf borderId="37" fillId="21" fontId="48" numFmtId="0" xfId="0" applyAlignment="1" applyBorder="1" applyFont="1">
      <alignment horizontal="center" readingOrder="0" vertical="center"/>
    </xf>
    <xf borderId="45" fillId="21" fontId="48" numFmtId="0" xfId="0" applyAlignment="1" applyBorder="1" applyFont="1">
      <alignment horizontal="center" readingOrder="0" vertical="center"/>
    </xf>
    <xf borderId="0" fillId="0" fontId="48" numFmtId="0" xfId="0" applyAlignment="1" applyFont="1">
      <alignment horizontal="center" readingOrder="0" vertical="center"/>
    </xf>
    <xf borderId="0" fillId="22" fontId="49" numFmtId="0" xfId="0" applyAlignment="1" applyFill="1" applyFont="1">
      <alignment horizontal="center" vertical="center"/>
    </xf>
    <xf borderId="0" fillId="23" fontId="50" numFmtId="0" xfId="0" applyAlignment="1" applyFill="1" applyFont="1">
      <alignment readingOrder="0" shrinkToFit="0" vertical="center" wrapText="1"/>
    </xf>
    <xf borderId="0" fillId="23" fontId="51" numFmtId="0" xfId="0" applyAlignment="1" applyFont="1">
      <alignment readingOrder="0" shrinkToFit="0" vertical="center" wrapText="1"/>
    </xf>
    <xf borderId="46" fillId="0" fontId="2" numFmtId="0" xfId="0" applyBorder="1" applyFont="1"/>
    <xf borderId="47" fillId="24" fontId="52" numFmtId="0" xfId="0" applyAlignment="1" applyBorder="1" applyFill="1" applyFont="1">
      <alignment readingOrder="0" vertical="center"/>
    </xf>
    <xf borderId="48" fillId="0" fontId="2" numFmtId="0" xfId="0" applyBorder="1" applyFont="1"/>
    <xf borderId="49" fillId="0" fontId="2" numFmtId="0" xfId="0" applyBorder="1" applyFont="1"/>
    <xf borderId="10" fillId="25" fontId="52" numFmtId="0" xfId="0" applyAlignment="1" applyBorder="1" applyFill="1" applyFont="1">
      <alignment readingOrder="0" vertical="center"/>
    </xf>
    <xf borderId="50" fillId="0" fontId="2" numFmtId="0" xfId="0" applyBorder="1" applyFont="1"/>
    <xf borderId="49" fillId="8" fontId="52" numFmtId="0" xfId="0" applyAlignment="1" applyBorder="1" applyFont="1">
      <alignment vertical="center"/>
    </xf>
    <xf borderId="13" fillId="8" fontId="52" numFmtId="0" xfId="0" applyAlignment="1" applyBorder="1" applyFont="1">
      <alignment vertical="center"/>
    </xf>
    <xf borderId="13" fillId="0" fontId="52" numFmtId="0" xfId="0" applyAlignment="1" applyBorder="1" applyFont="1">
      <alignment vertical="center"/>
    </xf>
    <xf borderId="51" fillId="20" fontId="53" numFmtId="0" xfId="0" applyAlignment="1" applyBorder="1" applyFont="1">
      <alignment horizontal="center" readingOrder="0" vertical="center"/>
    </xf>
    <xf borderId="29" fillId="0" fontId="16" numFmtId="0" xfId="0" applyAlignment="1" applyBorder="1" applyFont="1">
      <alignment horizontal="left" readingOrder="0" vertical="center"/>
    </xf>
    <xf borderId="0" fillId="0" fontId="53" numFmtId="0" xfId="0" applyAlignment="1" applyFont="1">
      <alignment horizontal="center" readingOrder="0" vertical="center"/>
    </xf>
    <xf borderId="52" fillId="8" fontId="52" numFmtId="9" xfId="0" applyAlignment="1" applyBorder="1" applyFont="1" applyNumberFormat="1">
      <alignment vertical="center"/>
    </xf>
    <xf borderId="15" fillId="8" fontId="52" numFmtId="172" xfId="0" applyAlignment="1" applyBorder="1" applyFont="1" applyNumberFormat="1">
      <alignment vertical="center"/>
    </xf>
    <xf borderId="15" fillId="0" fontId="54" numFmtId="0" xfId="0" applyAlignment="1" applyBorder="1" applyFont="1">
      <alignment vertical="center"/>
    </xf>
    <xf borderId="10" fillId="26" fontId="54" numFmtId="0" xfId="0" applyAlignment="1" applyBorder="1" applyFill="1" applyFont="1">
      <alignment readingOrder="0" vertical="center"/>
    </xf>
    <xf borderId="10" fillId="27" fontId="52" numFmtId="0" xfId="0" applyAlignment="1" applyBorder="1" applyFill="1" applyFont="1">
      <alignment readingOrder="0" vertical="center"/>
    </xf>
    <xf borderId="12" fillId="8" fontId="52" numFmtId="0" xfId="0" applyAlignment="1" applyBorder="1" applyFont="1">
      <alignment vertical="center"/>
    </xf>
    <xf borderId="15" fillId="8" fontId="52" numFmtId="0" xfId="0" applyAlignment="1" applyBorder="1" applyFont="1">
      <alignment vertical="center"/>
    </xf>
    <xf borderId="15" fillId="0" fontId="52" numFmtId="0" xfId="0" applyAlignment="1" applyBorder="1" applyFont="1">
      <alignment vertical="center"/>
    </xf>
    <xf borderId="51" fillId="0" fontId="2" numFmtId="0" xfId="0" applyBorder="1" applyFont="1"/>
    <xf borderId="53" fillId="0" fontId="2" numFmtId="0" xfId="0" applyBorder="1" applyFont="1"/>
    <xf borderId="54" fillId="8" fontId="52" numFmtId="9" xfId="0" applyAlignment="1" applyBorder="1" applyFont="1" applyNumberFormat="1">
      <alignment vertical="center"/>
    </xf>
    <xf borderId="7" fillId="8" fontId="52" numFmtId="172" xfId="0" applyAlignment="1" applyBorder="1" applyFont="1" applyNumberFormat="1">
      <alignment vertical="center"/>
    </xf>
    <xf borderId="7" fillId="0" fontId="54" numFmtId="0" xfId="0" applyAlignment="1" applyBorder="1" applyFont="1">
      <alignment vertical="center"/>
    </xf>
    <xf borderId="7" fillId="28" fontId="54" numFmtId="0" xfId="0" applyAlignment="1" applyBorder="1" applyFill="1" applyFont="1">
      <alignment vertical="center"/>
    </xf>
    <xf borderId="55" fillId="0" fontId="54" numFmtId="0" xfId="0" applyAlignment="1" applyBorder="1" applyFont="1">
      <alignment vertical="center"/>
    </xf>
    <xf borderId="56" fillId="0" fontId="54" numFmtId="0" xfId="0" applyAlignment="1" applyBorder="1" applyFont="1">
      <alignment vertical="center"/>
    </xf>
    <xf borderId="7" fillId="8" fontId="52" numFmtId="0" xfId="0" applyAlignment="1" applyBorder="1" applyFont="1">
      <alignment vertical="center"/>
    </xf>
    <xf borderId="55" fillId="8" fontId="52" numFmtId="0" xfId="0" applyAlignment="1" applyBorder="1" applyFont="1">
      <alignment vertical="center"/>
    </xf>
    <xf borderId="56" fillId="8" fontId="52" numFmtId="0" xfId="0" applyAlignment="1" applyBorder="1" applyFont="1">
      <alignment vertical="center"/>
    </xf>
    <xf borderId="7" fillId="0" fontId="52" numFmtId="0" xfId="0" applyAlignment="1" applyBorder="1" applyFont="1">
      <alignment vertical="center"/>
    </xf>
    <xf borderId="57" fillId="23" fontId="50" numFmtId="0" xfId="0" applyAlignment="1" applyBorder="1" applyFont="1">
      <alignment readingOrder="0" shrinkToFit="0" vertical="center" wrapText="1"/>
    </xf>
    <xf borderId="57" fillId="0" fontId="2" numFmtId="0" xfId="0" applyBorder="1" applyFont="1"/>
    <xf borderId="57" fillId="23" fontId="51" numFmtId="0" xfId="0" applyAlignment="1" applyBorder="1" applyFont="1">
      <alignment readingOrder="0" shrinkToFit="0" vertical="center" wrapText="1"/>
    </xf>
    <xf borderId="58" fillId="0" fontId="2" numFmtId="0" xfId="0" applyBorder="1" applyFont="1"/>
    <xf borderId="59" fillId="8" fontId="52" numFmtId="9" xfId="0" applyAlignment="1" applyBorder="1" applyFont="1" applyNumberFormat="1">
      <alignment vertical="center"/>
    </xf>
    <xf borderId="60" fillId="8" fontId="52" numFmtId="172" xfId="0" applyAlignment="1" applyBorder="1" applyFont="1" applyNumberFormat="1">
      <alignment vertical="center"/>
    </xf>
    <xf borderId="60" fillId="0" fontId="54" numFmtId="0" xfId="0" applyAlignment="1" applyBorder="1" applyFont="1">
      <alignment vertical="center"/>
    </xf>
    <xf borderId="60" fillId="29" fontId="54" numFmtId="0" xfId="0" applyAlignment="1" applyBorder="1" applyFill="1" applyFont="1">
      <alignment vertical="center"/>
    </xf>
    <xf borderId="61" fillId="0" fontId="54" numFmtId="0" xfId="0" applyAlignment="1" applyBorder="1" applyFont="1">
      <alignment vertical="center"/>
    </xf>
    <xf borderId="62" fillId="0" fontId="54" numFmtId="0" xfId="0" applyAlignment="1" applyBorder="1" applyFont="1">
      <alignment vertical="center"/>
    </xf>
    <xf borderId="60" fillId="8" fontId="52" numFmtId="0" xfId="0" applyAlignment="1" applyBorder="1" applyFont="1">
      <alignment vertical="center"/>
    </xf>
    <xf borderId="61" fillId="8" fontId="52" numFmtId="0" xfId="0" applyAlignment="1" applyBorder="1" applyFont="1">
      <alignment vertical="center"/>
    </xf>
    <xf borderId="62" fillId="8" fontId="52" numFmtId="0" xfId="0" applyAlignment="1" applyBorder="1" applyFont="1">
      <alignment vertical="center"/>
    </xf>
    <xf borderId="60" fillId="0" fontId="52" numFmtId="0" xfId="0" applyAlignment="1" applyBorder="1" applyFont="1">
      <alignment vertical="center"/>
    </xf>
    <xf borderId="63" fillId="0" fontId="2" numFmtId="0" xfId="0" applyBorder="1" applyFont="1"/>
    <xf borderId="63" fillId="23" fontId="51" numFmtId="0" xfId="0" applyAlignment="1" applyBorder="1" applyFont="1">
      <alignment readingOrder="0" shrinkToFit="0" vertical="center" wrapText="1"/>
    </xf>
    <xf borderId="64" fillId="0" fontId="2" numFmtId="0" xfId="0" applyBorder="1" applyFont="1"/>
    <xf borderId="65" fillId="30" fontId="54" numFmtId="0" xfId="0" applyAlignment="1" applyBorder="1" applyFill="1" applyFont="1">
      <alignment readingOrder="0" vertical="center"/>
    </xf>
    <xf borderId="66" fillId="0" fontId="2" numFmtId="0" xfId="0" applyBorder="1" applyFont="1"/>
    <xf borderId="67" fillId="0" fontId="2" numFmtId="0" xfId="0" applyBorder="1" applyFont="1"/>
    <xf borderId="66" fillId="31" fontId="54" numFmtId="0" xfId="0" applyAlignment="1" applyBorder="1" applyFill="1" applyFont="1">
      <alignment readingOrder="0" vertical="center"/>
    </xf>
    <xf borderId="68" fillId="0" fontId="2" numFmtId="0" xfId="0" applyBorder="1" applyFont="1"/>
    <xf borderId="69" fillId="8" fontId="52" numFmtId="0" xfId="0" applyAlignment="1" applyBorder="1" applyFont="1">
      <alignment vertical="center"/>
    </xf>
    <xf borderId="69" fillId="0" fontId="52" numFmtId="0" xfId="0" applyAlignment="1" applyBorder="1" applyFont="1">
      <alignment vertical="center"/>
    </xf>
    <xf borderId="70" fillId="8" fontId="52" numFmtId="9" xfId="0" applyAlignment="1" applyBorder="1" applyFont="1" applyNumberFormat="1">
      <alignment vertical="center"/>
    </xf>
    <xf borderId="13" fillId="8" fontId="52" numFmtId="172" xfId="0" applyAlignment="1" applyBorder="1" applyFont="1" applyNumberFormat="1">
      <alignment vertical="center"/>
    </xf>
    <xf borderId="71" fillId="8" fontId="52" numFmtId="0" xfId="0" applyAlignment="1" applyBorder="1" applyFont="1">
      <alignment vertical="center"/>
    </xf>
    <xf borderId="48" fillId="32" fontId="52" numFmtId="0" xfId="0" applyAlignment="1" applyBorder="1" applyFill="1" applyFont="1">
      <alignment readingOrder="0" vertical="center"/>
    </xf>
    <xf borderId="29" fillId="8" fontId="52" numFmtId="0" xfId="0" applyAlignment="1" applyBorder="1" applyFont="1">
      <alignment vertical="center"/>
    </xf>
    <xf borderId="11" fillId="18" fontId="52" numFmtId="0" xfId="0" applyAlignment="1" applyBorder="1" applyFont="1">
      <alignment readingOrder="0" shrinkToFit="0" vertical="center" wrapText="1"/>
    </xf>
    <xf borderId="10" fillId="33" fontId="52" numFmtId="0" xfId="0" applyAlignment="1" applyBorder="1" applyFill="1" applyFont="1">
      <alignment readingOrder="0" shrinkToFit="0" vertical="center" wrapText="1"/>
    </xf>
    <xf borderId="10" fillId="34" fontId="54" numFmtId="0" xfId="0" applyAlignment="1" applyBorder="1" applyFill="1" applyFont="1">
      <alignment readingOrder="0" vertical="center"/>
    </xf>
    <xf borderId="15" fillId="8" fontId="54" numFmtId="0" xfId="0" applyAlignment="1" applyBorder="1" applyFont="1">
      <alignment vertical="center"/>
    </xf>
    <xf borderId="10" fillId="35" fontId="54" numFmtId="0" xfId="0" applyAlignment="1" applyBorder="1" applyFill="1" applyFont="1">
      <alignment readingOrder="0" vertical="center"/>
    </xf>
    <xf borderId="72" fillId="0" fontId="2" numFmtId="0" xfId="0" applyBorder="1" applyFont="1"/>
    <xf borderId="73" fillId="36" fontId="54" numFmtId="0" xfId="0" applyAlignment="1" applyBorder="1" applyFill="1" applyFont="1">
      <alignment readingOrder="0" shrinkToFit="0" vertical="center" wrapText="1"/>
    </xf>
    <xf borderId="73" fillId="0" fontId="2" numFmtId="0" xfId="0" applyBorder="1" applyFont="1"/>
    <xf borderId="56" fillId="0" fontId="2" numFmtId="0" xfId="0" applyBorder="1" applyFont="1"/>
    <xf borderId="74" fillId="16" fontId="52" numFmtId="0" xfId="0" applyAlignment="1" applyBorder="1" applyFont="1">
      <alignment readingOrder="0" shrinkToFit="0" vertical="center" wrapText="1"/>
    </xf>
    <xf borderId="75" fillId="0" fontId="2" numFmtId="0" xfId="0" applyBorder="1" applyFont="1"/>
    <xf borderId="62" fillId="0" fontId="2" numFmtId="0" xfId="0" applyBorder="1" applyFont="1"/>
    <xf borderId="10" fillId="37" fontId="52" numFmtId="0" xfId="0" applyAlignment="1" applyBorder="1" applyFill="1" applyFont="1">
      <alignment vertical="center"/>
    </xf>
    <xf borderId="76" fillId="8" fontId="52" numFmtId="9" xfId="0" applyAlignment="1" applyBorder="1" applyFont="1" applyNumberFormat="1">
      <alignment vertical="center"/>
    </xf>
    <xf borderId="69" fillId="8" fontId="52" numFmtId="172" xfId="0" applyAlignment="1" applyBorder="1" applyFont="1" applyNumberFormat="1">
      <alignment vertical="center"/>
    </xf>
    <xf borderId="77" fillId="8" fontId="52" numFmtId="0" xfId="0" applyAlignment="1" applyBorder="1" applyFont="1">
      <alignment vertical="center"/>
    </xf>
    <xf borderId="68" fillId="8" fontId="52" numFmtId="0" xfId="0" applyAlignment="1" applyBorder="1" applyFont="1">
      <alignment vertical="center"/>
    </xf>
    <xf borderId="78" fillId="38" fontId="52" numFmtId="0" xfId="0" applyAlignment="1" applyBorder="1" applyFill="1" applyFont="1">
      <alignment vertical="center"/>
    </xf>
    <xf borderId="79" fillId="39" fontId="52" numFmtId="0" xfId="0" applyAlignment="1" applyBorder="1" applyFill="1" applyFont="1">
      <alignment vertical="center"/>
    </xf>
    <xf borderId="15" fillId="40" fontId="52" numFmtId="0" xfId="0" applyAlignment="1" applyBorder="1" applyFill="1" applyFont="1">
      <alignment vertical="center"/>
    </xf>
    <xf borderId="39" fillId="23" fontId="51" numFmtId="0" xfId="0" applyAlignment="1" applyBorder="1" applyFont="1">
      <alignment readingOrder="0" shrinkToFit="0" vertical="center" wrapText="1"/>
    </xf>
    <xf borderId="80" fillId="0" fontId="2" numFmtId="0" xfId="0" applyBorder="1" applyFont="1"/>
    <xf borderId="81" fillId="8" fontId="52" numFmtId="9" xfId="0" applyAlignment="1" applyBorder="1" applyFont="1" applyNumberFormat="1">
      <alignment vertical="center"/>
    </xf>
    <xf borderId="31" fillId="8" fontId="52" numFmtId="172" xfId="0" applyAlignment="1" applyBorder="1" applyFont="1" applyNumberFormat="1">
      <alignment vertical="center"/>
    </xf>
    <xf borderId="31" fillId="8" fontId="52" numFmtId="0" xfId="0" applyAlignment="1" applyBorder="1" applyFont="1">
      <alignment vertical="center"/>
    </xf>
    <xf borderId="32" fillId="8" fontId="52" numFmtId="0" xfId="0" applyAlignment="1" applyBorder="1" applyFont="1">
      <alignment vertical="center"/>
    </xf>
    <xf borderId="82" fillId="8" fontId="52" numFmtId="0" xfId="0" applyAlignment="1" applyBorder="1" applyFont="1">
      <alignment vertical="center"/>
    </xf>
    <xf borderId="31" fillId="0" fontId="52" numFmtId="0" xfId="0" applyAlignment="1" applyBorder="1" applyFont="1">
      <alignment vertical="center"/>
    </xf>
    <xf borderId="31" fillId="41" fontId="52" numFmtId="0" xfId="0" applyAlignment="1" applyBorder="1" applyFill="1" applyFont="1">
      <alignment vertical="center"/>
    </xf>
    <xf borderId="79" fillId="0" fontId="2" numFmtId="0" xfId="0" applyBorder="1" applyFont="1"/>
    <xf borderId="32" fillId="0" fontId="16" numFmtId="0" xfId="0" applyAlignment="1" applyBorder="1" applyFont="1">
      <alignment horizontal="left" readingOrder="0" vertical="center"/>
    </xf>
    <xf borderId="0" fillId="0" fontId="11" numFmtId="0" xfId="0" applyAlignment="1" applyFont="1">
      <alignment vertical="center"/>
    </xf>
    <xf borderId="0" fillId="0" fontId="11" numFmtId="165" xfId="0" applyAlignment="1" applyFont="1" applyNumberFormat="1">
      <alignment vertical="center"/>
    </xf>
    <xf borderId="3" fillId="0" fontId="11" numFmtId="0" xfId="0" applyAlignment="1" applyBorder="1" applyFont="1">
      <alignment horizontal="center" vertical="center"/>
    </xf>
    <xf borderId="1" fillId="0" fontId="11" numFmtId="0" xfId="0" applyAlignment="1" applyBorder="1" applyFont="1">
      <alignment vertical="center"/>
    </xf>
    <xf borderId="1" fillId="0" fontId="55" numFmtId="0" xfId="0" applyAlignment="1" applyBorder="1" applyFont="1">
      <alignment horizontal="center" readingOrder="0" vertical="center"/>
    </xf>
    <xf borderId="3" fillId="0" fontId="55" numFmtId="0" xfId="0" applyAlignment="1" applyBorder="1" applyFont="1">
      <alignment readingOrder="0" vertical="center"/>
    </xf>
    <xf borderId="3" fillId="0" fontId="55" numFmtId="165" xfId="0" applyAlignment="1" applyBorder="1" applyFont="1" applyNumberFormat="1">
      <alignment vertical="center"/>
    </xf>
    <xf borderId="3" fillId="0" fontId="11" numFmtId="165" xfId="0" applyAlignment="1" applyBorder="1" applyFont="1" applyNumberFormat="1">
      <alignment vertical="center"/>
    </xf>
    <xf borderId="36" fillId="0" fontId="11" numFmtId="0" xfId="0" applyAlignment="1" applyBorder="1" applyFont="1">
      <alignment vertical="center"/>
    </xf>
    <xf borderId="0" fillId="0" fontId="11" numFmtId="0" xfId="0" applyAlignment="1" applyFont="1">
      <alignment readingOrder="0" vertical="center"/>
    </xf>
    <xf borderId="0" fillId="0" fontId="55" numFmtId="0" xfId="0" applyAlignment="1" applyFont="1">
      <alignment horizontal="center" readingOrder="0" vertical="center"/>
    </xf>
    <xf borderId="3" fillId="8" fontId="13" numFmtId="0" xfId="0" applyAlignment="1" applyBorder="1" applyFont="1">
      <alignment horizontal="center" vertical="center"/>
    </xf>
    <xf borderId="33" fillId="0" fontId="11" numFmtId="0" xfId="0" applyAlignment="1" applyBorder="1" applyFont="1">
      <alignment vertical="center"/>
    </xf>
    <xf borderId="0" fillId="0" fontId="56" numFmtId="0" xfId="0" applyAlignment="1" applyFont="1">
      <alignment horizontal="center" readingOrder="0"/>
    </xf>
    <xf borderId="0" fillId="0" fontId="57" numFmtId="0" xfId="0" applyAlignment="1" applyFont="1">
      <alignment horizontal="center"/>
    </xf>
    <xf borderId="0" fillId="8" fontId="58" numFmtId="0" xfId="0" applyAlignment="1" applyFont="1">
      <alignment horizontal="center" readingOrder="0"/>
    </xf>
    <xf borderId="0" fillId="0" fontId="59" numFmtId="0" xfId="0" applyAlignment="1" applyFont="1">
      <alignment readingOrder="0"/>
    </xf>
    <xf borderId="0" fillId="0" fontId="59" numFmtId="0" xfId="0" applyAlignment="1" applyFont="1">
      <alignment readingOrder="0" vertical="center"/>
    </xf>
    <xf borderId="0" fillId="0" fontId="55" numFmtId="0" xfId="0" applyAlignment="1" applyFont="1">
      <alignment horizontal="center" shrinkToFit="0" vertical="center" wrapText="1"/>
    </xf>
    <xf borderId="0" fillId="0" fontId="55" numFmtId="0" xfId="0" applyAlignment="1" applyFont="1">
      <alignment shrinkToFit="0" vertical="center" wrapText="1"/>
    </xf>
    <xf borderId="3" fillId="0" fontId="55" numFmtId="0" xfId="0" applyAlignment="1" applyBorder="1" applyFont="1">
      <alignment horizontal="center" readingOrder="0" shrinkToFit="0" vertical="center" wrapText="1"/>
    </xf>
    <xf borderId="3" fillId="0" fontId="55" numFmtId="164" xfId="0" applyAlignment="1" applyBorder="1" applyFont="1" applyNumberFormat="1">
      <alignment horizontal="center" readingOrder="0" shrinkToFit="0" vertical="center" wrapText="1"/>
    </xf>
    <xf borderId="0" fillId="0" fontId="11" numFmtId="164" xfId="0" applyAlignment="1" applyFont="1" applyNumberFormat="1">
      <alignment shrinkToFit="0" vertical="center" wrapText="1"/>
    </xf>
    <xf borderId="0" fillId="0" fontId="55" numFmtId="0" xfId="0" applyAlignment="1" applyFont="1">
      <alignment horizontal="center" readingOrder="0" shrinkToFit="0" vertical="center" wrapText="1"/>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1" numFmtId="165" xfId="0" applyAlignment="1" applyFont="1" applyNumberFormat="1">
      <alignment shrinkToFit="0" vertical="center" wrapText="1"/>
    </xf>
    <xf borderId="83" fillId="2" fontId="11" numFmtId="0" xfId="0" applyAlignment="1" applyBorder="1" applyFont="1">
      <alignment shrinkToFit="0" vertical="center" wrapText="1"/>
    </xf>
    <xf borderId="3" fillId="0" fontId="11" numFmtId="0" xfId="0" applyAlignment="1" applyBorder="1" applyFont="1">
      <alignment horizontal="center" readingOrder="0" shrinkToFit="0" vertical="center" wrapText="1"/>
    </xf>
    <xf borderId="3" fillId="0" fontId="11" numFmtId="164" xfId="0" applyAlignment="1" applyBorder="1" applyFont="1" applyNumberFormat="1">
      <alignment horizontal="center" readingOrder="0" shrinkToFit="0" vertical="center" wrapText="1"/>
    </xf>
    <xf borderId="0" fillId="0" fontId="11" numFmtId="0" xfId="0" applyAlignment="1" applyFont="1">
      <alignment horizontal="center" readingOrder="0" shrinkToFit="0" vertical="center" wrapText="1"/>
    </xf>
    <xf quotePrefix="1" borderId="0" fillId="0" fontId="11" numFmtId="0" xfId="0" applyAlignment="1" applyFont="1">
      <alignment horizontal="center" readingOrder="0" shrinkToFit="0" vertical="center" wrapText="1"/>
    </xf>
    <xf borderId="83" fillId="3" fontId="11" numFmtId="0" xfId="0" applyAlignment="1" applyBorder="1" applyFont="1">
      <alignment shrinkToFit="0" vertical="center" wrapText="1"/>
    </xf>
    <xf borderId="83" fillId="4" fontId="11" numFmtId="0" xfId="0" applyAlignment="1" applyBorder="1" applyFont="1">
      <alignment shrinkToFit="0" vertical="center" wrapText="1"/>
    </xf>
    <xf borderId="83" fillId="5" fontId="11" numFmtId="0" xfId="0" applyAlignment="1" applyBorder="1" applyFont="1">
      <alignment shrinkToFit="0" vertical="center" wrapText="1"/>
    </xf>
    <xf borderId="83" fillId="6" fontId="11" numFmtId="0" xfId="0" applyAlignment="1" applyBorder="1" applyFont="1">
      <alignment shrinkToFit="0" vertical="center" wrapText="1"/>
    </xf>
    <xf borderId="0" fillId="0" fontId="11" numFmtId="166" xfId="0" applyAlignment="1" applyFont="1" applyNumberFormat="1">
      <alignment horizontal="center" shrinkToFit="0" vertical="center" wrapText="1"/>
    </xf>
    <xf borderId="3" fillId="7" fontId="60" numFmtId="0" xfId="0" applyAlignment="1" applyBorder="1" applyFont="1">
      <alignment horizontal="center" shrinkToFit="0" vertical="center" wrapText="1"/>
    </xf>
    <xf borderId="3" fillId="7" fontId="61" numFmtId="0" xfId="0" applyAlignment="1" applyBorder="1" applyFont="1">
      <alignment horizontal="center" readingOrder="0" shrinkToFit="0" vertical="center" wrapText="1"/>
    </xf>
    <xf borderId="3" fillId="7" fontId="62" numFmtId="166" xfId="0" applyAlignment="1" applyBorder="1" applyFont="1" applyNumberFormat="1">
      <alignment horizontal="center" shrinkToFit="0" vertical="center" wrapText="1"/>
    </xf>
    <xf borderId="3" fillId="7" fontId="60" numFmtId="164" xfId="0" applyAlignment="1" applyBorder="1" applyFont="1" applyNumberFormat="1">
      <alignment horizontal="center" shrinkToFit="0" vertical="center" wrapText="1"/>
    </xf>
    <xf borderId="3" fillId="7" fontId="61" numFmtId="164" xfId="0" applyAlignment="1" applyBorder="1" applyFont="1" applyNumberFormat="1">
      <alignment horizontal="center" readingOrder="0" shrinkToFit="0" vertical="center" wrapText="1"/>
    </xf>
    <xf borderId="3" fillId="7" fontId="61" numFmtId="165" xfId="0" applyAlignment="1" applyBorder="1" applyFont="1" applyNumberFormat="1">
      <alignment horizontal="center" readingOrder="0" shrinkToFit="0" vertical="center" wrapText="1"/>
    </xf>
    <xf borderId="84" fillId="2" fontId="12" numFmtId="0" xfId="0" applyAlignment="1" applyBorder="1" applyFont="1">
      <alignment horizontal="center" shrinkToFit="0" vertical="center" wrapText="1"/>
    </xf>
    <xf borderId="1" fillId="2" fontId="12" numFmtId="0" xfId="0" applyAlignment="1" applyBorder="1" applyFont="1">
      <alignment readingOrder="0" shrinkToFit="0" vertical="center" wrapText="1"/>
    </xf>
    <xf borderId="1" fillId="2" fontId="12" numFmtId="164" xfId="0" applyAlignment="1" applyBorder="1" applyFont="1" applyNumberFormat="1">
      <alignment horizontal="center" readingOrder="0" shrinkToFit="0" vertical="center" wrapText="1"/>
    </xf>
    <xf borderId="3" fillId="2" fontId="12" numFmtId="0" xfId="0" applyAlignment="1" applyBorder="1" applyFont="1">
      <alignment shrinkToFit="0" vertical="center" wrapText="1"/>
    </xf>
    <xf borderId="3" fillId="2" fontId="12" numFmtId="166" xfId="0" applyAlignment="1" applyBorder="1" applyFont="1" applyNumberFormat="1">
      <alignment horizontal="center" shrinkToFit="0" vertical="center" wrapText="1"/>
    </xf>
    <xf borderId="3" fillId="2" fontId="12" numFmtId="164" xfId="0" applyAlignment="1" applyBorder="1" applyFont="1" applyNumberFormat="1">
      <alignment horizontal="right" shrinkToFit="0" vertical="center" wrapText="1"/>
    </xf>
    <xf borderId="3" fillId="2" fontId="11" numFmtId="164" xfId="0" applyAlignment="1" applyBorder="1" applyFont="1" applyNumberFormat="1">
      <alignment shrinkToFit="0" vertical="center" wrapText="1"/>
    </xf>
    <xf borderId="3" fillId="2" fontId="11" numFmtId="0" xfId="0" applyAlignment="1" applyBorder="1" applyFont="1">
      <alignment shrinkToFit="0" vertical="center" wrapText="1"/>
    </xf>
    <xf borderId="3" fillId="2" fontId="11" numFmtId="0" xfId="0" applyAlignment="1" applyBorder="1" applyFont="1">
      <alignment readingOrder="0" shrinkToFit="0" vertical="center" wrapText="1"/>
    </xf>
    <xf borderId="3" fillId="2" fontId="11" numFmtId="0" xfId="0" applyAlignment="1" applyBorder="1" applyFont="1">
      <alignment horizontal="center" shrinkToFit="0" vertical="center" wrapText="1"/>
    </xf>
    <xf borderId="3" fillId="2" fontId="11" numFmtId="165" xfId="0" applyAlignment="1" applyBorder="1" applyFont="1" applyNumberFormat="1">
      <alignment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readingOrder="0" shrinkToFit="0" vertical="center" wrapText="1"/>
    </xf>
    <xf borderId="1" fillId="0" fontId="12" numFmtId="164" xfId="0" applyAlignment="1" applyBorder="1" applyFont="1" applyNumberFormat="1">
      <alignment horizontal="center" readingOrder="0" shrinkToFit="0" vertical="center" wrapText="1"/>
    </xf>
    <xf borderId="3" fillId="0" fontId="12" numFmtId="0" xfId="0" applyAlignment="1" applyBorder="1" applyFont="1">
      <alignment shrinkToFit="0" vertical="center" wrapText="1"/>
    </xf>
    <xf borderId="3" fillId="0" fontId="12" numFmtId="166" xfId="0" applyAlignment="1" applyBorder="1" applyFont="1" applyNumberFormat="1">
      <alignment horizontal="center" shrinkToFit="0" vertical="center" wrapText="1"/>
    </xf>
    <xf borderId="3" fillId="8" fontId="12" numFmtId="164" xfId="0" applyAlignment="1" applyBorder="1" applyFont="1" applyNumberFormat="1">
      <alignment horizontal="right" shrinkToFit="0" vertical="center" wrapText="1"/>
    </xf>
    <xf borderId="3" fillId="0" fontId="11" numFmtId="0" xfId="0" applyAlignment="1" applyBorder="1" applyFont="1">
      <alignment shrinkToFit="0" vertical="center" wrapText="1"/>
    </xf>
    <xf borderId="3" fillId="0" fontId="11" numFmtId="0" xfId="0" applyAlignment="1" applyBorder="1" applyFont="1">
      <alignment horizontal="center" shrinkToFit="0" vertical="center" wrapText="1"/>
    </xf>
    <xf borderId="3" fillId="0" fontId="11" numFmtId="165" xfId="0" applyAlignment="1" applyBorder="1" applyFont="1" applyNumberFormat="1">
      <alignment shrinkToFit="0" vertical="center" wrapText="1"/>
    </xf>
    <xf borderId="84" fillId="3" fontId="12" numFmtId="0" xfId="0" applyAlignment="1" applyBorder="1" applyFont="1">
      <alignment horizontal="center" shrinkToFit="0" vertical="center" wrapText="1"/>
    </xf>
    <xf borderId="1" fillId="3" fontId="12" numFmtId="0" xfId="0" applyAlignment="1" applyBorder="1" applyFont="1">
      <alignment readingOrder="0" shrinkToFit="0" vertical="center" wrapText="1"/>
    </xf>
    <xf borderId="1" fillId="3" fontId="12" numFmtId="164" xfId="0" applyAlignment="1" applyBorder="1" applyFont="1" applyNumberFormat="1">
      <alignment horizontal="center" readingOrder="0" shrinkToFit="0" vertical="center" wrapText="1"/>
    </xf>
    <xf borderId="3" fillId="3" fontId="12" numFmtId="0" xfId="0" applyAlignment="1" applyBorder="1" applyFont="1">
      <alignment shrinkToFit="0" vertical="center" wrapText="1"/>
    </xf>
    <xf borderId="3" fillId="3" fontId="12" numFmtId="166" xfId="0" applyAlignment="1" applyBorder="1" applyFont="1" applyNumberFormat="1">
      <alignment horizontal="center" shrinkToFit="0" vertical="center" wrapText="1"/>
    </xf>
    <xf borderId="3" fillId="3" fontId="12" numFmtId="164" xfId="0" applyAlignment="1" applyBorder="1" applyFont="1" applyNumberFormat="1">
      <alignment horizontal="right" shrinkToFit="0" vertical="center" wrapText="1"/>
    </xf>
    <xf borderId="3" fillId="3" fontId="11" numFmtId="164" xfId="0" applyAlignment="1" applyBorder="1" applyFont="1" applyNumberFormat="1">
      <alignment shrinkToFit="0" vertical="center" wrapText="1"/>
    </xf>
    <xf borderId="3" fillId="3" fontId="11" numFmtId="0" xfId="0" applyAlignment="1" applyBorder="1" applyFont="1">
      <alignment shrinkToFit="0" vertical="center" wrapText="1"/>
    </xf>
    <xf borderId="3" fillId="3" fontId="11" numFmtId="0" xfId="0" applyAlignment="1" applyBorder="1" applyFont="1">
      <alignment readingOrder="0" shrinkToFit="0" vertical="center" wrapText="1"/>
    </xf>
    <xf borderId="3" fillId="3" fontId="11" numFmtId="0" xfId="0" applyAlignment="1" applyBorder="1" applyFont="1">
      <alignment horizontal="center" shrinkToFit="0" vertical="center" wrapText="1"/>
    </xf>
    <xf borderId="3" fillId="3" fontId="11" numFmtId="165" xfId="0" applyAlignment="1" applyBorder="1" applyFont="1" applyNumberFormat="1">
      <alignment shrinkToFit="0" vertical="center" wrapText="1"/>
    </xf>
    <xf borderId="1" fillId="15" fontId="12" numFmtId="0" xfId="0" applyAlignment="1" applyBorder="1" applyFont="1">
      <alignment horizontal="center" shrinkToFit="0" vertical="center" wrapText="1"/>
    </xf>
    <xf borderId="1" fillId="15" fontId="12" numFmtId="0" xfId="0" applyAlignment="1" applyBorder="1" applyFont="1">
      <alignment readingOrder="0" shrinkToFit="0" vertical="center" wrapText="1"/>
    </xf>
    <xf borderId="1" fillId="15" fontId="12" numFmtId="164" xfId="0" applyAlignment="1" applyBorder="1" applyFont="1" applyNumberFormat="1">
      <alignment horizontal="center" readingOrder="0" shrinkToFit="0" vertical="center" wrapText="1"/>
    </xf>
    <xf borderId="3" fillId="15" fontId="12" numFmtId="0" xfId="0" applyAlignment="1" applyBorder="1" applyFont="1">
      <alignment shrinkToFit="0" vertical="center" wrapText="1"/>
    </xf>
    <xf borderId="3" fillId="15" fontId="12" numFmtId="166" xfId="0" applyAlignment="1" applyBorder="1" applyFont="1" applyNumberFormat="1">
      <alignment horizontal="center" shrinkToFit="0" vertical="center" wrapText="1"/>
    </xf>
    <xf borderId="3" fillId="15" fontId="12" numFmtId="164" xfId="0" applyAlignment="1" applyBorder="1" applyFont="1" applyNumberFormat="1">
      <alignment horizontal="right" shrinkToFit="0" vertical="center" wrapText="1"/>
    </xf>
    <xf borderId="3" fillId="15" fontId="11" numFmtId="0" xfId="0" applyAlignment="1" applyBorder="1" applyFont="1">
      <alignment readingOrder="0" shrinkToFit="0" vertical="center" wrapText="1"/>
    </xf>
    <xf borderId="3" fillId="15" fontId="11" numFmtId="0" xfId="0" applyAlignment="1" applyBorder="1" applyFont="1">
      <alignment horizontal="center" shrinkToFit="0" vertical="center" wrapText="1"/>
    </xf>
    <xf borderId="3" fillId="15" fontId="11" numFmtId="0" xfId="0" applyAlignment="1" applyBorder="1" applyFont="1">
      <alignment shrinkToFit="0" vertical="center" wrapText="1"/>
    </xf>
    <xf borderId="3" fillId="15" fontId="11" numFmtId="165" xfId="0" applyAlignment="1" applyBorder="1" applyFont="1" applyNumberFormat="1">
      <alignment shrinkToFit="0" vertical="center" wrapText="1"/>
    </xf>
    <xf borderId="1" fillId="42" fontId="12" numFmtId="0" xfId="0" applyAlignment="1" applyBorder="1" applyFill="1" applyFont="1">
      <alignment horizontal="center" shrinkToFit="0" vertical="center" wrapText="1"/>
    </xf>
    <xf borderId="1" fillId="42" fontId="12" numFmtId="0" xfId="0" applyAlignment="1" applyBorder="1" applyFont="1">
      <alignment readingOrder="0" shrinkToFit="0" vertical="center" wrapText="1"/>
    </xf>
    <xf borderId="1" fillId="42" fontId="12" numFmtId="164" xfId="0" applyAlignment="1" applyBorder="1" applyFont="1" applyNumberFormat="1">
      <alignment horizontal="center" readingOrder="0" shrinkToFit="0" vertical="center" wrapText="1"/>
    </xf>
    <xf borderId="3" fillId="42" fontId="12" numFmtId="0" xfId="0" applyAlignment="1" applyBorder="1" applyFont="1">
      <alignment shrinkToFit="0" vertical="center" wrapText="1"/>
    </xf>
    <xf borderId="3" fillId="42" fontId="12" numFmtId="166" xfId="0" applyAlignment="1" applyBorder="1" applyFont="1" applyNumberFormat="1">
      <alignment horizontal="center" shrinkToFit="0" vertical="center" wrapText="1"/>
    </xf>
    <xf borderId="3" fillId="42" fontId="12" numFmtId="164" xfId="0" applyAlignment="1" applyBorder="1" applyFont="1" applyNumberFormat="1">
      <alignment horizontal="right" shrinkToFit="0" vertical="center" wrapText="1"/>
    </xf>
    <xf borderId="3" fillId="42" fontId="11" numFmtId="0" xfId="0" applyAlignment="1" applyBorder="1" applyFont="1">
      <alignment shrinkToFit="0" vertical="center" wrapText="1"/>
    </xf>
    <xf borderId="3" fillId="42" fontId="11" numFmtId="0" xfId="0" applyAlignment="1" applyBorder="1" applyFont="1">
      <alignment readingOrder="0" shrinkToFit="0" vertical="center" wrapText="1"/>
    </xf>
    <xf borderId="3" fillId="42" fontId="11" numFmtId="0" xfId="0" applyAlignment="1" applyBorder="1" applyFont="1">
      <alignment horizontal="center" shrinkToFit="0" vertical="center" wrapText="1"/>
    </xf>
    <xf borderId="3" fillId="42" fontId="11" numFmtId="165" xfId="0" applyAlignment="1" applyBorder="1" applyFont="1" applyNumberFormat="1">
      <alignment shrinkToFit="0" vertical="center" wrapText="1"/>
    </xf>
    <xf borderId="3" fillId="15" fontId="12" numFmtId="0" xfId="0" applyAlignment="1" applyBorder="1" applyFont="1">
      <alignment readingOrder="0" shrinkToFit="0" vertical="center" wrapText="1"/>
    </xf>
    <xf borderId="1" fillId="5" fontId="12" numFmtId="0" xfId="0" applyAlignment="1" applyBorder="1" applyFont="1">
      <alignment horizontal="center" shrinkToFit="0" vertical="center" wrapText="1"/>
    </xf>
    <xf borderId="1" fillId="5" fontId="12" numFmtId="0" xfId="0" applyAlignment="1" applyBorder="1" applyFont="1">
      <alignment readingOrder="0" shrinkToFit="0" vertical="center" wrapText="1"/>
    </xf>
    <xf borderId="1" fillId="5" fontId="12" numFmtId="164" xfId="0" applyAlignment="1" applyBorder="1" applyFont="1" applyNumberFormat="1">
      <alignment horizontal="center" readingOrder="0" shrinkToFit="0" vertical="center" wrapText="1"/>
    </xf>
    <xf borderId="3" fillId="5" fontId="12" numFmtId="0" xfId="0" applyAlignment="1" applyBorder="1" applyFont="1">
      <alignment shrinkToFit="0" vertical="center" wrapText="1"/>
    </xf>
    <xf borderId="3" fillId="5" fontId="12" numFmtId="166" xfId="0" applyAlignment="1" applyBorder="1" applyFont="1" applyNumberFormat="1">
      <alignment horizontal="center" shrinkToFit="0" vertical="center" wrapText="1"/>
    </xf>
    <xf borderId="3" fillId="5" fontId="12" numFmtId="164" xfId="0" applyAlignment="1" applyBorder="1" applyFont="1" applyNumberFormat="1">
      <alignment horizontal="right" shrinkToFit="0" vertical="center" wrapText="1"/>
    </xf>
    <xf borderId="3" fillId="5" fontId="11" numFmtId="0" xfId="0" applyAlignment="1" applyBorder="1" applyFont="1">
      <alignment shrinkToFit="0" vertical="center" wrapText="1"/>
    </xf>
    <xf borderId="3" fillId="5" fontId="11" numFmtId="0" xfId="0" applyAlignment="1" applyBorder="1" applyFont="1">
      <alignment readingOrder="0" shrinkToFit="0" vertical="center" wrapText="1"/>
    </xf>
    <xf borderId="3" fillId="5" fontId="11" numFmtId="0" xfId="0" applyAlignment="1" applyBorder="1" applyFont="1">
      <alignment horizontal="center" shrinkToFit="0" vertical="center" wrapText="1"/>
    </xf>
    <xf borderId="3" fillId="5" fontId="11" numFmtId="165" xfId="0" applyAlignment="1" applyBorder="1" applyFont="1" applyNumberFormat="1">
      <alignment shrinkToFit="0" vertical="center" wrapText="1"/>
    </xf>
    <xf borderId="84" fillId="4" fontId="12" numFmtId="0" xfId="0" applyAlignment="1" applyBorder="1" applyFont="1">
      <alignment horizontal="center" shrinkToFit="0" vertical="center" wrapText="1"/>
    </xf>
    <xf borderId="1" fillId="4" fontId="12" numFmtId="0" xfId="0" applyAlignment="1" applyBorder="1" applyFont="1">
      <alignment readingOrder="0" shrinkToFit="0" vertical="center" wrapText="1"/>
    </xf>
    <xf borderId="1" fillId="4" fontId="12" numFmtId="164" xfId="0" applyAlignment="1" applyBorder="1" applyFont="1" applyNumberFormat="1">
      <alignment horizontal="center" readingOrder="0" shrinkToFit="0" vertical="center" wrapText="1"/>
    </xf>
    <xf borderId="3" fillId="4" fontId="12" numFmtId="0" xfId="0" applyAlignment="1" applyBorder="1" applyFont="1">
      <alignment shrinkToFit="0" vertical="center" wrapText="1"/>
    </xf>
    <xf borderId="3" fillId="4" fontId="12" numFmtId="166" xfId="0" applyAlignment="1" applyBorder="1" applyFont="1" applyNumberFormat="1">
      <alignment horizontal="center" shrinkToFit="0" vertical="center" wrapText="1"/>
    </xf>
    <xf borderId="3" fillId="4" fontId="11" numFmtId="164" xfId="0" applyAlignment="1" applyBorder="1" applyFont="1" applyNumberFormat="1">
      <alignment shrinkToFit="0" vertical="center" wrapText="1"/>
    </xf>
    <xf borderId="3" fillId="4" fontId="11" numFmtId="0" xfId="0" applyAlignment="1" applyBorder="1" applyFont="1">
      <alignment shrinkToFit="0" vertical="center" wrapText="1"/>
    </xf>
    <xf borderId="3" fillId="4" fontId="11" numFmtId="0" xfId="0" applyAlignment="1" applyBorder="1" applyFont="1">
      <alignment readingOrder="0" shrinkToFit="0" vertical="center" wrapText="1"/>
    </xf>
    <xf borderId="3" fillId="4" fontId="11" numFmtId="0" xfId="0" applyAlignment="1" applyBorder="1" applyFont="1">
      <alignment horizontal="center" shrinkToFit="0" vertical="center" wrapText="1"/>
    </xf>
    <xf borderId="3" fillId="4" fontId="11" numFmtId="165" xfId="0" applyAlignment="1" applyBorder="1" applyFont="1" applyNumberFormat="1">
      <alignment readingOrder="0" shrinkToFit="0" vertical="center" wrapText="1"/>
    </xf>
    <xf borderId="1" fillId="3" fontId="12" numFmtId="0" xfId="0" applyAlignment="1" applyBorder="1" applyFont="1">
      <alignment horizontal="center" shrinkToFit="0" vertical="center" wrapText="1"/>
    </xf>
    <xf borderId="3" fillId="0" fontId="12" numFmtId="164" xfId="0" applyAlignment="1" applyBorder="1" applyFont="1" applyNumberFormat="1">
      <alignment horizontal="right" shrinkToFit="0" vertical="center" wrapText="1"/>
    </xf>
    <xf borderId="3" fillId="15" fontId="11" numFmtId="0" xfId="0" applyAlignment="1" applyBorder="1" applyFont="1">
      <alignment shrinkToFit="0" wrapText="1"/>
    </xf>
    <xf borderId="3" fillId="15" fontId="11" numFmtId="0" xfId="0" applyAlignment="1" applyBorder="1" applyFont="1">
      <alignment readingOrder="0" shrinkToFit="0" wrapText="1"/>
    </xf>
    <xf borderId="1" fillId="8" fontId="12" numFmtId="0" xfId="0" applyAlignment="1" applyBorder="1" applyFont="1">
      <alignment horizontal="center" shrinkToFit="0" vertical="center" wrapText="1"/>
    </xf>
    <xf borderId="1" fillId="8" fontId="12" numFmtId="0" xfId="0" applyAlignment="1" applyBorder="1" applyFont="1">
      <alignment readingOrder="0" shrinkToFit="0" vertical="center" wrapText="1"/>
    </xf>
    <xf borderId="1" fillId="8" fontId="12" numFmtId="164" xfId="0" applyAlignment="1" applyBorder="1" applyFont="1" applyNumberFormat="1">
      <alignment horizontal="center" readingOrder="0" shrinkToFit="0" vertical="center" wrapText="1"/>
    </xf>
    <xf borderId="3" fillId="8" fontId="12" numFmtId="0" xfId="0" applyAlignment="1" applyBorder="1" applyFont="1">
      <alignment shrinkToFit="0" vertical="center" wrapText="1"/>
    </xf>
    <xf borderId="3" fillId="8" fontId="12" numFmtId="166" xfId="0" applyAlignment="1" applyBorder="1" applyFont="1" applyNumberFormat="1">
      <alignment horizontal="center" shrinkToFit="0" vertical="center" wrapText="1"/>
    </xf>
    <xf borderId="3" fillId="8" fontId="11" numFmtId="0" xfId="0" applyAlignment="1" applyBorder="1" applyFont="1">
      <alignment shrinkToFit="0" wrapText="1"/>
    </xf>
    <xf borderId="3" fillId="8" fontId="11" numFmtId="0" xfId="0" applyAlignment="1" applyBorder="1" applyFont="1">
      <alignment shrinkToFit="0" vertical="center" wrapText="1"/>
    </xf>
    <xf borderId="3" fillId="8" fontId="11" numFmtId="0" xfId="0" applyAlignment="1" applyBorder="1" applyFont="1">
      <alignment horizontal="center" shrinkToFit="0" vertical="center" wrapText="1"/>
    </xf>
    <xf borderId="3" fillId="8" fontId="11" numFmtId="165" xfId="0" applyAlignment="1" applyBorder="1" applyFont="1" applyNumberFormat="1">
      <alignment shrinkToFit="0" vertical="center" wrapText="1"/>
    </xf>
    <xf borderId="3" fillId="15" fontId="11" numFmtId="0" xfId="0" applyAlignment="1" applyBorder="1" applyFont="1">
      <alignment shrinkToFit="0" vertical="bottom" wrapText="1"/>
    </xf>
    <xf borderId="3" fillId="15" fontId="11" numFmtId="0" xfId="0" applyAlignment="1" applyBorder="1" applyFont="1">
      <alignment shrinkToFit="0" vertical="bottom" wrapText="1"/>
    </xf>
    <xf borderId="84" fillId="15" fontId="12"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3" fillId="8" fontId="11" numFmtId="0" xfId="0" applyAlignment="1" applyBorder="1" applyFont="1">
      <alignment readingOrder="0" shrinkToFit="0" vertical="center" wrapText="1"/>
    </xf>
    <xf borderId="1" fillId="15" fontId="11" numFmtId="0" xfId="0" applyAlignment="1" applyBorder="1" applyFont="1">
      <alignment readingOrder="0" shrinkToFit="0" vertical="center" wrapText="1"/>
    </xf>
    <xf borderId="3" fillId="15" fontId="11" numFmtId="164" xfId="0" applyAlignment="1" applyBorder="1" applyFont="1" applyNumberFormat="1">
      <alignment shrinkToFit="0" vertical="center" wrapText="1"/>
    </xf>
    <xf borderId="1" fillId="0" fontId="11" numFmtId="0" xfId="0" applyAlignment="1" applyBorder="1" applyFont="1">
      <alignment readingOrder="0" shrinkToFit="0" vertical="center" wrapText="1"/>
    </xf>
    <xf borderId="3" fillId="0" fontId="11" numFmtId="164" xfId="0" applyAlignment="1" applyBorder="1" applyFont="1" applyNumberFormat="1">
      <alignment shrinkToFit="0" vertical="center" wrapText="1"/>
    </xf>
    <xf borderId="1" fillId="3" fontId="11" numFmtId="0" xfId="0" applyAlignment="1" applyBorder="1" applyFont="1">
      <alignment readingOrder="0" shrinkToFit="0" vertical="center" wrapText="1"/>
    </xf>
    <xf borderId="1" fillId="42" fontId="11" numFmtId="0" xfId="0" applyAlignment="1" applyBorder="1" applyFont="1">
      <alignment readingOrder="0" shrinkToFit="0" vertical="center" wrapText="1"/>
    </xf>
    <xf borderId="3" fillId="42" fontId="11" numFmtId="164" xfId="0" applyAlignment="1" applyBorder="1" applyFont="1" applyNumberFormat="1">
      <alignment shrinkToFit="0" vertical="center" wrapText="1"/>
    </xf>
    <xf borderId="0" fillId="42" fontId="29" numFmtId="0" xfId="0" applyFont="1"/>
    <xf borderId="1" fillId="8" fontId="11" numFmtId="0" xfId="0" applyAlignment="1" applyBorder="1" applyFont="1">
      <alignment readingOrder="0" shrinkToFit="0" vertical="center" wrapText="1"/>
    </xf>
    <xf borderId="3" fillId="8" fontId="11" numFmtId="164" xfId="0" applyAlignment="1" applyBorder="1" applyFont="1" applyNumberFormat="1">
      <alignment shrinkToFit="0" vertical="center" wrapText="1"/>
    </xf>
    <xf borderId="3" fillId="11" fontId="12" numFmtId="166" xfId="0" applyAlignment="1" applyBorder="1" applyFont="1" applyNumberFormat="1">
      <alignment horizontal="center" shrinkToFit="0" vertical="center" wrapText="1"/>
    </xf>
    <xf borderId="3" fillId="0" fontId="55" numFmtId="0" xfId="0" applyAlignment="1" applyBorder="1" applyFont="1">
      <alignment readingOrder="0" shrinkToFit="0" vertical="center" wrapText="1"/>
    </xf>
    <xf borderId="0" fillId="8" fontId="12" numFmtId="0" xfId="0" applyFont="1"/>
    <xf borderId="0" fillId="15" fontId="63" numFmtId="0" xfId="0" applyAlignment="1" applyFont="1">
      <alignment readingOrder="0"/>
    </xf>
    <xf borderId="3" fillId="0" fontId="12" numFmtId="0" xfId="0" applyAlignment="1" applyBorder="1" applyFont="1">
      <alignment readingOrder="0" shrinkToFit="0" vertical="center" wrapText="1"/>
    </xf>
    <xf borderId="3" fillId="15" fontId="11" numFmtId="164" xfId="0" applyAlignment="1" applyBorder="1" applyFont="1" applyNumberFormat="1">
      <alignment readingOrder="0" shrinkToFit="0" vertical="center" wrapText="1"/>
    </xf>
    <xf borderId="84" fillId="0" fontId="12" numFmtId="0" xfId="0" applyAlignment="1" applyBorder="1" applyFont="1">
      <alignment horizontal="center" shrinkToFit="0" vertical="center" wrapText="1"/>
    </xf>
    <xf borderId="84" fillId="42" fontId="12" numFmtId="0" xfId="0" applyAlignment="1" applyBorder="1" applyFont="1">
      <alignment horizontal="center" shrinkToFit="0" vertical="center" wrapText="1"/>
    </xf>
    <xf borderId="1" fillId="5" fontId="11" numFmtId="0" xfId="0" applyAlignment="1" applyBorder="1" applyFont="1">
      <alignment readingOrder="0" shrinkToFit="0" vertical="center" wrapText="1"/>
    </xf>
    <xf borderId="3" fillId="5" fontId="12" numFmtId="166" xfId="0" applyAlignment="1" applyBorder="1" applyFont="1" applyNumberFormat="1">
      <alignment horizontal="center" readingOrder="0" shrinkToFit="0" vertical="center" wrapText="1"/>
    </xf>
    <xf borderId="3" fillId="5" fontId="11" numFmtId="164" xfId="0" applyAlignment="1" applyBorder="1" applyFont="1" applyNumberFormat="1">
      <alignment shrinkToFit="0" vertical="center" wrapText="1"/>
    </xf>
    <xf borderId="3" fillId="0" fontId="64" numFmtId="164" xfId="0" applyAlignment="1" applyBorder="1" applyFont="1" applyNumberFormat="1">
      <alignment shrinkToFit="0" vertical="center" wrapText="1"/>
    </xf>
    <xf borderId="3" fillId="15" fontId="11" numFmtId="167" xfId="0" applyAlignment="1" applyBorder="1" applyFont="1" applyNumberFormat="1">
      <alignment horizontal="left" shrinkToFit="0" vertical="center" wrapText="1"/>
    </xf>
    <xf borderId="3" fillId="0" fontId="11" numFmtId="164" xfId="0" applyAlignment="1" applyBorder="1" applyFont="1" applyNumberFormat="1">
      <alignment readingOrder="0" shrinkToFit="0" vertical="center" wrapText="1"/>
    </xf>
    <xf borderId="3" fillId="15" fontId="11" numFmtId="0" xfId="0" applyAlignment="1" applyBorder="1" applyFont="1">
      <alignment horizontal="left" shrinkToFit="0" vertical="center" wrapText="1"/>
    </xf>
    <xf borderId="3" fillId="15" fontId="12" numFmtId="166" xfId="0" applyAlignment="1" applyBorder="1" applyFont="1" applyNumberFormat="1">
      <alignment horizontal="center" readingOrder="0" shrinkToFit="0" vertical="center" wrapText="1"/>
    </xf>
    <xf borderId="3" fillId="15" fontId="11" numFmtId="0" xfId="0" applyAlignment="1" applyBorder="1" applyFont="1">
      <alignment vertical="center"/>
    </xf>
    <xf borderId="3" fillId="15" fontId="12" numFmtId="0" xfId="0" applyAlignment="1" applyBorder="1" applyFont="1">
      <alignment readingOrder="0" vertical="center"/>
    </xf>
    <xf borderId="3" fillId="15" fontId="12" numFmtId="166" xfId="0" applyAlignment="1" applyBorder="1" applyFont="1" applyNumberFormat="1">
      <alignment horizontal="center" readingOrder="0" shrinkToFit="0" vertical="center" wrapText="0"/>
    </xf>
    <xf borderId="3" fillId="15" fontId="12" numFmtId="164" xfId="0" applyAlignment="1" applyBorder="1" applyFont="1" applyNumberFormat="1">
      <alignment horizontal="right" readingOrder="0" vertical="center"/>
    </xf>
    <xf borderId="0" fillId="15" fontId="12" numFmtId="164" xfId="0" applyAlignment="1" applyFont="1" applyNumberFormat="1">
      <alignment readingOrder="0" shrinkToFit="0" vertical="center" wrapText="0"/>
    </xf>
    <xf borderId="3" fillId="15" fontId="65" numFmtId="0" xfId="0" applyAlignment="1" applyBorder="1" applyFont="1">
      <alignment readingOrder="0" shrinkToFit="0" vertical="center" wrapText="0"/>
    </xf>
    <xf borderId="3" fillId="15" fontId="11" numFmtId="166" xfId="0" applyAlignment="1" applyBorder="1" applyFont="1" applyNumberFormat="1">
      <alignment horizontal="center" readingOrder="0" shrinkToFit="0" vertical="center" wrapText="0"/>
    </xf>
    <xf borderId="3" fillId="15" fontId="12" numFmtId="164" xfId="0" applyAlignment="1" applyBorder="1" applyFont="1" applyNumberFormat="1">
      <alignment horizontal="right" readingOrder="0" shrinkToFit="0" vertical="center" wrapText="0"/>
    </xf>
    <xf borderId="3" fillId="15" fontId="11" numFmtId="0" xfId="0" applyAlignment="1" applyBorder="1" applyFont="1">
      <alignment readingOrder="0" vertical="center"/>
    </xf>
    <xf borderId="33" fillId="15" fontId="11" numFmtId="0" xfId="0" applyAlignment="1" applyBorder="1" applyFont="1">
      <alignment readingOrder="0" shrinkToFit="0" vertical="center" wrapText="1"/>
    </xf>
    <xf borderId="4" fillId="15" fontId="11" numFmtId="0" xfId="0" applyAlignment="1" applyBorder="1" applyFont="1">
      <alignment readingOrder="0" shrinkToFit="0" vertical="center" wrapText="1"/>
    </xf>
    <xf borderId="4" fillId="15" fontId="12" numFmtId="166" xfId="0" applyAlignment="1" applyBorder="1" applyFont="1" applyNumberFormat="1">
      <alignment horizontal="center" readingOrder="0" shrinkToFit="0" vertical="center" wrapText="1"/>
    </xf>
    <xf borderId="4" fillId="15" fontId="11" numFmtId="164" xfId="0" applyAlignment="1" applyBorder="1" applyFont="1" applyNumberFormat="1">
      <alignment readingOrder="0" shrinkToFit="0" vertical="center" wrapText="1"/>
    </xf>
    <xf borderId="4" fillId="15" fontId="11" numFmtId="0" xfId="0" applyAlignment="1" applyBorder="1" applyFont="1">
      <alignment shrinkToFit="0" vertical="center" wrapText="1"/>
    </xf>
    <xf borderId="4" fillId="15" fontId="11" numFmtId="165" xfId="0" applyAlignment="1" applyBorder="1" applyFont="1" applyNumberFormat="1">
      <alignment shrinkToFit="0" vertical="center" wrapText="1"/>
    </xf>
    <xf borderId="84" fillId="8" fontId="12" numFmtId="0" xfId="0" applyAlignment="1" applyBorder="1" applyFont="1">
      <alignment horizontal="center" shrinkToFit="0" vertical="center" wrapText="1"/>
    </xf>
    <xf borderId="3" fillId="8" fontId="12" numFmtId="166" xfId="0" applyAlignment="1" applyBorder="1" applyFont="1" applyNumberFormat="1">
      <alignment horizontal="center" readingOrder="0" shrinkToFit="0" vertical="center" wrapText="1"/>
    </xf>
    <xf borderId="3" fillId="8" fontId="11" numFmtId="164" xfId="0" applyAlignment="1" applyBorder="1" applyFont="1" applyNumberFormat="1">
      <alignment readingOrder="0" shrinkToFit="0" vertical="center" wrapText="1"/>
    </xf>
    <xf borderId="3" fillId="15" fontId="12" numFmtId="168" xfId="0" applyAlignment="1" applyBorder="1" applyFont="1" applyNumberFormat="1">
      <alignment horizontal="center" readingOrder="0" shrinkToFit="0" vertical="center" wrapText="1"/>
    </xf>
    <xf borderId="3" fillId="6" fontId="11" numFmtId="0" xfId="0" applyAlignment="1" applyBorder="1" applyFont="1">
      <alignment horizontal="center" readingOrder="0" shrinkToFit="0" vertical="center" wrapText="1"/>
    </xf>
    <xf borderId="3" fillId="6" fontId="11" numFmtId="0" xfId="0" applyAlignment="1" applyBorder="1" applyFont="1">
      <alignment readingOrder="0" shrinkToFit="0" vertical="center" wrapText="1"/>
    </xf>
    <xf borderId="3" fillId="6" fontId="12" numFmtId="164" xfId="0" applyAlignment="1" applyBorder="1" applyFont="1" applyNumberFormat="1">
      <alignment horizontal="center" readingOrder="0" shrinkToFit="0" vertical="center" wrapText="1"/>
    </xf>
    <xf borderId="3" fillId="6" fontId="12" numFmtId="0" xfId="0" applyAlignment="1" applyBorder="1" applyFont="1">
      <alignment shrinkToFit="0" vertical="center" wrapText="1"/>
    </xf>
    <xf borderId="3" fillId="6" fontId="12" numFmtId="0" xfId="0" applyAlignment="1" applyBorder="1" applyFont="1">
      <alignment horizontal="center" readingOrder="0" shrinkToFit="0" vertical="center" wrapText="1"/>
    </xf>
    <xf borderId="3" fillId="6" fontId="11" numFmtId="164" xfId="0" applyAlignment="1" applyBorder="1" applyFont="1" applyNumberFormat="1">
      <alignment readingOrder="0" shrinkToFit="0" vertical="center" wrapText="1"/>
    </xf>
    <xf borderId="3" fillId="6" fontId="11" numFmtId="164" xfId="0" applyAlignment="1" applyBorder="1" applyFont="1" applyNumberFormat="1">
      <alignment shrinkToFit="0" vertical="center" wrapText="1"/>
    </xf>
    <xf borderId="3" fillId="6" fontId="11" numFmtId="0" xfId="0" applyAlignment="1" applyBorder="1" applyFont="1">
      <alignment horizontal="center" shrinkToFit="0" vertical="center" wrapText="1"/>
    </xf>
    <xf borderId="3" fillId="6" fontId="11" numFmtId="0" xfId="0" applyAlignment="1" applyBorder="1" applyFont="1">
      <alignment shrinkToFit="0" vertical="center" wrapText="1"/>
    </xf>
    <xf borderId="3" fillId="6" fontId="11" numFmtId="165" xfId="0" applyAlignment="1" applyBorder="1" applyFont="1" applyNumberFormat="1">
      <alignment shrinkToFit="0" vertical="center" wrapText="1"/>
    </xf>
    <xf borderId="3" fillId="6" fontId="12" numFmtId="166" xfId="0" applyAlignment="1" applyBorder="1" applyFont="1" applyNumberFormat="1">
      <alignment horizontal="center" readingOrder="0" shrinkToFit="0" vertical="center" wrapText="1"/>
    </xf>
    <xf borderId="0" fillId="0" fontId="11" numFmtId="0" xfId="0" applyAlignment="1" applyFont="1">
      <alignment readingOrder="0" shrinkToFit="0" vertical="center" wrapText="1"/>
    </xf>
    <xf borderId="1" fillId="0" fontId="12" numFmtId="0" xfId="0" applyAlignment="1" applyBorder="1" applyFont="1">
      <alignment horizontal="center" readingOrder="0" shrinkToFit="0" vertical="center" wrapText="1"/>
    </xf>
    <xf borderId="3" fillId="0" fontId="12" numFmtId="166" xfId="0" applyAlignment="1" applyBorder="1" applyFont="1" applyNumberFormat="1">
      <alignment horizontal="center" readingOrder="0" shrinkToFit="0" vertical="center" wrapText="1"/>
    </xf>
    <xf borderId="3" fillId="43" fontId="66" numFmtId="166" xfId="0" applyAlignment="1" applyBorder="1" applyFill="1" applyFont="1" applyNumberFormat="1">
      <alignment horizontal="center" shrinkToFit="0" vertical="center" wrapText="1"/>
    </xf>
    <xf borderId="84" fillId="5" fontId="12" numFmtId="0" xfId="0" applyAlignment="1" applyBorder="1" applyFont="1">
      <alignment horizontal="center" shrinkToFit="0" vertical="center" wrapText="1"/>
    </xf>
    <xf borderId="3" fillId="5" fontId="64" numFmtId="164" xfId="0" applyAlignment="1" applyBorder="1" applyFont="1" applyNumberFormat="1">
      <alignment shrinkToFit="0" vertical="center" wrapText="1"/>
    </xf>
    <xf borderId="84" fillId="44" fontId="12" numFmtId="0" xfId="0" applyAlignment="1" applyBorder="1" applyFill="1" applyFont="1">
      <alignment horizontal="center" shrinkToFit="0" vertical="center" wrapText="1"/>
    </xf>
    <xf borderId="3" fillId="44" fontId="11" numFmtId="0" xfId="0" applyAlignment="1" applyBorder="1" applyFont="1">
      <alignment shrinkToFit="0" vertical="center" wrapText="1"/>
    </xf>
    <xf borderId="3" fillId="44" fontId="12" numFmtId="166" xfId="0" applyAlignment="1" applyBorder="1" applyFont="1" applyNumberFormat="1">
      <alignment horizontal="center" readingOrder="0" shrinkToFit="0" vertical="center" wrapText="1"/>
    </xf>
    <xf borderId="3" fillId="44" fontId="11" numFmtId="164" xfId="0" applyAlignment="1" applyBorder="1" applyFont="1" applyNumberFormat="1">
      <alignment shrinkToFit="0" vertical="center" wrapText="1"/>
    </xf>
    <xf borderId="3" fillId="44" fontId="11" numFmtId="165" xfId="0" applyAlignment="1" applyBorder="1" applyFont="1" applyNumberFormat="1">
      <alignment shrinkToFit="0" vertical="center" wrapText="1"/>
    </xf>
    <xf borderId="3" fillId="0" fontId="11" numFmtId="167" xfId="0" applyAlignment="1" applyBorder="1" applyFont="1" applyNumberFormat="1">
      <alignment horizontal="left" shrinkToFit="0" vertical="center" wrapText="1"/>
    </xf>
    <xf borderId="3" fillId="5" fontId="11" numFmtId="164" xfId="0" applyAlignment="1" applyBorder="1" applyFont="1" applyNumberFormat="1">
      <alignment readingOrder="0" shrinkToFit="0" vertical="center" wrapText="1"/>
    </xf>
    <xf borderId="3" fillId="0" fontId="11" numFmtId="0" xfId="0" applyAlignment="1" applyBorder="1" applyFont="1">
      <alignment horizontal="left" shrinkToFit="0" vertical="center" wrapText="1"/>
    </xf>
    <xf borderId="84" fillId="45" fontId="12" numFmtId="0" xfId="0" applyAlignment="1" applyBorder="1" applyFill="1" applyFont="1">
      <alignment horizontal="center" shrinkToFit="0" vertical="center" wrapText="1"/>
    </xf>
    <xf borderId="3" fillId="45" fontId="11" numFmtId="0" xfId="0" applyAlignment="1" applyBorder="1" applyFont="1">
      <alignment shrinkToFit="0" vertical="center" wrapText="1"/>
    </xf>
    <xf borderId="3" fillId="45" fontId="12" numFmtId="166" xfId="0" applyAlignment="1" applyBorder="1" applyFont="1" applyNumberFormat="1">
      <alignment horizontal="center" shrinkToFit="0" vertical="center" wrapText="1"/>
    </xf>
    <xf borderId="3" fillId="45" fontId="11" numFmtId="164" xfId="0" applyAlignment="1" applyBorder="1" applyFont="1" applyNumberFormat="1">
      <alignment shrinkToFit="0" vertical="center" wrapText="1"/>
    </xf>
    <xf borderId="3" fillId="45" fontId="11" numFmtId="165" xfId="0" applyAlignment="1" applyBorder="1" applyFont="1" applyNumberFormat="1">
      <alignment shrinkToFit="0" vertical="center" wrapText="1"/>
    </xf>
    <xf borderId="3" fillId="5" fontId="11" numFmtId="0" xfId="0" applyBorder="1" applyFont="1"/>
    <xf borderId="3" fillId="45" fontId="11" numFmtId="0" xfId="0" applyAlignment="1" applyBorder="1" applyFont="1">
      <alignment readingOrder="0" shrinkToFit="0" vertical="center" wrapText="1"/>
    </xf>
    <xf borderId="3" fillId="45" fontId="12" numFmtId="0" xfId="0" applyAlignment="1" applyBorder="1" applyFont="1">
      <alignment readingOrder="0" shrinkToFit="0" vertical="center" wrapText="1"/>
    </xf>
    <xf borderId="1" fillId="45" fontId="12" numFmtId="0" xfId="0" applyAlignment="1" applyBorder="1" applyFont="1">
      <alignment horizontal="center" readingOrder="0" shrinkToFit="0" vertical="center" wrapText="1"/>
    </xf>
    <xf borderId="1" fillId="5" fontId="12" numFmtId="0" xfId="0" applyAlignment="1" applyBorder="1" applyFont="1">
      <alignment horizontal="center" readingOrder="0" shrinkToFit="0" vertical="center" wrapText="1"/>
    </xf>
    <xf borderId="3" fillId="45" fontId="12" numFmtId="166" xfId="0" applyAlignment="1" applyBorder="1" applyFont="1" applyNumberFormat="1">
      <alignment horizontal="center" readingOrder="0" shrinkToFit="0" vertical="center" wrapText="1"/>
    </xf>
    <xf borderId="3" fillId="45" fontId="11" numFmtId="164" xfId="0" applyAlignment="1" applyBorder="1" applyFont="1" applyNumberFormat="1">
      <alignment readingOrder="0" shrinkToFit="0" vertical="center" wrapText="1"/>
    </xf>
    <xf borderId="3" fillId="5" fontId="12" numFmtId="0" xfId="0" applyAlignment="1" applyBorder="1" applyFont="1">
      <alignment horizontal="center" readingOrder="0" shrinkToFit="0" vertical="center" wrapText="1"/>
    </xf>
    <xf borderId="4" fillId="5" fontId="11" numFmtId="164" xfId="0" applyAlignment="1" applyBorder="1" applyFont="1" applyNumberFormat="1">
      <alignment readingOrder="0" shrinkToFit="0" vertical="center" wrapText="1"/>
    </xf>
    <xf borderId="3" fillId="0" fontId="12" numFmtId="0" xfId="0" applyAlignment="1" applyBorder="1" applyFont="1">
      <alignment readingOrder="0" vertical="bottom"/>
    </xf>
    <xf borderId="3" fillId="0" fontId="12" numFmtId="166" xfId="0" applyAlignment="1" applyBorder="1" applyFont="1" applyNumberFormat="1">
      <alignment horizontal="center" readingOrder="0" shrinkToFit="0" vertical="top" wrapText="0"/>
    </xf>
    <xf borderId="0" fillId="0" fontId="12" numFmtId="164" xfId="0" applyAlignment="1" applyFont="1" applyNumberFormat="1">
      <alignment horizontal="right" readingOrder="0"/>
    </xf>
    <xf borderId="3" fillId="0" fontId="11" numFmtId="0" xfId="0" applyAlignment="1" applyBorder="1" applyFont="1">
      <alignment readingOrder="0"/>
    </xf>
    <xf borderId="6" fillId="0" fontId="11" numFmtId="166" xfId="0" applyAlignment="1" applyBorder="1" applyFont="1" applyNumberFormat="1">
      <alignment horizontal="center" readingOrder="0" shrinkToFit="0" wrapText="0"/>
    </xf>
    <xf borderId="0" fillId="0" fontId="12" numFmtId="164" xfId="0" applyAlignment="1" applyFont="1" applyNumberFormat="1">
      <alignment horizontal="right" readingOrder="0" shrinkToFit="0" wrapText="0"/>
    </xf>
    <xf borderId="3" fillId="0" fontId="65" numFmtId="0" xfId="0" applyAlignment="1" applyBorder="1" applyFont="1">
      <alignment readingOrder="0" shrinkToFit="0" vertical="bottom" wrapText="0"/>
    </xf>
    <xf borderId="3" fillId="0" fontId="11" numFmtId="166" xfId="0" applyAlignment="1" applyBorder="1" applyFont="1" applyNumberFormat="1">
      <alignment horizontal="center" readingOrder="0" shrinkToFit="0" wrapText="0"/>
    </xf>
    <xf borderId="6" fillId="0" fontId="12" numFmtId="166" xfId="0" applyAlignment="1" applyBorder="1" applyFont="1" applyNumberFormat="1">
      <alignment horizontal="center" readingOrder="0" shrinkToFit="0" vertical="bottom" wrapText="0"/>
    </xf>
    <xf borderId="3" fillId="0" fontId="11" numFmtId="0" xfId="0" applyBorder="1" applyFont="1"/>
    <xf borderId="3" fillId="0" fontId="12" numFmtId="164" xfId="0" applyAlignment="1" applyBorder="1" applyFont="1" applyNumberFormat="1">
      <alignment horizontal="right" readingOrder="0"/>
    </xf>
    <xf borderId="3" fillId="0" fontId="12" numFmtId="0" xfId="0" applyAlignment="1" applyBorder="1" applyFont="1">
      <alignment readingOrder="0" vertical="center"/>
    </xf>
    <xf borderId="3" fillId="0" fontId="12" numFmtId="166" xfId="0" applyAlignment="1" applyBorder="1" applyFont="1" applyNumberFormat="1">
      <alignment horizontal="center" readingOrder="0" shrinkToFit="0" vertical="center" wrapText="0"/>
    </xf>
    <xf borderId="3" fillId="0" fontId="12" numFmtId="164" xfId="0" applyAlignment="1" applyBorder="1" applyFont="1" applyNumberFormat="1">
      <alignment readingOrder="0" shrinkToFit="0" vertical="center" wrapText="0"/>
    </xf>
    <xf borderId="3" fillId="0" fontId="12" numFmtId="164" xfId="0" applyAlignment="1" applyBorder="1" applyFont="1" applyNumberFormat="1">
      <alignment horizontal="right" readingOrder="0" vertical="center"/>
    </xf>
    <xf borderId="3" fillId="0" fontId="12" numFmtId="164" xfId="0" applyAlignment="1" applyBorder="1" applyFont="1" applyNumberFormat="1">
      <alignment horizontal="right" readingOrder="0" shrinkToFit="0" wrapText="0"/>
    </xf>
    <xf borderId="3" fillId="0" fontId="12" numFmtId="166" xfId="0" applyAlignment="1" applyBorder="1" applyFont="1" applyNumberFormat="1">
      <alignment horizontal="center" readingOrder="0" shrinkToFit="0" vertical="bottom" wrapText="0"/>
    </xf>
    <xf borderId="0" fillId="0" fontId="11" numFmtId="164" xfId="0" applyAlignment="1" applyFont="1" applyNumberFormat="1">
      <alignment readingOrder="0" shrinkToFit="0" vertical="center" wrapText="1"/>
    </xf>
    <xf borderId="4" fillId="0" fontId="11" numFmtId="0" xfId="0" applyAlignment="1" applyBorder="1" applyFont="1">
      <alignment readingOrder="0" shrinkToFit="0" vertical="center" wrapText="1"/>
    </xf>
    <xf borderId="4" fillId="0" fontId="11" numFmtId="0" xfId="0" applyAlignment="1" applyBorder="1" applyFont="1">
      <alignment shrinkToFit="0" vertical="center" wrapText="1"/>
    </xf>
    <xf borderId="4" fillId="0" fontId="12" numFmtId="166" xfId="0" applyAlignment="1" applyBorder="1" applyFont="1" applyNumberFormat="1">
      <alignment horizontal="center" shrinkToFit="0" vertical="center" wrapText="1"/>
    </xf>
    <xf borderId="4" fillId="0" fontId="11" numFmtId="164" xfId="0" applyAlignment="1" applyBorder="1" applyFont="1" applyNumberFormat="1">
      <alignment readingOrder="0" shrinkToFit="0" vertical="center" wrapText="1"/>
    </xf>
    <xf borderId="4" fillId="0" fontId="11" numFmtId="164" xfId="0" applyAlignment="1" applyBorder="1" applyFont="1" applyNumberFormat="1">
      <alignment shrinkToFit="0" vertical="center" wrapText="1"/>
    </xf>
    <xf borderId="4" fillId="0" fontId="11" numFmtId="165" xfId="0" applyAlignment="1" applyBorder="1" applyFont="1" applyNumberFormat="1">
      <alignment shrinkToFit="0" vertical="center" wrapText="1"/>
    </xf>
  </cellXfs>
  <cellStyles count="1">
    <cellStyle xfId="0" name="Normal" builtinId="0"/>
  </cellStyles>
  <dxfs count="4">
    <dxf>
      <font/>
      <fill>
        <patternFill patternType="solid">
          <fgColor rgb="FFB6D7A8"/>
          <bgColor rgb="FFB6D7A8"/>
        </patternFill>
      </fill>
      <border/>
    </dxf>
    <dxf>
      <font/>
      <fill>
        <patternFill patternType="none"/>
      </fill>
      <border/>
    </dxf>
    <dxf>
      <font/>
      <fill>
        <patternFill patternType="solid">
          <fgColor rgb="FFA4C2F4"/>
          <bgColor rgb="FFA4C2F4"/>
        </patternFill>
      </fill>
      <border/>
    </dxf>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12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16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20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24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28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34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38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42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46</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50</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54</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58</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62</xdr:row>
      <xdr:rowOff>0</xdr:rowOff>
    </xdr:from>
    <xdr:ext cx="5334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5775" cy="209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tk.tokopedia.com/ZSAfBBaCj/" TargetMode="External"/><Relationship Id="rId42" Type="http://schemas.openxmlformats.org/officeDocument/2006/relationships/hyperlink" Target="https://tk.tokopedia.com/ZSAUk7TTv/" TargetMode="External"/><Relationship Id="rId41" Type="http://schemas.openxmlformats.org/officeDocument/2006/relationships/hyperlink" Target="https://tk.tokopedia.com/ZSAUkDvqt/" TargetMode="External"/><Relationship Id="rId44" Type="http://schemas.openxmlformats.org/officeDocument/2006/relationships/hyperlink" Target="https://tk.tokopedia.com/ZSAfBQaxd/" TargetMode="External"/><Relationship Id="rId43" Type="http://schemas.openxmlformats.org/officeDocument/2006/relationships/hyperlink" Target="https://tk.tokopedia.com/ZSAUknwUY/" TargetMode="External"/><Relationship Id="rId46" Type="http://schemas.openxmlformats.org/officeDocument/2006/relationships/hyperlink" Target="https://tk.tokopedia.com/ZSAaLexsA/" TargetMode="External"/><Relationship Id="rId45" Type="http://schemas.openxmlformats.org/officeDocument/2006/relationships/hyperlink" Target="https://www.tokopedia.com/cctvcom10/paket-cctv-hikvision-5mp-8-channel-8-camera-turbo-hd-kamera-cctv-infrared-1730179095987193151?extParam=ivf%3Dfalse%26keyword%3Dcctv+krisbow%26search_id%3D2025082606201611B9842E0A271F284857%26src%3Dsearch" TargetMode="External"/><Relationship Id="rId107" Type="http://schemas.openxmlformats.org/officeDocument/2006/relationships/hyperlink" Target="https://www.tokopedia.com/felisacollection24/nagoya-pel-lantai-medium-702-alat-pel-lantai-kuat-dan-berkualitas-gagang-panjang?extParam=ivf%3Dfalse%26keyword%3Dpel%26search_id%3D2025081109591737BC2F75BF1BCF2D4QS5%26src%3Dsearch&amp;t_id=1754906251638&amp;t_st=4&amp;t_pp=search_result&amp;t_efo=search_pure_goods_card&amp;t_ef=goods_search&amp;t_sm=&amp;t_spt=search_result" TargetMode="External"/><Relationship Id="rId106" Type="http://schemas.openxmlformats.org/officeDocument/2006/relationships/hyperlink" Target="https://www.tokopedia.com/8jayahengky/pel-nagoya-pel-lantai-lebar-pel-kain-pel-pembersih-mop-lantai-1731421579575658230?extParam=ivf%3Dfalse%26keyword%3Dpel%26search_id%3D2025081109591737BC2F75BF1BCF2D4QS5%26src%3Dsearch&amp;t_id=1754906251638&amp;t_st=3&amp;t_pp=search_result&amp;t_efo=search_pure_goods_card&amp;t_ef=goods_search&amp;t_sm=&amp;t_spt=search_result" TargetMode="External"/><Relationship Id="rId105" Type="http://schemas.openxmlformats.org/officeDocument/2006/relationships/hyperlink" Target="https://www.tokopedia.com/athirashop-1/pelan-pel-lantai-dragon-ukuran-besar-18-cm-original-include-gagang?extParam=ivf%3Dfalse%26keyword%3Dpel%26search_id%3D2025081109591737BC2F75BF1BCF2D4QS5%26src%3Dsearch&amp;t_id=1754906251638&amp;t_st=2&amp;t_pp=search_result&amp;t_efo=search_pure_goods_card&amp;t_ef=goods_search&amp;t_sm=&amp;t_spt=search_result" TargetMode="External"/><Relationship Id="rId104" Type="http://schemas.openxmlformats.org/officeDocument/2006/relationships/hyperlink" Target="https://www.tokopedia.com/anova-indonesia/broom-sapu-ijuk-hitam-dragon-plus-gagang-kumbo-standar-733a5?extParam=ivf%3Dfalse%26keyword%3Dsapu%26search_id%3D2025081109544206EB61B839A0CE048EN8%26src%3Dsearch&amp;t_id=1754906251638&amp;t_st=1&amp;t_pp=search_result&amp;t_efo=search_pure_goods_card&amp;t_ef=goods_search&amp;t_sm=&amp;t_spt=search_result" TargetMode="External"/><Relationship Id="rId109" Type="http://schemas.openxmlformats.org/officeDocument/2006/relationships/hyperlink" Target="https://shopee.co.id/Karbol-Wangi-Sereh-(Pembersih-Lantai-dan-Kamar-Mandi)-5-LITER-Jerigen-i.1053187645.21896322729?xptdk=37b3de05-6993-455c-b678-ac739f22f111" TargetMode="External"/><Relationship Id="rId108" Type="http://schemas.openxmlformats.org/officeDocument/2006/relationships/hyperlink" Target="https://shopee.co.id/RINSO-BUBUK-40-GR-(126-PCS)-DUS-i.336396557.26955833416" TargetMode="External"/><Relationship Id="rId48" Type="http://schemas.openxmlformats.org/officeDocument/2006/relationships/hyperlink" Target="https://tk.tokopedia.com/ZSAa8ga7X/" TargetMode="External"/><Relationship Id="rId47" Type="http://schemas.openxmlformats.org/officeDocument/2006/relationships/hyperlink" Target="https://tk.tokopedia.com/ZSAa8t6f3/" TargetMode="External"/><Relationship Id="rId49" Type="http://schemas.openxmlformats.org/officeDocument/2006/relationships/hyperlink" Target="https://tk.tokopedia.com/ZSA61PyUP/" TargetMode="External"/><Relationship Id="rId103" Type="http://schemas.openxmlformats.org/officeDocument/2006/relationships/hyperlink" Target="https://www.tokopedia.com/ghrcolection/sapu-lantai-ijuk-dengan-gagang-panjang-tidak-mudah-patah-1729557113027659814?extParam=ivf%3Dfalse%26keyword%3Dsapu%26search_id%3D2025081109544206EB61B839A0CE048EN8%26src%3Dsearch&amp;t_id=1754906195226&amp;t_st=1&amp;t_pp=search_result&amp;t_efo=search_pure_goods_card&amp;t_ef=goods_search&amp;t_sm=&amp;t_spt=search_result" TargetMode="External"/><Relationship Id="rId102" Type="http://schemas.openxmlformats.org/officeDocument/2006/relationships/hyperlink" Target="https://www.tokopedia.com/pamosroom-living/pamosroom-dragon-sapu-ijuk-besar-sapu-lantai-rumah-sapu-kipas-besar-1731349345081132181?extParam=ivf%3Dfalse%26keyword%3Dsapu%26search_id%3D2025081109544206EB61B839A0CE048EN8%26src%3Dsearch&amp;t_id=1754906032843&amp;t_st=1&amp;t_pp=search_result&amp;t_efo=search_pure_goods_card&amp;t_ef=goods_search&amp;t_sm=&amp;t_spt=search_result" TargetMode="External"/><Relationship Id="rId101" Type="http://schemas.openxmlformats.org/officeDocument/2006/relationships/hyperlink" Target="https://www.tokopedia.com/arsenmart-1/ember-cat-25-kg-putih-polos-lengkap-tutup?extParam=ivf%3Dfalse%26keyword%3Dember+cat%26search_id%3D202508111001335B8ADD2A5D98B1028XNH%26src%3Dsearch" TargetMode="External"/><Relationship Id="rId100" Type="http://schemas.openxmlformats.org/officeDocument/2006/relationships/hyperlink" Target="https://www.tokopedia.com/arsenmart-1/ember-cat-25kg-non-tutup-pail-plastik?extParam=ivf%3Dfalse%26keyword%3Dember+cat%26search_id%3D202508111001335B8ADD2A5D98B1028XNH%26src%3Dsearch" TargetMode="External"/><Relationship Id="rId31" Type="http://schemas.openxmlformats.org/officeDocument/2006/relationships/hyperlink" Target="https://tk.tokopedia.com/ZSApbJAQB/" TargetMode="External"/><Relationship Id="rId30" Type="http://schemas.openxmlformats.org/officeDocument/2006/relationships/hyperlink" Target="https://tk.tokopedia.com/ZSApgnuQr/" TargetMode="External"/><Relationship Id="rId33" Type="http://schemas.openxmlformats.org/officeDocument/2006/relationships/hyperlink" Target="https://www.tokopedia.com/buditronik/m-loock-solution-magnetic-door-sliding-door-full-set?extParam=ivf%3Dfalse%26keyword%3Dmagnetic+door%26search_id%3D2025082604491637BC2F75BF1BCF296A71%26src%3Dsearch&amp;t_id=1756183763009&amp;t_st=1&amp;t_pp=search_result&amp;t_efo=search_pure_goods_card&amp;t_ef=goods_search&amp;t_sm=&amp;t_spt=search_result" TargetMode="External"/><Relationship Id="rId32" Type="http://schemas.openxmlformats.org/officeDocument/2006/relationships/hyperlink" Target="https://tk.tokopedia.com/ZSApqK96f/" TargetMode="External"/><Relationship Id="rId35" Type="http://schemas.openxmlformats.org/officeDocument/2006/relationships/hyperlink" Target="https://www.tokopedia.com/data-online-system/solution-magnetic-door?extParam=ivf%3Dfalse%26keyword%3Dmagnetic+door%26search_id%3D2025082604491637BC2F75BF1BCF296A71%26src%3Dsearch&amp;t_id=1756183763009&amp;t_st=3&amp;t_pp=search_result&amp;t_efo=search_pure_goods_card&amp;t_ef=goods_search&amp;t_sm=&amp;t_spt=search_result" TargetMode="External"/><Relationship Id="rId34" Type="http://schemas.openxmlformats.org/officeDocument/2006/relationships/hyperlink" Target="https://www.tokopedia.com/dur-elektronik/solution-magnetic-door-model-em-600?extParam=ivf%3Dfalse%26keyword%3Dmagnetic+door%26search_id%3D2025082604491637BC2F75BF1BCF296A71%26src%3Dsearch&amp;t_id=1756183763009&amp;t_st=2&amp;t_pp=search_result&amp;t_efo=search_pure_goods_card&amp;t_ef=goods_search&amp;t_sm=&amp;t_spt=search_result" TargetMode="External"/><Relationship Id="rId37" Type="http://schemas.openxmlformats.org/officeDocument/2006/relationships/hyperlink" Target="https://tk.tokopedia.com/ZSAaNjCDk/" TargetMode="External"/><Relationship Id="rId36" Type="http://schemas.openxmlformats.org/officeDocument/2006/relationships/hyperlink" Target="https://tk.tokopedia.com/ZSAaNML5S/" TargetMode="External"/><Relationship Id="rId39" Type="http://schemas.openxmlformats.org/officeDocument/2006/relationships/hyperlink" Target="https://tk.tokopedia.com/ZSAfB18Jv/" TargetMode="External"/><Relationship Id="rId38" Type="http://schemas.openxmlformats.org/officeDocument/2006/relationships/hyperlink" Target="https://tk.tokopedia.com/ZSAaNY2us/" TargetMode="External"/><Relationship Id="rId20" Type="http://schemas.openxmlformats.org/officeDocument/2006/relationships/hyperlink" Target="https://www.tokopedia.com/fixprint-indonesia/printer-epson-l3210-l3250-print-scan-copy-multifungsi-wifi-wireless-l3210-no-wifi-xantri-ink-deba9?extParam=ivf%3Dtrue%26keyword%3Dprinter+epson+l3210%26search_id%3D20250827072908D947BF06A885DB0214OJ%26src%3Dsearch%26whid%3D12813586" TargetMode="External"/><Relationship Id="rId22" Type="http://schemas.openxmlformats.org/officeDocument/2006/relationships/hyperlink" Target="https://tk.tokopedia.com/ZSAadebyn/" TargetMode="External"/><Relationship Id="rId21" Type="http://schemas.openxmlformats.org/officeDocument/2006/relationships/hyperlink" Target="https://www.tokopedia.com/ciptakaryashop/epson-l3210-all-in-one-ink-tank-printer-hitam-putih-original-tinta-1-set-garansi-resmi-2-tahun-1729826990812267912?extParam=ivf%3Dfalse%26keyword%3Dprinter+epson+l3210%26search_id%3D20250827072908D947BF06A885DB0214OJ%26src%3Dsearch" TargetMode="External"/><Relationship Id="rId24" Type="http://schemas.openxmlformats.org/officeDocument/2006/relationships/hyperlink" Target="https://tk.tokopedia.com/ZSAadRMky/" TargetMode="External"/><Relationship Id="rId23" Type="http://schemas.openxmlformats.org/officeDocument/2006/relationships/hyperlink" Target="https://tk.tokopedia.com/ZSAaewdp9/" TargetMode="External"/><Relationship Id="rId129" Type="http://schemas.openxmlformats.org/officeDocument/2006/relationships/hyperlink" Target="https://www.tokopedia.com/ngobral/kursi-bakso-rotan-kursi-bakso-tikar-plastik-bangku-anyam-tinggi-coklat-coklat?extParam=ivf%3Dfalse%26keyword%3Dkursi+bakso%26search_id%3D202508260144204734BA6F3DE83D1A4MYS%26src%3Dsearch&amp;t_id=1756172367635&amp;t_st=7&amp;t_pp=search_result&amp;t_efo=search_pure_goods_card&amp;t_ef=goods_search&amp;t_sm=&amp;t_spt=search_result" TargetMode="External"/><Relationship Id="rId128" Type="http://schemas.openxmlformats.org/officeDocument/2006/relationships/hyperlink" Target="https://tk.tokopedia.com/ZSAfk84B9/" TargetMode="External"/><Relationship Id="rId127" Type="http://schemas.openxmlformats.org/officeDocument/2006/relationships/hyperlink" Target="https://tk.tokopedia.com/ZSAfhEg5o/" TargetMode="External"/><Relationship Id="rId126" Type="http://schemas.openxmlformats.org/officeDocument/2006/relationships/hyperlink" Target="https://www.ruparupa.com/p/zoe-set-meja-dan-kursi-makan-1-meja-dan-4-kursi.html?itm_source=search&amp;itm_campaign=direct_search&amp;itm_term=meja-makan-%26-10061281&amp;itm_device=desktop&amp;queryId=217487d5e7b512dbf8843573e1b11234&amp;sid=m4dm5JgBSC0oiPerg6dT" TargetMode="External"/><Relationship Id="rId26" Type="http://schemas.openxmlformats.org/officeDocument/2006/relationships/hyperlink" Target="https://tk.tokopedia.com/ZSA6BrEFw/" TargetMode="External"/><Relationship Id="rId121" Type="http://schemas.openxmlformats.org/officeDocument/2006/relationships/hyperlink" Target="https://www.tokopedia.com/kheyra-colection-15/bendera-merah-putih-150x200cm-merah-1729624981151124431?extParam=ivf%3Dfalse%26keyword%3Dbendera%26search_id%3D2025082601391737BC2F75BF1BCF136OBS%26src%3Dsearch&amp;t_id=1756172367635&amp;t_st=2&amp;t_pp=search_result&amp;t_efo=search_pure_goods_card&amp;t_ef=goods_search&amp;t_sm=&amp;t_spt=search_result" TargetMode="External"/><Relationship Id="rId25" Type="http://schemas.openxmlformats.org/officeDocument/2006/relationships/hyperlink" Target="https://tk.tokopedia.com/ZSA6L5q9J/" TargetMode="External"/><Relationship Id="rId120" Type="http://schemas.openxmlformats.org/officeDocument/2006/relationships/hyperlink" Target="https://www.tokopedia.com/topping-bag-shop/bendera-merah-putih-80-x-120-bahan-katun-asli-100-ukuran-real-bendera-merah-putih-bahan-katun-1731603471061320833?extParam=ivf%3Dfalse%26keyword%3Dbendera%26search_id%3D2025082601391737BC2F75BF1BCF136OBS%26src%3Dsearch&amp;t_id=1756172367635&amp;t_st=1&amp;t_pp=search_result&amp;t_efo=search_pure_goods_card&amp;t_ef=goods_search&amp;t_sm=&amp;t_spt=search_result" TargetMode="External"/><Relationship Id="rId28" Type="http://schemas.openxmlformats.org/officeDocument/2006/relationships/hyperlink" Target="https://tk.tokopedia.com/ZSAadnVkK/" TargetMode="External"/><Relationship Id="rId27" Type="http://schemas.openxmlformats.org/officeDocument/2006/relationships/hyperlink" Target="https://www.tokopedia.com/solutionofficial/mesin-absensi-fingerprint-solution-x100-c?extParam=ivf%3Dfalse%26keyword%3Dmeisn+absensi+%26search_id%3D20250826043741577BCC914F9E55011N2C%26src%3Dsearch&amp;t_id=1756182822447&amp;t_st=6&amp;t_pp=search_result&amp;t_efo=search_pure_goods_card&amp;t_ef=goods_search&amp;t_sm=&amp;t_spt=search_result" TargetMode="External"/><Relationship Id="rId125" Type="http://schemas.openxmlformats.org/officeDocument/2006/relationships/hyperlink" Target="https://www.tokopedia.com/tkcahaya-utama-adv/cahaya-olshop-bendera-k3-standar-depnaker-bahan-satin-asahi-90x135cm-utamakan-keselamatan-dan-kesehatan-kerja-1731612670626727344?extParam=ivf%3Dfalse%26keyword%3Dbendera+k3%26search_id%3D2025082601422711B9842E0A271F02065F%26src%3Dsearch&amp;t_id=1756172367635&amp;t_st=6&amp;t_pp=search_result&amp;t_efo=search_pure_goods_card&amp;t_ef=goods_search&amp;t_sm=&amp;t_spt=search_result" TargetMode="External"/><Relationship Id="rId29" Type="http://schemas.openxmlformats.org/officeDocument/2006/relationships/hyperlink" Target="https://tk.tokopedia.com/ZSAaR1TQW/" TargetMode="External"/><Relationship Id="rId124" Type="http://schemas.openxmlformats.org/officeDocument/2006/relationships/hyperlink" Target="https://www.tokopedia.com/kakascout/bendera-k3-90x120-cm?extParam=ivf%3Dfalse%26keyword%3Dbendera+k3%26search_id%3D2025082601422711B9842E0A271F02065F%26src%3Dsearch&amp;t_id=1756172367635&amp;t_st=5&amp;t_pp=search_result&amp;t_efo=search_pure_goods_card&amp;t_ef=goods_search&amp;t_sm=&amp;t_spt=search_result" TargetMode="External"/><Relationship Id="rId123" Type="http://schemas.openxmlformats.org/officeDocument/2006/relationships/hyperlink" Target="https://www.tokopedia.com/jashujansuroboyo/bendera-k3-kesehatan-keselamatan-dan-kerja-90-x-120-k-k-k-k-3-f7297?extParam=ivf%3Dfalse%26keyword%3Dbendera+k3%26search_id%3D2025082601422711B9842E0A271F02065F%26src%3Dsearch&amp;t_id=1756172367635&amp;t_st=4&amp;t_pp=search_result&amp;t_efo=search_pure_goods_card&amp;t_ef=goods_search&amp;t_sm=&amp;t_spt=search_result" TargetMode="External"/><Relationship Id="rId122" Type="http://schemas.openxmlformats.org/officeDocument/2006/relationships/hyperlink" Target="https://www.tokopedia.com/jashujansuroboyo/termurah-bendera-merah-putih-katun-tebal-80-x-120?extParam=ivf%3Dfalse%26keyword%3Dbendera%26search_id%3D2025082601391737BC2F75BF1BCF136OBS%26src%3Dsearch&amp;t_id=1756172367635&amp;t_st=3&amp;t_pp=search_result&amp;t_efo=search_pure_goods_card&amp;t_ef=goods_search&amp;t_sm=&amp;t_spt=search_result" TargetMode="External"/><Relationship Id="rId95" Type="http://schemas.openxmlformats.org/officeDocument/2006/relationships/hyperlink" Target="https://www.tokopedia.com/anova-indonesia/broom-sapu-ijuk-hitam-dragon-plus-gagang-kumbo-standar-733a5?extParam=ivf%3Dfalse%26keyword%3Dsapu%26search_id%3D2025081109544206EB61B839A0CE048EN8%26src%3Dsearch&amp;t_id=1754906251638&amp;t_st=1&amp;t_pp=search_result&amp;t_efo=search_pure_goods_card&amp;t_ef=goods_search&amp;t_sm=&amp;t_spt=search_result" TargetMode="External"/><Relationship Id="rId94" Type="http://schemas.openxmlformats.org/officeDocument/2006/relationships/hyperlink" Target="https://www.tokopedia.com/ghrcolection/sapu-lantai-ijuk-dengan-gagang-panjang-tidak-mudah-patah-1729557113027659814?extParam=ivf%3Dfalse%26keyword%3Dsapu%26search_id%3D2025081109544206EB61B839A0CE048EN8%26src%3Dsearch&amp;t_id=1754906195226&amp;t_st=1&amp;t_pp=search_result&amp;t_efo=search_pure_goods_card&amp;t_ef=goods_search&amp;t_sm=&amp;t_spt=search_result" TargetMode="External"/><Relationship Id="rId97" Type="http://schemas.openxmlformats.org/officeDocument/2006/relationships/hyperlink" Target="https://www.tokopedia.com/8jayahengky/pel-nagoya-pel-lantai-lebar-pel-kain-pel-pembersih-mop-lantai-1731421579575658230?extParam=ivf%3Dfalse%26keyword%3Dpel%26search_id%3D2025081109591737BC2F75BF1BCF2D4QS5%26src%3Dsearch&amp;t_id=1754906251638&amp;t_st=3&amp;t_pp=search_result&amp;t_efo=search_pure_goods_card&amp;t_ef=goods_search&amp;t_sm=&amp;t_spt=search_result" TargetMode="External"/><Relationship Id="rId96" Type="http://schemas.openxmlformats.org/officeDocument/2006/relationships/hyperlink" Target="https://www.tokopedia.com/athirashop-1/pelan-pel-lantai-dragon-ukuran-besar-18-cm-original-include-gagang?extParam=ivf%3Dfalse%26keyword%3Dpel%26search_id%3D2025081109591737BC2F75BF1BCF2D4QS5%26src%3Dsearch&amp;t_id=1754906251638&amp;t_st=2&amp;t_pp=search_result&amp;t_efo=search_pure_goods_card&amp;t_ef=goods_search&amp;t_sm=&amp;t_spt=search_result" TargetMode="External"/><Relationship Id="rId11" Type="http://schemas.openxmlformats.org/officeDocument/2006/relationships/hyperlink" Target="https://www.ruparupa.com/informastore/p/sieben-i-i-i-meja-rapat-2012-iw-putih.html" TargetMode="External"/><Relationship Id="rId99" Type="http://schemas.openxmlformats.org/officeDocument/2006/relationships/hyperlink" Target="https://www.tokopedia.com/syulthon/ember-bekas-cat-ember-plastik-pot-tanaman-tempat-sampah-tong-air?extParam=ivf%3Dfalse%26keyword%3Dember+cat%26search_id%3D202508111001335B8ADD2A5D98B1028XNH%26src%3Dsearch" TargetMode="External"/><Relationship Id="rId10" Type="http://schemas.openxmlformats.org/officeDocument/2006/relationships/hyperlink" Target="https://tk.tokopedia.com/ZSAUByWJR/" TargetMode="External"/><Relationship Id="rId98" Type="http://schemas.openxmlformats.org/officeDocument/2006/relationships/hyperlink" Target="https://www.tokopedia.com/felisacollection24/nagoya-pel-lantai-medium-702-alat-pel-lantai-kuat-dan-berkualitas-gagang-panjang?extParam=ivf%3Dfalse%26keyword%3Dpel%26search_id%3D2025081109591737BC2F75BF1BCF2D4QS5%26src%3Dsearch&amp;t_id=1754906251638&amp;t_st=4&amp;t_pp=search_result&amp;t_efo=search_pure_goods_card&amp;t_ef=goods_search&amp;t_sm=&amp;t_spt=search_result" TargetMode="External"/><Relationship Id="rId13" Type="http://schemas.openxmlformats.org/officeDocument/2006/relationships/hyperlink" Target="https://www.ruparupa.com/p/selma-lyon-kursi-kantor-sandaran-rendah-abu-abu.html?itm_source=search&amp;itm_campaign=direct_search&amp;itm_term=kursi-kantor-%26-10605782&amp;itm_device=desktop&amp;queryId=106cf15159825ae1f370f09b142a6a4d&amp;sid=ETFj5JgBdpC1r0iu7vd0" TargetMode="External"/><Relationship Id="rId12" Type="http://schemas.openxmlformats.org/officeDocument/2006/relationships/hyperlink" Target="https://www.ruparupa.com/p/informa-maven-meja-rapat-220-abu-abu-cokelat-oak.html?itm_source=product-recommendation-search-result-rr&amp;itm_campaign=direct-search&amp;itm_term=10591345&amp;itm_device=desktop" TargetMode="External"/><Relationship Id="rId91" Type="http://schemas.openxmlformats.org/officeDocument/2006/relationships/hyperlink" Target="https://tk.tokopedia.com/ZSAaRcDPk/" TargetMode="External"/><Relationship Id="rId90" Type="http://schemas.openxmlformats.org/officeDocument/2006/relationships/hyperlink" Target="https://tk.tokopedia.com/ZSAaRo7qy/" TargetMode="External"/><Relationship Id="rId93" Type="http://schemas.openxmlformats.org/officeDocument/2006/relationships/hyperlink" Target="https://www.tokopedia.com/pamosroom-living/pamosroom-dragon-sapu-ijuk-besar-sapu-lantai-rumah-sapu-kipas-besar-1731349345081132181?extParam=ivf%3Dfalse%26keyword%3Dsapu%26search_id%3D2025081109544206EB61B839A0CE048EN8%26src%3Dsearch&amp;t_id=1754906032843&amp;t_st=1&amp;t_pp=search_result&amp;t_efo=search_pure_goods_card&amp;t_ef=goods_search&amp;t_sm=&amp;t_spt=search_result" TargetMode="External"/><Relationship Id="rId92" Type="http://schemas.openxmlformats.org/officeDocument/2006/relationships/hyperlink" Target="https://tk.tokopedia.com/ZSAaRcDPk/" TargetMode="External"/><Relationship Id="rId118" Type="http://schemas.openxmlformats.org/officeDocument/2006/relationships/hyperlink" Target="https://tk.tokopedia.com/ZSAa8ugE4/" TargetMode="External"/><Relationship Id="rId117" Type="http://schemas.openxmlformats.org/officeDocument/2006/relationships/hyperlink" Target="https://tk.tokopedia.com/ZSAa861u8/" TargetMode="External"/><Relationship Id="rId116" Type="http://schemas.openxmlformats.org/officeDocument/2006/relationships/hyperlink" Target="https://tk.tokopedia.com/ZSAa8H9oc/" TargetMode="External"/><Relationship Id="rId115" Type="http://schemas.openxmlformats.org/officeDocument/2006/relationships/hyperlink" Target="https://tk.tokopedia.com/ZSAa8jg8n/" TargetMode="External"/><Relationship Id="rId119" Type="http://schemas.openxmlformats.org/officeDocument/2006/relationships/hyperlink" Target="https://tk.tokopedia.com/ZSAa8nbYJ/" TargetMode="External"/><Relationship Id="rId15" Type="http://schemas.openxmlformats.org/officeDocument/2006/relationships/hyperlink" Target="https://tk.tokopedia.com/ZSScmS1TT/" TargetMode="External"/><Relationship Id="rId110" Type="http://schemas.openxmlformats.org/officeDocument/2006/relationships/hyperlink" Target="https://shopee.co.id/CLEAN-CLEAN-Sabun-Cuci-Tangan-Antiseptik-Antibacterial-Hand-Soap-5L-AROMA-DETTOL-i.1053187645.24164566389" TargetMode="External"/><Relationship Id="rId14" Type="http://schemas.openxmlformats.org/officeDocument/2006/relationships/hyperlink" Target="https://tk.tokopedia.com/ZSScmMRaD/" TargetMode="External"/><Relationship Id="rId17" Type="http://schemas.openxmlformats.org/officeDocument/2006/relationships/hyperlink" Target="https://www.ruparupa.com/p/kiev-lemari-arsip-dengan-pintu-kaca-80x40x180-cm-cokelat.html?itm_source=search&amp;itm_campaign=direct_search&amp;itm_term=lemari-arsip-%26-10450019&amp;itm_device=desktop&amp;queryId=d8a62aa5a3480b2e1405fbfbfde2b9b0&amp;sid=hYfv35gBSC0oiPerAXbg" TargetMode="External"/><Relationship Id="rId16" Type="http://schemas.openxmlformats.org/officeDocument/2006/relationships/hyperlink" Target="https://tk.tokopedia.com/ZSAUS8MTv/" TargetMode="External"/><Relationship Id="rId19" Type="http://schemas.openxmlformats.org/officeDocument/2006/relationships/hyperlink" Target="https://www.tokopedia.com/metroelektro/jkt-printer-epson-l3210-l-3210-l-3210-l3211-l-3211-l-3211-3-in-1-pengganti-epson-l3110-print-scan-copy-a4-all-in-one-garansi-resmi-1731966599558694489?extParam=ivf%3Dfalse%26keyword%3Dprinter+epson+l3210%26search_id%3D20250827072908D947BF06A885DB0214OJ%26src%3Dsearch" TargetMode="External"/><Relationship Id="rId114" Type="http://schemas.openxmlformats.org/officeDocument/2006/relationships/hyperlink" Target="https://tk.tokopedia.com/ZSAa8SGRu/" TargetMode="External"/><Relationship Id="rId18" Type="http://schemas.openxmlformats.org/officeDocument/2006/relationships/hyperlink" Target="https://www.tokopedia.com/informa/informa-lemari-arsip-kantor-metal-4-pintu-high-putih-1729857549483148897?extParam=ivf%3Dfalse%26keyword%3Dlemari+arsip+informa%26search_id%3D2025082604364111B9842E0A271F2ADNOG%26src%3Dsearch%26whid%3D17430154&amp;t_id=1756182822447&amp;t_st=5&amp;t_pp=search_result&amp;t_efo=search_pure_goods_card&amp;t_ef=goods_search&amp;t_sm=&amp;t_spt=search_result" TargetMode="External"/><Relationship Id="rId113" Type="http://schemas.openxmlformats.org/officeDocument/2006/relationships/hyperlink" Target="https://shopee.co.id/Glass-Cleaner-Pembersih-Kaca-i.19073520.262539389?xptdk=47df84c1-bdc7-4feb-9828-5f5a601dc6fc" TargetMode="External"/><Relationship Id="rId112" Type="http://schemas.openxmlformats.org/officeDocument/2006/relationships/hyperlink" Target="https://shopee.co.id/PREMIUM-Microfiber-Kain-Lap-Multifungsi-Serbaguna-611-GSM-30-x-30-cm-i.192635131.20994736339?xptdk=c48075e0-9579-4c6e-8020-67249c682543" TargetMode="External"/><Relationship Id="rId111" Type="http://schemas.openxmlformats.org/officeDocument/2006/relationships/hyperlink" Target="https://shopee.co.id/Kemoceng-Teleskopik-2.8-Meter-Microfiber-Magnet-Debu-Bisa-Tekuk-Adjustable-Alat-Pembersih-Rumah-i.1405216909.26630563257?xptdk=d66c4291-cd92-4416-95a3-eb801859c3b8" TargetMode="External"/><Relationship Id="rId84" Type="http://schemas.openxmlformats.org/officeDocument/2006/relationships/hyperlink" Target="https://tk.tokopedia.com/ZSAaRQM4V/" TargetMode="External"/><Relationship Id="rId83" Type="http://schemas.openxmlformats.org/officeDocument/2006/relationships/hyperlink" Target="https://www.tokopedia.com/mideaofficial/midea-dispenser-air-galon-bawah-yd-1634w-bottom-loading?extParam=ivf%3Dfalse%26keyword%3Ddispenser%26search_id%3D2025082602463437BC2F75BF1BCF3ABPCO%26src%3Dsearch&amp;t_id=1756176155674&amp;t_st=11&amp;t_pp=search_result&amp;t_efo=search_pure_goods_card&amp;t_ef=goods_search&amp;t_sm=&amp;t_spt=search_result" TargetMode="External"/><Relationship Id="rId86" Type="http://schemas.openxmlformats.org/officeDocument/2006/relationships/hyperlink" Target="https://tk.tokopedia.com/ZSAaRQDfq/" TargetMode="External"/><Relationship Id="rId85" Type="http://schemas.openxmlformats.org/officeDocument/2006/relationships/hyperlink" Target="https://tk.tokopedia.com/ZSAaRkUCT/" TargetMode="External"/><Relationship Id="rId88" Type="http://schemas.openxmlformats.org/officeDocument/2006/relationships/hyperlink" Target="https://tk.tokopedia.com/ZSAaRsQ7T/" TargetMode="External"/><Relationship Id="rId87" Type="http://schemas.openxmlformats.org/officeDocument/2006/relationships/hyperlink" Target="https://tk.tokopedia.com/ZSAaRgUwP/" TargetMode="External"/><Relationship Id="rId89" Type="http://schemas.openxmlformats.org/officeDocument/2006/relationships/hyperlink" Target="https://tk.tokopedia.com/ZSAaRtKjs/" TargetMode="External"/><Relationship Id="rId80" Type="http://schemas.openxmlformats.org/officeDocument/2006/relationships/hyperlink" Target="https://tk.tokopedia.com/ZSAaRhd1c/" TargetMode="External"/><Relationship Id="rId82" Type="http://schemas.openxmlformats.org/officeDocument/2006/relationships/hyperlink" Target="https://tk.tokopedia.com/ZSA6S6rdG/" TargetMode="External"/><Relationship Id="rId81" Type="http://schemas.openxmlformats.org/officeDocument/2006/relationships/hyperlink" Target="https://www.tokopedia.com/satu-elektronik/philips-add4948-dispenser-galon-bawah-add-4948-add4948-hitam?extParam=ivf%3Dfalse%26keyword%3Ddispenser%26search_id%3D2025082602463437BC2F75BF1BCF3ABPCO%26src%3Dsearch&amp;t_id=1756176155674&amp;t_st=7&amp;t_pp=search_result&amp;t_efo=search_pure_goods_card&amp;t_ef=goods_search&amp;t_sm=&amp;t_spt=search_result" TargetMode="External"/><Relationship Id="rId1" Type="http://schemas.openxmlformats.org/officeDocument/2006/relationships/hyperlink" Target="https://tk.tokopedia.com/ZSSc5DEfp/" TargetMode="External"/><Relationship Id="rId2" Type="http://schemas.openxmlformats.org/officeDocument/2006/relationships/hyperlink" Target="https://tk.tokopedia.com/ZSScaCX99/" TargetMode="External"/><Relationship Id="rId3" Type="http://schemas.openxmlformats.org/officeDocument/2006/relationships/hyperlink" Target="https://tk.tokopedia.com/ZSScmrg2n/" TargetMode="External"/><Relationship Id="rId4" Type="http://schemas.openxmlformats.org/officeDocument/2006/relationships/hyperlink" Target="https://www.ruparupa.com/p/selma-lyon-kursi-kantor-sandaran-rendah-abu-abu.html?itm_source=search&amp;itm_campaign=direct_search&amp;itm_term=kursi-kantor-%26-10605782&amp;itm_device=desktop&amp;queryId=106cf15159825ae1f370f09b142a6a4d&amp;sid=ETFj5JgBdpC1r0iu7vd0" TargetMode="External"/><Relationship Id="rId9" Type="http://schemas.openxmlformats.org/officeDocument/2006/relationships/hyperlink" Target="https://tk.tokopedia.com/ZSAUknwUY/" TargetMode="External"/><Relationship Id="rId5" Type="http://schemas.openxmlformats.org/officeDocument/2006/relationships/hyperlink" Target="https://tk.tokopedia.com/ZSScmMRaD/" TargetMode="External"/><Relationship Id="rId6" Type="http://schemas.openxmlformats.org/officeDocument/2006/relationships/hyperlink" Target="https://tk.tokopedia.com/ZSScmS1TT/" TargetMode="External"/><Relationship Id="rId7" Type="http://schemas.openxmlformats.org/officeDocument/2006/relationships/hyperlink" Target="https://tk.tokopedia.com/ZSAUkDvqt/" TargetMode="External"/><Relationship Id="rId8" Type="http://schemas.openxmlformats.org/officeDocument/2006/relationships/hyperlink" Target="https://tk.tokopedia.com/ZSAUk7TTv/" TargetMode="External"/><Relationship Id="rId73" Type="http://schemas.openxmlformats.org/officeDocument/2006/relationships/hyperlink" Target="https://tk.tokopedia.com/ZSA6A9ax8/" TargetMode="External"/><Relationship Id="rId72" Type="http://schemas.openxmlformats.org/officeDocument/2006/relationships/hyperlink" Target="https://tk.tokopedia.com/ZSA6SsrXB/" TargetMode="External"/><Relationship Id="rId75" Type="http://schemas.openxmlformats.org/officeDocument/2006/relationships/hyperlink" Target="https://tk.tokopedia.com/ZSAaRMQfd/" TargetMode="External"/><Relationship Id="rId74" Type="http://schemas.openxmlformats.org/officeDocument/2006/relationships/hyperlink" Target="https://www.tokopedia.com/gelas5saudara/1-set-6-pcs-maxim-gelas-mug-beer-gelas-mug-tempered-glass-mug-kaca-mug?extParam=ivf%3Dfalse%26keyword%3Dcangkir+kaca%26search_id%3D20250826045158577BCC914F9E55064Q56%26src%3Dsearch&amp;t_id=1756183763009&amp;t_st=4&amp;t_pp=search_result&amp;t_efo=search_pure_goods_card&amp;t_ef=goods_search&amp;t_sm=&amp;t_spt=search_result" TargetMode="External"/><Relationship Id="rId77" Type="http://schemas.openxmlformats.org/officeDocument/2006/relationships/hyperlink" Target="https://tk.tokopedia.com/ZSAaRmMUk/" TargetMode="External"/><Relationship Id="rId76" Type="http://schemas.openxmlformats.org/officeDocument/2006/relationships/hyperlink" Target="https://tk.tokopedia.com/ZSAaRrQQ4/" TargetMode="External"/><Relationship Id="rId79" Type="http://schemas.openxmlformats.org/officeDocument/2006/relationships/hyperlink" Target="https://tk.tokopedia.com/ZSAaRm4du/" TargetMode="External"/><Relationship Id="rId78" Type="http://schemas.openxmlformats.org/officeDocument/2006/relationships/hyperlink" Target="https://tk.tokopedia.com/ZSAaRXeVU/" TargetMode="External"/><Relationship Id="rId71" Type="http://schemas.openxmlformats.org/officeDocument/2006/relationships/hyperlink" Target="https://tk.tokopedia.com/ZSAM3M9Qs/" TargetMode="External"/><Relationship Id="rId70" Type="http://schemas.openxmlformats.org/officeDocument/2006/relationships/hyperlink" Target="https://tk.tokopedia.com/ZSAMc7KB6/" TargetMode="External"/><Relationship Id="rId132" Type="http://schemas.openxmlformats.org/officeDocument/2006/relationships/hyperlink" Target="https://tk.tokopedia.com/ZSAGAHP9a/" TargetMode="External"/><Relationship Id="rId131" Type="http://schemas.openxmlformats.org/officeDocument/2006/relationships/hyperlink" Target="https://www.tokopedia.com/tokopantes/kursi-tinggi-bakso-warna-dx-gmp-coklat-random?extParam=ivf%3Dfalse%26keyword%3Dkursi+bakso%26search_id%3D202508260144204734BA6F3DE83D1A4MYS%26src%3Dsearch&amp;t_id=1756172367635&amp;t_st=11&amp;t_pp=search_result&amp;t_efo=search_pure_goods_card&amp;t_ef=goods_search&amp;t_sm=&amp;t_spt=search_result" TargetMode="External"/><Relationship Id="rId130" Type="http://schemas.openxmlformats.org/officeDocument/2006/relationships/hyperlink" Target="https://www.tokopedia.com/salsaashop-1/kursi-bakso-kursi-baso-kursi-kafe-kursi-cafe-besi-kayu-t-50-cm?extParam=ivf%3Dfalse%26keyword%3Dkursi+bakso%26search_id%3D202508260144204734BA6F3DE83D1A4MYS%26src%3Dsearch&amp;t_id=1756172367635&amp;t_st=8&amp;t_pp=search_result&amp;t_efo=search_pure_goods_card&amp;t_ef=goods_search&amp;t_sm=&amp;t_spt=search_result" TargetMode="External"/><Relationship Id="rId135" Type="http://schemas.openxmlformats.org/officeDocument/2006/relationships/drawing" Target="../drawings/drawing3.xml"/><Relationship Id="rId134" Type="http://schemas.openxmlformats.org/officeDocument/2006/relationships/hyperlink" Target="https://tk.tokopedia.com/ZSAGD8qDj/" TargetMode="External"/><Relationship Id="rId133" Type="http://schemas.openxmlformats.org/officeDocument/2006/relationships/hyperlink" Target="https://tk.tokopedia.com/ZSAGAKfYT/" TargetMode="External"/><Relationship Id="rId62" Type="http://schemas.openxmlformats.org/officeDocument/2006/relationships/hyperlink" Target="https://tk.tokopedia.com/ZSAaLBW9G/" TargetMode="External"/><Relationship Id="rId61" Type="http://schemas.openxmlformats.org/officeDocument/2006/relationships/hyperlink" Target="https://tk.tokopedia.com/ZSAaLF5Yp/" TargetMode="External"/><Relationship Id="rId64" Type="http://schemas.openxmlformats.org/officeDocument/2006/relationships/hyperlink" Target="https://tk.tokopedia.com/ZSAaLGWe2/" TargetMode="External"/><Relationship Id="rId63" Type="http://schemas.openxmlformats.org/officeDocument/2006/relationships/hyperlink" Target="https://tk.tokopedia.com/ZSAaLT4sM/" TargetMode="External"/><Relationship Id="rId66" Type="http://schemas.openxmlformats.org/officeDocument/2006/relationships/hyperlink" Target="https://tk.tokopedia.com/ZSAaLWPy2/" TargetMode="External"/><Relationship Id="rId65" Type="http://schemas.openxmlformats.org/officeDocument/2006/relationships/hyperlink" Target="https://tk.tokopedia.com/ZSAaL3VFp/" TargetMode="External"/><Relationship Id="rId68" Type="http://schemas.openxmlformats.org/officeDocument/2006/relationships/hyperlink" Target="https://tk.tokopedia.com/ZSAaLs52k/" TargetMode="External"/><Relationship Id="rId67" Type="http://schemas.openxmlformats.org/officeDocument/2006/relationships/hyperlink" Target="https://tk.tokopedia.com/ZSAaLVDxW/" TargetMode="External"/><Relationship Id="rId60" Type="http://schemas.openxmlformats.org/officeDocument/2006/relationships/hyperlink" Target="https://tk.tokopedia.com/ZSAaLUSho/" TargetMode="External"/><Relationship Id="rId69" Type="http://schemas.openxmlformats.org/officeDocument/2006/relationships/hyperlink" Target="https://tk.tokopedia.com/ZSAaLcrTe/" TargetMode="External"/><Relationship Id="rId51" Type="http://schemas.openxmlformats.org/officeDocument/2006/relationships/hyperlink" Target="https://tk.tokopedia.com/ZSA61kbCf/" TargetMode="External"/><Relationship Id="rId50" Type="http://schemas.openxmlformats.org/officeDocument/2006/relationships/hyperlink" Target="https://tk.tokopedia.com/ZSA61PP7k/" TargetMode="External"/><Relationship Id="rId53" Type="http://schemas.openxmlformats.org/officeDocument/2006/relationships/hyperlink" Target="https://tk.tokopedia.com/ZSAa8gfLx/" TargetMode="External"/><Relationship Id="rId52" Type="http://schemas.openxmlformats.org/officeDocument/2006/relationships/hyperlink" Target="https://tk.tokopedia.com/ZSAa87kx9/" TargetMode="External"/><Relationship Id="rId55" Type="http://schemas.openxmlformats.org/officeDocument/2006/relationships/hyperlink" Target="https://tk.tokopedia.com/ZSAaLAgoE/" TargetMode="External"/><Relationship Id="rId54" Type="http://schemas.openxmlformats.org/officeDocument/2006/relationships/hyperlink" Target="https://tk.tokopedia.com/ZSAaLLwjx/" TargetMode="External"/><Relationship Id="rId57" Type="http://schemas.openxmlformats.org/officeDocument/2006/relationships/hyperlink" Target="https://tk.tokopedia.com/ZSAaLaJfx/" TargetMode="External"/><Relationship Id="rId56" Type="http://schemas.openxmlformats.org/officeDocument/2006/relationships/hyperlink" Target="https://tk.tokopedia.com/ZSAaLBEbE/" TargetMode="External"/><Relationship Id="rId59" Type="http://schemas.openxmlformats.org/officeDocument/2006/relationships/hyperlink" Target="https://tk.tokopedia.com/ZSAaL2t8T/" TargetMode="External"/><Relationship Id="rId58" Type="http://schemas.openxmlformats.org/officeDocument/2006/relationships/hyperlink" Target="https://www.ruparupa.com/p/informa-kiev-loker-12-pintu-cokelat-muda.html?itm_source=search&amp;itm_campaign=direct_search&amp;itm_term=loker-besi-12-pintu-%26-10507509&amp;itm_device=desktop&amp;queryId=b0164af4e6ca5e2197c284e491c63c8b&amp;sid=ryC4CZkBeHn2cx7nL1Z4"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1KjGFcE9wdVI039MkhxEvnDWjxQYfTyc/view?usp=sharing" TargetMode="External"/><Relationship Id="rId10" Type="http://schemas.openxmlformats.org/officeDocument/2006/relationships/hyperlink" Target="https://drive.google.com/file/d/11KjGFcE9wdVI039MkhxEvnDWjxQYfTyc/view?usp=sharing" TargetMode="External"/><Relationship Id="rId13" Type="http://schemas.openxmlformats.org/officeDocument/2006/relationships/hyperlink" Target="https://drive.google.com/file/d/1iUxgBl-dKNgqC0CJluAreb7Vvy1a61es/view?usp=sharing" TargetMode="External"/><Relationship Id="rId12" Type="http://schemas.openxmlformats.org/officeDocument/2006/relationships/hyperlink" Target="https://drive.google.com/file/d/1leRCvtxIKB0N4RN6w1GGhY2S42yEZ_CB/view?usp=sharing" TargetMode="External"/><Relationship Id="rId14" Type="http://schemas.openxmlformats.org/officeDocument/2006/relationships/drawing" Target="../drawings/drawing4.xml"/><Relationship Id="rId1" Type="http://schemas.openxmlformats.org/officeDocument/2006/relationships/hyperlink" Target="https://drive.google.com/drive/folders/1uuubOUsSyHd5EfKPkISCNzzW54TfDfTh?usp=sharing" TargetMode="External"/><Relationship Id="rId2" Type="http://schemas.openxmlformats.org/officeDocument/2006/relationships/hyperlink" Target="https://drive.google.com/file/d/1rPVAg2lGjjEnTOhnmptIgSp-qJ5EFZWg/view?usp=drive_link" TargetMode="External"/><Relationship Id="rId3" Type="http://schemas.openxmlformats.org/officeDocument/2006/relationships/hyperlink" Target="https://drive.google.com/file/d/1rPVAg2lGjjEnTOhnmptIgSp-qJ5EFZWg/view?usp=drive_link" TargetMode="External"/><Relationship Id="rId4" Type="http://schemas.openxmlformats.org/officeDocument/2006/relationships/hyperlink" Target="https://drive.google.com/file/d/1rPVAg2lGjjEnTOhnmptIgSp-qJ5EFZWg/view?usp=drive_link" TargetMode="External"/><Relationship Id="rId9" Type="http://schemas.openxmlformats.org/officeDocument/2006/relationships/hyperlink" Target="https://drive.google.com/file/d/11KjGFcE9wdVI039MkhxEvnDWjxQYfTyc/view?usp=sharing" TargetMode="External"/><Relationship Id="rId5" Type="http://schemas.openxmlformats.org/officeDocument/2006/relationships/hyperlink" Target="https://drive.google.com/file/d/1rPVAg2lGjjEnTOhnmptIgSp-qJ5EFZWg/view?usp=drive_link" TargetMode="External"/><Relationship Id="rId6" Type="http://schemas.openxmlformats.org/officeDocument/2006/relationships/hyperlink" Target="https://drive.google.com/file/d/1rPVAg2lGjjEnTOhnmptIgSp-qJ5EFZWg/view?usp=drive_link" TargetMode="External"/><Relationship Id="rId7" Type="http://schemas.openxmlformats.org/officeDocument/2006/relationships/hyperlink" Target="https://drive.google.com/file/d/11KjGFcE9wdVI039MkhxEvnDWjxQYfTyc/view?usp=sharing" TargetMode="External"/><Relationship Id="rId8" Type="http://schemas.openxmlformats.org/officeDocument/2006/relationships/hyperlink" Target="https://drive.google.com/file/d/11KjGFcE9wdVI039MkhxEvnDWjxQYfTyc/view?usp=sharing"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tk.tokopedia.com/ZSUUKRS77/" TargetMode="External"/><Relationship Id="rId10" Type="http://schemas.openxmlformats.org/officeDocument/2006/relationships/hyperlink" Target="https://tk.tokopedia.com/ZSUUK2r1S/" TargetMode="External"/><Relationship Id="rId12" Type="http://schemas.openxmlformats.org/officeDocument/2006/relationships/drawing" Target="../drawings/drawing5.xml"/><Relationship Id="rId1" Type="http://schemas.openxmlformats.org/officeDocument/2006/relationships/hyperlink" Target="https://tk.tokopedia.com/ZSUPneQQa/" TargetMode="External"/><Relationship Id="rId2" Type="http://schemas.openxmlformats.org/officeDocument/2006/relationships/hyperlink" Target="https://tk.tokopedia.com/ZSUPnrGT2/" TargetMode="External"/><Relationship Id="rId3" Type="http://schemas.openxmlformats.org/officeDocument/2006/relationships/hyperlink" Target="https://tk.tokopedia.com/ZSUPnLTne/" TargetMode="External"/><Relationship Id="rId4" Type="http://schemas.openxmlformats.org/officeDocument/2006/relationships/hyperlink" Target="https://tk.tokopedia.com/ZSUPWVoT2/" TargetMode="External"/><Relationship Id="rId9" Type="http://schemas.openxmlformats.org/officeDocument/2006/relationships/hyperlink" Target="https://tk.tokopedia.com/ZSUPWtAJU/" TargetMode="External"/><Relationship Id="rId5" Type="http://schemas.openxmlformats.org/officeDocument/2006/relationships/hyperlink" Target="https://tk.tokopedia.com/ZSUPnGATg/" TargetMode="External"/><Relationship Id="rId6" Type="http://schemas.openxmlformats.org/officeDocument/2006/relationships/hyperlink" Target="https://tk.tokopedia.com/ZSUP7jSSp/" TargetMode="External"/><Relationship Id="rId7" Type="http://schemas.openxmlformats.org/officeDocument/2006/relationships/hyperlink" Target="https://tk.tokopedia.com/ZSUPnv8VW/" TargetMode="External"/><Relationship Id="rId8" Type="http://schemas.openxmlformats.org/officeDocument/2006/relationships/hyperlink" Target="https://tk.tokopedia.com/ZSUPnW3Y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sKXozmVL6MiwwrQjxADj6f06HGxNHzOMqRxPVc-NZ48/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1.22" defaultRowHeight="15.0"/>
  <cols>
    <col customWidth="1" min="1" max="1" width="5.11"/>
    <col customWidth="1" min="2" max="2" width="7.11"/>
    <col customWidth="1" min="3" max="3" width="10.11"/>
    <col customWidth="1" hidden="1" min="4" max="4" width="9.22"/>
    <col customWidth="1" min="5" max="5" width="10.11"/>
    <col customWidth="1" min="6" max="6" width="22.33"/>
    <col customWidth="1" min="7" max="7" width="10.33"/>
    <col customWidth="1" min="8" max="8" width="14.33"/>
    <col customWidth="1" min="9" max="9" width="10.22"/>
    <col customWidth="1" min="10" max="10" width="13.67"/>
    <col customWidth="1" min="11" max="11" width="15.33"/>
    <col customWidth="1" min="12" max="12" width="12.33"/>
    <col customWidth="1" hidden="1" min="13" max="13" width="7.67"/>
    <col customWidth="1" min="14" max="14" width="9.67"/>
    <col customWidth="1" min="15" max="16" width="10.78"/>
    <col customWidth="1" min="17" max="17" width="22.89"/>
    <col customWidth="1" min="18" max="18" width="13.44"/>
    <col customWidth="1" min="19" max="19" width="14.67"/>
  </cols>
  <sheetData>
    <row r="1" ht="13.5" hidden="1" customHeight="1">
      <c r="A1" s="1" t="s">
        <v>0</v>
      </c>
      <c r="B1" s="2"/>
      <c r="C1" s="3"/>
      <c r="D1" s="3"/>
      <c r="E1" s="3"/>
      <c r="F1" s="4"/>
      <c r="G1" s="5" t="s">
        <v>1</v>
      </c>
      <c r="H1" s="6" t="s">
        <v>2</v>
      </c>
      <c r="I1" s="7"/>
      <c r="J1" s="5" t="s">
        <v>3</v>
      </c>
      <c r="K1" s="5" t="s">
        <v>4</v>
      </c>
      <c r="L1" s="8"/>
      <c r="M1" s="9"/>
      <c r="N1" s="8"/>
      <c r="O1" s="8"/>
      <c r="P1" s="8"/>
      <c r="Q1" s="8"/>
      <c r="R1" s="8"/>
      <c r="S1" s="10"/>
    </row>
    <row r="2" ht="13.5" hidden="1" customHeight="1">
      <c r="A2" s="11"/>
      <c r="B2" s="8" t="s">
        <v>5</v>
      </c>
      <c r="C2" s="8"/>
      <c r="D2" s="9"/>
      <c r="E2" s="8"/>
      <c r="F2" s="8"/>
      <c r="G2" s="12" t="s">
        <v>6</v>
      </c>
      <c r="H2" s="13" t="s">
        <v>7</v>
      </c>
      <c r="I2" s="7"/>
      <c r="J2" s="12" t="s">
        <v>8</v>
      </c>
      <c r="K2" s="14" t="s">
        <v>9</v>
      </c>
      <c r="L2" s="8"/>
      <c r="M2" s="9"/>
      <c r="N2" s="8"/>
      <c r="O2" s="8"/>
      <c r="P2" s="8"/>
      <c r="Q2" s="8"/>
      <c r="R2" s="8"/>
      <c r="S2" s="10"/>
    </row>
    <row r="3" ht="13.5" hidden="1" customHeight="1">
      <c r="A3" s="15"/>
      <c r="B3" s="8" t="s">
        <v>10</v>
      </c>
      <c r="C3" s="8"/>
      <c r="D3" s="9"/>
      <c r="E3" s="8"/>
      <c r="F3" s="8"/>
      <c r="G3" s="12" t="s">
        <v>11</v>
      </c>
      <c r="H3" s="13" t="s">
        <v>12</v>
      </c>
      <c r="I3" s="7"/>
      <c r="J3" s="12" t="s">
        <v>13</v>
      </c>
      <c r="K3" s="14" t="s">
        <v>14</v>
      </c>
      <c r="L3" s="8"/>
      <c r="M3" s="9"/>
      <c r="N3" s="8"/>
      <c r="O3" s="8"/>
      <c r="P3" s="8"/>
      <c r="Q3" s="8"/>
      <c r="R3" s="8"/>
      <c r="S3" s="10"/>
    </row>
    <row r="4" ht="13.5" hidden="1" customHeight="1">
      <c r="A4" s="16"/>
      <c r="B4" s="8" t="s">
        <v>15</v>
      </c>
      <c r="C4" s="8"/>
      <c r="D4" s="9"/>
      <c r="E4" s="8"/>
      <c r="F4" s="8"/>
      <c r="G4" s="12" t="s">
        <v>16</v>
      </c>
      <c r="H4" s="13" t="s">
        <v>17</v>
      </c>
      <c r="I4" s="7"/>
      <c r="J4" s="12" t="s">
        <v>18</v>
      </c>
      <c r="K4" s="14" t="s">
        <v>19</v>
      </c>
      <c r="L4" s="8"/>
      <c r="M4" s="9"/>
      <c r="N4" s="8"/>
      <c r="O4" s="8"/>
      <c r="P4" s="8"/>
      <c r="Q4" s="8"/>
      <c r="R4" s="8"/>
      <c r="S4" s="10"/>
    </row>
    <row r="5" ht="13.5" hidden="1" customHeight="1">
      <c r="A5" s="17"/>
      <c r="B5" s="8" t="s">
        <v>20</v>
      </c>
      <c r="C5" s="8"/>
      <c r="D5" s="9"/>
      <c r="E5" s="8"/>
      <c r="F5" s="8"/>
      <c r="G5" s="12" t="s">
        <v>21</v>
      </c>
      <c r="H5" s="13" t="s">
        <v>22</v>
      </c>
      <c r="I5" s="7"/>
      <c r="J5" s="8"/>
      <c r="K5" s="8"/>
      <c r="L5" s="8"/>
      <c r="M5" s="9"/>
      <c r="N5" s="8"/>
      <c r="O5" s="8"/>
      <c r="P5" s="8"/>
      <c r="Q5" s="8"/>
      <c r="R5" s="8"/>
      <c r="S5" s="10"/>
    </row>
    <row r="6" ht="13.5" hidden="1" customHeight="1">
      <c r="A6" s="18"/>
      <c r="B6" s="8" t="s">
        <v>23</v>
      </c>
      <c r="C6" s="8"/>
      <c r="D6" s="9"/>
      <c r="E6" s="8"/>
      <c r="F6" s="8"/>
      <c r="G6" s="12" t="s">
        <v>24</v>
      </c>
      <c r="H6" s="13" t="s">
        <v>25</v>
      </c>
      <c r="I6" s="7"/>
      <c r="J6" s="8"/>
      <c r="K6" s="8"/>
      <c r="L6" s="8"/>
      <c r="M6" s="9"/>
      <c r="N6" s="8"/>
      <c r="O6" s="8"/>
      <c r="P6" s="8"/>
      <c r="Q6" s="8"/>
      <c r="R6" s="8"/>
      <c r="S6" s="10"/>
    </row>
    <row r="7" ht="13.5" hidden="1" customHeight="1">
      <c r="A7" s="9"/>
      <c r="B7" s="8"/>
      <c r="C7" s="8"/>
      <c r="D7" s="9"/>
      <c r="E7" s="8"/>
      <c r="F7" s="8"/>
      <c r="G7" s="19"/>
      <c r="H7" s="20"/>
      <c r="I7" s="7"/>
      <c r="J7" s="8"/>
      <c r="K7" s="8"/>
      <c r="L7" s="8"/>
      <c r="M7" s="9"/>
      <c r="N7" s="8"/>
      <c r="O7" s="8"/>
      <c r="P7" s="8"/>
      <c r="Q7" s="8"/>
      <c r="R7" s="8"/>
      <c r="S7" s="10"/>
    </row>
    <row r="8" ht="13.5" hidden="1" customHeight="1">
      <c r="A8" s="9"/>
      <c r="B8" s="8"/>
      <c r="C8" s="8"/>
      <c r="D8" s="9"/>
      <c r="E8" s="8"/>
      <c r="F8" s="8"/>
      <c r="G8" s="19"/>
      <c r="H8" s="20"/>
      <c r="I8" s="7"/>
      <c r="J8" s="8"/>
      <c r="K8" s="8"/>
      <c r="L8" s="8"/>
      <c r="M8" s="9"/>
      <c r="N8" s="8"/>
      <c r="O8" s="8"/>
      <c r="P8" s="8"/>
      <c r="Q8" s="8"/>
      <c r="R8" s="8"/>
      <c r="S8" s="10"/>
    </row>
    <row r="9" ht="13.5" customHeight="1">
      <c r="A9" s="21" t="s">
        <v>26</v>
      </c>
      <c r="B9" s="21" t="s">
        <v>27</v>
      </c>
      <c r="C9" s="21" t="s">
        <v>1</v>
      </c>
      <c r="D9" s="21" t="s">
        <v>2</v>
      </c>
      <c r="E9" s="21" t="s">
        <v>28</v>
      </c>
      <c r="F9" s="22" t="s">
        <v>29</v>
      </c>
      <c r="G9" s="23" t="s">
        <v>30</v>
      </c>
      <c r="H9" s="24" t="s">
        <v>31</v>
      </c>
      <c r="I9" s="25" t="s">
        <v>32</v>
      </c>
      <c r="J9" s="21" t="s">
        <v>33</v>
      </c>
      <c r="K9" s="21" t="s">
        <v>34</v>
      </c>
      <c r="L9" s="21" t="s">
        <v>3</v>
      </c>
      <c r="M9" s="21" t="s">
        <v>4</v>
      </c>
      <c r="N9" s="22" t="s">
        <v>35</v>
      </c>
      <c r="O9" s="22" t="s">
        <v>36</v>
      </c>
      <c r="P9" s="22" t="s">
        <v>37</v>
      </c>
      <c r="Q9" s="21" t="s">
        <v>38</v>
      </c>
      <c r="R9" s="21" t="s">
        <v>39</v>
      </c>
      <c r="S9" s="26" t="s">
        <v>40</v>
      </c>
    </row>
    <row r="10" ht="13.5" customHeight="1">
      <c r="A10" s="27">
        <v>1.0</v>
      </c>
      <c r="B10" s="28" t="s">
        <v>41</v>
      </c>
      <c r="C10" s="28" t="s">
        <v>6</v>
      </c>
      <c r="D10" s="29" t="str">
        <f t="shared" ref="D10:D461" si="1">if(C10=$G$2,$H$2, if(C10=$G$3,$H$3, if(C10=$G$4,$H$4, if(C10=$G$5,$H$5,if(C10=$G$6,$H$6, " ")))))</f>
        <v>I</v>
      </c>
      <c r="E10" s="30" t="str">
        <f t="shared" ref="E10:E461" si="2">CONCATENATE(B10,"/",D10,"/",M10)</f>
        <v>FA001/I/02</v>
      </c>
      <c r="F10" s="30" t="s">
        <v>42</v>
      </c>
      <c r="G10" s="31">
        <v>42005.0</v>
      </c>
      <c r="H10" s="32">
        <v>3150000.0</v>
      </c>
      <c r="I10" s="33"/>
      <c r="J10" s="34"/>
      <c r="K10" s="34"/>
      <c r="L10" s="35" t="s">
        <v>13</v>
      </c>
      <c r="M10" s="11" t="str">
        <f t="shared" ref="M10:M461" si="3">if(L10=$J$2,$K$2,if(L10=$J$3,$K$3,if(L10=$J$4,$K$4," ")))</f>
        <v>02</v>
      </c>
      <c r="N10" s="34" t="s">
        <v>43</v>
      </c>
      <c r="O10" s="34"/>
      <c r="P10" s="34"/>
      <c r="Q10" s="34"/>
      <c r="R10" s="34" t="s">
        <v>5</v>
      </c>
      <c r="S10" s="36"/>
    </row>
    <row r="11" ht="13.5" customHeight="1">
      <c r="A11" s="37">
        <v>2.0</v>
      </c>
      <c r="B11" s="38" t="s">
        <v>44</v>
      </c>
      <c r="C11" s="38" t="s">
        <v>16</v>
      </c>
      <c r="D11" s="39" t="str">
        <f t="shared" si="1"/>
        <v>III</v>
      </c>
      <c r="E11" s="40" t="str">
        <f t="shared" si="2"/>
        <v>FA002/III/01</v>
      </c>
      <c r="F11" s="40" t="s">
        <v>45</v>
      </c>
      <c r="G11" s="41">
        <v>42135.0</v>
      </c>
      <c r="H11" s="42">
        <v>6900000.0</v>
      </c>
      <c r="I11" s="7"/>
      <c r="J11" s="43" t="s">
        <v>46</v>
      </c>
      <c r="K11" s="43" t="s">
        <v>47</v>
      </c>
      <c r="L11" s="43" t="s">
        <v>8</v>
      </c>
      <c r="M11" s="9" t="str">
        <f t="shared" si="3"/>
        <v>01</v>
      </c>
      <c r="N11" s="8"/>
      <c r="O11" s="8"/>
      <c r="P11" s="8"/>
      <c r="Q11" s="8"/>
      <c r="R11" s="8" t="s">
        <v>5</v>
      </c>
      <c r="S11" s="10"/>
    </row>
    <row r="12" ht="13.5" customHeight="1">
      <c r="A12" s="37">
        <v>3.0</v>
      </c>
      <c r="B12" s="38" t="s">
        <v>48</v>
      </c>
      <c r="C12" s="38" t="s">
        <v>6</v>
      </c>
      <c r="D12" s="39" t="str">
        <f t="shared" si="1"/>
        <v>I</v>
      </c>
      <c r="E12" s="40" t="str">
        <f t="shared" si="2"/>
        <v>FA003/I/01</v>
      </c>
      <c r="F12" s="38" t="s">
        <v>49</v>
      </c>
      <c r="G12" s="41">
        <v>42135.0</v>
      </c>
      <c r="H12" s="44">
        <v>580000.0</v>
      </c>
      <c r="I12" s="44"/>
      <c r="J12" s="43" t="s">
        <v>50</v>
      </c>
      <c r="K12" s="43" t="s">
        <v>51</v>
      </c>
      <c r="L12" s="43" t="s">
        <v>8</v>
      </c>
      <c r="M12" s="9" t="str">
        <f t="shared" si="3"/>
        <v>01</v>
      </c>
      <c r="N12" s="8"/>
      <c r="O12" s="8"/>
      <c r="P12" s="8"/>
      <c r="Q12" s="8"/>
      <c r="R12" s="43" t="s">
        <v>52</v>
      </c>
      <c r="S12" s="10"/>
    </row>
    <row r="13" ht="13.5" customHeight="1">
      <c r="A13" s="27">
        <v>4.0</v>
      </c>
      <c r="B13" s="28" t="s">
        <v>53</v>
      </c>
      <c r="C13" s="28" t="s">
        <v>11</v>
      </c>
      <c r="D13" s="29" t="str">
        <f t="shared" si="1"/>
        <v>II</v>
      </c>
      <c r="E13" s="30" t="str">
        <f t="shared" si="2"/>
        <v>FA004/II/01</v>
      </c>
      <c r="F13" s="30" t="s">
        <v>54</v>
      </c>
      <c r="G13" s="31">
        <v>42249.0</v>
      </c>
      <c r="H13" s="32">
        <v>2500000.0</v>
      </c>
      <c r="I13" s="33"/>
      <c r="J13" s="34"/>
      <c r="K13" s="34"/>
      <c r="L13" s="35" t="s">
        <v>8</v>
      </c>
      <c r="M13" s="11" t="str">
        <f t="shared" si="3"/>
        <v>01</v>
      </c>
      <c r="N13" s="34"/>
      <c r="O13" s="34"/>
      <c r="P13" s="34"/>
      <c r="Q13" s="34"/>
      <c r="R13" s="34" t="s">
        <v>5</v>
      </c>
      <c r="S13" s="36"/>
    </row>
    <row r="14" ht="13.5" customHeight="1">
      <c r="A14" s="45">
        <v>5.0</v>
      </c>
      <c r="B14" s="46" t="s">
        <v>55</v>
      </c>
      <c r="C14" s="46" t="s">
        <v>11</v>
      </c>
      <c r="D14" s="47" t="str">
        <f t="shared" si="1"/>
        <v>II</v>
      </c>
      <c r="E14" s="48" t="str">
        <f t="shared" si="2"/>
        <v>FA005/II/01</v>
      </c>
      <c r="F14" s="48" t="s">
        <v>56</v>
      </c>
      <c r="G14" s="49">
        <v>42252.0</v>
      </c>
      <c r="H14" s="50">
        <v>1787190.0</v>
      </c>
      <c r="I14" s="51"/>
      <c r="J14" s="52"/>
      <c r="K14" s="52"/>
      <c r="L14" s="53" t="s">
        <v>8</v>
      </c>
      <c r="M14" s="15" t="str">
        <f t="shared" si="3"/>
        <v>01</v>
      </c>
      <c r="N14" s="52"/>
      <c r="O14" s="52"/>
      <c r="P14" s="52"/>
      <c r="Q14" s="52"/>
      <c r="R14" s="52" t="s">
        <v>10</v>
      </c>
      <c r="S14" s="54"/>
    </row>
    <row r="15" ht="13.5" customHeight="1">
      <c r="A15" s="37">
        <v>6.0</v>
      </c>
      <c r="B15" s="38" t="s">
        <v>57</v>
      </c>
      <c r="C15" s="38" t="s">
        <v>11</v>
      </c>
      <c r="D15" s="39" t="str">
        <f t="shared" si="1"/>
        <v>II</v>
      </c>
      <c r="E15" s="40" t="str">
        <f t="shared" si="2"/>
        <v>FA006/II/01</v>
      </c>
      <c r="F15" s="38" t="s">
        <v>58</v>
      </c>
      <c r="G15" s="41">
        <v>42254.0</v>
      </c>
      <c r="H15" s="42">
        <v>3034500.0</v>
      </c>
      <c r="I15" s="42"/>
      <c r="J15" s="43" t="s">
        <v>59</v>
      </c>
      <c r="K15" s="43" t="s">
        <v>51</v>
      </c>
      <c r="L15" s="43" t="s">
        <v>8</v>
      </c>
      <c r="M15" s="9" t="str">
        <f t="shared" si="3"/>
        <v>01</v>
      </c>
      <c r="N15" s="8"/>
      <c r="O15" s="8"/>
      <c r="P15" s="8"/>
      <c r="Q15" s="8"/>
      <c r="R15" s="43" t="s">
        <v>52</v>
      </c>
      <c r="S15" s="10"/>
    </row>
    <row r="16" ht="13.5" customHeight="1">
      <c r="A16" s="45">
        <v>7.0</v>
      </c>
      <c r="B16" s="46" t="s">
        <v>60</v>
      </c>
      <c r="C16" s="46" t="s">
        <v>11</v>
      </c>
      <c r="D16" s="47" t="str">
        <f t="shared" si="1"/>
        <v>II</v>
      </c>
      <c r="E16" s="48" t="str">
        <f t="shared" si="2"/>
        <v>FA007/II/01</v>
      </c>
      <c r="F16" s="48" t="s">
        <v>61</v>
      </c>
      <c r="G16" s="49">
        <v>42278.0</v>
      </c>
      <c r="H16" s="50">
        <v>570000.0</v>
      </c>
      <c r="I16" s="51"/>
      <c r="J16" s="52"/>
      <c r="K16" s="52"/>
      <c r="L16" s="53" t="s">
        <v>8</v>
      </c>
      <c r="M16" s="15" t="str">
        <f t="shared" si="3"/>
        <v>01</v>
      </c>
      <c r="N16" s="52"/>
      <c r="O16" s="52"/>
      <c r="P16" s="52"/>
      <c r="Q16" s="52"/>
      <c r="R16" s="52" t="s">
        <v>10</v>
      </c>
      <c r="S16" s="54"/>
    </row>
    <row r="17" ht="13.5" customHeight="1">
      <c r="A17" s="45">
        <v>8.0</v>
      </c>
      <c r="B17" s="46" t="s">
        <v>62</v>
      </c>
      <c r="C17" s="46" t="s">
        <v>11</v>
      </c>
      <c r="D17" s="47" t="str">
        <f t="shared" si="1"/>
        <v>II</v>
      </c>
      <c r="E17" s="48" t="str">
        <f t="shared" si="2"/>
        <v>FA008/II/01</v>
      </c>
      <c r="F17" s="48" t="s">
        <v>63</v>
      </c>
      <c r="G17" s="49">
        <v>42279.0</v>
      </c>
      <c r="H17" s="50">
        <v>220000.0</v>
      </c>
      <c r="I17" s="51"/>
      <c r="J17" s="52"/>
      <c r="K17" s="52"/>
      <c r="L17" s="53" t="s">
        <v>8</v>
      </c>
      <c r="M17" s="15" t="str">
        <f t="shared" si="3"/>
        <v>01</v>
      </c>
      <c r="N17" s="52"/>
      <c r="O17" s="52"/>
      <c r="P17" s="52"/>
      <c r="Q17" s="52"/>
      <c r="R17" s="52" t="s">
        <v>10</v>
      </c>
      <c r="S17" s="54"/>
    </row>
    <row r="18" ht="13.5" customHeight="1">
      <c r="A18" s="27">
        <v>9.0</v>
      </c>
      <c r="B18" s="28" t="s">
        <v>64</v>
      </c>
      <c r="C18" s="28" t="s">
        <v>6</v>
      </c>
      <c r="D18" s="29" t="str">
        <f t="shared" si="1"/>
        <v>I</v>
      </c>
      <c r="E18" s="30" t="str">
        <f t="shared" si="2"/>
        <v>FA009/I/01</v>
      </c>
      <c r="F18" s="30" t="s">
        <v>65</v>
      </c>
      <c r="G18" s="31">
        <v>42338.0</v>
      </c>
      <c r="H18" s="32">
        <v>2950000.0</v>
      </c>
      <c r="I18" s="33"/>
      <c r="J18" s="34"/>
      <c r="K18" s="34"/>
      <c r="L18" s="35" t="s">
        <v>8</v>
      </c>
      <c r="M18" s="11" t="str">
        <f t="shared" si="3"/>
        <v>01</v>
      </c>
      <c r="N18" s="34" t="s">
        <v>66</v>
      </c>
      <c r="O18" s="34"/>
      <c r="P18" s="34"/>
      <c r="Q18" s="34"/>
      <c r="R18" s="34" t="s">
        <v>5</v>
      </c>
      <c r="S18" s="36"/>
    </row>
    <row r="19" ht="13.5" customHeight="1">
      <c r="A19" s="27">
        <v>10.0</v>
      </c>
      <c r="B19" s="28" t="s">
        <v>67</v>
      </c>
      <c r="C19" s="28" t="s">
        <v>6</v>
      </c>
      <c r="D19" s="29" t="str">
        <f t="shared" si="1"/>
        <v>I</v>
      </c>
      <c r="E19" s="30" t="str">
        <f t="shared" si="2"/>
        <v>FA010/I/01</v>
      </c>
      <c r="F19" s="30" t="s">
        <v>68</v>
      </c>
      <c r="G19" s="31">
        <v>42403.0</v>
      </c>
      <c r="H19" s="32">
        <v>300000.0</v>
      </c>
      <c r="I19" s="33"/>
      <c r="J19" s="34"/>
      <c r="K19" s="34"/>
      <c r="L19" s="35" t="s">
        <v>8</v>
      </c>
      <c r="M19" s="11" t="str">
        <f t="shared" si="3"/>
        <v>01</v>
      </c>
      <c r="N19" s="34"/>
      <c r="O19" s="34"/>
      <c r="P19" s="34"/>
      <c r="Q19" s="34"/>
      <c r="R19" s="34" t="s">
        <v>5</v>
      </c>
      <c r="S19" s="36"/>
    </row>
    <row r="20" ht="13.5" customHeight="1">
      <c r="A20" s="37">
        <v>11.0</v>
      </c>
      <c r="B20" s="38" t="s">
        <v>69</v>
      </c>
      <c r="C20" s="38" t="s">
        <v>16</v>
      </c>
      <c r="D20" s="39" t="str">
        <f t="shared" si="1"/>
        <v>III</v>
      </c>
      <c r="E20" s="40" t="str">
        <f t="shared" si="2"/>
        <v>FA011/III/01</v>
      </c>
      <c r="F20" s="40" t="s">
        <v>70</v>
      </c>
      <c r="G20" s="41">
        <v>42675.0</v>
      </c>
      <c r="H20" s="44">
        <v>6540000.0</v>
      </c>
      <c r="I20" s="44"/>
      <c r="J20" s="43"/>
      <c r="K20" s="43" t="s">
        <v>51</v>
      </c>
      <c r="L20" s="43" t="s">
        <v>8</v>
      </c>
      <c r="M20" s="9" t="str">
        <f t="shared" si="3"/>
        <v>01</v>
      </c>
      <c r="N20" s="8" t="s">
        <v>71</v>
      </c>
      <c r="O20" s="8"/>
      <c r="P20" s="8"/>
      <c r="Q20" s="8"/>
      <c r="R20" s="43" t="s">
        <v>52</v>
      </c>
      <c r="S20" s="10"/>
    </row>
    <row r="21" ht="13.5" customHeight="1">
      <c r="A21" s="45">
        <v>12.0</v>
      </c>
      <c r="B21" s="46" t="s">
        <v>72</v>
      </c>
      <c r="C21" s="46" t="s">
        <v>6</v>
      </c>
      <c r="D21" s="47" t="str">
        <f t="shared" si="1"/>
        <v>I</v>
      </c>
      <c r="E21" s="48" t="str">
        <f t="shared" si="2"/>
        <v>FA012/I/01</v>
      </c>
      <c r="F21" s="48" t="s">
        <v>73</v>
      </c>
      <c r="G21" s="49">
        <v>42522.0</v>
      </c>
      <c r="H21" s="50">
        <v>1500000.0</v>
      </c>
      <c r="I21" s="51"/>
      <c r="J21" s="52"/>
      <c r="K21" s="52"/>
      <c r="L21" s="53" t="s">
        <v>8</v>
      </c>
      <c r="M21" s="15" t="str">
        <f t="shared" si="3"/>
        <v>01</v>
      </c>
      <c r="N21" s="52"/>
      <c r="O21" s="52"/>
      <c r="P21" s="52"/>
      <c r="Q21" s="52"/>
      <c r="R21" s="53" t="s">
        <v>10</v>
      </c>
      <c r="S21" s="54"/>
    </row>
    <row r="22" ht="13.5" customHeight="1">
      <c r="A22" s="27">
        <v>13.0</v>
      </c>
      <c r="B22" s="28" t="s">
        <v>74</v>
      </c>
      <c r="C22" s="28" t="s">
        <v>6</v>
      </c>
      <c r="D22" s="29" t="str">
        <f t="shared" si="1"/>
        <v>I</v>
      </c>
      <c r="E22" s="30" t="str">
        <f t="shared" si="2"/>
        <v>FA013/I/01</v>
      </c>
      <c r="F22" s="30" t="s">
        <v>75</v>
      </c>
      <c r="G22" s="31">
        <v>42566.0</v>
      </c>
      <c r="H22" s="32">
        <v>660000.0</v>
      </c>
      <c r="I22" s="33"/>
      <c r="J22" s="34"/>
      <c r="K22" s="34"/>
      <c r="L22" s="35" t="s">
        <v>8</v>
      </c>
      <c r="M22" s="11" t="str">
        <f t="shared" si="3"/>
        <v>01</v>
      </c>
      <c r="N22" s="34"/>
      <c r="O22" s="34"/>
      <c r="P22" s="34"/>
      <c r="Q22" s="34"/>
      <c r="R22" s="34" t="s">
        <v>5</v>
      </c>
      <c r="S22" s="36"/>
    </row>
    <row r="23" ht="13.5" customHeight="1">
      <c r="A23" s="27">
        <v>14.0</v>
      </c>
      <c r="B23" s="28" t="s">
        <v>76</v>
      </c>
      <c r="C23" s="28" t="s">
        <v>11</v>
      </c>
      <c r="D23" s="29" t="str">
        <f t="shared" si="1"/>
        <v>II</v>
      </c>
      <c r="E23" s="30" t="str">
        <f t="shared" si="2"/>
        <v>FA014/II/01</v>
      </c>
      <c r="F23" s="30" t="s">
        <v>77</v>
      </c>
      <c r="G23" s="31">
        <v>42466.0</v>
      </c>
      <c r="H23" s="32">
        <v>900000.0</v>
      </c>
      <c r="I23" s="33"/>
      <c r="J23" s="34"/>
      <c r="K23" s="34"/>
      <c r="L23" s="35" t="s">
        <v>8</v>
      </c>
      <c r="M23" s="11" t="str">
        <f t="shared" si="3"/>
        <v>01</v>
      </c>
      <c r="N23" s="34"/>
      <c r="O23" s="34"/>
      <c r="P23" s="34"/>
      <c r="Q23" s="34"/>
      <c r="R23" s="34" t="s">
        <v>5</v>
      </c>
      <c r="S23" s="36"/>
    </row>
    <row r="24" ht="13.5" customHeight="1">
      <c r="A24" s="37">
        <v>15.0</v>
      </c>
      <c r="B24" s="38" t="s">
        <v>78</v>
      </c>
      <c r="C24" s="38" t="s">
        <v>11</v>
      </c>
      <c r="D24" s="39" t="str">
        <f t="shared" si="1"/>
        <v>II</v>
      </c>
      <c r="E24" s="40" t="str">
        <f t="shared" si="2"/>
        <v>FA015/II/01</v>
      </c>
      <c r="F24" s="8" t="s">
        <v>79</v>
      </c>
      <c r="G24" s="41">
        <v>42461.0</v>
      </c>
      <c r="H24" s="44">
        <v>750000.0</v>
      </c>
      <c r="I24" s="44"/>
      <c r="J24" s="43" t="s">
        <v>80</v>
      </c>
      <c r="K24" s="43" t="s">
        <v>81</v>
      </c>
      <c r="L24" s="43" t="s">
        <v>8</v>
      </c>
      <c r="M24" s="9" t="str">
        <f t="shared" si="3"/>
        <v>01</v>
      </c>
      <c r="N24" s="8"/>
      <c r="O24" s="8"/>
      <c r="P24" s="8"/>
      <c r="Q24" s="8"/>
      <c r="R24" s="43" t="s">
        <v>52</v>
      </c>
      <c r="S24" s="10"/>
    </row>
    <row r="25" ht="13.5" customHeight="1">
      <c r="A25" s="55">
        <v>16.0</v>
      </c>
      <c r="B25" s="56" t="s">
        <v>82</v>
      </c>
      <c r="C25" s="56" t="s">
        <v>16</v>
      </c>
      <c r="D25" s="57" t="str">
        <f t="shared" si="1"/>
        <v>III</v>
      </c>
      <c r="E25" s="58" t="str">
        <f t="shared" si="2"/>
        <v>FA016/III/01</v>
      </c>
      <c r="F25" s="56" t="s">
        <v>83</v>
      </c>
      <c r="G25" s="59">
        <v>42736.0</v>
      </c>
      <c r="H25" s="60">
        <v>2.1E7</v>
      </c>
      <c r="I25" s="61"/>
      <c r="J25" s="62" t="s">
        <v>50</v>
      </c>
      <c r="K25" s="63" t="s">
        <v>51</v>
      </c>
      <c r="L25" s="62" t="s">
        <v>8</v>
      </c>
      <c r="M25" s="64" t="str">
        <f t="shared" si="3"/>
        <v>01</v>
      </c>
      <c r="N25" s="62" t="s">
        <v>84</v>
      </c>
      <c r="O25" s="63"/>
      <c r="P25" s="63"/>
      <c r="Q25" s="63"/>
      <c r="R25" s="62" t="s">
        <v>52</v>
      </c>
      <c r="S25" s="65"/>
    </row>
    <row r="26" ht="13.5" customHeight="1">
      <c r="A26" s="27">
        <v>17.0</v>
      </c>
      <c r="B26" s="28" t="s">
        <v>85</v>
      </c>
      <c r="C26" s="28" t="s">
        <v>6</v>
      </c>
      <c r="D26" s="29" t="str">
        <f t="shared" si="1"/>
        <v>I</v>
      </c>
      <c r="E26" s="30" t="str">
        <f t="shared" si="2"/>
        <v>FA017/I/01</v>
      </c>
      <c r="F26" s="30" t="s">
        <v>86</v>
      </c>
      <c r="G26" s="31">
        <v>42736.0</v>
      </c>
      <c r="H26" s="32">
        <v>3.7505E7</v>
      </c>
      <c r="I26" s="33"/>
      <c r="J26" s="34"/>
      <c r="K26" s="34" t="s">
        <v>51</v>
      </c>
      <c r="L26" s="35" t="s">
        <v>8</v>
      </c>
      <c r="M26" s="11" t="str">
        <f t="shared" si="3"/>
        <v>01</v>
      </c>
      <c r="N26" s="34" t="s">
        <v>43</v>
      </c>
      <c r="O26" s="34"/>
      <c r="P26" s="34"/>
      <c r="Q26" s="34"/>
      <c r="R26" s="34" t="s">
        <v>5</v>
      </c>
      <c r="S26" s="36"/>
    </row>
    <row r="27" ht="13.5" customHeight="1">
      <c r="A27" s="37">
        <v>18.0</v>
      </c>
      <c r="B27" s="38" t="s">
        <v>87</v>
      </c>
      <c r="C27" s="38" t="s">
        <v>16</v>
      </c>
      <c r="D27" s="39" t="str">
        <f t="shared" si="1"/>
        <v>III</v>
      </c>
      <c r="E27" s="40" t="str">
        <f t="shared" si="2"/>
        <v>FA018/III/01</v>
      </c>
      <c r="F27" s="40" t="s">
        <v>88</v>
      </c>
      <c r="G27" s="41">
        <v>42979.0</v>
      </c>
      <c r="H27" s="44">
        <v>1.305E7</v>
      </c>
      <c r="I27" s="44"/>
      <c r="J27" s="43"/>
      <c r="K27" s="43" t="s">
        <v>51</v>
      </c>
      <c r="L27" s="43" t="s">
        <v>8</v>
      </c>
      <c r="M27" s="9" t="str">
        <f t="shared" si="3"/>
        <v>01</v>
      </c>
      <c r="N27" s="8" t="s">
        <v>84</v>
      </c>
      <c r="O27" s="8"/>
      <c r="P27" s="8"/>
      <c r="Q27" s="8"/>
      <c r="R27" s="43" t="s">
        <v>52</v>
      </c>
      <c r="S27" s="10"/>
    </row>
    <row r="28" ht="13.5" customHeight="1">
      <c r="A28" s="66">
        <v>19.0</v>
      </c>
      <c r="B28" s="67" t="s">
        <v>89</v>
      </c>
      <c r="C28" s="67" t="s">
        <v>24</v>
      </c>
      <c r="D28" s="68" t="str">
        <f t="shared" si="1"/>
        <v>V</v>
      </c>
      <c r="E28" s="69" t="str">
        <f t="shared" si="2"/>
        <v>FA019/V/02</v>
      </c>
      <c r="F28" s="69" t="s">
        <v>90</v>
      </c>
      <c r="G28" s="70">
        <v>42979.0</v>
      </c>
      <c r="H28" s="71">
        <v>3275000.0</v>
      </c>
      <c r="I28" s="71"/>
      <c r="J28" s="72"/>
      <c r="K28" s="72"/>
      <c r="L28" s="73" t="s">
        <v>13</v>
      </c>
      <c r="M28" s="17" t="str">
        <f t="shared" si="3"/>
        <v>02</v>
      </c>
      <c r="N28" s="72"/>
      <c r="O28" s="72"/>
      <c r="P28" s="72"/>
      <c r="Q28" s="72"/>
      <c r="R28" s="72"/>
      <c r="S28" s="74"/>
    </row>
    <row r="29" ht="13.5" customHeight="1">
      <c r="A29" s="27">
        <v>20.0</v>
      </c>
      <c r="B29" s="28" t="s">
        <v>91</v>
      </c>
      <c r="C29" s="28" t="s">
        <v>6</v>
      </c>
      <c r="D29" s="29" t="str">
        <f t="shared" si="1"/>
        <v>I</v>
      </c>
      <c r="E29" s="30" t="str">
        <f t="shared" si="2"/>
        <v>FA020/I/02</v>
      </c>
      <c r="F29" s="30" t="s">
        <v>92</v>
      </c>
      <c r="G29" s="31">
        <v>43049.0</v>
      </c>
      <c r="H29" s="32">
        <v>3000000.0</v>
      </c>
      <c r="I29" s="33"/>
      <c r="J29" s="34"/>
      <c r="K29" s="34"/>
      <c r="L29" s="35" t="s">
        <v>13</v>
      </c>
      <c r="M29" s="11" t="str">
        <f t="shared" si="3"/>
        <v>02</v>
      </c>
      <c r="N29" s="34" t="s">
        <v>93</v>
      </c>
      <c r="O29" s="34"/>
      <c r="P29" s="34"/>
      <c r="Q29" s="34"/>
      <c r="R29" s="34" t="s">
        <v>5</v>
      </c>
      <c r="S29" s="36"/>
    </row>
    <row r="30" ht="21.75" customHeight="1">
      <c r="A30" s="37">
        <v>21.0</v>
      </c>
      <c r="B30" s="38" t="s">
        <v>94</v>
      </c>
      <c r="C30" s="38" t="s">
        <v>11</v>
      </c>
      <c r="D30" s="39" t="str">
        <f t="shared" si="1"/>
        <v>II</v>
      </c>
      <c r="E30" s="40" t="str">
        <f t="shared" si="2"/>
        <v>FA021/II/01</v>
      </c>
      <c r="F30" s="8" t="s">
        <v>79</v>
      </c>
      <c r="G30" s="41">
        <v>43132.0</v>
      </c>
      <c r="H30" s="42">
        <v>1400000.0</v>
      </c>
      <c r="I30" s="42"/>
      <c r="J30" s="43"/>
      <c r="K30" s="43" t="s">
        <v>95</v>
      </c>
      <c r="L30" s="43" t="s">
        <v>8</v>
      </c>
      <c r="M30" s="9" t="str">
        <f t="shared" si="3"/>
        <v>01</v>
      </c>
      <c r="N30" s="8"/>
      <c r="O30" s="8"/>
      <c r="P30" s="8"/>
      <c r="Q30" s="8"/>
      <c r="R30" s="43" t="s">
        <v>52</v>
      </c>
      <c r="S30" s="10"/>
    </row>
    <row r="31" ht="13.5" customHeight="1">
      <c r="A31" s="37">
        <v>22.0</v>
      </c>
      <c r="B31" s="38" t="s">
        <v>96</v>
      </c>
      <c r="C31" s="38" t="s">
        <v>16</v>
      </c>
      <c r="D31" s="39" t="str">
        <f t="shared" si="1"/>
        <v>III</v>
      </c>
      <c r="E31" s="40" t="str">
        <f t="shared" si="2"/>
        <v>FA022/III/01</v>
      </c>
      <c r="F31" s="40" t="s">
        <v>45</v>
      </c>
      <c r="G31" s="41">
        <v>43132.0</v>
      </c>
      <c r="H31" s="44">
        <v>1.45488E7</v>
      </c>
      <c r="I31" s="44"/>
      <c r="J31" s="8" t="s">
        <v>97</v>
      </c>
      <c r="K31" s="8" t="s">
        <v>51</v>
      </c>
      <c r="L31" s="43" t="s">
        <v>8</v>
      </c>
      <c r="M31" s="9" t="str">
        <f t="shared" si="3"/>
        <v>01</v>
      </c>
      <c r="N31" s="8"/>
      <c r="O31" s="8"/>
      <c r="P31" s="8"/>
      <c r="Q31" s="8"/>
      <c r="R31" s="43" t="s">
        <v>52</v>
      </c>
      <c r="S31" s="10"/>
    </row>
    <row r="32" ht="13.5" customHeight="1">
      <c r="A32" s="55">
        <v>23.0</v>
      </c>
      <c r="B32" s="56" t="s">
        <v>98</v>
      </c>
      <c r="C32" s="56" t="s">
        <v>6</v>
      </c>
      <c r="D32" s="57" t="str">
        <f t="shared" si="1"/>
        <v>I</v>
      </c>
      <c r="E32" s="58" t="str">
        <f t="shared" si="2"/>
        <v>FA023/I/01</v>
      </c>
      <c r="F32" s="56" t="s">
        <v>99</v>
      </c>
      <c r="G32" s="59">
        <v>43160.0</v>
      </c>
      <c r="H32" s="60">
        <v>3.12E7</v>
      </c>
      <c r="I32" s="61"/>
      <c r="J32" s="62" t="s">
        <v>100</v>
      </c>
      <c r="K32" s="62" t="s">
        <v>51</v>
      </c>
      <c r="L32" s="62" t="s">
        <v>8</v>
      </c>
      <c r="M32" s="64" t="str">
        <f t="shared" si="3"/>
        <v>01</v>
      </c>
      <c r="N32" s="63" t="s">
        <v>84</v>
      </c>
      <c r="O32" s="63"/>
      <c r="P32" s="63"/>
      <c r="Q32" s="63"/>
      <c r="R32" s="62" t="s">
        <v>52</v>
      </c>
      <c r="S32" s="65"/>
    </row>
    <row r="33" ht="13.5" customHeight="1">
      <c r="A33" s="27">
        <v>24.0</v>
      </c>
      <c r="B33" s="28" t="s">
        <v>101</v>
      </c>
      <c r="C33" s="28" t="s">
        <v>16</v>
      </c>
      <c r="D33" s="29" t="str">
        <f t="shared" si="1"/>
        <v>III</v>
      </c>
      <c r="E33" s="30" t="str">
        <f t="shared" si="2"/>
        <v>FA024/III/01</v>
      </c>
      <c r="F33" s="30" t="s">
        <v>102</v>
      </c>
      <c r="G33" s="31">
        <v>43160.0</v>
      </c>
      <c r="H33" s="32">
        <v>1.0999E7</v>
      </c>
      <c r="I33" s="33"/>
      <c r="J33" s="34"/>
      <c r="K33" s="34"/>
      <c r="L33" s="35" t="s">
        <v>8</v>
      </c>
      <c r="M33" s="11" t="str">
        <f t="shared" si="3"/>
        <v>01</v>
      </c>
      <c r="N33" s="34" t="s">
        <v>103</v>
      </c>
      <c r="O33" s="34"/>
      <c r="P33" s="34"/>
      <c r="Q33" s="34"/>
      <c r="R33" s="34" t="s">
        <v>5</v>
      </c>
      <c r="S33" s="36"/>
    </row>
    <row r="34" ht="13.5" customHeight="1">
      <c r="A34" s="27">
        <v>25.0</v>
      </c>
      <c r="B34" s="28" t="s">
        <v>104</v>
      </c>
      <c r="C34" s="28" t="s">
        <v>6</v>
      </c>
      <c r="D34" s="29" t="str">
        <f t="shared" si="1"/>
        <v>I</v>
      </c>
      <c r="E34" s="30" t="str">
        <f t="shared" si="2"/>
        <v>FA025/I/02</v>
      </c>
      <c r="F34" s="30" t="s">
        <v>92</v>
      </c>
      <c r="G34" s="31">
        <v>43221.0</v>
      </c>
      <c r="H34" s="32">
        <v>3000000.0</v>
      </c>
      <c r="I34" s="33"/>
      <c r="J34" s="34"/>
      <c r="K34" s="34"/>
      <c r="L34" s="35" t="s">
        <v>13</v>
      </c>
      <c r="M34" s="11" t="str">
        <f t="shared" si="3"/>
        <v>02</v>
      </c>
      <c r="N34" s="34" t="s">
        <v>93</v>
      </c>
      <c r="O34" s="34"/>
      <c r="P34" s="34"/>
      <c r="Q34" s="34"/>
      <c r="R34" s="34" t="s">
        <v>5</v>
      </c>
      <c r="S34" s="36"/>
    </row>
    <row r="35" ht="13.5" customHeight="1">
      <c r="A35" s="55">
        <v>26.0</v>
      </c>
      <c r="B35" s="56" t="s">
        <v>105</v>
      </c>
      <c r="C35" s="56" t="s">
        <v>16</v>
      </c>
      <c r="D35" s="57" t="str">
        <f t="shared" si="1"/>
        <v>III</v>
      </c>
      <c r="E35" s="58" t="str">
        <f t="shared" si="2"/>
        <v>FA026/III/01</v>
      </c>
      <c r="F35" s="58" t="s">
        <v>106</v>
      </c>
      <c r="G35" s="59">
        <v>43221.0</v>
      </c>
      <c r="H35" s="60">
        <v>4920000.0</v>
      </c>
      <c r="I35" s="60"/>
      <c r="J35" s="62" t="s">
        <v>107</v>
      </c>
      <c r="K35" s="62" t="s">
        <v>108</v>
      </c>
      <c r="L35" s="62" t="s">
        <v>8</v>
      </c>
      <c r="M35" s="64" t="str">
        <f t="shared" si="3"/>
        <v>01</v>
      </c>
      <c r="N35" s="63"/>
      <c r="O35" s="63"/>
      <c r="P35" s="63"/>
      <c r="Q35" s="63"/>
      <c r="R35" s="62" t="s">
        <v>52</v>
      </c>
      <c r="S35" s="65"/>
    </row>
    <row r="36" ht="13.5" customHeight="1">
      <c r="A36" s="75">
        <v>26.0</v>
      </c>
      <c r="B36" s="56" t="s">
        <v>109</v>
      </c>
      <c r="C36" s="56" t="s">
        <v>16</v>
      </c>
      <c r="D36" s="57" t="str">
        <f t="shared" si="1"/>
        <v>III</v>
      </c>
      <c r="E36" s="58" t="str">
        <f t="shared" si="2"/>
        <v>FA026.1/III/01</v>
      </c>
      <c r="F36" s="58" t="s">
        <v>106</v>
      </c>
      <c r="G36" s="59">
        <v>43221.0</v>
      </c>
      <c r="H36" s="60">
        <v>4920000.0</v>
      </c>
      <c r="I36" s="60"/>
      <c r="J36" s="62" t="s">
        <v>110</v>
      </c>
      <c r="K36" s="62" t="s">
        <v>51</v>
      </c>
      <c r="L36" s="62" t="s">
        <v>8</v>
      </c>
      <c r="M36" s="64" t="str">
        <f t="shared" si="3"/>
        <v>01</v>
      </c>
      <c r="N36" s="63"/>
      <c r="O36" s="63"/>
      <c r="P36" s="63"/>
      <c r="Q36" s="63"/>
      <c r="R36" s="62" t="s">
        <v>52</v>
      </c>
      <c r="S36" s="65"/>
    </row>
    <row r="37" ht="13.5" customHeight="1">
      <c r="A37" s="75">
        <v>26.0</v>
      </c>
      <c r="B37" s="56" t="s">
        <v>111</v>
      </c>
      <c r="C37" s="56" t="s">
        <v>16</v>
      </c>
      <c r="D37" s="57" t="str">
        <f t="shared" si="1"/>
        <v>III</v>
      </c>
      <c r="E37" s="58" t="str">
        <f t="shared" si="2"/>
        <v>FA026.2/III/01</v>
      </c>
      <c r="F37" s="58" t="s">
        <v>106</v>
      </c>
      <c r="G37" s="59">
        <v>43221.0</v>
      </c>
      <c r="H37" s="60">
        <v>4920000.0</v>
      </c>
      <c r="I37" s="60"/>
      <c r="J37" s="62" t="s">
        <v>112</v>
      </c>
      <c r="K37" s="62" t="s">
        <v>95</v>
      </c>
      <c r="L37" s="62" t="s">
        <v>8</v>
      </c>
      <c r="M37" s="64" t="str">
        <f t="shared" si="3"/>
        <v>01</v>
      </c>
      <c r="N37" s="63"/>
      <c r="O37" s="63"/>
      <c r="P37" s="63"/>
      <c r="Q37" s="63"/>
      <c r="R37" s="62" t="s">
        <v>52</v>
      </c>
      <c r="S37" s="65"/>
    </row>
    <row r="38" ht="13.5" customHeight="1">
      <c r="A38" s="37">
        <v>27.0</v>
      </c>
      <c r="B38" s="38" t="s">
        <v>113</v>
      </c>
      <c r="C38" s="38" t="s">
        <v>6</v>
      </c>
      <c r="D38" s="39" t="str">
        <f t="shared" si="1"/>
        <v>I</v>
      </c>
      <c r="E38" s="40" t="str">
        <f t="shared" si="2"/>
        <v>FA027/I/01</v>
      </c>
      <c r="F38" s="38" t="s">
        <v>114</v>
      </c>
      <c r="G38" s="41">
        <v>43256.0</v>
      </c>
      <c r="H38" s="44">
        <v>9500032.0</v>
      </c>
      <c r="I38" s="44"/>
      <c r="J38" s="43" t="s">
        <v>115</v>
      </c>
      <c r="K38" s="43" t="s">
        <v>116</v>
      </c>
      <c r="L38" s="8" t="s">
        <v>8</v>
      </c>
      <c r="M38" s="9" t="str">
        <f t="shared" si="3"/>
        <v>01</v>
      </c>
      <c r="N38" s="43" t="s">
        <v>117</v>
      </c>
      <c r="O38" s="8"/>
      <c r="P38" s="8"/>
      <c r="Q38" s="8"/>
      <c r="R38" s="43" t="s">
        <v>52</v>
      </c>
      <c r="S38" s="10"/>
    </row>
    <row r="39" ht="13.5" customHeight="1">
      <c r="A39" s="37">
        <v>28.0</v>
      </c>
      <c r="B39" s="38" t="s">
        <v>118</v>
      </c>
      <c r="C39" s="38" t="s">
        <v>16</v>
      </c>
      <c r="D39" s="39" t="str">
        <f t="shared" si="1"/>
        <v>III</v>
      </c>
      <c r="E39" s="40" t="str">
        <f t="shared" si="2"/>
        <v>FA028/III/01</v>
      </c>
      <c r="F39" s="8" t="s">
        <v>119</v>
      </c>
      <c r="G39" s="41">
        <v>43287.0</v>
      </c>
      <c r="H39" s="44">
        <v>3900000.0</v>
      </c>
      <c r="I39" s="44"/>
      <c r="J39" s="43" t="s">
        <v>120</v>
      </c>
      <c r="K39" s="43" t="s">
        <v>95</v>
      </c>
      <c r="L39" s="43" t="s">
        <v>8</v>
      </c>
      <c r="M39" s="9" t="str">
        <f t="shared" si="3"/>
        <v>01</v>
      </c>
      <c r="N39" s="8" t="s">
        <v>121</v>
      </c>
      <c r="O39" s="8"/>
      <c r="P39" s="8"/>
      <c r="Q39" s="43" t="s">
        <v>122</v>
      </c>
      <c r="R39" s="43" t="s">
        <v>52</v>
      </c>
      <c r="S39" s="10"/>
    </row>
    <row r="40" ht="13.5" customHeight="1">
      <c r="A40" s="66">
        <v>29.0</v>
      </c>
      <c r="B40" s="67" t="s">
        <v>123</v>
      </c>
      <c r="C40" s="67" t="s">
        <v>24</v>
      </c>
      <c r="D40" s="68" t="str">
        <f t="shared" si="1"/>
        <v>V</v>
      </c>
      <c r="E40" s="69" t="str">
        <f t="shared" si="2"/>
        <v>FA029/V/02</v>
      </c>
      <c r="F40" s="69" t="s">
        <v>124</v>
      </c>
      <c r="G40" s="70">
        <v>43314.0</v>
      </c>
      <c r="H40" s="71">
        <v>2953007.0</v>
      </c>
      <c r="I40" s="71"/>
      <c r="J40" s="72"/>
      <c r="K40" s="72"/>
      <c r="L40" s="73" t="s">
        <v>13</v>
      </c>
      <c r="M40" s="17" t="str">
        <f t="shared" si="3"/>
        <v>02</v>
      </c>
      <c r="N40" s="72"/>
      <c r="O40" s="72"/>
      <c r="P40" s="72"/>
      <c r="Q40" s="72"/>
      <c r="R40" s="72"/>
      <c r="S40" s="74"/>
    </row>
    <row r="41" ht="13.5" customHeight="1">
      <c r="A41" s="27">
        <v>30.0</v>
      </c>
      <c r="B41" s="28" t="s">
        <v>125</v>
      </c>
      <c r="C41" s="28" t="s">
        <v>6</v>
      </c>
      <c r="D41" s="29" t="str">
        <f t="shared" si="1"/>
        <v>I</v>
      </c>
      <c r="E41" s="30" t="str">
        <f t="shared" si="2"/>
        <v>FA030/I/01</v>
      </c>
      <c r="F41" s="30" t="s">
        <v>126</v>
      </c>
      <c r="G41" s="31">
        <v>43313.0</v>
      </c>
      <c r="H41" s="32">
        <v>1320000.0</v>
      </c>
      <c r="I41" s="33"/>
      <c r="J41" s="34"/>
      <c r="K41" s="35" t="s">
        <v>51</v>
      </c>
      <c r="L41" s="35" t="s">
        <v>8</v>
      </c>
      <c r="M41" s="11" t="str">
        <f t="shared" si="3"/>
        <v>01</v>
      </c>
      <c r="N41" s="34" t="s">
        <v>127</v>
      </c>
      <c r="O41" s="34"/>
      <c r="P41" s="34"/>
      <c r="Q41" s="34"/>
      <c r="R41" s="34" t="s">
        <v>5</v>
      </c>
      <c r="S41" s="36"/>
    </row>
    <row r="42" ht="13.5" customHeight="1">
      <c r="A42" s="76">
        <v>31.0</v>
      </c>
      <c r="B42" s="77" t="s">
        <v>128</v>
      </c>
      <c r="C42" s="77" t="s">
        <v>24</v>
      </c>
      <c r="D42" s="78" t="str">
        <f t="shared" si="1"/>
        <v>V</v>
      </c>
      <c r="E42" s="79" t="str">
        <f t="shared" si="2"/>
        <v>FA031/V/01</v>
      </c>
      <c r="F42" s="79" t="s">
        <v>129</v>
      </c>
      <c r="G42" s="80">
        <v>43378.0</v>
      </c>
      <c r="H42" s="44">
        <v>8190000.0</v>
      </c>
      <c r="I42" s="44"/>
      <c r="J42" s="81" t="s">
        <v>100</v>
      </c>
      <c r="K42" s="81" t="s">
        <v>51</v>
      </c>
      <c r="L42" s="81" t="s">
        <v>8</v>
      </c>
      <c r="M42" s="82" t="str">
        <f t="shared" si="3"/>
        <v>01</v>
      </c>
      <c r="N42" s="83" t="s">
        <v>130</v>
      </c>
      <c r="O42" s="83"/>
      <c r="P42" s="83"/>
      <c r="Q42" s="83"/>
      <c r="R42" s="81" t="s">
        <v>52</v>
      </c>
      <c r="S42" s="84"/>
    </row>
    <row r="43" ht="13.5" customHeight="1">
      <c r="A43" s="27">
        <v>32.0</v>
      </c>
      <c r="B43" s="28" t="s">
        <v>131</v>
      </c>
      <c r="C43" s="28" t="s">
        <v>6</v>
      </c>
      <c r="D43" s="29" t="str">
        <f t="shared" si="1"/>
        <v>I</v>
      </c>
      <c r="E43" s="30" t="str">
        <f t="shared" si="2"/>
        <v>FA032/I/01</v>
      </c>
      <c r="F43" s="30" t="s">
        <v>132</v>
      </c>
      <c r="G43" s="31">
        <v>43383.0</v>
      </c>
      <c r="H43" s="32">
        <v>898900.0</v>
      </c>
      <c r="I43" s="33"/>
      <c r="J43" s="34"/>
      <c r="K43" s="34"/>
      <c r="L43" s="34" t="s">
        <v>8</v>
      </c>
      <c r="M43" s="11" t="str">
        <f t="shared" si="3"/>
        <v>01</v>
      </c>
      <c r="N43" s="34"/>
      <c r="O43" s="34"/>
      <c r="P43" s="34"/>
      <c r="Q43" s="34"/>
      <c r="R43" s="34" t="s">
        <v>5</v>
      </c>
      <c r="S43" s="36"/>
    </row>
    <row r="44" ht="13.5" customHeight="1">
      <c r="A44" s="27">
        <v>33.0</v>
      </c>
      <c r="B44" s="28" t="s">
        <v>133</v>
      </c>
      <c r="C44" s="28" t="s">
        <v>6</v>
      </c>
      <c r="D44" s="29" t="str">
        <f t="shared" si="1"/>
        <v>I</v>
      </c>
      <c r="E44" s="30" t="str">
        <f t="shared" si="2"/>
        <v>FA033/I/01</v>
      </c>
      <c r="F44" s="30" t="s">
        <v>134</v>
      </c>
      <c r="G44" s="31">
        <v>43557.0</v>
      </c>
      <c r="H44" s="85">
        <v>1200000.0</v>
      </c>
      <c r="I44" s="33"/>
      <c r="J44" s="34"/>
      <c r="K44" s="34"/>
      <c r="L44" s="34" t="s">
        <v>8</v>
      </c>
      <c r="M44" s="11" t="str">
        <f t="shared" si="3"/>
        <v>01</v>
      </c>
      <c r="N44" s="34" t="s">
        <v>135</v>
      </c>
      <c r="O44" s="34"/>
      <c r="P44" s="34"/>
      <c r="Q44" s="34"/>
      <c r="R44" s="34" t="s">
        <v>5</v>
      </c>
      <c r="S44" s="36"/>
    </row>
    <row r="45" ht="13.5" customHeight="1">
      <c r="A45" s="55">
        <v>34.0</v>
      </c>
      <c r="B45" s="56" t="s">
        <v>136</v>
      </c>
      <c r="C45" s="56" t="s">
        <v>16</v>
      </c>
      <c r="D45" s="57" t="str">
        <f t="shared" si="1"/>
        <v>III</v>
      </c>
      <c r="E45" s="58" t="str">
        <f t="shared" si="2"/>
        <v>FA034/III/02</v>
      </c>
      <c r="F45" s="58" t="s">
        <v>137</v>
      </c>
      <c r="G45" s="59">
        <v>43563.0</v>
      </c>
      <c r="H45" s="60">
        <v>4116265.0</v>
      </c>
      <c r="I45" s="60"/>
      <c r="J45" s="62" t="s">
        <v>138</v>
      </c>
      <c r="K45" s="62" t="s">
        <v>47</v>
      </c>
      <c r="L45" s="62" t="s">
        <v>13</v>
      </c>
      <c r="M45" s="64" t="str">
        <f t="shared" si="3"/>
        <v>02</v>
      </c>
      <c r="N45" s="63" t="s">
        <v>84</v>
      </c>
      <c r="O45" s="63"/>
      <c r="P45" s="63"/>
      <c r="Q45" s="63"/>
      <c r="R45" s="62" t="s">
        <v>52</v>
      </c>
      <c r="S45" s="65"/>
    </row>
    <row r="46" ht="13.5" customHeight="1">
      <c r="A46" s="37">
        <v>35.0</v>
      </c>
      <c r="B46" s="38" t="s">
        <v>139</v>
      </c>
      <c r="C46" s="38" t="s">
        <v>6</v>
      </c>
      <c r="D46" s="39" t="str">
        <f t="shared" si="1"/>
        <v>I</v>
      </c>
      <c r="E46" s="40" t="str">
        <f t="shared" si="2"/>
        <v>FA035/I/02</v>
      </c>
      <c r="F46" s="40" t="s">
        <v>140</v>
      </c>
      <c r="G46" s="41">
        <v>43679.0</v>
      </c>
      <c r="H46" s="44">
        <v>2799000.0</v>
      </c>
      <c r="I46" s="44"/>
      <c r="J46" s="43" t="s">
        <v>138</v>
      </c>
      <c r="K46" s="43" t="s">
        <v>95</v>
      </c>
      <c r="L46" s="43" t="s">
        <v>13</v>
      </c>
      <c r="M46" s="9" t="str">
        <f t="shared" si="3"/>
        <v>02</v>
      </c>
      <c r="N46" s="8" t="s">
        <v>141</v>
      </c>
      <c r="O46" s="8"/>
      <c r="P46" s="8"/>
      <c r="Q46" s="8"/>
      <c r="R46" s="43" t="s">
        <v>52</v>
      </c>
      <c r="S46" s="10"/>
    </row>
    <row r="47" ht="13.5" customHeight="1">
      <c r="A47" s="37">
        <v>36.0</v>
      </c>
      <c r="B47" s="38" t="s">
        <v>142</v>
      </c>
      <c r="C47" s="38" t="s">
        <v>6</v>
      </c>
      <c r="D47" s="39" t="str">
        <f t="shared" si="1"/>
        <v>I</v>
      </c>
      <c r="E47" s="40" t="str">
        <f t="shared" si="2"/>
        <v>FA036.1/I/02</v>
      </c>
      <c r="F47" s="40" t="s">
        <v>143</v>
      </c>
      <c r="G47" s="41">
        <v>43679.0</v>
      </c>
      <c r="H47" s="44">
        <v>3049000.0</v>
      </c>
      <c r="I47" s="44"/>
      <c r="J47" s="43" t="s">
        <v>138</v>
      </c>
      <c r="K47" s="43" t="s">
        <v>95</v>
      </c>
      <c r="L47" s="43" t="s">
        <v>13</v>
      </c>
      <c r="M47" s="9" t="str">
        <f t="shared" si="3"/>
        <v>02</v>
      </c>
      <c r="N47" s="8" t="s">
        <v>141</v>
      </c>
      <c r="O47" s="8"/>
      <c r="P47" s="8"/>
      <c r="Q47" s="8"/>
      <c r="R47" s="43" t="s">
        <v>52</v>
      </c>
      <c r="S47" s="10"/>
    </row>
    <row r="48" ht="13.5" customHeight="1">
      <c r="A48" s="37">
        <v>37.0</v>
      </c>
      <c r="B48" s="38" t="s">
        <v>144</v>
      </c>
      <c r="C48" s="38" t="s">
        <v>6</v>
      </c>
      <c r="D48" s="39" t="str">
        <f t="shared" si="1"/>
        <v>I</v>
      </c>
      <c r="E48" s="40" t="str">
        <f t="shared" si="2"/>
        <v>FA036.2/I/02</v>
      </c>
      <c r="F48" s="40" t="s">
        <v>143</v>
      </c>
      <c r="G48" s="41">
        <v>43679.0</v>
      </c>
      <c r="H48" s="44">
        <v>3049000.0</v>
      </c>
      <c r="I48" s="44"/>
      <c r="J48" s="43" t="s">
        <v>138</v>
      </c>
      <c r="K48" s="43" t="s">
        <v>95</v>
      </c>
      <c r="L48" s="43" t="s">
        <v>13</v>
      </c>
      <c r="M48" s="9" t="str">
        <f t="shared" si="3"/>
        <v>02</v>
      </c>
      <c r="N48" s="8" t="s">
        <v>141</v>
      </c>
      <c r="O48" s="8"/>
      <c r="P48" s="8"/>
      <c r="Q48" s="8"/>
      <c r="R48" s="43" t="s">
        <v>52</v>
      </c>
      <c r="S48" s="10"/>
    </row>
    <row r="49" ht="13.5" customHeight="1">
      <c r="A49" s="37">
        <v>38.0</v>
      </c>
      <c r="B49" s="38" t="s">
        <v>145</v>
      </c>
      <c r="C49" s="38" t="s">
        <v>6</v>
      </c>
      <c r="D49" s="39" t="str">
        <f t="shared" si="1"/>
        <v>I</v>
      </c>
      <c r="E49" s="40" t="str">
        <f t="shared" si="2"/>
        <v>FA036.3/I/03</v>
      </c>
      <c r="F49" s="40" t="s">
        <v>143</v>
      </c>
      <c r="G49" s="41">
        <v>43679.0</v>
      </c>
      <c r="H49" s="44">
        <v>3049000.0</v>
      </c>
      <c r="I49" s="44"/>
      <c r="J49" s="43" t="s">
        <v>138</v>
      </c>
      <c r="K49" s="43" t="s">
        <v>95</v>
      </c>
      <c r="L49" s="43" t="s">
        <v>18</v>
      </c>
      <c r="M49" s="9" t="str">
        <f t="shared" si="3"/>
        <v>03</v>
      </c>
      <c r="N49" s="8" t="s">
        <v>141</v>
      </c>
      <c r="O49" s="8"/>
      <c r="P49" s="8"/>
      <c r="Q49" s="8"/>
      <c r="R49" s="43" t="s">
        <v>52</v>
      </c>
      <c r="S49" s="10"/>
    </row>
    <row r="50" ht="13.5" customHeight="1">
      <c r="A50" s="86">
        <v>39.0</v>
      </c>
      <c r="B50" s="87" t="s">
        <v>146</v>
      </c>
      <c r="C50" s="87" t="s">
        <v>6</v>
      </c>
      <c r="D50" s="88" t="str">
        <f t="shared" si="1"/>
        <v>I</v>
      </c>
      <c r="E50" s="89" t="str">
        <f t="shared" si="2"/>
        <v>FA037/I/02</v>
      </c>
      <c r="F50" s="89" t="s">
        <v>147</v>
      </c>
      <c r="G50" s="90">
        <v>43679.0</v>
      </c>
      <c r="H50" s="91"/>
      <c r="I50" s="92"/>
      <c r="J50" s="93"/>
      <c r="K50" s="93"/>
      <c r="L50" s="94" t="s">
        <v>13</v>
      </c>
      <c r="M50" s="16" t="str">
        <f t="shared" si="3"/>
        <v>02</v>
      </c>
      <c r="N50" s="93" t="s">
        <v>141</v>
      </c>
      <c r="O50" s="93"/>
      <c r="P50" s="93"/>
      <c r="Q50" s="93"/>
      <c r="R50" s="93" t="s">
        <v>15</v>
      </c>
      <c r="S50" s="95">
        <v>2.25E7</v>
      </c>
    </row>
    <row r="51" ht="13.5" customHeight="1">
      <c r="A51" s="45">
        <v>40.0</v>
      </c>
      <c r="B51" s="46" t="s">
        <v>148</v>
      </c>
      <c r="C51" s="46" t="s">
        <v>11</v>
      </c>
      <c r="D51" s="47" t="str">
        <f t="shared" si="1"/>
        <v>II</v>
      </c>
      <c r="E51" s="48" t="str">
        <f t="shared" si="2"/>
        <v>FA038.1/II/02</v>
      </c>
      <c r="F51" s="48" t="s">
        <v>149</v>
      </c>
      <c r="G51" s="49">
        <v>43690.0</v>
      </c>
      <c r="H51" s="50">
        <v>2550000.0</v>
      </c>
      <c r="I51" s="50"/>
      <c r="J51" s="52"/>
      <c r="K51" s="52"/>
      <c r="L51" s="53" t="s">
        <v>13</v>
      </c>
      <c r="M51" s="15" t="str">
        <f t="shared" si="3"/>
        <v>02</v>
      </c>
      <c r="N51" s="52"/>
      <c r="O51" s="52"/>
      <c r="P51" s="52"/>
      <c r="Q51" s="52"/>
      <c r="R51" s="53" t="s">
        <v>10</v>
      </c>
      <c r="S51" s="54"/>
    </row>
    <row r="52" ht="13.5" customHeight="1">
      <c r="A52" s="37">
        <v>41.0</v>
      </c>
      <c r="B52" s="38" t="s">
        <v>150</v>
      </c>
      <c r="C52" s="38" t="s">
        <v>11</v>
      </c>
      <c r="D52" s="39" t="str">
        <f t="shared" si="1"/>
        <v>II</v>
      </c>
      <c r="E52" s="40" t="str">
        <f t="shared" si="2"/>
        <v>FA038.2/II/03</v>
      </c>
      <c r="F52" s="40" t="s">
        <v>151</v>
      </c>
      <c r="G52" s="41">
        <v>43690.0</v>
      </c>
      <c r="H52" s="42">
        <v>1500000.0</v>
      </c>
      <c r="I52" s="42"/>
      <c r="J52" s="43" t="s">
        <v>138</v>
      </c>
      <c r="K52" s="43" t="s">
        <v>95</v>
      </c>
      <c r="L52" s="43" t="s">
        <v>18</v>
      </c>
      <c r="M52" s="9" t="str">
        <f t="shared" si="3"/>
        <v>03</v>
      </c>
      <c r="N52" s="43" t="s">
        <v>152</v>
      </c>
      <c r="O52" s="8"/>
      <c r="P52" s="8"/>
      <c r="Q52" s="8"/>
      <c r="R52" s="43" t="s">
        <v>52</v>
      </c>
      <c r="S52" s="10"/>
    </row>
    <row r="53" ht="13.5" customHeight="1">
      <c r="A53" s="37">
        <v>42.0</v>
      </c>
      <c r="B53" s="38" t="s">
        <v>153</v>
      </c>
      <c r="C53" s="38" t="s">
        <v>11</v>
      </c>
      <c r="D53" s="39" t="str">
        <f t="shared" si="1"/>
        <v>II</v>
      </c>
      <c r="E53" s="40" t="str">
        <f t="shared" si="2"/>
        <v>FA039.1/II/01</v>
      </c>
      <c r="F53" s="8" t="s">
        <v>154</v>
      </c>
      <c r="G53" s="41">
        <v>43692.0</v>
      </c>
      <c r="H53" s="44">
        <v>799500.0</v>
      </c>
      <c r="I53" s="44"/>
      <c r="J53" s="43" t="s">
        <v>59</v>
      </c>
      <c r="K53" s="43" t="s">
        <v>51</v>
      </c>
      <c r="L53" s="8" t="s">
        <v>8</v>
      </c>
      <c r="M53" s="9" t="str">
        <f t="shared" si="3"/>
        <v>01</v>
      </c>
      <c r="N53" s="8" t="s">
        <v>155</v>
      </c>
      <c r="O53" s="8"/>
      <c r="P53" s="8"/>
      <c r="Q53" s="8"/>
      <c r="R53" s="43" t="s">
        <v>52</v>
      </c>
      <c r="S53" s="10"/>
    </row>
    <row r="54" ht="13.5" customHeight="1">
      <c r="A54" s="37">
        <v>43.0</v>
      </c>
      <c r="B54" s="38" t="s">
        <v>156</v>
      </c>
      <c r="C54" s="38" t="s">
        <v>11</v>
      </c>
      <c r="D54" s="39" t="str">
        <f t="shared" si="1"/>
        <v>II</v>
      </c>
      <c r="E54" s="40" t="str">
        <f t="shared" si="2"/>
        <v>FA039.2/II/01</v>
      </c>
      <c r="F54" s="8" t="s">
        <v>154</v>
      </c>
      <c r="G54" s="41">
        <v>43692.0</v>
      </c>
      <c r="H54" s="44">
        <v>799500.0</v>
      </c>
      <c r="I54" s="44"/>
      <c r="J54" s="43" t="s">
        <v>107</v>
      </c>
      <c r="K54" s="43" t="s">
        <v>108</v>
      </c>
      <c r="L54" s="8" t="s">
        <v>8</v>
      </c>
      <c r="M54" s="9" t="str">
        <f t="shared" si="3"/>
        <v>01</v>
      </c>
      <c r="N54" s="8" t="s">
        <v>155</v>
      </c>
      <c r="O54" s="8"/>
      <c r="P54" s="8"/>
      <c r="Q54" s="8"/>
      <c r="R54" s="43" t="s">
        <v>52</v>
      </c>
      <c r="S54" s="10"/>
    </row>
    <row r="55" ht="13.5" customHeight="1">
      <c r="A55" s="37">
        <v>44.0</v>
      </c>
      <c r="B55" s="38" t="s">
        <v>157</v>
      </c>
      <c r="C55" s="38" t="s">
        <v>11</v>
      </c>
      <c r="D55" s="39" t="str">
        <f t="shared" si="1"/>
        <v>II</v>
      </c>
      <c r="E55" s="40" t="str">
        <f t="shared" si="2"/>
        <v>FA039.3/II/01</v>
      </c>
      <c r="F55" s="8" t="s">
        <v>154</v>
      </c>
      <c r="G55" s="41">
        <v>43692.0</v>
      </c>
      <c r="H55" s="44">
        <v>799500.0</v>
      </c>
      <c r="I55" s="44"/>
      <c r="J55" s="43"/>
      <c r="K55" s="43" t="s">
        <v>158</v>
      </c>
      <c r="L55" s="8" t="s">
        <v>8</v>
      </c>
      <c r="M55" s="9" t="str">
        <f t="shared" si="3"/>
        <v>01</v>
      </c>
      <c r="N55" s="8" t="s">
        <v>155</v>
      </c>
      <c r="O55" s="8"/>
      <c r="P55" s="8"/>
      <c r="Q55" s="8"/>
      <c r="R55" s="43" t="s">
        <v>52</v>
      </c>
      <c r="S55" s="10"/>
    </row>
    <row r="56" ht="13.5" customHeight="1">
      <c r="A56" s="37">
        <v>45.0</v>
      </c>
      <c r="B56" s="38" t="s">
        <v>159</v>
      </c>
      <c r="C56" s="38" t="s">
        <v>11</v>
      </c>
      <c r="D56" s="39" t="str">
        <f t="shared" si="1"/>
        <v>II</v>
      </c>
      <c r="E56" s="40" t="str">
        <f t="shared" si="2"/>
        <v>FA039.4/II/01</v>
      </c>
      <c r="F56" s="8" t="s">
        <v>154</v>
      </c>
      <c r="G56" s="41">
        <v>43692.0</v>
      </c>
      <c r="H56" s="44">
        <v>799500.0</v>
      </c>
      <c r="I56" s="44"/>
      <c r="J56" s="43" t="s">
        <v>160</v>
      </c>
      <c r="K56" s="43" t="s">
        <v>158</v>
      </c>
      <c r="L56" s="40" t="s">
        <v>8</v>
      </c>
      <c r="M56" s="9" t="str">
        <f t="shared" si="3"/>
        <v>01</v>
      </c>
      <c r="N56" s="8" t="s">
        <v>155</v>
      </c>
      <c r="O56" s="8"/>
      <c r="P56" s="8"/>
      <c r="Q56" s="8"/>
      <c r="R56" s="43" t="s">
        <v>52</v>
      </c>
      <c r="S56" s="10"/>
    </row>
    <row r="57" ht="13.5" customHeight="1">
      <c r="A57" s="37">
        <v>46.0</v>
      </c>
      <c r="B57" s="38" t="s">
        <v>161</v>
      </c>
      <c r="C57" s="38" t="s">
        <v>11</v>
      </c>
      <c r="D57" s="39" t="str">
        <f t="shared" si="1"/>
        <v>II</v>
      </c>
      <c r="E57" s="40" t="str">
        <f t="shared" si="2"/>
        <v>FA039.5/II/01</v>
      </c>
      <c r="F57" s="8" t="s">
        <v>154</v>
      </c>
      <c r="G57" s="41">
        <v>43692.0</v>
      </c>
      <c r="H57" s="44">
        <v>799500.0</v>
      </c>
      <c r="I57" s="44"/>
      <c r="J57" s="43" t="s">
        <v>162</v>
      </c>
      <c r="K57" s="43" t="s">
        <v>95</v>
      </c>
      <c r="L57" s="40" t="s">
        <v>8</v>
      </c>
      <c r="M57" s="9" t="str">
        <f t="shared" si="3"/>
        <v>01</v>
      </c>
      <c r="N57" s="8" t="s">
        <v>155</v>
      </c>
      <c r="O57" s="8"/>
      <c r="P57" s="8"/>
      <c r="Q57" s="8"/>
      <c r="R57" s="43" t="s">
        <v>52</v>
      </c>
      <c r="S57" s="10"/>
    </row>
    <row r="58" ht="13.5" customHeight="1">
      <c r="A58" s="37">
        <v>47.0</v>
      </c>
      <c r="B58" s="38" t="s">
        <v>163</v>
      </c>
      <c r="C58" s="38" t="s">
        <v>11</v>
      </c>
      <c r="D58" s="39" t="str">
        <f t="shared" si="1"/>
        <v>II</v>
      </c>
      <c r="E58" s="40" t="str">
        <f t="shared" si="2"/>
        <v>FA039.6/II/01</v>
      </c>
      <c r="F58" s="8" t="s">
        <v>154</v>
      </c>
      <c r="G58" s="41">
        <v>43692.0</v>
      </c>
      <c r="H58" s="44">
        <v>799500.0</v>
      </c>
      <c r="I58" s="44"/>
      <c r="J58" s="43"/>
      <c r="K58" s="43" t="s">
        <v>108</v>
      </c>
      <c r="L58" s="40" t="s">
        <v>8</v>
      </c>
      <c r="M58" s="9" t="str">
        <f t="shared" si="3"/>
        <v>01</v>
      </c>
      <c r="N58" s="8" t="s">
        <v>155</v>
      </c>
      <c r="O58" s="8"/>
      <c r="P58" s="8"/>
      <c r="Q58" s="8"/>
      <c r="R58" s="43" t="s">
        <v>52</v>
      </c>
      <c r="S58" s="10"/>
    </row>
    <row r="59" ht="13.5" customHeight="1">
      <c r="A59" s="37">
        <v>48.0</v>
      </c>
      <c r="B59" s="38" t="s">
        <v>164</v>
      </c>
      <c r="C59" s="38" t="s">
        <v>11</v>
      </c>
      <c r="D59" s="39" t="str">
        <f t="shared" si="1"/>
        <v>II</v>
      </c>
      <c r="E59" s="40" t="str">
        <f t="shared" si="2"/>
        <v>FA039.7/II/01</v>
      </c>
      <c r="F59" s="8" t="s">
        <v>154</v>
      </c>
      <c r="G59" s="41">
        <v>43692.0</v>
      </c>
      <c r="H59" s="42">
        <v>799500.0</v>
      </c>
      <c r="I59" s="42"/>
      <c r="J59" s="43" t="s">
        <v>97</v>
      </c>
      <c r="K59" s="43" t="s">
        <v>51</v>
      </c>
      <c r="L59" s="40" t="s">
        <v>8</v>
      </c>
      <c r="M59" s="9" t="str">
        <f t="shared" si="3"/>
        <v>01</v>
      </c>
      <c r="N59" s="8" t="s">
        <v>155</v>
      </c>
      <c r="O59" s="8"/>
      <c r="P59" s="8"/>
      <c r="Q59" s="8"/>
      <c r="R59" s="8"/>
      <c r="S59" s="10"/>
    </row>
    <row r="60" ht="13.5" customHeight="1">
      <c r="A60" s="37">
        <v>49.0</v>
      </c>
      <c r="B60" s="38" t="s">
        <v>165</v>
      </c>
      <c r="C60" s="38" t="s">
        <v>11</v>
      </c>
      <c r="D60" s="39" t="str">
        <f t="shared" si="1"/>
        <v>II</v>
      </c>
      <c r="E60" s="40" t="str">
        <f t="shared" si="2"/>
        <v>FA039.8/II/01</v>
      </c>
      <c r="F60" s="8" t="s">
        <v>154</v>
      </c>
      <c r="G60" s="41">
        <v>43692.0</v>
      </c>
      <c r="H60" s="44">
        <v>799500.0</v>
      </c>
      <c r="I60" s="44"/>
      <c r="J60" s="96" t="s">
        <v>166</v>
      </c>
      <c r="K60" s="43" t="s">
        <v>95</v>
      </c>
      <c r="L60" s="40" t="s">
        <v>8</v>
      </c>
      <c r="M60" s="9" t="str">
        <f t="shared" si="3"/>
        <v>01</v>
      </c>
      <c r="N60" s="8" t="s">
        <v>155</v>
      </c>
      <c r="O60" s="8"/>
      <c r="P60" s="8"/>
      <c r="Q60" s="8"/>
      <c r="R60" s="43" t="s">
        <v>52</v>
      </c>
      <c r="S60" s="10"/>
    </row>
    <row r="61" ht="13.5" customHeight="1">
      <c r="A61" s="37">
        <v>50.0</v>
      </c>
      <c r="B61" s="38" t="s">
        <v>167</v>
      </c>
      <c r="C61" s="38" t="s">
        <v>11</v>
      </c>
      <c r="D61" s="39" t="str">
        <f t="shared" si="1"/>
        <v>II</v>
      </c>
      <c r="E61" s="40" t="str">
        <f t="shared" si="2"/>
        <v>FA039.9/II/01</v>
      </c>
      <c r="F61" s="40" t="s">
        <v>168</v>
      </c>
      <c r="G61" s="41">
        <v>43692.0</v>
      </c>
      <c r="H61" s="44">
        <v>759000.0</v>
      </c>
      <c r="I61" s="44"/>
      <c r="J61" s="8" t="s">
        <v>169</v>
      </c>
      <c r="K61" s="43" t="s">
        <v>170</v>
      </c>
      <c r="L61" s="43" t="s">
        <v>8</v>
      </c>
      <c r="M61" s="9" t="str">
        <f t="shared" si="3"/>
        <v>01</v>
      </c>
      <c r="N61" s="8" t="s">
        <v>155</v>
      </c>
      <c r="O61" s="8"/>
      <c r="P61" s="8"/>
      <c r="Q61" s="8"/>
      <c r="R61" s="43" t="s">
        <v>52</v>
      </c>
      <c r="S61" s="10"/>
    </row>
    <row r="62" ht="13.5" customHeight="1">
      <c r="A62" s="37">
        <v>51.0</v>
      </c>
      <c r="B62" s="38" t="s">
        <v>171</v>
      </c>
      <c r="C62" s="38" t="s">
        <v>11</v>
      </c>
      <c r="D62" s="39" t="str">
        <f t="shared" si="1"/>
        <v>II</v>
      </c>
      <c r="E62" s="40" t="str">
        <f t="shared" si="2"/>
        <v>FA040.1/II/01</v>
      </c>
      <c r="F62" s="40" t="s">
        <v>172</v>
      </c>
      <c r="G62" s="41">
        <v>43692.0</v>
      </c>
      <c r="H62" s="44">
        <v>899500.0</v>
      </c>
      <c r="I62" s="44"/>
      <c r="J62" s="8"/>
      <c r="K62" s="43" t="s">
        <v>95</v>
      </c>
      <c r="L62" s="40" t="s">
        <v>8</v>
      </c>
      <c r="M62" s="9" t="str">
        <f t="shared" si="3"/>
        <v>01</v>
      </c>
      <c r="N62" s="8" t="s">
        <v>155</v>
      </c>
      <c r="O62" s="8"/>
      <c r="P62" s="8"/>
      <c r="Q62" s="8"/>
      <c r="R62" s="43" t="s">
        <v>52</v>
      </c>
      <c r="S62" s="10"/>
    </row>
    <row r="63" ht="13.5" customHeight="1">
      <c r="A63" s="37">
        <v>52.0</v>
      </c>
      <c r="B63" s="38" t="s">
        <v>173</v>
      </c>
      <c r="C63" s="38" t="s">
        <v>11</v>
      </c>
      <c r="D63" s="39" t="str">
        <f t="shared" si="1"/>
        <v>II</v>
      </c>
      <c r="E63" s="40" t="str">
        <f t="shared" si="2"/>
        <v>FA040.2/II/01</v>
      </c>
      <c r="F63" s="40" t="s">
        <v>172</v>
      </c>
      <c r="G63" s="41">
        <v>43692.0</v>
      </c>
      <c r="H63" s="44">
        <v>899500.0</v>
      </c>
      <c r="I63" s="44"/>
      <c r="J63" s="8" t="s">
        <v>169</v>
      </c>
      <c r="K63" s="43" t="s">
        <v>170</v>
      </c>
      <c r="L63" s="40" t="s">
        <v>8</v>
      </c>
      <c r="M63" s="9" t="str">
        <f t="shared" si="3"/>
        <v>01</v>
      </c>
      <c r="N63" s="8" t="s">
        <v>155</v>
      </c>
      <c r="O63" s="8"/>
      <c r="P63" s="8"/>
      <c r="Q63" s="8"/>
      <c r="R63" s="43" t="s">
        <v>52</v>
      </c>
      <c r="S63" s="10"/>
    </row>
    <row r="64" ht="13.5" customHeight="1">
      <c r="A64" s="37">
        <v>53.0</v>
      </c>
      <c r="B64" s="38" t="s">
        <v>174</v>
      </c>
      <c r="C64" s="38" t="s">
        <v>11</v>
      </c>
      <c r="D64" s="39" t="str">
        <f t="shared" si="1"/>
        <v>II</v>
      </c>
      <c r="E64" s="40" t="str">
        <f t="shared" si="2"/>
        <v>FA040.3/II/01</v>
      </c>
      <c r="F64" s="40" t="s">
        <v>172</v>
      </c>
      <c r="G64" s="41">
        <v>43692.0</v>
      </c>
      <c r="H64" s="44">
        <v>899500.0</v>
      </c>
      <c r="I64" s="44"/>
      <c r="J64" s="43" t="s">
        <v>175</v>
      </c>
      <c r="K64" s="43" t="s">
        <v>108</v>
      </c>
      <c r="L64" s="40" t="s">
        <v>8</v>
      </c>
      <c r="M64" s="9" t="str">
        <f t="shared" si="3"/>
        <v>01</v>
      </c>
      <c r="N64" s="8" t="s">
        <v>155</v>
      </c>
      <c r="O64" s="8"/>
      <c r="P64" s="8"/>
      <c r="Q64" s="8"/>
      <c r="R64" s="81" t="s">
        <v>52</v>
      </c>
      <c r="S64" s="10"/>
    </row>
    <row r="65" ht="13.5" customHeight="1">
      <c r="A65" s="37">
        <v>54.0</v>
      </c>
      <c r="B65" s="38" t="s">
        <v>176</v>
      </c>
      <c r="C65" s="38" t="s">
        <v>11</v>
      </c>
      <c r="D65" s="39" t="str">
        <f t="shared" si="1"/>
        <v>II</v>
      </c>
      <c r="E65" s="40" t="str">
        <f t="shared" si="2"/>
        <v>FA040.4/II/01</v>
      </c>
      <c r="F65" s="40" t="s">
        <v>172</v>
      </c>
      <c r="G65" s="41">
        <v>43692.0</v>
      </c>
      <c r="H65" s="44">
        <v>899500.0</v>
      </c>
      <c r="I65" s="44"/>
      <c r="J65" s="43"/>
      <c r="K65" s="43" t="s">
        <v>116</v>
      </c>
      <c r="L65" s="40" t="s">
        <v>8</v>
      </c>
      <c r="M65" s="9" t="str">
        <f t="shared" si="3"/>
        <v>01</v>
      </c>
      <c r="N65" s="8" t="s">
        <v>155</v>
      </c>
      <c r="O65" s="8"/>
      <c r="P65" s="8"/>
      <c r="Q65" s="8"/>
      <c r="R65" s="43" t="s">
        <v>52</v>
      </c>
      <c r="S65" s="10"/>
    </row>
    <row r="66" ht="13.5" customHeight="1">
      <c r="A66" s="45">
        <v>55.0</v>
      </c>
      <c r="B66" s="46" t="s">
        <v>177</v>
      </c>
      <c r="C66" s="46" t="s">
        <v>11</v>
      </c>
      <c r="D66" s="47" t="str">
        <f t="shared" si="1"/>
        <v>II</v>
      </c>
      <c r="E66" s="48" t="str">
        <f t="shared" si="2"/>
        <v>FA040.5/II/01</v>
      </c>
      <c r="F66" s="48" t="s">
        <v>172</v>
      </c>
      <c r="G66" s="49">
        <v>43692.0</v>
      </c>
      <c r="H66" s="50">
        <v>899500.0</v>
      </c>
      <c r="I66" s="51"/>
      <c r="J66" s="52"/>
      <c r="K66" s="52"/>
      <c r="L66" s="48" t="s">
        <v>8</v>
      </c>
      <c r="M66" s="15" t="str">
        <f t="shared" si="3"/>
        <v>01</v>
      </c>
      <c r="N66" s="52" t="s">
        <v>155</v>
      </c>
      <c r="O66" s="52"/>
      <c r="P66" s="52"/>
      <c r="Q66" s="52"/>
      <c r="R66" s="52" t="s">
        <v>10</v>
      </c>
      <c r="S66" s="54"/>
    </row>
    <row r="67" ht="13.5" customHeight="1">
      <c r="A67" s="45">
        <v>56.0</v>
      </c>
      <c r="B67" s="46" t="s">
        <v>178</v>
      </c>
      <c r="C67" s="46" t="s">
        <v>11</v>
      </c>
      <c r="D67" s="47" t="str">
        <f t="shared" si="1"/>
        <v>II</v>
      </c>
      <c r="E67" s="48" t="str">
        <f t="shared" si="2"/>
        <v>FA040.6/II/01</v>
      </c>
      <c r="F67" s="48" t="s">
        <v>172</v>
      </c>
      <c r="G67" s="49">
        <v>43692.0</v>
      </c>
      <c r="H67" s="50">
        <v>899500.0</v>
      </c>
      <c r="I67" s="51"/>
      <c r="J67" s="52"/>
      <c r="K67" s="52"/>
      <c r="L67" s="48" t="s">
        <v>8</v>
      </c>
      <c r="M67" s="15" t="str">
        <f t="shared" si="3"/>
        <v>01</v>
      </c>
      <c r="N67" s="52" t="s">
        <v>155</v>
      </c>
      <c r="O67" s="52"/>
      <c r="P67" s="52"/>
      <c r="Q67" s="52"/>
      <c r="R67" s="52" t="s">
        <v>10</v>
      </c>
      <c r="S67" s="54"/>
    </row>
    <row r="68" ht="13.5" customHeight="1">
      <c r="A68" s="45">
        <v>57.0</v>
      </c>
      <c r="B68" s="46" t="s">
        <v>179</v>
      </c>
      <c r="C68" s="46" t="s">
        <v>11</v>
      </c>
      <c r="D68" s="47" t="str">
        <f t="shared" si="1"/>
        <v>II</v>
      </c>
      <c r="E68" s="48" t="str">
        <f t="shared" si="2"/>
        <v>FA040.7/II/01</v>
      </c>
      <c r="F68" s="48" t="s">
        <v>172</v>
      </c>
      <c r="G68" s="49">
        <v>43692.0</v>
      </c>
      <c r="H68" s="50">
        <v>899500.0</v>
      </c>
      <c r="I68" s="51"/>
      <c r="J68" s="52"/>
      <c r="K68" s="52"/>
      <c r="L68" s="48" t="s">
        <v>8</v>
      </c>
      <c r="M68" s="15" t="str">
        <f t="shared" si="3"/>
        <v>01</v>
      </c>
      <c r="N68" s="52" t="s">
        <v>155</v>
      </c>
      <c r="O68" s="52"/>
      <c r="P68" s="52"/>
      <c r="Q68" s="52"/>
      <c r="R68" s="52" t="s">
        <v>10</v>
      </c>
      <c r="S68" s="54"/>
    </row>
    <row r="69" ht="13.5" customHeight="1">
      <c r="A69" s="45">
        <v>58.0</v>
      </c>
      <c r="B69" s="46" t="s">
        <v>180</v>
      </c>
      <c r="C69" s="46" t="s">
        <v>11</v>
      </c>
      <c r="D69" s="47" t="str">
        <f t="shared" si="1"/>
        <v>II</v>
      </c>
      <c r="E69" s="48" t="str">
        <f t="shared" si="2"/>
        <v>FA040.8/II/01</v>
      </c>
      <c r="F69" s="48" t="s">
        <v>172</v>
      </c>
      <c r="G69" s="49">
        <v>43692.0</v>
      </c>
      <c r="H69" s="50">
        <v>899500.0</v>
      </c>
      <c r="I69" s="51"/>
      <c r="J69" s="52"/>
      <c r="K69" s="52"/>
      <c r="L69" s="48" t="s">
        <v>8</v>
      </c>
      <c r="M69" s="15" t="str">
        <f t="shared" si="3"/>
        <v>01</v>
      </c>
      <c r="N69" s="52" t="s">
        <v>155</v>
      </c>
      <c r="O69" s="52"/>
      <c r="P69" s="52"/>
      <c r="Q69" s="52"/>
      <c r="R69" s="52" t="s">
        <v>10</v>
      </c>
      <c r="S69" s="54"/>
    </row>
    <row r="70" ht="13.5" customHeight="1">
      <c r="A70" s="37">
        <v>59.0</v>
      </c>
      <c r="B70" s="38" t="s">
        <v>181</v>
      </c>
      <c r="C70" s="38" t="s">
        <v>11</v>
      </c>
      <c r="D70" s="39" t="str">
        <f t="shared" si="1"/>
        <v>II</v>
      </c>
      <c r="E70" s="40" t="str">
        <f t="shared" si="2"/>
        <v>FA040.9/II/01</v>
      </c>
      <c r="F70" s="40" t="s">
        <v>182</v>
      </c>
      <c r="G70" s="41">
        <v>43692.0</v>
      </c>
      <c r="H70" s="44">
        <v>2999000.0</v>
      </c>
      <c r="I70" s="44"/>
      <c r="J70" s="43" t="s">
        <v>112</v>
      </c>
      <c r="K70" s="43" t="s">
        <v>95</v>
      </c>
      <c r="L70" s="40" t="s">
        <v>8</v>
      </c>
      <c r="M70" s="9" t="str">
        <f t="shared" si="3"/>
        <v>01</v>
      </c>
      <c r="N70" s="8"/>
      <c r="O70" s="8"/>
      <c r="P70" s="8"/>
      <c r="Q70" s="8"/>
      <c r="R70" s="43" t="s">
        <v>52</v>
      </c>
      <c r="S70" s="10"/>
    </row>
    <row r="71" ht="13.5" customHeight="1">
      <c r="A71" s="37">
        <v>60.0</v>
      </c>
      <c r="B71" s="38" t="s">
        <v>183</v>
      </c>
      <c r="C71" s="38" t="s">
        <v>11</v>
      </c>
      <c r="D71" s="39" t="str">
        <f t="shared" si="1"/>
        <v>II</v>
      </c>
      <c r="E71" s="40" t="str">
        <f t="shared" si="2"/>
        <v>FA040.10/II/01</v>
      </c>
      <c r="F71" s="40" t="s">
        <v>184</v>
      </c>
      <c r="G71" s="41">
        <v>43692.0</v>
      </c>
      <c r="H71" s="44">
        <v>389000.0</v>
      </c>
      <c r="I71" s="44"/>
      <c r="J71" s="43" t="s">
        <v>112</v>
      </c>
      <c r="K71" s="43" t="s">
        <v>95</v>
      </c>
      <c r="L71" s="40" t="s">
        <v>8</v>
      </c>
      <c r="M71" s="9" t="str">
        <f t="shared" si="3"/>
        <v>01</v>
      </c>
      <c r="N71" s="8" t="s">
        <v>155</v>
      </c>
      <c r="O71" s="8"/>
      <c r="P71" s="8"/>
      <c r="Q71" s="8"/>
      <c r="R71" s="43" t="s">
        <v>52</v>
      </c>
      <c r="S71" s="10"/>
    </row>
    <row r="72" ht="13.5" customHeight="1">
      <c r="A72" s="37">
        <v>61.0</v>
      </c>
      <c r="B72" s="38" t="s">
        <v>185</v>
      </c>
      <c r="C72" s="38" t="s">
        <v>11</v>
      </c>
      <c r="D72" s="39" t="str">
        <f t="shared" si="1"/>
        <v>II</v>
      </c>
      <c r="E72" s="40" t="str">
        <f t="shared" si="2"/>
        <v>FA040.11/II/01</v>
      </c>
      <c r="F72" s="40" t="s">
        <v>184</v>
      </c>
      <c r="G72" s="41">
        <v>43692.0</v>
      </c>
      <c r="H72" s="44">
        <v>389000.0</v>
      </c>
      <c r="I72" s="44"/>
      <c r="J72" s="43" t="s">
        <v>112</v>
      </c>
      <c r="K72" s="43" t="s">
        <v>95</v>
      </c>
      <c r="L72" s="40" t="s">
        <v>8</v>
      </c>
      <c r="M72" s="9" t="str">
        <f t="shared" si="3"/>
        <v>01</v>
      </c>
      <c r="N72" s="8" t="s">
        <v>155</v>
      </c>
      <c r="O72" s="8"/>
      <c r="P72" s="8"/>
      <c r="Q72" s="8"/>
      <c r="R72" s="43" t="s">
        <v>52</v>
      </c>
      <c r="S72" s="10"/>
    </row>
    <row r="73" ht="13.5" customHeight="1">
      <c r="A73" s="37">
        <v>62.0</v>
      </c>
      <c r="B73" s="38" t="s">
        <v>186</v>
      </c>
      <c r="C73" s="38" t="s">
        <v>11</v>
      </c>
      <c r="D73" s="39" t="str">
        <f t="shared" si="1"/>
        <v>II</v>
      </c>
      <c r="E73" s="40" t="str">
        <f t="shared" si="2"/>
        <v>FA040.12/II/01</v>
      </c>
      <c r="F73" s="40" t="s">
        <v>184</v>
      </c>
      <c r="G73" s="41">
        <v>43692.0</v>
      </c>
      <c r="H73" s="44">
        <v>389000.0</v>
      </c>
      <c r="I73" s="44"/>
      <c r="J73" s="43" t="s">
        <v>112</v>
      </c>
      <c r="K73" s="43" t="s">
        <v>95</v>
      </c>
      <c r="L73" s="40" t="s">
        <v>8</v>
      </c>
      <c r="M73" s="9" t="str">
        <f t="shared" si="3"/>
        <v>01</v>
      </c>
      <c r="N73" s="8" t="s">
        <v>155</v>
      </c>
      <c r="O73" s="8"/>
      <c r="P73" s="8"/>
      <c r="Q73" s="8"/>
      <c r="R73" s="43" t="s">
        <v>52</v>
      </c>
      <c r="S73" s="10"/>
    </row>
    <row r="74" ht="13.5" customHeight="1">
      <c r="A74" s="37">
        <v>63.0</v>
      </c>
      <c r="B74" s="38" t="s">
        <v>187</v>
      </c>
      <c r="C74" s="38" t="s">
        <v>11</v>
      </c>
      <c r="D74" s="39" t="str">
        <f t="shared" si="1"/>
        <v>II</v>
      </c>
      <c r="E74" s="40" t="str">
        <f t="shared" si="2"/>
        <v>FA040.13/II/01</v>
      </c>
      <c r="F74" s="40" t="s">
        <v>184</v>
      </c>
      <c r="G74" s="41">
        <v>43692.0</v>
      </c>
      <c r="H74" s="44">
        <v>389000.0</v>
      </c>
      <c r="I74" s="44"/>
      <c r="J74" s="43" t="s">
        <v>112</v>
      </c>
      <c r="K74" s="43" t="s">
        <v>95</v>
      </c>
      <c r="L74" s="40" t="s">
        <v>8</v>
      </c>
      <c r="M74" s="9" t="str">
        <f t="shared" si="3"/>
        <v>01</v>
      </c>
      <c r="N74" s="8" t="s">
        <v>155</v>
      </c>
      <c r="O74" s="8"/>
      <c r="P74" s="8"/>
      <c r="Q74" s="8"/>
      <c r="R74" s="43" t="s">
        <v>52</v>
      </c>
      <c r="S74" s="10"/>
    </row>
    <row r="75" ht="13.5" customHeight="1">
      <c r="A75" s="37">
        <v>64.0</v>
      </c>
      <c r="B75" s="38" t="s">
        <v>188</v>
      </c>
      <c r="C75" s="38" t="s">
        <v>11</v>
      </c>
      <c r="D75" s="39" t="str">
        <f t="shared" si="1"/>
        <v>II</v>
      </c>
      <c r="E75" s="40" t="str">
        <f t="shared" si="2"/>
        <v>FA040.14/II/01</v>
      </c>
      <c r="F75" s="40" t="s">
        <v>184</v>
      </c>
      <c r="G75" s="41">
        <v>43692.0</v>
      </c>
      <c r="H75" s="44">
        <v>389000.0</v>
      </c>
      <c r="I75" s="44"/>
      <c r="J75" s="43" t="s">
        <v>112</v>
      </c>
      <c r="K75" s="43" t="s">
        <v>95</v>
      </c>
      <c r="L75" s="40" t="s">
        <v>8</v>
      </c>
      <c r="M75" s="9" t="str">
        <f t="shared" si="3"/>
        <v>01</v>
      </c>
      <c r="N75" s="8" t="s">
        <v>155</v>
      </c>
      <c r="O75" s="8"/>
      <c r="P75" s="8"/>
      <c r="Q75" s="8"/>
      <c r="R75" s="43" t="s">
        <v>52</v>
      </c>
      <c r="S75" s="10"/>
    </row>
    <row r="76" ht="13.5" customHeight="1">
      <c r="A76" s="37">
        <v>65.0</v>
      </c>
      <c r="B76" s="38" t="s">
        <v>189</v>
      </c>
      <c r="C76" s="38" t="s">
        <v>11</v>
      </c>
      <c r="D76" s="39" t="str">
        <f t="shared" si="1"/>
        <v>II</v>
      </c>
      <c r="E76" s="40" t="str">
        <f t="shared" si="2"/>
        <v>FA040.15/II/01</v>
      </c>
      <c r="F76" s="40" t="s">
        <v>184</v>
      </c>
      <c r="G76" s="41">
        <v>43692.0</v>
      </c>
      <c r="H76" s="44">
        <v>389000.0</v>
      </c>
      <c r="I76" s="44"/>
      <c r="J76" s="43" t="s">
        <v>112</v>
      </c>
      <c r="K76" s="43" t="s">
        <v>95</v>
      </c>
      <c r="L76" s="40" t="s">
        <v>8</v>
      </c>
      <c r="M76" s="9" t="str">
        <f t="shared" si="3"/>
        <v>01</v>
      </c>
      <c r="N76" s="8" t="s">
        <v>155</v>
      </c>
      <c r="O76" s="8"/>
      <c r="P76" s="8"/>
      <c r="Q76" s="8"/>
      <c r="R76" s="43" t="s">
        <v>52</v>
      </c>
      <c r="S76" s="10"/>
    </row>
    <row r="77" ht="13.5" customHeight="1">
      <c r="A77" s="37">
        <v>66.0</v>
      </c>
      <c r="B77" s="38" t="s">
        <v>190</v>
      </c>
      <c r="C77" s="38" t="s">
        <v>11</v>
      </c>
      <c r="D77" s="39" t="str">
        <f t="shared" si="1"/>
        <v>II</v>
      </c>
      <c r="E77" s="40" t="str">
        <f t="shared" si="2"/>
        <v>FA040.16/II/01</v>
      </c>
      <c r="F77" s="8" t="s">
        <v>79</v>
      </c>
      <c r="G77" s="41">
        <v>43692.0</v>
      </c>
      <c r="H77" s="44">
        <v>999000.0</v>
      </c>
      <c r="I77" s="44"/>
      <c r="J77" s="43" t="s">
        <v>97</v>
      </c>
      <c r="K77" s="43" t="s">
        <v>51</v>
      </c>
      <c r="L77" s="43" t="s">
        <v>8</v>
      </c>
      <c r="M77" s="9" t="str">
        <f t="shared" si="3"/>
        <v>01</v>
      </c>
      <c r="N77" s="8" t="s">
        <v>155</v>
      </c>
      <c r="O77" s="8"/>
      <c r="P77" s="8"/>
      <c r="Q77" s="8"/>
      <c r="R77" s="43" t="s">
        <v>52</v>
      </c>
      <c r="S77" s="10"/>
    </row>
    <row r="78" ht="13.5" customHeight="1">
      <c r="A78" s="37">
        <v>67.0</v>
      </c>
      <c r="B78" s="38" t="s">
        <v>191</v>
      </c>
      <c r="C78" s="38" t="s">
        <v>11</v>
      </c>
      <c r="D78" s="39" t="str">
        <f t="shared" si="1"/>
        <v>II</v>
      </c>
      <c r="E78" s="40" t="str">
        <f t="shared" si="2"/>
        <v>FA040.17/II/01</v>
      </c>
      <c r="F78" s="8" t="s">
        <v>79</v>
      </c>
      <c r="G78" s="41">
        <v>43692.0</v>
      </c>
      <c r="H78" s="44">
        <v>999000.0</v>
      </c>
      <c r="I78" s="44"/>
      <c r="J78" s="43"/>
      <c r="K78" s="43" t="s">
        <v>108</v>
      </c>
      <c r="L78" s="43" t="s">
        <v>8</v>
      </c>
      <c r="M78" s="9" t="str">
        <f t="shared" si="3"/>
        <v>01</v>
      </c>
      <c r="N78" s="8" t="s">
        <v>155</v>
      </c>
      <c r="O78" s="8"/>
      <c r="P78" s="8"/>
      <c r="Q78" s="8"/>
      <c r="R78" s="43" t="s">
        <v>52</v>
      </c>
      <c r="S78" s="10"/>
    </row>
    <row r="79" ht="13.5" customHeight="1">
      <c r="A79" s="37">
        <v>68.0</v>
      </c>
      <c r="B79" s="38" t="s">
        <v>192</v>
      </c>
      <c r="C79" s="38" t="s">
        <v>11</v>
      </c>
      <c r="D79" s="39" t="str">
        <f t="shared" si="1"/>
        <v>II</v>
      </c>
      <c r="E79" s="40" t="str">
        <f t="shared" si="2"/>
        <v>FA040.18/II/01</v>
      </c>
      <c r="F79" s="8" t="s">
        <v>79</v>
      </c>
      <c r="G79" s="41">
        <v>43692.0</v>
      </c>
      <c r="H79" s="44">
        <v>999000.0</v>
      </c>
      <c r="I79" s="44"/>
      <c r="J79" s="43"/>
      <c r="K79" s="43" t="s">
        <v>158</v>
      </c>
      <c r="L79" s="43" t="s">
        <v>8</v>
      </c>
      <c r="M79" s="9" t="str">
        <f t="shared" si="3"/>
        <v>01</v>
      </c>
      <c r="N79" s="8" t="s">
        <v>155</v>
      </c>
      <c r="O79" s="8"/>
      <c r="P79" s="8"/>
      <c r="Q79" s="8"/>
      <c r="R79" s="43" t="s">
        <v>52</v>
      </c>
      <c r="S79" s="10"/>
    </row>
    <row r="80" ht="13.5" customHeight="1">
      <c r="A80" s="37">
        <v>69.0</v>
      </c>
      <c r="B80" s="38" t="s">
        <v>193</v>
      </c>
      <c r="C80" s="38" t="s">
        <v>11</v>
      </c>
      <c r="D80" s="39" t="str">
        <f t="shared" si="1"/>
        <v>II</v>
      </c>
      <c r="E80" s="40" t="str">
        <f t="shared" si="2"/>
        <v>FA040.19/II/01</v>
      </c>
      <c r="F80" s="8" t="s">
        <v>79</v>
      </c>
      <c r="G80" s="41">
        <v>43692.0</v>
      </c>
      <c r="H80" s="44">
        <v>999000.0</v>
      </c>
      <c r="I80" s="44"/>
      <c r="J80" s="43" t="s">
        <v>175</v>
      </c>
      <c r="K80" s="43" t="s">
        <v>108</v>
      </c>
      <c r="L80" s="43" t="s">
        <v>8</v>
      </c>
      <c r="M80" s="9" t="str">
        <f t="shared" si="3"/>
        <v>01</v>
      </c>
      <c r="N80" s="8" t="s">
        <v>155</v>
      </c>
      <c r="O80" s="8"/>
      <c r="P80" s="8"/>
      <c r="Q80" s="8"/>
      <c r="R80" s="43" t="s">
        <v>52</v>
      </c>
      <c r="S80" s="10"/>
    </row>
    <row r="81" ht="13.5" customHeight="1">
      <c r="A81" s="37">
        <v>70.0</v>
      </c>
      <c r="B81" s="38" t="s">
        <v>194</v>
      </c>
      <c r="C81" s="38" t="s">
        <v>11</v>
      </c>
      <c r="D81" s="39" t="str">
        <f t="shared" si="1"/>
        <v>II</v>
      </c>
      <c r="E81" s="40" t="str">
        <f t="shared" si="2"/>
        <v>FA040.20/II/01</v>
      </c>
      <c r="F81" s="8" t="s">
        <v>79</v>
      </c>
      <c r="G81" s="41">
        <v>43692.0</v>
      </c>
      <c r="H81" s="44">
        <v>999000.0</v>
      </c>
      <c r="I81" s="44"/>
      <c r="J81" s="43" t="s">
        <v>195</v>
      </c>
      <c r="K81" s="43" t="s">
        <v>108</v>
      </c>
      <c r="L81" s="43" t="s">
        <v>8</v>
      </c>
      <c r="M81" s="9" t="str">
        <f t="shared" si="3"/>
        <v>01</v>
      </c>
      <c r="N81" s="8" t="s">
        <v>155</v>
      </c>
      <c r="O81" s="8"/>
      <c r="P81" s="8"/>
      <c r="Q81" s="8"/>
      <c r="R81" s="43" t="s">
        <v>52</v>
      </c>
      <c r="S81" s="10"/>
    </row>
    <row r="82" ht="13.5" customHeight="1">
      <c r="A82" s="37">
        <v>71.0</v>
      </c>
      <c r="B82" s="38" t="s">
        <v>196</v>
      </c>
      <c r="C82" s="38" t="s">
        <v>11</v>
      </c>
      <c r="D82" s="39" t="str">
        <f t="shared" si="1"/>
        <v>II</v>
      </c>
      <c r="E82" s="40" t="str">
        <f t="shared" si="2"/>
        <v>FA040.21/II/01</v>
      </c>
      <c r="F82" s="8" t="s">
        <v>79</v>
      </c>
      <c r="G82" s="41">
        <v>43692.0</v>
      </c>
      <c r="H82" s="44">
        <v>999000.0</v>
      </c>
      <c r="I82" s="44"/>
      <c r="J82" s="43" t="s">
        <v>110</v>
      </c>
      <c r="K82" s="43" t="s">
        <v>51</v>
      </c>
      <c r="L82" s="43" t="s">
        <v>8</v>
      </c>
      <c r="M82" s="9" t="str">
        <f t="shared" si="3"/>
        <v>01</v>
      </c>
      <c r="N82" s="8" t="s">
        <v>155</v>
      </c>
      <c r="O82" s="8"/>
      <c r="P82" s="8"/>
      <c r="Q82" s="8"/>
      <c r="R82" s="43" t="s">
        <v>52</v>
      </c>
      <c r="S82" s="10"/>
    </row>
    <row r="83" ht="13.5" customHeight="1">
      <c r="A83" s="37">
        <v>72.0</v>
      </c>
      <c r="B83" s="38" t="s">
        <v>197</v>
      </c>
      <c r="C83" s="38" t="s">
        <v>11</v>
      </c>
      <c r="D83" s="39" t="str">
        <f t="shared" si="1"/>
        <v>II</v>
      </c>
      <c r="E83" s="40" t="str">
        <f t="shared" si="2"/>
        <v>FA040.22/II/01</v>
      </c>
      <c r="F83" s="8" t="s">
        <v>79</v>
      </c>
      <c r="G83" s="41">
        <v>43692.0</v>
      </c>
      <c r="H83" s="44">
        <v>999000.0</v>
      </c>
      <c r="I83" s="44"/>
      <c r="J83" s="43" t="s">
        <v>198</v>
      </c>
      <c r="K83" s="43" t="s">
        <v>158</v>
      </c>
      <c r="L83" s="43" t="s">
        <v>8</v>
      </c>
      <c r="M83" s="9" t="str">
        <f t="shared" si="3"/>
        <v>01</v>
      </c>
      <c r="N83" s="8" t="s">
        <v>155</v>
      </c>
      <c r="O83" s="8"/>
      <c r="P83" s="8"/>
      <c r="Q83" s="8"/>
      <c r="R83" s="43" t="s">
        <v>52</v>
      </c>
      <c r="S83" s="10"/>
    </row>
    <row r="84" ht="13.5" customHeight="1">
      <c r="A84" s="27">
        <v>73.0</v>
      </c>
      <c r="B84" s="28" t="s">
        <v>199</v>
      </c>
      <c r="C84" s="28" t="s">
        <v>11</v>
      </c>
      <c r="D84" s="29" t="str">
        <f t="shared" si="1"/>
        <v>II</v>
      </c>
      <c r="E84" s="30" t="str">
        <f t="shared" si="2"/>
        <v>FA040.23/II/01</v>
      </c>
      <c r="F84" s="30" t="s">
        <v>200</v>
      </c>
      <c r="G84" s="31">
        <v>43692.0</v>
      </c>
      <c r="H84" s="32">
        <v>1942000.0</v>
      </c>
      <c r="I84" s="32"/>
      <c r="J84" s="34"/>
      <c r="K84" s="34"/>
      <c r="L84" s="35" t="s">
        <v>8</v>
      </c>
      <c r="M84" s="11" t="str">
        <f t="shared" si="3"/>
        <v>01</v>
      </c>
      <c r="N84" s="34"/>
      <c r="O84" s="34"/>
      <c r="P84" s="34"/>
      <c r="Q84" s="34"/>
      <c r="R84" s="34"/>
      <c r="S84" s="36"/>
    </row>
    <row r="85" ht="12.75" customHeight="1">
      <c r="A85" s="27">
        <v>74.0</v>
      </c>
      <c r="B85" s="28" t="s">
        <v>201</v>
      </c>
      <c r="C85" s="28" t="s">
        <v>11</v>
      </c>
      <c r="D85" s="29" t="str">
        <f t="shared" si="1"/>
        <v>II</v>
      </c>
      <c r="E85" s="30" t="str">
        <f t="shared" si="2"/>
        <v>FA040.24/II/01</v>
      </c>
      <c r="F85" s="30" t="s">
        <v>202</v>
      </c>
      <c r="G85" s="31">
        <v>43692.0</v>
      </c>
      <c r="H85" s="32">
        <v>771000.0</v>
      </c>
      <c r="I85" s="33"/>
      <c r="J85" s="34"/>
      <c r="K85" s="34"/>
      <c r="L85" s="35" t="s">
        <v>8</v>
      </c>
      <c r="M85" s="11" t="str">
        <f t="shared" si="3"/>
        <v>01</v>
      </c>
      <c r="N85" s="34"/>
      <c r="O85" s="34"/>
      <c r="P85" s="34"/>
      <c r="Q85" s="34"/>
      <c r="R85" s="34" t="s">
        <v>5</v>
      </c>
      <c r="S85" s="36"/>
    </row>
    <row r="86" ht="13.5" customHeight="1">
      <c r="A86" s="27">
        <v>75.0</v>
      </c>
      <c r="B86" s="28" t="s">
        <v>203</v>
      </c>
      <c r="C86" s="28" t="s">
        <v>11</v>
      </c>
      <c r="D86" s="29" t="str">
        <f t="shared" si="1"/>
        <v>II</v>
      </c>
      <c r="E86" s="30" t="str">
        <f t="shared" si="2"/>
        <v>FA040.25/II/01</v>
      </c>
      <c r="F86" s="30" t="s">
        <v>204</v>
      </c>
      <c r="G86" s="31">
        <v>43692.0</v>
      </c>
      <c r="H86" s="32">
        <v>1286000.0</v>
      </c>
      <c r="I86" s="33"/>
      <c r="J86" s="34"/>
      <c r="K86" s="34"/>
      <c r="L86" s="35" t="s">
        <v>8</v>
      </c>
      <c r="M86" s="11" t="str">
        <f t="shared" si="3"/>
        <v>01</v>
      </c>
      <c r="N86" s="34"/>
      <c r="O86" s="34"/>
      <c r="P86" s="34"/>
      <c r="Q86" s="34"/>
      <c r="R86" s="34" t="s">
        <v>5</v>
      </c>
      <c r="S86" s="36"/>
    </row>
    <row r="87" ht="13.5" customHeight="1">
      <c r="A87" s="76">
        <v>76.0</v>
      </c>
      <c r="B87" s="77" t="s">
        <v>205</v>
      </c>
      <c r="C87" s="77" t="s">
        <v>11</v>
      </c>
      <c r="D87" s="78" t="str">
        <f t="shared" si="1"/>
        <v>II</v>
      </c>
      <c r="E87" s="79" t="str">
        <f t="shared" si="2"/>
        <v>FA040.26/II/01</v>
      </c>
      <c r="F87" s="79" t="s">
        <v>206</v>
      </c>
      <c r="G87" s="80">
        <v>43692.0</v>
      </c>
      <c r="H87" s="44">
        <v>1016000.0</v>
      </c>
      <c r="I87" s="44"/>
      <c r="J87" s="81" t="s">
        <v>207</v>
      </c>
      <c r="K87" s="81" t="s">
        <v>170</v>
      </c>
      <c r="L87" s="81" t="s">
        <v>8</v>
      </c>
      <c r="M87" s="82" t="str">
        <f t="shared" si="3"/>
        <v>01</v>
      </c>
      <c r="N87" s="83"/>
      <c r="O87" s="83"/>
      <c r="P87" s="83"/>
      <c r="Q87" s="83"/>
      <c r="R87" s="81" t="s">
        <v>52</v>
      </c>
      <c r="S87" s="84"/>
    </row>
    <row r="88" ht="13.5" customHeight="1">
      <c r="A88" s="76">
        <v>77.0</v>
      </c>
      <c r="B88" s="77" t="s">
        <v>208</v>
      </c>
      <c r="C88" s="77" t="s">
        <v>11</v>
      </c>
      <c r="D88" s="78" t="str">
        <f t="shared" si="1"/>
        <v>II</v>
      </c>
      <c r="E88" s="79" t="str">
        <f t="shared" si="2"/>
        <v>FA040.27/II/01</v>
      </c>
      <c r="F88" s="79" t="s">
        <v>209</v>
      </c>
      <c r="G88" s="80">
        <v>43692.0</v>
      </c>
      <c r="H88" s="44">
        <v>883000.0</v>
      </c>
      <c r="I88" s="44"/>
      <c r="J88" s="81" t="s">
        <v>207</v>
      </c>
      <c r="K88" s="81" t="s">
        <v>170</v>
      </c>
      <c r="L88" s="81" t="s">
        <v>8</v>
      </c>
      <c r="M88" s="82" t="str">
        <f t="shared" si="3"/>
        <v>01</v>
      </c>
      <c r="N88" s="83"/>
      <c r="O88" s="83"/>
      <c r="P88" s="83"/>
      <c r="Q88" s="83"/>
      <c r="R88" s="81" t="s">
        <v>52</v>
      </c>
      <c r="S88" s="84"/>
    </row>
    <row r="89" ht="13.5" customHeight="1">
      <c r="A89" s="76">
        <v>78.0</v>
      </c>
      <c r="B89" s="77" t="s">
        <v>210</v>
      </c>
      <c r="C89" s="77" t="s">
        <v>11</v>
      </c>
      <c r="D89" s="78" t="str">
        <f t="shared" si="1"/>
        <v>II</v>
      </c>
      <c r="E89" s="79" t="str">
        <f t="shared" si="2"/>
        <v>FA040.28/II/01</v>
      </c>
      <c r="F89" s="79" t="s">
        <v>211</v>
      </c>
      <c r="G89" s="80">
        <v>43692.0</v>
      </c>
      <c r="H89" s="44">
        <v>800000.0</v>
      </c>
      <c r="I89" s="44"/>
      <c r="J89" s="81" t="s">
        <v>207</v>
      </c>
      <c r="K89" s="81" t="s">
        <v>170</v>
      </c>
      <c r="L89" s="81" t="s">
        <v>8</v>
      </c>
      <c r="M89" s="82" t="str">
        <f t="shared" si="3"/>
        <v>01</v>
      </c>
      <c r="N89" s="83"/>
      <c r="O89" s="83"/>
      <c r="P89" s="83"/>
      <c r="Q89" s="83"/>
      <c r="R89" s="81" t="s">
        <v>52</v>
      </c>
      <c r="S89" s="84"/>
    </row>
    <row r="90" ht="13.5" customHeight="1">
      <c r="A90" s="37">
        <v>79.0</v>
      </c>
      <c r="B90" s="38" t="s">
        <v>212</v>
      </c>
      <c r="C90" s="38" t="s">
        <v>11</v>
      </c>
      <c r="D90" s="39" t="str">
        <f t="shared" si="1"/>
        <v>II</v>
      </c>
      <c r="E90" s="40" t="str">
        <f t="shared" si="2"/>
        <v>FA040.29/II/01</v>
      </c>
      <c r="F90" s="40" t="s">
        <v>213</v>
      </c>
      <c r="G90" s="41">
        <v>43692.0</v>
      </c>
      <c r="H90" s="44">
        <v>2099000.0</v>
      </c>
      <c r="I90" s="44"/>
      <c r="J90" s="43" t="s">
        <v>97</v>
      </c>
      <c r="K90" s="43" t="s">
        <v>51</v>
      </c>
      <c r="L90" s="43" t="s">
        <v>8</v>
      </c>
      <c r="M90" s="9" t="str">
        <f t="shared" si="3"/>
        <v>01</v>
      </c>
      <c r="N90" s="8"/>
      <c r="O90" s="8"/>
      <c r="P90" s="8"/>
      <c r="Q90" s="8"/>
      <c r="R90" s="81" t="s">
        <v>52</v>
      </c>
      <c r="S90" s="10"/>
    </row>
    <row r="91" ht="13.5" customHeight="1">
      <c r="A91" s="27">
        <v>80.0</v>
      </c>
      <c r="B91" s="28" t="s">
        <v>214</v>
      </c>
      <c r="C91" s="28" t="s">
        <v>11</v>
      </c>
      <c r="D91" s="29" t="str">
        <f t="shared" si="1"/>
        <v>II</v>
      </c>
      <c r="E91" s="30" t="str">
        <f t="shared" si="2"/>
        <v>FA040.30/II/01</v>
      </c>
      <c r="F91" s="30" t="s">
        <v>215</v>
      </c>
      <c r="G91" s="31">
        <v>43692.0</v>
      </c>
      <c r="H91" s="32">
        <v>1600000.0</v>
      </c>
      <c r="I91" s="33"/>
      <c r="J91" s="34"/>
      <c r="K91" s="34"/>
      <c r="L91" s="35" t="s">
        <v>8</v>
      </c>
      <c r="M91" s="11" t="str">
        <f t="shared" si="3"/>
        <v>01</v>
      </c>
      <c r="N91" s="34"/>
      <c r="O91" s="34"/>
      <c r="P91" s="34"/>
      <c r="Q91" s="34"/>
      <c r="R91" s="34" t="s">
        <v>5</v>
      </c>
      <c r="S91" s="36"/>
    </row>
    <row r="92" ht="13.5" customHeight="1">
      <c r="A92" s="27">
        <v>81.0</v>
      </c>
      <c r="B92" s="28" t="s">
        <v>216</v>
      </c>
      <c r="C92" s="28" t="s">
        <v>11</v>
      </c>
      <c r="D92" s="29" t="str">
        <f t="shared" si="1"/>
        <v>II</v>
      </c>
      <c r="E92" s="30" t="str">
        <f t="shared" si="2"/>
        <v>FA040.31/II/01</v>
      </c>
      <c r="F92" s="30" t="s">
        <v>217</v>
      </c>
      <c r="G92" s="31">
        <v>43692.0</v>
      </c>
      <c r="H92" s="32">
        <v>900000.0</v>
      </c>
      <c r="I92" s="33"/>
      <c r="J92" s="34"/>
      <c r="K92" s="34"/>
      <c r="L92" s="35" t="s">
        <v>8</v>
      </c>
      <c r="M92" s="11" t="str">
        <f t="shared" si="3"/>
        <v>01</v>
      </c>
      <c r="N92" s="34"/>
      <c r="O92" s="34"/>
      <c r="P92" s="34"/>
      <c r="Q92" s="34"/>
      <c r="R92" s="34" t="s">
        <v>5</v>
      </c>
      <c r="S92" s="36"/>
    </row>
    <row r="93" ht="13.5" customHeight="1">
      <c r="A93" s="37">
        <v>82.0</v>
      </c>
      <c r="B93" s="38" t="s">
        <v>218</v>
      </c>
      <c r="C93" s="38" t="s">
        <v>6</v>
      </c>
      <c r="D93" s="39" t="str">
        <f t="shared" si="1"/>
        <v>I</v>
      </c>
      <c r="E93" s="40" t="str">
        <f t="shared" si="2"/>
        <v>FA041/I/01</v>
      </c>
      <c r="F93" s="40" t="s">
        <v>219</v>
      </c>
      <c r="G93" s="41">
        <v>43313.0</v>
      </c>
      <c r="H93" s="42">
        <v>1250000.0</v>
      </c>
      <c r="I93" s="42"/>
      <c r="J93" s="43" t="s">
        <v>112</v>
      </c>
      <c r="K93" s="43" t="s">
        <v>95</v>
      </c>
      <c r="L93" s="43" t="s">
        <v>8</v>
      </c>
      <c r="M93" s="9" t="str">
        <f t="shared" si="3"/>
        <v>01</v>
      </c>
      <c r="N93" s="8"/>
      <c r="O93" s="8"/>
      <c r="P93" s="8"/>
      <c r="Q93" s="8"/>
      <c r="R93" s="43" t="s">
        <v>52</v>
      </c>
      <c r="S93" s="10"/>
    </row>
    <row r="94" ht="13.5" customHeight="1">
      <c r="A94" s="45">
        <v>83.0</v>
      </c>
      <c r="B94" s="46" t="s">
        <v>220</v>
      </c>
      <c r="C94" s="46" t="s">
        <v>6</v>
      </c>
      <c r="D94" s="47" t="str">
        <f t="shared" si="1"/>
        <v>I</v>
      </c>
      <c r="E94" s="48" t="str">
        <f t="shared" si="2"/>
        <v>FA042/I/01</v>
      </c>
      <c r="F94" s="48" t="s">
        <v>221</v>
      </c>
      <c r="G94" s="49">
        <v>43678.0</v>
      </c>
      <c r="H94" s="50">
        <v>290000.0</v>
      </c>
      <c r="I94" s="51"/>
      <c r="J94" s="52"/>
      <c r="K94" s="52"/>
      <c r="L94" s="53" t="s">
        <v>8</v>
      </c>
      <c r="M94" s="15" t="str">
        <f t="shared" si="3"/>
        <v>01</v>
      </c>
      <c r="N94" s="52"/>
      <c r="O94" s="52"/>
      <c r="P94" s="52"/>
      <c r="Q94" s="52"/>
      <c r="R94" s="52" t="s">
        <v>10</v>
      </c>
      <c r="S94" s="97" t="s">
        <v>222</v>
      </c>
    </row>
    <row r="95" ht="13.5" customHeight="1">
      <c r="A95" s="45">
        <v>84.0</v>
      </c>
      <c r="B95" s="46" t="s">
        <v>223</v>
      </c>
      <c r="C95" s="46" t="s">
        <v>6</v>
      </c>
      <c r="D95" s="47" t="str">
        <f t="shared" si="1"/>
        <v>I</v>
      </c>
      <c r="E95" s="48" t="str">
        <f t="shared" si="2"/>
        <v>FA043/I/02</v>
      </c>
      <c r="F95" s="48" t="s">
        <v>224</v>
      </c>
      <c r="G95" s="49">
        <v>43711.0</v>
      </c>
      <c r="H95" s="50">
        <v>3270000.0</v>
      </c>
      <c r="I95" s="50"/>
      <c r="J95" s="52"/>
      <c r="K95" s="53"/>
      <c r="L95" s="53" t="s">
        <v>13</v>
      </c>
      <c r="M95" s="15" t="str">
        <f t="shared" si="3"/>
        <v>02</v>
      </c>
      <c r="N95" s="52"/>
      <c r="O95" s="52"/>
      <c r="P95" s="52"/>
      <c r="Q95" s="52"/>
      <c r="R95" s="53" t="s">
        <v>10</v>
      </c>
      <c r="S95" s="54"/>
    </row>
    <row r="96" ht="13.5" customHeight="1">
      <c r="A96" s="37">
        <v>85.0</v>
      </c>
      <c r="B96" s="38" t="s">
        <v>225</v>
      </c>
      <c r="C96" s="38" t="s">
        <v>6</v>
      </c>
      <c r="D96" s="39" t="str">
        <f t="shared" si="1"/>
        <v>I</v>
      </c>
      <c r="E96" s="40" t="str">
        <f t="shared" si="2"/>
        <v>FA044/I/01</v>
      </c>
      <c r="F96" s="40" t="s">
        <v>226</v>
      </c>
      <c r="G96" s="41">
        <v>43711.0</v>
      </c>
      <c r="H96" s="44">
        <v>565000.0</v>
      </c>
      <c r="I96" s="44"/>
      <c r="J96" s="43" t="s">
        <v>169</v>
      </c>
      <c r="K96" s="43" t="s">
        <v>170</v>
      </c>
      <c r="L96" s="8" t="s">
        <v>8</v>
      </c>
      <c r="M96" s="9" t="str">
        <f t="shared" si="3"/>
        <v>01</v>
      </c>
      <c r="N96" s="8" t="s">
        <v>71</v>
      </c>
      <c r="O96" s="8"/>
      <c r="P96" s="8"/>
      <c r="Q96" s="43" t="s">
        <v>227</v>
      </c>
      <c r="R96" s="43" t="s">
        <v>52</v>
      </c>
      <c r="S96" s="10"/>
    </row>
    <row r="97" ht="13.5" customHeight="1">
      <c r="A97" s="37">
        <v>86.0</v>
      </c>
      <c r="B97" s="38" t="s">
        <v>228</v>
      </c>
      <c r="C97" s="38" t="s">
        <v>24</v>
      </c>
      <c r="D97" s="39" t="str">
        <f t="shared" si="1"/>
        <v>V</v>
      </c>
      <c r="E97" s="40" t="str">
        <f t="shared" si="2"/>
        <v>FA045/V/01</v>
      </c>
      <c r="F97" s="40" t="s">
        <v>229</v>
      </c>
      <c r="G97" s="41">
        <v>43711.0</v>
      </c>
      <c r="H97" s="44">
        <v>1300000.0</v>
      </c>
      <c r="I97" s="44"/>
      <c r="J97" s="43" t="s">
        <v>169</v>
      </c>
      <c r="K97" s="43" t="s">
        <v>170</v>
      </c>
      <c r="L97" s="8" t="s">
        <v>8</v>
      </c>
      <c r="M97" s="9" t="str">
        <f t="shared" si="3"/>
        <v>01</v>
      </c>
      <c r="N97" s="8" t="s">
        <v>230</v>
      </c>
      <c r="O97" s="8"/>
      <c r="P97" s="8"/>
      <c r="Q97" s="43" t="s">
        <v>227</v>
      </c>
      <c r="R97" s="43" t="s">
        <v>52</v>
      </c>
      <c r="S97" s="10"/>
    </row>
    <row r="98" ht="13.5" customHeight="1">
      <c r="A98" s="37">
        <v>87.0</v>
      </c>
      <c r="B98" s="38" t="s">
        <v>231</v>
      </c>
      <c r="C98" s="38" t="s">
        <v>6</v>
      </c>
      <c r="D98" s="39" t="str">
        <f t="shared" si="1"/>
        <v>I</v>
      </c>
      <c r="E98" s="40" t="str">
        <f t="shared" si="2"/>
        <v>FA046/I/01</v>
      </c>
      <c r="F98" s="40" t="s">
        <v>232</v>
      </c>
      <c r="G98" s="41">
        <v>43713.0</v>
      </c>
      <c r="H98" s="44">
        <v>3860000.0</v>
      </c>
      <c r="I98" s="44"/>
      <c r="J98" s="43" t="s">
        <v>112</v>
      </c>
      <c r="K98" s="43" t="s">
        <v>95</v>
      </c>
      <c r="L98" s="43" t="s">
        <v>8</v>
      </c>
      <c r="M98" s="9" t="str">
        <f t="shared" si="3"/>
        <v>01</v>
      </c>
      <c r="N98" s="8" t="s">
        <v>66</v>
      </c>
      <c r="O98" s="8" t="s">
        <v>233</v>
      </c>
      <c r="P98" s="8"/>
      <c r="Q98" s="8"/>
      <c r="R98" s="43" t="s">
        <v>52</v>
      </c>
      <c r="S98" s="10"/>
    </row>
    <row r="99" ht="13.5" customHeight="1">
      <c r="A99" s="76">
        <v>88.0</v>
      </c>
      <c r="B99" s="77" t="s">
        <v>234</v>
      </c>
      <c r="C99" s="77" t="s">
        <v>6</v>
      </c>
      <c r="D99" s="78" t="str">
        <f t="shared" si="1"/>
        <v>I</v>
      </c>
      <c r="E99" s="79" t="str">
        <f t="shared" si="2"/>
        <v>FA047/I/01</v>
      </c>
      <c r="F99" s="79" t="s">
        <v>235</v>
      </c>
      <c r="G99" s="80">
        <v>43713.0</v>
      </c>
      <c r="H99" s="44">
        <f t="shared" ref="H99:H100" si="4">4898000/2</f>
        <v>2449000</v>
      </c>
      <c r="I99" s="98"/>
      <c r="J99" s="81" t="s">
        <v>162</v>
      </c>
      <c r="K99" s="81" t="s">
        <v>95</v>
      </c>
      <c r="L99" s="81" t="s">
        <v>8</v>
      </c>
      <c r="M99" s="82" t="str">
        <f t="shared" si="3"/>
        <v>01</v>
      </c>
      <c r="N99" s="81" t="s">
        <v>236</v>
      </c>
      <c r="O99" s="83"/>
      <c r="P99" s="83"/>
      <c r="Q99" s="83"/>
      <c r="R99" s="81" t="s">
        <v>52</v>
      </c>
      <c r="S99" s="84"/>
    </row>
    <row r="100" ht="13.5" customHeight="1">
      <c r="A100" s="99">
        <v>88.0</v>
      </c>
      <c r="B100" s="77" t="s">
        <v>237</v>
      </c>
      <c r="C100" s="77" t="s">
        <v>6</v>
      </c>
      <c r="D100" s="78" t="str">
        <f t="shared" si="1"/>
        <v>I</v>
      </c>
      <c r="E100" s="79" t="str">
        <f t="shared" si="2"/>
        <v>FA047.1/I/01</v>
      </c>
      <c r="F100" s="79" t="s">
        <v>235</v>
      </c>
      <c r="G100" s="80">
        <v>43713.0</v>
      </c>
      <c r="H100" s="100">
        <f t="shared" si="4"/>
        <v>2449000</v>
      </c>
      <c r="I100" s="98"/>
      <c r="J100" s="81" t="s">
        <v>162</v>
      </c>
      <c r="K100" s="81" t="s">
        <v>95</v>
      </c>
      <c r="L100" s="81" t="s">
        <v>8</v>
      </c>
      <c r="M100" s="82" t="str">
        <f t="shared" si="3"/>
        <v>01</v>
      </c>
      <c r="N100" s="81" t="s">
        <v>236</v>
      </c>
      <c r="O100" s="83"/>
      <c r="P100" s="83"/>
      <c r="Q100" s="81" t="s">
        <v>238</v>
      </c>
      <c r="R100" s="81" t="s">
        <v>52</v>
      </c>
      <c r="S100" s="84"/>
    </row>
    <row r="101" ht="13.5" customHeight="1">
      <c r="A101" s="99">
        <v>88.0</v>
      </c>
      <c r="B101" s="77" t="s">
        <v>239</v>
      </c>
      <c r="C101" s="77" t="s">
        <v>6</v>
      </c>
      <c r="D101" s="78" t="str">
        <f t="shared" si="1"/>
        <v>I</v>
      </c>
      <c r="E101" s="79" t="str">
        <f t="shared" si="2"/>
        <v>FA047.2/I/01</v>
      </c>
      <c r="F101" s="79" t="s">
        <v>235</v>
      </c>
      <c r="G101" s="80">
        <v>43713.0</v>
      </c>
      <c r="H101" s="44">
        <v>4898000.0</v>
      </c>
      <c r="I101" s="98"/>
      <c r="J101" s="81" t="s">
        <v>162</v>
      </c>
      <c r="K101" s="81"/>
      <c r="L101" s="81" t="s">
        <v>8</v>
      </c>
      <c r="M101" s="82" t="str">
        <f t="shared" si="3"/>
        <v>01</v>
      </c>
      <c r="N101" s="83"/>
      <c r="O101" s="83"/>
      <c r="P101" s="83"/>
      <c r="Q101" s="83"/>
      <c r="R101" s="81"/>
      <c r="S101" s="84"/>
    </row>
    <row r="102" ht="13.5" customHeight="1">
      <c r="A102" s="27">
        <v>89.0</v>
      </c>
      <c r="B102" s="28" t="s">
        <v>240</v>
      </c>
      <c r="C102" s="28" t="s">
        <v>6</v>
      </c>
      <c r="D102" s="29" t="str">
        <f t="shared" si="1"/>
        <v>I</v>
      </c>
      <c r="E102" s="30" t="str">
        <f t="shared" si="2"/>
        <v>FA048/I/01</v>
      </c>
      <c r="F102" s="30" t="s">
        <v>241</v>
      </c>
      <c r="G102" s="31">
        <v>43720.0</v>
      </c>
      <c r="H102" s="32">
        <v>7320000.0</v>
      </c>
      <c r="I102" s="33"/>
      <c r="J102" s="34"/>
      <c r="K102" s="34"/>
      <c r="L102" s="35" t="s">
        <v>8</v>
      </c>
      <c r="M102" s="11" t="str">
        <f t="shared" si="3"/>
        <v>01</v>
      </c>
      <c r="N102" s="34" t="s">
        <v>242</v>
      </c>
      <c r="O102" s="34"/>
      <c r="P102" s="34"/>
      <c r="Q102" s="34"/>
      <c r="R102" s="34" t="s">
        <v>5</v>
      </c>
      <c r="S102" s="36"/>
    </row>
    <row r="103" ht="13.5" customHeight="1">
      <c r="A103" s="45">
        <v>90.0</v>
      </c>
      <c r="B103" s="46" t="s">
        <v>243</v>
      </c>
      <c r="C103" s="46" t="s">
        <v>24</v>
      </c>
      <c r="D103" s="47" t="str">
        <f t="shared" si="1"/>
        <v>V</v>
      </c>
      <c r="E103" s="48" t="str">
        <f t="shared" si="2"/>
        <v>FA049/V/02</v>
      </c>
      <c r="F103" s="48" t="s">
        <v>244</v>
      </c>
      <c r="G103" s="49">
        <v>43709.0</v>
      </c>
      <c r="H103" s="50">
        <v>1775427.0</v>
      </c>
      <c r="I103" s="50"/>
      <c r="J103" s="52"/>
      <c r="K103" s="53" t="s">
        <v>51</v>
      </c>
      <c r="L103" s="53" t="s">
        <v>13</v>
      </c>
      <c r="M103" s="15" t="str">
        <f t="shared" si="3"/>
        <v>02</v>
      </c>
      <c r="N103" s="52"/>
      <c r="O103" s="52"/>
      <c r="P103" s="52"/>
      <c r="Q103" s="53" t="s">
        <v>245</v>
      </c>
      <c r="R103" s="53" t="s">
        <v>10</v>
      </c>
      <c r="S103" s="54"/>
    </row>
    <row r="104" ht="13.5" customHeight="1">
      <c r="A104" s="37">
        <v>91.0</v>
      </c>
      <c r="B104" s="38" t="s">
        <v>246</v>
      </c>
      <c r="C104" s="38" t="s">
        <v>6</v>
      </c>
      <c r="D104" s="39" t="str">
        <f t="shared" si="1"/>
        <v>I</v>
      </c>
      <c r="E104" s="40" t="str">
        <f t="shared" si="2"/>
        <v>FA050/I/01</v>
      </c>
      <c r="F104" s="40" t="s">
        <v>247</v>
      </c>
      <c r="G104" s="41">
        <v>43709.0</v>
      </c>
      <c r="H104" s="42">
        <v>1605000.0</v>
      </c>
      <c r="I104" s="42"/>
      <c r="J104" s="43" t="s">
        <v>162</v>
      </c>
      <c r="K104" s="43" t="s">
        <v>95</v>
      </c>
      <c r="L104" s="8" t="s">
        <v>8</v>
      </c>
      <c r="M104" s="9" t="str">
        <f t="shared" si="3"/>
        <v>01</v>
      </c>
      <c r="N104" s="43" t="s">
        <v>248</v>
      </c>
      <c r="O104" s="8"/>
      <c r="P104" s="8"/>
      <c r="Q104" s="8"/>
      <c r="R104" s="43" t="s">
        <v>52</v>
      </c>
      <c r="S104" s="10"/>
    </row>
    <row r="105" ht="13.5" customHeight="1">
      <c r="A105" s="37">
        <v>92.0</v>
      </c>
      <c r="B105" s="38" t="s">
        <v>249</v>
      </c>
      <c r="C105" s="38" t="s">
        <v>11</v>
      </c>
      <c r="D105" s="39" t="str">
        <f t="shared" si="1"/>
        <v>II</v>
      </c>
      <c r="E105" s="40" t="str">
        <f t="shared" si="2"/>
        <v>FA051/II/01</v>
      </c>
      <c r="F105" s="40" t="s">
        <v>250</v>
      </c>
      <c r="G105" s="41">
        <v>43770.0</v>
      </c>
      <c r="H105" s="44">
        <v>1099000.0</v>
      </c>
      <c r="I105" s="44"/>
      <c r="J105" s="43" t="s">
        <v>80</v>
      </c>
      <c r="K105" s="43" t="s">
        <v>81</v>
      </c>
      <c r="L105" s="43" t="s">
        <v>8</v>
      </c>
      <c r="M105" s="9" t="str">
        <f t="shared" si="3"/>
        <v>01</v>
      </c>
      <c r="N105" s="8" t="s">
        <v>155</v>
      </c>
      <c r="O105" s="8"/>
      <c r="P105" s="8"/>
      <c r="Q105" s="8"/>
      <c r="R105" s="43" t="s">
        <v>52</v>
      </c>
      <c r="S105" s="10"/>
    </row>
    <row r="106" ht="13.5" customHeight="1">
      <c r="A106" s="55">
        <v>93.0</v>
      </c>
      <c r="B106" s="46" t="s">
        <v>251</v>
      </c>
      <c r="C106" s="46" t="s">
        <v>11</v>
      </c>
      <c r="D106" s="47" t="str">
        <f t="shared" si="1"/>
        <v>II</v>
      </c>
      <c r="E106" s="48" t="str">
        <f t="shared" si="2"/>
        <v>FA052/II/02</v>
      </c>
      <c r="F106" s="48" t="s">
        <v>252</v>
      </c>
      <c r="G106" s="49">
        <v>43809.0</v>
      </c>
      <c r="H106" s="50">
        <f t="shared" ref="H106:H107" si="5">2198000/2</f>
        <v>1099000</v>
      </c>
      <c r="I106" s="50"/>
      <c r="J106" s="52"/>
      <c r="K106" s="52"/>
      <c r="L106" s="53" t="s">
        <v>13</v>
      </c>
      <c r="M106" s="15" t="str">
        <f t="shared" si="3"/>
        <v>02</v>
      </c>
      <c r="N106" s="52" t="s">
        <v>155</v>
      </c>
      <c r="O106" s="52"/>
      <c r="P106" s="52"/>
      <c r="Q106" s="53" t="s">
        <v>253</v>
      </c>
      <c r="R106" s="53" t="s">
        <v>10</v>
      </c>
      <c r="S106" s="54"/>
    </row>
    <row r="107" ht="13.5" customHeight="1">
      <c r="A107" s="75">
        <v>93.0</v>
      </c>
      <c r="B107" s="77" t="s">
        <v>254</v>
      </c>
      <c r="C107" s="77" t="s">
        <v>11</v>
      </c>
      <c r="D107" s="78" t="str">
        <f t="shared" si="1"/>
        <v>II</v>
      </c>
      <c r="E107" s="79" t="str">
        <f t="shared" si="2"/>
        <v>FA052.1/II/03</v>
      </c>
      <c r="F107" s="79" t="s">
        <v>252</v>
      </c>
      <c r="G107" s="80">
        <v>43809.0</v>
      </c>
      <c r="H107" s="44">
        <f t="shared" si="5"/>
        <v>1099000</v>
      </c>
      <c r="I107" s="44"/>
      <c r="J107" s="81" t="s">
        <v>138</v>
      </c>
      <c r="K107" s="81" t="s">
        <v>95</v>
      </c>
      <c r="L107" s="81" t="s">
        <v>18</v>
      </c>
      <c r="M107" s="82" t="str">
        <f t="shared" si="3"/>
        <v>03</v>
      </c>
      <c r="N107" s="81" t="s">
        <v>155</v>
      </c>
      <c r="O107" s="83"/>
      <c r="P107" s="83"/>
      <c r="Q107" s="81"/>
      <c r="R107" s="81" t="s">
        <v>52</v>
      </c>
      <c r="S107" s="84"/>
    </row>
    <row r="108" ht="13.5" customHeight="1">
      <c r="A108" s="66">
        <v>94.0</v>
      </c>
      <c r="B108" s="67" t="s">
        <v>255</v>
      </c>
      <c r="C108" s="67" t="s">
        <v>24</v>
      </c>
      <c r="D108" s="68" t="str">
        <f t="shared" si="1"/>
        <v>V</v>
      </c>
      <c r="E108" s="69" t="str">
        <f t="shared" si="2"/>
        <v>FA053/V/02</v>
      </c>
      <c r="F108" s="69" t="s">
        <v>256</v>
      </c>
      <c r="G108" s="70">
        <v>43858.0</v>
      </c>
      <c r="H108" s="71">
        <v>1991700.0</v>
      </c>
      <c r="I108" s="71"/>
      <c r="J108" s="72"/>
      <c r="K108" s="72"/>
      <c r="L108" s="73" t="s">
        <v>13</v>
      </c>
      <c r="M108" s="17" t="str">
        <f t="shared" si="3"/>
        <v>02</v>
      </c>
      <c r="N108" s="73" t="s">
        <v>257</v>
      </c>
      <c r="O108" s="72"/>
      <c r="P108" s="72"/>
      <c r="Q108" s="73" t="s">
        <v>258</v>
      </c>
      <c r="R108" s="72"/>
      <c r="S108" s="74"/>
    </row>
    <row r="109" ht="13.5" customHeight="1">
      <c r="A109" s="37">
        <v>95.0</v>
      </c>
      <c r="B109" s="38" t="s">
        <v>259</v>
      </c>
      <c r="C109" s="38" t="s">
        <v>11</v>
      </c>
      <c r="D109" s="39" t="str">
        <f t="shared" si="1"/>
        <v>II</v>
      </c>
      <c r="E109" s="40" t="str">
        <f t="shared" si="2"/>
        <v>FA054.1/II/01</v>
      </c>
      <c r="F109" s="8" t="s">
        <v>79</v>
      </c>
      <c r="G109" s="41">
        <v>43871.0</v>
      </c>
      <c r="H109" s="44">
        <v>726364.0</v>
      </c>
      <c r="I109" s="44"/>
      <c r="J109" s="43" t="s">
        <v>166</v>
      </c>
      <c r="K109" s="43" t="s">
        <v>95</v>
      </c>
      <c r="L109" s="43" t="s">
        <v>8</v>
      </c>
      <c r="M109" s="9" t="str">
        <f t="shared" si="3"/>
        <v>01</v>
      </c>
      <c r="N109" s="8" t="s">
        <v>155</v>
      </c>
      <c r="O109" s="8"/>
      <c r="P109" s="8"/>
      <c r="Q109" s="8"/>
      <c r="R109" s="43" t="s">
        <v>52</v>
      </c>
      <c r="S109" s="10"/>
    </row>
    <row r="110" ht="13.5" customHeight="1">
      <c r="A110" s="37">
        <v>96.0</v>
      </c>
      <c r="B110" s="38" t="s">
        <v>260</v>
      </c>
      <c r="C110" s="38" t="s">
        <v>11</v>
      </c>
      <c r="D110" s="39" t="str">
        <f t="shared" si="1"/>
        <v>II</v>
      </c>
      <c r="E110" s="40" t="str">
        <f t="shared" si="2"/>
        <v>FA054.2/II/01</v>
      </c>
      <c r="F110" s="40" t="s">
        <v>261</v>
      </c>
      <c r="G110" s="41">
        <v>43871.0</v>
      </c>
      <c r="H110" s="44">
        <v>617728.0</v>
      </c>
      <c r="I110" s="44"/>
      <c r="J110" s="43" t="s">
        <v>262</v>
      </c>
      <c r="K110" s="43" t="s">
        <v>170</v>
      </c>
      <c r="L110" s="43" t="s">
        <v>8</v>
      </c>
      <c r="M110" s="9" t="str">
        <f t="shared" si="3"/>
        <v>01</v>
      </c>
      <c r="N110" s="8" t="s">
        <v>155</v>
      </c>
      <c r="O110" s="8"/>
      <c r="P110" s="8"/>
      <c r="Q110" s="8"/>
      <c r="R110" s="43" t="s">
        <v>52</v>
      </c>
      <c r="S110" s="10"/>
    </row>
    <row r="111" ht="13.5" customHeight="1">
      <c r="A111" s="37">
        <v>97.0</v>
      </c>
      <c r="B111" s="38" t="s">
        <v>263</v>
      </c>
      <c r="C111" s="38" t="s">
        <v>11</v>
      </c>
      <c r="D111" s="39" t="str">
        <f t="shared" si="1"/>
        <v>II</v>
      </c>
      <c r="E111" s="40" t="str">
        <f t="shared" si="2"/>
        <v>FA054.3/II/01</v>
      </c>
      <c r="F111" s="83" t="s">
        <v>261</v>
      </c>
      <c r="G111" s="41">
        <v>43871.0</v>
      </c>
      <c r="H111" s="44">
        <v>617728.0</v>
      </c>
      <c r="I111" s="44"/>
      <c r="J111" s="43" t="s">
        <v>264</v>
      </c>
      <c r="K111" s="43" t="s">
        <v>158</v>
      </c>
      <c r="L111" s="43" t="s">
        <v>8</v>
      </c>
      <c r="M111" s="9" t="str">
        <f t="shared" si="3"/>
        <v>01</v>
      </c>
      <c r="N111" s="8" t="s">
        <v>155</v>
      </c>
      <c r="O111" s="8"/>
      <c r="P111" s="8"/>
      <c r="Q111" s="8"/>
      <c r="R111" s="43" t="s">
        <v>52</v>
      </c>
      <c r="S111" s="10"/>
    </row>
    <row r="112" ht="13.5" customHeight="1">
      <c r="A112" s="76">
        <v>98.0</v>
      </c>
      <c r="B112" s="77" t="s">
        <v>265</v>
      </c>
      <c r="C112" s="77" t="s">
        <v>11</v>
      </c>
      <c r="D112" s="78" t="str">
        <f t="shared" si="1"/>
        <v>II</v>
      </c>
      <c r="E112" s="79" t="str">
        <f t="shared" si="2"/>
        <v>FA055/II/01</v>
      </c>
      <c r="F112" s="79" t="s">
        <v>266</v>
      </c>
      <c r="G112" s="80">
        <v>43900.0</v>
      </c>
      <c r="H112" s="44">
        <v>790000.0</v>
      </c>
      <c r="I112" s="44"/>
      <c r="J112" s="81"/>
      <c r="K112" s="81" t="s">
        <v>51</v>
      </c>
      <c r="L112" s="81" t="s">
        <v>8</v>
      </c>
      <c r="M112" s="82" t="str">
        <f t="shared" si="3"/>
        <v>01</v>
      </c>
      <c r="N112" s="83" t="s">
        <v>155</v>
      </c>
      <c r="O112" s="83"/>
      <c r="P112" s="83"/>
      <c r="Q112" s="83"/>
      <c r="R112" s="81" t="s">
        <v>52</v>
      </c>
      <c r="S112" s="84"/>
    </row>
    <row r="113" ht="13.5" customHeight="1">
      <c r="A113" s="66">
        <v>99.0</v>
      </c>
      <c r="B113" s="67" t="s">
        <v>267</v>
      </c>
      <c r="C113" s="67" t="s">
        <v>6</v>
      </c>
      <c r="D113" s="68" t="str">
        <f t="shared" si="1"/>
        <v>I</v>
      </c>
      <c r="E113" s="69" t="str">
        <f t="shared" si="2"/>
        <v>FA056/I/01</v>
      </c>
      <c r="F113" s="69" t="s">
        <v>75</v>
      </c>
      <c r="G113" s="70">
        <v>43633.0</v>
      </c>
      <c r="H113" s="71">
        <v>3.1228995E7</v>
      </c>
      <c r="I113" s="71"/>
      <c r="J113" s="72"/>
      <c r="K113" s="72"/>
      <c r="L113" s="73" t="s">
        <v>8</v>
      </c>
      <c r="M113" s="17" t="str">
        <f t="shared" si="3"/>
        <v>01</v>
      </c>
      <c r="N113" s="72"/>
      <c r="O113" s="72"/>
      <c r="P113" s="72"/>
      <c r="Q113" s="72"/>
      <c r="R113" s="72"/>
      <c r="S113" s="74"/>
    </row>
    <row r="114" ht="13.5" customHeight="1">
      <c r="A114" s="37">
        <v>105.0</v>
      </c>
      <c r="B114" s="38" t="s">
        <v>268</v>
      </c>
      <c r="C114" s="38" t="s">
        <v>6</v>
      </c>
      <c r="D114" s="39" t="str">
        <f t="shared" si="1"/>
        <v>I</v>
      </c>
      <c r="E114" s="40" t="str">
        <f t="shared" si="2"/>
        <v>FA062/I/01</v>
      </c>
      <c r="F114" s="38" t="s">
        <v>269</v>
      </c>
      <c r="G114" s="41">
        <v>44287.0</v>
      </c>
      <c r="H114" s="44">
        <v>688000.0</v>
      </c>
      <c r="I114" s="44"/>
      <c r="J114" s="43" t="s">
        <v>50</v>
      </c>
      <c r="K114" s="43" t="s">
        <v>51</v>
      </c>
      <c r="L114" s="8" t="s">
        <v>8</v>
      </c>
      <c r="M114" s="9" t="str">
        <f t="shared" si="3"/>
        <v>01</v>
      </c>
      <c r="N114" s="43" t="s">
        <v>270</v>
      </c>
      <c r="O114" s="8"/>
      <c r="P114" s="8"/>
      <c r="Q114" s="8"/>
      <c r="R114" s="43" t="s">
        <v>52</v>
      </c>
      <c r="S114" s="10"/>
    </row>
    <row r="115" ht="13.5" customHeight="1">
      <c r="A115" s="37">
        <v>106.0</v>
      </c>
      <c r="B115" s="38" t="s">
        <v>271</v>
      </c>
      <c r="C115" s="38" t="s">
        <v>6</v>
      </c>
      <c r="D115" s="39" t="str">
        <f t="shared" si="1"/>
        <v>I</v>
      </c>
      <c r="E115" s="40" t="str">
        <f t="shared" si="2"/>
        <v>FA063/I/01</v>
      </c>
      <c r="F115" s="40" t="s">
        <v>272</v>
      </c>
      <c r="G115" s="41">
        <v>44384.0</v>
      </c>
      <c r="H115" s="42">
        <v>3218000.0</v>
      </c>
      <c r="I115" s="42"/>
      <c r="J115" s="43" t="s">
        <v>273</v>
      </c>
      <c r="K115" s="43" t="s">
        <v>95</v>
      </c>
      <c r="L115" s="43" t="s">
        <v>8</v>
      </c>
      <c r="M115" s="9" t="str">
        <f t="shared" si="3"/>
        <v>01</v>
      </c>
      <c r="N115" s="43" t="s">
        <v>127</v>
      </c>
      <c r="O115" s="8"/>
      <c r="P115" s="8"/>
      <c r="Q115" s="43"/>
      <c r="R115" s="43" t="s">
        <v>52</v>
      </c>
      <c r="S115" s="10"/>
    </row>
    <row r="116" ht="13.5" customHeight="1">
      <c r="A116" s="37">
        <v>107.0</v>
      </c>
      <c r="B116" s="38" t="s">
        <v>274</v>
      </c>
      <c r="C116" s="38" t="s">
        <v>16</v>
      </c>
      <c r="D116" s="39" t="str">
        <f t="shared" si="1"/>
        <v>III</v>
      </c>
      <c r="E116" s="40" t="str">
        <f t="shared" si="2"/>
        <v>FA064/III/01</v>
      </c>
      <c r="F116" s="40" t="s">
        <v>275</v>
      </c>
      <c r="G116" s="41">
        <v>44510.0</v>
      </c>
      <c r="H116" s="44">
        <v>1.0239E7</v>
      </c>
      <c r="I116" s="44"/>
      <c r="J116" s="43" t="s">
        <v>276</v>
      </c>
      <c r="K116" s="43" t="s">
        <v>47</v>
      </c>
      <c r="L116" s="8" t="s">
        <v>8</v>
      </c>
      <c r="M116" s="9" t="str">
        <f t="shared" si="3"/>
        <v>01</v>
      </c>
      <c r="N116" s="8" t="s">
        <v>121</v>
      </c>
      <c r="O116" s="8"/>
      <c r="P116" s="8"/>
      <c r="Q116" s="8"/>
      <c r="R116" s="43" t="s">
        <v>52</v>
      </c>
      <c r="S116" s="10"/>
    </row>
    <row r="117" ht="13.5" customHeight="1">
      <c r="A117" s="37">
        <v>108.0</v>
      </c>
      <c r="B117" s="38" t="s">
        <v>277</v>
      </c>
      <c r="C117" s="38" t="s">
        <v>6</v>
      </c>
      <c r="D117" s="39" t="str">
        <f t="shared" si="1"/>
        <v>I</v>
      </c>
      <c r="E117" s="40" t="str">
        <f t="shared" si="2"/>
        <v>FA065/I/02</v>
      </c>
      <c r="F117" s="40" t="s">
        <v>278</v>
      </c>
      <c r="G117" s="41">
        <v>44652.0</v>
      </c>
      <c r="H117" s="44">
        <v>2325000.0</v>
      </c>
      <c r="I117" s="44"/>
      <c r="J117" s="43" t="s">
        <v>138</v>
      </c>
      <c r="K117" s="43" t="s">
        <v>95</v>
      </c>
      <c r="L117" s="43" t="s">
        <v>13</v>
      </c>
      <c r="M117" s="9" t="str">
        <f t="shared" si="3"/>
        <v>02</v>
      </c>
      <c r="N117" s="8" t="s">
        <v>279</v>
      </c>
      <c r="O117" s="8"/>
      <c r="P117" s="8"/>
      <c r="Q117" s="8"/>
      <c r="R117" s="43" t="s">
        <v>52</v>
      </c>
      <c r="S117" s="10"/>
    </row>
    <row r="118" ht="13.5" customHeight="1">
      <c r="A118" s="37">
        <v>109.0</v>
      </c>
      <c r="B118" s="38" t="s">
        <v>280</v>
      </c>
      <c r="C118" s="38" t="s">
        <v>16</v>
      </c>
      <c r="D118" s="39" t="str">
        <f t="shared" si="1"/>
        <v>III</v>
      </c>
      <c r="E118" s="40" t="str">
        <f t="shared" si="2"/>
        <v>FA066/III/01</v>
      </c>
      <c r="F118" s="40" t="s">
        <v>281</v>
      </c>
      <c r="G118" s="41">
        <v>44774.0</v>
      </c>
      <c r="H118" s="44">
        <v>1.31E7</v>
      </c>
      <c r="I118" s="44"/>
      <c r="J118" s="43" t="s">
        <v>80</v>
      </c>
      <c r="K118" s="43" t="s">
        <v>81</v>
      </c>
      <c r="L118" s="8" t="s">
        <v>8</v>
      </c>
      <c r="M118" s="9" t="str">
        <f t="shared" si="3"/>
        <v>01</v>
      </c>
      <c r="N118" s="8" t="s">
        <v>84</v>
      </c>
      <c r="O118" s="8"/>
      <c r="P118" s="8"/>
      <c r="Q118" s="8"/>
      <c r="R118" s="43" t="s">
        <v>52</v>
      </c>
      <c r="S118" s="10"/>
    </row>
    <row r="119" ht="13.5" customHeight="1">
      <c r="A119" s="76">
        <v>110.0</v>
      </c>
      <c r="B119" s="77" t="s">
        <v>282</v>
      </c>
      <c r="C119" s="81" t="s">
        <v>24</v>
      </c>
      <c r="D119" s="78" t="str">
        <f t="shared" si="1"/>
        <v>V</v>
      </c>
      <c r="E119" s="79" t="str">
        <f t="shared" si="2"/>
        <v>FA067/V/01</v>
      </c>
      <c r="F119" s="81" t="s">
        <v>283</v>
      </c>
      <c r="G119" s="80">
        <v>44985.0</v>
      </c>
      <c r="H119" s="101"/>
      <c r="I119" s="98">
        <v>1285100.0</v>
      </c>
      <c r="J119" s="81" t="s">
        <v>97</v>
      </c>
      <c r="K119" s="81" t="s">
        <v>51</v>
      </c>
      <c r="L119" s="81" t="s">
        <v>8</v>
      </c>
      <c r="M119" s="82" t="str">
        <f t="shared" si="3"/>
        <v>01</v>
      </c>
      <c r="N119" s="81" t="s">
        <v>284</v>
      </c>
      <c r="O119" s="83"/>
      <c r="P119" s="83"/>
      <c r="Q119" s="83"/>
      <c r="R119" s="43" t="s">
        <v>52</v>
      </c>
      <c r="S119" s="84"/>
    </row>
    <row r="120" ht="13.5" customHeight="1">
      <c r="A120" s="37">
        <v>111.0</v>
      </c>
      <c r="B120" s="38" t="s">
        <v>285</v>
      </c>
      <c r="C120" s="38" t="s">
        <v>16</v>
      </c>
      <c r="D120" s="39" t="str">
        <f t="shared" si="1"/>
        <v>III</v>
      </c>
      <c r="E120" s="40" t="str">
        <f t="shared" si="2"/>
        <v>FA068/III/01</v>
      </c>
      <c r="F120" s="40" t="s">
        <v>286</v>
      </c>
      <c r="G120" s="41">
        <v>44774.0</v>
      </c>
      <c r="H120" s="44">
        <v>6799000.0</v>
      </c>
      <c r="I120" s="44"/>
      <c r="J120" s="43" t="s">
        <v>287</v>
      </c>
      <c r="K120" s="8" t="s">
        <v>158</v>
      </c>
      <c r="L120" s="8" t="s">
        <v>8</v>
      </c>
      <c r="M120" s="9" t="str">
        <f t="shared" si="3"/>
        <v>01</v>
      </c>
      <c r="N120" s="8" t="s">
        <v>121</v>
      </c>
      <c r="O120" s="8"/>
      <c r="P120" s="8"/>
      <c r="Q120" s="8"/>
      <c r="R120" s="43" t="s">
        <v>52</v>
      </c>
      <c r="S120" s="10"/>
    </row>
    <row r="121" ht="13.5" customHeight="1">
      <c r="A121" s="37">
        <v>112.0</v>
      </c>
      <c r="B121" s="38" t="s">
        <v>288</v>
      </c>
      <c r="C121" s="38" t="s">
        <v>21</v>
      </c>
      <c r="D121" s="39" t="str">
        <f t="shared" si="1"/>
        <v>IV</v>
      </c>
      <c r="E121" s="40" t="str">
        <f t="shared" si="2"/>
        <v>FA073/IV/01</v>
      </c>
      <c r="F121" s="40" t="s">
        <v>289</v>
      </c>
      <c r="G121" s="41">
        <v>44805.0</v>
      </c>
      <c r="H121" s="44">
        <v>1.42551944E8</v>
      </c>
      <c r="I121" s="44"/>
      <c r="J121" s="43" t="s">
        <v>276</v>
      </c>
      <c r="K121" s="43" t="s">
        <v>47</v>
      </c>
      <c r="L121" s="8" t="s">
        <v>8</v>
      </c>
      <c r="M121" s="9" t="str">
        <f t="shared" si="3"/>
        <v>01</v>
      </c>
      <c r="N121" s="8" t="s">
        <v>290</v>
      </c>
      <c r="O121" s="8"/>
      <c r="P121" s="8"/>
      <c r="Q121" s="8"/>
      <c r="R121" s="43" t="s">
        <v>52</v>
      </c>
      <c r="S121" s="10"/>
    </row>
    <row r="122" ht="13.5" customHeight="1">
      <c r="A122" s="37">
        <v>113.0</v>
      </c>
      <c r="B122" s="38" t="s">
        <v>291</v>
      </c>
      <c r="C122" s="38" t="s">
        <v>21</v>
      </c>
      <c r="D122" s="39" t="str">
        <f t="shared" si="1"/>
        <v>IV</v>
      </c>
      <c r="E122" s="40" t="str">
        <f t="shared" si="2"/>
        <v>FA074/IV/01</v>
      </c>
      <c r="F122" s="40" t="s">
        <v>292</v>
      </c>
      <c r="G122" s="41">
        <v>44805.0</v>
      </c>
      <c r="H122" s="44">
        <v>2.7369055E8</v>
      </c>
      <c r="I122" s="44"/>
      <c r="J122" s="43" t="s">
        <v>120</v>
      </c>
      <c r="K122" s="43" t="s">
        <v>95</v>
      </c>
      <c r="L122" s="8" t="s">
        <v>8</v>
      </c>
      <c r="M122" s="9" t="str">
        <f t="shared" si="3"/>
        <v>01</v>
      </c>
      <c r="N122" s="8" t="s">
        <v>293</v>
      </c>
      <c r="O122" s="8"/>
      <c r="P122" s="8"/>
      <c r="Q122" s="8"/>
      <c r="R122" s="43" t="s">
        <v>52</v>
      </c>
      <c r="S122" s="10"/>
    </row>
    <row r="123" ht="13.5" customHeight="1">
      <c r="A123" s="37">
        <v>114.0</v>
      </c>
      <c r="B123" s="38" t="s">
        <v>294</v>
      </c>
      <c r="C123" s="38" t="s">
        <v>16</v>
      </c>
      <c r="D123" s="39" t="str">
        <f t="shared" si="1"/>
        <v>III</v>
      </c>
      <c r="E123" s="40" t="str">
        <f t="shared" si="2"/>
        <v>FA069/III/01</v>
      </c>
      <c r="F123" s="40" t="s">
        <v>295</v>
      </c>
      <c r="G123" s="41">
        <v>44809.0</v>
      </c>
      <c r="H123" s="44">
        <v>3603604.0</v>
      </c>
      <c r="I123" s="44"/>
      <c r="J123" s="43" t="s">
        <v>296</v>
      </c>
      <c r="K123" s="8" t="s">
        <v>81</v>
      </c>
      <c r="L123" s="8" t="s">
        <v>8</v>
      </c>
      <c r="M123" s="9" t="str">
        <f t="shared" si="3"/>
        <v>01</v>
      </c>
      <c r="N123" s="8" t="s">
        <v>121</v>
      </c>
      <c r="O123" s="8"/>
      <c r="P123" s="8"/>
      <c r="Q123" s="8"/>
      <c r="R123" s="43" t="s">
        <v>52</v>
      </c>
      <c r="S123" s="10"/>
    </row>
    <row r="124" ht="13.5" customHeight="1">
      <c r="A124" s="76">
        <v>115.0</v>
      </c>
      <c r="B124" s="77" t="s">
        <v>297</v>
      </c>
      <c r="C124" s="77" t="s">
        <v>16</v>
      </c>
      <c r="D124" s="78" t="str">
        <f t="shared" si="1"/>
        <v>III</v>
      </c>
      <c r="E124" s="79" t="str">
        <f t="shared" si="2"/>
        <v>FA070/III/01</v>
      </c>
      <c r="F124" s="79" t="s">
        <v>298</v>
      </c>
      <c r="G124" s="80">
        <v>44809.0</v>
      </c>
      <c r="H124" s="44">
        <v>5200000.0</v>
      </c>
      <c r="I124" s="44"/>
      <c r="J124" s="81" t="s">
        <v>299</v>
      </c>
      <c r="K124" s="83" t="s">
        <v>81</v>
      </c>
      <c r="L124" s="81" t="s">
        <v>8</v>
      </c>
      <c r="M124" s="82" t="str">
        <f t="shared" si="3"/>
        <v>01</v>
      </c>
      <c r="N124" s="83" t="s">
        <v>121</v>
      </c>
      <c r="O124" s="81" t="s">
        <v>300</v>
      </c>
      <c r="P124" s="83"/>
      <c r="Q124" s="83"/>
      <c r="R124" s="81" t="s">
        <v>52</v>
      </c>
      <c r="S124" s="84"/>
    </row>
    <row r="125">
      <c r="A125" s="37">
        <v>116.0</v>
      </c>
      <c r="B125" s="38" t="s">
        <v>301</v>
      </c>
      <c r="C125" s="38" t="s">
        <v>11</v>
      </c>
      <c r="D125" s="39" t="str">
        <f t="shared" si="1"/>
        <v>II</v>
      </c>
      <c r="E125" s="40" t="str">
        <f t="shared" si="2"/>
        <v>FA071/II/01</v>
      </c>
      <c r="F125" s="40" t="s">
        <v>302</v>
      </c>
      <c r="G125" s="41">
        <v>44819.0</v>
      </c>
      <c r="H125" s="44">
        <v>1530631.0</v>
      </c>
      <c r="I125" s="44"/>
      <c r="J125" s="43" t="s">
        <v>198</v>
      </c>
      <c r="K125" s="43" t="s">
        <v>158</v>
      </c>
      <c r="L125" s="43" t="s">
        <v>8</v>
      </c>
      <c r="M125" s="9" t="str">
        <f t="shared" si="3"/>
        <v>01</v>
      </c>
      <c r="N125" s="8" t="s">
        <v>303</v>
      </c>
      <c r="O125" s="8"/>
      <c r="P125" s="8"/>
      <c r="Q125" s="8"/>
      <c r="R125" s="43" t="s">
        <v>52</v>
      </c>
      <c r="S125" s="10"/>
    </row>
    <row r="126" ht="13.5" customHeight="1">
      <c r="A126" s="37">
        <v>117.0</v>
      </c>
      <c r="B126" s="38" t="s">
        <v>304</v>
      </c>
      <c r="C126" s="38" t="s">
        <v>11</v>
      </c>
      <c r="D126" s="39" t="str">
        <f t="shared" si="1"/>
        <v>II</v>
      </c>
      <c r="E126" s="40" t="str">
        <f t="shared" si="2"/>
        <v>FA072/II/01</v>
      </c>
      <c r="F126" s="40" t="s">
        <v>305</v>
      </c>
      <c r="G126" s="41">
        <v>44819.0</v>
      </c>
      <c r="H126" s="44">
        <v>2771667.0</v>
      </c>
      <c r="I126" s="44"/>
      <c r="J126" s="43" t="s">
        <v>198</v>
      </c>
      <c r="K126" s="43" t="s">
        <v>158</v>
      </c>
      <c r="L126" s="43" t="s">
        <v>8</v>
      </c>
      <c r="M126" s="9" t="str">
        <f t="shared" si="3"/>
        <v>01</v>
      </c>
      <c r="N126" s="8" t="s">
        <v>303</v>
      </c>
      <c r="O126" s="8"/>
      <c r="P126" s="8"/>
      <c r="Q126" s="8"/>
      <c r="R126" s="43" t="s">
        <v>52</v>
      </c>
      <c r="S126" s="10"/>
    </row>
    <row r="127" ht="13.5" customHeight="1">
      <c r="A127" s="37">
        <v>118.0</v>
      </c>
      <c r="B127" s="38" t="s">
        <v>306</v>
      </c>
      <c r="C127" s="38" t="s">
        <v>6</v>
      </c>
      <c r="D127" s="39" t="str">
        <f t="shared" si="1"/>
        <v>I</v>
      </c>
      <c r="E127" s="40" t="str">
        <f t="shared" si="2"/>
        <v>FA075/I/01</v>
      </c>
      <c r="F127" s="40" t="s">
        <v>307</v>
      </c>
      <c r="G127" s="41">
        <v>44866.0</v>
      </c>
      <c r="H127" s="44">
        <v>2930575.0</v>
      </c>
      <c r="I127" s="44"/>
      <c r="J127" s="43" t="s">
        <v>169</v>
      </c>
      <c r="K127" s="43" t="s">
        <v>170</v>
      </c>
      <c r="L127" s="43" t="s">
        <v>8</v>
      </c>
      <c r="M127" s="9" t="str">
        <f t="shared" si="3"/>
        <v>01</v>
      </c>
      <c r="N127" s="8" t="s">
        <v>308</v>
      </c>
      <c r="O127" s="8"/>
      <c r="P127" s="8"/>
      <c r="Q127" s="8"/>
      <c r="R127" s="43" t="s">
        <v>52</v>
      </c>
      <c r="S127" s="10"/>
    </row>
    <row r="128" ht="13.5" customHeight="1">
      <c r="A128" s="37">
        <v>119.0</v>
      </c>
      <c r="B128" s="38" t="s">
        <v>309</v>
      </c>
      <c r="C128" s="38" t="s">
        <v>6</v>
      </c>
      <c r="D128" s="39" t="str">
        <f t="shared" si="1"/>
        <v>I</v>
      </c>
      <c r="E128" s="40" t="str">
        <f t="shared" si="2"/>
        <v>FA076/I/01</v>
      </c>
      <c r="F128" s="40" t="s">
        <v>307</v>
      </c>
      <c r="G128" s="41">
        <v>44866.0</v>
      </c>
      <c r="H128" s="44">
        <v>2930575.0</v>
      </c>
      <c r="I128" s="44"/>
      <c r="J128" s="43" t="s">
        <v>162</v>
      </c>
      <c r="K128" s="43" t="s">
        <v>95</v>
      </c>
      <c r="L128" s="43" t="s">
        <v>8</v>
      </c>
      <c r="M128" s="9" t="str">
        <f t="shared" si="3"/>
        <v>01</v>
      </c>
      <c r="N128" s="8" t="s">
        <v>308</v>
      </c>
      <c r="O128" s="8"/>
      <c r="P128" s="8"/>
      <c r="Q128" s="8"/>
      <c r="R128" s="43" t="s">
        <v>52</v>
      </c>
      <c r="S128" s="10"/>
    </row>
    <row r="129" ht="13.5" customHeight="1">
      <c r="A129" s="37">
        <v>120.0</v>
      </c>
      <c r="B129" s="38" t="s">
        <v>310</v>
      </c>
      <c r="C129" s="38" t="s">
        <v>6</v>
      </c>
      <c r="D129" s="39" t="str">
        <f t="shared" si="1"/>
        <v>I</v>
      </c>
      <c r="E129" s="40" t="str">
        <f t="shared" si="2"/>
        <v>FA077/I/02</v>
      </c>
      <c r="F129" s="40" t="s">
        <v>307</v>
      </c>
      <c r="G129" s="41">
        <v>44866.0</v>
      </c>
      <c r="H129" s="44">
        <v>2930575.0</v>
      </c>
      <c r="I129" s="44"/>
      <c r="J129" s="43" t="s">
        <v>138</v>
      </c>
      <c r="K129" s="43" t="s">
        <v>95</v>
      </c>
      <c r="L129" s="43" t="s">
        <v>13</v>
      </c>
      <c r="M129" s="9" t="str">
        <f t="shared" si="3"/>
        <v>02</v>
      </c>
      <c r="N129" s="8" t="s">
        <v>308</v>
      </c>
      <c r="O129" s="8"/>
      <c r="P129" s="8"/>
      <c r="Q129" s="8"/>
      <c r="R129" s="43" t="s">
        <v>52</v>
      </c>
      <c r="S129" s="10"/>
    </row>
    <row r="130" ht="13.5" customHeight="1">
      <c r="A130" s="37">
        <v>121.0</v>
      </c>
      <c r="B130" s="38" t="s">
        <v>311</v>
      </c>
      <c r="C130" s="38" t="s">
        <v>6</v>
      </c>
      <c r="D130" s="39" t="str">
        <f t="shared" si="1"/>
        <v>I</v>
      </c>
      <c r="E130" s="40" t="str">
        <f t="shared" si="2"/>
        <v>FA078/I/02</v>
      </c>
      <c r="F130" s="40" t="s">
        <v>307</v>
      </c>
      <c r="G130" s="41">
        <v>44866.0</v>
      </c>
      <c r="H130" s="44">
        <v>2930575.0</v>
      </c>
      <c r="I130" s="44"/>
      <c r="J130" s="43" t="s">
        <v>138</v>
      </c>
      <c r="K130" s="43" t="s">
        <v>95</v>
      </c>
      <c r="L130" s="43" t="s">
        <v>13</v>
      </c>
      <c r="M130" s="9" t="str">
        <f t="shared" si="3"/>
        <v>02</v>
      </c>
      <c r="N130" s="8" t="s">
        <v>308</v>
      </c>
      <c r="O130" s="8"/>
      <c r="P130" s="8"/>
      <c r="Q130" s="8"/>
      <c r="R130" s="43" t="s">
        <v>52</v>
      </c>
      <c r="S130" s="10"/>
    </row>
    <row r="131" ht="13.5" customHeight="1">
      <c r="A131" s="37">
        <v>122.0</v>
      </c>
      <c r="B131" s="38" t="s">
        <v>312</v>
      </c>
      <c r="C131" s="38" t="s">
        <v>6</v>
      </c>
      <c r="D131" s="39" t="str">
        <f t="shared" si="1"/>
        <v>I</v>
      </c>
      <c r="E131" s="40" t="str">
        <f t="shared" si="2"/>
        <v>FA079/I/01</v>
      </c>
      <c r="F131" s="38" t="s">
        <v>313</v>
      </c>
      <c r="G131" s="41">
        <v>44896.0</v>
      </c>
      <c r="H131" s="44">
        <v>1719600.0</v>
      </c>
      <c r="I131" s="44"/>
      <c r="J131" s="43" t="s">
        <v>314</v>
      </c>
      <c r="K131" s="43" t="s">
        <v>47</v>
      </c>
      <c r="L131" s="43" t="s">
        <v>8</v>
      </c>
      <c r="M131" s="9" t="str">
        <f t="shared" si="3"/>
        <v>01</v>
      </c>
      <c r="N131" s="8" t="s">
        <v>127</v>
      </c>
      <c r="O131" s="8"/>
      <c r="P131" s="8"/>
      <c r="Q131" s="8"/>
      <c r="R131" s="43" t="s">
        <v>52</v>
      </c>
      <c r="S131" s="10"/>
    </row>
    <row r="132" ht="13.5" customHeight="1">
      <c r="A132" s="37">
        <v>123.0</v>
      </c>
      <c r="B132" s="38" t="s">
        <v>315</v>
      </c>
      <c r="C132" s="38" t="s">
        <v>11</v>
      </c>
      <c r="D132" s="39" t="str">
        <f t="shared" si="1"/>
        <v>II</v>
      </c>
      <c r="E132" s="40" t="str">
        <f t="shared" si="2"/>
        <v>FA080/II/01</v>
      </c>
      <c r="F132" s="40" t="s">
        <v>316</v>
      </c>
      <c r="G132" s="41">
        <v>44896.0</v>
      </c>
      <c r="H132" s="44">
        <v>2338400.0</v>
      </c>
      <c r="I132" s="44"/>
      <c r="J132" s="43" t="s">
        <v>166</v>
      </c>
      <c r="K132" s="43" t="s">
        <v>95</v>
      </c>
      <c r="L132" s="8" t="s">
        <v>8</v>
      </c>
      <c r="M132" s="9" t="str">
        <f t="shared" si="3"/>
        <v>01</v>
      </c>
      <c r="N132" s="8"/>
      <c r="O132" s="8"/>
      <c r="P132" s="8"/>
      <c r="Q132" s="8"/>
      <c r="R132" s="43" t="s">
        <v>52</v>
      </c>
      <c r="S132" s="10"/>
    </row>
    <row r="133" ht="13.5" customHeight="1">
      <c r="A133" s="37">
        <v>128.0</v>
      </c>
      <c r="B133" s="38" t="s">
        <v>317</v>
      </c>
      <c r="C133" s="43" t="s">
        <v>6</v>
      </c>
      <c r="D133" s="39" t="str">
        <f t="shared" si="1"/>
        <v>I</v>
      </c>
      <c r="E133" s="40" t="str">
        <f t="shared" si="2"/>
        <v>FA081/I/03</v>
      </c>
      <c r="F133" s="8" t="s">
        <v>318</v>
      </c>
      <c r="G133" s="41">
        <v>44939.0</v>
      </c>
      <c r="H133" s="20">
        <v>8199000.0</v>
      </c>
      <c r="I133" s="7"/>
      <c r="J133" s="43" t="s">
        <v>138</v>
      </c>
      <c r="K133" s="43" t="s">
        <v>95</v>
      </c>
      <c r="L133" s="43" t="s">
        <v>18</v>
      </c>
      <c r="M133" s="9" t="str">
        <f t="shared" si="3"/>
        <v>03</v>
      </c>
      <c r="N133" s="8" t="s">
        <v>141</v>
      </c>
      <c r="O133" s="8"/>
      <c r="P133" s="8"/>
      <c r="Q133" s="8"/>
      <c r="R133" s="43" t="s">
        <v>52</v>
      </c>
      <c r="S133" s="10"/>
    </row>
    <row r="134" ht="13.5" customHeight="1">
      <c r="A134" s="37">
        <v>129.0</v>
      </c>
      <c r="B134" s="38" t="s">
        <v>319</v>
      </c>
      <c r="C134" s="43" t="s">
        <v>6</v>
      </c>
      <c r="D134" s="39" t="str">
        <f t="shared" si="1"/>
        <v>I</v>
      </c>
      <c r="E134" s="40" t="str">
        <f t="shared" si="2"/>
        <v>FA082/I/03</v>
      </c>
      <c r="F134" s="8" t="s">
        <v>318</v>
      </c>
      <c r="G134" s="41">
        <v>44939.0</v>
      </c>
      <c r="H134" s="20">
        <v>8199000.0</v>
      </c>
      <c r="I134" s="7"/>
      <c r="J134" s="43" t="s">
        <v>138</v>
      </c>
      <c r="K134" s="43" t="s">
        <v>95</v>
      </c>
      <c r="L134" s="43" t="s">
        <v>18</v>
      </c>
      <c r="M134" s="9" t="str">
        <f t="shared" si="3"/>
        <v>03</v>
      </c>
      <c r="N134" s="8" t="s">
        <v>141</v>
      </c>
      <c r="O134" s="8"/>
      <c r="P134" s="8"/>
      <c r="Q134" s="8"/>
      <c r="R134" s="43" t="s">
        <v>52</v>
      </c>
      <c r="S134" s="10"/>
    </row>
    <row r="135" ht="13.5" customHeight="1">
      <c r="A135" s="37">
        <v>130.0</v>
      </c>
      <c r="B135" s="38" t="s">
        <v>320</v>
      </c>
      <c r="C135" s="43" t="s">
        <v>24</v>
      </c>
      <c r="D135" s="39" t="str">
        <f t="shared" si="1"/>
        <v>V</v>
      </c>
      <c r="E135" s="40" t="str">
        <f t="shared" si="2"/>
        <v>FA083/V/02</v>
      </c>
      <c r="F135" s="8" t="s">
        <v>321</v>
      </c>
      <c r="G135" s="41">
        <v>44945.0</v>
      </c>
      <c r="H135" s="20">
        <v>839900.0</v>
      </c>
      <c r="I135" s="7"/>
      <c r="J135" s="43" t="s">
        <v>322</v>
      </c>
      <c r="K135" s="43" t="s">
        <v>323</v>
      </c>
      <c r="L135" s="43" t="s">
        <v>13</v>
      </c>
      <c r="M135" s="9" t="str">
        <f t="shared" si="3"/>
        <v>02</v>
      </c>
      <c r="N135" s="8" t="s">
        <v>324</v>
      </c>
      <c r="O135" s="8"/>
      <c r="P135" s="8"/>
      <c r="Q135" s="43" t="s">
        <v>325</v>
      </c>
      <c r="R135" s="43" t="s">
        <v>52</v>
      </c>
      <c r="S135" s="10"/>
    </row>
    <row r="136" ht="13.5" customHeight="1">
      <c r="A136" s="37">
        <v>131.0</v>
      </c>
      <c r="B136" s="38" t="s">
        <v>326</v>
      </c>
      <c r="C136" s="43" t="s">
        <v>11</v>
      </c>
      <c r="D136" s="39" t="str">
        <f t="shared" si="1"/>
        <v>II</v>
      </c>
      <c r="E136" s="40" t="str">
        <f t="shared" si="2"/>
        <v>FA084/II/02</v>
      </c>
      <c r="F136" s="8" t="s">
        <v>327</v>
      </c>
      <c r="G136" s="41">
        <v>44945.0</v>
      </c>
      <c r="H136" s="20">
        <v>490991.0</v>
      </c>
      <c r="I136" s="7"/>
      <c r="J136" s="43"/>
      <c r="K136" s="43" t="s">
        <v>95</v>
      </c>
      <c r="L136" s="43" t="s">
        <v>13</v>
      </c>
      <c r="M136" s="9" t="str">
        <f t="shared" si="3"/>
        <v>02</v>
      </c>
      <c r="N136" s="8" t="s">
        <v>328</v>
      </c>
      <c r="O136" s="8"/>
      <c r="P136" s="8"/>
      <c r="Q136" s="8"/>
      <c r="R136" s="43" t="s">
        <v>52</v>
      </c>
      <c r="S136" s="10"/>
    </row>
    <row r="137" ht="13.5" customHeight="1">
      <c r="A137" s="37">
        <v>132.0</v>
      </c>
      <c r="B137" s="38" t="s">
        <v>329</v>
      </c>
      <c r="C137" s="43" t="s">
        <v>11</v>
      </c>
      <c r="D137" s="39" t="str">
        <f t="shared" si="1"/>
        <v>II</v>
      </c>
      <c r="E137" s="40" t="str">
        <f t="shared" si="2"/>
        <v>FA085/II/02</v>
      </c>
      <c r="F137" s="8" t="s">
        <v>327</v>
      </c>
      <c r="G137" s="41">
        <v>44945.0</v>
      </c>
      <c r="H137" s="20">
        <v>490991.0</v>
      </c>
      <c r="I137" s="7"/>
      <c r="J137" s="8"/>
      <c r="K137" s="43" t="s">
        <v>95</v>
      </c>
      <c r="L137" s="43" t="s">
        <v>13</v>
      </c>
      <c r="M137" s="9" t="str">
        <f t="shared" si="3"/>
        <v>02</v>
      </c>
      <c r="N137" s="8" t="s">
        <v>328</v>
      </c>
      <c r="O137" s="8"/>
      <c r="P137" s="8"/>
      <c r="Q137" s="8"/>
      <c r="R137" s="43" t="s">
        <v>52</v>
      </c>
      <c r="S137" s="10"/>
    </row>
    <row r="138" ht="13.5" customHeight="1">
      <c r="A138" s="37">
        <v>133.0</v>
      </c>
      <c r="B138" s="38" t="s">
        <v>330</v>
      </c>
      <c r="C138" s="43" t="s">
        <v>11</v>
      </c>
      <c r="D138" s="39" t="str">
        <f t="shared" si="1"/>
        <v>II</v>
      </c>
      <c r="E138" s="40" t="str">
        <f t="shared" si="2"/>
        <v>FA086/II/02</v>
      </c>
      <c r="F138" s="8" t="s">
        <v>327</v>
      </c>
      <c r="G138" s="41">
        <v>44945.0</v>
      </c>
      <c r="H138" s="20">
        <v>490991.0</v>
      </c>
      <c r="I138" s="7"/>
      <c r="J138" s="8"/>
      <c r="K138" s="43" t="s">
        <v>95</v>
      </c>
      <c r="L138" s="43" t="s">
        <v>13</v>
      </c>
      <c r="M138" s="9" t="str">
        <f t="shared" si="3"/>
        <v>02</v>
      </c>
      <c r="N138" s="8" t="s">
        <v>328</v>
      </c>
      <c r="O138" s="8"/>
      <c r="P138" s="8"/>
      <c r="Q138" s="8"/>
      <c r="R138" s="43" t="s">
        <v>52</v>
      </c>
      <c r="S138" s="10"/>
    </row>
    <row r="139" ht="13.5" customHeight="1">
      <c r="A139" s="37">
        <v>134.0</v>
      </c>
      <c r="B139" s="38" t="s">
        <v>331</v>
      </c>
      <c r="C139" s="43" t="s">
        <v>11</v>
      </c>
      <c r="D139" s="39" t="str">
        <f t="shared" si="1"/>
        <v>II</v>
      </c>
      <c r="E139" s="40" t="str">
        <f t="shared" si="2"/>
        <v>FA087/II/02</v>
      </c>
      <c r="F139" s="8" t="s">
        <v>327</v>
      </c>
      <c r="G139" s="41">
        <v>44945.0</v>
      </c>
      <c r="H139" s="20">
        <v>490991.0</v>
      </c>
      <c r="I139" s="7"/>
      <c r="J139" s="43" t="s">
        <v>138</v>
      </c>
      <c r="K139" s="43" t="s">
        <v>95</v>
      </c>
      <c r="L139" s="43" t="s">
        <v>13</v>
      </c>
      <c r="M139" s="9" t="str">
        <f t="shared" si="3"/>
        <v>02</v>
      </c>
      <c r="N139" s="8" t="s">
        <v>328</v>
      </c>
      <c r="O139" s="8"/>
      <c r="P139" s="8"/>
      <c r="Q139" s="8"/>
      <c r="R139" s="43" t="s">
        <v>52</v>
      </c>
      <c r="S139" s="10"/>
    </row>
    <row r="140" ht="13.5" customHeight="1">
      <c r="A140" s="37">
        <v>135.0</v>
      </c>
      <c r="B140" s="38" t="s">
        <v>332</v>
      </c>
      <c r="C140" s="43" t="s">
        <v>11</v>
      </c>
      <c r="D140" s="39" t="str">
        <f t="shared" si="1"/>
        <v>II</v>
      </c>
      <c r="E140" s="40" t="str">
        <f t="shared" si="2"/>
        <v>FA088/II/02</v>
      </c>
      <c r="F140" s="8" t="s">
        <v>333</v>
      </c>
      <c r="G140" s="41">
        <v>44945.0</v>
      </c>
      <c r="H140" s="20">
        <v>490991.0</v>
      </c>
      <c r="I140" s="7"/>
      <c r="J140" s="43" t="s">
        <v>138</v>
      </c>
      <c r="K140" s="43" t="s">
        <v>95</v>
      </c>
      <c r="L140" s="43" t="s">
        <v>13</v>
      </c>
      <c r="M140" s="9" t="str">
        <f t="shared" si="3"/>
        <v>02</v>
      </c>
      <c r="N140" s="8" t="s">
        <v>334</v>
      </c>
      <c r="O140" s="8"/>
      <c r="P140" s="8"/>
      <c r="Q140" s="8"/>
      <c r="R140" s="43" t="s">
        <v>52</v>
      </c>
      <c r="S140" s="10"/>
    </row>
    <row r="141" ht="13.5" customHeight="1">
      <c r="A141" s="37">
        <v>136.0</v>
      </c>
      <c r="B141" s="38" t="s">
        <v>335</v>
      </c>
      <c r="C141" s="43" t="s">
        <v>11</v>
      </c>
      <c r="D141" s="39" t="str">
        <f t="shared" si="1"/>
        <v>II</v>
      </c>
      <c r="E141" s="40" t="str">
        <f t="shared" si="2"/>
        <v>FA089/II/02</v>
      </c>
      <c r="F141" s="8" t="s">
        <v>333</v>
      </c>
      <c r="G141" s="41">
        <v>44945.0</v>
      </c>
      <c r="H141" s="20">
        <v>490991.0</v>
      </c>
      <c r="I141" s="7"/>
      <c r="J141" s="43" t="s">
        <v>336</v>
      </c>
      <c r="K141" s="43" t="s">
        <v>95</v>
      </c>
      <c r="L141" s="43" t="s">
        <v>13</v>
      </c>
      <c r="M141" s="9" t="str">
        <f t="shared" si="3"/>
        <v>02</v>
      </c>
      <c r="N141" s="8" t="s">
        <v>334</v>
      </c>
      <c r="O141" s="8"/>
      <c r="P141" s="8"/>
      <c r="Q141" s="8"/>
      <c r="R141" s="43" t="s">
        <v>52</v>
      </c>
      <c r="S141" s="10"/>
    </row>
    <row r="142" ht="13.5" customHeight="1">
      <c r="A142" s="37">
        <v>137.0</v>
      </c>
      <c r="B142" s="38" t="s">
        <v>337</v>
      </c>
      <c r="C142" s="43" t="s">
        <v>11</v>
      </c>
      <c r="D142" s="39" t="str">
        <f t="shared" si="1"/>
        <v>II</v>
      </c>
      <c r="E142" s="40" t="str">
        <f t="shared" si="2"/>
        <v>FA090/II/02</v>
      </c>
      <c r="F142" s="8" t="s">
        <v>333</v>
      </c>
      <c r="G142" s="41">
        <v>44945.0</v>
      </c>
      <c r="H142" s="20">
        <v>490991.0</v>
      </c>
      <c r="I142" s="7"/>
      <c r="J142" s="43" t="s">
        <v>338</v>
      </c>
      <c r="K142" s="43" t="s">
        <v>95</v>
      </c>
      <c r="L142" s="43" t="s">
        <v>13</v>
      </c>
      <c r="M142" s="9" t="str">
        <f t="shared" si="3"/>
        <v>02</v>
      </c>
      <c r="N142" s="8" t="s">
        <v>334</v>
      </c>
      <c r="O142" s="8"/>
      <c r="P142" s="8"/>
      <c r="Q142" s="8"/>
      <c r="R142" s="43" t="s">
        <v>52</v>
      </c>
      <c r="S142" s="10"/>
    </row>
    <row r="143" ht="13.5" customHeight="1">
      <c r="A143" s="37">
        <v>138.0</v>
      </c>
      <c r="B143" s="38" t="s">
        <v>339</v>
      </c>
      <c r="C143" s="43" t="s">
        <v>11</v>
      </c>
      <c r="D143" s="39" t="str">
        <f t="shared" si="1"/>
        <v>II</v>
      </c>
      <c r="E143" s="40" t="str">
        <f t="shared" si="2"/>
        <v>FA091/II/02</v>
      </c>
      <c r="F143" s="8" t="s">
        <v>333</v>
      </c>
      <c r="G143" s="41">
        <v>44945.0</v>
      </c>
      <c r="H143" s="20">
        <v>490991.0</v>
      </c>
      <c r="I143" s="7"/>
      <c r="J143" s="43" t="s">
        <v>322</v>
      </c>
      <c r="K143" s="43" t="s">
        <v>95</v>
      </c>
      <c r="L143" s="43" t="s">
        <v>13</v>
      </c>
      <c r="M143" s="9" t="str">
        <f t="shared" si="3"/>
        <v>02</v>
      </c>
      <c r="N143" s="8" t="s">
        <v>334</v>
      </c>
      <c r="O143" s="8"/>
      <c r="P143" s="8"/>
      <c r="Q143" s="8"/>
      <c r="R143" s="43" t="s">
        <v>52</v>
      </c>
      <c r="S143" s="10"/>
    </row>
    <row r="144" ht="13.5" customHeight="1">
      <c r="A144" s="37">
        <v>139.0</v>
      </c>
      <c r="B144" s="38" t="s">
        <v>340</v>
      </c>
      <c r="C144" s="43" t="s">
        <v>11</v>
      </c>
      <c r="D144" s="39" t="str">
        <f t="shared" si="1"/>
        <v>II</v>
      </c>
      <c r="E144" s="40" t="str">
        <f t="shared" si="2"/>
        <v>FA092/II/02</v>
      </c>
      <c r="F144" s="8" t="s">
        <v>341</v>
      </c>
      <c r="G144" s="41">
        <v>44945.0</v>
      </c>
      <c r="H144" s="20">
        <v>1689189.0</v>
      </c>
      <c r="I144" s="7"/>
      <c r="J144" s="43" t="s">
        <v>138</v>
      </c>
      <c r="K144" s="43" t="s">
        <v>95</v>
      </c>
      <c r="L144" s="43" t="s">
        <v>13</v>
      </c>
      <c r="M144" s="9" t="str">
        <f t="shared" si="3"/>
        <v>02</v>
      </c>
      <c r="N144" s="43" t="s">
        <v>342</v>
      </c>
      <c r="O144" s="8"/>
      <c r="P144" s="8"/>
      <c r="Q144" s="8"/>
      <c r="R144" s="43" t="s">
        <v>52</v>
      </c>
      <c r="S144" s="10"/>
    </row>
    <row r="145" ht="13.5" customHeight="1">
      <c r="A145" s="37">
        <v>140.0</v>
      </c>
      <c r="B145" s="38" t="s">
        <v>343</v>
      </c>
      <c r="C145" s="43" t="s">
        <v>11</v>
      </c>
      <c r="D145" s="39" t="str">
        <f t="shared" si="1"/>
        <v>II</v>
      </c>
      <c r="E145" s="40" t="str">
        <f t="shared" si="2"/>
        <v>FA093/II/02</v>
      </c>
      <c r="F145" s="8" t="s">
        <v>221</v>
      </c>
      <c r="G145" s="41">
        <v>44945.0</v>
      </c>
      <c r="H145" s="20">
        <v>979000.0</v>
      </c>
      <c r="I145" s="7"/>
      <c r="J145" s="43" t="s">
        <v>46</v>
      </c>
      <c r="K145" s="43" t="s">
        <v>95</v>
      </c>
      <c r="L145" s="43" t="s">
        <v>13</v>
      </c>
      <c r="M145" s="9" t="str">
        <f t="shared" si="3"/>
        <v>02</v>
      </c>
      <c r="N145" s="8" t="s">
        <v>344</v>
      </c>
      <c r="O145" s="8"/>
      <c r="P145" s="8"/>
      <c r="Q145" s="8"/>
      <c r="R145" s="43" t="s">
        <v>52</v>
      </c>
      <c r="S145" s="10"/>
    </row>
    <row r="146" ht="13.5" customHeight="1">
      <c r="A146" s="102">
        <v>141.0</v>
      </c>
      <c r="B146" s="103" t="s">
        <v>345</v>
      </c>
      <c r="C146" s="104" t="s">
        <v>16</v>
      </c>
      <c r="D146" s="105" t="str">
        <f t="shared" si="1"/>
        <v>III</v>
      </c>
      <c r="E146" s="106" t="str">
        <f t="shared" si="2"/>
        <v>FA094/III/01</v>
      </c>
      <c r="F146" s="107" t="s">
        <v>346</v>
      </c>
      <c r="G146" s="108">
        <v>44940.0</v>
      </c>
      <c r="H146" s="109">
        <v>1.0990991E7</v>
      </c>
      <c r="I146" s="110"/>
      <c r="J146" s="104" t="s">
        <v>166</v>
      </c>
      <c r="K146" s="107" t="s">
        <v>95</v>
      </c>
      <c r="L146" s="107" t="s">
        <v>8</v>
      </c>
      <c r="M146" s="111" t="str">
        <f t="shared" si="3"/>
        <v>01</v>
      </c>
      <c r="N146" s="107" t="s">
        <v>121</v>
      </c>
      <c r="O146" s="107"/>
      <c r="P146" s="107"/>
      <c r="Q146" s="107"/>
      <c r="R146" s="104" t="s">
        <v>52</v>
      </c>
      <c r="S146" s="112"/>
    </row>
    <row r="147" ht="13.5" customHeight="1">
      <c r="A147" s="37">
        <v>142.0</v>
      </c>
      <c r="B147" s="38" t="s">
        <v>347</v>
      </c>
      <c r="C147" s="43" t="s">
        <v>16</v>
      </c>
      <c r="D147" s="39" t="str">
        <f t="shared" si="1"/>
        <v>III</v>
      </c>
      <c r="E147" s="40" t="str">
        <f t="shared" si="2"/>
        <v>FA095/III/01</v>
      </c>
      <c r="F147" s="8" t="s">
        <v>348</v>
      </c>
      <c r="G147" s="31">
        <v>44942.0</v>
      </c>
      <c r="H147" s="20">
        <v>4200000.0</v>
      </c>
      <c r="I147" s="7"/>
      <c r="J147" s="43" t="s">
        <v>349</v>
      </c>
      <c r="K147" s="43" t="s">
        <v>81</v>
      </c>
      <c r="L147" s="8" t="s">
        <v>8</v>
      </c>
      <c r="M147" s="9" t="str">
        <f t="shared" si="3"/>
        <v>01</v>
      </c>
      <c r="N147" s="8" t="s">
        <v>121</v>
      </c>
      <c r="O147" s="8"/>
      <c r="P147" s="8"/>
      <c r="Q147" s="8"/>
      <c r="R147" s="43" t="s">
        <v>52</v>
      </c>
      <c r="S147" s="10"/>
    </row>
    <row r="148" ht="13.5" customHeight="1">
      <c r="A148" s="37">
        <v>143.0</v>
      </c>
      <c r="B148" s="38" t="s">
        <v>350</v>
      </c>
      <c r="C148" s="43" t="s">
        <v>16</v>
      </c>
      <c r="D148" s="39" t="str">
        <f t="shared" si="1"/>
        <v>III</v>
      </c>
      <c r="E148" s="40" t="str">
        <f t="shared" si="2"/>
        <v>FA096/III/01</v>
      </c>
      <c r="F148" s="8" t="s">
        <v>351</v>
      </c>
      <c r="G148" s="41">
        <v>44942.0</v>
      </c>
      <c r="H148" s="20">
        <v>4200000.0</v>
      </c>
      <c r="I148" s="7"/>
      <c r="J148" s="113" t="s">
        <v>352</v>
      </c>
      <c r="K148" s="43" t="s">
        <v>47</v>
      </c>
      <c r="L148" s="43" t="s">
        <v>8</v>
      </c>
      <c r="M148" s="9" t="str">
        <f t="shared" si="3"/>
        <v>01</v>
      </c>
      <c r="N148" s="8" t="s">
        <v>121</v>
      </c>
      <c r="O148" s="8"/>
      <c r="P148" s="8"/>
      <c r="Q148" s="8"/>
      <c r="R148" s="43" t="s">
        <v>52</v>
      </c>
      <c r="S148" s="10"/>
    </row>
    <row r="149" ht="13.5" customHeight="1">
      <c r="A149" s="76">
        <v>144.0</v>
      </c>
      <c r="B149" s="77" t="s">
        <v>353</v>
      </c>
      <c r="C149" s="81" t="s">
        <v>16</v>
      </c>
      <c r="D149" s="78" t="str">
        <f t="shared" si="1"/>
        <v>III</v>
      </c>
      <c r="E149" s="79" t="str">
        <f t="shared" si="2"/>
        <v>FA097/III/01</v>
      </c>
      <c r="F149" s="83" t="s">
        <v>351</v>
      </c>
      <c r="G149" s="80">
        <v>44942.0</v>
      </c>
      <c r="H149" s="101">
        <v>4200000.0</v>
      </c>
      <c r="I149" s="98"/>
      <c r="J149" s="81" t="s">
        <v>354</v>
      </c>
      <c r="K149" s="83" t="s">
        <v>81</v>
      </c>
      <c r="L149" s="81" t="s">
        <v>8</v>
      </c>
      <c r="M149" s="82" t="str">
        <f t="shared" si="3"/>
        <v>01</v>
      </c>
      <c r="N149" s="83" t="s">
        <v>121</v>
      </c>
      <c r="O149" s="83"/>
      <c r="P149" s="83"/>
      <c r="Q149" s="83"/>
      <c r="R149" s="81" t="s">
        <v>52</v>
      </c>
      <c r="S149" s="84"/>
    </row>
    <row r="150" ht="13.5" customHeight="1">
      <c r="A150" s="37">
        <v>145.0</v>
      </c>
      <c r="B150" s="38" t="s">
        <v>355</v>
      </c>
      <c r="C150" s="43" t="s">
        <v>16</v>
      </c>
      <c r="D150" s="39" t="str">
        <f t="shared" si="1"/>
        <v>III</v>
      </c>
      <c r="E150" s="40" t="str">
        <f t="shared" si="2"/>
        <v>FA098/III/01</v>
      </c>
      <c r="F150" s="8" t="s">
        <v>356</v>
      </c>
      <c r="G150" s="49">
        <v>44942.0</v>
      </c>
      <c r="H150" s="20">
        <v>5500000.0</v>
      </c>
      <c r="I150" s="7"/>
      <c r="J150" s="43" t="s">
        <v>357</v>
      </c>
      <c r="K150" s="43" t="s">
        <v>81</v>
      </c>
      <c r="L150" s="8" t="s">
        <v>8</v>
      </c>
      <c r="M150" s="9" t="str">
        <f t="shared" si="3"/>
        <v>01</v>
      </c>
      <c r="N150" s="8" t="s">
        <v>43</v>
      </c>
      <c r="O150" s="8"/>
      <c r="P150" s="8"/>
      <c r="Q150" s="8"/>
      <c r="R150" s="43" t="s">
        <v>52</v>
      </c>
      <c r="S150" s="10"/>
    </row>
    <row r="151" ht="13.5" customHeight="1">
      <c r="A151" s="37">
        <v>146.0</v>
      </c>
      <c r="B151" s="38" t="s">
        <v>358</v>
      </c>
      <c r="C151" s="43" t="s">
        <v>16</v>
      </c>
      <c r="D151" s="39" t="str">
        <f t="shared" si="1"/>
        <v>III</v>
      </c>
      <c r="E151" s="40" t="str">
        <f t="shared" si="2"/>
        <v>FA099/III/01</v>
      </c>
      <c r="F151" s="8" t="s">
        <v>359</v>
      </c>
      <c r="G151" s="41">
        <v>44954.0</v>
      </c>
      <c r="H151" s="20">
        <v>5450000.0</v>
      </c>
      <c r="I151" s="7"/>
      <c r="J151" s="43" t="s">
        <v>160</v>
      </c>
      <c r="K151" s="8" t="s">
        <v>158</v>
      </c>
      <c r="L151" s="8" t="s">
        <v>8</v>
      </c>
      <c r="M151" s="9" t="str">
        <f t="shared" si="3"/>
        <v>01</v>
      </c>
      <c r="N151" s="8" t="s">
        <v>43</v>
      </c>
      <c r="O151" s="8"/>
      <c r="P151" s="8"/>
      <c r="Q151" s="8"/>
      <c r="R151" s="43" t="s">
        <v>52</v>
      </c>
      <c r="S151" s="10"/>
    </row>
    <row r="152" ht="13.5" customHeight="1">
      <c r="A152" s="76">
        <v>147.0</v>
      </c>
      <c r="B152" s="77" t="s">
        <v>360</v>
      </c>
      <c r="C152" s="81" t="s">
        <v>16</v>
      </c>
      <c r="D152" s="78" t="str">
        <f t="shared" si="1"/>
        <v>III</v>
      </c>
      <c r="E152" s="79" t="str">
        <f t="shared" si="2"/>
        <v>FA100/III/01</v>
      </c>
      <c r="F152" s="83" t="s">
        <v>351</v>
      </c>
      <c r="G152" s="80">
        <v>44954.0</v>
      </c>
      <c r="H152" s="101">
        <v>3950000.0</v>
      </c>
      <c r="I152" s="98"/>
      <c r="J152" s="81" t="s">
        <v>314</v>
      </c>
      <c r="K152" s="81" t="s">
        <v>47</v>
      </c>
      <c r="L152" s="81" t="s">
        <v>8</v>
      </c>
      <c r="M152" s="82" t="str">
        <f t="shared" si="3"/>
        <v>01</v>
      </c>
      <c r="N152" s="83" t="s">
        <v>121</v>
      </c>
      <c r="O152" s="83"/>
      <c r="P152" s="83"/>
      <c r="Q152" s="83"/>
      <c r="R152" s="81" t="s">
        <v>52</v>
      </c>
      <c r="S152" s="84"/>
    </row>
    <row r="153" ht="13.5" customHeight="1">
      <c r="A153" s="76">
        <v>148.0</v>
      </c>
      <c r="B153" s="77" t="s">
        <v>361</v>
      </c>
      <c r="C153" s="81" t="s">
        <v>11</v>
      </c>
      <c r="D153" s="78" t="str">
        <f t="shared" si="1"/>
        <v>II</v>
      </c>
      <c r="E153" s="79" t="str">
        <f t="shared" si="2"/>
        <v>FA101/II/01</v>
      </c>
      <c r="F153" s="8" t="s">
        <v>154</v>
      </c>
      <c r="G153" s="80">
        <v>44954.0</v>
      </c>
      <c r="H153" s="101">
        <v>783020.0</v>
      </c>
      <c r="I153" s="98"/>
      <c r="J153" s="81" t="s">
        <v>287</v>
      </c>
      <c r="K153" s="81" t="s">
        <v>158</v>
      </c>
      <c r="L153" s="81" t="s">
        <v>8</v>
      </c>
      <c r="M153" s="82" t="str">
        <f t="shared" si="3"/>
        <v>01</v>
      </c>
      <c r="N153" s="83" t="s">
        <v>155</v>
      </c>
      <c r="O153" s="83"/>
      <c r="P153" s="83"/>
      <c r="Q153" s="83"/>
      <c r="R153" s="43" t="s">
        <v>52</v>
      </c>
      <c r="S153" s="84"/>
    </row>
    <row r="154" ht="13.5" customHeight="1">
      <c r="A154" s="37">
        <v>149.0</v>
      </c>
      <c r="B154" s="38" t="s">
        <v>362</v>
      </c>
      <c r="C154" s="43" t="s">
        <v>11</v>
      </c>
      <c r="D154" s="39" t="str">
        <f t="shared" si="1"/>
        <v>II</v>
      </c>
      <c r="E154" s="40" t="str">
        <f t="shared" si="2"/>
        <v>FA102/II/01</v>
      </c>
      <c r="F154" s="8" t="s">
        <v>154</v>
      </c>
      <c r="G154" s="31">
        <v>44954.0</v>
      </c>
      <c r="H154" s="20">
        <v>783020.0</v>
      </c>
      <c r="I154" s="7"/>
      <c r="J154" s="113" t="s">
        <v>352</v>
      </c>
      <c r="K154" s="43" t="s">
        <v>47</v>
      </c>
      <c r="L154" s="43" t="s">
        <v>8</v>
      </c>
      <c r="M154" s="9" t="str">
        <f t="shared" si="3"/>
        <v>01</v>
      </c>
      <c r="N154" s="8" t="s">
        <v>155</v>
      </c>
      <c r="O154" s="8"/>
      <c r="P154" s="8"/>
      <c r="Q154" s="8"/>
      <c r="R154" s="43" t="s">
        <v>52</v>
      </c>
      <c r="S154" s="10"/>
    </row>
    <row r="155" ht="13.5" customHeight="1">
      <c r="A155" s="37">
        <v>150.0</v>
      </c>
      <c r="B155" s="38" t="s">
        <v>363</v>
      </c>
      <c r="C155" s="43" t="s">
        <v>11</v>
      </c>
      <c r="D155" s="39" t="str">
        <f t="shared" si="1"/>
        <v>II</v>
      </c>
      <c r="E155" s="40" t="str">
        <f t="shared" si="2"/>
        <v>FA103/II/01</v>
      </c>
      <c r="F155" s="8" t="s">
        <v>154</v>
      </c>
      <c r="G155" s="31">
        <v>44954.0</v>
      </c>
      <c r="H155" s="20">
        <v>783020.0</v>
      </c>
      <c r="I155" s="7"/>
      <c r="J155" s="43"/>
      <c r="K155" s="43" t="s">
        <v>116</v>
      </c>
      <c r="L155" s="43" t="s">
        <v>8</v>
      </c>
      <c r="M155" s="9" t="str">
        <f t="shared" si="3"/>
        <v>01</v>
      </c>
      <c r="N155" s="8" t="s">
        <v>155</v>
      </c>
      <c r="O155" s="8"/>
      <c r="P155" s="8"/>
      <c r="Q155" s="8"/>
      <c r="R155" s="43" t="s">
        <v>52</v>
      </c>
      <c r="S155" s="10"/>
    </row>
    <row r="156" ht="13.5" customHeight="1">
      <c r="A156" s="37">
        <v>151.0</v>
      </c>
      <c r="B156" s="38" t="s">
        <v>364</v>
      </c>
      <c r="C156" s="43" t="s">
        <v>11</v>
      </c>
      <c r="D156" s="39" t="str">
        <f t="shared" si="1"/>
        <v>II</v>
      </c>
      <c r="E156" s="40" t="str">
        <f t="shared" si="2"/>
        <v>FA104/II/01</v>
      </c>
      <c r="F156" s="8" t="s">
        <v>79</v>
      </c>
      <c r="G156" s="41">
        <v>44954.0</v>
      </c>
      <c r="H156" s="20">
        <v>980000.0</v>
      </c>
      <c r="I156" s="7"/>
      <c r="J156" s="43"/>
      <c r="K156" s="43" t="s">
        <v>108</v>
      </c>
      <c r="L156" s="43" t="s">
        <v>8</v>
      </c>
      <c r="M156" s="9" t="str">
        <f t="shared" si="3"/>
        <v>01</v>
      </c>
      <c r="N156" s="8" t="s">
        <v>155</v>
      </c>
      <c r="O156" s="8"/>
      <c r="P156" s="8"/>
      <c r="Q156" s="8"/>
      <c r="R156" s="43" t="s">
        <v>52</v>
      </c>
      <c r="S156" s="10"/>
    </row>
    <row r="157" ht="13.5" customHeight="1">
      <c r="A157" s="37">
        <v>152.0</v>
      </c>
      <c r="B157" s="38" t="s">
        <v>365</v>
      </c>
      <c r="C157" s="43" t="s">
        <v>6</v>
      </c>
      <c r="D157" s="39" t="str">
        <f t="shared" si="1"/>
        <v>I</v>
      </c>
      <c r="E157" s="40" t="str">
        <f t="shared" si="2"/>
        <v>FA105/I/01</v>
      </c>
      <c r="F157" s="8" t="s">
        <v>366</v>
      </c>
      <c r="G157" s="31">
        <v>44959.0</v>
      </c>
      <c r="H157" s="20">
        <v>3037000.0</v>
      </c>
      <c r="I157" s="7"/>
      <c r="J157" s="43" t="s">
        <v>115</v>
      </c>
      <c r="K157" s="43" t="s">
        <v>116</v>
      </c>
      <c r="L157" s="8" t="s">
        <v>8</v>
      </c>
      <c r="M157" s="9" t="str">
        <f t="shared" si="3"/>
        <v>01</v>
      </c>
      <c r="N157" s="8" t="s">
        <v>367</v>
      </c>
      <c r="O157" s="8"/>
      <c r="P157" s="8"/>
      <c r="Q157" s="8"/>
      <c r="R157" s="43" t="s">
        <v>52</v>
      </c>
      <c r="S157" s="10"/>
    </row>
    <row r="158" ht="13.5" customHeight="1">
      <c r="A158" s="66">
        <v>153.0</v>
      </c>
      <c r="B158" s="67" t="s">
        <v>368</v>
      </c>
      <c r="C158" s="73" t="s">
        <v>6</v>
      </c>
      <c r="D158" s="68" t="str">
        <f t="shared" si="1"/>
        <v>I</v>
      </c>
      <c r="E158" s="69" t="str">
        <f t="shared" si="2"/>
        <v>FA106/I/01</v>
      </c>
      <c r="F158" s="72" t="s">
        <v>369</v>
      </c>
      <c r="G158" s="70">
        <v>44959.0</v>
      </c>
      <c r="H158" s="114">
        <v>604600.0</v>
      </c>
      <c r="I158" s="115"/>
      <c r="J158" s="73"/>
      <c r="K158" s="73"/>
      <c r="L158" s="72" t="s">
        <v>8</v>
      </c>
      <c r="M158" s="17" t="str">
        <f t="shared" si="3"/>
        <v>01</v>
      </c>
      <c r="N158" s="72" t="s">
        <v>270</v>
      </c>
      <c r="O158" s="72"/>
      <c r="P158" s="72"/>
      <c r="Q158" s="72"/>
      <c r="R158" s="72"/>
      <c r="S158" s="74"/>
    </row>
    <row r="159" ht="13.5" customHeight="1">
      <c r="A159" s="37">
        <v>154.0</v>
      </c>
      <c r="B159" s="38" t="s">
        <v>370</v>
      </c>
      <c r="C159" s="43" t="s">
        <v>6</v>
      </c>
      <c r="D159" s="39" t="str">
        <f t="shared" si="1"/>
        <v>I</v>
      </c>
      <c r="E159" s="40" t="str">
        <f t="shared" si="2"/>
        <v>FA107/I/01</v>
      </c>
      <c r="F159" s="43" t="s">
        <v>371</v>
      </c>
      <c r="G159" s="31">
        <v>44959.0</v>
      </c>
      <c r="H159" s="20">
        <v>1.33379E7</v>
      </c>
      <c r="I159" s="7"/>
      <c r="J159" s="43" t="s">
        <v>372</v>
      </c>
      <c r="K159" s="43" t="s">
        <v>116</v>
      </c>
      <c r="L159" s="8" t="s">
        <v>8</v>
      </c>
      <c r="M159" s="9" t="str">
        <f t="shared" si="3"/>
        <v>01</v>
      </c>
      <c r="N159" s="8" t="s">
        <v>117</v>
      </c>
      <c r="O159" s="8"/>
      <c r="P159" s="8"/>
      <c r="Q159" s="8"/>
      <c r="R159" s="43" t="s">
        <v>52</v>
      </c>
      <c r="S159" s="10"/>
    </row>
    <row r="160" ht="13.5" customHeight="1">
      <c r="A160" s="37">
        <v>155.0</v>
      </c>
      <c r="B160" s="38" t="s">
        <v>373</v>
      </c>
      <c r="C160" s="43" t="s">
        <v>6</v>
      </c>
      <c r="D160" s="39" t="str">
        <f t="shared" si="1"/>
        <v>I</v>
      </c>
      <c r="E160" s="40" t="str">
        <f t="shared" si="2"/>
        <v>FA108/I/01</v>
      </c>
      <c r="F160" s="8" t="s">
        <v>374</v>
      </c>
      <c r="G160" s="41">
        <v>44959.0</v>
      </c>
      <c r="H160" s="20">
        <v>3438700.0</v>
      </c>
      <c r="I160" s="7"/>
      <c r="J160" s="43" t="s">
        <v>115</v>
      </c>
      <c r="K160" s="43" t="s">
        <v>116</v>
      </c>
      <c r="L160" s="8" t="s">
        <v>8</v>
      </c>
      <c r="M160" s="9" t="str">
        <f t="shared" si="3"/>
        <v>01</v>
      </c>
      <c r="N160" s="8" t="s">
        <v>117</v>
      </c>
      <c r="O160" s="8"/>
      <c r="P160" s="8"/>
      <c r="Q160" s="8"/>
      <c r="R160" s="43" t="s">
        <v>52</v>
      </c>
      <c r="S160" s="10"/>
    </row>
    <row r="161" ht="13.5" customHeight="1">
      <c r="A161" s="37">
        <v>156.0</v>
      </c>
      <c r="B161" s="38" t="s">
        <v>375</v>
      </c>
      <c r="C161" s="43" t="s">
        <v>24</v>
      </c>
      <c r="D161" s="39" t="str">
        <f t="shared" si="1"/>
        <v>V</v>
      </c>
      <c r="E161" s="40" t="str">
        <f t="shared" si="2"/>
        <v>FA109/V/02</v>
      </c>
      <c r="F161" s="8" t="s">
        <v>376</v>
      </c>
      <c r="G161" s="31">
        <v>44963.0</v>
      </c>
      <c r="H161" s="20">
        <v>725000.0</v>
      </c>
      <c r="I161" s="7"/>
      <c r="J161" s="43" t="s">
        <v>322</v>
      </c>
      <c r="K161" s="43" t="s">
        <v>323</v>
      </c>
      <c r="L161" s="43" t="s">
        <v>13</v>
      </c>
      <c r="M161" s="9" t="str">
        <f t="shared" si="3"/>
        <v>02</v>
      </c>
      <c r="N161" s="8" t="s">
        <v>377</v>
      </c>
      <c r="O161" s="8"/>
      <c r="P161" s="8"/>
      <c r="Q161" s="8"/>
      <c r="R161" s="43" t="s">
        <v>52</v>
      </c>
      <c r="S161" s="10"/>
    </row>
    <row r="162" ht="13.5" customHeight="1">
      <c r="A162" s="37">
        <v>157.0</v>
      </c>
      <c r="B162" s="38" t="s">
        <v>378</v>
      </c>
      <c r="C162" s="43" t="s">
        <v>11</v>
      </c>
      <c r="D162" s="39" t="str">
        <f t="shared" si="1"/>
        <v>II</v>
      </c>
      <c r="E162" s="40" t="str">
        <f t="shared" si="2"/>
        <v>FA110/II/01</v>
      </c>
      <c r="F162" s="8" t="s">
        <v>79</v>
      </c>
      <c r="G162" s="31">
        <v>44966.0</v>
      </c>
      <c r="H162" s="20">
        <v>854955.0</v>
      </c>
      <c r="I162" s="7"/>
      <c r="J162" s="43"/>
      <c r="K162" s="43" t="s">
        <v>116</v>
      </c>
      <c r="L162" s="43" t="s">
        <v>8</v>
      </c>
      <c r="M162" s="9" t="str">
        <f t="shared" si="3"/>
        <v>01</v>
      </c>
      <c r="N162" s="8" t="s">
        <v>155</v>
      </c>
      <c r="O162" s="8"/>
      <c r="P162" s="8"/>
      <c r="Q162" s="8"/>
      <c r="R162" s="43" t="s">
        <v>52</v>
      </c>
      <c r="S162" s="10"/>
    </row>
    <row r="163" ht="13.5" customHeight="1">
      <c r="A163" s="37">
        <v>158.0</v>
      </c>
      <c r="B163" s="38" t="s">
        <v>379</v>
      </c>
      <c r="C163" s="43" t="s">
        <v>11</v>
      </c>
      <c r="D163" s="39" t="str">
        <f t="shared" si="1"/>
        <v>II</v>
      </c>
      <c r="E163" s="40" t="str">
        <f t="shared" si="2"/>
        <v>FA111/II/01</v>
      </c>
      <c r="F163" s="8" t="s">
        <v>79</v>
      </c>
      <c r="G163" s="41">
        <v>44966.0</v>
      </c>
      <c r="H163" s="20">
        <v>854955.0</v>
      </c>
      <c r="I163" s="7"/>
      <c r="J163" s="43" t="s">
        <v>287</v>
      </c>
      <c r="K163" s="43" t="s">
        <v>158</v>
      </c>
      <c r="L163" s="43" t="s">
        <v>8</v>
      </c>
      <c r="M163" s="9" t="str">
        <f t="shared" si="3"/>
        <v>01</v>
      </c>
      <c r="N163" s="8" t="s">
        <v>155</v>
      </c>
      <c r="O163" s="8"/>
      <c r="P163" s="8"/>
      <c r="Q163" s="8"/>
      <c r="R163" s="43" t="s">
        <v>52</v>
      </c>
      <c r="S163" s="10"/>
    </row>
    <row r="164" ht="13.5" customHeight="1">
      <c r="A164" s="37">
        <v>159.0</v>
      </c>
      <c r="B164" s="38" t="s">
        <v>380</v>
      </c>
      <c r="C164" s="43" t="s">
        <v>11</v>
      </c>
      <c r="D164" s="39" t="str">
        <f t="shared" si="1"/>
        <v>II</v>
      </c>
      <c r="E164" s="40" t="str">
        <f t="shared" si="2"/>
        <v>FA112/II/01</v>
      </c>
      <c r="F164" s="8" t="s">
        <v>381</v>
      </c>
      <c r="G164" s="41">
        <v>44966.0</v>
      </c>
      <c r="H164" s="20">
        <v>494595.0</v>
      </c>
      <c r="I164" s="7"/>
      <c r="J164" s="43" t="s">
        <v>97</v>
      </c>
      <c r="K164" s="43" t="s">
        <v>51</v>
      </c>
      <c r="L164" s="43" t="s">
        <v>8</v>
      </c>
      <c r="M164" s="9" t="str">
        <f t="shared" si="3"/>
        <v>01</v>
      </c>
      <c r="N164" s="8" t="s">
        <v>155</v>
      </c>
      <c r="O164" s="8"/>
      <c r="P164" s="8"/>
      <c r="Q164" s="8"/>
      <c r="R164" s="43" t="s">
        <v>52</v>
      </c>
      <c r="S164" s="10"/>
    </row>
    <row r="165" ht="13.5" customHeight="1">
      <c r="A165" s="37">
        <v>160.0</v>
      </c>
      <c r="B165" s="38" t="s">
        <v>382</v>
      </c>
      <c r="C165" s="43" t="s">
        <v>11</v>
      </c>
      <c r="D165" s="39" t="str">
        <f t="shared" si="1"/>
        <v>II</v>
      </c>
      <c r="E165" s="40" t="str">
        <f t="shared" si="2"/>
        <v>FA113/II/01</v>
      </c>
      <c r="F165" s="8" t="s">
        <v>381</v>
      </c>
      <c r="G165" s="41">
        <v>44966.0</v>
      </c>
      <c r="H165" s="20">
        <v>494595.0</v>
      </c>
      <c r="I165" s="7"/>
      <c r="J165" s="43" t="s">
        <v>357</v>
      </c>
      <c r="K165" s="43" t="s">
        <v>81</v>
      </c>
      <c r="L165" s="43" t="s">
        <v>8</v>
      </c>
      <c r="M165" s="9" t="str">
        <f t="shared" si="3"/>
        <v>01</v>
      </c>
      <c r="N165" s="8" t="s">
        <v>155</v>
      </c>
      <c r="O165" s="8"/>
      <c r="P165" s="8"/>
      <c r="Q165" s="8"/>
      <c r="R165" s="43" t="s">
        <v>52</v>
      </c>
      <c r="S165" s="10"/>
    </row>
    <row r="166" ht="13.5" customHeight="1">
      <c r="A166" s="37">
        <v>161.0</v>
      </c>
      <c r="B166" s="38" t="s">
        <v>383</v>
      </c>
      <c r="C166" s="43" t="s">
        <v>11</v>
      </c>
      <c r="D166" s="39" t="str">
        <f t="shared" si="1"/>
        <v>II</v>
      </c>
      <c r="E166" s="40" t="str">
        <f t="shared" si="2"/>
        <v>FA114/II/02</v>
      </c>
      <c r="F166" s="8" t="s">
        <v>384</v>
      </c>
      <c r="G166" s="41">
        <v>44966.0</v>
      </c>
      <c r="H166" s="20">
        <v>494595.0</v>
      </c>
      <c r="I166" s="7"/>
      <c r="J166" s="43" t="s">
        <v>138</v>
      </c>
      <c r="K166" s="43" t="s">
        <v>95</v>
      </c>
      <c r="L166" s="43" t="s">
        <v>13</v>
      </c>
      <c r="M166" s="9" t="str">
        <f t="shared" si="3"/>
        <v>02</v>
      </c>
      <c r="N166" s="8" t="s">
        <v>155</v>
      </c>
      <c r="O166" s="8"/>
      <c r="P166" s="8"/>
      <c r="Q166" s="8"/>
      <c r="R166" s="43" t="s">
        <v>52</v>
      </c>
      <c r="S166" s="10"/>
    </row>
    <row r="167" ht="13.5" customHeight="1">
      <c r="A167" s="76">
        <v>162.0</v>
      </c>
      <c r="B167" s="77" t="s">
        <v>385</v>
      </c>
      <c r="C167" s="81" t="s">
        <v>11</v>
      </c>
      <c r="D167" s="78" t="str">
        <f t="shared" si="1"/>
        <v>II</v>
      </c>
      <c r="E167" s="79" t="str">
        <f t="shared" si="2"/>
        <v>FA115/II/01</v>
      </c>
      <c r="F167" s="83" t="s">
        <v>381</v>
      </c>
      <c r="G167" s="80">
        <v>44966.0</v>
      </c>
      <c r="H167" s="101">
        <v>494595.0</v>
      </c>
      <c r="I167" s="98"/>
      <c r="J167" s="81" t="s">
        <v>386</v>
      </c>
      <c r="K167" s="81" t="s">
        <v>47</v>
      </c>
      <c r="L167" s="81" t="s">
        <v>8</v>
      </c>
      <c r="M167" s="82" t="str">
        <f t="shared" si="3"/>
        <v>01</v>
      </c>
      <c r="N167" s="83" t="s">
        <v>155</v>
      </c>
      <c r="O167" s="83"/>
      <c r="P167" s="83"/>
      <c r="Q167" s="83"/>
      <c r="R167" s="43" t="s">
        <v>52</v>
      </c>
      <c r="S167" s="84"/>
    </row>
    <row r="168" ht="13.5" customHeight="1">
      <c r="A168" s="37">
        <v>163.0</v>
      </c>
      <c r="B168" s="38" t="s">
        <v>387</v>
      </c>
      <c r="C168" s="43" t="s">
        <v>16</v>
      </c>
      <c r="D168" s="39" t="str">
        <f t="shared" si="1"/>
        <v>III</v>
      </c>
      <c r="E168" s="40" t="str">
        <f t="shared" si="2"/>
        <v>FA116/III/01</v>
      </c>
      <c r="F168" s="43" t="s">
        <v>388</v>
      </c>
      <c r="G168" s="41">
        <v>44972.0</v>
      </c>
      <c r="H168" s="13">
        <v>8807102.0</v>
      </c>
      <c r="I168" s="116"/>
      <c r="J168" s="43" t="s">
        <v>389</v>
      </c>
      <c r="K168" s="43" t="s">
        <v>116</v>
      </c>
      <c r="L168" s="43" t="s">
        <v>8</v>
      </c>
      <c r="M168" s="9" t="str">
        <f t="shared" si="3"/>
        <v>01</v>
      </c>
      <c r="N168" s="8" t="s">
        <v>121</v>
      </c>
      <c r="O168" s="8"/>
      <c r="P168" s="8"/>
      <c r="Q168" s="8"/>
      <c r="R168" s="43" t="s">
        <v>10</v>
      </c>
      <c r="S168" s="10"/>
    </row>
    <row r="169" ht="13.5" customHeight="1">
      <c r="A169" s="37">
        <v>164.0</v>
      </c>
      <c r="B169" s="38" t="s">
        <v>390</v>
      </c>
      <c r="C169" s="43" t="s">
        <v>16</v>
      </c>
      <c r="D169" s="39" t="str">
        <f t="shared" si="1"/>
        <v>III</v>
      </c>
      <c r="E169" s="40" t="str">
        <f t="shared" si="2"/>
        <v>FA117/III/01</v>
      </c>
      <c r="F169" s="8" t="s">
        <v>391</v>
      </c>
      <c r="G169" s="31">
        <v>44973.0</v>
      </c>
      <c r="H169" s="20">
        <v>8647748.0</v>
      </c>
      <c r="I169" s="7"/>
      <c r="J169" s="8" t="s">
        <v>392</v>
      </c>
      <c r="K169" s="8" t="s">
        <v>170</v>
      </c>
      <c r="L169" s="43" t="s">
        <v>8</v>
      </c>
      <c r="M169" s="9" t="str">
        <f t="shared" si="3"/>
        <v>01</v>
      </c>
      <c r="N169" s="8" t="s">
        <v>121</v>
      </c>
      <c r="O169" s="8"/>
      <c r="P169" s="8"/>
      <c r="Q169" s="8"/>
      <c r="R169" s="43" t="s">
        <v>52</v>
      </c>
      <c r="S169" s="10"/>
    </row>
    <row r="170" ht="13.5" customHeight="1">
      <c r="A170" s="37">
        <v>165.0</v>
      </c>
      <c r="B170" s="38" t="s">
        <v>393</v>
      </c>
      <c r="C170" s="43" t="s">
        <v>16</v>
      </c>
      <c r="D170" s="39" t="str">
        <f t="shared" si="1"/>
        <v>III</v>
      </c>
      <c r="E170" s="40" t="str">
        <f t="shared" si="2"/>
        <v>FA118/III/02</v>
      </c>
      <c r="F170" s="8" t="s">
        <v>391</v>
      </c>
      <c r="G170" s="41">
        <v>44973.0</v>
      </c>
      <c r="H170" s="20">
        <v>8647748.0</v>
      </c>
      <c r="I170" s="7"/>
      <c r="J170" s="43" t="s">
        <v>322</v>
      </c>
      <c r="K170" s="43" t="s">
        <v>323</v>
      </c>
      <c r="L170" s="43" t="s">
        <v>13</v>
      </c>
      <c r="M170" s="9" t="str">
        <f t="shared" si="3"/>
        <v>02</v>
      </c>
      <c r="N170" s="8" t="s">
        <v>121</v>
      </c>
      <c r="O170" s="8"/>
      <c r="P170" s="8"/>
      <c r="Q170" s="8"/>
      <c r="R170" s="43" t="s">
        <v>52</v>
      </c>
      <c r="S170" s="10"/>
    </row>
    <row r="171" ht="13.5" customHeight="1">
      <c r="A171" s="37">
        <v>166.0</v>
      </c>
      <c r="B171" s="38" t="s">
        <v>394</v>
      </c>
      <c r="C171" s="43" t="s">
        <v>24</v>
      </c>
      <c r="D171" s="39" t="str">
        <f t="shared" si="1"/>
        <v>V</v>
      </c>
      <c r="E171" s="40" t="str">
        <f t="shared" si="2"/>
        <v>FA119/V/02</v>
      </c>
      <c r="F171" s="8" t="s">
        <v>395</v>
      </c>
      <c r="G171" s="41">
        <v>44978.0</v>
      </c>
      <c r="H171" s="20">
        <v>4670500.0</v>
      </c>
      <c r="I171" s="7"/>
      <c r="J171" s="43" t="s">
        <v>322</v>
      </c>
      <c r="K171" s="43" t="s">
        <v>323</v>
      </c>
      <c r="L171" s="43" t="s">
        <v>13</v>
      </c>
      <c r="M171" s="9" t="str">
        <f t="shared" si="3"/>
        <v>02</v>
      </c>
      <c r="N171" s="8" t="s">
        <v>324</v>
      </c>
      <c r="O171" s="8"/>
      <c r="P171" s="8"/>
      <c r="Q171" s="8"/>
      <c r="R171" s="43" t="s">
        <v>52</v>
      </c>
      <c r="S171" s="10"/>
    </row>
    <row r="172" ht="13.5" customHeight="1">
      <c r="A172" s="37">
        <v>167.0</v>
      </c>
      <c r="B172" s="38" t="s">
        <v>396</v>
      </c>
      <c r="C172" s="43" t="s">
        <v>6</v>
      </c>
      <c r="D172" s="39" t="str">
        <f t="shared" si="1"/>
        <v>I</v>
      </c>
      <c r="E172" s="40" t="str">
        <f t="shared" si="2"/>
        <v>FA120/I/01</v>
      </c>
      <c r="F172" s="8" t="s">
        <v>397</v>
      </c>
      <c r="G172" s="41">
        <v>44977.0</v>
      </c>
      <c r="H172" s="20">
        <v>782000.0</v>
      </c>
      <c r="I172" s="7"/>
      <c r="J172" s="43" t="s">
        <v>166</v>
      </c>
      <c r="K172" s="43" t="s">
        <v>158</v>
      </c>
      <c r="L172" s="8" t="s">
        <v>8</v>
      </c>
      <c r="M172" s="9" t="str">
        <f t="shared" si="3"/>
        <v>01</v>
      </c>
      <c r="N172" s="8" t="s">
        <v>398</v>
      </c>
      <c r="O172" s="8"/>
      <c r="P172" s="8"/>
      <c r="Q172" s="8"/>
      <c r="R172" s="43" t="s">
        <v>52</v>
      </c>
      <c r="S172" s="10"/>
    </row>
    <row r="173" ht="13.5" customHeight="1">
      <c r="A173" s="37">
        <v>168.0</v>
      </c>
      <c r="B173" s="38" t="s">
        <v>399</v>
      </c>
      <c r="C173" s="43" t="s">
        <v>6</v>
      </c>
      <c r="D173" s="39" t="str">
        <f t="shared" si="1"/>
        <v>I</v>
      </c>
      <c r="E173" s="40" t="str">
        <f t="shared" si="2"/>
        <v>FA121/I/02</v>
      </c>
      <c r="F173" s="8" t="s">
        <v>400</v>
      </c>
      <c r="G173" s="41">
        <v>44977.0</v>
      </c>
      <c r="H173" s="20">
        <v>887250.0</v>
      </c>
      <c r="I173" s="7"/>
      <c r="J173" s="43" t="s">
        <v>138</v>
      </c>
      <c r="K173" s="43" t="s">
        <v>95</v>
      </c>
      <c r="L173" s="43" t="s">
        <v>13</v>
      </c>
      <c r="M173" s="9" t="str">
        <f t="shared" si="3"/>
        <v>02</v>
      </c>
      <c r="N173" s="8" t="s">
        <v>401</v>
      </c>
      <c r="O173" s="8"/>
      <c r="P173" s="8"/>
      <c r="Q173" s="8"/>
      <c r="R173" s="43" t="s">
        <v>52</v>
      </c>
      <c r="S173" s="10"/>
    </row>
    <row r="174" ht="13.5" customHeight="1">
      <c r="A174" s="37">
        <v>169.0</v>
      </c>
      <c r="B174" s="38" t="s">
        <v>402</v>
      </c>
      <c r="C174" s="43" t="s">
        <v>6</v>
      </c>
      <c r="D174" s="39" t="str">
        <f t="shared" si="1"/>
        <v>I</v>
      </c>
      <c r="E174" s="40" t="str">
        <f t="shared" si="2"/>
        <v>FA122/I/02</v>
      </c>
      <c r="F174" s="8" t="s">
        <v>400</v>
      </c>
      <c r="G174" s="41">
        <v>44977.0</v>
      </c>
      <c r="H174" s="20">
        <v>887250.0</v>
      </c>
      <c r="I174" s="7"/>
      <c r="J174" s="43" t="s">
        <v>138</v>
      </c>
      <c r="K174" s="43" t="s">
        <v>95</v>
      </c>
      <c r="L174" s="43" t="s">
        <v>13</v>
      </c>
      <c r="M174" s="9" t="str">
        <f t="shared" si="3"/>
        <v>02</v>
      </c>
      <c r="N174" s="8" t="s">
        <v>401</v>
      </c>
      <c r="O174" s="8"/>
      <c r="P174" s="8"/>
      <c r="Q174" s="8"/>
      <c r="R174" s="43" t="s">
        <v>52</v>
      </c>
      <c r="S174" s="10"/>
    </row>
    <row r="175" ht="13.5" customHeight="1">
      <c r="A175" s="37">
        <v>170.0</v>
      </c>
      <c r="B175" s="38" t="s">
        <v>403</v>
      </c>
      <c r="C175" s="43" t="s">
        <v>6</v>
      </c>
      <c r="D175" s="39" t="str">
        <f t="shared" si="1"/>
        <v>I</v>
      </c>
      <c r="E175" s="40" t="str">
        <f t="shared" si="2"/>
        <v>FA123/I/02</v>
      </c>
      <c r="F175" s="8" t="s">
        <v>400</v>
      </c>
      <c r="G175" s="31">
        <v>44977.0</v>
      </c>
      <c r="H175" s="20">
        <v>887250.0</v>
      </c>
      <c r="I175" s="7"/>
      <c r="J175" s="43" t="s">
        <v>138</v>
      </c>
      <c r="K175" s="43" t="s">
        <v>95</v>
      </c>
      <c r="L175" s="43" t="s">
        <v>13</v>
      </c>
      <c r="M175" s="9" t="str">
        <f t="shared" si="3"/>
        <v>02</v>
      </c>
      <c r="N175" s="8" t="s">
        <v>401</v>
      </c>
      <c r="O175" s="8"/>
      <c r="P175" s="8"/>
      <c r="Q175" s="8"/>
      <c r="R175" s="43" t="s">
        <v>52</v>
      </c>
      <c r="S175" s="10"/>
    </row>
    <row r="176" ht="13.5" customHeight="1">
      <c r="A176" s="37">
        <v>171.0</v>
      </c>
      <c r="B176" s="38" t="s">
        <v>404</v>
      </c>
      <c r="C176" s="43" t="s">
        <v>6</v>
      </c>
      <c r="D176" s="39" t="str">
        <f t="shared" si="1"/>
        <v>I</v>
      </c>
      <c r="E176" s="40" t="str">
        <f t="shared" si="2"/>
        <v>FA124/I/02</v>
      </c>
      <c r="F176" s="8" t="s">
        <v>400</v>
      </c>
      <c r="G176" s="41">
        <v>44977.0</v>
      </c>
      <c r="H176" s="20">
        <v>887250.0</v>
      </c>
      <c r="I176" s="7"/>
      <c r="J176" s="43" t="s">
        <v>138</v>
      </c>
      <c r="K176" s="43" t="s">
        <v>95</v>
      </c>
      <c r="L176" s="43" t="s">
        <v>13</v>
      </c>
      <c r="M176" s="9" t="str">
        <f t="shared" si="3"/>
        <v>02</v>
      </c>
      <c r="N176" s="8" t="s">
        <v>401</v>
      </c>
      <c r="O176" s="8"/>
      <c r="P176" s="8"/>
      <c r="Q176" s="8"/>
      <c r="R176" s="43" t="s">
        <v>52</v>
      </c>
      <c r="S176" s="10"/>
    </row>
    <row r="177" ht="13.5" customHeight="1">
      <c r="A177" s="37">
        <v>172.0</v>
      </c>
      <c r="B177" s="38" t="s">
        <v>405</v>
      </c>
      <c r="C177" s="43" t="s">
        <v>6</v>
      </c>
      <c r="D177" s="39" t="str">
        <f t="shared" si="1"/>
        <v>I</v>
      </c>
      <c r="E177" s="40" t="str">
        <f t="shared" si="2"/>
        <v>FA125/I/02</v>
      </c>
      <c r="F177" s="8" t="s">
        <v>400</v>
      </c>
      <c r="G177" s="31">
        <v>44977.0</v>
      </c>
      <c r="H177" s="20">
        <v>887250.0</v>
      </c>
      <c r="I177" s="7"/>
      <c r="J177" s="43" t="s">
        <v>138</v>
      </c>
      <c r="K177" s="43" t="s">
        <v>95</v>
      </c>
      <c r="L177" s="43" t="s">
        <v>13</v>
      </c>
      <c r="M177" s="9" t="str">
        <f t="shared" si="3"/>
        <v>02</v>
      </c>
      <c r="N177" s="8" t="s">
        <v>401</v>
      </c>
      <c r="O177" s="8"/>
      <c r="P177" s="8"/>
      <c r="Q177" s="8"/>
      <c r="R177" s="43" t="s">
        <v>52</v>
      </c>
      <c r="S177" s="10"/>
    </row>
    <row r="178" ht="13.5" customHeight="1">
      <c r="A178" s="37">
        <v>173.0</v>
      </c>
      <c r="B178" s="38" t="s">
        <v>406</v>
      </c>
      <c r="C178" s="43" t="s">
        <v>6</v>
      </c>
      <c r="D178" s="39" t="str">
        <f t="shared" si="1"/>
        <v>I</v>
      </c>
      <c r="E178" s="40" t="str">
        <f t="shared" si="2"/>
        <v>FA126/I/02</v>
      </c>
      <c r="F178" s="8" t="s">
        <v>400</v>
      </c>
      <c r="G178" s="31">
        <v>44977.0</v>
      </c>
      <c r="H178" s="20">
        <v>887250.0</v>
      </c>
      <c r="I178" s="7"/>
      <c r="J178" s="43" t="s">
        <v>138</v>
      </c>
      <c r="K178" s="43" t="s">
        <v>95</v>
      </c>
      <c r="L178" s="43" t="s">
        <v>13</v>
      </c>
      <c r="M178" s="9" t="str">
        <f t="shared" si="3"/>
        <v>02</v>
      </c>
      <c r="N178" s="8" t="s">
        <v>401</v>
      </c>
      <c r="O178" s="8"/>
      <c r="P178" s="8"/>
      <c r="Q178" s="8"/>
      <c r="R178" s="43" t="s">
        <v>52</v>
      </c>
      <c r="S178" s="10"/>
    </row>
    <row r="179" ht="13.5" customHeight="1">
      <c r="A179" s="37">
        <v>174.0</v>
      </c>
      <c r="B179" s="38" t="s">
        <v>407</v>
      </c>
      <c r="C179" s="43" t="s">
        <v>6</v>
      </c>
      <c r="D179" s="39" t="str">
        <f t="shared" si="1"/>
        <v>I</v>
      </c>
      <c r="E179" s="40" t="str">
        <f t="shared" si="2"/>
        <v>FA127/I/02</v>
      </c>
      <c r="F179" s="8" t="s">
        <v>400</v>
      </c>
      <c r="G179" s="41">
        <v>44977.0</v>
      </c>
      <c r="H179" s="20">
        <v>887250.0</v>
      </c>
      <c r="I179" s="7"/>
      <c r="J179" s="43" t="s">
        <v>138</v>
      </c>
      <c r="K179" s="43" t="s">
        <v>95</v>
      </c>
      <c r="L179" s="43" t="s">
        <v>13</v>
      </c>
      <c r="M179" s="9" t="str">
        <f t="shared" si="3"/>
        <v>02</v>
      </c>
      <c r="N179" s="8" t="s">
        <v>401</v>
      </c>
      <c r="O179" s="8"/>
      <c r="P179" s="8"/>
      <c r="Q179" s="8"/>
      <c r="R179" s="43" t="s">
        <v>52</v>
      </c>
      <c r="S179" s="10"/>
    </row>
    <row r="180" ht="13.5" customHeight="1">
      <c r="A180" s="37">
        <v>175.0</v>
      </c>
      <c r="B180" s="38" t="s">
        <v>408</v>
      </c>
      <c r="C180" s="43" t="s">
        <v>6</v>
      </c>
      <c r="D180" s="39" t="str">
        <f t="shared" si="1"/>
        <v>I</v>
      </c>
      <c r="E180" s="40" t="str">
        <f t="shared" si="2"/>
        <v>FA128/I/02</v>
      </c>
      <c r="F180" s="8" t="s">
        <v>400</v>
      </c>
      <c r="G180" s="41">
        <v>44977.0</v>
      </c>
      <c r="H180" s="20">
        <v>887250.0</v>
      </c>
      <c r="I180" s="7"/>
      <c r="J180" s="43" t="s">
        <v>138</v>
      </c>
      <c r="K180" s="43" t="s">
        <v>95</v>
      </c>
      <c r="L180" s="43" t="s">
        <v>13</v>
      </c>
      <c r="M180" s="9" t="str">
        <f t="shared" si="3"/>
        <v>02</v>
      </c>
      <c r="N180" s="8" t="s">
        <v>401</v>
      </c>
      <c r="O180" s="8"/>
      <c r="P180" s="8"/>
      <c r="Q180" s="8"/>
      <c r="R180" s="43" t="s">
        <v>52</v>
      </c>
      <c r="S180" s="10"/>
    </row>
    <row r="181" ht="13.5" customHeight="1">
      <c r="A181" s="37">
        <v>176.0</v>
      </c>
      <c r="B181" s="38" t="s">
        <v>409</v>
      </c>
      <c r="C181" s="43" t="s">
        <v>6</v>
      </c>
      <c r="D181" s="39" t="str">
        <f t="shared" si="1"/>
        <v>I</v>
      </c>
      <c r="E181" s="40" t="str">
        <f t="shared" si="2"/>
        <v>FA129/I/02</v>
      </c>
      <c r="F181" s="8" t="s">
        <v>400</v>
      </c>
      <c r="G181" s="41">
        <v>44977.0</v>
      </c>
      <c r="H181" s="20">
        <v>887250.0</v>
      </c>
      <c r="I181" s="7"/>
      <c r="J181" s="43" t="s">
        <v>138</v>
      </c>
      <c r="K181" s="43" t="s">
        <v>95</v>
      </c>
      <c r="L181" s="43" t="s">
        <v>13</v>
      </c>
      <c r="M181" s="9" t="str">
        <f t="shared" si="3"/>
        <v>02</v>
      </c>
      <c r="N181" s="8" t="s">
        <v>401</v>
      </c>
      <c r="O181" s="8"/>
      <c r="P181" s="8"/>
      <c r="Q181" s="8"/>
      <c r="R181" s="43" t="s">
        <v>52</v>
      </c>
      <c r="S181" s="10"/>
    </row>
    <row r="182" ht="13.5" customHeight="1">
      <c r="A182" s="37">
        <v>177.0</v>
      </c>
      <c r="B182" s="38" t="s">
        <v>410</v>
      </c>
      <c r="C182" s="43" t="s">
        <v>6</v>
      </c>
      <c r="D182" s="39" t="str">
        <f t="shared" si="1"/>
        <v>I</v>
      </c>
      <c r="E182" s="40" t="str">
        <f t="shared" si="2"/>
        <v>FA130/I/02</v>
      </c>
      <c r="F182" s="8" t="s">
        <v>400</v>
      </c>
      <c r="G182" s="41">
        <v>44977.0</v>
      </c>
      <c r="H182" s="20">
        <v>887250.0</v>
      </c>
      <c r="I182" s="7"/>
      <c r="J182" s="43" t="s">
        <v>138</v>
      </c>
      <c r="K182" s="43" t="s">
        <v>95</v>
      </c>
      <c r="L182" s="43" t="s">
        <v>13</v>
      </c>
      <c r="M182" s="9" t="str">
        <f t="shared" si="3"/>
        <v>02</v>
      </c>
      <c r="N182" s="8" t="s">
        <v>401</v>
      </c>
      <c r="O182" s="8"/>
      <c r="P182" s="8"/>
      <c r="Q182" s="8"/>
      <c r="R182" s="43" t="s">
        <v>52</v>
      </c>
      <c r="S182" s="10"/>
    </row>
    <row r="183" ht="13.5" customHeight="1">
      <c r="A183" s="37">
        <v>178.0</v>
      </c>
      <c r="B183" s="38" t="s">
        <v>411</v>
      </c>
      <c r="C183" s="43" t="s">
        <v>6</v>
      </c>
      <c r="D183" s="39" t="str">
        <f t="shared" si="1"/>
        <v>I</v>
      </c>
      <c r="E183" s="40" t="str">
        <f t="shared" si="2"/>
        <v>FA131/I/02</v>
      </c>
      <c r="F183" s="8" t="s">
        <v>400</v>
      </c>
      <c r="G183" s="41">
        <v>44977.0</v>
      </c>
      <c r="H183" s="20">
        <v>887250.0</v>
      </c>
      <c r="I183" s="7"/>
      <c r="J183" s="43" t="s">
        <v>138</v>
      </c>
      <c r="K183" s="43" t="s">
        <v>95</v>
      </c>
      <c r="L183" s="43" t="s">
        <v>13</v>
      </c>
      <c r="M183" s="9" t="str">
        <f t="shared" si="3"/>
        <v>02</v>
      </c>
      <c r="N183" s="8" t="s">
        <v>401</v>
      </c>
      <c r="O183" s="8"/>
      <c r="P183" s="8"/>
      <c r="Q183" s="8"/>
      <c r="R183" s="43" t="s">
        <v>52</v>
      </c>
      <c r="S183" s="10"/>
    </row>
    <row r="184" ht="13.5" customHeight="1">
      <c r="A184" s="37">
        <v>179.0</v>
      </c>
      <c r="B184" s="38" t="s">
        <v>412</v>
      </c>
      <c r="C184" s="43" t="s">
        <v>6</v>
      </c>
      <c r="D184" s="39" t="str">
        <f t="shared" si="1"/>
        <v>I</v>
      </c>
      <c r="E184" s="40" t="str">
        <f t="shared" si="2"/>
        <v>FA132/I/02</v>
      </c>
      <c r="F184" s="8" t="s">
        <v>400</v>
      </c>
      <c r="G184" s="90">
        <v>44977.0</v>
      </c>
      <c r="H184" s="20">
        <v>887250.0</v>
      </c>
      <c r="I184" s="7"/>
      <c r="J184" s="43" t="s">
        <v>138</v>
      </c>
      <c r="K184" s="43" t="s">
        <v>95</v>
      </c>
      <c r="L184" s="43" t="s">
        <v>13</v>
      </c>
      <c r="M184" s="9" t="str">
        <f t="shared" si="3"/>
        <v>02</v>
      </c>
      <c r="N184" s="8" t="s">
        <v>401</v>
      </c>
      <c r="O184" s="8"/>
      <c r="P184" s="8"/>
      <c r="Q184" s="8"/>
      <c r="R184" s="43" t="s">
        <v>52</v>
      </c>
      <c r="S184" s="10"/>
    </row>
    <row r="185" ht="13.5" customHeight="1">
      <c r="A185" s="37">
        <v>180.0</v>
      </c>
      <c r="B185" s="38" t="s">
        <v>413</v>
      </c>
      <c r="C185" s="43" t="s">
        <v>6</v>
      </c>
      <c r="D185" s="39" t="str">
        <f t="shared" si="1"/>
        <v>I</v>
      </c>
      <c r="E185" s="40" t="str">
        <f t="shared" si="2"/>
        <v>FA133/I/02</v>
      </c>
      <c r="F185" s="8" t="s">
        <v>400</v>
      </c>
      <c r="G185" s="41">
        <v>44977.0</v>
      </c>
      <c r="H185" s="20">
        <v>887250.0</v>
      </c>
      <c r="I185" s="7"/>
      <c r="J185" s="43" t="s">
        <v>138</v>
      </c>
      <c r="K185" s="43" t="s">
        <v>95</v>
      </c>
      <c r="L185" s="43" t="s">
        <v>13</v>
      </c>
      <c r="M185" s="9" t="str">
        <f t="shared" si="3"/>
        <v>02</v>
      </c>
      <c r="N185" s="8" t="s">
        <v>401</v>
      </c>
      <c r="O185" s="8"/>
      <c r="P185" s="8"/>
      <c r="Q185" s="8"/>
      <c r="R185" s="43" t="s">
        <v>52</v>
      </c>
      <c r="S185" s="10"/>
    </row>
    <row r="186" ht="13.5" customHeight="1">
      <c r="A186" s="37">
        <v>181.0</v>
      </c>
      <c r="B186" s="38" t="s">
        <v>414</v>
      </c>
      <c r="C186" s="43" t="s">
        <v>6</v>
      </c>
      <c r="D186" s="39" t="str">
        <f t="shared" si="1"/>
        <v>I</v>
      </c>
      <c r="E186" s="40" t="str">
        <f t="shared" si="2"/>
        <v>FA134/I/02</v>
      </c>
      <c r="F186" s="8" t="s">
        <v>400</v>
      </c>
      <c r="G186" s="117">
        <v>44977.0</v>
      </c>
      <c r="H186" s="20">
        <v>887250.0</v>
      </c>
      <c r="I186" s="7"/>
      <c r="J186" s="43" t="s">
        <v>138</v>
      </c>
      <c r="K186" s="43" t="s">
        <v>95</v>
      </c>
      <c r="L186" s="43" t="s">
        <v>13</v>
      </c>
      <c r="M186" s="9" t="str">
        <f t="shared" si="3"/>
        <v>02</v>
      </c>
      <c r="N186" s="8" t="s">
        <v>401</v>
      </c>
      <c r="O186" s="8"/>
      <c r="P186" s="8"/>
      <c r="Q186" s="8"/>
      <c r="R186" s="43" t="s">
        <v>52</v>
      </c>
      <c r="S186" s="10"/>
    </row>
    <row r="187" ht="13.5" customHeight="1">
      <c r="A187" s="37">
        <v>182.0</v>
      </c>
      <c r="B187" s="38" t="s">
        <v>415</v>
      </c>
      <c r="C187" s="43" t="s">
        <v>6</v>
      </c>
      <c r="D187" s="39" t="str">
        <f t="shared" si="1"/>
        <v>I</v>
      </c>
      <c r="E187" s="40" t="str">
        <f t="shared" si="2"/>
        <v>FA135/I/02</v>
      </c>
      <c r="F187" s="8" t="s">
        <v>400</v>
      </c>
      <c r="G187" s="41">
        <v>44977.0</v>
      </c>
      <c r="H187" s="20">
        <v>887250.0</v>
      </c>
      <c r="I187" s="7"/>
      <c r="J187" s="43" t="s">
        <v>138</v>
      </c>
      <c r="K187" s="43" t="s">
        <v>95</v>
      </c>
      <c r="L187" s="43" t="s">
        <v>13</v>
      </c>
      <c r="M187" s="9" t="str">
        <f t="shared" si="3"/>
        <v>02</v>
      </c>
      <c r="N187" s="8" t="s">
        <v>401</v>
      </c>
      <c r="O187" s="8"/>
      <c r="P187" s="8"/>
      <c r="Q187" s="8"/>
      <c r="R187" s="43" t="s">
        <v>52</v>
      </c>
      <c r="S187" s="10"/>
    </row>
    <row r="188" ht="13.5" customHeight="1">
      <c r="A188" s="37">
        <v>183.0</v>
      </c>
      <c r="B188" s="38" t="s">
        <v>416</v>
      </c>
      <c r="C188" s="43" t="s">
        <v>6</v>
      </c>
      <c r="D188" s="39" t="str">
        <f t="shared" si="1"/>
        <v>I</v>
      </c>
      <c r="E188" s="40" t="str">
        <f t="shared" si="2"/>
        <v>FA136/I/02</v>
      </c>
      <c r="F188" s="8" t="s">
        <v>400</v>
      </c>
      <c r="G188" s="41">
        <v>44977.0</v>
      </c>
      <c r="H188" s="20">
        <v>887250.0</v>
      </c>
      <c r="I188" s="7"/>
      <c r="J188" s="43" t="s">
        <v>138</v>
      </c>
      <c r="K188" s="43" t="s">
        <v>95</v>
      </c>
      <c r="L188" s="43" t="s">
        <v>13</v>
      </c>
      <c r="M188" s="9" t="str">
        <f t="shared" si="3"/>
        <v>02</v>
      </c>
      <c r="N188" s="8" t="s">
        <v>401</v>
      </c>
      <c r="O188" s="8"/>
      <c r="P188" s="8"/>
      <c r="Q188" s="8"/>
      <c r="R188" s="43" t="s">
        <v>52</v>
      </c>
      <c r="S188" s="10"/>
    </row>
    <row r="189" ht="13.5" customHeight="1">
      <c r="A189" s="37">
        <v>184.0</v>
      </c>
      <c r="B189" s="38" t="s">
        <v>417</v>
      </c>
      <c r="C189" s="43" t="s">
        <v>6</v>
      </c>
      <c r="D189" s="39" t="str">
        <f t="shared" si="1"/>
        <v>I</v>
      </c>
      <c r="E189" s="40" t="str">
        <f t="shared" si="2"/>
        <v>FA137/I/02</v>
      </c>
      <c r="F189" s="8" t="s">
        <v>418</v>
      </c>
      <c r="G189" s="41">
        <v>44977.0</v>
      </c>
      <c r="H189" s="20">
        <v>1199000.0</v>
      </c>
      <c r="I189" s="7"/>
      <c r="J189" s="43" t="s">
        <v>138</v>
      </c>
      <c r="K189" s="43" t="s">
        <v>95</v>
      </c>
      <c r="L189" s="43" t="s">
        <v>13</v>
      </c>
      <c r="M189" s="9" t="str">
        <f t="shared" si="3"/>
        <v>02</v>
      </c>
      <c r="N189" s="8" t="s">
        <v>419</v>
      </c>
      <c r="O189" s="8"/>
      <c r="P189" s="8"/>
      <c r="Q189" s="8"/>
      <c r="R189" s="43" t="s">
        <v>52</v>
      </c>
      <c r="S189" s="10"/>
    </row>
    <row r="190" ht="13.5" customHeight="1">
      <c r="A190" s="76">
        <v>185.0</v>
      </c>
      <c r="B190" s="77" t="s">
        <v>420</v>
      </c>
      <c r="C190" s="81" t="s">
        <v>6</v>
      </c>
      <c r="D190" s="78" t="str">
        <f t="shared" si="1"/>
        <v>I</v>
      </c>
      <c r="E190" s="79" t="str">
        <f t="shared" si="2"/>
        <v>FA138/I/01</v>
      </c>
      <c r="F190" s="83" t="s">
        <v>421</v>
      </c>
      <c r="G190" s="80">
        <v>44978.0</v>
      </c>
      <c r="H190" s="101">
        <v>4500000.0</v>
      </c>
      <c r="I190" s="98"/>
      <c r="J190" s="81" t="s">
        <v>422</v>
      </c>
      <c r="K190" s="81" t="s">
        <v>47</v>
      </c>
      <c r="L190" s="81" t="s">
        <v>8</v>
      </c>
      <c r="M190" s="82" t="str">
        <f t="shared" si="3"/>
        <v>01</v>
      </c>
      <c r="N190" s="83" t="s">
        <v>279</v>
      </c>
      <c r="O190" s="83"/>
      <c r="P190" s="83"/>
      <c r="Q190" s="83"/>
      <c r="R190" s="81" t="s">
        <v>52</v>
      </c>
      <c r="S190" s="84"/>
    </row>
    <row r="191" ht="13.5" customHeight="1">
      <c r="A191" s="37">
        <v>186.0</v>
      </c>
      <c r="B191" s="38" t="s">
        <v>423</v>
      </c>
      <c r="C191" s="43" t="s">
        <v>16</v>
      </c>
      <c r="D191" s="39" t="str">
        <f t="shared" si="1"/>
        <v>III</v>
      </c>
      <c r="E191" s="40" t="str">
        <f t="shared" si="2"/>
        <v>FA139/III/01</v>
      </c>
      <c r="F191" s="8" t="s">
        <v>424</v>
      </c>
      <c r="G191" s="41">
        <v>44978.0</v>
      </c>
      <c r="H191" s="20">
        <v>1.1261261E7</v>
      </c>
      <c r="I191" s="7"/>
      <c r="J191" s="8" t="s">
        <v>425</v>
      </c>
      <c r="K191" s="8" t="s">
        <v>108</v>
      </c>
      <c r="L191" s="8" t="s">
        <v>8</v>
      </c>
      <c r="M191" s="9" t="str">
        <f t="shared" si="3"/>
        <v>01</v>
      </c>
      <c r="N191" s="8" t="s">
        <v>121</v>
      </c>
      <c r="O191" s="8"/>
      <c r="P191" s="8"/>
      <c r="Q191" s="8"/>
      <c r="R191" s="43" t="s">
        <v>52</v>
      </c>
      <c r="S191" s="10"/>
    </row>
    <row r="192" ht="13.5" customHeight="1">
      <c r="A192" s="37">
        <v>187.0</v>
      </c>
      <c r="B192" s="38" t="s">
        <v>426</v>
      </c>
      <c r="C192" s="43" t="s">
        <v>16</v>
      </c>
      <c r="D192" s="39" t="str">
        <f t="shared" si="1"/>
        <v>III</v>
      </c>
      <c r="E192" s="40" t="str">
        <f t="shared" si="2"/>
        <v>FA140/III/01</v>
      </c>
      <c r="F192" s="43" t="s">
        <v>424</v>
      </c>
      <c r="G192" s="41">
        <v>44980.0</v>
      </c>
      <c r="H192" s="20">
        <v>1.1261261E7</v>
      </c>
      <c r="I192" s="7"/>
      <c r="J192" s="43" t="s">
        <v>427</v>
      </c>
      <c r="K192" s="8" t="s">
        <v>108</v>
      </c>
      <c r="L192" s="8" t="s">
        <v>8</v>
      </c>
      <c r="M192" s="9" t="str">
        <f t="shared" si="3"/>
        <v>01</v>
      </c>
      <c r="N192" s="8" t="s">
        <v>121</v>
      </c>
      <c r="O192" s="8"/>
      <c r="P192" s="8"/>
      <c r="Q192" s="8"/>
      <c r="R192" s="43" t="s">
        <v>52</v>
      </c>
      <c r="S192" s="10"/>
    </row>
    <row r="193" ht="13.5" customHeight="1">
      <c r="A193" s="37">
        <v>188.0</v>
      </c>
      <c r="B193" s="38" t="s">
        <v>428</v>
      </c>
      <c r="C193" s="43" t="s">
        <v>16</v>
      </c>
      <c r="D193" s="39" t="str">
        <f t="shared" si="1"/>
        <v>III</v>
      </c>
      <c r="E193" s="40" t="str">
        <f t="shared" si="2"/>
        <v>FA141/III/02</v>
      </c>
      <c r="F193" s="8" t="s">
        <v>429</v>
      </c>
      <c r="G193" s="41">
        <v>44978.0</v>
      </c>
      <c r="H193" s="20">
        <v>3800000.0</v>
      </c>
      <c r="I193" s="7"/>
      <c r="J193" s="8" t="s">
        <v>138</v>
      </c>
      <c r="K193" s="8" t="s">
        <v>95</v>
      </c>
      <c r="L193" s="43" t="s">
        <v>13</v>
      </c>
      <c r="M193" s="9" t="str">
        <f t="shared" si="3"/>
        <v>02</v>
      </c>
      <c r="N193" s="8"/>
      <c r="O193" s="8"/>
      <c r="P193" s="8"/>
      <c r="Q193" s="8"/>
      <c r="R193" s="43" t="s">
        <v>52</v>
      </c>
      <c r="S193" s="10"/>
    </row>
    <row r="194" ht="13.5" customHeight="1">
      <c r="A194" s="37">
        <v>189.0</v>
      </c>
      <c r="B194" s="38" t="s">
        <v>430</v>
      </c>
      <c r="C194" s="43" t="s">
        <v>16</v>
      </c>
      <c r="D194" s="39" t="str">
        <f t="shared" si="1"/>
        <v>III</v>
      </c>
      <c r="E194" s="40" t="str">
        <f t="shared" si="2"/>
        <v>FA142/III/02</v>
      </c>
      <c r="F194" s="8" t="s">
        <v>431</v>
      </c>
      <c r="G194" s="41">
        <v>44978.0</v>
      </c>
      <c r="H194" s="20">
        <v>1.1936937E7</v>
      </c>
      <c r="I194" s="7"/>
      <c r="J194" s="43" t="s">
        <v>138</v>
      </c>
      <c r="K194" s="43" t="s">
        <v>51</v>
      </c>
      <c r="L194" s="43" t="s">
        <v>13</v>
      </c>
      <c r="M194" s="9" t="str">
        <f t="shared" si="3"/>
        <v>02</v>
      </c>
      <c r="N194" s="8"/>
      <c r="O194" s="8"/>
      <c r="P194" s="8"/>
      <c r="Q194" s="8"/>
      <c r="R194" s="43" t="s">
        <v>52</v>
      </c>
      <c r="S194" s="10"/>
    </row>
    <row r="195" ht="13.5" customHeight="1">
      <c r="A195" s="37">
        <v>190.0</v>
      </c>
      <c r="B195" s="38" t="s">
        <v>432</v>
      </c>
      <c r="C195" s="43" t="s">
        <v>16</v>
      </c>
      <c r="D195" s="39" t="str">
        <f t="shared" si="1"/>
        <v>III</v>
      </c>
      <c r="E195" s="40" t="str">
        <f t="shared" si="2"/>
        <v>FA143/III/01</v>
      </c>
      <c r="F195" s="43" t="s">
        <v>433</v>
      </c>
      <c r="G195" s="41">
        <v>44980.0</v>
      </c>
      <c r="H195" s="20">
        <v>2.5675676E7</v>
      </c>
      <c r="I195" s="7"/>
      <c r="J195" s="43" t="s">
        <v>97</v>
      </c>
      <c r="K195" s="8" t="s">
        <v>51</v>
      </c>
      <c r="L195" s="8" t="s">
        <v>8</v>
      </c>
      <c r="M195" s="9" t="str">
        <f t="shared" si="3"/>
        <v>01</v>
      </c>
      <c r="N195" s="43" t="s">
        <v>434</v>
      </c>
      <c r="O195" s="8"/>
      <c r="P195" s="8"/>
      <c r="Q195" s="8"/>
      <c r="R195" s="43" t="s">
        <v>52</v>
      </c>
      <c r="S195" s="10"/>
    </row>
    <row r="196" ht="13.5" customHeight="1">
      <c r="A196" s="37">
        <v>191.0</v>
      </c>
      <c r="B196" s="38" t="s">
        <v>435</v>
      </c>
      <c r="C196" s="43" t="s">
        <v>6</v>
      </c>
      <c r="D196" s="39" t="str">
        <f t="shared" si="1"/>
        <v>I</v>
      </c>
      <c r="E196" s="40" t="str">
        <f t="shared" si="2"/>
        <v>FA144/I/01</v>
      </c>
      <c r="F196" s="8" t="s">
        <v>436</v>
      </c>
      <c r="G196" s="41">
        <v>44960.0</v>
      </c>
      <c r="H196" s="20">
        <v>5315315.0</v>
      </c>
      <c r="I196" s="7"/>
      <c r="J196" s="43" t="s">
        <v>162</v>
      </c>
      <c r="K196" s="43" t="s">
        <v>95</v>
      </c>
      <c r="L196" s="8" t="s">
        <v>8</v>
      </c>
      <c r="M196" s="9" t="str">
        <f t="shared" si="3"/>
        <v>01</v>
      </c>
      <c r="N196" s="8" t="s">
        <v>279</v>
      </c>
      <c r="O196" s="8"/>
      <c r="P196" s="8"/>
      <c r="Q196" s="8"/>
      <c r="R196" s="43" t="s">
        <v>52</v>
      </c>
      <c r="S196" s="10"/>
    </row>
    <row r="197" ht="13.5" customHeight="1">
      <c r="A197" s="37">
        <v>192.0</v>
      </c>
      <c r="B197" s="38" t="s">
        <v>437</v>
      </c>
      <c r="C197" s="43" t="s">
        <v>11</v>
      </c>
      <c r="D197" s="39" t="str">
        <f t="shared" si="1"/>
        <v>II</v>
      </c>
      <c r="E197" s="40" t="str">
        <f t="shared" si="2"/>
        <v>FA145/II/02</v>
      </c>
      <c r="F197" s="8" t="s">
        <v>438</v>
      </c>
      <c r="G197" s="41">
        <v>44985.0</v>
      </c>
      <c r="H197" s="20">
        <v>850000.0</v>
      </c>
      <c r="I197" s="7"/>
      <c r="J197" s="43" t="s">
        <v>439</v>
      </c>
      <c r="K197" s="43" t="s">
        <v>95</v>
      </c>
      <c r="L197" s="43" t="s">
        <v>13</v>
      </c>
      <c r="M197" s="9" t="str">
        <f t="shared" si="3"/>
        <v>02</v>
      </c>
      <c r="N197" s="8"/>
      <c r="O197" s="8"/>
      <c r="P197" s="8"/>
      <c r="Q197" s="8"/>
      <c r="R197" s="43" t="s">
        <v>52</v>
      </c>
      <c r="S197" s="10"/>
    </row>
    <row r="198" ht="13.5" customHeight="1">
      <c r="A198" s="37">
        <v>193.0</v>
      </c>
      <c r="B198" s="38" t="s">
        <v>440</v>
      </c>
      <c r="C198" s="43" t="s">
        <v>6</v>
      </c>
      <c r="D198" s="39" t="str">
        <f t="shared" si="1"/>
        <v>I</v>
      </c>
      <c r="E198" s="40" t="str">
        <f t="shared" si="2"/>
        <v>FA146/I/01</v>
      </c>
      <c r="F198" s="43" t="s">
        <v>441</v>
      </c>
      <c r="G198" s="41">
        <v>44993.0</v>
      </c>
      <c r="H198" s="20">
        <v>1621622.0</v>
      </c>
      <c r="I198" s="7"/>
      <c r="J198" s="43" t="s">
        <v>50</v>
      </c>
      <c r="K198" s="43" t="s">
        <v>51</v>
      </c>
      <c r="L198" s="43" t="s">
        <v>8</v>
      </c>
      <c r="M198" s="9" t="str">
        <f t="shared" si="3"/>
        <v>01</v>
      </c>
      <c r="N198" s="8"/>
      <c r="O198" s="8"/>
      <c r="P198" s="8"/>
      <c r="Q198" s="8"/>
      <c r="R198" s="43" t="s">
        <v>52</v>
      </c>
      <c r="S198" s="10"/>
    </row>
    <row r="199" ht="13.5" customHeight="1">
      <c r="A199" s="37">
        <v>194.0</v>
      </c>
      <c r="B199" s="38" t="s">
        <v>442</v>
      </c>
      <c r="C199" s="43" t="s">
        <v>16</v>
      </c>
      <c r="D199" s="39" t="str">
        <f t="shared" si="1"/>
        <v>III</v>
      </c>
      <c r="E199" s="40" t="str">
        <f t="shared" si="2"/>
        <v>FA147/III/01</v>
      </c>
      <c r="F199" s="8" t="s">
        <v>443</v>
      </c>
      <c r="G199" s="41">
        <v>44993.0</v>
      </c>
      <c r="H199" s="20">
        <v>1.4864872E7</v>
      </c>
      <c r="I199" s="7"/>
      <c r="J199" s="43" t="s">
        <v>439</v>
      </c>
      <c r="K199" s="43" t="s">
        <v>51</v>
      </c>
      <c r="L199" s="43" t="s">
        <v>8</v>
      </c>
      <c r="M199" s="9" t="str">
        <f t="shared" si="3"/>
        <v>01</v>
      </c>
      <c r="N199" s="8" t="s">
        <v>121</v>
      </c>
      <c r="O199" s="8"/>
      <c r="P199" s="8"/>
      <c r="Q199" s="8"/>
      <c r="R199" s="43" t="s">
        <v>52</v>
      </c>
      <c r="S199" s="10"/>
    </row>
    <row r="200" ht="13.5" customHeight="1">
      <c r="A200" s="37">
        <v>195.0</v>
      </c>
      <c r="B200" s="38" t="s">
        <v>444</v>
      </c>
      <c r="C200" s="43" t="s">
        <v>16</v>
      </c>
      <c r="D200" s="39" t="str">
        <f t="shared" si="1"/>
        <v>III</v>
      </c>
      <c r="E200" s="40" t="str">
        <f t="shared" si="2"/>
        <v>FA148/III/01</v>
      </c>
      <c r="F200" s="8" t="s">
        <v>445</v>
      </c>
      <c r="G200" s="49">
        <v>44993.0</v>
      </c>
      <c r="H200" s="20">
        <v>2.2521622E7</v>
      </c>
      <c r="I200" s="7"/>
      <c r="J200" s="8" t="s">
        <v>207</v>
      </c>
      <c r="K200" s="8" t="s">
        <v>108</v>
      </c>
      <c r="L200" s="8" t="s">
        <v>8</v>
      </c>
      <c r="M200" s="9" t="str">
        <f t="shared" si="3"/>
        <v>01</v>
      </c>
      <c r="N200" s="8" t="s">
        <v>446</v>
      </c>
      <c r="O200" s="8"/>
      <c r="P200" s="8"/>
      <c r="Q200" s="8"/>
      <c r="R200" s="43" t="s">
        <v>52</v>
      </c>
      <c r="S200" s="10"/>
    </row>
    <row r="201" ht="13.5" customHeight="1">
      <c r="A201" s="37">
        <v>196.0</v>
      </c>
      <c r="B201" s="38" t="s">
        <v>447</v>
      </c>
      <c r="C201" s="43" t="s">
        <v>6</v>
      </c>
      <c r="D201" s="39" t="str">
        <f t="shared" si="1"/>
        <v>I</v>
      </c>
      <c r="E201" s="40" t="str">
        <f t="shared" si="2"/>
        <v>FA149/I/02</v>
      </c>
      <c r="F201" s="8" t="s">
        <v>448</v>
      </c>
      <c r="G201" s="49">
        <v>44998.0</v>
      </c>
      <c r="H201" s="20">
        <v>5293874.0</v>
      </c>
      <c r="I201" s="7"/>
      <c r="J201" s="43" t="s">
        <v>138</v>
      </c>
      <c r="K201" s="43" t="s">
        <v>95</v>
      </c>
      <c r="L201" s="43" t="s">
        <v>13</v>
      </c>
      <c r="M201" s="9" t="str">
        <f t="shared" si="3"/>
        <v>02</v>
      </c>
      <c r="N201" s="8" t="s">
        <v>449</v>
      </c>
      <c r="O201" s="8"/>
      <c r="P201" s="8"/>
      <c r="Q201" s="8"/>
      <c r="R201" s="43" t="s">
        <v>52</v>
      </c>
      <c r="S201" s="10"/>
    </row>
    <row r="202" ht="13.5" customHeight="1">
      <c r="A202" s="37">
        <v>197.0</v>
      </c>
      <c r="B202" s="38" t="s">
        <v>450</v>
      </c>
      <c r="C202" s="43" t="s">
        <v>16</v>
      </c>
      <c r="D202" s="39" t="str">
        <f t="shared" si="1"/>
        <v>III</v>
      </c>
      <c r="E202" s="40" t="str">
        <f t="shared" si="2"/>
        <v>FA150/III/01</v>
      </c>
      <c r="F202" s="8" t="s">
        <v>451</v>
      </c>
      <c r="G202" s="49">
        <v>45014.0</v>
      </c>
      <c r="H202" s="20">
        <v>1.2927935E7</v>
      </c>
      <c r="I202" s="7"/>
      <c r="J202" s="43"/>
      <c r="K202" s="8" t="s">
        <v>108</v>
      </c>
      <c r="L202" s="8" t="s">
        <v>8</v>
      </c>
      <c r="M202" s="9" t="str">
        <f t="shared" si="3"/>
        <v>01</v>
      </c>
      <c r="N202" s="8" t="s">
        <v>121</v>
      </c>
      <c r="O202" s="8"/>
      <c r="P202" s="8"/>
      <c r="Q202" s="8"/>
      <c r="R202" s="43" t="s">
        <v>52</v>
      </c>
      <c r="S202" s="10"/>
    </row>
    <row r="203" ht="13.5" customHeight="1">
      <c r="A203" s="37">
        <v>198.0</v>
      </c>
      <c r="B203" s="38" t="s">
        <v>452</v>
      </c>
      <c r="C203" s="43" t="s">
        <v>6</v>
      </c>
      <c r="D203" s="39" t="str">
        <f t="shared" si="1"/>
        <v>I</v>
      </c>
      <c r="E203" s="40" t="str">
        <f t="shared" si="2"/>
        <v>FA151/I/02</v>
      </c>
      <c r="F203" s="8" t="s">
        <v>453</v>
      </c>
      <c r="G203" s="49">
        <v>44995.0</v>
      </c>
      <c r="H203" s="20">
        <v>2323900.0</v>
      </c>
      <c r="I203" s="7"/>
      <c r="J203" s="43"/>
      <c r="K203" s="43" t="s">
        <v>81</v>
      </c>
      <c r="L203" s="43" t="s">
        <v>13</v>
      </c>
      <c r="M203" s="9" t="str">
        <f t="shared" si="3"/>
        <v>02</v>
      </c>
      <c r="N203" s="8" t="s">
        <v>127</v>
      </c>
      <c r="O203" s="8"/>
      <c r="P203" s="8"/>
      <c r="Q203" s="8"/>
      <c r="R203" s="43" t="s">
        <v>52</v>
      </c>
      <c r="S203" s="10"/>
    </row>
    <row r="204" ht="13.5" customHeight="1">
      <c r="A204" s="37">
        <v>199.0</v>
      </c>
      <c r="B204" s="38" t="s">
        <v>454</v>
      </c>
      <c r="C204" s="43" t="s">
        <v>11</v>
      </c>
      <c r="D204" s="39" t="str">
        <f t="shared" si="1"/>
        <v>II</v>
      </c>
      <c r="E204" s="40" t="str">
        <f t="shared" si="2"/>
        <v>FA153/II/02</v>
      </c>
      <c r="F204" s="8" t="s">
        <v>455</v>
      </c>
      <c r="G204" s="41">
        <v>44997.0</v>
      </c>
      <c r="H204" s="20">
        <v>617500.0</v>
      </c>
      <c r="I204" s="7"/>
      <c r="J204" s="8"/>
      <c r="K204" s="43" t="s">
        <v>95</v>
      </c>
      <c r="L204" s="43" t="s">
        <v>13</v>
      </c>
      <c r="M204" s="9" t="str">
        <f t="shared" si="3"/>
        <v>02</v>
      </c>
      <c r="N204" s="8" t="s">
        <v>155</v>
      </c>
      <c r="O204" s="8"/>
      <c r="P204" s="8"/>
      <c r="Q204" s="8"/>
      <c r="R204" s="43" t="s">
        <v>52</v>
      </c>
      <c r="S204" s="10"/>
    </row>
    <row r="205" ht="13.5" customHeight="1">
      <c r="A205" s="37">
        <v>200.0</v>
      </c>
      <c r="B205" s="43" t="s">
        <v>456</v>
      </c>
      <c r="C205" s="43" t="s">
        <v>11</v>
      </c>
      <c r="D205" s="39" t="str">
        <f t="shared" si="1"/>
        <v>II</v>
      </c>
      <c r="E205" s="40" t="str">
        <f t="shared" si="2"/>
        <v>FA154/II/02</v>
      </c>
      <c r="F205" s="8" t="s">
        <v>455</v>
      </c>
      <c r="G205" s="41">
        <v>44997.0</v>
      </c>
      <c r="H205" s="20">
        <v>617500.0</v>
      </c>
      <c r="I205" s="7"/>
      <c r="J205" s="43" t="s">
        <v>457</v>
      </c>
      <c r="K205" s="43" t="s">
        <v>95</v>
      </c>
      <c r="L205" s="43" t="s">
        <v>13</v>
      </c>
      <c r="M205" s="9" t="str">
        <f t="shared" si="3"/>
        <v>02</v>
      </c>
      <c r="N205" s="8" t="s">
        <v>155</v>
      </c>
      <c r="O205" s="8"/>
      <c r="P205" s="8"/>
      <c r="Q205" s="8"/>
      <c r="R205" s="43" t="s">
        <v>52</v>
      </c>
      <c r="S205" s="10"/>
    </row>
    <row r="206" ht="13.5" customHeight="1">
      <c r="A206" s="37">
        <v>201.0</v>
      </c>
      <c r="B206" s="43" t="s">
        <v>458</v>
      </c>
      <c r="C206" s="43" t="s">
        <v>11</v>
      </c>
      <c r="D206" s="39" t="str">
        <f t="shared" si="1"/>
        <v>II</v>
      </c>
      <c r="E206" s="40" t="str">
        <f t="shared" si="2"/>
        <v>FA155/II/02</v>
      </c>
      <c r="F206" s="8" t="s">
        <v>455</v>
      </c>
      <c r="G206" s="41">
        <v>44997.0</v>
      </c>
      <c r="H206" s="20">
        <v>617500.0</v>
      </c>
      <c r="I206" s="7"/>
      <c r="J206" s="43"/>
      <c r="K206" s="43" t="s">
        <v>95</v>
      </c>
      <c r="L206" s="43" t="s">
        <v>13</v>
      </c>
      <c r="M206" s="9" t="str">
        <f t="shared" si="3"/>
        <v>02</v>
      </c>
      <c r="N206" s="8" t="s">
        <v>155</v>
      </c>
      <c r="O206" s="8"/>
      <c r="P206" s="8"/>
      <c r="Q206" s="8"/>
      <c r="R206" s="43" t="s">
        <v>52</v>
      </c>
      <c r="S206" s="10"/>
    </row>
    <row r="207" ht="13.5" customHeight="1">
      <c r="A207" s="37">
        <v>202.0</v>
      </c>
      <c r="B207" s="38" t="s">
        <v>459</v>
      </c>
      <c r="C207" s="43" t="s">
        <v>11</v>
      </c>
      <c r="D207" s="39" t="str">
        <f t="shared" si="1"/>
        <v>II</v>
      </c>
      <c r="E207" s="118" t="str">
        <f t="shared" si="2"/>
        <v>FA156/II/02</v>
      </c>
      <c r="F207" s="8" t="s">
        <v>455</v>
      </c>
      <c r="G207" s="41">
        <v>44997.0</v>
      </c>
      <c r="H207" s="20">
        <v>617500.0</v>
      </c>
      <c r="I207" s="7"/>
      <c r="J207" s="8"/>
      <c r="K207" s="43" t="s">
        <v>95</v>
      </c>
      <c r="L207" s="43" t="s">
        <v>13</v>
      </c>
      <c r="M207" s="9" t="str">
        <f t="shared" si="3"/>
        <v>02</v>
      </c>
      <c r="N207" s="8" t="s">
        <v>155</v>
      </c>
      <c r="O207" s="8"/>
      <c r="P207" s="8"/>
      <c r="Q207" s="8"/>
      <c r="R207" s="43" t="s">
        <v>52</v>
      </c>
      <c r="S207" s="10"/>
    </row>
    <row r="208" ht="13.5" customHeight="1">
      <c r="A208" s="37">
        <v>203.0</v>
      </c>
      <c r="B208" s="43" t="s">
        <v>460</v>
      </c>
      <c r="C208" s="43" t="s">
        <v>11</v>
      </c>
      <c r="D208" s="39" t="str">
        <f t="shared" si="1"/>
        <v>II</v>
      </c>
      <c r="E208" s="40" t="str">
        <f t="shared" si="2"/>
        <v>FA157/II/02</v>
      </c>
      <c r="F208" s="8" t="s">
        <v>461</v>
      </c>
      <c r="G208" s="41">
        <v>44997.0</v>
      </c>
      <c r="H208" s="20">
        <v>617500.0</v>
      </c>
      <c r="I208" s="7"/>
      <c r="J208" s="43" t="s">
        <v>457</v>
      </c>
      <c r="K208" s="43" t="s">
        <v>95</v>
      </c>
      <c r="L208" s="43" t="s">
        <v>13</v>
      </c>
      <c r="M208" s="9" t="str">
        <f t="shared" si="3"/>
        <v>02</v>
      </c>
      <c r="N208" s="8"/>
      <c r="O208" s="8"/>
      <c r="P208" s="8"/>
      <c r="Q208" s="8"/>
      <c r="R208" s="43" t="s">
        <v>52</v>
      </c>
      <c r="S208" s="10"/>
    </row>
    <row r="209" ht="13.5" customHeight="1">
      <c r="A209" s="37">
        <v>204.0</v>
      </c>
      <c r="B209" s="43" t="s">
        <v>462</v>
      </c>
      <c r="C209" s="43" t="s">
        <v>11</v>
      </c>
      <c r="D209" s="39" t="str">
        <f t="shared" si="1"/>
        <v>II</v>
      </c>
      <c r="E209" s="40" t="str">
        <f t="shared" si="2"/>
        <v>FA158/II/02</v>
      </c>
      <c r="F209" s="8" t="s">
        <v>461</v>
      </c>
      <c r="G209" s="41">
        <v>44997.0</v>
      </c>
      <c r="H209" s="20">
        <v>617500.0</v>
      </c>
      <c r="I209" s="7"/>
      <c r="J209" s="43" t="s">
        <v>338</v>
      </c>
      <c r="K209" s="43" t="s">
        <v>95</v>
      </c>
      <c r="L209" s="43" t="s">
        <v>13</v>
      </c>
      <c r="M209" s="9" t="str">
        <f t="shared" si="3"/>
        <v>02</v>
      </c>
      <c r="N209" s="8"/>
      <c r="O209" s="8"/>
      <c r="P209" s="8"/>
      <c r="Q209" s="8"/>
      <c r="R209" s="43" t="s">
        <v>52</v>
      </c>
      <c r="S209" s="10"/>
    </row>
    <row r="210" ht="13.5" customHeight="1">
      <c r="A210" s="37">
        <v>205.0</v>
      </c>
      <c r="B210" s="38" t="s">
        <v>463</v>
      </c>
      <c r="C210" s="43" t="s">
        <v>11</v>
      </c>
      <c r="D210" s="39" t="str">
        <f t="shared" si="1"/>
        <v>II</v>
      </c>
      <c r="E210" s="40" t="str">
        <f t="shared" si="2"/>
        <v>FA159/II/02</v>
      </c>
      <c r="F210" s="8" t="s">
        <v>461</v>
      </c>
      <c r="G210" s="41">
        <v>44997.0</v>
      </c>
      <c r="H210" s="20">
        <v>617500.0</v>
      </c>
      <c r="I210" s="7"/>
      <c r="J210" s="43" t="s">
        <v>322</v>
      </c>
      <c r="K210" s="43" t="s">
        <v>95</v>
      </c>
      <c r="L210" s="43" t="s">
        <v>13</v>
      </c>
      <c r="M210" s="9" t="str">
        <f t="shared" si="3"/>
        <v>02</v>
      </c>
      <c r="N210" s="8"/>
      <c r="O210" s="8"/>
      <c r="P210" s="8"/>
      <c r="Q210" s="8"/>
      <c r="R210" s="43" t="s">
        <v>52</v>
      </c>
      <c r="S210" s="10"/>
    </row>
    <row r="211" ht="13.5" customHeight="1">
      <c r="A211" s="37">
        <v>206.0</v>
      </c>
      <c r="B211" s="43" t="s">
        <v>464</v>
      </c>
      <c r="C211" s="43" t="s">
        <v>11</v>
      </c>
      <c r="D211" s="39" t="str">
        <f t="shared" si="1"/>
        <v>II</v>
      </c>
      <c r="E211" s="40" t="str">
        <f t="shared" si="2"/>
        <v>FA160/II/02</v>
      </c>
      <c r="F211" s="8" t="s">
        <v>461</v>
      </c>
      <c r="G211" s="41">
        <v>44997.0</v>
      </c>
      <c r="H211" s="20">
        <v>617500.0</v>
      </c>
      <c r="I211" s="7"/>
      <c r="J211" s="43" t="s">
        <v>336</v>
      </c>
      <c r="K211" s="43" t="s">
        <v>95</v>
      </c>
      <c r="L211" s="43" t="s">
        <v>13</v>
      </c>
      <c r="M211" s="9" t="str">
        <f t="shared" si="3"/>
        <v>02</v>
      </c>
      <c r="N211" s="8"/>
      <c r="O211" s="8"/>
      <c r="P211" s="8"/>
      <c r="Q211" s="8"/>
      <c r="R211" s="43" t="s">
        <v>52</v>
      </c>
      <c r="S211" s="10"/>
    </row>
    <row r="212" ht="13.5" customHeight="1">
      <c r="A212" s="37">
        <v>207.0</v>
      </c>
      <c r="B212" s="43" t="s">
        <v>465</v>
      </c>
      <c r="C212" s="43" t="s">
        <v>11</v>
      </c>
      <c r="D212" s="39" t="str">
        <f t="shared" si="1"/>
        <v>II</v>
      </c>
      <c r="E212" s="40" t="str">
        <f t="shared" si="2"/>
        <v>FA161/II/02</v>
      </c>
      <c r="F212" s="8" t="s">
        <v>466</v>
      </c>
      <c r="G212" s="41">
        <v>44997.0</v>
      </c>
      <c r="H212" s="20">
        <v>6120475.0</v>
      </c>
      <c r="I212" s="7"/>
      <c r="J212" s="43" t="s">
        <v>138</v>
      </c>
      <c r="K212" s="43" t="s">
        <v>95</v>
      </c>
      <c r="L212" s="43" t="s">
        <v>13</v>
      </c>
      <c r="M212" s="9" t="str">
        <f t="shared" si="3"/>
        <v>02</v>
      </c>
      <c r="N212" s="8" t="s">
        <v>155</v>
      </c>
      <c r="O212" s="8"/>
      <c r="P212" s="8"/>
      <c r="Q212" s="8"/>
      <c r="R212" s="43" t="s">
        <v>52</v>
      </c>
      <c r="S212" s="10"/>
    </row>
    <row r="213" ht="13.5" customHeight="1">
      <c r="A213" s="37">
        <v>208.0</v>
      </c>
      <c r="B213" s="43" t="s">
        <v>467</v>
      </c>
      <c r="C213" s="43" t="s">
        <v>11</v>
      </c>
      <c r="D213" s="39" t="str">
        <f t="shared" si="1"/>
        <v>II</v>
      </c>
      <c r="E213" s="40" t="str">
        <f t="shared" si="2"/>
        <v>FA162/II/02</v>
      </c>
      <c r="F213" s="8" t="s">
        <v>468</v>
      </c>
      <c r="G213" s="41">
        <v>44997.0</v>
      </c>
      <c r="H213" s="20">
        <v>1181275.0</v>
      </c>
      <c r="I213" s="7"/>
      <c r="J213" s="43" t="s">
        <v>138</v>
      </c>
      <c r="K213" s="43" t="s">
        <v>95</v>
      </c>
      <c r="L213" s="43" t="s">
        <v>13</v>
      </c>
      <c r="M213" s="9" t="str">
        <f t="shared" si="3"/>
        <v>02</v>
      </c>
      <c r="N213" s="8" t="s">
        <v>469</v>
      </c>
      <c r="O213" s="8"/>
      <c r="P213" s="8"/>
      <c r="Q213" s="8"/>
      <c r="R213" s="43" t="s">
        <v>52</v>
      </c>
      <c r="S213" s="10"/>
    </row>
    <row r="214" ht="13.5" customHeight="1">
      <c r="A214" s="37">
        <v>209.0</v>
      </c>
      <c r="B214" s="38" t="s">
        <v>470</v>
      </c>
      <c r="C214" s="43" t="s">
        <v>11</v>
      </c>
      <c r="D214" s="39" t="str">
        <f t="shared" si="1"/>
        <v>II</v>
      </c>
      <c r="E214" s="40" t="str">
        <f t="shared" si="2"/>
        <v>FA163/II/02</v>
      </c>
      <c r="F214" s="8" t="s">
        <v>468</v>
      </c>
      <c r="G214" s="41">
        <v>44997.0</v>
      </c>
      <c r="H214" s="20">
        <v>1181275.0</v>
      </c>
      <c r="I214" s="7"/>
      <c r="J214" s="43" t="s">
        <v>138</v>
      </c>
      <c r="K214" s="43" t="s">
        <v>95</v>
      </c>
      <c r="L214" s="43" t="s">
        <v>13</v>
      </c>
      <c r="M214" s="9" t="str">
        <f t="shared" si="3"/>
        <v>02</v>
      </c>
      <c r="N214" s="8" t="s">
        <v>469</v>
      </c>
      <c r="O214" s="8"/>
      <c r="P214" s="8"/>
      <c r="Q214" s="8"/>
      <c r="R214" s="43" t="s">
        <v>52</v>
      </c>
      <c r="S214" s="10"/>
    </row>
    <row r="215" ht="13.5" customHeight="1">
      <c r="A215" s="37">
        <v>210.0</v>
      </c>
      <c r="B215" s="43" t="s">
        <v>471</v>
      </c>
      <c r="C215" s="43" t="s">
        <v>11</v>
      </c>
      <c r="D215" s="39" t="str">
        <f t="shared" si="1"/>
        <v>II</v>
      </c>
      <c r="E215" s="40" t="str">
        <f t="shared" si="2"/>
        <v>FA164/II/02</v>
      </c>
      <c r="F215" s="8" t="s">
        <v>468</v>
      </c>
      <c r="G215" s="41">
        <v>44997.0</v>
      </c>
      <c r="H215" s="20">
        <v>1181275.0</v>
      </c>
      <c r="I215" s="7"/>
      <c r="J215" s="43" t="s">
        <v>138</v>
      </c>
      <c r="K215" s="43" t="s">
        <v>95</v>
      </c>
      <c r="L215" s="43" t="s">
        <v>13</v>
      </c>
      <c r="M215" s="9" t="str">
        <f t="shared" si="3"/>
        <v>02</v>
      </c>
      <c r="N215" s="8" t="s">
        <v>469</v>
      </c>
      <c r="O215" s="8"/>
      <c r="P215" s="8"/>
      <c r="Q215" s="8"/>
      <c r="R215" s="43" t="s">
        <v>52</v>
      </c>
      <c r="S215" s="10"/>
    </row>
    <row r="216" ht="13.5" customHeight="1">
      <c r="A216" s="37">
        <v>211.0</v>
      </c>
      <c r="B216" s="43" t="s">
        <v>472</v>
      </c>
      <c r="C216" s="43" t="s">
        <v>11</v>
      </c>
      <c r="D216" s="39" t="str">
        <f t="shared" si="1"/>
        <v>II</v>
      </c>
      <c r="E216" s="40" t="str">
        <f t="shared" si="2"/>
        <v>FA165/II/02</v>
      </c>
      <c r="F216" s="8" t="s">
        <v>468</v>
      </c>
      <c r="G216" s="41">
        <v>44997.0</v>
      </c>
      <c r="H216" s="20">
        <v>1181275.0</v>
      </c>
      <c r="I216" s="7"/>
      <c r="J216" s="43" t="s">
        <v>138</v>
      </c>
      <c r="K216" s="43" t="s">
        <v>95</v>
      </c>
      <c r="L216" s="43" t="s">
        <v>13</v>
      </c>
      <c r="M216" s="9" t="str">
        <f t="shared" si="3"/>
        <v>02</v>
      </c>
      <c r="N216" s="8" t="s">
        <v>469</v>
      </c>
      <c r="O216" s="8"/>
      <c r="P216" s="8"/>
      <c r="Q216" s="8"/>
      <c r="R216" s="43" t="s">
        <v>52</v>
      </c>
      <c r="S216" s="10"/>
    </row>
    <row r="217" ht="13.5" customHeight="1">
      <c r="A217" s="37">
        <v>212.0</v>
      </c>
      <c r="B217" s="43" t="s">
        <v>473</v>
      </c>
      <c r="C217" s="43" t="s">
        <v>11</v>
      </c>
      <c r="D217" s="39" t="str">
        <f t="shared" si="1"/>
        <v>II</v>
      </c>
      <c r="E217" s="40" t="str">
        <f t="shared" si="2"/>
        <v>FA166/II/02</v>
      </c>
      <c r="F217" s="8" t="s">
        <v>468</v>
      </c>
      <c r="G217" s="41">
        <v>44997.0</v>
      </c>
      <c r="H217" s="20">
        <v>1181275.0</v>
      </c>
      <c r="I217" s="7"/>
      <c r="J217" s="43" t="s">
        <v>138</v>
      </c>
      <c r="K217" s="43" t="s">
        <v>95</v>
      </c>
      <c r="L217" s="43" t="s">
        <v>13</v>
      </c>
      <c r="M217" s="9" t="str">
        <f t="shared" si="3"/>
        <v>02</v>
      </c>
      <c r="N217" s="8" t="s">
        <v>469</v>
      </c>
      <c r="O217" s="8"/>
      <c r="P217" s="8"/>
      <c r="Q217" s="8"/>
      <c r="R217" s="43" t="s">
        <v>52</v>
      </c>
      <c r="S217" s="10"/>
    </row>
    <row r="218" ht="13.5" customHeight="1">
      <c r="A218" s="37">
        <v>213.0</v>
      </c>
      <c r="B218" s="38" t="s">
        <v>474</v>
      </c>
      <c r="C218" s="43" t="s">
        <v>11</v>
      </c>
      <c r="D218" s="39" t="str">
        <f t="shared" si="1"/>
        <v>II</v>
      </c>
      <c r="E218" s="40" t="str">
        <f t="shared" si="2"/>
        <v>FA167/II/02</v>
      </c>
      <c r="F218" s="8" t="s">
        <v>468</v>
      </c>
      <c r="G218" s="41">
        <v>44997.0</v>
      </c>
      <c r="H218" s="20">
        <v>1181275.0</v>
      </c>
      <c r="I218" s="7"/>
      <c r="J218" s="43" t="s">
        <v>138</v>
      </c>
      <c r="K218" s="43" t="s">
        <v>95</v>
      </c>
      <c r="L218" s="43" t="s">
        <v>13</v>
      </c>
      <c r="M218" s="9" t="str">
        <f t="shared" si="3"/>
        <v>02</v>
      </c>
      <c r="N218" s="8" t="s">
        <v>469</v>
      </c>
      <c r="O218" s="8"/>
      <c r="P218" s="8"/>
      <c r="Q218" s="8"/>
      <c r="R218" s="43" t="s">
        <v>52</v>
      </c>
      <c r="S218" s="10"/>
    </row>
    <row r="219" ht="13.5" customHeight="1">
      <c r="A219" s="37">
        <v>214.0</v>
      </c>
      <c r="B219" s="43" t="s">
        <v>475</v>
      </c>
      <c r="C219" s="43" t="s">
        <v>11</v>
      </c>
      <c r="D219" s="39" t="str">
        <f t="shared" si="1"/>
        <v>II</v>
      </c>
      <c r="E219" s="40" t="str">
        <f t="shared" si="2"/>
        <v>FA168/II/02</v>
      </c>
      <c r="F219" s="8" t="s">
        <v>476</v>
      </c>
      <c r="G219" s="31">
        <v>44997.0</v>
      </c>
      <c r="H219" s="20">
        <v>618314.0</v>
      </c>
      <c r="I219" s="7"/>
      <c r="J219" s="43" t="s">
        <v>138</v>
      </c>
      <c r="K219" s="43" t="s">
        <v>95</v>
      </c>
      <c r="L219" s="43" t="s">
        <v>13</v>
      </c>
      <c r="M219" s="9" t="str">
        <f t="shared" si="3"/>
        <v>02</v>
      </c>
      <c r="N219" s="8" t="s">
        <v>477</v>
      </c>
      <c r="O219" s="8"/>
      <c r="P219" s="8"/>
      <c r="Q219" s="8"/>
      <c r="R219" s="43" t="s">
        <v>52</v>
      </c>
      <c r="S219" s="10"/>
    </row>
    <row r="220" ht="13.5" customHeight="1">
      <c r="A220" s="37">
        <v>215.0</v>
      </c>
      <c r="B220" s="43" t="s">
        <v>478</v>
      </c>
      <c r="C220" s="43" t="s">
        <v>11</v>
      </c>
      <c r="D220" s="39" t="str">
        <f t="shared" si="1"/>
        <v>II</v>
      </c>
      <c r="E220" s="40" t="str">
        <f t="shared" si="2"/>
        <v>FA169/II/02</v>
      </c>
      <c r="F220" s="8" t="s">
        <v>476</v>
      </c>
      <c r="G220" s="31">
        <v>44997.0</v>
      </c>
      <c r="H220" s="20">
        <v>618314.0</v>
      </c>
      <c r="I220" s="7"/>
      <c r="J220" s="43" t="s">
        <v>138</v>
      </c>
      <c r="K220" s="43" t="s">
        <v>95</v>
      </c>
      <c r="L220" s="43" t="s">
        <v>13</v>
      </c>
      <c r="M220" s="9" t="str">
        <f t="shared" si="3"/>
        <v>02</v>
      </c>
      <c r="N220" s="8" t="s">
        <v>477</v>
      </c>
      <c r="O220" s="8"/>
      <c r="P220" s="8"/>
      <c r="Q220" s="8"/>
      <c r="R220" s="43" t="s">
        <v>52</v>
      </c>
      <c r="S220" s="10"/>
    </row>
    <row r="221" ht="13.5" customHeight="1">
      <c r="A221" s="37">
        <v>216.0</v>
      </c>
      <c r="B221" s="43" t="s">
        <v>479</v>
      </c>
      <c r="C221" s="43" t="s">
        <v>11</v>
      </c>
      <c r="D221" s="39" t="str">
        <f t="shared" si="1"/>
        <v>II</v>
      </c>
      <c r="E221" s="40" t="str">
        <f t="shared" si="2"/>
        <v>FA170/II/02</v>
      </c>
      <c r="F221" s="8" t="s">
        <v>480</v>
      </c>
      <c r="G221" s="41">
        <v>44997.0</v>
      </c>
      <c r="H221" s="20">
        <v>1083275.0</v>
      </c>
      <c r="I221" s="7"/>
      <c r="J221" s="43" t="s">
        <v>439</v>
      </c>
      <c r="K221" s="43" t="s">
        <v>95</v>
      </c>
      <c r="L221" s="43" t="s">
        <v>13</v>
      </c>
      <c r="M221" s="9" t="str">
        <f t="shared" si="3"/>
        <v>02</v>
      </c>
      <c r="N221" s="8" t="s">
        <v>481</v>
      </c>
      <c r="O221" s="8"/>
      <c r="P221" s="8"/>
      <c r="Q221" s="8"/>
      <c r="R221" s="43" t="s">
        <v>52</v>
      </c>
      <c r="S221" s="10"/>
    </row>
    <row r="222" ht="13.5" customHeight="1">
      <c r="A222" s="37">
        <v>217.0</v>
      </c>
      <c r="B222" s="38" t="s">
        <v>482</v>
      </c>
      <c r="C222" s="43" t="s">
        <v>11</v>
      </c>
      <c r="D222" s="39" t="str">
        <f t="shared" si="1"/>
        <v>II</v>
      </c>
      <c r="E222" s="40" t="str">
        <f t="shared" si="2"/>
        <v>FA171/II/02</v>
      </c>
      <c r="F222" s="8" t="s">
        <v>480</v>
      </c>
      <c r="G222" s="41">
        <v>44997.0</v>
      </c>
      <c r="H222" s="20">
        <v>1083275.0</v>
      </c>
      <c r="I222" s="7"/>
      <c r="J222" s="43" t="s">
        <v>439</v>
      </c>
      <c r="K222" s="43" t="s">
        <v>116</v>
      </c>
      <c r="L222" s="43" t="s">
        <v>13</v>
      </c>
      <c r="M222" s="9" t="str">
        <f t="shared" si="3"/>
        <v>02</v>
      </c>
      <c r="N222" s="8" t="s">
        <v>481</v>
      </c>
      <c r="O222" s="8"/>
      <c r="P222" s="8"/>
      <c r="Q222" s="8"/>
      <c r="R222" s="43" t="s">
        <v>52</v>
      </c>
      <c r="S222" s="10"/>
    </row>
    <row r="223" ht="13.5" customHeight="1">
      <c r="A223" s="37">
        <v>218.0</v>
      </c>
      <c r="B223" s="43" t="s">
        <v>483</v>
      </c>
      <c r="C223" s="43" t="s">
        <v>24</v>
      </c>
      <c r="D223" s="39" t="str">
        <f t="shared" si="1"/>
        <v>V</v>
      </c>
      <c r="E223" s="40" t="str">
        <f t="shared" si="2"/>
        <v>FA172/V/02</v>
      </c>
      <c r="F223" s="8" t="s">
        <v>484</v>
      </c>
      <c r="G223" s="41">
        <v>44988.0</v>
      </c>
      <c r="H223" s="20">
        <v>1471300.0</v>
      </c>
      <c r="I223" s="7"/>
      <c r="J223" s="43" t="s">
        <v>338</v>
      </c>
      <c r="K223" s="43" t="s">
        <v>323</v>
      </c>
      <c r="L223" s="43" t="s">
        <v>13</v>
      </c>
      <c r="M223" s="9" t="str">
        <f t="shared" si="3"/>
        <v>02</v>
      </c>
      <c r="N223" s="8" t="s">
        <v>485</v>
      </c>
      <c r="O223" s="8"/>
      <c r="P223" s="8"/>
      <c r="Q223" s="8"/>
      <c r="R223" s="43" t="s">
        <v>52</v>
      </c>
      <c r="S223" s="10"/>
    </row>
    <row r="224" ht="13.5" customHeight="1">
      <c r="A224" s="76">
        <v>219.0</v>
      </c>
      <c r="B224" s="81" t="s">
        <v>486</v>
      </c>
      <c r="C224" s="81" t="s">
        <v>6</v>
      </c>
      <c r="D224" s="78" t="str">
        <f t="shared" si="1"/>
        <v>I</v>
      </c>
      <c r="E224" s="79" t="str">
        <f t="shared" si="2"/>
        <v>FA173/I/01</v>
      </c>
      <c r="F224" s="81" t="s">
        <v>487</v>
      </c>
      <c r="G224" s="80">
        <v>45020.0</v>
      </c>
      <c r="H224" s="101">
        <v>6500000.0</v>
      </c>
      <c r="I224" s="98"/>
      <c r="J224" s="81" t="s">
        <v>97</v>
      </c>
      <c r="K224" s="81" t="s">
        <v>51</v>
      </c>
      <c r="L224" s="83" t="s">
        <v>8</v>
      </c>
      <c r="M224" s="82" t="str">
        <f t="shared" si="3"/>
        <v>01</v>
      </c>
      <c r="N224" s="81" t="s">
        <v>279</v>
      </c>
      <c r="O224" s="83"/>
      <c r="P224" s="83"/>
      <c r="Q224" s="83"/>
      <c r="R224" s="43" t="s">
        <v>52</v>
      </c>
      <c r="S224" s="84"/>
    </row>
    <row r="225" ht="13.5" customHeight="1">
      <c r="A225" s="37">
        <v>220.0</v>
      </c>
      <c r="B225" s="43" t="s">
        <v>488</v>
      </c>
      <c r="C225" s="43" t="s">
        <v>11</v>
      </c>
      <c r="D225" s="39" t="str">
        <f t="shared" si="1"/>
        <v>II</v>
      </c>
      <c r="E225" s="40" t="str">
        <f t="shared" si="2"/>
        <v>FA174/II/01</v>
      </c>
      <c r="F225" s="8" t="s">
        <v>154</v>
      </c>
      <c r="G225" s="41">
        <v>45018.0</v>
      </c>
      <c r="H225" s="20">
        <v>799000.0</v>
      </c>
      <c r="I225" s="7"/>
      <c r="J225" s="43" t="s">
        <v>489</v>
      </c>
      <c r="K225" s="43" t="s">
        <v>47</v>
      </c>
      <c r="L225" s="43" t="s">
        <v>8</v>
      </c>
      <c r="M225" s="9" t="str">
        <f t="shared" si="3"/>
        <v>01</v>
      </c>
      <c r="N225" s="8" t="s">
        <v>155</v>
      </c>
      <c r="O225" s="8"/>
      <c r="P225" s="8"/>
      <c r="Q225" s="8"/>
      <c r="R225" s="43" t="s">
        <v>52</v>
      </c>
      <c r="S225" s="10"/>
    </row>
    <row r="226" ht="13.5" customHeight="1">
      <c r="A226" s="37">
        <v>221.0</v>
      </c>
      <c r="B226" s="38" t="s">
        <v>490</v>
      </c>
      <c r="C226" s="43" t="s">
        <v>11</v>
      </c>
      <c r="D226" s="39" t="str">
        <f t="shared" si="1"/>
        <v>II</v>
      </c>
      <c r="E226" s="40" t="str">
        <f t="shared" si="2"/>
        <v>FA175/II/01</v>
      </c>
      <c r="F226" s="8" t="s">
        <v>154</v>
      </c>
      <c r="G226" s="41">
        <v>45018.0</v>
      </c>
      <c r="H226" s="20">
        <v>799000.0</v>
      </c>
      <c r="I226" s="7"/>
      <c r="J226" s="43"/>
      <c r="K226" s="43" t="s">
        <v>116</v>
      </c>
      <c r="L226" s="43" t="s">
        <v>8</v>
      </c>
      <c r="M226" s="9" t="str">
        <f t="shared" si="3"/>
        <v>01</v>
      </c>
      <c r="N226" s="8" t="s">
        <v>155</v>
      </c>
      <c r="O226" s="8"/>
      <c r="P226" s="8"/>
      <c r="Q226" s="8"/>
      <c r="R226" s="43" t="s">
        <v>52</v>
      </c>
      <c r="S226" s="10"/>
    </row>
    <row r="227" ht="13.5" customHeight="1">
      <c r="A227" s="37">
        <v>222.0</v>
      </c>
      <c r="B227" s="43" t="s">
        <v>491</v>
      </c>
      <c r="C227" s="43" t="s">
        <v>11</v>
      </c>
      <c r="D227" s="39" t="str">
        <f t="shared" si="1"/>
        <v>II</v>
      </c>
      <c r="E227" s="40" t="str">
        <f t="shared" si="2"/>
        <v>FA176/II/01</v>
      </c>
      <c r="F227" s="8" t="s">
        <v>154</v>
      </c>
      <c r="G227" s="41">
        <v>45018.0</v>
      </c>
      <c r="H227" s="20">
        <v>799000.0</v>
      </c>
      <c r="I227" s="7"/>
      <c r="J227" s="43" t="s">
        <v>314</v>
      </c>
      <c r="K227" s="43" t="s">
        <v>47</v>
      </c>
      <c r="L227" s="43" t="s">
        <v>8</v>
      </c>
      <c r="M227" s="9" t="str">
        <f t="shared" si="3"/>
        <v>01</v>
      </c>
      <c r="N227" s="8" t="s">
        <v>155</v>
      </c>
      <c r="O227" s="8"/>
      <c r="P227" s="8"/>
      <c r="Q227" s="8"/>
      <c r="R227" s="43" t="s">
        <v>52</v>
      </c>
      <c r="S227" s="10"/>
    </row>
    <row r="228" ht="13.5" customHeight="1">
      <c r="A228" s="37">
        <v>223.0</v>
      </c>
      <c r="B228" s="43" t="s">
        <v>492</v>
      </c>
      <c r="C228" s="43" t="s">
        <v>11</v>
      </c>
      <c r="D228" s="39" t="str">
        <f t="shared" si="1"/>
        <v>II</v>
      </c>
      <c r="E228" s="40" t="str">
        <f t="shared" si="2"/>
        <v>FA177/II/01</v>
      </c>
      <c r="F228" s="8" t="s">
        <v>154</v>
      </c>
      <c r="G228" s="41">
        <v>45018.0</v>
      </c>
      <c r="H228" s="20">
        <v>799000.0</v>
      </c>
      <c r="I228" s="7"/>
      <c r="J228" s="43" t="s">
        <v>425</v>
      </c>
      <c r="K228" s="43" t="s">
        <v>108</v>
      </c>
      <c r="L228" s="43" t="s">
        <v>8</v>
      </c>
      <c r="M228" s="9" t="str">
        <f t="shared" si="3"/>
        <v>01</v>
      </c>
      <c r="N228" s="8" t="s">
        <v>155</v>
      </c>
      <c r="O228" s="8"/>
      <c r="P228" s="8"/>
      <c r="Q228" s="8"/>
      <c r="R228" s="43" t="s">
        <v>52</v>
      </c>
      <c r="S228" s="10"/>
    </row>
    <row r="229" ht="13.5" customHeight="1">
      <c r="A229" s="37">
        <v>224.0</v>
      </c>
      <c r="B229" s="43" t="s">
        <v>493</v>
      </c>
      <c r="C229" s="43" t="s">
        <v>11</v>
      </c>
      <c r="D229" s="39" t="str">
        <f t="shared" si="1"/>
        <v>II</v>
      </c>
      <c r="E229" s="40" t="str">
        <f t="shared" si="2"/>
        <v>FA178/II/01</v>
      </c>
      <c r="F229" s="8" t="s">
        <v>154</v>
      </c>
      <c r="G229" s="41">
        <v>45018.0</v>
      </c>
      <c r="H229" s="20">
        <v>799000.0</v>
      </c>
      <c r="I229" s="7"/>
      <c r="J229" s="43" t="s">
        <v>115</v>
      </c>
      <c r="K229" s="43" t="s">
        <v>116</v>
      </c>
      <c r="L229" s="43" t="s">
        <v>8</v>
      </c>
      <c r="M229" s="9" t="str">
        <f t="shared" si="3"/>
        <v>01</v>
      </c>
      <c r="N229" s="8" t="s">
        <v>155</v>
      </c>
      <c r="O229" s="8"/>
      <c r="P229" s="8"/>
      <c r="Q229" s="8"/>
      <c r="R229" s="43" t="s">
        <v>52</v>
      </c>
      <c r="S229" s="10"/>
    </row>
    <row r="230" ht="13.5" customHeight="1">
      <c r="A230" s="37">
        <v>225.0</v>
      </c>
      <c r="B230" s="38" t="s">
        <v>494</v>
      </c>
      <c r="C230" s="43" t="s">
        <v>11</v>
      </c>
      <c r="D230" s="39" t="str">
        <f t="shared" si="1"/>
        <v>II</v>
      </c>
      <c r="E230" s="40" t="str">
        <f t="shared" si="2"/>
        <v>FA179/II/01</v>
      </c>
      <c r="F230" s="8" t="s">
        <v>154</v>
      </c>
      <c r="G230" s="41">
        <v>45018.0</v>
      </c>
      <c r="H230" s="20">
        <v>799000.0</v>
      </c>
      <c r="I230" s="7"/>
      <c r="J230" s="43"/>
      <c r="K230" s="43" t="s">
        <v>51</v>
      </c>
      <c r="L230" s="43" t="s">
        <v>8</v>
      </c>
      <c r="M230" s="9" t="str">
        <f t="shared" si="3"/>
        <v>01</v>
      </c>
      <c r="N230" s="8" t="s">
        <v>155</v>
      </c>
      <c r="O230" s="8"/>
      <c r="P230" s="8"/>
      <c r="Q230" s="8"/>
      <c r="R230" s="43" t="s">
        <v>52</v>
      </c>
      <c r="S230" s="10"/>
    </row>
    <row r="231" ht="13.5" customHeight="1">
      <c r="A231" s="37">
        <v>226.0</v>
      </c>
      <c r="B231" s="43" t="s">
        <v>495</v>
      </c>
      <c r="C231" s="43" t="s">
        <v>11</v>
      </c>
      <c r="D231" s="39" t="str">
        <f t="shared" si="1"/>
        <v>II</v>
      </c>
      <c r="E231" s="40" t="str">
        <f t="shared" si="2"/>
        <v>FA180/II/01</v>
      </c>
      <c r="F231" s="8" t="s">
        <v>154</v>
      </c>
      <c r="G231" s="41">
        <v>45018.0</v>
      </c>
      <c r="H231" s="20">
        <v>799000.0</v>
      </c>
      <c r="I231" s="7"/>
      <c r="J231" s="43" t="s">
        <v>198</v>
      </c>
      <c r="K231" s="43" t="s">
        <v>158</v>
      </c>
      <c r="L231" s="43" t="s">
        <v>8</v>
      </c>
      <c r="M231" s="9" t="str">
        <f t="shared" si="3"/>
        <v>01</v>
      </c>
      <c r="N231" s="8" t="s">
        <v>155</v>
      </c>
      <c r="O231" s="8"/>
      <c r="P231" s="8"/>
      <c r="Q231" s="8"/>
      <c r="R231" s="43" t="s">
        <v>52</v>
      </c>
      <c r="S231" s="10"/>
    </row>
    <row r="232" ht="13.5" customHeight="1">
      <c r="A232" s="37">
        <v>227.0</v>
      </c>
      <c r="B232" s="43" t="s">
        <v>496</v>
      </c>
      <c r="C232" s="43" t="s">
        <v>11</v>
      </c>
      <c r="D232" s="39" t="str">
        <f t="shared" si="1"/>
        <v>II</v>
      </c>
      <c r="E232" s="40" t="str">
        <f t="shared" si="2"/>
        <v>FA181/II/01</v>
      </c>
      <c r="F232" s="8" t="s">
        <v>154</v>
      </c>
      <c r="G232" s="41">
        <v>45018.0</v>
      </c>
      <c r="H232" s="20">
        <v>799000.0</v>
      </c>
      <c r="I232" s="7"/>
      <c r="J232" s="43" t="s">
        <v>50</v>
      </c>
      <c r="K232" s="43" t="s">
        <v>51</v>
      </c>
      <c r="L232" s="43" t="s">
        <v>8</v>
      </c>
      <c r="M232" s="9" t="str">
        <f t="shared" si="3"/>
        <v>01</v>
      </c>
      <c r="N232" s="8" t="s">
        <v>155</v>
      </c>
      <c r="O232" s="8"/>
      <c r="P232" s="8"/>
      <c r="Q232" s="8"/>
      <c r="R232" s="43" t="s">
        <v>52</v>
      </c>
      <c r="S232" s="10"/>
    </row>
    <row r="233" ht="13.5" customHeight="1">
      <c r="A233" s="37">
        <v>228.0</v>
      </c>
      <c r="B233" s="43" t="s">
        <v>497</v>
      </c>
      <c r="C233" s="43" t="s">
        <v>11</v>
      </c>
      <c r="D233" s="39" t="str">
        <f t="shared" si="1"/>
        <v>II</v>
      </c>
      <c r="E233" s="40" t="str">
        <f t="shared" si="2"/>
        <v>FA182/II/01</v>
      </c>
      <c r="F233" s="8" t="s">
        <v>154</v>
      </c>
      <c r="G233" s="41">
        <v>45018.0</v>
      </c>
      <c r="H233" s="20">
        <v>799000.0</v>
      </c>
      <c r="I233" s="7"/>
      <c r="J233" s="43" t="s">
        <v>100</v>
      </c>
      <c r="K233" s="43" t="s">
        <v>51</v>
      </c>
      <c r="L233" s="43" t="s">
        <v>8</v>
      </c>
      <c r="M233" s="9" t="str">
        <f t="shared" si="3"/>
        <v>01</v>
      </c>
      <c r="N233" s="8" t="s">
        <v>155</v>
      </c>
      <c r="O233" s="8"/>
      <c r="P233" s="8"/>
      <c r="Q233" s="8"/>
      <c r="R233" s="43" t="s">
        <v>52</v>
      </c>
      <c r="S233" s="10"/>
    </row>
    <row r="234" ht="13.5" customHeight="1">
      <c r="A234" s="37">
        <v>229.0</v>
      </c>
      <c r="B234" s="38" t="s">
        <v>498</v>
      </c>
      <c r="C234" s="43" t="s">
        <v>11</v>
      </c>
      <c r="D234" s="39" t="str">
        <f t="shared" si="1"/>
        <v>II</v>
      </c>
      <c r="E234" s="40" t="str">
        <f t="shared" si="2"/>
        <v>FA183/II/01</v>
      </c>
      <c r="F234" s="8" t="s">
        <v>154</v>
      </c>
      <c r="G234" s="41">
        <v>45018.0</v>
      </c>
      <c r="H234" s="20">
        <v>799000.0</v>
      </c>
      <c r="I234" s="7"/>
      <c r="J234" s="43" t="s">
        <v>110</v>
      </c>
      <c r="K234" s="43" t="s">
        <v>51</v>
      </c>
      <c r="L234" s="43" t="s">
        <v>8</v>
      </c>
      <c r="M234" s="9" t="str">
        <f t="shared" si="3"/>
        <v>01</v>
      </c>
      <c r="N234" s="8" t="s">
        <v>155</v>
      </c>
      <c r="O234" s="8"/>
      <c r="P234" s="8"/>
      <c r="Q234" s="8"/>
      <c r="R234" s="43" t="s">
        <v>52</v>
      </c>
      <c r="S234" s="10"/>
    </row>
    <row r="235" ht="13.5" customHeight="1">
      <c r="A235" s="37">
        <v>230.0</v>
      </c>
      <c r="B235" s="43" t="s">
        <v>499</v>
      </c>
      <c r="C235" s="43" t="s">
        <v>11</v>
      </c>
      <c r="D235" s="39" t="str">
        <f t="shared" si="1"/>
        <v>II</v>
      </c>
      <c r="E235" s="40" t="str">
        <f t="shared" si="2"/>
        <v>FA184/II/01</v>
      </c>
      <c r="F235" s="8" t="s">
        <v>154</v>
      </c>
      <c r="G235" s="41">
        <v>45018.0</v>
      </c>
      <c r="H235" s="20">
        <v>799000.0</v>
      </c>
      <c r="I235" s="7"/>
      <c r="J235" s="43" t="s">
        <v>276</v>
      </c>
      <c r="K235" s="43" t="s">
        <v>47</v>
      </c>
      <c r="L235" s="43" t="s">
        <v>8</v>
      </c>
      <c r="M235" s="9" t="str">
        <f t="shared" si="3"/>
        <v>01</v>
      </c>
      <c r="N235" s="8" t="s">
        <v>155</v>
      </c>
      <c r="O235" s="8"/>
      <c r="P235" s="8"/>
      <c r="Q235" s="8"/>
      <c r="R235" s="43" t="s">
        <v>52</v>
      </c>
      <c r="S235" s="10"/>
    </row>
    <row r="236" ht="13.5" customHeight="1">
      <c r="A236" s="37">
        <v>231.0</v>
      </c>
      <c r="B236" s="43" t="s">
        <v>500</v>
      </c>
      <c r="C236" s="43" t="s">
        <v>11</v>
      </c>
      <c r="D236" s="39" t="str">
        <f t="shared" si="1"/>
        <v>II</v>
      </c>
      <c r="E236" s="40" t="str">
        <f t="shared" si="2"/>
        <v>FA185/II/01</v>
      </c>
      <c r="F236" s="8" t="s">
        <v>154</v>
      </c>
      <c r="G236" s="41">
        <v>45018.0</v>
      </c>
      <c r="H236" s="20">
        <v>799000.0</v>
      </c>
      <c r="I236" s="7"/>
      <c r="J236" s="43"/>
      <c r="K236" s="43" t="s">
        <v>81</v>
      </c>
      <c r="L236" s="43" t="s">
        <v>8</v>
      </c>
      <c r="M236" s="9" t="str">
        <f t="shared" si="3"/>
        <v>01</v>
      </c>
      <c r="N236" s="8" t="s">
        <v>155</v>
      </c>
      <c r="O236" s="8"/>
      <c r="P236" s="8"/>
      <c r="Q236" s="8"/>
      <c r="R236" s="43" t="s">
        <v>52</v>
      </c>
      <c r="S236" s="10"/>
    </row>
    <row r="237" ht="13.5" customHeight="1">
      <c r="A237" s="37">
        <v>232.0</v>
      </c>
      <c r="B237" s="38" t="s">
        <v>501</v>
      </c>
      <c r="C237" s="43" t="s">
        <v>11</v>
      </c>
      <c r="D237" s="39" t="str">
        <f t="shared" si="1"/>
        <v>II</v>
      </c>
      <c r="E237" s="40" t="str">
        <f t="shared" si="2"/>
        <v>FA186/II/01</v>
      </c>
      <c r="F237" s="8" t="s">
        <v>154</v>
      </c>
      <c r="G237" s="41">
        <v>45018.0</v>
      </c>
      <c r="H237" s="20">
        <v>799000.0</v>
      </c>
      <c r="I237" s="7"/>
      <c r="J237" s="43" t="s">
        <v>422</v>
      </c>
      <c r="K237" s="43" t="s">
        <v>47</v>
      </c>
      <c r="L237" s="43" t="s">
        <v>8</v>
      </c>
      <c r="M237" s="9" t="str">
        <f t="shared" si="3"/>
        <v>01</v>
      </c>
      <c r="N237" s="8" t="s">
        <v>155</v>
      </c>
      <c r="O237" s="8"/>
      <c r="P237" s="8"/>
      <c r="Q237" s="8"/>
      <c r="R237" s="43" t="s">
        <v>52</v>
      </c>
      <c r="S237" s="10"/>
    </row>
    <row r="238" ht="13.5" customHeight="1">
      <c r="A238" s="37">
        <v>233.0</v>
      </c>
      <c r="B238" s="43" t="s">
        <v>502</v>
      </c>
      <c r="C238" s="43" t="s">
        <v>11</v>
      </c>
      <c r="D238" s="39" t="str">
        <f t="shared" si="1"/>
        <v>II</v>
      </c>
      <c r="E238" s="40" t="str">
        <f t="shared" si="2"/>
        <v>FA187/II/01</v>
      </c>
      <c r="F238" s="8" t="s">
        <v>154</v>
      </c>
      <c r="G238" s="41">
        <v>45018.0</v>
      </c>
      <c r="H238" s="20">
        <v>799000.0</v>
      </c>
      <c r="I238" s="7"/>
      <c r="J238" s="43" t="s">
        <v>299</v>
      </c>
      <c r="K238" s="43" t="s">
        <v>81</v>
      </c>
      <c r="L238" s="43" t="s">
        <v>8</v>
      </c>
      <c r="M238" s="9" t="str">
        <f t="shared" si="3"/>
        <v>01</v>
      </c>
      <c r="N238" s="8" t="s">
        <v>155</v>
      </c>
      <c r="O238" s="8"/>
      <c r="P238" s="8"/>
      <c r="Q238" s="8"/>
      <c r="R238" s="43" t="s">
        <v>52</v>
      </c>
      <c r="S238" s="10"/>
    </row>
    <row r="239" ht="13.5" customHeight="1">
      <c r="A239" s="37">
        <v>234.0</v>
      </c>
      <c r="B239" s="43" t="s">
        <v>503</v>
      </c>
      <c r="C239" s="43" t="s">
        <v>11</v>
      </c>
      <c r="D239" s="39" t="str">
        <f t="shared" si="1"/>
        <v>II</v>
      </c>
      <c r="E239" s="40" t="str">
        <f t="shared" si="2"/>
        <v>FA188/II/01</v>
      </c>
      <c r="F239" s="8" t="s">
        <v>154</v>
      </c>
      <c r="G239" s="41">
        <v>45018.0</v>
      </c>
      <c r="H239" s="20">
        <v>799000.0</v>
      </c>
      <c r="I239" s="7"/>
      <c r="J239" s="43" t="s">
        <v>273</v>
      </c>
      <c r="K239" s="43" t="s">
        <v>95</v>
      </c>
      <c r="L239" s="43" t="s">
        <v>8</v>
      </c>
      <c r="M239" s="9" t="str">
        <f t="shared" si="3"/>
        <v>01</v>
      </c>
      <c r="N239" s="8" t="s">
        <v>155</v>
      </c>
      <c r="O239" s="8"/>
      <c r="P239" s="8"/>
      <c r="Q239" s="8"/>
      <c r="R239" s="43" t="s">
        <v>52</v>
      </c>
      <c r="S239" s="10"/>
    </row>
    <row r="240" ht="13.5" customHeight="1">
      <c r="A240" s="37">
        <v>235.0</v>
      </c>
      <c r="B240" s="43" t="s">
        <v>504</v>
      </c>
      <c r="C240" s="43" t="s">
        <v>11</v>
      </c>
      <c r="D240" s="39" t="str">
        <f t="shared" si="1"/>
        <v>II</v>
      </c>
      <c r="E240" s="40" t="str">
        <f t="shared" si="2"/>
        <v>FA189/II/01</v>
      </c>
      <c r="F240" s="8" t="s">
        <v>79</v>
      </c>
      <c r="G240" s="41">
        <v>45018.0</v>
      </c>
      <c r="H240" s="20">
        <v>1198800.0</v>
      </c>
      <c r="I240" s="7"/>
      <c r="J240" s="43"/>
      <c r="K240" s="43" t="s">
        <v>81</v>
      </c>
      <c r="L240" s="8" t="s">
        <v>8</v>
      </c>
      <c r="M240" s="9" t="str">
        <f t="shared" si="3"/>
        <v>01</v>
      </c>
      <c r="N240" s="8" t="s">
        <v>155</v>
      </c>
      <c r="O240" s="8"/>
      <c r="P240" s="8"/>
      <c r="Q240" s="8"/>
      <c r="R240" s="43" t="s">
        <v>52</v>
      </c>
      <c r="S240" s="10"/>
    </row>
    <row r="241" ht="13.5" customHeight="1">
      <c r="A241" s="37">
        <v>236.0</v>
      </c>
      <c r="B241" s="38" t="s">
        <v>505</v>
      </c>
      <c r="C241" s="43" t="s">
        <v>11</v>
      </c>
      <c r="D241" s="39" t="str">
        <f t="shared" si="1"/>
        <v>II</v>
      </c>
      <c r="E241" s="40" t="str">
        <f t="shared" si="2"/>
        <v>FA190/II/01</v>
      </c>
      <c r="F241" s="8" t="s">
        <v>79</v>
      </c>
      <c r="G241" s="41">
        <v>45018.0</v>
      </c>
      <c r="H241" s="20">
        <v>1198800.0</v>
      </c>
      <c r="I241" s="7"/>
      <c r="J241" s="43" t="s">
        <v>100</v>
      </c>
      <c r="K241" s="43" t="s">
        <v>51</v>
      </c>
      <c r="L241" s="8" t="s">
        <v>8</v>
      </c>
      <c r="M241" s="9" t="str">
        <f t="shared" si="3"/>
        <v>01</v>
      </c>
      <c r="N241" s="8" t="s">
        <v>155</v>
      </c>
      <c r="O241" s="8"/>
      <c r="P241" s="8"/>
      <c r="Q241" s="8"/>
      <c r="R241" s="43" t="s">
        <v>52</v>
      </c>
      <c r="S241" s="10"/>
    </row>
    <row r="242" ht="13.5" customHeight="1">
      <c r="A242" s="37">
        <v>237.0</v>
      </c>
      <c r="B242" s="43" t="s">
        <v>506</v>
      </c>
      <c r="C242" s="43" t="s">
        <v>11</v>
      </c>
      <c r="D242" s="39" t="str">
        <f t="shared" si="1"/>
        <v>II</v>
      </c>
      <c r="E242" s="40" t="str">
        <f t="shared" si="2"/>
        <v>FA191/II/01</v>
      </c>
      <c r="F242" s="8" t="s">
        <v>79</v>
      </c>
      <c r="G242" s="41">
        <v>45018.0</v>
      </c>
      <c r="H242" s="20">
        <v>1198800.0</v>
      </c>
      <c r="I242" s="7"/>
      <c r="J242" s="43" t="s">
        <v>314</v>
      </c>
      <c r="K242" s="43" t="s">
        <v>47</v>
      </c>
      <c r="L242" s="8" t="s">
        <v>8</v>
      </c>
      <c r="M242" s="9" t="str">
        <f t="shared" si="3"/>
        <v>01</v>
      </c>
      <c r="N242" s="8" t="s">
        <v>155</v>
      </c>
      <c r="O242" s="8"/>
      <c r="P242" s="8"/>
      <c r="Q242" s="8"/>
      <c r="R242" s="43" t="s">
        <v>52</v>
      </c>
      <c r="S242" s="10"/>
    </row>
    <row r="243" ht="13.5" customHeight="1">
      <c r="A243" s="37">
        <v>238.0</v>
      </c>
      <c r="B243" s="43" t="s">
        <v>507</v>
      </c>
      <c r="C243" s="43" t="s">
        <v>11</v>
      </c>
      <c r="D243" s="39" t="str">
        <f t="shared" si="1"/>
        <v>II</v>
      </c>
      <c r="E243" s="40" t="str">
        <f t="shared" si="2"/>
        <v>FA192/II/01</v>
      </c>
      <c r="F243" s="8" t="s">
        <v>79</v>
      </c>
      <c r="G243" s="41">
        <v>45018.0</v>
      </c>
      <c r="H243" s="20">
        <v>1198800.0</v>
      </c>
      <c r="I243" s="7"/>
      <c r="J243" s="119"/>
      <c r="K243" s="43" t="s">
        <v>116</v>
      </c>
      <c r="L243" s="8" t="s">
        <v>8</v>
      </c>
      <c r="M243" s="9" t="str">
        <f t="shared" si="3"/>
        <v>01</v>
      </c>
      <c r="N243" s="8" t="s">
        <v>155</v>
      </c>
      <c r="O243" s="8"/>
      <c r="P243" s="8"/>
      <c r="Q243" s="8"/>
      <c r="R243" s="43" t="s">
        <v>52</v>
      </c>
      <c r="S243" s="10"/>
    </row>
    <row r="244" ht="13.5" customHeight="1">
      <c r="A244" s="37">
        <v>239.0</v>
      </c>
      <c r="B244" s="43" t="s">
        <v>508</v>
      </c>
      <c r="C244" s="43" t="s">
        <v>11</v>
      </c>
      <c r="D244" s="39" t="str">
        <f t="shared" si="1"/>
        <v>II</v>
      </c>
      <c r="E244" s="40" t="str">
        <f t="shared" si="2"/>
        <v>FA193/II/01</v>
      </c>
      <c r="F244" s="8" t="s">
        <v>79</v>
      </c>
      <c r="G244" s="41">
        <v>45018.0</v>
      </c>
      <c r="H244" s="20">
        <v>1198800.0</v>
      </c>
      <c r="I244" s="7"/>
      <c r="J244" s="43" t="s">
        <v>386</v>
      </c>
      <c r="K244" s="43" t="s">
        <v>47</v>
      </c>
      <c r="L244" s="8" t="s">
        <v>8</v>
      </c>
      <c r="M244" s="9" t="str">
        <f t="shared" si="3"/>
        <v>01</v>
      </c>
      <c r="N244" s="8" t="s">
        <v>155</v>
      </c>
      <c r="O244" s="8"/>
      <c r="P244" s="8"/>
      <c r="Q244" s="8"/>
      <c r="R244" s="43" t="s">
        <v>52</v>
      </c>
      <c r="S244" s="10"/>
    </row>
    <row r="245" ht="13.5" customHeight="1">
      <c r="A245" s="37">
        <v>240.0</v>
      </c>
      <c r="B245" s="38" t="s">
        <v>509</v>
      </c>
      <c r="C245" s="43" t="s">
        <v>11</v>
      </c>
      <c r="D245" s="39" t="str">
        <f t="shared" si="1"/>
        <v>II</v>
      </c>
      <c r="E245" s="40" t="str">
        <f t="shared" si="2"/>
        <v>FA194/II/01</v>
      </c>
      <c r="F245" s="8" t="s">
        <v>79</v>
      </c>
      <c r="G245" s="70">
        <v>45018.0</v>
      </c>
      <c r="H245" s="20">
        <v>1198800.0</v>
      </c>
      <c r="I245" s="7"/>
      <c r="J245" s="43" t="s">
        <v>372</v>
      </c>
      <c r="K245" s="43" t="s">
        <v>116</v>
      </c>
      <c r="L245" s="8" t="s">
        <v>8</v>
      </c>
      <c r="M245" s="9" t="str">
        <f t="shared" si="3"/>
        <v>01</v>
      </c>
      <c r="N245" s="8" t="s">
        <v>155</v>
      </c>
      <c r="O245" s="8"/>
      <c r="P245" s="8"/>
      <c r="Q245" s="8"/>
      <c r="R245" s="43" t="s">
        <v>52</v>
      </c>
      <c r="S245" s="10"/>
    </row>
    <row r="246" ht="13.5" customHeight="1">
      <c r="A246" s="37">
        <v>241.0</v>
      </c>
      <c r="B246" s="43" t="s">
        <v>510</v>
      </c>
      <c r="C246" s="43" t="s">
        <v>11</v>
      </c>
      <c r="D246" s="39" t="str">
        <f t="shared" si="1"/>
        <v>II</v>
      </c>
      <c r="E246" s="40" t="str">
        <f t="shared" si="2"/>
        <v>FA195/II/01</v>
      </c>
      <c r="F246" s="8" t="s">
        <v>79</v>
      </c>
      <c r="G246" s="70">
        <v>45018.0</v>
      </c>
      <c r="H246" s="20">
        <v>1198800.0</v>
      </c>
      <c r="I246" s="7"/>
      <c r="J246" s="43" t="s">
        <v>107</v>
      </c>
      <c r="K246" s="43" t="s">
        <v>108</v>
      </c>
      <c r="L246" s="8" t="s">
        <v>8</v>
      </c>
      <c r="M246" s="9" t="str">
        <f t="shared" si="3"/>
        <v>01</v>
      </c>
      <c r="N246" s="8" t="s">
        <v>155</v>
      </c>
      <c r="O246" s="8"/>
      <c r="P246" s="8"/>
      <c r="Q246" s="8"/>
      <c r="R246" s="43" t="s">
        <v>52</v>
      </c>
      <c r="S246" s="10"/>
    </row>
    <row r="247" ht="13.5" customHeight="1">
      <c r="A247" s="37">
        <v>242.0</v>
      </c>
      <c r="B247" s="43" t="s">
        <v>511</v>
      </c>
      <c r="C247" s="43" t="s">
        <v>11</v>
      </c>
      <c r="D247" s="39" t="str">
        <f t="shared" si="1"/>
        <v>II</v>
      </c>
      <c r="E247" s="40" t="str">
        <f t="shared" si="2"/>
        <v>FA196/II/01</v>
      </c>
      <c r="F247" s="8" t="s">
        <v>79</v>
      </c>
      <c r="G247" s="70">
        <v>45018.0</v>
      </c>
      <c r="H247" s="20">
        <v>1198800.0</v>
      </c>
      <c r="I247" s="7"/>
      <c r="J247" s="43"/>
      <c r="K247" s="43" t="s">
        <v>81</v>
      </c>
      <c r="L247" s="8" t="s">
        <v>8</v>
      </c>
      <c r="M247" s="9" t="str">
        <f t="shared" si="3"/>
        <v>01</v>
      </c>
      <c r="N247" s="8" t="s">
        <v>155</v>
      </c>
      <c r="O247" s="8"/>
      <c r="P247" s="8"/>
      <c r="Q247" s="8"/>
      <c r="R247" s="43" t="s">
        <v>52</v>
      </c>
      <c r="S247" s="10"/>
    </row>
    <row r="248" ht="13.5" customHeight="1">
      <c r="A248" s="37">
        <v>243.0</v>
      </c>
      <c r="B248" s="38" t="s">
        <v>512</v>
      </c>
      <c r="C248" s="43" t="s">
        <v>11</v>
      </c>
      <c r="D248" s="39" t="str">
        <f t="shared" si="1"/>
        <v>II</v>
      </c>
      <c r="E248" s="40" t="str">
        <f t="shared" si="2"/>
        <v>FA197/II/01</v>
      </c>
      <c r="F248" s="8" t="s">
        <v>79</v>
      </c>
      <c r="G248" s="70">
        <v>45018.0</v>
      </c>
      <c r="H248" s="20">
        <v>1198800.0</v>
      </c>
      <c r="I248" s="7"/>
      <c r="J248" s="43"/>
      <c r="K248" s="43" t="s">
        <v>51</v>
      </c>
      <c r="L248" s="8" t="s">
        <v>8</v>
      </c>
      <c r="M248" s="9" t="str">
        <f t="shared" si="3"/>
        <v>01</v>
      </c>
      <c r="N248" s="8" t="s">
        <v>155</v>
      </c>
      <c r="O248" s="8"/>
      <c r="P248" s="8"/>
      <c r="Q248" s="8"/>
      <c r="R248" s="43" t="s">
        <v>52</v>
      </c>
      <c r="S248" s="10"/>
    </row>
    <row r="249" ht="13.5" customHeight="1">
      <c r="A249" s="37">
        <v>244.0</v>
      </c>
      <c r="B249" s="43" t="s">
        <v>513</v>
      </c>
      <c r="C249" s="43" t="s">
        <v>11</v>
      </c>
      <c r="D249" s="39" t="str">
        <f t="shared" si="1"/>
        <v>II</v>
      </c>
      <c r="E249" s="40" t="str">
        <f t="shared" si="2"/>
        <v>FA198/II/01</v>
      </c>
      <c r="F249" s="8" t="s">
        <v>79</v>
      </c>
      <c r="G249" s="70">
        <v>45018.0</v>
      </c>
      <c r="H249" s="20">
        <v>1198800.0</v>
      </c>
      <c r="I249" s="7"/>
      <c r="J249" s="43" t="s">
        <v>422</v>
      </c>
      <c r="K249" s="43" t="s">
        <v>47</v>
      </c>
      <c r="L249" s="8" t="s">
        <v>8</v>
      </c>
      <c r="M249" s="9" t="str">
        <f t="shared" si="3"/>
        <v>01</v>
      </c>
      <c r="N249" s="8" t="s">
        <v>155</v>
      </c>
      <c r="O249" s="8"/>
      <c r="P249" s="8"/>
      <c r="Q249" s="8"/>
      <c r="R249" s="43" t="s">
        <v>52</v>
      </c>
      <c r="S249" s="10"/>
    </row>
    <row r="250" ht="13.5" customHeight="1">
      <c r="A250" s="37">
        <v>245.0</v>
      </c>
      <c r="B250" s="43" t="s">
        <v>514</v>
      </c>
      <c r="C250" s="43" t="s">
        <v>11</v>
      </c>
      <c r="D250" s="39" t="str">
        <f t="shared" si="1"/>
        <v>II</v>
      </c>
      <c r="E250" s="40" t="str">
        <f t="shared" si="2"/>
        <v>FA199/II/01</v>
      </c>
      <c r="F250" s="8" t="s">
        <v>79</v>
      </c>
      <c r="G250" s="41">
        <v>45018.0</v>
      </c>
      <c r="H250" s="20">
        <v>1198800.0</v>
      </c>
      <c r="I250" s="7"/>
      <c r="J250" s="43" t="s">
        <v>273</v>
      </c>
      <c r="K250" s="43" t="s">
        <v>95</v>
      </c>
      <c r="L250" s="8" t="s">
        <v>8</v>
      </c>
      <c r="M250" s="9" t="str">
        <f t="shared" si="3"/>
        <v>01</v>
      </c>
      <c r="N250" s="8" t="s">
        <v>155</v>
      </c>
      <c r="O250" s="8"/>
      <c r="P250" s="8"/>
      <c r="Q250" s="8"/>
      <c r="R250" s="43" t="s">
        <v>52</v>
      </c>
      <c r="S250" s="10"/>
    </row>
    <row r="251" ht="13.5" customHeight="1">
      <c r="A251" s="37">
        <v>246.0</v>
      </c>
      <c r="B251" s="43" t="s">
        <v>515</v>
      </c>
      <c r="C251" s="43" t="s">
        <v>11</v>
      </c>
      <c r="D251" s="39" t="str">
        <f t="shared" si="1"/>
        <v>II</v>
      </c>
      <c r="E251" s="40" t="str">
        <f t="shared" si="2"/>
        <v>FA200/II/01</v>
      </c>
      <c r="F251" s="8" t="s">
        <v>79</v>
      </c>
      <c r="G251" s="41">
        <v>45018.0</v>
      </c>
      <c r="H251" s="20">
        <v>1198800.0</v>
      </c>
      <c r="I251" s="7"/>
      <c r="J251" s="43"/>
      <c r="K251" s="43" t="s">
        <v>81</v>
      </c>
      <c r="L251" s="8" t="s">
        <v>8</v>
      </c>
      <c r="M251" s="9" t="str">
        <f t="shared" si="3"/>
        <v>01</v>
      </c>
      <c r="N251" s="8" t="s">
        <v>155</v>
      </c>
      <c r="O251" s="8"/>
      <c r="P251" s="8"/>
      <c r="Q251" s="8"/>
      <c r="R251" s="43" t="s">
        <v>52</v>
      </c>
      <c r="S251" s="10"/>
    </row>
    <row r="252" ht="13.5" customHeight="1">
      <c r="A252" s="37">
        <v>247.0</v>
      </c>
      <c r="B252" s="38" t="s">
        <v>516</v>
      </c>
      <c r="C252" s="43" t="s">
        <v>11</v>
      </c>
      <c r="D252" s="39" t="str">
        <f t="shared" si="1"/>
        <v>II</v>
      </c>
      <c r="E252" s="40" t="str">
        <f t="shared" si="2"/>
        <v>FA201/II/01</v>
      </c>
      <c r="F252" s="8" t="s">
        <v>79</v>
      </c>
      <c r="G252" s="41">
        <v>45018.0</v>
      </c>
      <c r="H252" s="20">
        <v>1198800.0</v>
      </c>
      <c r="I252" s="7"/>
      <c r="J252" s="43" t="s">
        <v>489</v>
      </c>
      <c r="K252" s="43" t="s">
        <v>47</v>
      </c>
      <c r="L252" s="8" t="s">
        <v>8</v>
      </c>
      <c r="M252" s="9" t="str">
        <f t="shared" si="3"/>
        <v>01</v>
      </c>
      <c r="N252" s="8" t="s">
        <v>155</v>
      </c>
      <c r="O252" s="8"/>
      <c r="P252" s="8"/>
      <c r="Q252" s="8"/>
      <c r="R252" s="43" t="s">
        <v>52</v>
      </c>
      <c r="S252" s="10"/>
    </row>
    <row r="253" ht="13.5" customHeight="1">
      <c r="A253" s="76">
        <v>248.0</v>
      </c>
      <c r="B253" s="81" t="s">
        <v>517</v>
      </c>
      <c r="C253" s="81" t="s">
        <v>11</v>
      </c>
      <c r="D253" s="78" t="str">
        <f t="shared" si="1"/>
        <v>II</v>
      </c>
      <c r="E253" s="79" t="str">
        <f t="shared" si="2"/>
        <v>FA202/II/01</v>
      </c>
      <c r="F253" s="8" t="s">
        <v>79</v>
      </c>
      <c r="G253" s="80">
        <v>45018.0</v>
      </c>
      <c r="H253" s="101">
        <v>1198800.0</v>
      </c>
      <c r="I253" s="98"/>
      <c r="J253" s="81"/>
      <c r="K253" s="81" t="s">
        <v>95</v>
      </c>
      <c r="L253" s="83" t="s">
        <v>8</v>
      </c>
      <c r="M253" s="82" t="str">
        <f t="shared" si="3"/>
        <v>01</v>
      </c>
      <c r="N253" s="83" t="s">
        <v>155</v>
      </c>
      <c r="O253" s="83"/>
      <c r="P253" s="83"/>
      <c r="Q253" s="83"/>
      <c r="R253" s="43" t="s">
        <v>52</v>
      </c>
      <c r="S253" s="84"/>
    </row>
    <row r="254" ht="13.5" customHeight="1">
      <c r="A254" s="76">
        <v>249.0</v>
      </c>
      <c r="B254" s="81" t="s">
        <v>518</v>
      </c>
      <c r="C254" s="81" t="s">
        <v>11</v>
      </c>
      <c r="D254" s="78" t="str">
        <f t="shared" si="1"/>
        <v>II</v>
      </c>
      <c r="E254" s="79" t="str">
        <f t="shared" si="2"/>
        <v>FA203/II/01</v>
      </c>
      <c r="F254" s="83" t="s">
        <v>79</v>
      </c>
      <c r="G254" s="80">
        <v>45018.0</v>
      </c>
      <c r="H254" s="101">
        <v>1198800.0</v>
      </c>
      <c r="I254" s="98"/>
      <c r="J254" s="81" t="s">
        <v>160</v>
      </c>
      <c r="K254" s="81" t="s">
        <v>158</v>
      </c>
      <c r="L254" s="83" t="s">
        <v>8</v>
      </c>
      <c r="M254" s="82" t="str">
        <f t="shared" si="3"/>
        <v>01</v>
      </c>
      <c r="N254" s="83" t="s">
        <v>155</v>
      </c>
      <c r="O254" s="83"/>
      <c r="P254" s="83"/>
      <c r="Q254" s="83"/>
      <c r="R254" s="43" t="s">
        <v>52</v>
      </c>
      <c r="S254" s="84"/>
    </row>
    <row r="255" ht="13.5" customHeight="1">
      <c r="A255" s="37">
        <v>250.0</v>
      </c>
      <c r="B255" s="43" t="s">
        <v>519</v>
      </c>
      <c r="C255" s="43" t="s">
        <v>11</v>
      </c>
      <c r="D255" s="39" t="str">
        <f t="shared" si="1"/>
        <v>II</v>
      </c>
      <c r="E255" s="40" t="str">
        <f t="shared" si="2"/>
        <v>FA204/II/01</v>
      </c>
      <c r="F255" s="8" t="s">
        <v>520</v>
      </c>
      <c r="G255" s="41">
        <v>45018.0</v>
      </c>
      <c r="H255" s="20">
        <v>829500.0</v>
      </c>
      <c r="I255" s="7"/>
      <c r="J255" s="43" t="s">
        <v>392</v>
      </c>
      <c r="K255" s="43" t="s">
        <v>170</v>
      </c>
      <c r="L255" s="8" t="s">
        <v>8</v>
      </c>
      <c r="M255" s="9" t="str">
        <f t="shared" si="3"/>
        <v>01</v>
      </c>
      <c r="N255" s="8" t="s">
        <v>155</v>
      </c>
      <c r="O255" s="8"/>
      <c r="P255" s="8"/>
      <c r="Q255" s="8"/>
      <c r="R255" s="43" t="s">
        <v>52</v>
      </c>
      <c r="S255" s="10"/>
    </row>
    <row r="256" ht="13.5" customHeight="1">
      <c r="A256" s="37">
        <v>251.0</v>
      </c>
      <c r="B256" s="38" t="s">
        <v>521</v>
      </c>
      <c r="C256" s="43" t="s">
        <v>11</v>
      </c>
      <c r="D256" s="39" t="str">
        <f t="shared" si="1"/>
        <v>II</v>
      </c>
      <c r="E256" s="40" t="str">
        <f t="shared" si="2"/>
        <v>FA205/II/01</v>
      </c>
      <c r="F256" s="8" t="s">
        <v>520</v>
      </c>
      <c r="G256" s="41">
        <v>45018.0</v>
      </c>
      <c r="H256" s="20">
        <v>829500.0</v>
      </c>
      <c r="I256" s="7"/>
      <c r="J256" s="43" t="s">
        <v>439</v>
      </c>
      <c r="K256" s="43" t="s">
        <v>51</v>
      </c>
      <c r="L256" s="8" t="s">
        <v>8</v>
      </c>
      <c r="M256" s="9" t="str">
        <f t="shared" si="3"/>
        <v>01</v>
      </c>
      <c r="N256" s="8" t="s">
        <v>155</v>
      </c>
      <c r="O256" s="8"/>
      <c r="P256" s="8"/>
      <c r="Q256" s="8"/>
      <c r="R256" s="43" t="s">
        <v>52</v>
      </c>
      <c r="S256" s="10"/>
    </row>
    <row r="257" ht="13.5" customHeight="1">
      <c r="A257" s="37">
        <v>252.0</v>
      </c>
      <c r="B257" s="43" t="s">
        <v>522</v>
      </c>
      <c r="C257" s="43" t="s">
        <v>11</v>
      </c>
      <c r="D257" s="39" t="str">
        <f t="shared" si="1"/>
        <v>II</v>
      </c>
      <c r="E257" s="40" t="str">
        <f t="shared" si="2"/>
        <v>FA206/II/01</v>
      </c>
      <c r="F257" s="8" t="s">
        <v>520</v>
      </c>
      <c r="G257" s="41">
        <v>45018.0</v>
      </c>
      <c r="H257" s="20">
        <v>829500.0</v>
      </c>
      <c r="I257" s="7"/>
      <c r="J257" s="43" t="s">
        <v>169</v>
      </c>
      <c r="K257" s="43" t="s">
        <v>170</v>
      </c>
      <c r="L257" s="8" t="s">
        <v>8</v>
      </c>
      <c r="M257" s="9" t="str">
        <f t="shared" si="3"/>
        <v>01</v>
      </c>
      <c r="N257" s="8" t="s">
        <v>155</v>
      </c>
      <c r="O257" s="8"/>
      <c r="P257" s="8"/>
      <c r="Q257" s="8"/>
      <c r="R257" s="43" t="s">
        <v>52</v>
      </c>
      <c r="S257" s="10"/>
    </row>
    <row r="258" ht="13.5" customHeight="1">
      <c r="A258" s="37">
        <v>253.0</v>
      </c>
      <c r="B258" s="38" t="s">
        <v>523</v>
      </c>
      <c r="C258" s="43" t="s">
        <v>11</v>
      </c>
      <c r="D258" s="39" t="str">
        <f t="shared" si="1"/>
        <v>II</v>
      </c>
      <c r="E258" s="40" t="str">
        <f t="shared" si="2"/>
        <v>FA207/II/01</v>
      </c>
      <c r="F258" s="8" t="s">
        <v>520</v>
      </c>
      <c r="G258" s="41">
        <v>45018.0</v>
      </c>
      <c r="H258" s="20">
        <v>829500.0</v>
      </c>
      <c r="I258" s="7"/>
      <c r="J258" s="43" t="s">
        <v>207</v>
      </c>
      <c r="K258" s="43" t="s">
        <v>170</v>
      </c>
      <c r="L258" s="8" t="s">
        <v>8</v>
      </c>
      <c r="M258" s="9" t="str">
        <f t="shared" si="3"/>
        <v>01</v>
      </c>
      <c r="N258" s="8" t="s">
        <v>155</v>
      </c>
      <c r="O258" s="8"/>
      <c r="P258" s="8"/>
      <c r="Q258" s="8"/>
      <c r="R258" s="43" t="s">
        <v>52</v>
      </c>
      <c r="S258" s="10"/>
    </row>
    <row r="259" ht="13.5" customHeight="1">
      <c r="A259" s="45">
        <v>254.0</v>
      </c>
      <c r="B259" s="53" t="s">
        <v>524</v>
      </c>
      <c r="C259" s="53" t="s">
        <v>11</v>
      </c>
      <c r="D259" s="47" t="str">
        <f t="shared" si="1"/>
        <v>II</v>
      </c>
      <c r="E259" s="48" t="str">
        <f t="shared" si="2"/>
        <v>FA208/II/03</v>
      </c>
      <c r="F259" s="52" t="s">
        <v>525</v>
      </c>
      <c r="G259" s="49">
        <v>45018.0</v>
      </c>
      <c r="H259" s="120">
        <v>584550.0</v>
      </c>
      <c r="I259" s="51"/>
      <c r="J259" s="52"/>
      <c r="K259" s="53" t="s">
        <v>95</v>
      </c>
      <c r="L259" s="53" t="s">
        <v>18</v>
      </c>
      <c r="M259" s="15" t="str">
        <f t="shared" si="3"/>
        <v>03</v>
      </c>
      <c r="N259" s="52"/>
      <c r="O259" s="52"/>
      <c r="P259" s="52"/>
      <c r="Q259" s="52"/>
      <c r="R259" s="53" t="s">
        <v>10</v>
      </c>
      <c r="S259" s="54"/>
    </row>
    <row r="260" ht="13.5" customHeight="1">
      <c r="A260" s="45">
        <v>255.0</v>
      </c>
      <c r="B260" s="53" t="s">
        <v>526</v>
      </c>
      <c r="C260" s="53" t="s">
        <v>11</v>
      </c>
      <c r="D260" s="47" t="str">
        <f t="shared" si="1"/>
        <v>II</v>
      </c>
      <c r="E260" s="48" t="str">
        <f t="shared" si="2"/>
        <v>FA209/II/03</v>
      </c>
      <c r="F260" s="52" t="s">
        <v>525</v>
      </c>
      <c r="G260" s="49">
        <v>45018.0</v>
      </c>
      <c r="H260" s="120">
        <v>584550.0</v>
      </c>
      <c r="I260" s="51"/>
      <c r="J260" s="52"/>
      <c r="K260" s="53" t="s">
        <v>95</v>
      </c>
      <c r="L260" s="53" t="s">
        <v>18</v>
      </c>
      <c r="M260" s="15" t="str">
        <f t="shared" si="3"/>
        <v>03</v>
      </c>
      <c r="N260" s="52"/>
      <c r="O260" s="52"/>
      <c r="P260" s="52"/>
      <c r="Q260" s="52"/>
      <c r="R260" s="53" t="s">
        <v>10</v>
      </c>
      <c r="S260" s="54"/>
    </row>
    <row r="261" ht="13.5" customHeight="1">
      <c r="A261" s="37">
        <v>256.0</v>
      </c>
      <c r="B261" s="43" t="s">
        <v>527</v>
      </c>
      <c r="C261" s="43" t="s">
        <v>11</v>
      </c>
      <c r="D261" s="39" t="str">
        <f t="shared" si="1"/>
        <v>II</v>
      </c>
      <c r="E261" s="40" t="str">
        <f t="shared" si="2"/>
        <v>FA210/II/01</v>
      </c>
      <c r="F261" s="8" t="s">
        <v>528</v>
      </c>
      <c r="G261" s="41">
        <v>45018.0</v>
      </c>
      <c r="H261" s="20">
        <v>1959020.0</v>
      </c>
      <c r="I261" s="7"/>
      <c r="J261" s="43" t="s">
        <v>264</v>
      </c>
      <c r="K261" s="43" t="s">
        <v>158</v>
      </c>
      <c r="L261" s="8" t="s">
        <v>8</v>
      </c>
      <c r="M261" s="9" t="str">
        <f t="shared" si="3"/>
        <v>01</v>
      </c>
      <c r="N261" s="8"/>
      <c r="O261" s="8"/>
      <c r="P261" s="8"/>
      <c r="Q261" s="8"/>
      <c r="R261" s="43" t="s">
        <v>52</v>
      </c>
      <c r="S261" s="10"/>
    </row>
    <row r="262" ht="13.5" customHeight="1">
      <c r="A262" s="37">
        <v>257.0</v>
      </c>
      <c r="B262" s="38" t="s">
        <v>529</v>
      </c>
      <c r="C262" s="43" t="s">
        <v>11</v>
      </c>
      <c r="D262" s="39" t="str">
        <f t="shared" si="1"/>
        <v>II</v>
      </c>
      <c r="E262" s="40" t="str">
        <f t="shared" si="2"/>
        <v>FA211/II/01</v>
      </c>
      <c r="F262" s="8" t="s">
        <v>528</v>
      </c>
      <c r="G262" s="41">
        <v>45018.0</v>
      </c>
      <c r="H262" s="20">
        <v>1959020.0</v>
      </c>
      <c r="I262" s="7"/>
      <c r="J262" s="43" t="s">
        <v>262</v>
      </c>
      <c r="K262" s="43" t="s">
        <v>170</v>
      </c>
      <c r="L262" s="8" t="s">
        <v>8</v>
      </c>
      <c r="M262" s="9" t="str">
        <f t="shared" si="3"/>
        <v>01</v>
      </c>
      <c r="N262" s="8"/>
      <c r="O262" s="8"/>
      <c r="P262" s="8"/>
      <c r="Q262" s="8"/>
      <c r="R262" s="43" t="s">
        <v>52</v>
      </c>
      <c r="S262" s="10"/>
    </row>
    <row r="263" ht="13.5" customHeight="1">
      <c r="A263" s="37">
        <v>258.0</v>
      </c>
      <c r="B263" s="43" t="s">
        <v>530</v>
      </c>
      <c r="C263" s="43" t="s">
        <v>11</v>
      </c>
      <c r="D263" s="39" t="str">
        <f t="shared" si="1"/>
        <v>II</v>
      </c>
      <c r="E263" s="40" t="str">
        <f t="shared" si="2"/>
        <v>FA212/II/01</v>
      </c>
      <c r="F263" s="8" t="s">
        <v>528</v>
      </c>
      <c r="G263" s="41">
        <v>45018.0</v>
      </c>
      <c r="H263" s="20">
        <v>1959020.0</v>
      </c>
      <c r="I263" s="7"/>
      <c r="J263" s="43" t="s">
        <v>439</v>
      </c>
      <c r="K263" s="43" t="s">
        <v>51</v>
      </c>
      <c r="L263" s="8" t="s">
        <v>8</v>
      </c>
      <c r="M263" s="9" t="str">
        <f t="shared" si="3"/>
        <v>01</v>
      </c>
      <c r="N263" s="8"/>
      <c r="O263" s="8"/>
      <c r="P263" s="8"/>
      <c r="Q263" s="8"/>
      <c r="R263" s="43" t="s">
        <v>52</v>
      </c>
      <c r="S263" s="10"/>
    </row>
    <row r="264" ht="13.5" customHeight="1">
      <c r="A264" s="37">
        <v>259.0</v>
      </c>
      <c r="B264" s="43" t="s">
        <v>531</v>
      </c>
      <c r="C264" s="43" t="s">
        <v>11</v>
      </c>
      <c r="D264" s="39" t="str">
        <f t="shared" si="1"/>
        <v>II</v>
      </c>
      <c r="E264" s="40" t="str">
        <f t="shared" si="2"/>
        <v>FA213/II/01</v>
      </c>
      <c r="F264" s="8" t="s">
        <v>528</v>
      </c>
      <c r="G264" s="41">
        <v>45018.0</v>
      </c>
      <c r="H264" s="20">
        <v>1959020.0</v>
      </c>
      <c r="I264" s="7"/>
      <c r="J264" s="43" t="s">
        <v>392</v>
      </c>
      <c r="K264" s="43" t="s">
        <v>170</v>
      </c>
      <c r="L264" s="8" t="s">
        <v>8</v>
      </c>
      <c r="M264" s="9" t="str">
        <f t="shared" si="3"/>
        <v>01</v>
      </c>
      <c r="N264" s="8"/>
      <c r="O264" s="8"/>
      <c r="P264" s="8"/>
      <c r="Q264" s="8"/>
      <c r="R264" s="43" t="s">
        <v>52</v>
      </c>
      <c r="S264" s="10"/>
    </row>
    <row r="265" ht="13.5" customHeight="1">
      <c r="A265" s="37">
        <v>260.0</v>
      </c>
      <c r="B265" s="43" t="s">
        <v>532</v>
      </c>
      <c r="C265" s="43" t="s">
        <v>11</v>
      </c>
      <c r="D265" s="39" t="str">
        <f t="shared" si="1"/>
        <v>II</v>
      </c>
      <c r="E265" s="40" t="str">
        <f t="shared" si="2"/>
        <v>FA214/II/01</v>
      </c>
      <c r="F265" s="8" t="s">
        <v>533</v>
      </c>
      <c r="G265" s="41">
        <v>45018.0</v>
      </c>
      <c r="H265" s="20">
        <v>939820.0</v>
      </c>
      <c r="I265" s="7"/>
      <c r="J265" s="43"/>
      <c r="K265" s="43" t="s">
        <v>95</v>
      </c>
      <c r="L265" s="43" t="s">
        <v>8</v>
      </c>
      <c r="M265" s="9" t="str">
        <f t="shared" si="3"/>
        <v>01</v>
      </c>
      <c r="N265" s="8"/>
      <c r="O265" s="8"/>
      <c r="P265" s="8"/>
      <c r="Q265" s="8"/>
      <c r="R265" s="43" t="s">
        <v>52</v>
      </c>
      <c r="S265" s="10"/>
    </row>
    <row r="266" ht="13.5" customHeight="1">
      <c r="A266" s="37">
        <v>261.0</v>
      </c>
      <c r="B266" s="38" t="s">
        <v>534</v>
      </c>
      <c r="C266" s="43" t="s">
        <v>11</v>
      </c>
      <c r="D266" s="39" t="str">
        <f t="shared" si="1"/>
        <v>II</v>
      </c>
      <c r="E266" s="40" t="str">
        <f t="shared" si="2"/>
        <v>FA215/II/01</v>
      </c>
      <c r="F266" s="8" t="s">
        <v>533</v>
      </c>
      <c r="G266" s="41">
        <v>45018.0</v>
      </c>
      <c r="H266" s="20">
        <v>939820.0</v>
      </c>
      <c r="I266" s="7"/>
      <c r="J266" s="8"/>
      <c r="K266" s="43" t="s">
        <v>95</v>
      </c>
      <c r="L266" s="43" t="s">
        <v>8</v>
      </c>
      <c r="M266" s="9" t="str">
        <f t="shared" si="3"/>
        <v>01</v>
      </c>
      <c r="N266" s="8"/>
      <c r="O266" s="8"/>
      <c r="P266" s="8"/>
      <c r="Q266" s="8"/>
      <c r="R266" s="43" t="s">
        <v>52</v>
      </c>
      <c r="S266" s="10"/>
    </row>
    <row r="267" ht="13.5" customHeight="1">
      <c r="A267" s="37">
        <v>262.0</v>
      </c>
      <c r="B267" s="43" t="s">
        <v>535</v>
      </c>
      <c r="C267" s="43" t="s">
        <v>11</v>
      </c>
      <c r="D267" s="39" t="str">
        <f t="shared" si="1"/>
        <v>II</v>
      </c>
      <c r="E267" s="40" t="str">
        <f t="shared" si="2"/>
        <v>FA216/II/01</v>
      </c>
      <c r="F267" s="8" t="s">
        <v>536</v>
      </c>
      <c r="G267" s="41">
        <v>45018.0</v>
      </c>
      <c r="H267" s="20">
        <v>1273020.0</v>
      </c>
      <c r="I267" s="7"/>
      <c r="J267" s="43" t="s">
        <v>97</v>
      </c>
      <c r="K267" s="43" t="s">
        <v>51</v>
      </c>
      <c r="L267" s="43" t="s">
        <v>8</v>
      </c>
      <c r="M267" s="9" t="str">
        <f t="shared" si="3"/>
        <v>01</v>
      </c>
      <c r="N267" s="8"/>
      <c r="O267" s="8"/>
      <c r="P267" s="8"/>
      <c r="Q267" s="8"/>
      <c r="R267" s="43" t="s">
        <v>52</v>
      </c>
      <c r="S267" s="10"/>
    </row>
    <row r="268" ht="13.5" customHeight="1">
      <c r="A268" s="37">
        <v>263.0</v>
      </c>
      <c r="B268" s="43" t="s">
        <v>537</v>
      </c>
      <c r="C268" s="43" t="s">
        <v>11</v>
      </c>
      <c r="D268" s="39" t="str">
        <f t="shared" si="1"/>
        <v>II</v>
      </c>
      <c r="E268" s="40" t="str">
        <f t="shared" si="2"/>
        <v>FA217/II/01</v>
      </c>
      <c r="F268" s="8" t="s">
        <v>538</v>
      </c>
      <c r="G268" s="41">
        <v>45018.0</v>
      </c>
      <c r="H268" s="20">
        <v>3135000.0</v>
      </c>
      <c r="I268" s="7"/>
      <c r="J268" s="43" t="s">
        <v>389</v>
      </c>
      <c r="K268" s="43" t="s">
        <v>116</v>
      </c>
      <c r="L268" s="43" t="s">
        <v>8</v>
      </c>
      <c r="M268" s="9" t="str">
        <f t="shared" si="3"/>
        <v>01</v>
      </c>
      <c r="N268" s="8" t="s">
        <v>303</v>
      </c>
      <c r="O268" s="8"/>
      <c r="P268" s="8"/>
      <c r="Q268" s="8"/>
      <c r="R268" s="43" t="s">
        <v>52</v>
      </c>
      <c r="S268" s="10"/>
    </row>
    <row r="269" ht="13.5" customHeight="1">
      <c r="A269" s="37">
        <v>264.0</v>
      </c>
      <c r="B269" s="38" t="s">
        <v>539</v>
      </c>
      <c r="C269" s="43" t="s">
        <v>11</v>
      </c>
      <c r="D269" s="39" t="str">
        <f t="shared" si="1"/>
        <v>II</v>
      </c>
      <c r="E269" s="40" t="str">
        <f t="shared" si="2"/>
        <v>FA218/II/01</v>
      </c>
      <c r="F269" s="8" t="s">
        <v>538</v>
      </c>
      <c r="G269" s="41">
        <v>45018.0</v>
      </c>
      <c r="H269" s="20">
        <v>3135000.0</v>
      </c>
      <c r="I269" s="7"/>
      <c r="J269" s="43" t="s">
        <v>80</v>
      </c>
      <c r="K269" s="43" t="s">
        <v>81</v>
      </c>
      <c r="L269" s="43" t="s">
        <v>8</v>
      </c>
      <c r="M269" s="9" t="str">
        <f t="shared" si="3"/>
        <v>01</v>
      </c>
      <c r="N269" s="8" t="s">
        <v>303</v>
      </c>
      <c r="O269" s="8"/>
      <c r="P269" s="8"/>
      <c r="Q269" s="8"/>
      <c r="R269" s="43" t="s">
        <v>52</v>
      </c>
      <c r="S269" s="10"/>
    </row>
    <row r="270" ht="13.5" customHeight="1">
      <c r="A270" s="37">
        <v>265.0</v>
      </c>
      <c r="B270" s="43" t="s">
        <v>540</v>
      </c>
      <c r="C270" s="43" t="s">
        <v>6</v>
      </c>
      <c r="D270" s="39" t="str">
        <f t="shared" si="1"/>
        <v>I</v>
      </c>
      <c r="E270" s="40" t="str">
        <f t="shared" si="2"/>
        <v>FA219/I/01</v>
      </c>
      <c r="F270" s="8" t="s">
        <v>541</v>
      </c>
      <c r="G270" s="41">
        <v>45019.0</v>
      </c>
      <c r="H270" s="20">
        <v>3299000.0</v>
      </c>
      <c r="I270" s="7"/>
      <c r="J270" s="43" t="s">
        <v>97</v>
      </c>
      <c r="K270" s="43" t="s">
        <v>51</v>
      </c>
      <c r="L270" s="8" t="s">
        <v>8</v>
      </c>
      <c r="M270" s="9" t="str">
        <f t="shared" si="3"/>
        <v>01</v>
      </c>
      <c r="N270" s="8"/>
      <c r="O270" s="8"/>
      <c r="P270" s="8"/>
      <c r="Q270" s="8"/>
      <c r="R270" s="43" t="s">
        <v>52</v>
      </c>
      <c r="S270" s="10"/>
    </row>
    <row r="271" ht="13.5" customHeight="1">
      <c r="A271" s="37">
        <v>266.0</v>
      </c>
      <c r="B271" s="43" t="s">
        <v>542</v>
      </c>
      <c r="C271" s="43" t="s">
        <v>6</v>
      </c>
      <c r="D271" s="39" t="str">
        <f t="shared" si="1"/>
        <v>I</v>
      </c>
      <c r="E271" s="40" t="str">
        <f t="shared" si="2"/>
        <v>FA220/I/01</v>
      </c>
      <c r="F271" s="8" t="s">
        <v>543</v>
      </c>
      <c r="G271" s="41">
        <v>45019.0</v>
      </c>
      <c r="H271" s="20">
        <v>1469000.0</v>
      </c>
      <c r="I271" s="7"/>
      <c r="J271" s="43" t="s">
        <v>112</v>
      </c>
      <c r="K271" s="43" t="s">
        <v>95</v>
      </c>
      <c r="L271" s="8" t="s">
        <v>8</v>
      </c>
      <c r="M271" s="9" t="str">
        <f t="shared" si="3"/>
        <v>01</v>
      </c>
      <c r="N271" s="8" t="s">
        <v>324</v>
      </c>
      <c r="O271" s="8"/>
      <c r="P271" s="8"/>
      <c r="Q271" s="8"/>
      <c r="R271" s="43" t="s">
        <v>52</v>
      </c>
      <c r="S271" s="10"/>
    </row>
    <row r="272" ht="13.5" customHeight="1">
      <c r="A272" s="37">
        <v>267.0</v>
      </c>
      <c r="B272" s="38" t="s">
        <v>544</v>
      </c>
      <c r="C272" s="43" t="s">
        <v>6</v>
      </c>
      <c r="D272" s="39" t="str">
        <f t="shared" si="1"/>
        <v>I</v>
      </c>
      <c r="E272" s="40" t="str">
        <f t="shared" si="2"/>
        <v>FA222/I/01</v>
      </c>
      <c r="F272" s="43" t="s">
        <v>545</v>
      </c>
      <c r="G272" s="41">
        <v>45020.0</v>
      </c>
      <c r="H272" s="20">
        <v>3549000.0</v>
      </c>
      <c r="I272" s="7"/>
      <c r="J272" s="43" t="s">
        <v>112</v>
      </c>
      <c r="K272" s="43" t="s">
        <v>95</v>
      </c>
      <c r="L272" s="8" t="s">
        <v>8</v>
      </c>
      <c r="M272" s="9" t="str">
        <f t="shared" si="3"/>
        <v>01</v>
      </c>
      <c r="N272" s="8" t="s">
        <v>93</v>
      </c>
      <c r="O272" s="8"/>
      <c r="P272" s="8"/>
      <c r="Q272" s="8"/>
      <c r="R272" s="43" t="s">
        <v>52</v>
      </c>
      <c r="S272" s="10"/>
    </row>
    <row r="273" ht="13.5" customHeight="1">
      <c r="A273" s="37">
        <v>268.0</v>
      </c>
      <c r="B273" s="43" t="s">
        <v>546</v>
      </c>
      <c r="C273" s="43" t="s">
        <v>6</v>
      </c>
      <c r="D273" s="39" t="str">
        <f t="shared" si="1"/>
        <v>I</v>
      </c>
      <c r="E273" s="40" t="str">
        <f t="shared" si="2"/>
        <v>FA223/I/01</v>
      </c>
      <c r="F273" s="8" t="s">
        <v>547</v>
      </c>
      <c r="G273" s="41">
        <v>45020.0</v>
      </c>
      <c r="H273" s="20">
        <v>1900000.0</v>
      </c>
      <c r="I273" s="7"/>
      <c r="J273" s="43" t="s">
        <v>166</v>
      </c>
      <c r="K273" s="43" t="s">
        <v>95</v>
      </c>
      <c r="L273" s="8" t="s">
        <v>8</v>
      </c>
      <c r="M273" s="9" t="str">
        <f t="shared" si="3"/>
        <v>01</v>
      </c>
      <c r="N273" s="8" t="s">
        <v>548</v>
      </c>
      <c r="O273" s="8"/>
      <c r="P273" s="8"/>
      <c r="Q273" s="8"/>
      <c r="R273" s="43" t="s">
        <v>52</v>
      </c>
      <c r="S273" s="10"/>
    </row>
    <row r="274" ht="13.5" customHeight="1">
      <c r="A274" s="37">
        <v>269.0</v>
      </c>
      <c r="B274" s="43" t="s">
        <v>549</v>
      </c>
      <c r="C274" s="43" t="s">
        <v>11</v>
      </c>
      <c r="D274" s="39" t="str">
        <f t="shared" si="1"/>
        <v>II</v>
      </c>
      <c r="E274" s="40" t="str">
        <f t="shared" si="2"/>
        <v>FA224/II/01</v>
      </c>
      <c r="F274" s="8" t="s">
        <v>305</v>
      </c>
      <c r="G274" s="41">
        <v>45029.0</v>
      </c>
      <c r="H274" s="20">
        <v>3199000.0</v>
      </c>
      <c r="I274" s="7"/>
      <c r="J274" s="43" t="s">
        <v>166</v>
      </c>
      <c r="K274" s="43" t="s">
        <v>95</v>
      </c>
      <c r="L274" s="43" t="s">
        <v>8</v>
      </c>
      <c r="M274" s="9" t="str">
        <f t="shared" si="3"/>
        <v>01</v>
      </c>
      <c r="N274" s="8" t="s">
        <v>303</v>
      </c>
      <c r="O274" s="8"/>
      <c r="P274" s="8"/>
      <c r="Q274" s="8"/>
      <c r="R274" s="43" t="s">
        <v>52</v>
      </c>
      <c r="S274" s="10"/>
    </row>
    <row r="275" ht="13.5" customHeight="1">
      <c r="A275" s="37">
        <v>270.0</v>
      </c>
      <c r="B275" s="38" t="s">
        <v>550</v>
      </c>
      <c r="C275" s="43" t="s">
        <v>11</v>
      </c>
      <c r="D275" s="39" t="str">
        <f t="shared" si="1"/>
        <v>II</v>
      </c>
      <c r="E275" s="40" t="str">
        <f t="shared" si="2"/>
        <v>FA225/II/03</v>
      </c>
      <c r="F275" s="8" t="s">
        <v>551</v>
      </c>
      <c r="G275" s="41">
        <v>45029.0</v>
      </c>
      <c r="H275" s="20">
        <v>584550.0</v>
      </c>
      <c r="I275" s="7"/>
      <c r="J275" s="43" t="s">
        <v>138</v>
      </c>
      <c r="K275" s="43" t="s">
        <v>95</v>
      </c>
      <c r="L275" s="43" t="s">
        <v>18</v>
      </c>
      <c r="M275" s="9" t="str">
        <f t="shared" si="3"/>
        <v>03</v>
      </c>
      <c r="N275" s="8"/>
      <c r="O275" s="8"/>
      <c r="P275" s="8"/>
      <c r="Q275" s="8"/>
      <c r="R275" s="43" t="s">
        <v>52</v>
      </c>
      <c r="S275" s="10"/>
    </row>
    <row r="276" ht="13.5" customHeight="1">
      <c r="A276" s="37">
        <v>271.0</v>
      </c>
      <c r="B276" s="43" t="s">
        <v>552</v>
      </c>
      <c r="C276" s="43" t="s">
        <v>11</v>
      </c>
      <c r="D276" s="39" t="str">
        <f t="shared" si="1"/>
        <v>II</v>
      </c>
      <c r="E276" s="40" t="str">
        <f t="shared" si="2"/>
        <v>FA226/II/03</v>
      </c>
      <c r="F276" s="8" t="s">
        <v>551</v>
      </c>
      <c r="G276" s="41">
        <v>45029.0</v>
      </c>
      <c r="H276" s="20">
        <v>584550.0</v>
      </c>
      <c r="I276" s="7"/>
      <c r="J276" s="43" t="s">
        <v>138</v>
      </c>
      <c r="K276" s="43" t="s">
        <v>95</v>
      </c>
      <c r="L276" s="43" t="s">
        <v>18</v>
      </c>
      <c r="M276" s="9" t="str">
        <f t="shared" si="3"/>
        <v>03</v>
      </c>
      <c r="N276" s="8"/>
      <c r="O276" s="8"/>
      <c r="P276" s="8"/>
      <c r="Q276" s="8"/>
      <c r="R276" s="43" t="s">
        <v>52</v>
      </c>
      <c r="S276" s="10"/>
    </row>
    <row r="277" ht="13.5" customHeight="1">
      <c r="A277" s="37">
        <v>272.0</v>
      </c>
      <c r="B277" s="43" t="s">
        <v>553</v>
      </c>
      <c r="C277" s="43" t="s">
        <v>11</v>
      </c>
      <c r="D277" s="39" t="str">
        <f t="shared" si="1"/>
        <v>II</v>
      </c>
      <c r="E277" s="40" t="str">
        <f t="shared" si="2"/>
        <v>FA227/II/01</v>
      </c>
      <c r="F277" s="8" t="s">
        <v>554</v>
      </c>
      <c r="G277" s="41">
        <v>45027.0</v>
      </c>
      <c r="H277" s="20">
        <v>1999000.0</v>
      </c>
      <c r="I277" s="7"/>
      <c r="J277" s="43" t="s">
        <v>169</v>
      </c>
      <c r="K277" s="43" t="s">
        <v>170</v>
      </c>
      <c r="L277" s="43" t="s">
        <v>8</v>
      </c>
      <c r="M277" s="9" t="str">
        <f t="shared" si="3"/>
        <v>01</v>
      </c>
      <c r="N277" s="43" t="s">
        <v>155</v>
      </c>
      <c r="O277" s="8"/>
      <c r="P277" s="8"/>
      <c r="Q277" s="8"/>
      <c r="R277" s="43" t="s">
        <v>52</v>
      </c>
      <c r="S277" s="10"/>
    </row>
    <row r="278" ht="13.5" customHeight="1">
      <c r="A278" s="37">
        <v>273.0</v>
      </c>
      <c r="B278" s="38" t="s">
        <v>555</v>
      </c>
      <c r="C278" s="43" t="s">
        <v>11</v>
      </c>
      <c r="D278" s="39" t="str">
        <f t="shared" si="1"/>
        <v>II</v>
      </c>
      <c r="E278" s="40" t="str">
        <f t="shared" si="2"/>
        <v>FA228/II/01</v>
      </c>
      <c r="F278" s="8" t="s">
        <v>556</v>
      </c>
      <c r="G278" s="41">
        <v>45027.0</v>
      </c>
      <c r="H278" s="20">
        <v>2499000.0</v>
      </c>
      <c r="I278" s="7"/>
      <c r="J278" s="43" t="s">
        <v>169</v>
      </c>
      <c r="K278" s="43" t="s">
        <v>170</v>
      </c>
      <c r="L278" s="43" t="s">
        <v>8</v>
      </c>
      <c r="M278" s="9" t="str">
        <f t="shared" si="3"/>
        <v>01</v>
      </c>
      <c r="N278" s="43" t="s">
        <v>155</v>
      </c>
      <c r="O278" s="8"/>
      <c r="P278" s="8"/>
      <c r="Q278" s="8"/>
      <c r="R278" s="43" t="s">
        <v>52</v>
      </c>
      <c r="S278" s="10"/>
    </row>
    <row r="279" ht="13.5" customHeight="1">
      <c r="A279" s="37">
        <v>274.0</v>
      </c>
      <c r="B279" s="43" t="s">
        <v>557</v>
      </c>
      <c r="C279" s="43" t="s">
        <v>11</v>
      </c>
      <c r="D279" s="39" t="str">
        <f t="shared" si="1"/>
        <v>II</v>
      </c>
      <c r="E279" s="40" t="str">
        <f t="shared" si="2"/>
        <v>FA229/II/02</v>
      </c>
      <c r="F279" s="8" t="s">
        <v>558</v>
      </c>
      <c r="G279" s="41">
        <v>45029.0</v>
      </c>
      <c r="H279" s="20">
        <v>1790200.0</v>
      </c>
      <c r="I279" s="7"/>
      <c r="J279" s="43" t="s">
        <v>138</v>
      </c>
      <c r="K279" s="43" t="s">
        <v>95</v>
      </c>
      <c r="L279" s="43" t="s">
        <v>13</v>
      </c>
      <c r="M279" s="9" t="str">
        <f t="shared" si="3"/>
        <v>02</v>
      </c>
      <c r="N279" s="8" t="s">
        <v>559</v>
      </c>
      <c r="O279" s="8"/>
      <c r="P279" s="8"/>
      <c r="Q279" s="8"/>
      <c r="R279" s="43" t="s">
        <v>52</v>
      </c>
      <c r="S279" s="10"/>
    </row>
    <row r="280" ht="13.5" customHeight="1">
      <c r="A280" s="37">
        <v>275.0</v>
      </c>
      <c r="B280" s="43" t="s">
        <v>560</v>
      </c>
      <c r="C280" s="43" t="s">
        <v>6</v>
      </c>
      <c r="D280" s="39" t="str">
        <f t="shared" si="1"/>
        <v>I</v>
      </c>
      <c r="E280" s="40" t="str">
        <f t="shared" si="2"/>
        <v>FA230/I/02</v>
      </c>
      <c r="F280" s="8" t="s">
        <v>561</v>
      </c>
      <c r="G280" s="41">
        <v>45026.0</v>
      </c>
      <c r="H280" s="20">
        <v>1585500.0</v>
      </c>
      <c r="I280" s="7"/>
      <c r="J280" s="43" t="s">
        <v>112</v>
      </c>
      <c r="K280" s="43" t="s">
        <v>95</v>
      </c>
      <c r="L280" s="43" t="s">
        <v>13</v>
      </c>
      <c r="M280" s="9" t="str">
        <f t="shared" si="3"/>
        <v>02</v>
      </c>
      <c r="N280" s="8"/>
      <c r="O280" s="8"/>
      <c r="P280" s="8"/>
      <c r="Q280" s="8"/>
      <c r="R280" s="43" t="s">
        <v>52</v>
      </c>
      <c r="S280" s="10"/>
    </row>
    <row r="281" ht="13.5" customHeight="1">
      <c r="A281" s="37">
        <v>276.0</v>
      </c>
      <c r="B281" s="38" t="s">
        <v>562</v>
      </c>
      <c r="C281" s="43" t="s">
        <v>11</v>
      </c>
      <c r="D281" s="39" t="str">
        <f t="shared" si="1"/>
        <v>II</v>
      </c>
      <c r="E281" s="40" t="str">
        <f t="shared" si="2"/>
        <v>FA231/II/01</v>
      </c>
      <c r="F281" s="8" t="s">
        <v>563</v>
      </c>
      <c r="G281" s="41">
        <v>45030.0</v>
      </c>
      <c r="H281" s="20">
        <v>584500.0</v>
      </c>
      <c r="I281" s="7"/>
      <c r="J281" s="43" t="s">
        <v>138</v>
      </c>
      <c r="K281" s="43" t="s">
        <v>95</v>
      </c>
      <c r="L281" s="38" t="s">
        <v>8</v>
      </c>
      <c r="M281" s="9" t="str">
        <f t="shared" si="3"/>
        <v>01</v>
      </c>
      <c r="N281" s="8"/>
      <c r="O281" s="8"/>
      <c r="P281" s="8"/>
      <c r="Q281" s="8"/>
      <c r="R281" s="43" t="s">
        <v>52</v>
      </c>
      <c r="S281" s="10"/>
    </row>
    <row r="282" ht="13.5" customHeight="1">
      <c r="A282" s="37">
        <v>277.0</v>
      </c>
      <c r="B282" s="43" t="s">
        <v>564</v>
      </c>
      <c r="C282" s="43" t="s">
        <v>24</v>
      </c>
      <c r="D282" s="39" t="str">
        <f t="shared" si="1"/>
        <v>V</v>
      </c>
      <c r="E282" s="40" t="str">
        <f t="shared" si="2"/>
        <v>FA232/V/02</v>
      </c>
      <c r="F282" s="8" t="s">
        <v>565</v>
      </c>
      <c r="G282" s="41">
        <v>45071.0</v>
      </c>
      <c r="H282" s="20">
        <v>1.2935E7</v>
      </c>
      <c r="I282" s="7"/>
      <c r="J282" s="43" t="s">
        <v>338</v>
      </c>
      <c r="K282" s="43" t="s">
        <v>323</v>
      </c>
      <c r="L282" s="43" t="s">
        <v>13</v>
      </c>
      <c r="M282" s="9" t="str">
        <f t="shared" si="3"/>
        <v>02</v>
      </c>
      <c r="N282" s="8" t="s">
        <v>485</v>
      </c>
      <c r="O282" s="8"/>
      <c r="P282" s="8"/>
      <c r="Q282" s="8"/>
      <c r="R282" s="43" t="s">
        <v>52</v>
      </c>
      <c r="S282" s="10"/>
    </row>
    <row r="283" ht="13.5" customHeight="1">
      <c r="A283" s="37">
        <v>278.0</v>
      </c>
      <c r="B283" s="43" t="s">
        <v>566</v>
      </c>
      <c r="C283" s="43" t="s">
        <v>24</v>
      </c>
      <c r="D283" s="39" t="str">
        <f t="shared" si="1"/>
        <v>V</v>
      </c>
      <c r="E283" s="40" t="str">
        <f t="shared" si="2"/>
        <v>FA233/V/02</v>
      </c>
      <c r="F283" s="8" t="s">
        <v>567</v>
      </c>
      <c r="G283" s="41">
        <v>45071.0</v>
      </c>
      <c r="H283" s="20">
        <v>950000.0</v>
      </c>
      <c r="I283" s="7"/>
      <c r="J283" s="43" t="s">
        <v>338</v>
      </c>
      <c r="K283" s="43" t="s">
        <v>323</v>
      </c>
      <c r="L283" s="38" t="s">
        <v>13</v>
      </c>
      <c r="M283" s="9" t="str">
        <f t="shared" si="3"/>
        <v>02</v>
      </c>
      <c r="N283" s="8" t="s">
        <v>485</v>
      </c>
      <c r="O283" s="8"/>
      <c r="P283" s="8"/>
      <c r="Q283" s="43" t="s">
        <v>568</v>
      </c>
      <c r="R283" s="43" t="s">
        <v>52</v>
      </c>
      <c r="S283" s="10"/>
    </row>
    <row r="284" ht="13.5" customHeight="1">
      <c r="A284" s="37">
        <v>279.0</v>
      </c>
      <c r="B284" s="38" t="s">
        <v>569</v>
      </c>
      <c r="C284" s="43" t="s">
        <v>16</v>
      </c>
      <c r="D284" s="39" t="str">
        <f t="shared" si="1"/>
        <v>III</v>
      </c>
      <c r="E284" s="40" t="str">
        <f t="shared" si="2"/>
        <v>FA234/III/01</v>
      </c>
      <c r="F284" s="8" t="s">
        <v>570</v>
      </c>
      <c r="G284" s="41">
        <v>45052.0</v>
      </c>
      <c r="H284" s="20">
        <v>1.0360368E7</v>
      </c>
      <c r="I284" s="7"/>
      <c r="J284" s="8" t="s">
        <v>175</v>
      </c>
      <c r="K284" s="8" t="s">
        <v>108</v>
      </c>
      <c r="L284" s="8" t="s">
        <v>8</v>
      </c>
      <c r="M284" s="9" t="str">
        <f t="shared" si="3"/>
        <v>01</v>
      </c>
      <c r="N284" s="8" t="s">
        <v>121</v>
      </c>
      <c r="O284" s="8"/>
      <c r="P284" s="8"/>
      <c r="Q284" s="8"/>
      <c r="R284" s="43" t="s">
        <v>52</v>
      </c>
      <c r="S284" s="10"/>
    </row>
    <row r="285" ht="13.5" customHeight="1">
      <c r="A285" s="37">
        <v>280.0</v>
      </c>
      <c r="B285" s="43" t="s">
        <v>571</v>
      </c>
      <c r="C285" s="43" t="s">
        <v>16</v>
      </c>
      <c r="D285" s="39" t="str">
        <f t="shared" si="1"/>
        <v>III</v>
      </c>
      <c r="E285" s="40" t="str">
        <f t="shared" si="2"/>
        <v>FA235/III/01</v>
      </c>
      <c r="F285" s="8" t="s">
        <v>572</v>
      </c>
      <c r="G285" s="31">
        <v>45052.0</v>
      </c>
      <c r="H285" s="20">
        <v>1.1801802E7</v>
      </c>
      <c r="I285" s="7"/>
      <c r="J285" s="43" t="s">
        <v>115</v>
      </c>
      <c r="K285" s="43" t="s">
        <v>116</v>
      </c>
      <c r="L285" s="40" t="s">
        <v>8</v>
      </c>
      <c r="M285" s="9" t="str">
        <f t="shared" si="3"/>
        <v>01</v>
      </c>
      <c r="N285" s="8" t="s">
        <v>121</v>
      </c>
      <c r="O285" s="8"/>
      <c r="P285" s="8"/>
      <c r="Q285" s="8"/>
      <c r="R285" s="43" t="s">
        <v>52</v>
      </c>
      <c r="S285" s="10"/>
    </row>
    <row r="286" ht="13.5" customHeight="1">
      <c r="A286" s="37">
        <v>281.0</v>
      </c>
      <c r="B286" s="43" t="s">
        <v>573</v>
      </c>
      <c r="C286" s="43" t="s">
        <v>6</v>
      </c>
      <c r="D286" s="39" t="str">
        <f t="shared" si="1"/>
        <v>I</v>
      </c>
      <c r="E286" s="40" t="str">
        <f t="shared" si="2"/>
        <v>FA236/I/01</v>
      </c>
      <c r="F286" s="8" t="s">
        <v>574</v>
      </c>
      <c r="G286" s="41">
        <v>45056.0</v>
      </c>
      <c r="H286" s="13">
        <v>1260000.0</v>
      </c>
      <c r="I286" s="7"/>
      <c r="J286" s="43" t="s">
        <v>166</v>
      </c>
      <c r="K286" s="43" t="s">
        <v>95</v>
      </c>
      <c r="L286" s="40" t="s">
        <v>8</v>
      </c>
      <c r="M286" s="9" t="str">
        <f t="shared" si="3"/>
        <v>01</v>
      </c>
      <c r="N286" s="8" t="s">
        <v>575</v>
      </c>
      <c r="O286" s="8"/>
      <c r="P286" s="8"/>
      <c r="Q286" s="8"/>
      <c r="R286" s="43" t="s">
        <v>52</v>
      </c>
      <c r="S286" s="10"/>
    </row>
    <row r="287" ht="13.5" customHeight="1">
      <c r="A287" s="37">
        <v>282.0</v>
      </c>
      <c r="B287" s="43" t="s">
        <v>576</v>
      </c>
      <c r="C287" s="43" t="s">
        <v>6</v>
      </c>
      <c r="D287" s="39" t="str">
        <f t="shared" si="1"/>
        <v>I</v>
      </c>
      <c r="E287" s="40" t="str">
        <f t="shared" si="2"/>
        <v>FA320/I/01</v>
      </c>
      <c r="F287" s="8" t="s">
        <v>574</v>
      </c>
      <c r="G287" s="41">
        <v>45056.0</v>
      </c>
      <c r="H287" s="13">
        <v>1260000.0</v>
      </c>
      <c r="I287" s="7"/>
      <c r="J287" s="43" t="s">
        <v>97</v>
      </c>
      <c r="K287" s="43" t="s">
        <v>51</v>
      </c>
      <c r="L287" s="38" t="s">
        <v>8</v>
      </c>
      <c r="M287" s="9" t="str">
        <f t="shared" si="3"/>
        <v>01</v>
      </c>
      <c r="N287" s="8"/>
      <c r="O287" s="8"/>
      <c r="P287" s="8"/>
      <c r="Q287" s="8"/>
      <c r="R287" s="43" t="s">
        <v>52</v>
      </c>
      <c r="S287" s="10"/>
    </row>
    <row r="288" ht="13.5" customHeight="1">
      <c r="A288" s="37">
        <v>283.0</v>
      </c>
      <c r="B288" s="43" t="s">
        <v>577</v>
      </c>
      <c r="C288" s="43" t="s">
        <v>6</v>
      </c>
      <c r="D288" s="39" t="str">
        <f t="shared" si="1"/>
        <v>I</v>
      </c>
      <c r="E288" s="40" t="str">
        <f t="shared" si="2"/>
        <v>FA237/I/01</v>
      </c>
      <c r="F288" s="8" t="s">
        <v>578</v>
      </c>
      <c r="G288" s="41">
        <v>45056.0</v>
      </c>
      <c r="H288" s="20">
        <v>1860100.0</v>
      </c>
      <c r="I288" s="7"/>
      <c r="J288" s="43" t="s">
        <v>110</v>
      </c>
      <c r="K288" s="43" t="s">
        <v>51</v>
      </c>
      <c r="L288" s="40" t="s">
        <v>8</v>
      </c>
      <c r="M288" s="9" t="str">
        <f t="shared" si="3"/>
        <v>01</v>
      </c>
      <c r="N288" s="8" t="s">
        <v>279</v>
      </c>
      <c r="O288" s="8"/>
      <c r="P288" s="8"/>
      <c r="Q288" s="8"/>
      <c r="R288" s="43" t="s">
        <v>52</v>
      </c>
      <c r="S288" s="10"/>
    </row>
    <row r="289" ht="13.5" customHeight="1">
      <c r="A289" s="37">
        <v>284.0</v>
      </c>
      <c r="B289" s="43" t="s">
        <v>579</v>
      </c>
      <c r="C289" s="43" t="s">
        <v>16</v>
      </c>
      <c r="D289" s="39" t="str">
        <f t="shared" si="1"/>
        <v>III</v>
      </c>
      <c r="E289" s="40" t="str">
        <f t="shared" si="2"/>
        <v>FA238/III/01</v>
      </c>
      <c r="F289" s="8" t="s">
        <v>580</v>
      </c>
      <c r="G289" s="49">
        <v>45070.0</v>
      </c>
      <c r="H289" s="20">
        <v>1.4234241E7</v>
      </c>
      <c r="I289" s="7"/>
      <c r="J289" s="8" t="s">
        <v>262</v>
      </c>
      <c r="K289" s="8" t="s">
        <v>95</v>
      </c>
      <c r="L289" s="40" t="s">
        <v>8</v>
      </c>
      <c r="M289" s="9" t="str">
        <f t="shared" si="3"/>
        <v>01</v>
      </c>
      <c r="N289" s="8" t="s">
        <v>71</v>
      </c>
      <c r="O289" s="8"/>
      <c r="P289" s="8"/>
      <c r="Q289" s="8"/>
      <c r="R289" s="43" t="s">
        <v>52</v>
      </c>
      <c r="S289" s="10"/>
    </row>
    <row r="290" ht="13.5" customHeight="1">
      <c r="A290" s="37">
        <v>285.0</v>
      </c>
      <c r="B290" s="43" t="s">
        <v>581</v>
      </c>
      <c r="C290" s="43" t="s">
        <v>11</v>
      </c>
      <c r="D290" s="39" t="str">
        <f t="shared" si="1"/>
        <v>II</v>
      </c>
      <c r="E290" s="40" t="str">
        <f t="shared" si="2"/>
        <v>FA239/II/01</v>
      </c>
      <c r="F290" s="8" t="s">
        <v>154</v>
      </c>
      <c r="G290" s="41">
        <v>45077.0</v>
      </c>
      <c r="H290" s="20">
        <v>758397.0</v>
      </c>
      <c r="I290" s="7"/>
      <c r="J290" s="43" t="s">
        <v>195</v>
      </c>
      <c r="K290" s="43" t="s">
        <v>108</v>
      </c>
      <c r="L290" s="43" t="s">
        <v>8</v>
      </c>
      <c r="M290" s="9" t="str">
        <f t="shared" si="3"/>
        <v>01</v>
      </c>
      <c r="N290" s="8" t="s">
        <v>155</v>
      </c>
      <c r="O290" s="8"/>
      <c r="P290" s="8"/>
      <c r="Q290" s="8"/>
      <c r="R290" s="43" t="s">
        <v>52</v>
      </c>
      <c r="S290" s="10"/>
    </row>
    <row r="291" ht="13.5" customHeight="1">
      <c r="A291" s="37">
        <v>286.0</v>
      </c>
      <c r="B291" s="43" t="s">
        <v>582</v>
      </c>
      <c r="C291" s="43" t="s">
        <v>11</v>
      </c>
      <c r="D291" s="39" t="str">
        <f t="shared" si="1"/>
        <v>II</v>
      </c>
      <c r="E291" s="40" t="str">
        <f t="shared" si="2"/>
        <v>FA240/II/01</v>
      </c>
      <c r="F291" s="8" t="s">
        <v>154</v>
      </c>
      <c r="G291" s="41">
        <v>45077.0</v>
      </c>
      <c r="H291" s="20">
        <v>758397.0</v>
      </c>
      <c r="I291" s="7"/>
      <c r="J291" s="43" t="s">
        <v>372</v>
      </c>
      <c r="K291" s="43" t="s">
        <v>116</v>
      </c>
      <c r="L291" s="43" t="s">
        <v>8</v>
      </c>
      <c r="M291" s="9" t="str">
        <f t="shared" si="3"/>
        <v>01</v>
      </c>
      <c r="N291" s="8" t="s">
        <v>155</v>
      </c>
      <c r="O291" s="8"/>
      <c r="P291" s="8"/>
      <c r="Q291" s="8"/>
      <c r="R291" s="43" t="s">
        <v>52</v>
      </c>
      <c r="S291" s="10"/>
    </row>
    <row r="292" ht="13.5" customHeight="1">
      <c r="A292" s="37">
        <v>287.0</v>
      </c>
      <c r="B292" s="43" t="s">
        <v>583</v>
      </c>
      <c r="C292" s="43" t="s">
        <v>11</v>
      </c>
      <c r="D292" s="39" t="str">
        <f t="shared" si="1"/>
        <v>II</v>
      </c>
      <c r="E292" s="40" t="str">
        <f t="shared" si="2"/>
        <v>FA241/II/01</v>
      </c>
      <c r="F292" s="8" t="s">
        <v>79</v>
      </c>
      <c r="G292" s="41">
        <v>45077.0</v>
      </c>
      <c r="H292" s="20">
        <v>882000.0</v>
      </c>
      <c r="I292" s="7"/>
      <c r="J292" s="43"/>
      <c r="K292" s="43" t="s">
        <v>116</v>
      </c>
      <c r="L292" s="43" t="s">
        <v>8</v>
      </c>
      <c r="M292" s="9" t="str">
        <f t="shared" si="3"/>
        <v>01</v>
      </c>
      <c r="N292" s="8" t="s">
        <v>155</v>
      </c>
      <c r="O292" s="8"/>
      <c r="P292" s="8"/>
      <c r="Q292" s="8"/>
      <c r="R292" s="43" t="s">
        <v>52</v>
      </c>
      <c r="S292" s="10"/>
    </row>
    <row r="293" ht="13.5" customHeight="1">
      <c r="A293" s="37">
        <v>288.0</v>
      </c>
      <c r="B293" s="43" t="s">
        <v>584</v>
      </c>
      <c r="C293" s="43" t="s">
        <v>11</v>
      </c>
      <c r="D293" s="39" t="str">
        <f t="shared" si="1"/>
        <v>II</v>
      </c>
      <c r="E293" s="40" t="str">
        <f t="shared" si="2"/>
        <v>FA242/II/01</v>
      </c>
      <c r="F293" s="8" t="s">
        <v>79</v>
      </c>
      <c r="G293" s="41">
        <v>45077.0</v>
      </c>
      <c r="H293" s="20">
        <v>882000.0</v>
      </c>
      <c r="I293" s="7"/>
      <c r="J293" s="43" t="s">
        <v>50</v>
      </c>
      <c r="K293" s="43" t="s">
        <v>51</v>
      </c>
      <c r="L293" s="43" t="s">
        <v>8</v>
      </c>
      <c r="M293" s="9" t="str">
        <f t="shared" si="3"/>
        <v>01</v>
      </c>
      <c r="N293" s="8" t="s">
        <v>155</v>
      </c>
      <c r="O293" s="8"/>
      <c r="P293" s="8"/>
      <c r="Q293" s="8"/>
      <c r="R293" s="43" t="s">
        <v>52</v>
      </c>
      <c r="S293" s="10"/>
    </row>
    <row r="294" ht="13.5" customHeight="1">
      <c r="A294" s="37">
        <v>289.0</v>
      </c>
      <c r="B294" s="43" t="s">
        <v>585</v>
      </c>
      <c r="C294" s="43" t="s">
        <v>21</v>
      </c>
      <c r="D294" s="39" t="str">
        <f t="shared" si="1"/>
        <v>IV</v>
      </c>
      <c r="E294" s="40" t="str">
        <f t="shared" si="2"/>
        <v>FA247/IV/02</v>
      </c>
      <c r="F294" s="8" t="s">
        <v>586</v>
      </c>
      <c r="G294" s="41">
        <v>45078.0</v>
      </c>
      <c r="H294" s="20">
        <v>1.4E8</v>
      </c>
      <c r="I294" s="7"/>
      <c r="J294" s="43" t="s">
        <v>587</v>
      </c>
      <c r="K294" s="43" t="s">
        <v>95</v>
      </c>
      <c r="L294" s="43" t="s">
        <v>13</v>
      </c>
      <c r="M294" s="9" t="str">
        <f t="shared" si="3"/>
        <v>02</v>
      </c>
      <c r="N294" s="8" t="s">
        <v>588</v>
      </c>
      <c r="O294" s="8"/>
      <c r="P294" s="8"/>
      <c r="Q294" s="8"/>
      <c r="R294" s="43" t="s">
        <v>52</v>
      </c>
      <c r="S294" s="10"/>
    </row>
    <row r="295" ht="13.5" customHeight="1">
      <c r="A295" s="37">
        <v>290.0</v>
      </c>
      <c r="B295" s="43" t="s">
        <v>589</v>
      </c>
      <c r="C295" s="43" t="s">
        <v>6</v>
      </c>
      <c r="D295" s="39" t="str">
        <f t="shared" si="1"/>
        <v>I</v>
      </c>
      <c r="E295" s="40" t="str">
        <f t="shared" si="2"/>
        <v>FA243/I/01</v>
      </c>
      <c r="F295" s="8" t="s">
        <v>590</v>
      </c>
      <c r="G295" s="41">
        <v>45084.0</v>
      </c>
      <c r="H295" s="20">
        <v>1250000.0</v>
      </c>
      <c r="I295" s="7"/>
      <c r="J295" s="43" t="s">
        <v>357</v>
      </c>
      <c r="K295" s="43" t="s">
        <v>81</v>
      </c>
      <c r="L295" s="43" t="s">
        <v>8</v>
      </c>
      <c r="M295" s="9" t="str">
        <f t="shared" si="3"/>
        <v>01</v>
      </c>
      <c r="N295" s="8" t="s">
        <v>66</v>
      </c>
      <c r="O295" s="8"/>
      <c r="P295" s="8"/>
      <c r="Q295" s="43"/>
      <c r="R295" s="43" t="s">
        <v>52</v>
      </c>
      <c r="S295" s="10"/>
    </row>
    <row r="296" ht="13.5" customHeight="1">
      <c r="A296" s="37">
        <v>291.0</v>
      </c>
      <c r="B296" s="43" t="s">
        <v>591</v>
      </c>
      <c r="C296" s="43" t="s">
        <v>24</v>
      </c>
      <c r="D296" s="39" t="str">
        <f t="shared" si="1"/>
        <v>V</v>
      </c>
      <c r="E296" s="40" t="str">
        <f t="shared" si="2"/>
        <v>FA244/V/01</v>
      </c>
      <c r="F296" s="8" t="s">
        <v>592</v>
      </c>
      <c r="G296" s="41">
        <v>42263.0</v>
      </c>
      <c r="H296" s="20">
        <v>1.6449438E8</v>
      </c>
      <c r="I296" s="7"/>
      <c r="J296" s="43" t="s">
        <v>50</v>
      </c>
      <c r="K296" s="43" t="s">
        <v>51</v>
      </c>
      <c r="L296" s="43" t="s">
        <v>8</v>
      </c>
      <c r="M296" s="9" t="str">
        <f t="shared" si="3"/>
        <v>01</v>
      </c>
      <c r="N296" s="8"/>
      <c r="O296" s="8"/>
      <c r="P296" s="8"/>
      <c r="Q296" s="8"/>
      <c r="R296" s="43" t="s">
        <v>52</v>
      </c>
      <c r="S296" s="10"/>
    </row>
    <row r="297" ht="13.5" customHeight="1">
      <c r="A297" s="37">
        <v>292.0</v>
      </c>
      <c r="B297" s="43" t="s">
        <v>593</v>
      </c>
      <c r="C297" s="43" t="s">
        <v>24</v>
      </c>
      <c r="D297" s="39" t="str">
        <f t="shared" si="1"/>
        <v>V</v>
      </c>
      <c r="E297" s="40" t="str">
        <f t="shared" si="2"/>
        <v>FA245/V/01</v>
      </c>
      <c r="F297" s="8" t="s">
        <v>594</v>
      </c>
      <c r="G297" s="41">
        <v>43090.0</v>
      </c>
      <c r="H297" s="20">
        <v>9.952866E7</v>
      </c>
      <c r="I297" s="7"/>
      <c r="J297" s="43" t="s">
        <v>50</v>
      </c>
      <c r="K297" s="43" t="s">
        <v>51</v>
      </c>
      <c r="L297" s="43" t="s">
        <v>8</v>
      </c>
      <c r="M297" s="9" t="str">
        <f t="shared" si="3"/>
        <v>01</v>
      </c>
      <c r="N297" s="8"/>
      <c r="O297" s="8"/>
      <c r="P297" s="8"/>
      <c r="Q297" s="8"/>
      <c r="R297" s="43" t="s">
        <v>52</v>
      </c>
      <c r="S297" s="10"/>
    </row>
    <row r="298" ht="13.5" customHeight="1">
      <c r="A298" s="37">
        <v>293.0</v>
      </c>
      <c r="B298" s="43" t="s">
        <v>595</v>
      </c>
      <c r="C298" s="43" t="s">
        <v>24</v>
      </c>
      <c r="D298" s="39" t="str">
        <f t="shared" si="1"/>
        <v>V</v>
      </c>
      <c r="E298" s="40" t="str">
        <f t="shared" si="2"/>
        <v>FA246/V/01</v>
      </c>
      <c r="F298" s="8" t="s">
        <v>596</v>
      </c>
      <c r="G298" s="41">
        <v>43600.0</v>
      </c>
      <c r="H298" s="20">
        <v>2.93425E8</v>
      </c>
      <c r="I298" s="7"/>
      <c r="J298" s="43" t="s">
        <v>50</v>
      </c>
      <c r="K298" s="43" t="s">
        <v>51</v>
      </c>
      <c r="L298" s="43" t="s">
        <v>8</v>
      </c>
      <c r="M298" s="9" t="str">
        <f t="shared" si="3"/>
        <v>01</v>
      </c>
      <c r="N298" s="8"/>
      <c r="O298" s="8"/>
      <c r="P298" s="8"/>
      <c r="Q298" s="8"/>
      <c r="R298" s="43" t="s">
        <v>52</v>
      </c>
      <c r="S298" s="10"/>
    </row>
    <row r="299" ht="13.5" customHeight="1">
      <c r="A299" s="37">
        <v>294.0</v>
      </c>
      <c r="B299" s="43" t="s">
        <v>597</v>
      </c>
      <c r="C299" s="43" t="s">
        <v>6</v>
      </c>
      <c r="D299" s="39" t="str">
        <f t="shared" si="1"/>
        <v>I</v>
      </c>
      <c r="E299" s="40" t="str">
        <f t="shared" si="2"/>
        <v>FA248/I/01</v>
      </c>
      <c r="F299" s="8" t="s">
        <v>598</v>
      </c>
      <c r="G299" s="41">
        <v>45097.0</v>
      </c>
      <c r="H299" s="20">
        <v>1836500.0</v>
      </c>
      <c r="I299" s="7"/>
      <c r="J299" s="43" t="s">
        <v>115</v>
      </c>
      <c r="K299" s="43" t="s">
        <v>116</v>
      </c>
      <c r="L299" s="43" t="s">
        <v>8</v>
      </c>
      <c r="M299" s="9" t="str">
        <f t="shared" si="3"/>
        <v>01</v>
      </c>
      <c r="N299" s="43" t="s">
        <v>599</v>
      </c>
      <c r="O299" s="8"/>
      <c r="P299" s="8"/>
      <c r="Q299" s="8"/>
      <c r="R299" s="43" t="s">
        <v>52</v>
      </c>
      <c r="S299" s="10"/>
    </row>
    <row r="300" ht="13.5" customHeight="1">
      <c r="A300" s="37">
        <v>295.0</v>
      </c>
      <c r="B300" s="43" t="s">
        <v>600</v>
      </c>
      <c r="C300" s="43" t="s">
        <v>24</v>
      </c>
      <c r="D300" s="39" t="str">
        <f t="shared" si="1"/>
        <v>V</v>
      </c>
      <c r="E300" s="40" t="str">
        <f t="shared" si="2"/>
        <v>FA249/V/01</v>
      </c>
      <c r="F300" s="8" t="s">
        <v>601</v>
      </c>
      <c r="G300" s="41">
        <v>45099.0</v>
      </c>
      <c r="H300" s="20">
        <v>542210.0</v>
      </c>
      <c r="I300" s="7"/>
      <c r="J300" s="43" t="s">
        <v>112</v>
      </c>
      <c r="K300" s="43" t="s">
        <v>95</v>
      </c>
      <c r="L300" s="40" t="s">
        <v>8</v>
      </c>
      <c r="M300" s="9" t="str">
        <f t="shared" si="3"/>
        <v>01</v>
      </c>
      <c r="N300" s="8" t="s">
        <v>324</v>
      </c>
      <c r="O300" s="8"/>
      <c r="P300" s="8"/>
      <c r="Q300" s="8"/>
      <c r="R300" s="43" t="s">
        <v>52</v>
      </c>
      <c r="S300" s="10"/>
    </row>
    <row r="301" ht="13.5" customHeight="1">
      <c r="A301" s="37">
        <v>296.0</v>
      </c>
      <c r="B301" s="43" t="s">
        <v>602</v>
      </c>
      <c r="C301" s="43" t="s">
        <v>11</v>
      </c>
      <c r="D301" s="39" t="str">
        <f t="shared" si="1"/>
        <v>II</v>
      </c>
      <c r="E301" s="40" t="str">
        <f t="shared" si="2"/>
        <v>FA250/II/01</v>
      </c>
      <c r="F301" s="8" t="s">
        <v>603</v>
      </c>
      <c r="G301" s="41">
        <v>45112.0</v>
      </c>
      <c r="H301" s="20">
        <v>2250000.0</v>
      </c>
      <c r="I301" s="7"/>
      <c r="J301" s="43" t="s">
        <v>169</v>
      </c>
      <c r="K301" s="43" t="s">
        <v>170</v>
      </c>
      <c r="L301" s="40" t="s">
        <v>8</v>
      </c>
      <c r="M301" s="9" t="str">
        <f t="shared" si="3"/>
        <v>01</v>
      </c>
      <c r="N301" s="8"/>
      <c r="O301" s="8"/>
      <c r="P301" s="8"/>
      <c r="Q301" s="8"/>
      <c r="R301" s="43" t="s">
        <v>52</v>
      </c>
      <c r="S301" s="10"/>
    </row>
    <row r="302" ht="13.5" customHeight="1">
      <c r="A302" s="37">
        <v>297.0</v>
      </c>
      <c r="B302" s="43" t="s">
        <v>604</v>
      </c>
      <c r="C302" s="43" t="s">
        <v>6</v>
      </c>
      <c r="D302" s="39" t="str">
        <f t="shared" si="1"/>
        <v>I</v>
      </c>
      <c r="E302" s="40" t="str">
        <f t="shared" si="2"/>
        <v>FA251/I/02</v>
      </c>
      <c r="F302" s="8" t="s">
        <v>605</v>
      </c>
      <c r="G302" s="31">
        <v>45121.0</v>
      </c>
      <c r="H302" s="20">
        <v>1500000.0</v>
      </c>
      <c r="I302" s="7"/>
      <c r="J302" s="43" t="s">
        <v>138</v>
      </c>
      <c r="K302" s="43" t="s">
        <v>95</v>
      </c>
      <c r="L302" s="43" t="s">
        <v>13</v>
      </c>
      <c r="M302" s="9" t="str">
        <f t="shared" si="3"/>
        <v>02</v>
      </c>
      <c r="N302" s="8" t="s">
        <v>606</v>
      </c>
      <c r="O302" s="8"/>
      <c r="P302" s="8"/>
      <c r="Q302" s="8"/>
      <c r="R302" s="43" t="s">
        <v>52</v>
      </c>
      <c r="S302" s="10"/>
    </row>
    <row r="303" ht="13.5" customHeight="1">
      <c r="A303" s="55">
        <v>298.0</v>
      </c>
      <c r="B303" s="62" t="s">
        <v>607</v>
      </c>
      <c r="C303" s="62" t="s">
        <v>6</v>
      </c>
      <c r="D303" s="57" t="str">
        <f t="shared" si="1"/>
        <v>I</v>
      </c>
      <c r="E303" s="58" t="str">
        <f t="shared" si="2"/>
        <v>FA252/I/01</v>
      </c>
      <c r="F303" s="63" t="s">
        <v>608</v>
      </c>
      <c r="G303" s="59">
        <v>45127.0</v>
      </c>
      <c r="H303" s="121">
        <v>627700.0</v>
      </c>
      <c r="I303" s="61"/>
      <c r="J303" s="63"/>
      <c r="K303" s="63" t="s">
        <v>51</v>
      </c>
      <c r="L303" s="62" t="s">
        <v>8</v>
      </c>
      <c r="M303" s="64" t="str">
        <f t="shared" si="3"/>
        <v>01</v>
      </c>
      <c r="N303" s="62" t="s">
        <v>609</v>
      </c>
      <c r="O303" s="63"/>
      <c r="P303" s="63"/>
      <c r="Q303" s="62" t="s">
        <v>610</v>
      </c>
      <c r="R303" s="62" t="s">
        <v>52</v>
      </c>
      <c r="S303" s="65"/>
    </row>
    <row r="304" ht="13.5" customHeight="1">
      <c r="A304" s="37">
        <v>299.0</v>
      </c>
      <c r="B304" s="43" t="s">
        <v>611</v>
      </c>
      <c r="C304" s="43" t="s">
        <v>11</v>
      </c>
      <c r="D304" s="39" t="str">
        <f t="shared" si="1"/>
        <v>II</v>
      </c>
      <c r="E304" s="40" t="str">
        <f t="shared" si="2"/>
        <v>FA253/II/02</v>
      </c>
      <c r="F304" s="8" t="s">
        <v>612</v>
      </c>
      <c r="G304" s="41">
        <v>45127.0</v>
      </c>
      <c r="H304" s="20">
        <v>697600.0</v>
      </c>
      <c r="I304" s="7"/>
      <c r="J304" s="43" t="s">
        <v>138</v>
      </c>
      <c r="K304" s="43" t="s">
        <v>95</v>
      </c>
      <c r="L304" s="43" t="s">
        <v>13</v>
      </c>
      <c r="M304" s="9" t="str">
        <f t="shared" si="3"/>
        <v>02</v>
      </c>
      <c r="N304" s="8"/>
      <c r="O304" s="8"/>
      <c r="P304" s="8"/>
      <c r="Q304" s="8"/>
      <c r="R304" s="43" t="s">
        <v>52</v>
      </c>
      <c r="S304" s="10"/>
    </row>
    <row r="305" ht="13.5" customHeight="1">
      <c r="A305" s="37">
        <v>300.0</v>
      </c>
      <c r="B305" s="43" t="s">
        <v>613</v>
      </c>
      <c r="C305" s="43" t="s">
        <v>11</v>
      </c>
      <c r="D305" s="39" t="str">
        <f t="shared" si="1"/>
        <v>II</v>
      </c>
      <c r="E305" s="40" t="str">
        <f t="shared" si="2"/>
        <v>FA254/II/02</v>
      </c>
      <c r="F305" s="8" t="s">
        <v>614</v>
      </c>
      <c r="G305" s="31">
        <v>45129.0</v>
      </c>
      <c r="H305" s="20">
        <v>1399000.0</v>
      </c>
      <c r="I305" s="7"/>
      <c r="J305" s="43" t="s">
        <v>138</v>
      </c>
      <c r="K305" s="43" t="s">
        <v>95</v>
      </c>
      <c r="L305" s="43" t="s">
        <v>13</v>
      </c>
      <c r="M305" s="9" t="str">
        <f t="shared" si="3"/>
        <v>02</v>
      </c>
      <c r="N305" s="8"/>
      <c r="O305" s="8"/>
      <c r="P305" s="8"/>
      <c r="Q305" s="8"/>
      <c r="R305" s="43" t="s">
        <v>52</v>
      </c>
      <c r="S305" s="10"/>
    </row>
    <row r="306" ht="13.5" customHeight="1">
      <c r="A306" s="37">
        <v>301.0</v>
      </c>
      <c r="B306" s="43" t="s">
        <v>615</v>
      </c>
      <c r="C306" s="43" t="s">
        <v>6</v>
      </c>
      <c r="D306" s="39" t="str">
        <f t="shared" si="1"/>
        <v>I</v>
      </c>
      <c r="E306" s="40" t="str">
        <f t="shared" si="2"/>
        <v>FA255/I/01</v>
      </c>
      <c r="F306" s="8" t="s">
        <v>616</v>
      </c>
      <c r="G306" s="41">
        <v>45135.0</v>
      </c>
      <c r="H306" s="20">
        <v>538450.0</v>
      </c>
      <c r="I306" s="7"/>
      <c r="J306" s="43" t="s">
        <v>112</v>
      </c>
      <c r="K306" s="43" t="s">
        <v>95</v>
      </c>
      <c r="L306" s="43" t="s">
        <v>8</v>
      </c>
      <c r="M306" s="9" t="str">
        <f t="shared" si="3"/>
        <v>01</v>
      </c>
      <c r="N306" s="8" t="s">
        <v>617</v>
      </c>
      <c r="O306" s="8"/>
      <c r="P306" s="8"/>
      <c r="Q306" s="8"/>
      <c r="R306" s="43" t="s">
        <v>52</v>
      </c>
      <c r="S306" s="10"/>
    </row>
    <row r="307" ht="13.5" customHeight="1">
      <c r="A307" s="37">
        <v>302.0</v>
      </c>
      <c r="B307" s="43" t="s">
        <v>618</v>
      </c>
      <c r="C307" s="43" t="s">
        <v>11</v>
      </c>
      <c r="D307" s="39" t="str">
        <f t="shared" si="1"/>
        <v>II</v>
      </c>
      <c r="E307" s="40" t="str">
        <f t="shared" si="2"/>
        <v>FA256/II/02</v>
      </c>
      <c r="F307" s="8" t="s">
        <v>619</v>
      </c>
      <c r="G307" s="31">
        <v>45135.0</v>
      </c>
      <c r="H307" s="20">
        <v>531600.0</v>
      </c>
      <c r="I307" s="7"/>
      <c r="J307" s="43" t="s">
        <v>138</v>
      </c>
      <c r="K307" s="43" t="s">
        <v>95</v>
      </c>
      <c r="L307" s="43" t="s">
        <v>13</v>
      </c>
      <c r="M307" s="9" t="str">
        <f t="shared" si="3"/>
        <v>02</v>
      </c>
      <c r="N307" s="8"/>
      <c r="O307" s="8"/>
      <c r="P307" s="8"/>
      <c r="Q307" s="8"/>
      <c r="R307" s="43" t="s">
        <v>52</v>
      </c>
      <c r="S307" s="10"/>
    </row>
    <row r="308" ht="13.5" customHeight="1">
      <c r="A308" s="45">
        <v>303.0</v>
      </c>
      <c r="B308" s="53" t="s">
        <v>620</v>
      </c>
      <c r="C308" s="53" t="s">
        <v>24</v>
      </c>
      <c r="D308" s="47" t="str">
        <f t="shared" si="1"/>
        <v>V</v>
      </c>
      <c r="E308" s="48" t="str">
        <f t="shared" si="2"/>
        <v>FA257/V/02</v>
      </c>
      <c r="F308" s="52" t="s">
        <v>621</v>
      </c>
      <c r="G308" s="49">
        <v>45135.0</v>
      </c>
      <c r="H308" s="120">
        <v>398634.0</v>
      </c>
      <c r="I308" s="51"/>
      <c r="J308" s="52"/>
      <c r="K308" s="53" t="s">
        <v>622</v>
      </c>
      <c r="L308" s="53" t="s">
        <v>13</v>
      </c>
      <c r="M308" s="15" t="str">
        <f t="shared" si="3"/>
        <v>02</v>
      </c>
      <c r="N308" s="52" t="s">
        <v>623</v>
      </c>
      <c r="O308" s="52"/>
      <c r="P308" s="52"/>
      <c r="Q308" s="52"/>
      <c r="R308" s="53" t="s">
        <v>10</v>
      </c>
      <c r="S308" s="54"/>
    </row>
    <row r="309" ht="13.5" customHeight="1">
      <c r="A309" s="37">
        <v>304.0</v>
      </c>
      <c r="B309" s="43" t="s">
        <v>624</v>
      </c>
      <c r="C309" s="43" t="s">
        <v>24</v>
      </c>
      <c r="D309" s="39" t="str">
        <f t="shared" si="1"/>
        <v>V</v>
      </c>
      <c r="E309" s="40" t="str">
        <f t="shared" si="2"/>
        <v>FA258/V/02</v>
      </c>
      <c r="F309" s="8" t="s">
        <v>625</v>
      </c>
      <c r="G309" s="41">
        <v>45135.0</v>
      </c>
      <c r="H309" s="20">
        <v>1074900.0</v>
      </c>
      <c r="I309" s="7"/>
      <c r="J309" s="43" t="s">
        <v>138</v>
      </c>
      <c r="K309" s="43" t="s">
        <v>95</v>
      </c>
      <c r="L309" s="43" t="s">
        <v>13</v>
      </c>
      <c r="M309" s="9" t="str">
        <f t="shared" si="3"/>
        <v>02</v>
      </c>
      <c r="N309" s="8" t="s">
        <v>626</v>
      </c>
      <c r="O309" s="8"/>
      <c r="P309" s="8"/>
      <c r="Q309" s="8"/>
      <c r="R309" s="43" t="s">
        <v>52</v>
      </c>
      <c r="S309" s="10"/>
    </row>
    <row r="310" ht="13.5" customHeight="1">
      <c r="A310" s="37">
        <v>305.0</v>
      </c>
      <c r="B310" s="43" t="s">
        <v>627</v>
      </c>
      <c r="C310" s="43" t="s">
        <v>11</v>
      </c>
      <c r="D310" s="39" t="str">
        <f t="shared" si="1"/>
        <v>II</v>
      </c>
      <c r="E310" s="40" t="str">
        <f t="shared" si="2"/>
        <v>FA259/II/02</v>
      </c>
      <c r="F310" s="8" t="s">
        <v>628</v>
      </c>
      <c r="G310" s="41">
        <v>45134.0</v>
      </c>
      <c r="H310" s="20">
        <v>999000.0</v>
      </c>
      <c r="I310" s="7"/>
      <c r="J310" s="43"/>
      <c r="K310" s="43" t="s">
        <v>95</v>
      </c>
      <c r="L310" s="43" t="s">
        <v>13</v>
      </c>
      <c r="M310" s="9" t="str">
        <f t="shared" si="3"/>
        <v>02</v>
      </c>
      <c r="N310" s="8" t="s">
        <v>155</v>
      </c>
      <c r="O310" s="8"/>
      <c r="P310" s="8"/>
      <c r="Q310" s="8"/>
      <c r="R310" s="43" t="s">
        <v>52</v>
      </c>
      <c r="S310" s="10"/>
    </row>
    <row r="311" ht="13.5" customHeight="1">
      <c r="A311" s="37">
        <v>306.0</v>
      </c>
      <c r="B311" s="43" t="s">
        <v>629</v>
      </c>
      <c r="C311" s="43" t="s">
        <v>11</v>
      </c>
      <c r="D311" s="39" t="str">
        <f t="shared" si="1"/>
        <v>II</v>
      </c>
      <c r="E311" s="40" t="str">
        <f t="shared" si="2"/>
        <v>FA260/II/02</v>
      </c>
      <c r="F311" s="8" t="s">
        <v>628</v>
      </c>
      <c r="G311" s="41">
        <v>45134.0</v>
      </c>
      <c r="H311" s="20">
        <v>999000.0</v>
      </c>
      <c r="I311" s="7"/>
      <c r="J311" s="43"/>
      <c r="K311" s="43" t="s">
        <v>95</v>
      </c>
      <c r="L311" s="43" t="s">
        <v>13</v>
      </c>
      <c r="M311" s="9" t="str">
        <f t="shared" si="3"/>
        <v>02</v>
      </c>
      <c r="N311" s="8" t="s">
        <v>155</v>
      </c>
      <c r="O311" s="8"/>
      <c r="P311" s="8"/>
      <c r="Q311" s="8"/>
      <c r="R311" s="43" t="s">
        <v>52</v>
      </c>
      <c r="S311" s="10"/>
    </row>
    <row r="312" ht="13.5" customHeight="1">
      <c r="A312" s="37">
        <v>307.0</v>
      </c>
      <c r="B312" s="43" t="s">
        <v>630</v>
      </c>
      <c r="C312" s="43" t="s">
        <v>11</v>
      </c>
      <c r="D312" s="39" t="str">
        <f t="shared" si="1"/>
        <v>II</v>
      </c>
      <c r="E312" s="40" t="str">
        <f t="shared" si="2"/>
        <v>FA261/II/02</v>
      </c>
      <c r="F312" s="8" t="s">
        <v>631</v>
      </c>
      <c r="G312" s="31">
        <v>45133.0</v>
      </c>
      <c r="H312" s="20">
        <v>379000.0</v>
      </c>
      <c r="I312" s="7"/>
      <c r="J312" s="43"/>
      <c r="K312" s="43" t="s">
        <v>95</v>
      </c>
      <c r="L312" s="43" t="s">
        <v>13</v>
      </c>
      <c r="M312" s="9" t="str">
        <f t="shared" si="3"/>
        <v>02</v>
      </c>
      <c r="N312" s="8" t="s">
        <v>155</v>
      </c>
      <c r="O312" s="8"/>
      <c r="P312" s="8"/>
      <c r="Q312" s="8"/>
      <c r="R312" s="43" t="s">
        <v>52</v>
      </c>
      <c r="S312" s="10"/>
    </row>
    <row r="313" ht="13.5" customHeight="1">
      <c r="A313" s="37">
        <v>308.0</v>
      </c>
      <c r="B313" s="43" t="s">
        <v>632</v>
      </c>
      <c r="C313" s="43" t="s">
        <v>11</v>
      </c>
      <c r="D313" s="39" t="str">
        <f t="shared" si="1"/>
        <v>II</v>
      </c>
      <c r="E313" s="40" t="str">
        <f t="shared" si="2"/>
        <v>FA262/II/02</v>
      </c>
      <c r="F313" s="8" t="s">
        <v>631</v>
      </c>
      <c r="G313" s="41">
        <v>45133.0</v>
      </c>
      <c r="H313" s="20">
        <v>379000.0</v>
      </c>
      <c r="I313" s="7"/>
      <c r="J313" s="43"/>
      <c r="K313" s="43" t="s">
        <v>95</v>
      </c>
      <c r="L313" s="43" t="s">
        <v>13</v>
      </c>
      <c r="M313" s="9" t="str">
        <f t="shared" si="3"/>
        <v>02</v>
      </c>
      <c r="N313" s="8" t="s">
        <v>155</v>
      </c>
      <c r="O313" s="8"/>
      <c r="P313" s="8"/>
      <c r="Q313" s="8"/>
      <c r="R313" s="43" t="s">
        <v>52</v>
      </c>
      <c r="S313" s="10"/>
    </row>
    <row r="314" ht="13.5" customHeight="1">
      <c r="A314" s="37">
        <v>309.0</v>
      </c>
      <c r="B314" s="43" t="s">
        <v>633</v>
      </c>
      <c r="C314" s="43" t="s">
        <v>11</v>
      </c>
      <c r="D314" s="39" t="str">
        <f t="shared" si="1"/>
        <v>II</v>
      </c>
      <c r="E314" s="40" t="str">
        <f t="shared" si="2"/>
        <v>FA263/II/02</v>
      </c>
      <c r="F314" s="8" t="s">
        <v>631</v>
      </c>
      <c r="G314" s="31">
        <v>45133.0</v>
      </c>
      <c r="H314" s="20">
        <v>379000.0</v>
      </c>
      <c r="I314" s="7"/>
      <c r="J314" s="43"/>
      <c r="K314" s="43" t="s">
        <v>95</v>
      </c>
      <c r="L314" s="43" t="s">
        <v>13</v>
      </c>
      <c r="M314" s="9" t="str">
        <f t="shared" si="3"/>
        <v>02</v>
      </c>
      <c r="N314" s="8" t="s">
        <v>155</v>
      </c>
      <c r="O314" s="8"/>
      <c r="P314" s="8"/>
      <c r="Q314" s="8"/>
      <c r="R314" s="43" t="s">
        <v>52</v>
      </c>
      <c r="S314" s="10"/>
    </row>
    <row r="315" ht="13.5" customHeight="1">
      <c r="A315" s="37">
        <v>310.0</v>
      </c>
      <c r="B315" s="43" t="s">
        <v>634</v>
      </c>
      <c r="C315" s="43" t="s">
        <v>11</v>
      </c>
      <c r="D315" s="39" t="str">
        <f t="shared" si="1"/>
        <v>II</v>
      </c>
      <c r="E315" s="40" t="str">
        <f t="shared" si="2"/>
        <v>FA264/II/02</v>
      </c>
      <c r="F315" s="8" t="s">
        <v>631</v>
      </c>
      <c r="G315" s="31">
        <v>45133.0</v>
      </c>
      <c r="H315" s="20">
        <v>379000.0</v>
      </c>
      <c r="I315" s="7"/>
      <c r="J315" s="43"/>
      <c r="K315" s="43" t="s">
        <v>95</v>
      </c>
      <c r="L315" s="43" t="s">
        <v>13</v>
      </c>
      <c r="M315" s="9" t="str">
        <f t="shared" si="3"/>
        <v>02</v>
      </c>
      <c r="N315" s="8" t="s">
        <v>155</v>
      </c>
      <c r="O315" s="8"/>
      <c r="P315" s="8"/>
      <c r="Q315" s="8"/>
      <c r="R315" s="43" t="s">
        <v>52</v>
      </c>
      <c r="S315" s="10"/>
    </row>
    <row r="316" ht="13.5" customHeight="1">
      <c r="A316" s="37">
        <v>311.0</v>
      </c>
      <c r="B316" s="43" t="s">
        <v>635</v>
      </c>
      <c r="C316" s="43" t="s">
        <v>11</v>
      </c>
      <c r="D316" s="39" t="str">
        <f t="shared" si="1"/>
        <v>II</v>
      </c>
      <c r="E316" s="40" t="str">
        <f t="shared" si="2"/>
        <v>FA265/II/02</v>
      </c>
      <c r="F316" s="8" t="s">
        <v>631</v>
      </c>
      <c r="G316" s="41">
        <v>45133.0</v>
      </c>
      <c r="H316" s="20">
        <v>379000.0</v>
      </c>
      <c r="I316" s="7"/>
      <c r="J316" s="43"/>
      <c r="K316" s="43" t="s">
        <v>95</v>
      </c>
      <c r="L316" s="43" t="s">
        <v>13</v>
      </c>
      <c r="M316" s="9" t="str">
        <f t="shared" si="3"/>
        <v>02</v>
      </c>
      <c r="N316" s="8" t="s">
        <v>155</v>
      </c>
      <c r="O316" s="8"/>
      <c r="P316" s="8"/>
      <c r="Q316" s="8"/>
      <c r="R316" s="43" t="s">
        <v>52</v>
      </c>
      <c r="S316" s="10"/>
    </row>
    <row r="317" ht="13.5" customHeight="1">
      <c r="A317" s="37">
        <v>312.0</v>
      </c>
      <c r="B317" s="43" t="s">
        <v>636</v>
      </c>
      <c r="C317" s="43" t="s">
        <v>11</v>
      </c>
      <c r="D317" s="39" t="str">
        <f t="shared" si="1"/>
        <v>II</v>
      </c>
      <c r="E317" s="40" t="str">
        <f t="shared" si="2"/>
        <v>FA266/II/02</v>
      </c>
      <c r="F317" s="8" t="s">
        <v>631</v>
      </c>
      <c r="G317" s="41">
        <v>45133.0</v>
      </c>
      <c r="H317" s="20">
        <v>379000.0</v>
      </c>
      <c r="I317" s="7"/>
      <c r="J317" s="43"/>
      <c r="K317" s="43" t="s">
        <v>95</v>
      </c>
      <c r="L317" s="43" t="s">
        <v>13</v>
      </c>
      <c r="M317" s="9" t="str">
        <f t="shared" si="3"/>
        <v>02</v>
      </c>
      <c r="N317" s="8" t="s">
        <v>155</v>
      </c>
      <c r="O317" s="8"/>
      <c r="P317" s="8"/>
      <c r="Q317" s="8"/>
      <c r="R317" s="43" t="s">
        <v>52</v>
      </c>
      <c r="S317" s="10"/>
    </row>
    <row r="318" ht="13.5" customHeight="1">
      <c r="A318" s="37">
        <v>313.0</v>
      </c>
      <c r="B318" s="43" t="s">
        <v>637</v>
      </c>
      <c r="C318" s="43" t="s">
        <v>11</v>
      </c>
      <c r="D318" s="39" t="str">
        <f t="shared" si="1"/>
        <v>II</v>
      </c>
      <c r="E318" s="40" t="str">
        <f t="shared" si="2"/>
        <v>FA267/II/02</v>
      </c>
      <c r="F318" s="8" t="s">
        <v>631</v>
      </c>
      <c r="G318" s="41">
        <v>45133.0</v>
      </c>
      <c r="H318" s="20">
        <v>379000.0</v>
      </c>
      <c r="I318" s="7"/>
      <c r="J318" s="43"/>
      <c r="K318" s="43" t="s">
        <v>95</v>
      </c>
      <c r="L318" s="43" t="s">
        <v>13</v>
      </c>
      <c r="M318" s="9" t="str">
        <f t="shared" si="3"/>
        <v>02</v>
      </c>
      <c r="N318" s="8" t="s">
        <v>155</v>
      </c>
      <c r="O318" s="8"/>
      <c r="P318" s="8"/>
      <c r="Q318" s="8"/>
      <c r="R318" s="43" t="s">
        <v>52</v>
      </c>
      <c r="S318" s="10"/>
    </row>
    <row r="319" ht="13.5" customHeight="1">
      <c r="A319" s="37">
        <v>314.0</v>
      </c>
      <c r="B319" s="43" t="s">
        <v>638</v>
      </c>
      <c r="C319" s="43" t="s">
        <v>11</v>
      </c>
      <c r="D319" s="39" t="str">
        <f t="shared" si="1"/>
        <v>II</v>
      </c>
      <c r="E319" s="40" t="str">
        <f t="shared" si="2"/>
        <v>FA268/II/02</v>
      </c>
      <c r="F319" s="8" t="s">
        <v>631</v>
      </c>
      <c r="G319" s="41">
        <v>45133.0</v>
      </c>
      <c r="H319" s="20">
        <v>379000.0</v>
      </c>
      <c r="I319" s="7"/>
      <c r="J319" s="43"/>
      <c r="K319" s="43" t="s">
        <v>95</v>
      </c>
      <c r="L319" s="43" t="s">
        <v>13</v>
      </c>
      <c r="M319" s="9" t="str">
        <f t="shared" si="3"/>
        <v>02</v>
      </c>
      <c r="N319" s="8" t="s">
        <v>155</v>
      </c>
      <c r="O319" s="8"/>
      <c r="P319" s="8"/>
      <c r="Q319" s="8"/>
      <c r="R319" s="43" t="s">
        <v>52</v>
      </c>
      <c r="S319" s="10"/>
    </row>
    <row r="320" ht="13.5" customHeight="1">
      <c r="A320" s="37">
        <v>315.0</v>
      </c>
      <c r="B320" s="43" t="s">
        <v>639</v>
      </c>
      <c r="C320" s="43" t="s">
        <v>11</v>
      </c>
      <c r="D320" s="39" t="str">
        <f t="shared" si="1"/>
        <v>II</v>
      </c>
      <c r="E320" s="40" t="str">
        <f t="shared" si="2"/>
        <v>FA269/II/02</v>
      </c>
      <c r="F320" s="8" t="s">
        <v>631</v>
      </c>
      <c r="G320" s="41">
        <v>45133.0</v>
      </c>
      <c r="H320" s="20">
        <v>379000.0</v>
      </c>
      <c r="I320" s="7"/>
      <c r="J320" s="43"/>
      <c r="K320" s="43" t="s">
        <v>95</v>
      </c>
      <c r="L320" s="43" t="s">
        <v>13</v>
      </c>
      <c r="M320" s="9" t="str">
        <f t="shared" si="3"/>
        <v>02</v>
      </c>
      <c r="N320" s="8" t="s">
        <v>155</v>
      </c>
      <c r="O320" s="8"/>
      <c r="P320" s="8"/>
      <c r="Q320" s="8"/>
      <c r="R320" s="43" t="s">
        <v>52</v>
      </c>
      <c r="S320" s="10"/>
    </row>
    <row r="321" ht="13.5" customHeight="1">
      <c r="A321" s="37">
        <v>316.0</v>
      </c>
      <c r="B321" s="43" t="s">
        <v>640</v>
      </c>
      <c r="C321" s="43" t="s">
        <v>11</v>
      </c>
      <c r="D321" s="39" t="str">
        <f t="shared" si="1"/>
        <v>II</v>
      </c>
      <c r="E321" s="40" t="str">
        <f t="shared" si="2"/>
        <v>FA270/II/02</v>
      </c>
      <c r="F321" s="8" t="s">
        <v>631</v>
      </c>
      <c r="G321" s="90">
        <v>45133.0</v>
      </c>
      <c r="H321" s="20">
        <v>379000.0</v>
      </c>
      <c r="I321" s="7"/>
      <c r="J321" s="43"/>
      <c r="K321" s="43" t="s">
        <v>95</v>
      </c>
      <c r="L321" s="43" t="s">
        <v>13</v>
      </c>
      <c r="M321" s="9" t="str">
        <f t="shared" si="3"/>
        <v>02</v>
      </c>
      <c r="N321" s="8" t="s">
        <v>155</v>
      </c>
      <c r="O321" s="8"/>
      <c r="P321" s="8"/>
      <c r="Q321" s="8"/>
      <c r="R321" s="43" t="s">
        <v>52</v>
      </c>
      <c r="S321" s="10"/>
    </row>
    <row r="322" ht="13.5" customHeight="1">
      <c r="A322" s="37">
        <v>317.0</v>
      </c>
      <c r="B322" s="43" t="s">
        <v>641</v>
      </c>
      <c r="C322" s="43" t="s">
        <v>11</v>
      </c>
      <c r="D322" s="39" t="str">
        <f t="shared" si="1"/>
        <v>II</v>
      </c>
      <c r="E322" s="40" t="str">
        <f t="shared" si="2"/>
        <v>FA271/II/02</v>
      </c>
      <c r="F322" s="8" t="s">
        <v>631</v>
      </c>
      <c r="G322" s="41">
        <v>45133.0</v>
      </c>
      <c r="H322" s="20">
        <v>379000.0</v>
      </c>
      <c r="I322" s="7"/>
      <c r="J322" s="43"/>
      <c r="K322" s="43" t="s">
        <v>95</v>
      </c>
      <c r="L322" s="43" t="s">
        <v>13</v>
      </c>
      <c r="M322" s="9" t="str">
        <f t="shared" si="3"/>
        <v>02</v>
      </c>
      <c r="N322" s="8" t="s">
        <v>155</v>
      </c>
      <c r="O322" s="8"/>
      <c r="P322" s="8"/>
      <c r="Q322" s="8"/>
      <c r="R322" s="43" t="s">
        <v>52</v>
      </c>
      <c r="S322" s="10"/>
    </row>
    <row r="323" ht="13.5" customHeight="1">
      <c r="A323" s="37">
        <v>318.0</v>
      </c>
      <c r="B323" s="43" t="s">
        <v>642</v>
      </c>
      <c r="C323" s="43" t="s">
        <v>11</v>
      </c>
      <c r="D323" s="39" t="str">
        <f t="shared" si="1"/>
        <v>II</v>
      </c>
      <c r="E323" s="40" t="str">
        <f t="shared" si="2"/>
        <v>FA272/II/02</v>
      </c>
      <c r="F323" s="8" t="s">
        <v>631</v>
      </c>
      <c r="G323" s="117">
        <v>45133.0</v>
      </c>
      <c r="H323" s="20">
        <v>379000.0</v>
      </c>
      <c r="I323" s="7"/>
      <c r="J323" s="43"/>
      <c r="K323" s="43" t="s">
        <v>95</v>
      </c>
      <c r="L323" s="43" t="s">
        <v>13</v>
      </c>
      <c r="M323" s="9" t="str">
        <f t="shared" si="3"/>
        <v>02</v>
      </c>
      <c r="N323" s="8" t="s">
        <v>155</v>
      </c>
      <c r="O323" s="8"/>
      <c r="P323" s="8"/>
      <c r="Q323" s="8"/>
      <c r="R323" s="43" t="s">
        <v>52</v>
      </c>
      <c r="S323" s="10"/>
    </row>
    <row r="324" ht="13.5" customHeight="1">
      <c r="A324" s="37">
        <v>319.0</v>
      </c>
      <c r="B324" s="43" t="s">
        <v>643</v>
      </c>
      <c r="C324" s="43" t="s">
        <v>11</v>
      </c>
      <c r="D324" s="39" t="str">
        <f t="shared" si="1"/>
        <v>II</v>
      </c>
      <c r="E324" s="40" t="str">
        <f t="shared" si="2"/>
        <v>FA273/II/02</v>
      </c>
      <c r="F324" s="8" t="s">
        <v>631</v>
      </c>
      <c r="G324" s="41">
        <v>45133.0</v>
      </c>
      <c r="H324" s="20">
        <v>379000.0</v>
      </c>
      <c r="I324" s="7"/>
      <c r="J324" s="43"/>
      <c r="K324" s="43" t="s">
        <v>95</v>
      </c>
      <c r="L324" s="43" t="s">
        <v>13</v>
      </c>
      <c r="M324" s="9" t="str">
        <f t="shared" si="3"/>
        <v>02</v>
      </c>
      <c r="N324" s="8" t="s">
        <v>155</v>
      </c>
      <c r="O324" s="8"/>
      <c r="P324" s="8"/>
      <c r="Q324" s="8"/>
      <c r="R324" s="43" t="s">
        <v>52</v>
      </c>
      <c r="S324" s="10"/>
    </row>
    <row r="325" ht="13.5" customHeight="1">
      <c r="A325" s="37">
        <v>320.0</v>
      </c>
      <c r="B325" s="43" t="s">
        <v>644</v>
      </c>
      <c r="C325" s="43" t="s">
        <v>11</v>
      </c>
      <c r="D325" s="39" t="str">
        <f t="shared" si="1"/>
        <v>II</v>
      </c>
      <c r="E325" s="40" t="str">
        <f t="shared" si="2"/>
        <v>FA274/II/02</v>
      </c>
      <c r="F325" s="8" t="s">
        <v>631</v>
      </c>
      <c r="G325" s="41">
        <v>45133.0</v>
      </c>
      <c r="H325" s="20">
        <v>379000.0</v>
      </c>
      <c r="I325" s="7"/>
      <c r="J325" s="43"/>
      <c r="K325" s="43" t="s">
        <v>95</v>
      </c>
      <c r="L325" s="43" t="s">
        <v>13</v>
      </c>
      <c r="M325" s="9" t="str">
        <f t="shared" si="3"/>
        <v>02</v>
      </c>
      <c r="N325" s="8" t="s">
        <v>155</v>
      </c>
      <c r="O325" s="8"/>
      <c r="P325" s="8"/>
      <c r="Q325" s="8"/>
      <c r="R325" s="43" t="s">
        <v>52</v>
      </c>
      <c r="S325" s="10"/>
    </row>
    <row r="326" ht="13.5" customHeight="1">
      <c r="A326" s="37">
        <v>321.0</v>
      </c>
      <c r="B326" s="43" t="s">
        <v>645</v>
      </c>
      <c r="C326" s="43" t="s">
        <v>11</v>
      </c>
      <c r="D326" s="39" t="str">
        <f t="shared" si="1"/>
        <v>II</v>
      </c>
      <c r="E326" s="40" t="str">
        <f t="shared" si="2"/>
        <v>FA275/II/02</v>
      </c>
      <c r="F326" s="8" t="s">
        <v>631</v>
      </c>
      <c r="G326" s="41">
        <v>45133.0</v>
      </c>
      <c r="H326" s="20">
        <v>379000.0</v>
      </c>
      <c r="I326" s="7"/>
      <c r="J326" s="43"/>
      <c r="K326" s="43" t="s">
        <v>95</v>
      </c>
      <c r="L326" s="43" t="s">
        <v>13</v>
      </c>
      <c r="M326" s="9" t="str">
        <f t="shared" si="3"/>
        <v>02</v>
      </c>
      <c r="N326" s="8" t="s">
        <v>155</v>
      </c>
      <c r="O326" s="8"/>
      <c r="P326" s="8"/>
      <c r="Q326" s="8"/>
      <c r="R326" s="43" t="s">
        <v>52</v>
      </c>
      <c r="S326" s="10"/>
    </row>
    <row r="327" ht="13.5" customHeight="1">
      <c r="A327" s="37">
        <v>322.0</v>
      </c>
      <c r="B327" s="43" t="s">
        <v>646</v>
      </c>
      <c r="C327" s="43" t="s">
        <v>11</v>
      </c>
      <c r="D327" s="39" t="str">
        <f t="shared" si="1"/>
        <v>II</v>
      </c>
      <c r="E327" s="40" t="str">
        <f t="shared" si="2"/>
        <v>FA276/II/02</v>
      </c>
      <c r="F327" s="8" t="s">
        <v>647</v>
      </c>
      <c r="G327" s="41">
        <v>45134.0</v>
      </c>
      <c r="H327" s="20">
        <v>3200000.0</v>
      </c>
      <c r="I327" s="7"/>
      <c r="J327" s="43"/>
      <c r="K327" s="43" t="s">
        <v>95</v>
      </c>
      <c r="L327" s="43" t="s">
        <v>13</v>
      </c>
      <c r="M327" s="9" t="str">
        <f t="shared" si="3"/>
        <v>02</v>
      </c>
      <c r="N327" s="8" t="s">
        <v>155</v>
      </c>
      <c r="O327" s="8"/>
      <c r="P327" s="8"/>
      <c r="Q327" s="8"/>
      <c r="R327" s="43" t="s">
        <v>52</v>
      </c>
      <c r="S327" s="10"/>
    </row>
    <row r="328" ht="13.5" customHeight="1">
      <c r="A328" s="37">
        <v>323.0</v>
      </c>
      <c r="B328" s="43" t="s">
        <v>648</v>
      </c>
      <c r="C328" s="43" t="s">
        <v>11</v>
      </c>
      <c r="D328" s="39" t="str">
        <f t="shared" si="1"/>
        <v>II</v>
      </c>
      <c r="E328" s="40" t="str">
        <f t="shared" si="2"/>
        <v>FA277/II/02</v>
      </c>
      <c r="F328" s="8" t="s">
        <v>649</v>
      </c>
      <c r="G328" s="41">
        <v>45134.0</v>
      </c>
      <c r="H328" s="20">
        <v>599000.0</v>
      </c>
      <c r="I328" s="7"/>
      <c r="J328" s="43"/>
      <c r="K328" s="43" t="s">
        <v>95</v>
      </c>
      <c r="L328" s="43" t="s">
        <v>13</v>
      </c>
      <c r="M328" s="9" t="str">
        <f t="shared" si="3"/>
        <v>02</v>
      </c>
      <c r="N328" s="8" t="s">
        <v>155</v>
      </c>
      <c r="O328" s="8"/>
      <c r="P328" s="8"/>
      <c r="Q328" s="8"/>
      <c r="R328" s="43" t="s">
        <v>52</v>
      </c>
      <c r="S328" s="10"/>
    </row>
    <row r="329" ht="13.5" customHeight="1">
      <c r="A329" s="37">
        <v>324.0</v>
      </c>
      <c r="B329" s="43" t="s">
        <v>650</v>
      </c>
      <c r="C329" s="43" t="s">
        <v>11</v>
      </c>
      <c r="D329" s="39" t="str">
        <f t="shared" si="1"/>
        <v>II</v>
      </c>
      <c r="E329" s="40" t="str">
        <f t="shared" si="2"/>
        <v>FA278/II/02</v>
      </c>
      <c r="F329" s="8" t="s">
        <v>651</v>
      </c>
      <c r="G329" s="41">
        <v>45134.0</v>
      </c>
      <c r="H329" s="20">
        <v>1799000.0</v>
      </c>
      <c r="I329" s="7"/>
      <c r="J329" s="43"/>
      <c r="K329" s="43" t="s">
        <v>95</v>
      </c>
      <c r="L329" s="43" t="s">
        <v>13</v>
      </c>
      <c r="M329" s="9" t="str">
        <f t="shared" si="3"/>
        <v>02</v>
      </c>
      <c r="N329" s="8" t="s">
        <v>155</v>
      </c>
      <c r="O329" s="8"/>
      <c r="P329" s="8"/>
      <c r="Q329" s="8"/>
      <c r="R329" s="43" t="s">
        <v>52</v>
      </c>
      <c r="S329" s="10"/>
    </row>
    <row r="330" ht="13.5" customHeight="1">
      <c r="A330" s="37">
        <v>325.0</v>
      </c>
      <c r="B330" s="43" t="s">
        <v>652</v>
      </c>
      <c r="C330" s="43" t="s">
        <v>11</v>
      </c>
      <c r="D330" s="39" t="str">
        <f t="shared" si="1"/>
        <v>II</v>
      </c>
      <c r="E330" s="40" t="str">
        <f t="shared" si="2"/>
        <v>FA279/II/02</v>
      </c>
      <c r="F330" s="8" t="s">
        <v>653</v>
      </c>
      <c r="G330" s="41">
        <v>45134.0</v>
      </c>
      <c r="H330" s="20">
        <v>2199000.0</v>
      </c>
      <c r="I330" s="7"/>
      <c r="J330" s="43" t="s">
        <v>138</v>
      </c>
      <c r="K330" s="43" t="s">
        <v>95</v>
      </c>
      <c r="L330" s="43" t="s">
        <v>13</v>
      </c>
      <c r="M330" s="9" t="str">
        <f t="shared" si="3"/>
        <v>02</v>
      </c>
      <c r="N330" s="8" t="s">
        <v>155</v>
      </c>
      <c r="O330" s="8"/>
      <c r="P330" s="8"/>
      <c r="Q330" s="8"/>
      <c r="R330" s="43" t="s">
        <v>52</v>
      </c>
      <c r="S330" s="10"/>
    </row>
    <row r="331" ht="13.5" customHeight="1">
      <c r="A331" s="37">
        <v>326.0</v>
      </c>
      <c r="B331" s="43" t="s">
        <v>654</v>
      </c>
      <c r="C331" s="43" t="s">
        <v>16</v>
      </c>
      <c r="D331" s="39" t="str">
        <f t="shared" si="1"/>
        <v>III</v>
      </c>
      <c r="E331" s="40" t="str">
        <f t="shared" si="2"/>
        <v>FA280/III/01</v>
      </c>
      <c r="F331" s="8" t="s">
        <v>655</v>
      </c>
      <c r="G331" s="41">
        <v>45120.0</v>
      </c>
      <c r="H331" s="20">
        <v>1.538E7</v>
      </c>
      <c r="I331" s="7"/>
      <c r="J331" s="43" t="s">
        <v>169</v>
      </c>
      <c r="K331" s="8" t="s">
        <v>170</v>
      </c>
      <c r="L331" s="40" t="s">
        <v>8</v>
      </c>
      <c r="M331" s="9" t="str">
        <f t="shared" si="3"/>
        <v>01</v>
      </c>
      <c r="N331" s="8" t="s">
        <v>103</v>
      </c>
      <c r="O331" s="8"/>
      <c r="P331" s="8"/>
      <c r="Q331" s="8"/>
      <c r="R331" s="43" t="s">
        <v>52</v>
      </c>
      <c r="S331" s="10"/>
    </row>
    <row r="332" ht="13.5" customHeight="1">
      <c r="A332" s="45">
        <v>327.0</v>
      </c>
      <c r="B332" s="53" t="s">
        <v>656</v>
      </c>
      <c r="C332" s="53" t="s">
        <v>24</v>
      </c>
      <c r="D332" s="47" t="str">
        <f t="shared" si="1"/>
        <v>V</v>
      </c>
      <c r="E332" s="48" t="str">
        <f t="shared" si="2"/>
        <v>FA281/V/02</v>
      </c>
      <c r="F332" s="52" t="s">
        <v>657</v>
      </c>
      <c r="G332" s="49">
        <v>45142.0</v>
      </c>
      <c r="H332" s="120">
        <v>4.0E7</v>
      </c>
      <c r="I332" s="51"/>
      <c r="J332" s="53"/>
      <c r="K332" s="53" t="s">
        <v>622</v>
      </c>
      <c r="L332" s="53" t="s">
        <v>13</v>
      </c>
      <c r="M332" s="15" t="str">
        <f t="shared" si="3"/>
        <v>02</v>
      </c>
      <c r="N332" s="52" t="s">
        <v>658</v>
      </c>
      <c r="O332" s="52"/>
      <c r="P332" s="52"/>
      <c r="Q332" s="52"/>
      <c r="R332" s="53" t="s">
        <v>10</v>
      </c>
      <c r="S332" s="54"/>
    </row>
    <row r="333" ht="13.5" customHeight="1">
      <c r="A333" s="37">
        <v>328.0</v>
      </c>
      <c r="B333" s="43" t="s">
        <v>659</v>
      </c>
      <c r="C333" s="43" t="s">
        <v>11</v>
      </c>
      <c r="D333" s="39" t="str">
        <f t="shared" si="1"/>
        <v>II</v>
      </c>
      <c r="E333" s="40" t="str">
        <f t="shared" si="2"/>
        <v>FA282/II/02</v>
      </c>
      <c r="F333" s="8" t="s">
        <v>660</v>
      </c>
      <c r="G333" s="41">
        <v>45148.0</v>
      </c>
      <c r="H333" s="20">
        <v>1.06875E7</v>
      </c>
      <c r="I333" s="7"/>
      <c r="J333" s="43" t="s">
        <v>138</v>
      </c>
      <c r="K333" s="43" t="s">
        <v>95</v>
      </c>
      <c r="L333" s="43" t="s">
        <v>13</v>
      </c>
      <c r="M333" s="9" t="str">
        <f t="shared" si="3"/>
        <v>02</v>
      </c>
      <c r="N333" s="43" t="s">
        <v>661</v>
      </c>
      <c r="O333" s="8"/>
      <c r="P333" s="8"/>
      <c r="Q333" s="8"/>
      <c r="R333" s="43" t="s">
        <v>52</v>
      </c>
      <c r="S333" s="10"/>
    </row>
    <row r="334" ht="13.5" customHeight="1">
      <c r="A334" s="37">
        <v>329.0</v>
      </c>
      <c r="B334" s="43" t="s">
        <v>662</v>
      </c>
      <c r="C334" s="43" t="s">
        <v>6</v>
      </c>
      <c r="D334" s="39" t="str">
        <f t="shared" si="1"/>
        <v>I</v>
      </c>
      <c r="E334" s="40" t="str">
        <f t="shared" si="2"/>
        <v>FA283/I/02</v>
      </c>
      <c r="F334" s="8" t="s">
        <v>663</v>
      </c>
      <c r="G334" s="41">
        <v>45152.0</v>
      </c>
      <c r="H334" s="20">
        <v>950000.0</v>
      </c>
      <c r="I334" s="7"/>
      <c r="J334" s="43" t="s">
        <v>338</v>
      </c>
      <c r="K334" s="43" t="s">
        <v>95</v>
      </c>
      <c r="L334" s="43" t="s">
        <v>13</v>
      </c>
      <c r="M334" s="9" t="str">
        <f t="shared" si="3"/>
        <v>02</v>
      </c>
      <c r="N334" s="8" t="s">
        <v>344</v>
      </c>
      <c r="O334" s="8"/>
      <c r="P334" s="8"/>
      <c r="Q334" s="8"/>
      <c r="R334" s="43" t="s">
        <v>52</v>
      </c>
      <c r="S334" s="10"/>
    </row>
    <row r="335" ht="13.5" customHeight="1">
      <c r="A335" s="37">
        <v>330.0</v>
      </c>
      <c r="B335" s="43" t="s">
        <v>664</v>
      </c>
      <c r="C335" s="43" t="s">
        <v>24</v>
      </c>
      <c r="D335" s="39" t="str">
        <f t="shared" si="1"/>
        <v>V</v>
      </c>
      <c r="E335" s="40" t="str">
        <f t="shared" si="2"/>
        <v>FA284/V/02</v>
      </c>
      <c r="F335" s="8" t="s">
        <v>665</v>
      </c>
      <c r="G335" s="41">
        <v>45159.0</v>
      </c>
      <c r="H335" s="20">
        <v>1.1483E7</v>
      </c>
      <c r="I335" s="7"/>
      <c r="J335" s="43" t="s">
        <v>322</v>
      </c>
      <c r="K335" s="43" t="s">
        <v>323</v>
      </c>
      <c r="L335" s="43" t="s">
        <v>13</v>
      </c>
      <c r="M335" s="9" t="str">
        <f t="shared" si="3"/>
        <v>02</v>
      </c>
      <c r="N335" s="8" t="s">
        <v>666</v>
      </c>
      <c r="O335" s="8"/>
      <c r="P335" s="8"/>
      <c r="Q335" s="8"/>
      <c r="R335" s="43" t="s">
        <v>52</v>
      </c>
      <c r="S335" s="10"/>
    </row>
    <row r="336" ht="13.5" customHeight="1">
      <c r="A336" s="37">
        <v>331.0</v>
      </c>
      <c r="B336" s="43" t="s">
        <v>667</v>
      </c>
      <c r="C336" s="43" t="s">
        <v>24</v>
      </c>
      <c r="D336" s="39" t="str">
        <f t="shared" si="1"/>
        <v>V</v>
      </c>
      <c r="E336" s="40" t="str">
        <f t="shared" si="2"/>
        <v>FA285/V/02</v>
      </c>
      <c r="F336" s="8" t="s">
        <v>668</v>
      </c>
      <c r="G336" s="41">
        <v>45159.0</v>
      </c>
      <c r="H336" s="20">
        <v>1.2883E7</v>
      </c>
      <c r="I336" s="7"/>
      <c r="J336" s="43" t="s">
        <v>322</v>
      </c>
      <c r="K336" s="43" t="s">
        <v>323</v>
      </c>
      <c r="L336" s="43" t="s">
        <v>13</v>
      </c>
      <c r="M336" s="9" t="str">
        <f t="shared" si="3"/>
        <v>02</v>
      </c>
      <c r="N336" s="8"/>
      <c r="O336" s="8"/>
      <c r="P336" s="8"/>
      <c r="Q336" s="8"/>
      <c r="R336" s="43" t="s">
        <v>52</v>
      </c>
      <c r="S336" s="10"/>
    </row>
    <row r="337" ht="13.5" customHeight="1">
      <c r="A337" s="37">
        <v>332.0</v>
      </c>
      <c r="B337" s="43" t="s">
        <v>669</v>
      </c>
      <c r="C337" s="43" t="s">
        <v>24</v>
      </c>
      <c r="D337" s="39" t="str">
        <f t="shared" si="1"/>
        <v>V</v>
      </c>
      <c r="E337" s="40" t="str">
        <f t="shared" si="2"/>
        <v>FA286/V/02</v>
      </c>
      <c r="F337" s="8" t="s">
        <v>670</v>
      </c>
      <c r="G337" s="41">
        <v>45159.0</v>
      </c>
      <c r="H337" s="20">
        <v>1607700.0</v>
      </c>
      <c r="I337" s="7"/>
      <c r="J337" s="43" t="s">
        <v>338</v>
      </c>
      <c r="K337" s="43" t="s">
        <v>323</v>
      </c>
      <c r="L337" s="43" t="s">
        <v>13</v>
      </c>
      <c r="M337" s="9" t="str">
        <f t="shared" si="3"/>
        <v>02</v>
      </c>
      <c r="N337" s="8" t="s">
        <v>485</v>
      </c>
      <c r="O337" s="8"/>
      <c r="P337" s="8"/>
      <c r="Q337" s="43" t="s">
        <v>568</v>
      </c>
      <c r="R337" s="43" t="s">
        <v>52</v>
      </c>
      <c r="S337" s="10"/>
    </row>
    <row r="338" ht="13.5" customHeight="1">
      <c r="A338" s="37">
        <v>333.0</v>
      </c>
      <c r="B338" s="43" t="s">
        <v>671</v>
      </c>
      <c r="C338" s="43" t="s">
        <v>24</v>
      </c>
      <c r="D338" s="39" t="str">
        <f t="shared" si="1"/>
        <v>V</v>
      </c>
      <c r="E338" s="40" t="str">
        <f t="shared" si="2"/>
        <v>FA287/V/02</v>
      </c>
      <c r="F338" s="8" t="s">
        <v>672</v>
      </c>
      <c r="G338" s="49">
        <v>45161.0</v>
      </c>
      <c r="H338" s="20">
        <v>2820000.0</v>
      </c>
      <c r="I338" s="7"/>
      <c r="J338" s="43" t="s">
        <v>322</v>
      </c>
      <c r="K338" s="43" t="s">
        <v>323</v>
      </c>
      <c r="L338" s="43" t="s">
        <v>13</v>
      </c>
      <c r="M338" s="9" t="str">
        <f t="shared" si="3"/>
        <v>02</v>
      </c>
      <c r="N338" s="8" t="s">
        <v>673</v>
      </c>
      <c r="O338" s="8"/>
      <c r="P338" s="8"/>
      <c r="Q338" s="8"/>
      <c r="R338" s="43" t="s">
        <v>52</v>
      </c>
      <c r="S338" s="10"/>
    </row>
    <row r="339" ht="13.5" customHeight="1">
      <c r="A339" s="45">
        <v>334.0</v>
      </c>
      <c r="B339" s="53" t="s">
        <v>674</v>
      </c>
      <c r="C339" s="53" t="s">
        <v>24</v>
      </c>
      <c r="D339" s="47" t="str">
        <f t="shared" si="1"/>
        <v>V</v>
      </c>
      <c r="E339" s="48" t="str">
        <f t="shared" si="2"/>
        <v>FA288/V/02</v>
      </c>
      <c r="F339" s="52" t="s">
        <v>675</v>
      </c>
      <c r="G339" s="49">
        <v>45161.0</v>
      </c>
      <c r="H339" s="120">
        <v>1856000.0</v>
      </c>
      <c r="I339" s="51"/>
      <c r="J339" s="52"/>
      <c r="K339" s="53" t="s">
        <v>323</v>
      </c>
      <c r="L339" s="53" t="s">
        <v>13</v>
      </c>
      <c r="M339" s="15" t="str">
        <f t="shared" si="3"/>
        <v>02</v>
      </c>
      <c r="N339" s="53" t="s">
        <v>377</v>
      </c>
      <c r="O339" s="52"/>
      <c r="P339" s="52"/>
      <c r="Q339" s="52"/>
      <c r="R339" s="53" t="s">
        <v>10</v>
      </c>
      <c r="S339" s="54"/>
    </row>
    <row r="340" ht="13.5" customHeight="1">
      <c r="A340" s="37">
        <v>335.0</v>
      </c>
      <c r="B340" s="43" t="s">
        <v>676</v>
      </c>
      <c r="C340" s="43" t="s">
        <v>16</v>
      </c>
      <c r="D340" s="39" t="str">
        <f t="shared" si="1"/>
        <v>III</v>
      </c>
      <c r="E340" s="40" t="str">
        <f t="shared" si="2"/>
        <v>FA291/III/01</v>
      </c>
      <c r="F340" s="8" t="s">
        <v>677</v>
      </c>
      <c r="G340" s="49">
        <v>45170.0</v>
      </c>
      <c r="H340" s="20">
        <v>5675676.0</v>
      </c>
      <c r="I340" s="7"/>
      <c r="J340" s="43" t="s">
        <v>422</v>
      </c>
      <c r="K340" s="43" t="s">
        <v>47</v>
      </c>
      <c r="L340" s="8" t="s">
        <v>8</v>
      </c>
      <c r="M340" s="9" t="str">
        <f t="shared" si="3"/>
        <v>01</v>
      </c>
      <c r="N340" s="43" t="s">
        <v>121</v>
      </c>
      <c r="O340" s="8"/>
      <c r="P340" s="8"/>
      <c r="Q340" s="8"/>
      <c r="R340" s="43" t="s">
        <v>52</v>
      </c>
      <c r="S340" s="10"/>
    </row>
    <row r="341" ht="13.5" customHeight="1">
      <c r="A341" s="37">
        <v>336.0</v>
      </c>
      <c r="B341" s="43" t="s">
        <v>678</v>
      </c>
      <c r="C341" s="43" t="s">
        <v>11</v>
      </c>
      <c r="D341" s="39" t="str">
        <f t="shared" si="1"/>
        <v>II</v>
      </c>
      <c r="E341" s="40" t="str">
        <f t="shared" si="2"/>
        <v>FA292/II/02</v>
      </c>
      <c r="F341" s="8" t="s">
        <v>679</v>
      </c>
      <c r="G341" s="41">
        <v>45175.0</v>
      </c>
      <c r="H341" s="20">
        <v>1275000.0</v>
      </c>
      <c r="I341" s="7"/>
      <c r="J341" s="43" t="s">
        <v>338</v>
      </c>
      <c r="K341" s="8" t="s">
        <v>95</v>
      </c>
      <c r="L341" s="43" t="s">
        <v>13</v>
      </c>
      <c r="M341" s="9" t="str">
        <f t="shared" si="3"/>
        <v>02</v>
      </c>
      <c r="N341" s="8"/>
      <c r="O341" s="8"/>
      <c r="P341" s="8"/>
      <c r="Q341" s="8"/>
      <c r="R341" s="43" t="s">
        <v>52</v>
      </c>
      <c r="S341" s="10"/>
    </row>
    <row r="342" ht="13.5" customHeight="1">
      <c r="A342" s="37">
        <v>337.0</v>
      </c>
      <c r="B342" s="43" t="s">
        <v>680</v>
      </c>
      <c r="C342" s="43" t="s">
        <v>11</v>
      </c>
      <c r="D342" s="39" t="str">
        <f t="shared" si="1"/>
        <v>II</v>
      </c>
      <c r="E342" s="40" t="str">
        <f t="shared" si="2"/>
        <v>FA293/II/02</v>
      </c>
      <c r="F342" s="8" t="s">
        <v>679</v>
      </c>
      <c r="G342" s="41">
        <v>45175.0</v>
      </c>
      <c r="H342" s="20">
        <v>1275000.0</v>
      </c>
      <c r="I342" s="7"/>
      <c r="J342" s="43" t="s">
        <v>138</v>
      </c>
      <c r="K342" s="8" t="s">
        <v>95</v>
      </c>
      <c r="L342" s="43" t="s">
        <v>13</v>
      </c>
      <c r="M342" s="9" t="str">
        <f t="shared" si="3"/>
        <v>02</v>
      </c>
      <c r="N342" s="8"/>
      <c r="O342" s="8"/>
      <c r="P342" s="8"/>
      <c r="Q342" s="8"/>
      <c r="R342" s="43" t="s">
        <v>52</v>
      </c>
      <c r="S342" s="10"/>
    </row>
    <row r="343" ht="13.5" customHeight="1">
      <c r="A343" s="37">
        <v>338.0</v>
      </c>
      <c r="B343" s="43" t="s">
        <v>681</v>
      </c>
      <c r="C343" s="43" t="s">
        <v>6</v>
      </c>
      <c r="D343" s="39" t="str">
        <f t="shared" si="1"/>
        <v>I</v>
      </c>
      <c r="E343" s="40" t="str">
        <f t="shared" si="2"/>
        <v>FA294/I/02</v>
      </c>
      <c r="F343" s="8" t="s">
        <v>682</v>
      </c>
      <c r="G343" s="41">
        <v>45176.0</v>
      </c>
      <c r="H343" s="20">
        <v>5115400.0</v>
      </c>
      <c r="I343" s="7"/>
      <c r="J343" s="43" t="s">
        <v>336</v>
      </c>
      <c r="K343" s="8" t="s">
        <v>95</v>
      </c>
      <c r="L343" s="43" t="s">
        <v>13</v>
      </c>
      <c r="M343" s="9" t="str">
        <f t="shared" si="3"/>
        <v>02</v>
      </c>
      <c r="N343" s="8"/>
      <c r="O343" s="8"/>
      <c r="P343" s="8"/>
      <c r="Q343" s="8"/>
      <c r="R343" s="43" t="s">
        <v>52</v>
      </c>
      <c r="S343" s="10"/>
    </row>
    <row r="344" ht="13.5" customHeight="1">
      <c r="A344" s="37">
        <v>339.0</v>
      </c>
      <c r="B344" s="43" t="s">
        <v>683</v>
      </c>
      <c r="C344" s="43" t="s">
        <v>6</v>
      </c>
      <c r="D344" s="39" t="str">
        <f t="shared" si="1"/>
        <v>I</v>
      </c>
      <c r="E344" s="40" t="str">
        <f t="shared" si="2"/>
        <v>FA295/I/02</v>
      </c>
      <c r="F344" s="8" t="s">
        <v>684</v>
      </c>
      <c r="G344" s="41">
        <v>45183.0</v>
      </c>
      <c r="H344" s="20">
        <v>1390000.0</v>
      </c>
      <c r="I344" s="7"/>
      <c r="J344" s="43" t="s">
        <v>336</v>
      </c>
      <c r="K344" s="43" t="s">
        <v>95</v>
      </c>
      <c r="L344" s="43" t="s">
        <v>13</v>
      </c>
      <c r="M344" s="9" t="str">
        <f t="shared" si="3"/>
        <v>02</v>
      </c>
      <c r="N344" s="8" t="s">
        <v>127</v>
      </c>
      <c r="O344" s="8"/>
      <c r="P344" s="8"/>
      <c r="Q344" s="8"/>
      <c r="R344" s="43" t="s">
        <v>52</v>
      </c>
      <c r="S344" s="10"/>
    </row>
    <row r="345" ht="13.5" customHeight="1">
      <c r="A345" s="37">
        <v>340.0</v>
      </c>
      <c r="B345" s="43" t="s">
        <v>685</v>
      </c>
      <c r="C345" s="43" t="s">
        <v>16</v>
      </c>
      <c r="D345" s="39" t="str">
        <f t="shared" si="1"/>
        <v>III</v>
      </c>
      <c r="E345" s="40" t="str">
        <f t="shared" si="2"/>
        <v>FA296/III/01</v>
      </c>
      <c r="F345" s="8" t="s">
        <v>686</v>
      </c>
      <c r="G345" s="41">
        <v>45213.0</v>
      </c>
      <c r="H345" s="20">
        <v>1.0495496E7</v>
      </c>
      <c r="I345" s="7"/>
      <c r="J345" s="8" t="s">
        <v>264</v>
      </c>
      <c r="K345" s="8" t="s">
        <v>158</v>
      </c>
      <c r="L345" s="8" t="s">
        <v>8</v>
      </c>
      <c r="M345" s="9" t="str">
        <f t="shared" si="3"/>
        <v>01</v>
      </c>
      <c r="N345" s="8" t="s">
        <v>71</v>
      </c>
      <c r="O345" s="8"/>
      <c r="P345" s="8"/>
      <c r="Q345" s="8"/>
      <c r="R345" s="43" t="s">
        <v>52</v>
      </c>
      <c r="S345" s="10"/>
    </row>
    <row r="346" ht="13.5" customHeight="1">
      <c r="A346" s="37">
        <v>341.0</v>
      </c>
      <c r="B346" s="43" t="s">
        <v>687</v>
      </c>
      <c r="C346" s="43" t="s">
        <v>16</v>
      </c>
      <c r="D346" s="39" t="str">
        <f t="shared" si="1"/>
        <v>III</v>
      </c>
      <c r="E346" s="40" t="str">
        <f t="shared" si="2"/>
        <v>FA297/III/01</v>
      </c>
      <c r="F346" s="8" t="s">
        <v>688</v>
      </c>
      <c r="G346" s="41">
        <v>45213.0</v>
      </c>
      <c r="H346" s="20">
        <v>1.1351351E7</v>
      </c>
      <c r="I346" s="7"/>
      <c r="J346" s="8" t="s">
        <v>107</v>
      </c>
      <c r="K346" s="8" t="s">
        <v>108</v>
      </c>
      <c r="L346" s="8" t="s">
        <v>8</v>
      </c>
      <c r="M346" s="9" t="str">
        <f t="shared" si="3"/>
        <v>01</v>
      </c>
      <c r="N346" s="8" t="s">
        <v>71</v>
      </c>
      <c r="O346" s="8"/>
      <c r="P346" s="8"/>
      <c r="Q346" s="8"/>
      <c r="R346" s="43" t="s">
        <v>52</v>
      </c>
      <c r="S346" s="10"/>
    </row>
    <row r="347" ht="13.5" customHeight="1">
      <c r="A347" s="37">
        <v>342.0</v>
      </c>
      <c r="B347" s="43" t="s">
        <v>689</v>
      </c>
      <c r="C347" s="43" t="s">
        <v>16</v>
      </c>
      <c r="D347" s="39" t="str">
        <f t="shared" si="1"/>
        <v>III</v>
      </c>
      <c r="E347" s="40" t="str">
        <f t="shared" si="2"/>
        <v>FA298/III/01</v>
      </c>
      <c r="F347" s="8" t="s">
        <v>690</v>
      </c>
      <c r="G347" s="41">
        <v>45213.0</v>
      </c>
      <c r="H347" s="20">
        <v>1.1351351E7</v>
      </c>
      <c r="I347" s="7"/>
      <c r="J347" s="43" t="s">
        <v>80</v>
      </c>
      <c r="K347" s="43" t="s">
        <v>81</v>
      </c>
      <c r="L347" s="8" t="s">
        <v>8</v>
      </c>
      <c r="M347" s="9" t="str">
        <f t="shared" si="3"/>
        <v>01</v>
      </c>
      <c r="N347" s="8" t="s">
        <v>71</v>
      </c>
      <c r="O347" s="8"/>
      <c r="P347" s="8"/>
      <c r="Q347" s="8"/>
      <c r="R347" s="43" t="s">
        <v>52</v>
      </c>
      <c r="S347" s="10"/>
    </row>
    <row r="348" ht="13.5" customHeight="1">
      <c r="A348" s="37">
        <v>343.0</v>
      </c>
      <c r="B348" s="43" t="s">
        <v>691</v>
      </c>
      <c r="C348" s="43" t="s">
        <v>6</v>
      </c>
      <c r="D348" s="39" t="str">
        <f t="shared" si="1"/>
        <v>I</v>
      </c>
      <c r="E348" s="40" t="str">
        <f t="shared" si="2"/>
        <v>FA299/I/01</v>
      </c>
      <c r="F348" s="8" t="s">
        <v>692</v>
      </c>
      <c r="G348" s="41">
        <v>45223.0</v>
      </c>
      <c r="H348" s="20">
        <v>1749000.0</v>
      </c>
      <c r="I348" s="7"/>
      <c r="J348" s="8" t="s">
        <v>198</v>
      </c>
      <c r="K348" s="8" t="s">
        <v>158</v>
      </c>
      <c r="L348" s="8" t="s">
        <v>8</v>
      </c>
      <c r="M348" s="9" t="str">
        <f t="shared" si="3"/>
        <v>01</v>
      </c>
      <c r="N348" s="8" t="s">
        <v>127</v>
      </c>
      <c r="O348" s="8"/>
      <c r="P348" s="8"/>
      <c r="Q348" s="8"/>
      <c r="R348" s="43" t="s">
        <v>52</v>
      </c>
      <c r="S348" s="10"/>
    </row>
    <row r="349" ht="13.5" customHeight="1">
      <c r="A349" s="37">
        <v>344.0</v>
      </c>
      <c r="B349" s="43" t="s">
        <v>693</v>
      </c>
      <c r="C349" s="43" t="s">
        <v>11</v>
      </c>
      <c r="D349" s="39" t="str">
        <f t="shared" si="1"/>
        <v>II</v>
      </c>
      <c r="E349" s="40" t="str">
        <f t="shared" si="2"/>
        <v>FA300/II/01</v>
      </c>
      <c r="F349" s="8" t="s">
        <v>154</v>
      </c>
      <c r="G349" s="41">
        <v>45212.0</v>
      </c>
      <c r="H349" s="20">
        <v>1099000.0</v>
      </c>
      <c r="I349" s="7"/>
      <c r="J349" s="43" t="s">
        <v>427</v>
      </c>
      <c r="K349" s="43" t="s">
        <v>108</v>
      </c>
      <c r="L349" s="43" t="s">
        <v>8</v>
      </c>
      <c r="M349" s="9" t="str">
        <f t="shared" si="3"/>
        <v>01</v>
      </c>
      <c r="N349" s="8" t="s">
        <v>155</v>
      </c>
      <c r="O349" s="8"/>
      <c r="P349" s="8"/>
      <c r="Q349" s="8"/>
      <c r="R349" s="43" t="s">
        <v>52</v>
      </c>
      <c r="S349" s="10"/>
    </row>
    <row r="350" ht="13.5" customHeight="1">
      <c r="A350" s="37">
        <v>345.0</v>
      </c>
      <c r="B350" s="43" t="s">
        <v>694</v>
      </c>
      <c r="C350" s="43" t="s">
        <v>11</v>
      </c>
      <c r="D350" s="39" t="str">
        <f t="shared" si="1"/>
        <v>II</v>
      </c>
      <c r="E350" s="40" t="str">
        <f t="shared" si="2"/>
        <v>FA301/II/01</v>
      </c>
      <c r="F350" s="8" t="s">
        <v>154</v>
      </c>
      <c r="G350" s="41">
        <v>45212.0</v>
      </c>
      <c r="H350" s="20">
        <v>1099000.0</v>
      </c>
      <c r="I350" s="7"/>
      <c r="J350" s="43"/>
      <c r="K350" s="43" t="s">
        <v>81</v>
      </c>
      <c r="L350" s="43" t="s">
        <v>8</v>
      </c>
      <c r="M350" s="9" t="str">
        <f t="shared" si="3"/>
        <v>01</v>
      </c>
      <c r="N350" s="8" t="s">
        <v>155</v>
      </c>
      <c r="O350" s="8"/>
      <c r="P350" s="8"/>
      <c r="Q350" s="8"/>
      <c r="R350" s="43" t="s">
        <v>52</v>
      </c>
      <c r="S350" s="10"/>
    </row>
    <row r="351" ht="13.5" customHeight="1">
      <c r="A351" s="37">
        <v>346.0</v>
      </c>
      <c r="B351" s="43" t="s">
        <v>695</v>
      </c>
      <c r="C351" s="43" t="s">
        <v>11</v>
      </c>
      <c r="D351" s="39" t="str">
        <f t="shared" si="1"/>
        <v>II</v>
      </c>
      <c r="E351" s="40" t="str">
        <f t="shared" si="2"/>
        <v>FA302/II/01</v>
      </c>
      <c r="F351" s="8" t="s">
        <v>154</v>
      </c>
      <c r="G351" s="41">
        <v>45212.0</v>
      </c>
      <c r="H351" s="20">
        <v>1099000.0</v>
      </c>
      <c r="I351" s="7"/>
      <c r="J351" s="43" t="s">
        <v>389</v>
      </c>
      <c r="K351" s="43" t="s">
        <v>116</v>
      </c>
      <c r="L351" s="43" t="s">
        <v>8</v>
      </c>
      <c r="M351" s="9" t="str">
        <f t="shared" si="3"/>
        <v>01</v>
      </c>
      <c r="N351" s="8" t="s">
        <v>155</v>
      </c>
      <c r="O351" s="8"/>
      <c r="P351" s="8"/>
      <c r="Q351" s="8"/>
      <c r="R351" s="43" t="s">
        <v>52</v>
      </c>
      <c r="S351" s="10"/>
    </row>
    <row r="352" ht="13.5" customHeight="1">
      <c r="A352" s="37">
        <v>347.0</v>
      </c>
      <c r="B352" s="43" t="s">
        <v>696</v>
      </c>
      <c r="C352" s="43" t="s">
        <v>11</v>
      </c>
      <c r="D352" s="39" t="str">
        <f t="shared" si="1"/>
        <v>II</v>
      </c>
      <c r="E352" s="40" t="str">
        <f t="shared" si="2"/>
        <v>FA303/II/01</v>
      </c>
      <c r="F352" s="8" t="s">
        <v>79</v>
      </c>
      <c r="G352" s="41">
        <v>45212.0</v>
      </c>
      <c r="H352" s="20">
        <v>1599000.0</v>
      </c>
      <c r="I352" s="116"/>
      <c r="J352" s="43" t="s">
        <v>162</v>
      </c>
      <c r="K352" s="8" t="s">
        <v>95</v>
      </c>
      <c r="L352" s="43" t="s">
        <v>8</v>
      </c>
      <c r="M352" s="9" t="str">
        <f t="shared" si="3"/>
        <v>01</v>
      </c>
      <c r="N352" s="8" t="s">
        <v>155</v>
      </c>
      <c r="O352" s="8"/>
      <c r="P352" s="8"/>
      <c r="Q352" s="8"/>
      <c r="R352" s="43" t="s">
        <v>52</v>
      </c>
      <c r="S352" s="10"/>
    </row>
    <row r="353" ht="13.5" customHeight="1">
      <c r="A353" s="37">
        <v>348.0</v>
      </c>
      <c r="B353" s="43" t="s">
        <v>697</v>
      </c>
      <c r="C353" s="43" t="s">
        <v>11</v>
      </c>
      <c r="D353" s="39" t="str">
        <f t="shared" si="1"/>
        <v>II</v>
      </c>
      <c r="E353" s="40" t="str">
        <f t="shared" si="2"/>
        <v>FA304/II/01</v>
      </c>
      <c r="F353" s="8" t="s">
        <v>79</v>
      </c>
      <c r="G353" s="41">
        <v>45212.0</v>
      </c>
      <c r="H353" s="20">
        <v>1599000.0</v>
      </c>
      <c r="I353" s="7"/>
      <c r="J353" s="43" t="s">
        <v>115</v>
      </c>
      <c r="K353" s="43" t="s">
        <v>116</v>
      </c>
      <c r="L353" s="43" t="s">
        <v>8</v>
      </c>
      <c r="M353" s="9" t="str">
        <f t="shared" si="3"/>
        <v>01</v>
      </c>
      <c r="N353" s="8" t="s">
        <v>155</v>
      </c>
      <c r="O353" s="8"/>
      <c r="P353" s="8"/>
      <c r="Q353" s="8"/>
      <c r="R353" s="43" t="s">
        <v>52</v>
      </c>
      <c r="S353" s="10"/>
    </row>
    <row r="354" ht="13.5" customHeight="1">
      <c r="A354" s="37">
        <v>349.0</v>
      </c>
      <c r="B354" s="43" t="s">
        <v>698</v>
      </c>
      <c r="C354" s="43" t="s">
        <v>11</v>
      </c>
      <c r="D354" s="39" t="str">
        <f t="shared" si="1"/>
        <v>II</v>
      </c>
      <c r="E354" s="40" t="str">
        <f t="shared" si="2"/>
        <v>FA305/II/01</v>
      </c>
      <c r="F354" s="8" t="s">
        <v>79</v>
      </c>
      <c r="G354" s="41">
        <v>45212.0</v>
      </c>
      <c r="H354" s="20">
        <v>1599000.0</v>
      </c>
      <c r="I354" s="7"/>
      <c r="J354" s="43" t="s">
        <v>166</v>
      </c>
      <c r="K354" s="8" t="s">
        <v>95</v>
      </c>
      <c r="L354" s="43" t="s">
        <v>8</v>
      </c>
      <c r="M354" s="9" t="str">
        <f t="shared" si="3"/>
        <v>01</v>
      </c>
      <c r="N354" s="8" t="s">
        <v>155</v>
      </c>
      <c r="O354" s="8"/>
      <c r="P354" s="8"/>
      <c r="Q354" s="8"/>
      <c r="R354" s="43" t="s">
        <v>52</v>
      </c>
      <c r="S354" s="10"/>
    </row>
    <row r="355" ht="13.5" customHeight="1">
      <c r="A355" s="76">
        <v>350.0</v>
      </c>
      <c r="B355" s="81" t="s">
        <v>699</v>
      </c>
      <c r="C355" s="81" t="s">
        <v>24</v>
      </c>
      <c r="D355" s="78" t="str">
        <f t="shared" si="1"/>
        <v>V</v>
      </c>
      <c r="E355" s="79" t="str">
        <f t="shared" si="2"/>
        <v>FA306/V/01</v>
      </c>
      <c r="F355" s="83" t="s">
        <v>700</v>
      </c>
      <c r="G355" s="80">
        <v>45229.0</v>
      </c>
      <c r="H355" s="101">
        <v>2.5E8</v>
      </c>
      <c r="I355" s="98"/>
      <c r="J355" s="81" t="s">
        <v>100</v>
      </c>
      <c r="K355" s="81" t="s">
        <v>51</v>
      </c>
      <c r="L355" s="81" t="s">
        <v>8</v>
      </c>
      <c r="M355" s="82" t="str">
        <f t="shared" si="3"/>
        <v>01</v>
      </c>
      <c r="N355" s="83" t="s">
        <v>701</v>
      </c>
      <c r="O355" s="83"/>
      <c r="P355" s="83"/>
      <c r="Q355" s="83"/>
      <c r="R355" s="43" t="s">
        <v>52</v>
      </c>
      <c r="S355" s="84"/>
    </row>
    <row r="356" ht="13.5" customHeight="1">
      <c r="A356" s="37">
        <v>351.0</v>
      </c>
      <c r="B356" s="43" t="s">
        <v>702</v>
      </c>
      <c r="C356" s="43" t="s">
        <v>11</v>
      </c>
      <c r="D356" s="39" t="str">
        <f t="shared" si="1"/>
        <v>II</v>
      </c>
      <c r="E356" s="40" t="str">
        <f t="shared" si="2"/>
        <v>FA307/II/02</v>
      </c>
      <c r="F356" s="8" t="s">
        <v>703</v>
      </c>
      <c r="G356" s="41">
        <v>45232.0</v>
      </c>
      <c r="H356" s="20">
        <v>1526000.0</v>
      </c>
      <c r="I356" s="7"/>
      <c r="J356" s="43" t="s">
        <v>138</v>
      </c>
      <c r="K356" s="8" t="s">
        <v>95</v>
      </c>
      <c r="L356" s="43" t="s">
        <v>13</v>
      </c>
      <c r="M356" s="9" t="str">
        <f t="shared" si="3"/>
        <v>02</v>
      </c>
      <c r="N356" s="8"/>
      <c r="O356" s="8"/>
      <c r="P356" s="8"/>
      <c r="Q356" s="8"/>
      <c r="R356" s="43" t="s">
        <v>52</v>
      </c>
      <c r="S356" s="10"/>
    </row>
    <row r="357" ht="22.5" customHeight="1">
      <c r="A357" s="37">
        <v>352.0</v>
      </c>
      <c r="B357" s="43" t="s">
        <v>704</v>
      </c>
      <c r="C357" s="43" t="s">
        <v>11</v>
      </c>
      <c r="D357" s="39" t="str">
        <f t="shared" si="1"/>
        <v>II</v>
      </c>
      <c r="E357" s="40" t="str">
        <f t="shared" si="2"/>
        <v>FA308/II/02</v>
      </c>
      <c r="F357" s="8" t="s">
        <v>705</v>
      </c>
      <c r="G357" s="41">
        <v>45233.0</v>
      </c>
      <c r="H357" s="20">
        <v>907350.0</v>
      </c>
      <c r="I357" s="7"/>
      <c r="J357" s="43" t="s">
        <v>138</v>
      </c>
      <c r="K357" s="8" t="s">
        <v>95</v>
      </c>
      <c r="L357" s="43" t="s">
        <v>13</v>
      </c>
      <c r="M357" s="9" t="str">
        <f t="shared" si="3"/>
        <v>02</v>
      </c>
      <c r="N357" s="8"/>
      <c r="O357" s="8"/>
      <c r="P357" s="8"/>
      <c r="Q357" s="8"/>
      <c r="R357" s="43" t="s">
        <v>52</v>
      </c>
      <c r="S357" s="10"/>
    </row>
    <row r="358" ht="13.5" customHeight="1">
      <c r="A358" s="37">
        <v>353.0</v>
      </c>
      <c r="B358" s="43" t="s">
        <v>706</v>
      </c>
      <c r="C358" s="43" t="s">
        <v>11</v>
      </c>
      <c r="D358" s="39" t="str">
        <f t="shared" si="1"/>
        <v>II</v>
      </c>
      <c r="E358" s="40" t="str">
        <f t="shared" si="2"/>
        <v>FA309/II/03</v>
      </c>
      <c r="F358" s="8" t="s">
        <v>705</v>
      </c>
      <c r="G358" s="41">
        <v>45233.0</v>
      </c>
      <c r="H358" s="20">
        <v>907350.0</v>
      </c>
      <c r="I358" s="7"/>
      <c r="J358" s="43" t="s">
        <v>138</v>
      </c>
      <c r="K358" s="8" t="s">
        <v>95</v>
      </c>
      <c r="L358" s="43" t="s">
        <v>18</v>
      </c>
      <c r="M358" s="9" t="str">
        <f t="shared" si="3"/>
        <v>03</v>
      </c>
      <c r="N358" s="8"/>
      <c r="O358" s="8"/>
      <c r="P358" s="8"/>
      <c r="Q358" s="8"/>
      <c r="R358" s="43" t="s">
        <v>52</v>
      </c>
      <c r="S358" s="10"/>
    </row>
    <row r="359" ht="13.5" customHeight="1">
      <c r="A359" s="45">
        <v>354.0</v>
      </c>
      <c r="B359" s="53" t="s">
        <v>707</v>
      </c>
      <c r="C359" s="53" t="s">
        <v>6</v>
      </c>
      <c r="D359" s="47" t="str">
        <f t="shared" si="1"/>
        <v>I</v>
      </c>
      <c r="E359" s="48" t="str">
        <f t="shared" si="2"/>
        <v>FA310/I/02</v>
      </c>
      <c r="F359" s="52" t="s">
        <v>708</v>
      </c>
      <c r="G359" s="49">
        <v>45233.0</v>
      </c>
      <c r="H359" s="120">
        <v>242467.0</v>
      </c>
      <c r="I359" s="51"/>
      <c r="J359" s="52"/>
      <c r="K359" s="53" t="s">
        <v>622</v>
      </c>
      <c r="L359" s="53" t="s">
        <v>13</v>
      </c>
      <c r="M359" s="15" t="str">
        <f t="shared" si="3"/>
        <v>02</v>
      </c>
      <c r="N359" s="52" t="s">
        <v>709</v>
      </c>
      <c r="O359" s="52"/>
      <c r="P359" s="52"/>
      <c r="Q359" s="52"/>
      <c r="R359" s="53" t="s">
        <v>10</v>
      </c>
      <c r="S359" s="54"/>
    </row>
    <row r="360" ht="13.5" customHeight="1">
      <c r="A360" s="45">
        <v>355.0</v>
      </c>
      <c r="B360" s="53" t="s">
        <v>710</v>
      </c>
      <c r="C360" s="53" t="s">
        <v>6</v>
      </c>
      <c r="D360" s="47" t="str">
        <f t="shared" si="1"/>
        <v>I</v>
      </c>
      <c r="E360" s="48" t="str">
        <f t="shared" si="2"/>
        <v>FA311/I/02</v>
      </c>
      <c r="F360" s="52" t="s">
        <v>708</v>
      </c>
      <c r="G360" s="49">
        <v>45233.0</v>
      </c>
      <c r="H360" s="120">
        <v>242467.0</v>
      </c>
      <c r="I360" s="51"/>
      <c r="J360" s="52"/>
      <c r="K360" s="53" t="s">
        <v>622</v>
      </c>
      <c r="L360" s="53" t="s">
        <v>13</v>
      </c>
      <c r="M360" s="15" t="str">
        <f t="shared" si="3"/>
        <v>02</v>
      </c>
      <c r="N360" s="52" t="s">
        <v>709</v>
      </c>
      <c r="O360" s="52"/>
      <c r="P360" s="52"/>
      <c r="Q360" s="52"/>
      <c r="R360" s="53" t="s">
        <v>10</v>
      </c>
      <c r="S360" s="54"/>
    </row>
    <row r="361" ht="13.5" customHeight="1">
      <c r="A361" s="37">
        <v>356.0</v>
      </c>
      <c r="B361" s="43" t="s">
        <v>711</v>
      </c>
      <c r="C361" s="43" t="s">
        <v>6</v>
      </c>
      <c r="D361" s="39" t="str">
        <f t="shared" si="1"/>
        <v>I</v>
      </c>
      <c r="E361" s="40" t="str">
        <f t="shared" si="2"/>
        <v>FA312/I/02</v>
      </c>
      <c r="F361" s="8" t="s">
        <v>708</v>
      </c>
      <c r="G361" s="41">
        <v>45233.0</v>
      </c>
      <c r="H361" s="20">
        <v>242467.0</v>
      </c>
      <c r="I361" s="7"/>
      <c r="J361" s="43" t="s">
        <v>322</v>
      </c>
      <c r="K361" s="43" t="s">
        <v>323</v>
      </c>
      <c r="L361" s="43" t="s">
        <v>13</v>
      </c>
      <c r="M361" s="9" t="str">
        <f t="shared" si="3"/>
        <v>02</v>
      </c>
      <c r="N361" s="8" t="s">
        <v>709</v>
      </c>
      <c r="O361" s="8"/>
      <c r="P361" s="8"/>
      <c r="Q361" s="8"/>
      <c r="R361" s="43" t="s">
        <v>52</v>
      </c>
      <c r="S361" s="10"/>
    </row>
    <row r="362" ht="13.5" customHeight="1">
      <c r="A362" s="37">
        <v>357.0</v>
      </c>
      <c r="B362" s="43" t="s">
        <v>712</v>
      </c>
      <c r="C362" s="43" t="s">
        <v>6</v>
      </c>
      <c r="D362" s="39" t="str">
        <f t="shared" si="1"/>
        <v>I</v>
      </c>
      <c r="E362" s="40" t="str">
        <f t="shared" si="2"/>
        <v>FA313/I/01</v>
      </c>
      <c r="F362" s="8" t="s">
        <v>713</v>
      </c>
      <c r="G362" s="41">
        <v>45257.0</v>
      </c>
      <c r="H362" s="20">
        <v>2034200.0</v>
      </c>
      <c r="I362" s="7"/>
      <c r="J362" s="43" t="s">
        <v>162</v>
      </c>
      <c r="K362" s="43" t="s">
        <v>95</v>
      </c>
      <c r="L362" s="43" t="s">
        <v>8</v>
      </c>
      <c r="M362" s="9" t="str">
        <f t="shared" si="3"/>
        <v>01</v>
      </c>
      <c r="N362" s="8" t="s">
        <v>127</v>
      </c>
      <c r="O362" s="8"/>
      <c r="P362" s="8"/>
      <c r="Q362" s="8"/>
      <c r="R362" s="43" t="s">
        <v>52</v>
      </c>
      <c r="S362" s="10"/>
    </row>
    <row r="363" ht="13.5" customHeight="1">
      <c r="A363" s="76">
        <v>358.0</v>
      </c>
      <c r="B363" s="81" t="s">
        <v>714</v>
      </c>
      <c r="C363" s="81" t="s">
        <v>16</v>
      </c>
      <c r="D363" s="78" t="str">
        <f t="shared" si="1"/>
        <v>III</v>
      </c>
      <c r="E363" s="79" t="str">
        <f t="shared" si="2"/>
        <v>FA314/III/01</v>
      </c>
      <c r="F363" s="83" t="s">
        <v>715</v>
      </c>
      <c r="G363" s="80">
        <v>45258.0</v>
      </c>
      <c r="H363" s="101">
        <v>1318900.0</v>
      </c>
      <c r="I363" s="98"/>
      <c r="J363" s="81" t="s">
        <v>372</v>
      </c>
      <c r="K363" s="43" t="s">
        <v>116</v>
      </c>
      <c r="L363" s="81" t="s">
        <v>8</v>
      </c>
      <c r="M363" s="82" t="str">
        <f t="shared" si="3"/>
        <v>01</v>
      </c>
      <c r="N363" s="83" t="s">
        <v>66</v>
      </c>
      <c r="O363" s="83"/>
      <c r="P363" s="83"/>
      <c r="Q363" s="83"/>
      <c r="R363" s="43" t="s">
        <v>52</v>
      </c>
      <c r="S363" s="84"/>
    </row>
    <row r="364" ht="13.5" customHeight="1">
      <c r="A364" s="37">
        <v>359.0</v>
      </c>
      <c r="B364" s="43" t="s">
        <v>716</v>
      </c>
      <c r="C364" s="43" t="s">
        <v>24</v>
      </c>
      <c r="D364" s="39" t="str">
        <f t="shared" si="1"/>
        <v>V</v>
      </c>
      <c r="E364" s="40" t="str">
        <f t="shared" si="2"/>
        <v>FA315/V/02</v>
      </c>
      <c r="F364" s="8" t="s">
        <v>717</v>
      </c>
      <c r="G364" s="41">
        <v>45254.0</v>
      </c>
      <c r="H364" s="20">
        <v>4.5E8</v>
      </c>
      <c r="I364" s="7"/>
      <c r="J364" s="43" t="s">
        <v>322</v>
      </c>
      <c r="K364" s="43" t="s">
        <v>323</v>
      </c>
      <c r="L364" s="43" t="s">
        <v>13</v>
      </c>
      <c r="M364" s="9" t="str">
        <f t="shared" si="3"/>
        <v>02</v>
      </c>
      <c r="N364" s="43" t="s">
        <v>718</v>
      </c>
      <c r="O364" s="8"/>
      <c r="P364" s="8"/>
      <c r="Q364" s="8"/>
      <c r="R364" s="43" t="s">
        <v>52</v>
      </c>
      <c r="S364" s="10"/>
    </row>
    <row r="365" ht="13.5" customHeight="1">
      <c r="A365" s="37">
        <v>360.0</v>
      </c>
      <c r="B365" s="43" t="s">
        <v>719</v>
      </c>
      <c r="C365" s="43" t="s">
        <v>16</v>
      </c>
      <c r="D365" s="39" t="str">
        <f t="shared" si="1"/>
        <v>III</v>
      </c>
      <c r="E365" s="40" t="str">
        <f t="shared" si="2"/>
        <v>FA316/III/02</v>
      </c>
      <c r="F365" s="8" t="s">
        <v>720</v>
      </c>
      <c r="G365" s="41">
        <v>45284.0</v>
      </c>
      <c r="H365" s="20">
        <v>5000000.0</v>
      </c>
      <c r="I365" s="7"/>
      <c r="J365" s="43" t="s">
        <v>457</v>
      </c>
      <c r="K365" s="43" t="s">
        <v>81</v>
      </c>
      <c r="L365" s="43" t="s">
        <v>13</v>
      </c>
      <c r="M365" s="9" t="str">
        <f t="shared" si="3"/>
        <v>02</v>
      </c>
      <c r="N365" s="8" t="s">
        <v>121</v>
      </c>
      <c r="O365" s="8"/>
      <c r="P365" s="8"/>
      <c r="Q365" s="8"/>
      <c r="R365" s="43" t="s">
        <v>52</v>
      </c>
      <c r="S365" s="10"/>
    </row>
    <row r="366" ht="13.5" customHeight="1">
      <c r="A366" s="37">
        <v>361.0</v>
      </c>
      <c r="B366" s="43" t="s">
        <v>721</v>
      </c>
      <c r="C366" s="43" t="s">
        <v>16</v>
      </c>
      <c r="D366" s="39" t="str">
        <f t="shared" si="1"/>
        <v>III</v>
      </c>
      <c r="E366" s="40" t="str">
        <f t="shared" si="2"/>
        <v>FA317/III/01</v>
      </c>
      <c r="F366" s="8" t="s">
        <v>722</v>
      </c>
      <c r="G366" s="41">
        <v>45284.0</v>
      </c>
      <c r="H366" s="20">
        <v>7657658.0</v>
      </c>
      <c r="I366" s="7"/>
      <c r="J366" s="43" t="s">
        <v>198</v>
      </c>
      <c r="K366" s="43" t="s">
        <v>158</v>
      </c>
      <c r="L366" s="43" t="s">
        <v>8</v>
      </c>
      <c r="M366" s="9" t="str">
        <f t="shared" si="3"/>
        <v>01</v>
      </c>
      <c r="N366" s="8" t="s">
        <v>121</v>
      </c>
      <c r="O366" s="8"/>
      <c r="P366" s="8"/>
      <c r="Q366" s="8"/>
      <c r="R366" s="43" t="s">
        <v>52</v>
      </c>
      <c r="S366" s="10"/>
    </row>
    <row r="367" ht="13.5" customHeight="1">
      <c r="A367" s="37">
        <v>362.0</v>
      </c>
      <c r="B367" s="43" t="s">
        <v>723</v>
      </c>
      <c r="C367" s="43" t="s">
        <v>16</v>
      </c>
      <c r="D367" s="39" t="str">
        <f t="shared" si="1"/>
        <v>III</v>
      </c>
      <c r="E367" s="40" t="str">
        <f t="shared" si="2"/>
        <v>FA318/III/01</v>
      </c>
      <c r="F367" s="8" t="s">
        <v>724</v>
      </c>
      <c r="G367" s="41">
        <v>45284.0</v>
      </c>
      <c r="H367" s="20">
        <v>1.1981982E7</v>
      </c>
      <c r="I367" s="7"/>
      <c r="J367" s="43"/>
      <c r="K367" s="43" t="s">
        <v>108</v>
      </c>
      <c r="L367" s="43" t="s">
        <v>8</v>
      </c>
      <c r="M367" s="9" t="str">
        <f t="shared" si="3"/>
        <v>01</v>
      </c>
      <c r="N367" s="8" t="s">
        <v>71</v>
      </c>
      <c r="O367" s="8"/>
      <c r="P367" s="8"/>
      <c r="Q367" s="8"/>
      <c r="R367" s="43" t="s">
        <v>52</v>
      </c>
      <c r="S367" s="10"/>
    </row>
    <row r="368" ht="13.5" customHeight="1">
      <c r="A368" s="37">
        <v>363.0</v>
      </c>
      <c r="B368" s="43" t="s">
        <v>725</v>
      </c>
      <c r="C368" s="43" t="s">
        <v>24</v>
      </c>
      <c r="D368" s="39" t="str">
        <f t="shared" si="1"/>
        <v>V</v>
      </c>
      <c r="E368" s="40" t="str">
        <f t="shared" si="2"/>
        <v>FA319/V/02</v>
      </c>
      <c r="F368" s="8" t="s">
        <v>726</v>
      </c>
      <c r="G368" s="122">
        <v>45291.0</v>
      </c>
      <c r="H368" s="20">
        <v>2.0001E8</v>
      </c>
      <c r="I368" s="7"/>
      <c r="J368" s="43" t="s">
        <v>727</v>
      </c>
      <c r="K368" s="43" t="s">
        <v>47</v>
      </c>
      <c r="L368" s="43" t="s">
        <v>13</v>
      </c>
      <c r="M368" s="9" t="str">
        <f t="shared" si="3"/>
        <v>02</v>
      </c>
      <c r="N368" s="8"/>
      <c r="O368" s="8"/>
      <c r="P368" s="8"/>
      <c r="Q368" s="8"/>
      <c r="R368" s="43" t="s">
        <v>52</v>
      </c>
      <c r="S368" s="10"/>
    </row>
    <row r="369" ht="13.5" customHeight="1">
      <c r="A369" s="37">
        <v>364.0</v>
      </c>
      <c r="B369" s="43" t="s">
        <v>728</v>
      </c>
      <c r="C369" s="43" t="s">
        <v>6</v>
      </c>
      <c r="D369" s="39" t="str">
        <f t="shared" si="1"/>
        <v>I</v>
      </c>
      <c r="E369" s="40" t="str">
        <f t="shared" si="2"/>
        <v>FA321/I/02</v>
      </c>
      <c r="F369" s="38" t="s">
        <v>729</v>
      </c>
      <c r="G369" s="41">
        <v>45295.0</v>
      </c>
      <c r="H369" s="20">
        <v>3128020.0</v>
      </c>
      <c r="I369" s="123"/>
      <c r="J369" s="43" t="s">
        <v>138</v>
      </c>
      <c r="K369" s="8" t="s">
        <v>95</v>
      </c>
      <c r="L369" s="43" t="s">
        <v>13</v>
      </c>
      <c r="M369" s="9" t="str">
        <f t="shared" si="3"/>
        <v>02</v>
      </c>
      <c r="N369" s="8" t="s">
        <v>434</v>
      </c>
      <c r="O369" s="8"/>
      <c r="P369" s="8"/>
      <c r="Q369" s="8"/>
      <c r="R369" s="43" t="s">
        <v>52</v>
      </c>
      <c r="S369" s="10"/>
    </row>
    <row r="370" ht="13.5" customHeight="1">
      <c r="A370" s="37">
        <v>365.0</v>
      </c>
      <c r="B370" s="43" t="s">
        <v>730</v>
      </c>
      <c r="C370" s="43" t="s">
        <v>21</v>
      </c>
      <c r="D370" s="39" t="str">
        <f t="shared" si="1"/>
        <v>IV</v>
      </c>
      <c r="E370" s="40" t="str">
        <f t="shared" si="2"/>
        <v>FA322/IV/01</v>
      </c>
      <c r="F370" s="124" t="s">
        <v>731</v>
      </c>
      <c r="G370" s="31">
        <v>45309.0</v>
      </c>
      <c r="H370" s="20">
        <v>2.1478311E7</v>
      </c>
      <c r="I370" s="7"/>
      <c r="J370" s="8" t="s">
        <v>120</v>
      </c>
      <c r="K370" s="8" t="s">
        <v>95</v>
      </c>
      <c r="L370" s="8" t="s">
        <v>8</v>
      </c>
      <c r="M370" s="9" t="str">
        <f t="shared" si="3"/>
        <v>01</v>
      </c>
      <c r="N370" s="8" t="s">
        <v>732</v>
      </c>
      <c r="O370" s="8"/>
      <c r="P370" s="8"/>
      <c r="Q370" s="8"/>
      <c r="R370" s="43" t="s">
        <v>52</v>
      </c>
      <c r="S370" s="10"/>
    </row>
    <row r="371" ht="13.5" customHeight="1">
      <c r="A371" s="37">
        <v>366.0</v>
      </c>
      <c r="B371" s="43" t="s">
        <v>733</v>
      </c>
      <c r="C371" s="43" t="s">
        <v>21</v>
      </c>
      <c r="D371" s="39" t="str">
        <f t="shared" si="1"/>
        <v>IV</v>
      </c>
      <c r="E371" s="40" t="str">
        <f t="shared" si="2"/>
        <v>FA323/IV/02</v>
      </c>
      <c r="F371" s="8" t="s">
        <v>734</v>
      </c>
      <c r="G371" s="31">
        <v>45309.0</v>
      </c>
      <c r="H371" s="20">
        <v>2.1175619E8</v>
      </c>
      <c r="I371" s="7"/>
      <c r="J371" s="43" t="s">
        <v>587</v>
      </c>
      <c r="K371" s="8" t="s">
        <v>95</v>
      </c>
      <c r="L371" s="43" t="s">
        <v>13</v>
      </c>
      <c r="M371" s="9" t="str">
        <f t="shared" si="3"/>
        <v>02</v>
      </c>
      <c r="N371" s="43" t="s">
        <v>735</v>
      </c>
      <c r="O371" s="8"/>
      <c r="P371" s="8"/>
      <c r="Q371" s="8"/>
      <c r="R371" s="43" t="s">
        <v>52</v>
      </c>
      <c r="S371" s="10"/>
    </row>
    <row r="372" ht="13.5" customHeight="1">
      <c r="A372" s="37">
        <v>367.0</v>
      </c>
      <c r="B372" s="43" t="s">
        <v>736</v>
      </c>
      <c r="C372" s="43" t="s">
        <v>6</v>
      </c>
      <c r="D372" s="39" t="str">
        <f t="shared" si="1"/>
        <v>I</v>
      </c>
      <c r="E372" s="40" t="str">
        <f t="shared" si="2"/>
        <v>FA324/I/02</v>
      </c>
      <c r="F372" s="8" t="s">
        <v>737</v>
      </c>
      <c r="G372" s="41">
        <v>45310.0</v>
      </c>
      <c r="H372" s="13">
        <v>255000.0</v>
      </c>
      <c r="I372" s="7"/>
      <c r="J372" s="43" t="s">
        <v>336</v>
      </c>
      <c r="K372" s="8" t="s">
        <v>47</v>
      </c>
      <c r="L372" s="43" t="s">
        <v>13</v>
      </c>
      <c r="M372" s="9" t="str">
        <f t="shared" si="3"/>
        <v>02</v>
      </c>
      <c r="N372" s="43" t="s">
        <v>738</v>
      </c>
      <c r="O372" s="8"/>
      <c r="P372" s="8"/>
      <c r="Q372" s="8"/>
      <c r="R372" s="43" t="s">
        <v>52</v>
      </c>
      <c r="S372" s="10"/>
    </row>
    <row r="373" ht="13.5" customHeight="1">
      <c r="A373" s="37">
        <v>368.0</v>
      </c>
      <c r="B373" s="43" t="s">
        <v>739</v>
      </c>
      <c r="C373" s="43" t="s">
        <v>6</v>
      </c>
      <c r="D373" s="39" t="str">
        <f t="shared" si="1"/>
        <v>I</v>
      </c>
      <c r="E373" s="40" t="str">
        <f t="shared" si="2"/>
        <v>FA325/I/02</v>
      </c>
      <c r="F373" s="8" t="s">
        <v>737</v>
      </c>
      <c r="G373" s="41">
        <v>45310.0</v>
      </c>
      <c r="H373" s="13">
        <v>255000.0</v>
      </c>
      <c r="I373" s="7"/>
      <c r="J373" s="43" t="s">
        <v>138</v>
      </c>
      <c r="K373" s="43" t="s">
        <v>95</v>
      </c>
      <c r="L373" s="43" t="s">
        <v>13</v>
      </c>
      <c r="M373" s="9" t="str">
        <f t="shared" si="3"/>
        <v>02</v>
      </c>
      <c r="N373" s="43" t="s">
        <v>738</v>
      </c>
      <c r="O373" s="8"/>
      <c r="P373" s="8"/>
      <c r="Q373" s="8"/>
      <c r="R373" s="43" t="s">
        <v>52</v>
      </c>
      <c r="S373" s="10"/>
    </row>
    <row r="374" ht="13.5" customHeight="1">
      <c r="A374" s="37">
        <v>369.0</v>
      </c>
      <c r="B374" s="43" t="s">
        <v>740</v>
      </c>
      <c r="C374" s="43" t="s">
        <v>11</v>
      </c>
      <c r="D374" s="39" t="str">
        <f t="shared" si="1"/>
        <v>II</v>
      </c>
      <c r="E374" s="40" t="str">
        <f t="shared" si="2"/>
        <v>FA326/II/03</v>
      </c>
      <c r="F374" s="8" t="s">
        <v>741</v>
      </c>
      <c r="G374" s="41">
        <v>45335.0</v>
      </c>
      <c r="H374" s="13">
        <v>417500.0</v>
      </c>
      <c r="I374" s="7"/>
      <c r="J374" s="43" t="s">
        <v>138</v>
      </c>
      <c r="K374" s="8" t="s">
        <v>95</v>
      </c>
      <c r="L374" s="43" t="s">
        <v>18</v>
      </c>
      <c r="M374" s="9" t="str">
        <f t="shared" si="3"/>
        <v>03</v>
      </c>
      <c r="N374" s="8"/>
      <c r="O374" s="8"/>
      <c r="P374" s="8"/>
      <c r="Q374" s="8"/>
      <c r="R374" s="43" t="s">
        <v>52</v>
      </c>
      <c r="S374" s="10"/>
    </row>
    <row r="375" ht="13.5" customHeight="1">
      <c r="A375" s="37">
        <v>370.0</v>
      </c>
      <c r="B375" s="43" t="s">
        <v>742</v>
      </c>
      <c r="C375" s="43" t="s">
        <v>11</v>
      </c>
      <c r="D375" s="39" t="str">
        <f t="shared" si="1"/>
        <v>II</v>
      </c>
      <c r="E375" s="40" t="str">
        <f t="shared" si="2"/>
        <v>FA327/II/03</v>
      </c>
      <c r="F375" s="8" t="s">
        <v>741</v>
      </c>
      <c r="G375" s="41">
        <v>45335.0</v>
      </c>
      <c r="H375" s="13">
        <v>417500.0</v>
      </c>
      <c r="I375" s="7"/>
      <c r="J375" s="43" t="s">
        <v>138</v>
      </c>
      <c r="K375" s="8" t="s">
        <v>95</v>
      </c>
      <c r="L375" s="43" t="s">
        <v>18</v>
      </c>
      <c r="M375" s="9" t="str">
        <f t="shared" si="3"/>
        <v>03</v>
      </c>
      <c r="N375" s="8"/>
      <c r="O375" s="8"/>
      <c r="P375" s="8"/>
      <c r="Q375" s="8"/>
      <c r="R375" s="43" t="s">
        <v>52</v>
      </c>
      <c r="S375" s="10"/>
    </row>
    <row r="376" ht="13.5" customHeight="1">
      <c r="A376" s="37">
        <v>371.0</v>
      </c>
      <c r="B376" s="43" t="s">
        <v>743</v>
      </c>
      <c r="C376" s="43" t="s">
        <v>11</v>
      </c>
      <c r="D376" s="39" t="str">
        <f t="shared" si="1"/>
        <v>II</v>
      </c>
      <c r="E376" s="40" t="str">
        <f t="shared" si="2"/>
        <v>FA328/II/02</v>
      </c>
      <c r="F376" s="8" t="s">
        <v>744</v>
      </c>
      <c r="G376" s="41">
        <v>45335.0</v>
      </c>
      <c r="H376" s="13">
        <v>587550.0</v>
      </c>
      <c r="I376" s="7"/>
      <c r="J376" s="43"/>
      <c r="K376" s="8" t="s">
        <v>95</v>
      </c>
      <c r="L376" s="43" t="s">
        <v>13</v>
      </c>
      <c r="M376" s="9" t="str">
        <f t="shared" si="3"/>
        <v>02</v>
      </c>
      <c r="N376" s="8"/>
      <c r="O376" s="8"/>
      <c r="P376" s="8"/>
      <c r="Q376" s="8"/>
      <c r="R376" s="43" t="s">
        <v>52</v>
      </c>
      <c r="S376" s="10"/>
    </row>
    <row r="377" ht="13.5" customHeight="1">
      <c r="A377" s="37">
        <v>372.0</v>
      </c>
      <c r="B377" s="43" t="s">
        <v>745</v>
      </c>
      <c r="C377" s="43" t="s">
        <v>11</v>
      </c>
      <c r="D377" s="39" t="str">
        <f t="shared" si="1"/>
        <v>II</v>
      </c>
      <c r="E377" s="40" t="str">
        <f t="shared" si="2"/>
        <v>FA329/II/02</v>
      </c>
      <c r="F377" s="8" t="s">
        <v>744</v>
      </c>
      <c r="G377" s="41">
        <v>45335.0</v>
      </c>
      <c r="H377" s="13">
        <v>587550.0</v>
      </c>
      <c r="I377" s="7"/>
      <c r="J377" s="43"/>
      <c r="K377" s="8" t="s">
        <v>95</v>
      </c>
      <c r="L377" s="43" t="s">
        <v>13</v>
      </c>
      <c r="M377" s="9" t="str">
        <f t="shared" si="3"/>
        <v>02</v>
      </c>
      <c r="N377" s="8"/>
      <c r="O377" s="8"/>
      <c r="P377" s="8"/>
      <c r="Q377" s="8"/>
      <c r="R377" s="43" t="s">
        <v>52</v>
      </c>
      <c r="S377" s="10"/>
    </row>
    <row r="378" ht="13.5" customHeight="1">
      <c r="A378" s="37">
        <v>374.0</v>
      </c>
      <c r="B378" s="43" t="s">
        <v>746</v>
      </c>
      <c r="C378" s="43" t="s">
        <v>24</v>
      </c>
      <c r="D378" s="39" t="str">
        <f t="shared" si="1"/>
        <v>V</v>
      </c>
      <c r="E378" s="40" t="str">
        <f t="shared" si="2"/>
        <v>FA330/V/02</v>
      </c>
      <c r="F378" s="8" t="s">
        <v>747</v>
      </c>
      <c r="G378" s="41">
        <v>45342.0</v>
      </c>
      <c r="H378" s="13">
        <v>6.006E7</v>
      </c>
      <c r="I378" s="7"/>
      <c r="J378" s="43"/>
      <c r="K378" s="43" t="s">
        <v>51</v>
      </c>
      <c r="L378" s="43" t="s">
        <v>13</v>
      </c>
      <c r="M378" s="9" t="str">
        <f t="shared" si="3"/>
        <v>02</v>
      </c>
      <c r="N378" s="43" t="s">
        <v>666</v>
      </c>
      <c r="O378" s="8"/>
      <c r="P378" s="8"/>
      <c r="Q378" s="8"/>
      <c r="R378" s="43" t="s">
        <v>52</v>
      </c>
      <c r="S378" s="10"/>
    </row>
    <row r="379" ht="13.5" customHeight="1">
      <c r="A379" s="37">
        <v>375.0</v>
      </c>
      <c r="B379" s="43" t="s">
        <v>748</v>
      </c>
      <c r="C379" s="43" t="s">
        <v>11</v>
      </c>
      <c r="D379" s="39" t="str">
        <f t="shared" si="1"/>
        <v>II</v>
      </c>
      <c r="E379" s="40" t="str">
        <f t="shared" si="2"/>
        <v>FA331/II/01</v>
      </c>
      <c r="F379" s="8" t="s">
        <v>749</v>
      </c>
      <c r="G379" s="41">
        <v>45344.0</v>
      </c>
      <c r="H379" s="13">
        <v>777900.0</v>
      </c>
      <c r="I379" s="7"/>
      <c r="J379" s="43" t="s">
        <v>97</v>
      </c>
      <c r="K379" s="43" t="s">
        <v>158</v>
      </c>
      <c r="L379" s="8" t="s">
        <v>8</v>
      </c>
      <c r="M379" s="9" t="str">
        <f t="shared" si="3"/>
        <v>01</v>
      </c>
      <c r="N379" s="8"/>
      <c r="O379" s="8"/>
      <c r="P379" s="8"/>
      <c r="Q379" s="8"/>
      <c r="R379" s="43" t="s">
        <v>52</v>
      </c>
      <c r="S379" s="10"/>
    </row>
    <row r="380" ht="13.5" customHeight="1">
      <c r="A380" s="37">
        <v>376.0</v>
      </c>
      <c r="B380" s="43" t="s">
        <v>750</v>
      </c>
      <c r="C380" s="43" t="s">
        <v>6</v>
      </c>
      <c r="D380" s="39" t="str">
        <f t="shared" si="1"/>
        <v>I</v>
      </c>
      <c r="E380" s="40" t="str">
        <f t="shared" si="2"/>
        <v>FA332/I/01</v>
      </c>
      <c r="F380" s="8" t="s">
        <v>751</v>
      </c>
      <c r="G380" s="41">
        <v>45344.0</v>
      </c>
      <c r="H380" s="13">
        <v>963400.0</v>
      </c>
      <c r="I380" s="7"/>
      <c r="J380" s="8" t="s">
        <v>372</v>
      </c>
      <c r="K380" s="43" t="s">
        <v>116</v>
      </c>
      <c r="L380" s="8" t="s">
        <v>8</v>
      </c>
      <c r="M380" s="9" t="str">
        <f t="shared" si="3"/>
        <v>01</v>
      </c>
      <c r="N380" s="8" t="s">
        <v>752</v>
      </c>
      <c r="O380" s="8"/>
      <c r="P380" s="8"/>
      <c r="Q380" s="8"/>
      <c r="R380" s="43" t="s">
        <v>52</v>
      </c>
      <c r="S380" s="10"/>
    </row>
    <row r="381" ht="13.5" customHeight="1">
      <c r="A381" s="37">
        <v>377.0</v>
      </c>
      <c r="B381" s="43" t="s">
        <v>753</v>
      </c>
      <c r="C381" s="43" t="s">
        <v>6</v>
      </c>
      <c r="D381" s="39" t="str">
        <f t="shared" si="1"/>
        <v>I</v>
      </c>
      <c r="E381" s="40" t="str">
        <f t="shared" si="2"/>
        <v>FA333/I/01</v>
      </c>
      <c r="F381" s="8" t="s">
        <v>751</v>
      </c>
      <c r="G381" s="41">
        <v>45344.0</v>
      </c>
      <c r="H381" s="13">
        <v>963400.0</v>
      </c>
      <c r="I381" s="7"/>
      <c r="J381" s="8" t="s">
        <v>372</v>
      </c>
      <c r="K381" s="43" t="s">
        <v>116</v>
      </c>
      <c r="L381" s="8" t="s">
        <v>8</v>
      </c>
      <c r="M381" s="9" t="str">
        <f t="shared" si="3"/>
        <v>01</v>
      </c>
      <c r="N381" s="8" t="s">
        <v>752</v>
      </c>
      <c r="O381" s="8"/>
      <c r="P381" s="8"/>
      <c r="Q381" s="8"/>
      <c r="R381" s="43" t="s">
        <v>52</v>
      </c>
      <c r="S381" s="10"/>
    </row>
    <row r="382" ht="13.5" customHeight="1">
      <c r="A382" s="37">
        <v>378.0</v>
      </c>
      <c r="B382" s="43" t="s">
        <v>754</v>
      </c>
      <c r="C382" s="43" t="s">
        <v>11</v>
      </c>
      <c r="D382" s="39" t="str">
        <f t="shared" si="1"/>
        <v>II</v>
      </c>
      <c r="E382" s="40" t="str">
        <f t="shared" si="2"/>
        <v>FA334/II/01</v>
      </c>
      <c r="F382" s="8" t="s">
        <v>154</v>
      </c>
      <c r="G382" s="41">
        <v>45345.0</v>
      </c>
      <c r="H382" s="13">
        <v>859000.0</v>
      </c>
      <c r="I382" s="7"/>
      <c r="J382" s="43" t="s">
        <v>80</v>
      </c>
      <c r="K382" s="43" t="s">
        <v>81</v>
      </c>
      <c r="L382" s="8" t="s">
        <v>8</v>
      </c>
      <c r="M382" s="9" t="str">
        <f t="shared" si="3"/>
        <v>01</v>
      </c>
      <c r="N382" s="8" t="s">
        <v>155</v>
      </c>
      <c r="O382" s="8"/>
      <c r="P382" s="8"/>
      <c r="Q382" s="8"/>
      <c r="R382" s="43" t="s">
        <v>52</v>
      </c>
      <c r="S382" s="10"/>
    </row>
    <row r="383" ht="13.5" customHeight="1">
      <c r="A383" s="37">
        <v>379.0</v>
      </c>
      <c r="B383" s="43" t="s">
        <v>755</v>
      </c>
      <c r="C383" s="43" t="s">
        <v>11</v>
      </c>
      <c r="D383" s="39" t="str">
        <f t="shared" si="1"/>
        <v>II</v>
      </c>
      <c r="E383" s="40" t="str">
        <f t="shared" si="2"/>
        <v>FA335/II/01</v>
      </c>
      <c r="F383" s="8" t="s">
        <v>154</v>
      </c>
      <c r="G383" s="41">
        <v>45345.0</v>
      </c>
      <c r="H383" s="13">
        <v>859000.0</v>
      </c>
      <c r="I383" s="7"/>
      <c r="J383" s="43"/>
      <c r="K383" s="43" t="s">
        <v>108</v>
      </c>
      <c r="L383" s="8" t="s">
        <v>8</v>
      </c>
      <c r="M383" s="9" t="str">
        <f t="shared" si="3"/>
        <v>01</v>
      </c>
      <c r="N383" s="8" t="s">
        <v>155</v>
      </c>
      <c r="O383" s="8"/>
      <c r="P383" s="8"/>
      <c r="Q383" s="8"/>
      <c r="R383" s="43" t="s">
        <v>52</v>
      </c>
      <c r="S383" s="10"/>
    </row>
    <row r="384" ht="13.5" customHeight="1">
      <c r="A384" s="37">
        <v>380.0</v>
      </c>
      <c r="B384" s="43" t="s">
        <v>756</v>
      </c>
      <c r="C384" s="43" t="s">
        <v>11</v>
      </c>
      <c r="D384" s="39" t="str">
        <f t="shared" si="1"/>
        <v>II</v>
      </c>
      <c r="E384" s="40" t="str">
        <f t="shared" si="2"/>
        <v>FA336/II/01</v>
      </c>
      <c r="F384" s="8" t="s">
        <v>154</v>
      </c>
      <c r="G384" s="41">
        <v>45345.0</v>
      </c>
      <c r="H384" s="13">
        <v>859000.0</v>
      </c>
      <c r="I384" s="7"/>
      <c r="J384" s="43"/>
      <c r="K384" s="43" t="s">
        <v>81</v>
      </c>
      <c r="L384" s="8" t="s">
        <v>8</v>
      </c>
      <c r="M384" s="9" t="str">
        <f t="shared" si="3"/>
        <v>01</v>
      </c>
      <c r="N384" s="8" t="s">
        <v>155</v>
      </c>
      <c r="O384" s="8"/>
      <c r="P384" s="8"/>
      <c r="Q384" s="8"/>
      <c r="R384" s="43" t="s">
        <v>52</v>
      </c>
      <c r="S384" s="10"/>
    </row>
    <row r="385" ht="13.5" customHeight="1">
      <c r="A385" s="37">
        <v>381.0</v>
      </c>
      <c r="B385" s="43" t="s">
        <v>757</v>
      </c>
      <c r="C385" s="43" t="s">
        <v>11</v>
      </c>
      <c r="D385" s="39" t="str">
        <f t="shared" si="1"/>
        <v>II</v>
      </c>
      <c r="E385" s="40" t="str">
        <f t="shared" si="2"/>
        <v>FA337/II/01</v>
      </c>
      <c r="F385" s="8" t="s">
        <v>79</v>
      </c>
      <c r="G385" s="41">
        <v>45345.0</v>
      </c>
      <c r="H385" s="13">
        <v>899000.0</v>
      </c>
      <c r="I385" s="7"/>
      <c r="J385" s="43" t="s">
        <v>276</v>
      </c>
      <c r="K385" s="43" t="s">
        <v>47</v>
      </c>
      <c r="L385" s="43" t="s">
        <v>8</v>
      </c>
      <c r="M385" s="9" t="str">
        <f t="shared" si="3"/>
        <v>01</v>
      </c>
      <c r="N385" s="43" t="s">
        <v>155</v>
      </c>
      <c r="O385" s="8"/>
      <c r="P385" s="8"/>
      <c r="Q385" s="8"/>
      <c r="R385" s="43" t="s">
        <v>52</v>
      </c>
      <c r="S385" s="10"/>
    </row>
    <row r="386" ht="13.5" customHeight="1">
      <c r="A386" s="37">
        <v>382.0</v>
      </c>
      <c r="B386" s="43" t="s">
        <v>758</v>
      </c>
      <c r="C386" s="43" t="s">
        <v>11</v>
      </c>
      <c r="D386" s="39" t="str">
        <f t="shared" si="1"/>
        <v>II</v>
      </c>
      <c r="E386" s="40" t="str">
        <f t="shared" si="2"/>
        <v>FA338/II/01</v>
      </c>
      <c r="F386" s="8" t="s">
        <v>79</v>
      </c>
      <c r="G386" s="41">
        <v>45345.0</v>
      </c>
      <c r="H386" s="13">
        <v>899000.0</v>
      </c>
      <c r="I386" s="7"/>
      <c r="J386" s="113" t="s">
        <v>352</v>
      </c>
      <c r="K386" s="43" t="s">
        <v>47</v>
      </c>
      <c r="L386" s="43" t="s">
        <v>8</v>
      </c>
      <c r="M386" s="9" t="str">
        <f t="shared" si="3"/>
        <v>01</v>
      </c>
      <c r="N386" s="43" t="s">
        <v>155</v>
      </c>
      <c r="O386" s="8"/>
      <c r="P386" s="8"/>
      <c r="Q386" s="8"/>
      <c r="R386" s="43" t="s">
        <v>52</v>
      </c>
      <c r="S386" s="10"/>
    </row>
    <row r="387" ht="13.5" customHeight="1">
      <c r="A387" s="37">
        <v>383.0</v>
      </c>
      <c r="B387" s="43" t="s">
        <v>759</v>
      </c>
      <c r="C387" s="43" t="s">
        <v>16</v>
      </c>
      <c r="D387" s="39" t="str">
        <f t="shared" si="1"/>
        <v>III</v>
      </c>
      <c r="E387" s="40" t="str">
        <f t="shared" si="2"/>
        <v>FA339/III/02</v>
      </c>
      <c r="F387" s="8" t="s">
        <v>760</v>
      </c>
      <c r="G387" s="41">
        <v>45351.0</v>
      </c>
      <c r="H387" s="20">
        <v>1.225E7</v>
      </c>
      <c r="I387" s="7"/>
      <c r="J387" s="43" t="s">
        <v>338</v>
      </c>
      <c r="K387" s="8" t="s">
        <v>323</v>
      </c>
      <c r="L387" s="43" t="s">
        <v>13</v>
      </c>
      <c r="M387" s="9" t="str">
        <f t="shared" si="3"/>
        <v>02</v>
      </c>
      <c r="N387" s="8" t="s">
        <v>121</v>
      </c>
      <c r="O387" s="8"/>
      <c r="P387" s="8"/>
      <c r="Q387" s="8"/>
      <c r="R387" s="43" t="s">
        <v>52</v>
      </c>
      <c r="S387" s="10"/>
    </row>
    <row r="388" ht="13.5" customHeight="1">
      <c r="A388" s="37">
        <v>384.0</v>
      </c>
      <c r="B388" s="43" t="s">
        <v>761</v>
      </c>
      <c r="C388" s="43" t="s">
        <v>6</v>
      </c>
      <c r="D388" s="39" t="str">
        <f t="shared" si="1"/>
        <v>I</v>
      </c>
      <c r="E388" s="40" t="str">
        <f t="shared" si="2"/>
        <v>FA340/I/01</v>
      </c>
      <c r="F388" s="8" t="s">
        <v>762</v>
      </c>
      <c r="G388" s="70">
        <v>45351.0</v>
      </c>
      <c r="H388" s="20">
        <v>2068400.0</v>
      </c>
      <c r="I388" s="7"/>
      <c r="J388" s="8" t="s">
        <v>439</v>
      </c>
      <c r="K388" s="8" t="s">
        <v>51</v>
      </c>
      <c r="L388" s="8" t="s">
        <v>8</v>
      </c>
      <c r="M388" s="9" t="str">
        <f t="shared" si="3"/>
        <v>01</v>
      </c>
      <c r="N388" s="8" t="s">
        <v>127</v>
      </c>
      <c r="O388" s="8"/>
      <c r="P388" s="8"/>
      <c r="Q388" s="8"/>
      <c r="R388" s="43" t="s">
        <v>52</v>
      </c>
      <c r="S388" s="10"/>
    </row>
    <row r="389" ht="13.5" customHeight="1">
      <c r="A389" s="37">
        <v>385.0</v>
      </c>
      <c r="B389" s="43" t="s">
        <v>763</v>
      </c>
      <c r="C389" s="43" t="s">
        <v>24</v>
      </c>
      <c r="D389" s="39" t="str">
        <f t="shared" si="1"/>
        <v>V</v>
      </c>
      <c r="E389" s="40" t="str">
        <f t="shared" si="2"/>
        <v>FA341/V/01</v>
      </c>
      <c r="F389" s="125" t="s">
        <v>764</v>
      </c>
      <c r="G389" s="41">
        <v>45355.0</v>
      </c>
      <c r="H389" s="20">
        <v>3.1E9</v>
      </c>
      <c r="I389" s="7"/>
      <c r="J389" s="43" t="s">
        <v>97</v>
      </c>
      <c r="K389" s="8" t="s">
        <v>51</v>
      </c>
      <c r="L389" s="8" t="s">
        <v>8</v>
      </c>
      <c r="M389" s="9" t="str">
        <f t="shared" si="3"/>
        <v>01</v>
      </c>
      <c r="N389" s="43" t="s">
        <v>765</v>
      </c>
      <c r="O389" s="8"/>
      <c r="P389" s="8"/>
      <c r="Q389" s="8"/>
      <c r="R389" s="43" t="s">
        <v>52</v>
      </c>
      <c r="S389" s="10"/>
    </row>
    <row r="390" ht="13.5" customHeight="1">
      <c r="A390" s="37">
        <v>386.0</v>
      </c>
      <c r="B390" s="43" t="s">
        <v>766</v>
      </c>
      <c r="C390" s="43" t="s">
        <v>6</v>
      </c>
      <c r="D390" s="39" t="str">
        <f t="shared" si="1"/>
        <v>I</v>
      </c>
      <c r="E390" s="40" t="str">
        <f t="shared" si="2"/>
        <v>FA342/I/01</v>
      </c>
      <c r="F390" s="125" t="s">
        <v>767</v>
      </c>
      <c r="G390" s="41">
        <v>45365.0</v>
      </c>
      <c r="H390" s="20">
        <v>1370850.4504504504</v>
      </c>
      <c r="I390" s="7"/>
      <c r="J390" s="43" t="s">
        <v>162</v>
      </c>
      <c r="K390" s="8" t="s">
        <v>95</v>
      </c>
      <c r="L390" s="8" t="s">
        <v>8</v>
      </c>
      <c r="M390" s="9" t="str">
        <f t="shared" si="3"/>
        <v>01</v>
      </c>
      <c r="N390" s="8" t="s">
        <v>768</v>
      </c>
      <c r="O390" s="8"/>
      <c r="P390" s="8"/>
      <c r="Q390" s="8"/>
      <c r="R390" s="43" t="s">
        <v>52</v>
      </c>
      <c r="S390" s="10"/>
    </row>
    <row r="391" ht="13.5" customHeight="1">
      <c r="A391" s="37">
        <v>387.0</v>
      </c>
      <c r="B391" s="43" t="s">
        <v>769</v>
      </c>
      <c r="C391" s="43" t="s">
        <v>6</v>
      </c>
      <c r="D391" s="39" t="str">
        <f t="shared" si="1"/>
        <v>I</v>
      </c>
      <c r="E391" s="40" t="str">
        <f t="shared" si="2"/>
        <v>FA343/I/01</v>
      </c>
      <c r="F391" s="125" t="s">
        <v>767</v>
      </c>
      <c r="G391" s="41">
        <v>45365.0</v>
      </c>
      <c r="H391" s="20">
        <v>1370850.4504504504</v>
      </c>
      <c r="I391" s="7"/>
      <c r="J391" s="43" t="s">
        <v>273</v>
      </c>
      <c r="K391" s="43" t="s">
        <v>95</v>
      </c>
      <c r="L391" s="8" t="s">
        <v>8</v>
      </c>
      <c r="M391" s="9" t="str">
        <f t="shared" si="3"/>
        <v>01</v>
      </c>
      <c r="N391" s="8" t="s">
        <v>768</v>
      </c>
      <c r="O391" s="8"/>
      <c r="P391" s="8"/>
      <c r="Q391" s="8"/>
      <c r="R391" s="43" t="s">
        <v>52</v>
      </c>
      <c r="S391" s="10"/>
    </row>
    <row r="392" ht="13.5" customHeight="1">
      <c r="A392" s="37">
        <v>388.0</v>
      </c>
      <c r="B392" s="43" t="s">
        <v>770</v>
      </c>
      <c r="C392" s="43" t="s">
        <v>6</v>
      </c>
      <c r="D392" s="39" t="str">
        <f t="shared" si="1"/>
        <v>I</v>
      </c>
      <c r="E392" s="40" t="str">
        <f t="shared" si="2"/>
        <v>FA344/I/01</v>
      </c>
      <c r="F392" s="125" t="s">
        <v>767</v>
      </c>
      <c r="G392" s="41">
        <v>45365.0</v>
      </c>
      <c r="H392" s="20">
        <v>1370850.4504504504</v>
      </c>
      <c r="I392" s="7"/>
      <c r="J392" s="43" t="s">
        <v>160</v>
      </c>
      <c r="K392" s="43" t="s">
        <v>158</v>
      </c>
      <c r="L392" s="8" t="s">
        <v>8</v>
      </c>
      <c r="M392" s="9" t="str">
        <f t="shared" si="3"/>
        <v>01</v>
      </c>
      <c r="N392" s="8" t="s">
        <v>768</v>
      </c>
      <c r="O392" s="8"/>
      <c r="P392" s="8"/>
      <c r="Q392" s="8"/>
      <c r="R392" s="43" t="s">
        <v>52</v>
      </c>
      <c r="S392" s="10"/>
    </row>
    <row r="393" ht="13.5" customHeight="1">
      <c r="A393" s="37">
        <v>389.0</v>
      </c>
      <c r="B393" s="43" t="s">
        <v>771</v>
      </c>
      <c r="C393" s="43" t="s">
        <v>6</v>
      </c>
      <c r="D393" s="39" t="str">
        <f t="shared" si="1"/>
        <v>I</v>
      </c>
      <c r="E393" s="40" t="str">
        <f t="shared" si="2"/>
        <v>FA345/I/01</v>
      </c>
      <c r="F393" s="125" t="s">
        <v>767</v>
      </c>
      <c r="G393" s="41">
        <v>45365.0</v>
      </c>
      <c r="H393" s="20">
        <v>1370850.4504504504</v>
      </c>
      <c r="I393" s="7"/>
      <c r="J393" s="43" t="s">
        <v>314</v>
      </c>
      <c r="K393" s="43" t="s">
        <v>47</v>
      </c>
      <c r="L393" s="8" t="s">
        <v>8</v>
      </c>
      <c r="M393" s="9" t="str">
        <f t="shared" si="3"/>
        <v>01</v>
      </c>
      <c r="N393" s="8" t="s">
        <v>768</v>
      </c>
      <c r="O393" s="8"/>
      <c r="P393" s="8"/>
      <c r="Q393" s="8"/>
      <c r="R393" s="43" t="s">
        <v>52</v>
      </c>
      <c r="S393" s="10"/>
    </row>
    <row r="394" ht="13.5" customHeight="1">
      <c r="A394" s="37">
        <v>390.0</v>
      </c>
      <c r="B394" s="43" t="s">
        <v>772</v>
      </c>
      <c r="C394" s="43" t="s">
        <v>6</v>
      </c>
      <c r="D394" s="39" t="str">
        <f t="shared" si="1"/>
        <v>I</v>
      </c>
      <c r="E394" s="40" t="str">
        <f t="shared" si="2"/>
        <v>FA346/I/01</v>
      </c>
      <c r="F394" s="8" t="s">
        <v>773</v>
      </c>
      <c r="G394" s="41">
        <v>45365.0</v>
      </c>
      <c r="H394" s="20">
        <v>1370850.4504504504</v>
      </c>
      <c r="I394" s="7"/>
      <c r="J394" s="43" t="s">
        <v>357</v>
      </c>
      <c r="K394" s="43" t="s">
        <v>81</v>
      </c>
      <c r="L394" s="8" t="s">
        <v>8</v>
      </c>
      <c r="M394" s="9" t="str">
        <f t="shared" si="3"/>
        <v>01</v>
      </c>
      <c r="N394" s="8" t="s">
        <v>768</v>
      </c>
      <c r="O394" s="8"/>
      <c r="P394" s="8"/>
      <c r="Q394" s="8"/>
      <c r="R394" s="43" t="s">
        <v>52</v>
      </c>
      <c r="S394" s="10"/>
    </row>
    <row r="395" ht="13.5" customHeight="1">
      <c r="A395" s="37">
        <v>391.0</v>
      </c>
      <c r="B395" s="43" t="s">
        <v>774</v>
      </c>
      <c r="C395" s="43" t="s">
        <v>24</v>
      </c>
      <c r="D395" s="39" t="str">
        <f t="shared" si="1"/>
        <v>V</v>
      </c>
      <c r="E395" s="40" t="str">
        <f t="shared" si="2"/>
        <v>FA347/V/01</v>
      </c>
      <c r="F395" s="125" t="s">
        <v>775</v>
      </c>
      <c r="G395" s="41">
        <v>45366.0</v>
      </c>
      <c r="H395" s="20">
        <v>1.6E9</v>
      </c>
      <c r="I395" s="7"/>
      <c r="J395" s="8" t="s">
        <v>97</v>
      </c>
      <c r="K395" s="8" t="s">
        <v>51</v>
      </c>
      <c r="L395" s="8" t="s">
        <v>8</v>
      </c>
      <c r="M395" s="9" t="str">
        <f t="shared" si="3"/>
        <v>01</v>
      </c>
      <c r="N395" s="8" t="s">
        <v>293</v>
      </c>
      <c r="O395" s="8"/>
      <c r="P395" s="8"/>
      <c r="Q395" s="8"/>
      <c r="R395" s="43" t="s">
        <v>52</v>
      </c>
      <c r="S395" s="10"/>
    </row>
    <row r="396" ht="13.5" customHeight="1">
      <c r="A396" s="37">
        <v>392.0</v>
      </c>
      <c r="B396" s="43" t="s">
        <v>776</v>
      </c>
      <c r="C396" s="43" t="s">
        <v>6</v>
      </c>
      <c r="D396" s="39" t="str">
        <f t="shared" si="1"/>
        <v>I</v>
      </c>
      <c r="E396" s="40" t="str">
        <f t="shared" si="2"/>
        <v>FA348/I/02</v>
      </c>
      <c r="F396" s="8" t="s">
        <v>777</v>
      </c>
      <c r="G396" s="122">
        <v>45365.0</v>
      </c>
      <c r="H396" s="13">
        <v>1531532.0</v>
      </c>
      <c r="I396" s="7"/>
      <c r="J396" s="8" t="s">
        <v>120</v>
      </c>
      <c r="K396" s="8" t="s">
        <v>95</v>
      </c>
      <c r="L396" s="43" t="s">
        <v>13</v>
      </c>
      <c r="M396" s="9" t="str">
        <f t="shared" si="3"/>
        <v>02</v>
      </c>
      <c r="N396" s="8" t="s">
        <v>778</v>
      </c>
      <c r="O396" s="8"/>
      <c r="P396" s="8"/>
      <c r="Q396" s="8"/>
      <c r="R396" s="43" t="s">
        <v>52</v>
      </c>
      <c r="S396" s="10"/>
    </row>
    <row r="397" ht="13.5" customHeight="1">
      <c r="A397" s="37">
        <v>393.0</v>
      </c>
      <c r="B397" s="43" t="s">
        <v>779</v>
      </c>
      <c r="C397" s="43" t="s">
        <v>6</v>
      </c>
      <c r="D397" s="39" t="str">
        <f t="shared" si="1"/>
        <v>I</v>
      </c>
      <c r="E397" s="40" t="str">
        <f t="shared" si="2"/>
        <v>FA349/I/01</v>
      </c>
      <c r="F397" s="8" t="s">
        <v>777</v>
      </c>
      <c r="G397" s="122">
        <v>45366.0</v>
      </c>
      <c r="H397" s="13">
        <v>1531532.0</v>
      </c>
      <c r="I397" s="7"/>
      <c r="J397" s="8" t="s">
        <v>120</v>
      </c>
      <c r="K397" s="8" t="s">
        <v>95</v>
      </c>
      <c r="L397" s="43" t="s">
        <v>8</v>
      </c>
      <c r="M397" s="9" t="str">
        <f t="shared" si="3"/>
        <v>01</v>
      </c>
      <c r="N397" s="8" t="s">
        <v>778</v>
      </c>
      <c r="O397" s="8"/>
      <c r="P397" s="8"/>
      <c r="Q397" s="8"/>
      <c r="R397" s="43" t="s">
        <v>52</v>
      </c>
      <c r="S397" s="10"/>
    </row>
    <row r="398" ht="13.5" customHeight="1">
      <c r="A398" s="37">
        <v>394.0</v>
      </c>
      <c r="B398" s="43" t="s">
        <v>780</v>
      </c>
      <c r="C398" s="43" t="s">
        <v>24</v>
      </c>
      <c r="D398" s="39" t="str">
        <f t="shared" si="1"/>
        <v>V</v>
      </c>
      <c r="E398" s="40" t="str">
        <f t="shared" si="2"/>
        <v>FA350/V/01</v>
      </c>
      <c r="F398" s="125" t="s">
        <v>781</v>
      </c>
      <c r="G398" s="41">
        <v>45378.0</v>
      </c>
      <c r="H398" s="13">
        <v>3.1E7</v>
      </c>
      <c r="I398" s="7"/>
      <c r="J398" s="8" t="s">
        <v>97</v>
      </c>
      <c r="K398" s="8" t="s">
        <v>51</v>
      </c>
      <c r="L398" s="43" t="s">
        <v>8</v>
      </c>
      <c r="M398" s="9" t="str">
        <f t="shared" si="3"/>
        <v>01</v>
      </c>
      <c r="N398" s="8"/>
      <c r="O398" s="8"/>
      <c r="P398" s="8"/>
      <c r="Q398" s="8"/>
      <c r="R398" s="43" t="s">
        <v>52</v>
      </c>
      <c r="S398" s="10"/>
    </row>
    <row r="399" ht="13.5" customHeight="1">
      <c r="A399" s="37">
        <v>395.0</v>
      </c>
      <c r="B399" s="43" t="s">
        <v>782</v>
      </c>
      <c r="C399" s="43" t="s">
        <v>24</v>
      </c>
      <c r="D399" s="39" t="str">
        <f t="shared" si="1"/>
        <v>V</v>
      </c>
      <c r="E399" s="40" t="str">
        <f t="shared" si="2"/>
        <v>FA351/V/01</v>
      </c>
      <c r="F399" s="126" t="s">
        <v>783</v>
      </c>
      <c r="G399" s="41">
        <v>45378.0</v>
      </c>
      <c r="H399" s="20">
        <v>7000000.0</v>
      </c>
      <c r="I399" s="7"/>
      <c r="J399" s="8" t="s">
        <v>97</v>
      </c>
      <c r="K399" s="8" t="s">
        <v>51</v>
      </c>
      <c r="L399" s="43" t="s">
        <v>8</v>
      </c>
      <c r="M399" s="9" t="str">
        <f t="shared" si="3"/>
        <v>01</v>
      </c>
      <c r="N399" s="8"/>
      <c r="O399" s="8"/>
      <c r="P399" s="8"/>
      <c r="Q399" s="8"/>
      <c r="R399" s="43" t="s">
        <v>52</v>
      </c>
      <c r="S399" s="10"/>
    </row>
    <row r="400" ht="13.5" customHeight="1">
      <c r="A400" s="37">
        <v>396.0</v>
      </c>
      <c r="B400" s="43" t="s">
        <v>784</v>
      </c>
      <c r="C400" s="43" t="s">
        <v>24</v>
      </c>
      <c r="D400" s="39" t="str">
        <f t="shared" si="1"/>
        <v>V</v>
      </c>
      <c r="E400" s="40" t="str">
        <f t="shared" si="2"/>
        <v>FA352/V/01</v>
      </c>
      <c r="F400" s="126" t="s">
        <v>785</v>
      </c>
      <c r="G400" s="41">
        <v>45378.0</v>
      </c>
      <c r="H400" s="20">
        <v>7000000.0</v>
      </c>
      <c r="I400" s="7"/>
      <c r="J400" s="8" t="s">
        <v>97</v>
      </c>
      <c r="K400" s="8" t="s">
        <v>51</v>
      </c>
      <c r="L400" s="43" t="s">
        <v>8</v>
      </c>
      <c r="M400" s="9" t="str">
        <f t="shared" si="3"/>
        <v>01</v>
      </c>
      <c r="N400" s="8"/>
      <c r="O400" s="8"/>
      <c r="P400" s="8"/>
      <c r="Q400" s="8"/>
      <c r="R400" s="43" t="s">
        <v>52</v>
      </c>
      <c r="S400" s="10"/>
    </row>
    <row r="401" ht="13.5" customHeight="1">
      <c r="A401" s="37">
        <v>397.0</v>
      </c>
      <c r="B401" s="43" t="s">
        <v>786</v>
      </c>
      <c r="C401" s="43" t="s">
        <v>6</v>
      </c>
      <c r="D401" s="39" t="str">
        <f t="shared" si="1"/>
        <v>I</v>
      </c>
      <c r="E401" s="40" t="str">
        <f t="shared" si="2"/>
        <v>FA353/I/02</v>
      </c>
      <c r="F401" s="8" t="s">
        <v>787</v>
      </c>
      <c r="G401" s="41">
        <v>45412.0</v>
      </c>
      <c r="H401" s="20">
        <v>6780000.0</v>
      </c>
      <c r="I401" s="7"/>
      <c r="J401" s="8"/>
      <c r="K401" s="40" t="s">
        <v>51</v>
      </c>
      <c r="L401" s="43" t="s">
        <v>13</v>
      </c>
      <c r="M401" s="9" t="str">
        <f t="shared" si="3"/>
        <v>02</v>
      </c>
      <c r="N401" s="8" t="s">
        <v>788</v>
      </c>
      <c r="O401" s="8"/>
      <c r="P401" s="8"/>
      <c r="Q401" s="8"/>
      <c r="R401" s="43" t="s">
        <v>52</v>
      </c>
      <c r="S401" s="10"/>
    </row>
    <row r="402" ht="13.5" customHeight="1">
      <c r="A402" s="37">
        <v>398.0</v>
      </c>
      <c r="B402" s="43" t="s">
        <v>789</v>
      </c>
      <c r="C402" s="43" t="s">
        <v>6</v>
      </c>
      <c r="D402" s="39" t="str">
        <f t="shared" si="1"/>
        <v>I</v>
      </c>
      <c r="E402" s="40" t="str">
        <f t="shared" si="2"/>
        <v>FA354/I/01</v>
      </c>
      <c r="F402" s="8" t="s">
        <v>790</v>
      </c>
      <c r="G402" s="41">
        <v>45412.0</v>
      </c>
      <c r="H402" s="20">
        <v>3975000.0</v>
      </c>
      <c r="I402" s="7"/>
      <c r="J402" s="43" t="s">
        <v>162</v>
      </c>
      <c r="K402" s="43" t="s">
        <v>158</v>
      </c>
      <c r="L402" s="8" t="s">
        <v>8</v>
      </c>
      <c r="M402" s="9" t="str">
        <f t="shared" si="3"/>
        <v>01</v>
      </c>
      <c r="N402" s="8" t="s">
        <v>791</v>
      </c>
      <c r="O402" s="8"/>
      <c r="P402" s="8"/>
      <c r="Q402" s="8"/>
      <c r="R402" s="43" t="s">
        <v>52</v>
      </c>
      <c r="S402" s="10"/>
    </row>
    <row r="403" ht="13.5" customHeight="1">
      <c r="A403" s="37">
        <v>399.0</v>
      </c>
      <c r="B403" s="43" t="s">
        <v>792</v>
      </c>
      <c r="C403" s="43" t="s">
        <v>11</v>
      </c>
      <c r="D403" s="39" t="str">
        <f t="shared" si="1"/>
        <v>II</v>
      </c>
      <c r="E403" s="40" t="str">
        <f t="shared" si="2"/>
        <v>FA355/II/02</v>
      </c>
      <c r="F403" s="8" t="s">
        <v>793</v>
      </c>
      <c r="G403" s="41">
        <v>45412.0</v>
      </c>
      <c r="H403" s="13">
        <v>1600000.0</v>
      </c>
      <c r="I403" s="7"/>
      <c r="J403" s="43"/>
      <c r="K403" s="8" t="s">
        <v>95</v>
      </c>
      <c r="L403" s="43" t="s">
        <v>13</v>
      </c>
      <c r="M403" s="9" t="str">
        <f t="shared" si="3"/>
        <v>02</v>
      </c>
      <c r="N403" s="8"/>
      <c r="O403" s="8"/>
      <c r="P403" s="8"/>
      <c r="Q403" s="8"/>
      <c r="R403" s="43" t="s">
        <v>52</v>
      </c>
      <c r="S403" s="10"/>
    </row>
    <row r="404" ht="13.5" customHeight="1">
      <c r="A404" s="37">
        <v>400.0</v>
      </c>
      <c r="B404" s="43" t="s">
        <v>794</v>
      </c>
      <c r="C404" s="43" t="s">
        <v>11</v>
      </c>
      <c r="D404" s="39" t="str">
        <f t="shared" si="1"/>
        <v>II</v>
      </c>
      <c r="E404" s="40" t="str">
        <f t="shared" si="2"/>
        <v>FA356/II/02</v>
      </c>
      <c r="F404" s="8" t="s">
        <v>793</v>
      </c>
      <c r="G404" s="41">
        <v>45412.0</v>
      </c>
      <c r="H404" s="13">
        <v>1600000.0</v>
      </c>
      <c r="I404" s="7"/>
      <c r="J404" s="43"/>
      <c r="K404" s="8" t="s">
        <v>95</v>
      </c>
      <c r="L404" s="43" t="s">
        <v>13</v>
      </c>
      <c r="M404" s="9" t="str">
        <f t="shared" si="3"/>
        <v>02</v>
      </c>
      <c r="N404" s="8"/>
      <c r="O404" s="8"/>
      <c r="P404" s="8"/>
      <c r="Q404" s="8"/>
      <c r="R404" s="43" t="s">
        <v>52</v>
      </c>
      <c r="S404" s="10"/>
    </row>
    <row r="405" ht="13.5" customHeight="1">
      <c r="A405" s="37">
        <v>401.0</v>
      </c>
      <c r="B405" s="43" t="s">
        <v>795</v>
      </c>
      <c r="C405" s="43" t="s">
        <v>24</v>
      </c>
      <c r="D405" s="39" t="str">
        <f t="shared" si="1"/>
        <v>V</v>
      </c>
      <c r="E405" s="40" t="str">
        <f t="shared" si="2"/>
        <v>FA357/V/02</v>
      </c>
      <c r="F405" s="40" t="s">
        <v>796</v>
      </c>
      <c r="G405" s="41">
        <v>45412.0</v>
      </c>
      <c r="H405" s="20">
        <v>1328700.0</v>
      </c>
      <c r="I405" s="7"/>
      <c r="J405" s="43"/>
      <c r="K405" s="43" t="s">
        <v>323</v>
      </c>
      <c r="L405" s="43" t="s">
        <v>13</v>
      </c>
      <c r="M405" s="9" t="str">
        <f t="shared" si="3"/>
        <v>02</v>
      </c>
      <c r="N405" s="8" t="s">
        <v>485</v>
      </c>
      <c r="O405" s="8"/>
      <c r="P405" s="8"/>
      <c r="Q405" s="8"/>
      <c r="R405" s="43" t="s">
        <v>52</v>
      </c>
      <c r="S405" s="10"/>
    </row>
    <row r="406" ht="13.5" customHeight="1">
      <c r="A406" s="37">
        <v>402.0</v>
      </c>
      <c r="B406" s="43" t="s">
        <v>797</v>
      </c>
      <c r="C406" s="43" t="s">
        <v>6</v>
      </c>
      <c r="D406" s="39" t="str">
        <f t="shared" si="1"/>
        <v>I</v>
      </c>
      <c r="E406" s="40" t="str">
        <f t="shared" si="2"/>
        <v>FA358/I/01</v>
      </c>
      <c r="F406" s="43" t="s">
        <v>798</v>
      </c>
      <c r="G406" s="122">
        <v>45420.0</v>
      </c>
      <c r="H406" s="13">
        <v>642100.0</v>
      </c>
      <c r="I406" s="116"/>
      <c r="J406" s="43" t="s">
        <v>112</v>
      </c>
      <c r="K406" s="43" t="s">
        <v>95</v>
      </c>
      <c r="L406" s="43" t="s">
        <v>8</v>
      </c>
      <c r="M406" s="9" t="str">
        <f t="shared" si="3"/>
        <v>01</v>
      </c>
      <c r="N406" s="43" t="s">
        <v>799</v>
      </c>
      <c r="O406" s="8"/>
      <c r="P406" s="8"/>
      <c r="Q406" s="8"/>
      <c r="R406" s="43" t="s">
        <v>52</v>
      </c>
      <c r="S406" s="10"/>
    </row>
    <row r="407" ht="13.5" customHeight="1">
      <c r="A407" s="37">
        <v>403.0</v>
      </c>
      <c r="B407" s="43" t="s">
        <v>800</v>
      </c>
      <c r="C407" s="43" t="s">
        <v>6</v>
      </c>
      <c r="D407" s="39" t="str">
        <f t="shared" si="1"/>
        <v>I</v>
      </c>
      <c r="E407" s="40" t="str">
        <f t="shared" si="2"/>
        <v>FA359/I/01</v>
      </c>
      <c r="F407" s="43" t="s">
        <v>798</v>
      </c>
      <c r="G407" s="122">
        <v>45420.0</v>
      </c>
      <c r="H407" s="13">
        <v>642100.0</v>
      </c>
      <c r="I407" s="116"/>
      <c r="J407" s="43" t="s">
        <v>112</v>
      </c>
      <c r="K407" s="43" t="s">
        <v>95</v>
      </c>
      <c r="L407" s="43" t="s">
        <v>8</v>
      </c>
      <c r="M407" s="9" t="str">
        <f t="shared" si="3"/>
        <v>01</v>
      </c>
      <c r="N407" s="43" t="s">
        <v>799</v>
      </c>
      <c r="O407" s="8"/>
      <c r="P407" s="8"/>
      <c r="Q407" s="8"/>
      <c r="R407" s="43" t="s">
        <v>52</v>
      </c>
      <c r="S407" s="10"/>
    </row>
    <row r="408" ht="13.5" customHeight="1">
      <c r="A408" s="37">
        <v>404.0</v>
      </c>
      <c r="B408" s="43" t="s">
        <v>801</v>
      </c>
      <c r="C408" s="43" t="s">
        <v>6</v>
      </c>
      <c r="D408" s="39" t="str">
        <f t="shared" si="1"/>
        <v>I</v>
      </c>
      <c r="E408" s="40" t="str">
        <f t="shared" si="2"/>
        <v>FA360/I/01</v>
      </c>
      <c r="F408" s="43" t="s">
        <v>798</v>
      </c>
      <c r="G408" s="122">
        <v>45420.0</v>
      </c>
      <c r="H408" s="13">
        <v>642100.0</v>
      </c>
      <c r="I408" s="116"/>
      <c r="J408" s="43" t="s">
        <v>112</v>
      </c>
      <c r="K408" s="43" t="s">
        <v>95</v>
      </c>
      <c r="L408" s="43" t="s">
        <v>8</v>
      </c>
      <c r="M408" s="9" t="str">
        <f t="shared" si="3"/>
        <v>01</v>
      </c>
      <c r="N408" s="43" t="s">
        <v>799</v>
      </c>
      <c r="O408" s="8"/>
      <c r="P408" s="8"/>
      <c r="Q408" s="8"/>
      <c r="R408" s="43" t="s">
        <v>52</v>
      </c>
      <c r="S408" s="10"/>
    </row>
    <row r="409" ht="13.5" customHeight="1">
      <c r="A409" s="37">
        <v>405.0</v>
      </c>
      <c r="B409" s="43" t="s">
        <v>802</v>
      </c>
      <c r="C409" s="43" t="s">
        <v>6</v>
      </c>
      <c r="D409" s="39" t="str">
        <f t="shared" si="1"/>
        <v>I</v>
      </c>
      <c r="E409" s="40" t="str">
        <f t="shared" si="2"/>
        <v>FA361/I/01</v>
      </c>
      <c r="F409" s="43" t="s">
        <v>798</v>
      </c>
      <c r="G409" s="122">
        <v>45420.0</v>
      </c>
      <c r="H409" s="13">
        <v>642100.0</v>
      </c>
      <c r="I409" s="116"/>
      <c r="J409" s="43" t="s">
        <v>112</v>
      </c>
      <c r="K409" s="43" t="s">
        <v>95</v>
      </c>
      <c r="L409" s="43" t="s">
        <v>8</v>
      </c>
      <c r="M409" s="9" t="str">
        <f t="shared" si="3"/>
        <v>01</v>
      </c>
      <c r="N409" s="43" t="s">
        <v>799</v>
      </c>
      <c r="O409" s="8"/>
      <c r="P409" s="8"/>
      <c r="Q409" s="8"/>
      <c r="R409" s="43" t="s">
        <v>52</v>
      </c>
      <c r="S409" s="10"/>
    </row>
    <row r="410" ht="13.5" customHeight="1">
      <c r="A410" s="37">
        <v>406.0</v>
      </c>
      <c r="B410" s="43" t="s">
        <v>803</v>
      </c>
      <c r="C410" s="43" t="s">
        <v>6</v>
      </c>
      <c r="D410" s="39" t="str">
        <f t="shared" si="1"/>
        <v>I</v>
      </c>
      <c r="E410" s="40" t="str">
        <f t="shared" si="2"/>
        <v>FA362/I/01</v>
      </c>
      <c r="F410" s="43" t="s">
        <v>798</v>
      </c>
      <c r="G410" s="122">
        <v>45420.0</v>
      </c>
      <c r="H410" s="13">
        <v>642100.0</v>
      </c>
      <c r="I410" s="116"/>
      <c r="J410" s="43" t="s">
        <v>112</v>
      </c>
      <c r="K410" s="43" t="s">
        <v>95</v>
      </c>
      <c r="L410" s="43" t="s">
        <v>8</v>
      </c>
      <c r="M410" s="9" t="str">
        <f t="shared" si="3"/>
        <v>01</v>
      </c>
      <c r="N410" s="43" t="s">
        <v>799</v>
      </c>
      <c r="O410" s="8"/>
      <c r="P410" s="8"/>
      <c r="Q410" s="8"/>
      <c r="R410" s="43" t="s">
        <v>52</v>
      </c>
      <c r="S410" s="10"/>
    </row>
    <row r="411" ht="13.5" customHeight="1">
      <c r="A411" s="37">
        <v>407.0</v>
      </c>
      <c r="B411" s="43" t="s">
        <v>804</v>
      </c>
      <c r="C411" s="43" t="s">
        <v>6</v>
      </c>
      <c r="D411" s="39" t="str">
        <f t="shared" si="1"/>
        <v>I</v>
      </c>
      <c r="E411" s="40" t="str">
        <f t="shared" si="2"/>
        <v>FA363/I/01</v>
      </c>
      <c r="F411" s="43" t="s">
        <v>798</v>
      </c>
      <c r="G411" s="122">
        <v>45420.0</v>
      </c>
      <c r="H411" s="13">
        <v>642100.0</v>
      </c>
      <c r="I411" s="116"/>
      <c r="J411" s="43" t="s">
        <v>112</v>
      </c>
      <c r="K411" s="43" t="s">
        <v>95</v>
      </c>
      <c r="L411" s="43" t="s">
        <v>8</v>
      </c>
      <c r="M411" s="9" t="str">
        <f t="shared" si="3"/>
        <v>01</v>
      </c>
      <c r="N411" s="43" t="s">
        <v>799</v>
      </c>
      <c r="O411" s="8"/>
      <c r="P411" s="8"/>
      <c r="Q411" s="8"/>
      <c r="R411" s="43" t="s">
        <v>52</v>
      </c>
      <c r="S411" s="10"/>
    </row>
    <row r="412" ht="13.5" customHeight="1">
      <c r="A412" s="37">
        <v>408.0</v>
      </c>
      <c r="B412" s="43" t="s">
        <v>805</v>
      </c>
      <c r="C412" s="43" t="s">
        <v>6</v>
      </c>
      <c r="D412" s="39" t="str">
        <f t="shared" si="1"/>
        <v>I</v>
      </c>
      <c r="E412" s="40" t="str">
        <f t="shared" si="2"/>
        <v>FA364/I/01</v>
      </c>
      <c r="F412" s="43" t="s">
        <v>798</v>
      </c>
      <c r="G412" s="122">
        <v>45420.0</v>
      </c>
      <c r="H412" s="13">
        <v>642100.0</v>
      </c>
      <c r="I412" s="116"/>
      <c r="J412" s="43" t="s">
        <v>112</v>
      </c>
      <c r="K412" s="43" t="s">
        <v>95</v>
      </c>
      <c r="L412" s="43" t="s">
        <v>8</v>
      </c>
      <c r="M412" s="9" t="str">
        <f t="shared" si="3"/>
        <v>01</v>
      </c>
      <c r="N412" s="43" t="s">
        <v>799</v>
      </c>
      <c r="O412" s="8"/>
      <c r="P412" s="8"/>
      <c r="Q412" s="8"/>
      <c r="R412" s="43" t="s">
        <v>52</v>
      </c>
      <c r="S412" s="10"/>
    </row>
    <row r="413" ht="13.5" customHeight="1">
      <c r="A413" s="37">
        <v>409.0</v>
      </c>
      <c r="B413" s="43" t="s">
        <v>806</v>
      </c>
      <c r="C413" s="43" t="s">
        <v>6</v>
      </c>
      <c r="D413" s="39" t="str">
        <f t="shared" si="1"/>
        <v>I</v>
      </c>
      <c r="E413" s="40" t="str">
        <f t="shared" si="2"/>
        <v>FA365/I/01</v>
      </c>
      <c r="F413" s="43" t="s">
        <v>798</v>
      </c>
      <c r="G413" s="122">
        <v>45420.0</v>
      </c>
      <c r="H413" s="13">
        <v>642100.0</v>
      </c>
      <c r="I413" s="116"/>
      <c r="J413" s="43" t="s">
        <v>112</v>
      </c>
      <c r="K413" s="43" t="s">
        <v>95</v>
      </c>
      <c r="L413" s="43" t="s">
        <v>8</v>
      </c>
      <c r="M413" s="9" t="str">
        <f t="shared" si="3"/>
        <v>01</v>
      </c>
      <c r="N413" s="43" t="s">
        <v>799</v>
      </c>
      <c r="O413" s="8"/>
      <c r="P413" s="8"/>
      <c r="Q413" s="8"/>
      <c r="R413" s="43" t="s">
        <v>52</v>
      </c>
      <c r="S413" s="10"/>
    </row>
    <row r="414" ht="13.5" customHeight="1">
      <c r="A414" s="37">
        <v>410.0</v>
      </c>
      <c r="B414" s="43" t="s">
        <v>807</v>
      </c>
      <c r="C414" s="43" t="s">
        <v>6</v>
      </c>
      <c r="D414" s="39" t="str">
        <f t="shared" si="1"/>
        <v>I</v>
      </c>
      <c r="E414" s="40" t="str">
        <f t="shared" si="2"/>
        <v>FA366/I/01</v>
      </c>
      <c r="F414" s="43" t="s">
        <v>798</v>
      </c>
      <c r="G414" s="122">
        <v>45420.0</v>
      </c>
      <c r="H414" s="13">
        <v>642100.0</v>
      </c>
      <c r="I414" s="116"/>
      <c r="J414" s="43" t="s">
        <v>112</v>
      </c>
      <c r="K414" s="43" t="s">
        <v>95</v>
      </c>
      <c r="L414" s="43" t="s">
        <v>8</v>
      </c>
      <c r="M414" s="9" t="str">
        <f t="shared" si="3"/>
        <v>01</v>
      </c>
      <c r="N414" s="43" t="s">
        <v>799</v>
      </c>
      <c r="O414" s="8"/>
      <c r="P414" s="8"/>
      <c r="Q414" s="8"/>
      <c r="R414" s="43" t="s">
        <v>52</v>
      </c>
      <c r="S414" s="10"/>
    </row>
    <row r="415" ht="13.5" customHeight="1">
      <c r="A415" s="37">
        <v>411.0</v>
      </c>
      <c r="B415" s="43" t="s">
        <v>808</v>
      </c>
      <c r="C415" s="43" t="s">
        <v>6</v>
      </c>
      <c r="D415" s="39" t="str">
        <f t="shared" si="1"/>
        <v>I</v>
      </c>
      <c r="E415" s="40" t="str">
        <f t="shared" si="2"/>
        <v>FA367/I/01</v>
      </c>
      <c r="F415" s="43" t="s">
        <v>798</v>
      </c>
      <c r="G415" s="122">
        <v>45420.0</v>
      </c>
      <c r="H415" s="13">
        <v>642100.0</v>
      </c>
      <c r="I415" s="116"/>
      <c r="J415" s="43" t="s">
        <v>112</v>
      </c>
      <c r="K415" s="43" t="s">
        <v>95</v>
      </c>
      <c r="L415" s="43" t="s">
        <v>8</v>
      </c>
      <c r="M415" s="9" t="str">
        <f t="shared" si="3"/>
        <v>01</v>
      </c>
      <c r="N415" s="43" t="s">
        <v>799</v>
      </c>
      <c r="O415" s="8"/>
      <c r="P415" s="8"/>
      <c r="Q415" s="8"/>
      <c r="R415" s="43" t="s">
        <v>52</v>
      </c>
      <c r="S415" s="10"/>
    </row>
    <row r="416" ht="13.5" customHeight="1">
      <c r="A416" s="37">
        <v>412.0</v>
      </c>
      <c r="B416" s="43" t="s">
        <v>809</v>
      </c>
      <c r="C416" s="43" t="s">
        <v>6</v>
      </c>
      <c r="D416" s="39" t="str">
        <f t="shared" si="1"/>
        <v>I</v>
      </c>
      <c r="E416" s="40" t="str">
        <f t="shared" si="2"/>
        <v>FA368/I/01</v>
      </c>
      <c r="F416" s="43" t="s">
        <v>798</v>
      </c>
      <c r="G416" s="122">
        <v>45420.0</v>
      </c>
      <c r="H416" s="13">
        <v>642100.0</v>
      </c>
      <c r="I416" s="116"/>
      <c r="J416" s="43" t="s">
        <v>112</v>
      </c>
      <c r="K416" s="43" t="s">
        <v>95</v>
      </c>
      <c r="L416" s="43" t="s">
        <v>8</v>
      </c>
      <c r="M416" s="9" t="str">
        <f t="shared" si="3"/>
        <v>01</v>
      </c>
      <c r="N416" s="43" t="s">
        <v>799</v>
      </c>
      <c r="O416" s="8"/>
      <c r="P416" s="8"/>
      <c r="Q416" s="8"/>
      <c r="R416" s="43" t="s">
        <v>52</v>
      </c>
      <c r="S416" s="10"/>
    </row>
    <row r="417" ht="13.5" customHeight="1">
      <c r="A417" s="37">
        <v>413.0</v>
      </c>
      <c r="B417" s="43" t="s">
        <v>810</v>
      </c>
      <c r="C417" s="43" t="s">
        <v>6</v>
      </c>
      <c r="D417" s="39" t="str">
        <f t="shared" si="1"/>
        <v>I</v>
      </c>
      <c r="E417" s="40" t="str">
        <f t="shared" si="2"/>
        <v>FA369/I/01</v>
      </c>
      <c r="F417" s="43" t="s">
        <v>798</v>
      </c>
      <c r="G417" s="122">
        <v>45420.0</v>
      </c>
      <c r="H417" s="13">
        <v>642100.0</v>
      </c>
      <c r="I417" s="116"/>
      <c r="J417" s="43" t="s">
        <v>112</v>
      </c>
      <c r="K417" s="43" t="s">
        <v>95</v>
      </c>
      <c r="L417" s="43" t="s">
        <v>8</v>
      </c>
      <c r="M417" s="9" t="str">
        <f t="shared" si="3"/>
        <v>01</v>
      </c>
      <c r="N417" s="43" t="s">
        <v>799</v>
      </c>
      <c r="O417" s="8"/>
      <c r="P417" s="8"/>
      <c r="Q417" s="8"/>
      <c r="R417" s="43" t="s">
        <v>52</v>
      </c>
      <c r="S417" s="10"/>
    </row>
    <row r="418" ht="13.5" customHeight="1">
      <c r="A418" s="37">
        <v>414.0</v>
      </c>
      <c r="B418" s="43" t="s">
        <v>811</v>
      </c>
      <c r="C418" s="43" t="s">
        <v>6</v>
      </c>
      <c r="D418" s="39" t="str">
        <f t="shared" si="1"/>
        <v>I</v>
      </c>
      <c r="E418" s="40" t="str">
        <f t="shared" si="2"/>
        <v>FA370/I/01</v>
      </c>
      <c r="F418" s="8" t="s">
        <v>812</v>
      </c>
      <c r="G418" s="41">
        <v>45420.0</v>
      </c>
      <c r="H418" s="13">
        <v>1210200.0</v>
      </c>
      <c r="I418" s="7"/>
      <c r="J418" s="43" t="s">
        <v>162</v>
      </c>
      <c r="K418" s="8" t="s">
        <v>95</v>
      </c>
      <c r="L418" s="8" t="s">
        <v>8</v>
      </c>
      <c r="M418" s="9" t="str">
        <f t="shared" si="3"/>
        <v>01</v>
      </c>
      <c r="N418" s="8" t="s">
        <v>813</v>
      </c>
      <c r="O418" s="8"/>
      <c r="P418" s="8"/>
      <c r="Q418" s="8"/>
      <c r="R418" s="8" t="s">
        <v>52</v>
      </c>
      <c r="S418" s="10"/>
    </row>
    <row r="419" ht="13.5" customHeight="1">
      <c r="A419" s="37">
        <v>415.0</v>
      </c>
      <c r="B419" s="43" t="s">
        <v>814</v>
      </c>
      <c r="C419" s="43" t="s">
        <v>6</v>
      </c>
      <c r="D419" s="39" t="str">
        <f t="shared" si="1"/>
        <v>I</v>
      </c>
      <c r="E419" s="40" t="str">
        <f t="shared" si="2"/>
        <v>FA371/I/01</v>
      </c>
      <c r="F419" s="8" t="s">
        <v>815</v>
      </c>
      <c r="G419" s="41">
        <v>45420.0</v>
      </c>
      <c r="H419" s="13">
        <v>816900.0</v>
      </c>
      <c r="I419" s="7"/>
      <c r="J419" s="43" t="s">
        <v>162</v>
      </c>
      <c r="K419" s="8" t="s">
        <v>95</v>
      </c>
      <c r="L419" s="8" t="s">
        <v>8</v>
      </c>
      <c r="M419" s="9" t="str">
        <f t="shared" si="3"/>
        <v>01</v>
      </c>
      <c r="N419" s="8"/>
      <c r="O419" s="8"/>
      <c r="P419" s="8"/>
      <c r="Q419" s="8"/>
      <c r="R419" s="43" t="s">
        <v>52</v>
      </c>
      <c r="S419" s="10"/>
    </row>
    <row r="420" ht="13.5" customHeight="1">
      <c r="A420" s="37">
        <v>416.0</v>
      </c>
      <c r="B420" s="43" t="s">
        <v>816</v>
      </c>
      <c r="C420" s="43" t="s">
        <v>6</v>
      </c>
      <c r="D420" s="39" t="str">
        <f t="shared" si="1"/>
        <v>I</v>
      </c>
      <c r="E420" s="40" t="str">
        <f t="shared" si="2"/>
        <v>FA372/I/01</v>
      </c>
      <c r="F420" s="8" t="s">
        <v>815</v>
      </c>
      <c r="G420" s="41">
        <v>45420.0</v>
      </c>
      <c r="H420" s="13">
        <v>816900.0</v>
      </c>
      <c r="I420" s="7"/>
      <c r="J420" s="43" t="s">
        <v>162</v>
      </c>
      <c r="K420" s="43" t="s">
        <v>51</v>
      </c>
      <c r="L420" s="8" t="s">
        <v>8</v>
      </c>
      <c r="M420" s="9" t="str">
        <f t="shared" si="3"/>
        <v>01</v>
      </c>
      <c r="N420" s="8"/>
      <c r="O420" s="8"/>
      <c r="P420" s="8"/>
      <c r="Q420" s="8"/>
      <c r="R420" s="43" t="s">
        <v>52</v>
      </c>
      <c r="S420" s="10"/>
    </row>
    <row r="421" ht="13.5" customHeight="1">
      <c r="A421" s="37">
        <v>417.0</v>
      </c>
      <c r="B421" s="43" t="s">
        <v>817</v>
      </c>
      <c r="C421" s="43" t="s">
        <v>11</v>
      </c>
      <c r="D421" s="39" t="str">
        <f t="shared" si="1"/>
        <v>II</v>
      </c>
      <c r="E421" s="40" t="str">
        <f t="shared" si="2"/>
        <v>FA373/II/01</v>
      </c>
      <c r="F421" s="8" t="s">
        <v>79</v>
      </c>
      <c r="G421" s="41">
        <v>45443.0</v>
      </c>
      <c r="H421" s="13">
        <v>799000.0</v>
      </c>
      <c r="I421" s="7"/>
      <c r="J421" s="43" t="s">
        <v>389</v>
      </c>
      <c r="K421" s="43" t="s">
        <v>116</v>
      </c>
      <c r="L421" s="8" t="s">
        <v>8</v>
      </c>
      <c r="M421" s="9" t="str">
        <f t="shared" si="3"/>
        <v>01</v>
      </c>
      <c r="N421" s="8" t="s">
        <v>155</v>
      </c>
      <c r="O421" s="8"/>
      <c r="P421" s="8"/>
      <c r="Q421" s="8"/>
      <c r="R421" s="43" t="s">
        <v>52</v>
      </c>
      <c r="S421" s="10"/>
    </row>
    <row r="422" ht="13.5" customHeight="1">
      <c r="A422" s="37">
        <v>418.0</v>
      </c>
      <c r="B422" s="43" t="s">
        <v>818</v>
      </c>
      <c r="C422" s="43" t="s">
        <v>11</v>
      </c>
      <c r="D422" s="39" t="str">
        <f t="shared" si="1"/>
        <v>II</v>
      </c>
      <c r="E422" s="40" t="str">
        <f t="shared" si="2"/>
        <v>FA374/II/01</v>
      </c>
      <c r="F422" s="8" t="s">
        <v>79</v>
      </c>
      <c r="G422" s="41">
        <v>45443.0</v>
      </c>
      <c r="H422" s="13">
        <v>799000.0</v>
      </c>
      <c r="I422" s="7"/>
      <c r="J422" s="43" t="s">
        <v>299</v>
      </c>
      <c r="K422" s="43" t="s">
        <v>81</v>
      </c>
      <c r="L422" s="8" t="s">
        <v>8</v>
      </c>
      <c r="M422" s="9" t="str">
        <f t="shared" si="3"/>
        <v>01</v>
      </c>
      <c r="N422" s="8" t="s">
        <v>155</v>
      </c>
      <c r="O422" s="8"/>
      <c r="P422" s="8"/>
      <c r="Q422" s="8"/>
      <c r="R422" s="43" t="s">
        <v>52</v>
      </c>
      <c r="S422" s="10"/>
    </row>
    <row r="423" ht="13.5" customHeight="1">
      <c r="A423" s="37">
        <v>419.0</v>
      </c>
      <c r="B423" s="43" t="s">
        <v>819</v>
      </c>
      <c r="C423" s="43" t="s">
        <v>11</v>
      </c>
      <c r="D423" s="39" t="str">
        <f t="shared" si="1"/>
        <v>II</v>
      </c>
      <c r="E423" s="40" t="str">
        <f t="shared" si="2"/>
        <v>FA375/II/01</v>
      </c>
      <c r="F423" s="8" t="s">
        <v>79</v>
      </c>
      <c r="G423" s="41">
        <v>45443.0</v>
      </c>
      <c r="H423" s="13">
        <v>799000.0</v>
      </c>
      <c r="I423" s="7"/>
      <c r="J423" s="43" t="s">
        <v>427</v>
      </c>
      <c r="K423" s="43" t="s">
        <v>108</v>
      </c>
      <c r="L423" s="8" t="s">
        <v>8</v>
      </c>
      <c r="M423" s="9" t="str">
        <f t="shared" si="3"/>
        <v>01</v>
      </c>
      <c r="N423" s="8" t="s">
        <v>155</v>
      </c>
      <c r="O423" s="8"/>
      <c r="P423" s="8"/>
      <c r="Q423" s="8"/>
      <c r="R423" s="43" t="s">
        <v>52</v>
      </c>
      <c r="S423" s="10"/>
    </row>
    <row r="424" ht="13.5" customHeight="1">
      <c r="A424" s="37">
        <v>420.0</v>
      </c>
      <c r="B424" s="43" t="s">
        <v>820</v>
      </c>
      <c r="C424" s="43" t="s">
        <v>6</v>
      </c>
      <c r="D424" s="39" t="str">
        <f t="shared" si="1"/>
        <v>I</v>
      </c>
      <c r="E424" s="40" t="str">
        <f t="shared" si="2"/>
        <v>FA376/I/01</v>
      </c>
      <c r="F424" s="43" t="s">
        <v>798</v>
      </c>
      <c r="G424" s="122">
        <v>45447.0</v>
      </c>
      <c r="H424" s="13">
        <v>651200.0</v>
      </c>
      <c r="I424" s="116"/>
      <c r="J424" s="43" t="s">
        <v>112</v>
      </c>
      <c r="K424" s="43" t="s">
        <v>95</v>
      </c>
      <c r="L424" s="43" t="s">
        <v>8</v>
      </c>
      <c r="M424" s="9" t="str">
        <f t="shared" si="3"/>
        <v>01</v>
      </c>
      <c r="N424" s="43" t="s">
        <v>799</v>
      </c>
      <c r="O424" s="8"/>
      <c r="P424" s="8"/>
      <c r="Q424" s="8"/>
      <c r="R424" s="43" t="s">
        <v>52</v>
      </c>
      <c r="S424" s="10"/>
    </row>
    <row r="425" ht="13.5" customHeight="1">
      <c r="A425" s="37">
        <v>421.0</v>
      </c>
      <c r="B425" s="43" t="s">
        <v>821</v>
      </c>
      <c r="C425" s="43" t="s">
        <v>16</v>
      </c>
      <c r="D425" s="39" t="str">
        <f t="shared" si="1"/>
        <v>III</v>
      </c>
      <c r="E425" s="40" t="str">
        <f t="shared" si="2"/>
        <v>FA377/III/01</v>
      </c>
      <c r="F425" s="43" t="s">
        <v>822</v>
      </c>
      <c r="G425" s="122">
        <v>45450.0</v>
      </c>
      <c r="H425" s="13">
        <v>5396175.0</v>
      </c>
      <c r="I425" s="116"/>
      <c r="J425" s="43"/>
      <c r="K425" s="43" t="s">
        <v>95</v>
      </c>
      <c r="L425" s="43" t="s">
        <v>8</v>
      </c>
      <c r="M425" s="9" t="str">
        <f t="shared" si="3"/>
        <v>01</v>
      </c>
      <c r="N425" s="43" t="s">
        <v>121</v>
      </c>
      <c r="O425" s="8"/>
      <c r="P425" s="8"/>
      <c r="Q425" s="8"/>
      <c r="R425" s="43" t="s">
        <v>52</v>
      </c>
      <c r="S425" s="10"/>
    </row>
    <row r="426" ht="13.5" customHeight="1">
      <c r="A426" s="37">
        <v>422.0</v>
      </c>
      <c r="B426" s="43" t="s">
        <v>823</v>
      </c>
      <c r="C426" s="43" t="s">
        <v>11</v>
      </c>
      <c r="D426" s="39" t="str">
        <f t="shared" si="1"/>
        <v>II</v>
      </c>
      <c r="E426" s="40" t="str">
        <f t="shared" si="2"/>
        <v>FA378/II/01</v>
      </c>
      <c r="F426" s="43" t="s">
        <v>824</v>
      </c>
      <c r="G426" s="122">
        <v>45462.0</v>
      </c>
      <c r="H426" s="13">
        <v>576340.0</v>
      </c>
      <c r="I426" s="116"/>
      <c r="J426" s="43" t="s">
        <v>386</v>
      </c>
      <c r="K426" s="43" t="s">
        <v>47</v>
      </c>
      <c r="L426" s="43" t="s">
        <v>8</v>
      </c>
      <c r="M426" s="9" t="str">
        <f t="shared" si="3"/>
        <v>01</v>
      </c>
      <c r="N426" s="8"/>
      <c r="O426" s="8"/>
      <c r="P426" s="8"/>
      <c r="Q426" s="8"/>
      <c r="R426" s="43" t="s">
        <v>52</v>
      </c>
      <c r="S426" s="10"/>
    </row>
    <row r="427" ht="13.5" customHeight="1">
      <c r="A427" s="37">
        <v>423.0</v>
      </c>
      <c r="B427" s="43" t="s">
        <v>825</v>
      </c>
      <c r="C427" s="43" t="s">
        <v>24</v>
      </c>
      <c r="D427" s="39" t="str">
        <f t="shared" si="1"/>
        <v>V</v>
      </c>
      <c r="E427" s="40" t="str">
        <f t="shared" si="2"/>
        <v>FA379/V/01</v>
      </c>
      <c r="F427" s="127" t="s">
        <v>826</v>
      </c>
      <c r="G427" s="128">
        <v>45471.0</v>
      </c>
      <c r="H427" s="129">
        <v>983900.0</v>
      </c>
      <c r="I427" s="129"/>
      <c r="J427" s="43" t="s">
        <v>110</v>
      </c>
      <c r="K427" s="43" t="s">
        <v>51</v>
      </c>
      <c r="L427" s="43" t="s">
        <v>8</v>
      </c>
      <c r="M427" s="9" t="str">
        <f t="shared" si="3"/>
        <v>01</v>
      </c>
      <c r="N427" s="43" t="s">
        <v>827</v>
      </c>
      <c r="O427" s="8"/>
      <c r="P427" s="8"/>
      <c r="Q427" s="8"/>
      <c r="R427" s="43" t="s">
        <v>52</v>
      </c>
      <c r="S427" s="10"/>
    </row>
    <row r="428" ht="13.5" customHeight="1">
      <c r="A428" s="37">
        <v>424.0</v>
      </c>
      <c r="B428" s="43" t="s">
        <v>828</v>
      </c>
      <c r="C428" s="43" t="s">
        <v>24</v>
      </c>
      <c r="D428" s="39" t="str">
        <f t="shared" si="1"/>
        <v>V</v>
      </c>
      <c r="E428" s="40" t="str">
        <f t="shared" si="2"/>
        <v>FA380/V/01</v>
      </c>
      <c r="F428" s="127" t="s">
        <v>829</v>
      </c>
      <c r="G428" s="128">
        <v>45471.0</v>
      </c>
      <c r="H428" s="130">
        <v>563000.0</v>
      </c>
      <c r="I428" s="129"/>
      <c r="J428" s="43" t="s">
        <v>59</v>
      </c>
      <c r="K428" s="43" t="s">
        <v>51</v>
      </c>
      <c r="L428" s="43" t="s">
        <v>8</v>
      </c>
      <c r="M428" s="9" t="str">
        <f t="shared" si="3"/>
        <v>01</v>
      </c>
      <c r="N428" s="43"/>
      <c r="O428" s="8"/>
      <c r="P428" s="8"/>
      <c r="Q428" s="8"/>
      <c r="R428" s="43" t="s">
        <v>52</v>
      </c>
      <c r="S428" s="10"/>
    </row>
    <row r="429" ht="13.5" customHeight="1">
      <c r="A429" s="37">
        <v>425.0</v>
      </c>
      <c r="B429" s="43" t="s">
        <v>830</v>
      </c>
      <c r="C429" s="43" t="s">
        <v>6</v>
      </c>
      <c r="D429" s="39" t="str">
        <f t="shared" si="1"/>
        <v>I</v>
      </c>
      <c r="E429" s="40" t="str">
        <f t="shared" si="2"/>
        <v>FA381/I/01</v>
      </c>
      <c r="F429" s="43" t="s">
        <v>831</v>
      </c>
      <c r="G429" s="122">
        <v>45478.0</v>
      </c>
      <c r="H429" s="13">
        <v>1150000.0</v>
      </c>
      <c r="I429" s="116"/>
      <c r="J429" s="43" t="s">
        <v>97</v>
      </c>
      <c r="K429" s="43" t="s">
        <v>51</v>
      </c>
      <c r="L429" s="43" t="s">
        <v>8</v>
      </c>
      <c r="M429" s="9" t="str">
        <f t="shared" si="3"/>
        <v>01</v>
      </c>
      <c r="N429" s="43" t="s">
        <v>832</v>
      </c>
      <c r="O429" s="8"/>
      <c r="P429" s="8"/>
      <c r="Q429" s="8"/>
      <c r="R429" s="43" t="s">
        <v>52</v>
      </c>
      <c r="S429" s="10"/>
    </row>
    <row r="430">
      <c r="A430" s="37">
        <v>426.0</v>
      </c>
      <c r="B430" s="43" t="s">
        <v>833</v>
      </c>
      <c r="C430" s="43" t="s">
        <v>11</v>
      </c>
      <c r="D430" s="39" t="str">
        <f t="shared" si="1"/>
        <v>II</v>
      </c>
      <c r="E430" s="40" t="str">
        <f t="shared" si="2"/>
        <v>FA382/II/01</v>
      </c>
      <c r="F430" s="43" t="s">
        <v>834</v>
      </c>
      <c r="G430" s="122">
        <v>45455.0</v>
      </c>
      <c r="H430" s="13">
        <v>1399000.0</v>
      </c>
      <c r="I430" s="116"/>
      <c r="J430" s="43" t="s">
        <v>166</v>
      </c>
      <c r="K430" s="43" t="s">
        <v>95</v>
      </c>
      <c r="L430" s="43" t="s">
        <v>8</v>
      </c>
      <c r="M430" s="9" t="str">
        <f t="shared" si="3"/>
        <v>01</v>
      </c>
      <c r="N430" s="43" t="s">
        <v>155</v>
      </c>
      <c r="O430" s="8"/>
      <c r="P430" s="8"/>
      <c r="Q430" s="8"/>
      <c r="R430" s="43" t="s">
        <v>52</v>
      </c>
      <c r="S430" s="10"/>
    </row>
    <row r="431" ht="13.5" customHeight="1">
      <c r="A431" s="37">
        <v>427.0</v>
      </c>
      <c r="B431" s="43" t="s">
        <v>835</v>
      </c>
      <c r="C431" s="43" t="s">
        <v>24</v>
      </c>
      <c r="D431" s="39" t="str">
        <f t="shared" si="1"/>
        <v>V</v>
      </c>
      <c r="E431" s="40" t="str">
        <f t="shared" si="2"/>
        <v>FA383/V/01</v>
      </c>
      <c r="F431" s="131" t="s">
        <v>836</v>
      </c>
      <c r="G431" s="132">
        <v>45476.0</v>
      </c>
      <c r="H431" s="130">
        <v>1350000.0</v>
      </c>
      <c r="I431" s="130"/>
      <c r="J431" s="43" t="s">
        <v>59</v>
      </c>
      <c r="K431" s="43" t="s">
        <v>51</v>
      </c>
      <c r="L431" s="43" t="s">
        <v>8</v>
      </c>
      <c r="M431" s="9" t="str">
        <f t="shared" si="3"/>
        <v>01</v>
      </c>
      <c r="N431" s="43" t="s">
        <v>837</v>
      </c>
      <c r="O431" s="8"/>
      <c r="P431" s="8"/>
      <c r="Q431" s="8"/>
      <c r="R431" s="43" t="s">
        <v>52</v>
      </c>
      <c r="S431" s="10"/>
    </row>
    <row r="432" ht="13.5" customHeight="1">
      <c r="A432" s="37">
        <v>428.0</v>
      </c>
      <c r="B432" s="43" t="s">
        <v>838</v>
      </c>
      <c r="C432" s="43" t="s">
        <v>24</v>
      </c>
      <c r="D432" s="39" t="str">
        <f t="shared" si="1"/>
        <v>V</v>
      </c>
      <c r="E432" s="40" t="str">
        <f t="shared" si="2"/>
        <v>FA384/V/01</v>
      </c>
      <c r="F432" s="113" t="s">
        <v>839</v>
      </c>
      <c r="G432" s="132">
        <v>45485.0</v>
      </c>
      <c r="H432" s="130">
        <v>880000.0</v>
      </c>
      <c r="I432" s="130"/>
      <c r="J432" s="43" t="s">
        <v>110</v>
      </c>
      <c r="K432" s="43" t="s">
        <v>51</v>
      </c>
      <c r="L432" s="43" t="s">
        <v>8</v>
      </c>
      <c r="M432" s="9" t="str">
        <f t="shared" si="3"/>
        <v>01</v>
      </c>
      <c r="N432" s="43" t="s">
        <v>827</v>
      </c>
      <c r="O432" s="8"/>
      <c r="P432" s="8"/>
      <c r="Q432" s="8"/>
      <c r="R432" s="43" t="s">
        <v>52</v>
      </c>
      <c r="S432" s="10"/>
    </row>
    <row r="433" ht="13.5" customHeight="1">
      <c r="A433" s="37">
        <v>429.0</v>
      </c>
      <c r="B433" s="43" t="s">
        <v>840</v>
      </c>
      <c r="C433" s="43" t="s">
        <v>24</v>
      </c>
      <c r="D433" s="39" t="str">
        <f t="shared" si="1"/>
        <v>V</v>
      </c>
      <c r="E433" s="40" t="str">
        <f t="shared" si="2"/>
        <v>FA385/V/01</v>
      </c>
      <c r="F433" s="131" t="s">
        <v>841</v>
      </c>
      <c r="G433" s="128">
        <v>45492.0</v>
      </c>
      <c r="H433" s="130">
        <v>2500000.0</v>
      </c>
      <c r="I433" s="130"/>
      <c r="J433" s="43" t="s">
        <v>110</v>
      </c>
      <c r="K433" s="43" t="s">
        <v>51</v>
      </c>
      <c r="L433" s="43" t="s">
        <v>8</v>
      </c>
      <c r="M433" s="9" t="str">
        <f t="shared" si="3"/>
        <v>01</v>
      </c>
      <c r="N433" s="43" t="s">
        <v>837</v>
      </c>
      <c r="O433" s="8"/>
      <c r="P433" s="8"/>
      <c r="Q433" s="8"/>
      <c r="R433" s="43" t="s">
        <v>52</v>
      </c>
      <c r="S433" s="10"/>
    </row>
    <row r="434" ht="13.5" customHeight="1">
      <c r="A434" s="37">
        <v>430.0</v>
      </c>
      <c r="B434" s="43" t="s">
        <v>842</v>
      </c>
      <c r="C434" s="43" t="s">
        <v>11</v>
      </c>
      <c r="D434" s="39" t="str">
        <f t="shared" si="1"/>
        <v>II</v>
      </c>
      <c r="E434" s="40" t="str">
        <f t="shared" si="2"/>
        <v>FA386/II/01</v>
      </c>
      <c r="F434" s="43" t="s">
        <v>843</v>
      </c>
      <c r="G434" s="122">
        <v>45496.0</v>
      </c>
      <c r="H434" s="13">
        <v>424900.0</v>
      </c>
      <c r="I434" s="116"/>
      <c r="J434" s="43" t="s">
        <v>166</v>
      </c>
      <c r="K434" s="43" t="s">
        <v>95</v>
      </c>
      <c r="L434" s="43" t="s">
        <v>8</v>
      </c>
      <c r="M434" s="9" t="str">
        <f t="shared" si="3"/>
        <v>01</v>
      </c>
      <c r="N434" s="8"/>
      <c r="O434" s="8"/>
      <c r="P434" s="8"/>
      <c r="Q434" s="8"/>
      <c r="R434" s="43" t="s">
        <v>52</v>
      </c>
      <c r="S434" s="10"/>
    </row>
    <row r="435" ht="13.5" customHeight="1">
      <c r="A435" s="37">
        <v>431.0</v>
      </c>
      <c r="B435" s="43" t="s">
        <v>844</v>
      </c>
      <c r="C435" s="43" t="s">
        <v>6</v>
      </c>
      <c r="D435" s="39" t="str">
        <f t="shared" si="1"/>
        <v>I</v>
      </c>
      <c r="E435" s="40" t="str">
        <f t="shared" si="2"/>
        <v>FA387/I/01</v>
      </c>
      <c r="F435" s="43" t="s">
        <v>831</v>
      </c>
      <c r="G435" s="122">
        <v>45499.0</v>
      </c>
      <c r="H435" s="13">
        <v>1150000.0</v>
      </c>
      <c r="I435" s="116"/>
      <c r="J435" s="43" t="s">
        <v>112</v>
      </c>
      <c r="K435" s="43" t="s">
        <v>95</v>
      </c>
      <c r="L435" s="43" t="s">
        <v>8</v>
      </c>
      <c r="M435" s="9" t="str">
        <f t="shared" si="3"/>
        <v>01</v>
      </c>
      <c r="N435" s="43" t="s">
        <v>832</v>
      </c>
      <c r="O435" s="8"/>
      <c r="P435" s="8"/>
      <c r="Q435" s="8"/>
      <c r="R435" s="43" t="s">
        <v>52</v>
      </c>
      <c r="S435" s="10"/>
    </row>
    <row r="436" ht="13.5" customHeight="1">
      <c r="A436" s="37">
        <v>432.0</v>
      </c>
      <c r="B436" s="43" t="s">
        <v>845</v>
      </c>
      <c r="C436" s="43" t="s">
        <v>24</v>
      </c>
      <c r="D436" s="39" t="str">
        <f t="shared" si="1"/>
        <v>V</v>
      </c>
      <c r="E436" s="40" t="str">
        <f t="shared" si="2"/>
        <v>FA388/V/03</v>
      </c>
      <c r="F436" s="43" t="s">
        <v>846</v>
      </c>
      <c r="G436" s="122">
        <v>45513.0</v>
      </c>
      <c r="H436" s="13">
        <v>1.05E7</v>
      </c>
      <c r="I436" s="116"/>
      <c r="J436" s="43" t="s">
        <v>322</v>
      </c>
      <c r="K436" s="43" t="s">
        <v>51</v>
      </c>
      <c r="L436" s="43" t="s">
        <v>18</v>
      </c>
      <c r="M436" s="9" t="str">
        <f t="shared" si="3"/>
        <v>03</v>
      </c>
      <c r="N436" s="8"/>
      <c r="O436" s="8"/>
      <c r="P436" s="8"/>
      <c r="Q436" s="8"/>
      <c r="R436" s="43" t="s">
        <v>52</v>
      </c>
      <c r="S436" s="10"/>
    </row>
    <row r="437" ht="13.5" customHeight="1">
      <c r="A437" s="37">
        <v>433.0</v>
      </c>
      <c r="B437" s="43" t="s">
        <v>847</v>
      </c>
      <c r="C437" s="43" t="s">
        <v>24</v>
      </c>
      <c r="D437" s="39" t="str">
        <f t="shared" si="1"/>
        <v>V</v>
      </c>
      <c r="E437" s="40" t="str">
        <f t="shared" si="2"/>
        <v>FA389/V/03</v>
      </c>
      <c r="F437" s="43" t="s">
        <v>848</v>
      </c>
      <c r="G437" s="122">
        <v>45513.0</v>
      </c>
      <c r="H437" s="13">
        <v>5.6E7</v>
      </c>
      <c r="I437" s="116"/>
      <c r="J437" s="43" t="s">
        <v>322</v>
      </c>
      <c r="K437" s="43" t="s">
        <v>51</v>
      </c>
      <c r="L437" s="43" t="s">
        <v>18</v>
      </c>
      <c r="M437" s="9" t="str">
        <f t="shared" si="3"/>
        <v>03</v>
      </c>
      <c r="N437" s="43" t="s">
        <v>666</v>
      </c>
      <c r="O437" s="8"/>
      <c r="P437" s="8"/>
      <c r="Q437" s="8"/>
      <c r="R437" s="43" t="s">
        <v>52</v>
      </c>
      <c r="S437" s="10"/>
    </row>
    <row r="438" ht="13.5" customHeight="1">
      <c r="A438" s="37">
        <v>434.0</v>
      </c>
      <c r="B438" s="43" t="s">
        <v>849</v>
      </c>
      <c r="C438" s="43" t="s">
        <v>24</v>
      </c>
      <c r="D438" s="39" t="str">
        <f t="shared" si="1"/>
        <v>V</v>
      </c>
      <c r="E438" s="40" t="str">
        <f t="shared" si="2"/>
        <v>FA390/V/03</v>
      </c>
      <c r="F438" s="43" t="s">
        <v>850</v>
      </c>
      <c r="G438" s="122">
        <v>45513.0</v>
      </c>
      <c r="H438" s="13">
        <v>1.25E7</v>
      </c>
      <c r="I438" s="116"/>
      <c r="J438" s="43" t="s">
        <v>322</v>
      </c>
      <c r="K438" s="43" t="s">
        <v>51</v>
      </c>
      <c r="L438" s="43" t="s">
        <v>18</v>
      </c>
      <c r="M438" s="9" t="str">
        <f t="shared" si="3"/>
        <v>03</v>
      </c>
      <c r="N438" s="8"/>
      <c r="O438" s="8"/>
      <c r="P438" s="8"/>
      <c r="Q438" s="8"/>
      <c r="R438" s="43" t="s">
        <v>52</v>
      </c>
      <c r="S438" s="10"/>
    </row>
    <row r="439" ht="13.5" customHeight="1">
      <c r="A439" s="37">
        <v>435.0</v>
      </c>
      <c r="B439" s="43" t="s">
        <v>851</v>
      </c>
      <c r="C439" s="43" t="s">
        <v>24</v>
      </c>
      <c r="D439" s="39" t="str">
        <f t="shared" si="1"/>
        <v>V</v>
      </c>
      <c r="E439" s="40" t="str">
        <f t="shared" si="2"/>
        <v>FA391/V/03</v>
      </c>
      <c r="F439" s="43" t="s">
        <v>852</v>
      </c>
      <c r="G439" s="122">
        <v>45524.0</v>
      </c>
      <c r="H439" s="13">
        <v>2700000.0</v>
      </c>
      <c r="I439" s="116"/>
      <c r="J439" s="43" t="s">
        <v>322</v>
      </c>
      <c r="K439" s="43" t="s">
        <v>51</v>
      </c>
      <c r="L439" s="43" t="s">
        <v>18</v>
      </c>
      <c r="M439" s="9" t="str">
        <f t="shared" si="3"/>
        <v>03</v>
      </c>
      <c r="N439" s="43" t="s">
        <v>853</v>
      </c>
      <c r="O439" s="8"/>
      <c r="P439" s="8"/>
      <c r="Q439" s="8"/>
      <c r="R439" s="43" t="s">
        <v>52</v>
      </c>
      <c r="S439" s="10"/>
    </row>
    <row r="440" ht="13.5" customHeight="1">
      <c r="A440" s="37">
        <v>436.0</v>
      </c>
      <c r="B440" s="43" t="s">
        <v>854</v>
      </c>
      <c r="C440" s="43" t="s">
        <v>24</v>
      </c>
      <c r="D440" s="39" t="str">
        <f t="shared" si="1"/>
        <v>V</v>
      </c>
      <c r="E440" s="40" t="str">
        <f t="shared" si="2"/>
        <v>FA392/V/03</v>
      </c>
      <c r="F440" s="43" t="s">
        <v>855</v>
      </c>
      <c r="G440" s="122">
        <v>45524.0</v>
      </c>
      <c r="H440" s="13">
        <v>7000000.0</v>
      </c>
      <c r="I440" s="116"/>
      <c r="J440" s="43" t="s">
        <v>322</v>
      </c>
      <c r="K440" s="43" t="s">
        <v>51</v>
      </c>
      <c r="L440" s="43" t="s">
        <v>18</v>
      </c>
      <c r="M440" s="9" t="str">
        <f t="shared" si="3"/>
        <v>03</v>
      </c>
      <c r="N440" s="43" t="s">
        <v>853</v>
      </c>
      <c r="O440" s="8"/>
      <c r="P440" s="8"/>
      <c r="Q440" s="8"/>
      <c r="R440" s="43" t="s">
        <v>52</v>
      </c>
      <c r="S440" s="10"/>
    </row>
    <row r="441" ht="13.5" customHeight="1">
      <c r="A441" s="37">
        <v>437.0</v>
      </c>
      <c r="B441" s="43" t="s">
        <v>856</v>
      </c>
      <c r="C441" s="43" t="s">
        <v>24</v>
      </c>
      <c r="D441" s="39" t="str">
        <f t="shared" si="1"/>
        <v>V</v>
      </c>
      <c r="E441" s="40" t="str">
        <f t="shared" si="2"/>
        <v>FA393/V/03</v>
      </c>
      <c r="F441" s="43" t="s">
        <v>857</v>
      </c>
      <c r="G441" s="122">
        <v>45524.0</v>
      </c>
      <c r="H441" s="13">
        <v>484500.0</v>
      </c>
      <c r="I441" s="116"/>
      <c r="J441" s="43" t="s">
        <v>322</v>
      </c>
      <c r="K441" s="43" t="s">
        <v>51</v>
      </c>
      <c r="L441" s="43" t="s">
        <v>18</v>
      </c>
      <c r="M441" s="9" t="str">
        <f t="shared" si="3"/>
        <v>03</v>
      </c>
      <c r="N441" s="8"/>
      <c r="O441" s="8"/>
      <c r="P441" s="8"/>
      <c r="Q441" s="8"/>
      <c r="R441" s="43" t="s">
        <v>52</v>
      </c>
      <c r="S441" s="10"/>
    </row>
    <row r="442" ht="13.5" customHeight="1">
      <c r="A442" s="37">
        <v>437.0</v>
      </c>
      <c r="B442" s="43" t="s">
        <v>858</v>
      </c>
      <c r="C442" s="43" t="s">
        <v>24</v>
      </c>
      <c r="D442" s="39" t="str">
        <f t="shared" si="1"/>
        <v>V</v>
      </c>
      <c r="E442" s="40" t="str">
        <f t="shared" si="2"/>
        <v>FA394/V/03</v>
      </c>
      <c r="F442" s="43" t="s">
        <v>857</v>
      </c>
      <c r="G442" s="122">
        <v>45524.0</v>
      </c>
      <c r="H442" s="13">
        <v>484500.0</v>
      </c>
      <c r="I442" s="116"/>
      <c r="J442" s="43" t="s">
        <v>322</v>
      </c>
      <c r="K442" s="43" t="s">
        <v>51</v>
      </c>
      <c r="L442" s="43" t="s">
        <v>18</v>
      </c>
      <c r="M442" s="9" t="str">
        <f t="shared" si="3"/>
        <v>03</v>
      </c>
      <c r="N442" s="8"/>
      <c r="O442" s="8"/>
      <c r="P442" s="8"/>
      <c r="Q442" s="8"/>
      <c r="R442" s="43" t="s">
        <v>52</v>
      </c>
      <c r="S442" s="10"/>
    </row>
    <row r="443" ht="13.5" customHeight="1">
      <c r="A443" s="37">
        <v>438.0</v>
      </c>
      <c r="B443" s="43" t="s">
        <v>859</v>
      </c>
      <c r="C443" s="43" t="s">
        <v>24</v>
      </c>
      <c r="D443" s="39" t="str">
        <f t="shared" si="1"/>
        <v>V</v>
      </c>
      <c r="E443" s="40" t="str">
        <f t="shared" si="2"/>
        <v>FA395/V/03</v>
      </c>
      <c r="F443" s="43" t="s">
        <v>860</v>
      </c>
      <c r="G443" s="122">
        <v>45530.0</v>
      </c>
      <c r="H443" s="13">
        <v>683375.0</v>
      </c>
      <c r="I443" s="116"/>
      <c r="J443" s="43" t="s">
        <v>322</v>
      </c>
      <c r="K443" s="43" t="s">
        <v>51</v>
      </c>
      <c r="L443" s="43" t="s">
        <v>18</v>
      </c>
      <c r="M443" s="9" t="str">
        <f t="shared" si="3"/>
        <v>03</v>
      </c>
      <c r="N443" s="43" t="s">
        <v>861</v>
      </c>
      <c r="O443" s="8"/>
      <c r="P443" s="8"/>
      <c r="Q443" s="8"/>
      <c r="R443" s="43" t="s">
        <v>52</v>
      </c>
      <c r="S443" s="10"/>
    </row>
    <row r="444" ht="13.5" customHeight="1">
      <c r="A444" s="37">
        <v>439.0</v>
      </c>
      <c r="B444" s="43" t="s">
        <v>862</v>
      </c>
      <c r="C444" s="43" t="s">
        <v>24</v>
      </c>
      <c r="D444" s="39" t="str">
        <f t="shared" si="1"/>
        <v>V</v>
      </c>
      <c r="E444" s="40" t="str">
        <f t="shared" si="2"/>
        <v>FA396/V/01</v>
      </c>
      <c r="F444" s="43" t="s">
        <v>863</v>
      </c>
      <c r="G444" s="133">
        <v>45559.0</v>
      </c>
      <c r="H444" s="13">
        <v>1430000.0</v>
      </c>
      <c r="I444" s="116"/>
      <c r="J444" s="43" t="s">
        <v>97</v>
      </c>
      <c r="K444" s="43" t="s">
        <v>51</v>
      </c>
      <c r="L444" s="43" t="s">
        <v>8</v>
      </c>
      <c r="M444" s="9" t="str">
        <f t="shared" si="3"/>
        <v>01</v>
      </c>
      <c r="N444" s="43" t="s">
        <v>864</v>
      </c>
      <c r="O444" s="8"/>
      <c r="P444" s="8"/>
      <c r="Q444" s="8"/>
      <c r="R444" s="43" t="s">
        <v>52</v>
      </c>
      <c r="S444" s="10"/>
    </row>
    <row r="445" ht="13.5" customHeight="1">
      <c r="A445" s="37">
        <v>440.0</v>
      </c>
      <c r="B445" s="43" t="s">
        <v>865</v>
      </c>
      <c r="C445" s="43" t="s">
        <v>6</v>
      </c>
      <c r="D445" s="39" t="str">
        <f t="shared" si="1"/>
        <v>I</v>
      </c>
      <c r="E445" s="40" t="str">
        <f t="shared" si="2"/>
        <v>FA397/I/01</v>
      </c>
      <c r="F445" s="43" t="s">
        <v>866</v>
      </c>
      <c r="G445" s="122">
        <v>45561.0</v>
      </c>
      <c r="H445" s="13">
        <v>350000.0</v>
      </c>
      <c r="I445" s="116"/>
      <c r="J445" s="43" t="s">
        <v>50</v>
      </c>
      <c r="K445" s="43" t="s">
        <v>51</v>
      </c>
      <c r="L445" s="43" t="s">
        <v>8</v>
      </c>
      <c r="M445" s="9" t="str">
        <f t="shared" si="3"/>
        <v>01</v>
      </c>
      <c r="N445" s="43" t="s">
        <v>84</v>
      </c>
      <c r="O445" s="8"/>
      <c r="P445" s="8"/>
      <c r="Q445" s="8"/>
      <c r="R445" s="43" t="s">
        <v>52</v>
      </c>
      <c r="S445" s="10"/>
    </row>
    <row r="446" ht="13.5" customHeight="1">
      <c r="A446" s="12">
        <v>441.0</v>
      </c>
      <c r="B446" s="43" t="s">
        <v>867</v>
      </c>
      <c r="C446" s="43" t="s">
        <v>16</v>
      </c>
      <c r="D446" s="39" t="str">
        <f t="shared" si="1"/>
        <v>III</v>
      </c>
      <c r="E446" s="40" t="str">
        <f t="shared" si="2"/>
        <v>FA398/III/01</v>
      </c>
      <c r="F446" s="43" t="s">
        <v>868</v>
      </c>
      <c r="G446" s="134" t="s">
        <v>869</v>
      </c>
      <c r="H446" s="13">
        <v>1.996E7</v>
      </c>
      <c r="I446" s="7"/>
      <c r="J446" s="43" t="s">
        <v>110</v>
      </c>
      <c r="K446" s="43" t="s">
        <v>51</v>
      </c>
      <c r="L446" s="43" t="s">
        <v>8</v>
      </c>
      <c r="M446" s="9" t="str">
        <f t="shared" si="3"/>
        <v>01</v>
      </c>
      <c r="N446" s="43" t="s">
        <v>103</v>
      </c>
      <c r="O446" s="8"/>
      <c r="P446" s="8"/>
      <c r="Q446" s="8"/>
      <c r="R446" s="43" t="s">
        <v>52</v>
      </c>
      <c r="S446" s="10"/>
    </row>
    <row r="447" ht="13.5" customHeight="1">
      <c r="A447" s="12">
        <v>442.0</v>
      </c>
      <c r="B447" s="43" t="s">
        <v>870</v>
      </c>
      <c r="C447" s="43" t="s">
        <v>11</v>
      </c>
      <c r="D447" s="39" t="str">
        <f t="shared" si="1"/>
        <v>II</v>
      </c>
      <c r="E447" s="40" t="str">
        <f t="shared" si="2"/>
        <v>FA399/II/01</v>
      </c>
      <c r="F447" s="43" t="s">
        <v>843</v>
      </c>
      <c r="G447" s="122">
        <v>45589.0</v>
      </c>
      <c r="H447" s="13">
        <v>390000.0</v>
      </c>
      <c r="I447" s="116"/>
      <c r="J447" s="43" t="s">
        <v>287</v>
      </c>
      <c r="K447" s="43" t="s">
        <v>158</v>
      </c>
      <c r="L447" s="43" t="s">
        <v>8</v>
      </c>
      <c r="M447" s="9" t="str">
        <f t="shared" si="3"/>
        <v>01</v>
      </c>
      <c r="N447" s="8"/>
      <c r="O447" s="8"/>
      <c r="P447" s="8"/>
      <c r="Q447" s="8"/>
      <c r="R447" s="43" t="s">
        <v>52</v>
      </c>
      <c r="S447" s="10"/>
    </row>
    <row r="448" ht="13.5" customHeight="1">
      <c r="A448" s="12">
        <v>443.0</v>
      </c>
      <c r="B448" s="43" t="s">
        <v>871</v>
      </c>
      <c r="C448" s="43" t="s">
        <v>24</v>
      </c>
      <c r="D448" s="39" t="str">
        <f t="shared" si="1"/>
        <v>V</v>
      </c>
      <c r="E448" s="40" t="str">
        <f t="shared" si="2"/>
        <v>FA400/V/01</v>
      </c>
      <c r="F448" s="43" t="s">
        <v>872</v>
      </c>
      <c r="G448" s="122">
        <v>45566.0</v>
      </c>
      <c r="H448" s="13">
        <v>6750000.0</v>
      </c>
      <c r="I448" s="7"/>
      <c r="J448" s="43" t="s">
        <v>110</v>
      </c>
      <c r="K448" s="43" t="s">
        <v>51</v>
      </c>
      <c r="L448" s="43" t="s">
        <v>8</v>
      </c>
      <c r="M448" s="9" t="str">
        <f t="shared" si="3"/>
        <v>01</v>
      </c>
      <c r="N448" s="8"/>
      <c r="O448" s="8"/>
      <c r="P448" s="8"/>
      <c r="Q448" s="8"/>
      <c r="R448" s="43" t="s">
        <v>52</v>
      </c>
      <c r="S448" s="10"/>
    </row>
    <row r="449" ht="13.5" customHeight="1">
      <c r="A449" s="12">
        <v>444.0</v>
      </c>
      <c r="B449" s="43" t="s">
        <v>873</v>
      </c>
      <c r="C449" s="43" t="s">
        <v>24</v>
      </c>
      <c r="D449" s="39" t="str">
        <f t="shared" si="1"/>
        <v>V</v>
      </c>
      <c r="E449" s="40" t="str">
        <f t="shared" si="2"/>
        <v>FA402/V/01</v>
      </c>
      <c r="F449" s="43" t="s">
        <v>874</v>
      </c>
      <c r="G449" s="122">
        <v>45608.0</v>
      </c>
      <c r="H449" s="13">
        <v>540000.0</v>
      </c>
      <c r="I449" s="116"/>
      <c r="J449" s="43" t="s">
        <v>59</v>
      </c>
      <c r="K449" s="43" t="s">
        <v>51</v>
      </c>
      <c r="L449" s="43" t="s">
        <v>8</v>
      </c>
      <c r="M449" s="9" t="str">
        <f t="shared" si="3"/>
        <v>01</v>
      </c>
      <c r="N449" s="8"/>
      <c r="O449" s="8"/>
      <c r="P449" s="8"/>
      <c r="Q449" s="8"/>
      <c r="R449" s="43" t="s">
        <v>52</v>
      </c>
      <c r="S449" s="10"/>
    </row>
    <row r="450" ht="13.5" customHeight="1">
      <c r="A450" s="12">
        <v>445.0</v>
      </c>
      <c r="B450" s="43" t="s">
        <v>875</v>
      </c>
      <c r="C450" s="43" t="s">
        <v>11</v>
      </c>
      <c r="D450" s="39" t="str">
        <f t="shared" si="1"/>
        <v>II</v>
      </c>
      <c r="E450" s="40" t="str">
        <f t="shared" si="2"/>
        <v>FA403/II/01</v>
      </c>
      <c r="F450" s="43" t="s">
        <v>876</v>
      </c>
      <c r="G450" s="122">
        <v>45611.0</v>
      </c>
      <c r="H450" s="13">
        <v>493000.0</v>
      </c>
      <c r="I450" s="116"/>
      <c r="J450" s="8"/>
      <c r="K450" s="43" t="s">
        <v>95</v>
      </c>
      <c r="L450" s="43" t="s">
        <v>8</v>
      </c>
      <c r="M450" s="9" t="str">
        <f t="shared" si="3"/>
        <v>01</v>
      </c>
      <c r="N450" s="8"/>
      <c r="O450" s="8"/>
      <c r="P450" s="8"/>
      <c r="Q450" s="8"/>
      <c r="R450" s="43" t="s">
        <v>52</v>
      </c>
      <c r="S450" s="10"/>
    </row>
    <row r="451" ht="13.5" customHeight="1">
      <c r="A451" s="12">
        <v>446.0</v>
      </c>
      <c r="B451" s="43" t="s">
        <v>877</v>
      </c>
      <c r="C451" s="43" t="s">
        <v>11</v>
      </c>
      <c r="D451" s="39" t="str">
        <f t="shared" si="1"/>
        <v>II</v>
      </c>
      <c r="E451" s="40" t="str">
        <f t="shared" si="2"/>
        <v>FA404/II/01</v>
      </c>
      <c r="F451" s="43" t="s">
        <v>876</v>
      </c>
      <c r="G451" s="122">
        <v>45611.0</v>
      </c>
      <c r="H451" s="13">
        <v>493000.0</v>
      </c>
      <c r="I451" s="116"/>
      <c r="J451" s="8"/>
      <c r="K451" s="43" t="s">
        <v>95</v>
      </c>
      <c r="L451" s="43" t="s">
        <v>8</v>
      </c>
      <c r="M451" s="9" t="str">
        <f t="shared" si="3"/>
        <v>01</v>
      </c>
      <c r="N451" s="8"/>
      <c r="O451" s="8"/>
      <c r="P451" s="8"/>
      <c r="Q451" s="8"/>
      <c r="R451" s="43" t="s">
        <v>52</v>
      </c>
      <c r="S451" s="10"/>
    </row>
    <row r="452" ht="13.5" customHeight="1">
      <c r="A452" s="12">
        <v>447.0</v>
      </c>
      <c r="B452" s="43" t="s">
        <v>878</v>
      </c>
      <c r="C452" s="43" t="s">
        <v>24</v>
      </c>
      <c r="D452" s="39" t="str">
        <f t="shared" si="1"/>
        <v>V</v>
      </c>
      <c r="E452" s="40" t="str">
        <f t="shared" si="2"/>
        <v>FA405/V/01</v>
      </c>
      <c r="F452" s="43" t="s">
        <v>879</v>
      </c>
      <c r="G452" s="122">
        <v>45615.0</v>
      </c>
      <c r="H452" s="13">
        <v>1159000.0</v>
      </c>
      <c r="I452" s="116"/>
      <c r="J452" s="43" t="s">
        <v>59</v>
      </c>
      <c r="K452" s="43" t="s">
        <v>51</v>
      </c>
      <c r="L452" s="43" t="s">
        <v>8</v>
      </c>
      <c r="M452" s="9" t="str">
        <f t="shared" si="3"/>
        <v>01</v>
      </c>
      <c r="N452" s="8"/>
      <c r="O452" s="8"/>
      <c r="P452" s="8"/>
      <c r="Q452" s="8"/>
      <c r="R452" s="43" t="s">
        <v>52</v>
      </c>
      <c r="S452" s="10"/>
    </row>
    <row r="453" ht="19.5" customHeight="1">
      <c r="A453" s="12">
        <v>448.0</v>
      </c>
      <c r="B453" s="43" t="s">
        <v>880</v>
      </c>
      <c r="C453" s="43" t="s">
        <v>24</v>
      </c>
      <c r="D453" s="39" t="str">
        <f t="shared" si="1"/>
        <v>V</v>
      </c>
      <c r="E453" s="40" t="str">
        <f t="shared" si="2"/>
        <v>FA406/V/03</v>
      </c>
      <c r="F453" s="43" t="s">
        <v>881</v>
      </c>
      <c r="G453" s="134" t="s">
        <v>882</v>
      </c>
      <c r="H453" s="13">
        <v>1200000.0</v>
      </c>
      <c r="I453" s="7"/>
      <c r="J453" s="43" t="s">
        <v>138</v>
      </c>
      <c r="K453" s="43" t="s">
        <v>95</v>
      </c>
      <c r="L453" s="43" t="s">
        <v>18</v>
      </c>
      <c r="M453" s="9" t="str">
        <f t="shared" si="3"/>
        <v>03</v>
      </c>
      <c r="N453" s="8"/>
      <c r="O453" s="8"/>
      <c r="P453" s="8"/>
      <c r="Q453" s="8"/>
      <c r="R453" s="43" t="s">
        <v>52</v>
      </c>
      <c r="S453" s="10"/>
    </row>
    <row r="454" ht="13.5" customHeight="1">
      <c r="A454" s="135">
        <v>449.0</v>
      </c>
      <c r="B454" s="81" t="s">
        <v>883</v>
      </c>
      <c r="C454" s="81" t="s">
        <v>24</v>
      </c>
      <c r="D454" s="78" t="str">
        <f t="shared" si="1"/>
        <v>V</v>
      </c>
      <c r="E454" s="79" t="str">
        <f t="shared" si="2"/>
        <v>FA407/V/01</v>
      </c>
      <c r="F454" s="81" t="s">
        <v>884</v>
      </c>
      <c r="G454" s="136">
        <v>45632.0</v>
      </c>
      <c r="H454" s="137">
        <v>9278280.0</v>
      </c>
      <c r="I454" s="138"/>
      <c r="J454" s="81" t="s">
        <v>59</v>
      </c>
      <c r="K454" s="81" t="s">
        <v>51</v>
      </c>
      <c r="L454" s="81" t="s">
        <v>8</v>
      </c>
      <c r="M454" s="82" t="str">
        <f t="shared" si="3"/>
        <v>01</v>
      </c>
      <c r="N454" s="83"/>
      <c r="O454" s="83"/>
      <c r="P454" s="83"/>
      <c r="Q454" s="83"/>
      <c r="R454" s="81" t="s">
        <v>52</v>
      </c>
      <c r="S454" s="84"/>
    </row>
    <row r="455" ht="13.5" customHeight="1">
      <c r="A455" s="135">
        <v>450.0</v>
      </c>
      <c r="B455" s="81" t="s">
        <v>885</v>
      </c>
      <c r="C455" s="81" t="s">
        <v>24</v>
      </c>
      <c r="D455" s="78" t="str">
        <f t="shared" si="1"/>
        <v>V</v>
      </c>
      <c r="E455" s="79" t="str">
        <f t="shared" si="2"/>
        <v>FA408/V/01</v>
      </c>
      <c r="F455" s="81" t="s">
        <v>886</v>
      </c>
      <c r="G455" s="136">
        <v>45644.0</v>
      </c>
      <c r="H455" s="137">
        <v>598801.0</v>
      </c>
      <c r="I455" s="138"/>
      <c r="J455" s="81" t="s">
        <v>489</v>
      </c>
      <c r="K455" s="81" t="s">
        <v>47</v>
      </c>
      <c r="L455" s="81" t="s">
        <v>8</v>
      </c>
      <c r="M455" s="82" t="str">
        <f t="shared" si="3"/>
        <v>01</v>
      </c>
      <c r="N455" s="81" t="s">
        <v>887</v>
      </c>
      <c r="O455" s="83"/>
      <c r="P455" s="83"/>
      <c r="Q455" s="83"/>
      <c r="R455" s="81" t="s">
        <v>52</v>
      </c>
      <c r="S455" s="84"/>
    </row>
    <row r="456" ht="13.5" customHeight="1">
      <c r="A456" s="135">
        <v>451.0</v>
      </c>
      <c r="B456" s="81" t="s">
        <v>888</v>
      </c>
      <c r="C456" s="81" t="s">
        <v>24</v>
      </c>
      <c r="D456" s="78" t="str">
        <f t="shared" si="1"/>
        <v>V</v>
      </c>
      <c r="E456" s="79" t="str">
        <f t="shared" si="2"/>
        <v>FA409/V/01</v>
      </c>
      <c r="F456" s="81" t="s">
        <v>889</v>
      </c>
      <c r="G456" s="136">
        <v>45664.0</v>
      </c>
      <c r="H456" s="137">
        <v>1200000.0</v>
      </c>
      <c r="I456" s="138"/>
      <c r="J456" s="81" t="s">
        <v>110</v>
      </c>
      <c r="K456" s="81" t="s">
        <v>51</v>
      </c>
      <c r="L456" s="81" t="s">
        <v>8</v>
      </c>
      <c r="M456" s="82" t="str">
        <f t="shared" si="3"/>
        <v>01</v>
      </c>
      <c r="N456" s="81" t="s">
        <v>284</v>
      </c>
      <c r="O456" s="83"/>
      <c r="P456" s="83"/>
      <c r="Q456" s="83"/>
      <c r="R456" s="81" t="s">
        <v>52</v>
      </c>
      <c r="S456" s="84"/>
    </row>
    <row r="457" ht="13.5" customHeight="1">
      <c r="A457" s="135">
        <v>452.0</v>
      </c>
      <c r="B457" s="81" t="s">
        <v>890</v>
      </c>
      <c r="C457" s="81" t="s">
        <v>6</v>
      </c>
      <c r="D457" s="78" t="str">
        <f t="shared" si="1"/>
        <v>I</v>
      </c>
      <c r="E457" s="79" t="str">
        <f t="shared" si="2"/>
        <v>FA410/I/01</v>
      </c>
      <c r="F457" s="81" t="s">
        <v>891</v>
      </c>
      <c r="G457" s="136">
        <v>45695.0</v>
      </c>
      <c r="H457" s="137">
        <v>1723040.0</v>
      </c>
      <c r="I457" s="139">
        <v>1769000.0</v>
      </c>
      <c r="J457" s="81" t="s">
        <v>276</v>
      </c>
      <c r="K457" s="81" t="s">
        <v>47</v>
      </c>
      <c r="L457" s="81" t="s">
        <v>8</v>
      </c>
      <c r="M457" s="82" t="str">
        <f t="shared" si="3"/>
        <v>01</v>
      </c>
      <c r="N457" s="81" t="s">
        <v>127</v>
      </c>
      <c r="O457" s="81" t="s">
        <v>892</v>
      </c>
      <c r="P457" s="83"/>
      <c r="Q457" s="83"/>
      <c r="R457" s="81" t="s">
        <v>52</v>
      </c>
      <c r="S457" s="84"/>
    </row>
    <row r="458" ht="13.5" customHeight="1">
      <c r="A458" s="135">
        <v>453.0</v>
      </c>
      <c r="B458" s="81" t="s">
        <v>893</v>
      </c>
      <c r="C458" s="81" t="s">
        <v>16</v>
      </c>
      <c r="D458" s="78" t="str">
        <f t="shared" si="1"/>
        <v>III</v>
      </c>
      <c r="E458" s="79" t="str">
        <f t="shared" si="2"/>
        <v>FA411/III/01</v>
      </c>
      <c r="F458" s="81" t="s">
        <v>894</v>
      </c>
      <c r="G458" s="136">
        <v>45706.0</v>
      </c>
      <c r="H458" s="137">
        <v>1236660.0</v>
      </c>
      <c r="I458" s="139">
        <v>1249000.0</v>
      </c>
      <c r="J458" s="81" t="s">
        <v>59</v>
      </c>
      <c r="K458" s="81" t="s">
        <v>51</v>
      </c>
      <c r="L458" s="81" t="s">
        <v>8</v>
      </c>
      <c r="M458" s="82" t="str">
        <f t="shared" si="3"/>
        <v>01</v>
      </c>
      <c r="N458" s="81" t="s">
        <v>434</v>
      </c>
      <c r="O458" s="81" t="s">
        <v>895</v>
      </c>
      <c r="P458" s="83"/>
      <c r="Q458" s="83"/>
      <c r="R458" s="81" t="s">
        <v>52</v>
      </c>
      <c r="S458" s="84"/>
    </row>
    <row r="459" ht="13.5" customHeight="1">
      <c r="A459" s="140">
        <v>454.0</v>
      </c>
      <c r="B459" s="62" t="s">
        <v>896</v>
      </c>
      <c r="C459" s="62" t="s">
        <v>24</v>
      </c>
      <c r="D459" s="57" t="str">
        <f t="shared" si="1"/>
        <v>V</v>
      </c>
      <c r="E459" s="58" t="str">
        <f t="shared" si="2"/>
        <v>FA412/V/01</v>
      </c>
      <c r="F459" s="62" t="s">
        <v>897</v>
      </c>
      <c r="G459" s="141">
        <v>45707.0</v>
      </c>
      <c r="H459" s="142">
        <v>5123350.0</v>
      </c>
      <c r="I459" s="143">
        <v>5123350.0</v>
      </c>
      <c r="J459" s="62" t="s">
        <v>59</v>
      </c>
      <c r="K459" s="62" t="s">
        <v>51</v>
      </c>
      <c r="L459" s="62" t="s">
        <v>8</v>
      </c>
      <c r="M459" s="64" t="str">
        <f t="shared" si="3"/>
        <v>01</v>
      </c>
      <c r="N459" s="62" t="s">
        <v>898</v>
      </c>
      <c r="O459" s="63"/>
      <c r="P459" s="63"/>
      <c r="Q459" s="63"/>
      <c r="R459" s="62" t="s">
        <v>52</v>
      </c>
      <c r="S459" s="65"/>
    </row>
    <row r="460" ht="13.5" customHeight="1">
      <c r="A460" s="140">
        <v>455.0</v>
      </c>
      <c r="B460" s="62" t="s">
        <v>899</v>
      </c>
      <c r="C460" s="62" t="s">
        <v>24</v>
      </c>
      <c r="D460" s="57" t="str">
        <f t="shared" si="1"/>
        <v>V</v>
      </c>
      <c r="E460" s="58" t="str">
        <f t="shared" si="2"/>
        <v>FA413/V/01</v>
      </c>
      <c r="F460" s="62" t="s">
        <v>900</v>
      </c>
      <c r="G460" s="141">
        <v>45707.0</v>
      </c>
      <c r="H460" s="142">
        <v>5123350.0</v>
      </c>
      <c r="I460" s="143">
        <v>5123350.0</v>
      </c>
      <c r="J460" s="62" t="s">
        <v>59</v>
      </c>
      <c r="K460" s="62" t="s">
        <v>51</v>
      </c>
      <c r="L460" s="62" t="s">
        <v>8</v>
      </c>
      <c r="M460" s="64" t="str">
        <f t="shared" si="3"/>
        <v>01</v>
      </c>
      <c r="N460" s="62" t="s">
        <v>898</v>
      </c>
      <c r="O460" s="63"/>
      <c r="P460" s="63"/>
      <c r="Q460" s="63"/>
      <c r="R460" s="62" t="s">
        <v>52</v>
      </c>
      <c r="S460" s="65"/>
    </row>
    <row r="461" ht="13.5" customHeight="1">
      <c r="A461" s="140">
        <v>456.0</v>
      </c>
      <c r="B461" s="62" t="s">
        <v>901</v>
      </c>
      <c r="C461" s="62" t="s">
        <v>24</v>
      </c>
      <c r="D461" s="57" t="str">
        <f t="shared" si="1"/>
        <v>V</v>
      </c>
      <c r="E461" s="58" t="str">
        <f t="shared" si="2"/>
        <v>FA414/V/01</v>
      </c>
      <c r="F461" s="62" t="s">
        <v>902</v>
      </c>
      <c r="G461" s="141">
        <v>45707.0</v>
      </c>
      <c r="H461" s="142">
        <v>7254000.0</v>
      </c>
      <c r="I461" s="143">
        <v>7254000.0</v>
      </c>
      <c r="J461" s="62" t="s">
        <v>59</v>
      </c>
      <c r="K461" s="62" t="s">
        <v>51</v>
      </c>
      <c r="L461" s="62" t="s">
        <v>8</v>
      </c>
      <c r="M461" s="64" t="str">
        <f t="shared" si="3"/>
        <v>01</v>
      </c>
      <c r="N461" s="63"/>
      <c r="O461" s="63"/>
      <c r="P461" s="63"/>
      <c r="Q461" s="63"/>
      <c r="R461" s="62" t="s">
        <v>52</v>
      </c>
      <c r="S461" s="65"/>
    </row>
    <row r="462" ht="13.5" customHeight="1">
      <c r="A462" s="140">
        <v>457.0</v>
      </c>
      <c r="B462" s="63" t="s">
        <v>903</v>
      </c>
      <c r="C462" s="63" t="s">
        <v>11</v>
      </c>
      <c r="D462" s="144" t="s">
        <v>12</v>
      </c>
      <c r="E462" s="58" t="s">
        <v>904</v>
      </c>
      <c r="F462" s="62" t="s">
        <v>843</v>
      </c>
      <c r="G462" s="59">
        <v>45723.0</v>
      </c>
      <c r="H462" s="142">
        <v>390000.0</v>
      </c>
      <c r="I462" s="145">
        <v>390000.0</v>
      </c>
      <c r="J462" s="63" t="s">
        <v>314</v>
      </c>
      <c r="K462" s="63" t="s">
        <v>47</v>
      </c>
      <c r="L462" s="63" t="s">
        <v>8</v>
      </c>
      <c r="M462" s="64" t="s">
        <v>9</v>
      </c>
      <c r="N462" s="63"/>
      <c r="O462" s="63"/>
      <c r="P462" s="63"/>
      <c r="Q462" s="63"/>
      <c r="R462" s="62" t="s">
        <v>52</v>
      </c>
      <c r="S462" s="65"/>
    </row>
    <row r="463" ht="13.5" customHeight="1">
      <c r="A463" s="140">
        <v>458.0</v>
      </c>
      <c r="B463" s="63" t="s">
        <v>905</v>
      </c>
      <c r="C463" s="63" t="s">
        <v>11</v>
      </c>
      <c r="D463" s="144" t="s">
        <v>12</v>
      </c>
      <c r="E463" s="58" t="s">
        <v>906</v>
      </c>
      <c r="F463" s="62" t="s">
        <v>843</v>
      </c>
      <c r="G463" s="141">
        <v>45723.0</v>
      </c>
      <c r="H463" s="142">
        <v>390000.0</v>
      </c>
      <c r="I463" s="145">
        <v>390000.0</v>
      </c>
      <c r="J463" s="62" t="s">
        <v>352</v>
      </c>
      <c r="K463" s="63" t="s">
        <v>47</v>
      </c>
      <c r="L463" s="63" t="s">
        <v>8</v>
      </c>
      <c r="M463" s="64" t="s">
        <v>9</v>
      </c>
      <c r="N463" s="63"/>
      <c r="O463" s="63"/>
      <c r="P463" s="63"/>
      <c r="Q463" s="63"/>
      <c r="R463" s="62" t="s">
        <v>52</v>
      </c>
      <c r="S463" s="65"/>
    </row>
    <row r="464" ht="13.5" customHeight="1">
      <c r="A464" s="140">
        <v>459.0</v>
      </c>
      <c r="B464" s="63" t="s">
        <v>907</v>
      </c>
      <c r="C464" s="63" t="s">
        <v>16</v>
      </c>
      <c r="D464" s="144" t="s">
        <v>17</v>
      </c>
      <c r="E464" s="58" t="s">
        <v>908</v>
      </c>
      <c r="F464" s="62" t="s">
        <v>909</v>
      </c>
      <c r="G464" s="141">
        <v>45735.0</v>
      </c>
      <c r="H464" s="142">
        <v>5236180.0</v>
      </c>
      <c r="I464" s="145">
        <v>5559000.0</v>
      </c>
      <c r="J464" s="63" t="s">
        <v>162</v>
      </c>
      <c r="K464" s="63" t="s">
        <v>95</v>
      </c>
      <c r="L464" s="63" t="s">
        <v>8</v>
      </c>
      <c r="M464" s="64" t="s">
        <v>9</v>
      </c>
      <c r="N464" s="62" t="s">
        <v>121</v>
      </c>
      <c r="O464" s="62" t="s">
        <v>910</v>
      </c>
      <c r="P464" s="62" t="s">
        <v>911</v>
      </c>
      <c r="Q464" s="63"/>
      <c r="R464" s="62" t="s">
        <v>52</v>
      </c>
      <c r="S464" s="65"/>
    </row>
    <row r="465" ht="13.5" customHeight="1">
      <c r="A465" s="140">
        <v>460.0</v>
      </c>
      <c r="B465" s="62" t="s">
        <v>912</v>
      </c>
      <c r="C465" s="62" t="s">
        <v>24</v>
      </c>
      <c r="D465" s="57" t="str">
        <f t="shared" ref="D465:D541" si="6">if(C465=$G$2,$H$2, if(C465=$G$3,$H$3, if(C465=$G$4,$H$4, if(C465=$G$5,$H$5,if(C465=$G$6,$H$6, " ")))))</f>
        <v>V</v>
      </c>
      <c r="E465" s="58" t="str">
        <f t="shared" ref="E465:E541" si="7">CONCATENATE(B465,"/",D465,"/",M465)</f>
        <v>FA418/V/02</v>
      </c>
      <c r="F465" s="62" t="s">
        <v>913</v>
      </c>
      <c r="G465" s="141">
        <v>45775.0</v>
      </c>
      <c r="H465" s="142">
        <v>8500000.0</v>
      </c>
      <c r="I465" s="143">
        <v>8500000.0</v>
      </c>
      <c r="J465" s="62" t="s">
        <v>322</v>
      </c>
      <c r="K465" s="62" t="s">
        <v>323</v>
      </c>
      <c r="L465" s="62" t="s">
        <v>13</v>
      </c>
      <c r="M465" s="64" t="str">
        <f t="shared" ref="M465:M541" si="8">if(L465=$J$2,$K$2,if(L465=$J$3,$K$3,if(L465=$J$4,$K$4," ")))</f>
        <v>02</v>
      </c>
      <c r="N465" s="63"/>
      <c r="O465" s="63"/>
      <c r="P465" s="62"/>
      <c r="Q465" s="63"/>
      <c r="R465" s="62" t="s">
        <v>52</v>
      </c>
      <c r="S465" s="65"/>
    </row>
    <row r="466" ht="13.5" customHeight="1">
      <c r="A466" s="140">
        <v>461.0</v>
      </c>
      <c r="B466" s="62" t="s">
        <v>914</v>
      </c>
      <c r="C466" s="62" t="s">
        <v>24</v>
      </c>
      <c r="D466" s="57" t="str">
        <f t="shared" si="6"/>
        <v>V</v>
      </c>
      <c r="E466" s="58" t="str">
        <f t="shared" si="7"/>
        <v>FA419/V/02</v>
      </c>
      <c r="F466" s="62" t="s">
        <v>915</v>
      </c>
      <c r="G466" s="75" t="s">
        <v>916</v>
      </c>
      <c r="H466" s="142">
        <v>708291.0</v>
      </c>
      <c r="I466" s="143">
        <v>708291.0</v>
      </c>
      <c r="J466" s="62" t="s">
        <v>138</v>
      </c>
      <c r="K466" s="62" t="s">
        <v>95</v>
      </c>
      <c r="L466" s="62" t="s">
        <v>13</v>
      </c>
      <c r="M466" s="64" t="str">
        <f t="shared" si="8"/>
        <v>02</v>
      </c>
      <c r="N466" s="63"/>
      <c r="O466" s="63"/>
      <c r="P466" s="63"/>
      <c r="Q466" s="63"/>
      <c r="R466" s="62" t="s">
        <v>52</v>
      </c>
      <c r="S466" s="65"/>
    </row>
    <row r="467" ht="13.5" customHeight="1">
      <c r="A467" s="140">
        <v>462.0</v>
      </c>
      <c r="B467" s="62" t="s">
        <v>917</v>
      </c>
      <c r="C467" s="62" t="s">
        <v>24</v>
      </c>
      <c r="D467" s="57" t="str">
        <f t="shared" si="6"/>
        <v>V</v>
      </c>
      <c r="E467" s="58" t="str">
        <f t="shared" si="7"/>
        <v>FA420/V/02</v>
      </c>
      <c r="F467" s="62" t="s">
        <v>918</v>
      </c>
      <c r="G467" s="75" t="s">
        <v>919</v>
      </c>
      <c r="H467" s="142">
        <v>1300000.0</v>
      </c>
      <c r="I467" s="143">
        <v>1300000.0</v>
      </c>
      <c r="J467" s="62" t="s">
        <v>322</v>
      </c>
      <c r="K467" s="62" t="s">
        <v>323</v>
      </c>
      <c r="L467" s="62" t="s">
        <v>13</v>
      </c>
      <c r="M467" s="64" t="str">
        <f t="shared" si="8"/>
        <v>02</v>
      </c>
      <c r="N467" s="63"/>
      <c r="O467" s="63"/>
      <c r="P467" s="63"/>
      <c r="Q467" s="63"/>
      <c r="R467" s="62" t="s">
        <v>52</v>
      </c>
      <c r="S467" s="65"/>
    </row>
    <row r="468" ht="13.5" customHeight="1">
      <c r="A468" s="140">
        <v>463.0</v>
      </c>
      <c r="B468" s="62" t="s">
        <v>920</v>
      </c>
      <c r="C468" s="62" t="s">
        <v>16</v>
      </c>
      <c r="D468" s="57" t="str">
        <f t="shared" si="6"/>
        <v>III</v>
      </c>
      <c r="E468" s="58" t="str">
        <f t="shared" si="7"/>
        <v>FA421/III/01</v>
      </c>
      <c r="F468" s="62" t="s">
        <v>921</v>
      </c>
      <c r="G468" s="75" t="s">
        <v>922</v>
      </c>
      <c r="H468" s="142">
        <v>5534700.0</v>
      </c>
      <c r="I468" s="143">
        <v>7899000.0</v>
      </c>
      <c r="J468" s="62" t="s">
        <v>273</v>
      </c>
      <c r="K468" s="62" t="s">
        <v>95</v>
      </c>
      <c r="L468" s="62" t="s">
        <v>8</v>
      </c>
      <c r="M468" s="64" t="str">
        <f t="shared" si="8"/>
        <v>01</v>
      </c>
      <c r="N468" s="62" t="s">
        <v>121</v>
      </c>
      <c r="O468" s="62" t="s">
        <v>910</v>
      </c>
      <c r="P468" s="63"/>
      <c r="Q468" s="63"/>
      <c r="R468" s="62" t="s">
        <v>52</v>
      </c>
      <c r="S468" s="65"/>
    </row>
    <row r="469" ht="13.5" customHeight="1">
      <c r="A469" s="140">
        <v>464.0</v>
      </c>
      <c r="B469" s="62" t="s">
        <v>923</v>
      </c>
      <c r="C469" s="62" t="s">
        <v>6</v>
      </c>
      <c r="D469" s="57" t="str">
        <f t="shared" si="6"/>
        <v>I</v>
      </c>
      <c r="E469" s="58" t="str">
        <f t="shared" si="7"/>
        <v>FA422/I/01</v>
      </c>
      <c r="F469" s="62" t="s">
        <v>924</v>
      </c>
      <c r="G469" s="75" t="s">
        <v>922</v>
      </c>
      <c r="H469" s="142">
        <v>1656400.0</v>
      </c>
      <c r="I469" s="143">
        <v>1656400.0</v>
      </c>
      <c r="J469" s="62" t="s">
        <v>115</v>
      </c>
      <c r="K469" s="62" t="s">
        <v>116</v>
      </c>
      <c r="L469" s="62" t="s">
        <v>8</v>
      </c>
      <c r="M469" s="64" t="str">
        <f t="shared" si="8"/>
        <v>01</v>
      </c>
      <c r="N469" s="63"/>
      <c r="O469" s="63"/>
      <c r="P469" s="63"/>
      <c r="Q469" s="63"/>
      <c r="R469" s="62" t="s">
        <v>52</v>
      </c>
      <c r="S469" s="65"/>
    </row>
    <row r="470" ht="13.5" customHeight="1">
      <c r="A470" s="140">
        <v>465.0</v>
      </c>
      <c r="B470" s="62" t="s">
        <v>925</v>
      </c>
      <c r="C470" s="62" t="s">
        <v>6</v>
      </c>
      <c r="D470" s="57" t="str">
        <f t="shared" si="6"/>
        <v>I</v>
      </c>
      <c r="E470" s="58" t="str">
        <f t="shared" si="7"/>
        <v>FA423/I/01</v>
      </c>
      <c r="F470" s="62" t="s">
        <v>926</v>
      </c>
      <c r="G470" s="75" t="s">
        <v>922</v>
      </c>
      <c r="H470" s="142">
        <v>248020.0</v>
      </c>
      <c r="I470" s="143">
        <v>248020.0</v>
      </c>
      <c r="J470" s="62" t="s">
        <v>115</v>
      </c>
      <c r="K470" s="62" t="s">
        <v>116</v>
      </c>
      <c r="L470" s="62" t="s">
        <v>8</v>
      </c>
      <c r="M470" s="64" t="str">
        <f t="shared" si="8"/>
        <v>01</v>
      </c>
      <c r="N470" s="63"/>
      <c r="O470" s="63"/>
      <c r="P470" s="63"/>
      <c r="Q470" s="63"/>
      <c r="R470" s="62" t="s">
        <v>52</v>
      </c>
      <c r="S470" s="65"/>
    </row>
    <row r="471" ht="13.5" customHeight="1">
      <c r="A471" s="140">
        <v>468.0</v>
      </c>
      <c r="B471" s="62" t="s">
        <v>927</v>
      </c>
      <c r="C471" s="62" t="s">
        <v>24</v>
      </c>
      <c r="D471" s="57" t="str">
        <f t="shared" si="6"/>
        <v>V</v>
      </c>
      <c r="E471" s="58" t="str">
        <f t="shared" si="7"/>
        <v>FA424/V/01</v>
      </c>
      <c r="F471" s="62" t="s">
        <v>928</v>
      </c>
      <c r="G471" s="141">
        <v>45820.0</v>
      </c>
      <c r="H471" s="142">
        <v>509240.0</v>
      </c>
      <c r="I471" s="143">
        <v>512540.0</v>
      </c>
      <c r="J471" s="62" t="s">
        <v>100</v>
      </c>
      <c r="K471" s="62" t="s">
        <v>51</v>
      </c>
      <c r="L471" s="62" t="s">
        <v>8</v>
      </c>
      <c r="M471" s="64" t="str">
        <f t="shared" si="8"/>
        <v>01</v>
      </c>
      <c r="N471" s="63"/>
      <c r="O471" s="63"/>
      <c r="P471" s="63"/>
      <c r="Q471" s="63"/>
      <c r="R471" s="62" t="s">
        <v>52</v>
      </c>
      <c r="S471" s="65"/>
    </row>
    <row r="472" ht="13.5" customHeight="1">
      <c r="A472" s="140">
        <v>469.0</v>
      </c>
      <c r="B472" s="62" t="s">
        <v>929</v>
      </c>
      <c r="C472" s="62" t="s">
        <v>16</v>
      </c>
      <c r="D472" s="57" t="str">
        <f t="shared" si="6"/>
        <v>III</v>
      </c>
      <c r="E472" s="58" t="str">
        <f t="shared" si="7"/>
        <v>FA425/III/01</v>
      </c>
      <c r="F472" s="62" t="s">
        <v>921</v>
      </c>
      <c r="G472" s="141">
        <v>45826.0</v>
      </c>
      <c r="H472" s="142">
        <v>5934506.0</v>
      </c>
      <c r="I472" s="143">
        <v>6043978.0</v>
      </c>
      <c r="J472" s="62" t="s">
        <v>489</v>
      </c>
      <c r="K472" s="62" t="s">
        <v>47</v>
      </c>
      <c r="L472" s="62" t="s">
        <v>8</v>
      </c>
      <c r="M472" s="64" t="str">
        <f t="shared" si="8"/>
        <v>01</v>
      </c>
      <c r="N472" s="62" t="s">
        <v>121</v>
      </c>
      <c r="O472" s="62" t="s">
        <v>910</v>
      </c>
      <c r="P472" s="63"/>
      <c r="Q472" s="63"/>
      <c r="R472" s="62" t="s">
        <v>52</v>
      </c>
      <c r="S472" s="65"/>
    </row>
    <row r="473" ht="13.5" customHeight="1">
      <c r="A473" s="140">
        <v>470.0</v>
      </c>
      <c r="B473" s="62" t="s">
        <v>930</v>
      </c>
      <c r="C473" s="62" t="s">
        <v>6</v>
      </c>
      <c r="D473" s="57" t="str">
        <f t="shared" si="6"/>
        <v>I</v>
      </c>
      <c r="E473" s="58" t="str">
        <f t="shared" si="7"/>
        <v>FA426/I/01</v>
      </c>
      <c r="F473" s="62" t="s">
        <v>931</v>
      </c>
      <c r="G473" s="141">
        <v>45832.0</v>
      </c>
      <c r="H473" s="142">
        <v>1168738.0</v>
      </c>
      <c r="I473" s="143">
        <v>1177632.0</v>
      </c>
      <c r="J473" s="62" t="s">
        <v>50</v>
      </c>
      <c r="K473" s="62" t="s">
        <v>51</v>
      </c>
      <c r="L473" s="62" t="s">
        <v>8</v>
      </c>
      <c r="M473" s="64" t="str">
        <f t="shared" si="8"/>
        <v>01</v>
      </c>
      <c r="N473" s="62" t="s">
        <v>752</v>
      </c>
      <c r="O473" s="62" t="s">
        <v>932</v>
      </c>
      <c r="P473" s="62" t="s">
        <v>933</v>
      </c>
      <c r="Q473" s="63"/>
      <c r="R473" s="62" t="s">
        <v>52</v>
      </c>
      <c r="S473" s="65"/>
    </row>
    <row r="474" ht="13.5" customHeight="1">
      <c r="A474" s="140">
        <v>471.0</v>
      </c>
      <c r="B474" s="62" t="s">
        <v>934</v>
      </c>
      <c r="C474" s="62" t="s">
        <v>11</v>
      </c>
      <c r="D474" s="57" t="str">
        <f t="shared" si="6"/>
        <v>II</v>
      </c>
      <c r="E474" s="58" t="str">
        <f t="shared" si="7"/>
        <v>FA428/II/01</v>
      </c>
      <c r="F474" s="62" t="s">
        <v>935</v>
      </c>
      <c r="G474" s="141">
        <v>45882.0</v>
      </c>
      <c r="H474" s="146">
        <v>360987.67</v>
      </c>
      <c r="I474" s="143">
        <v>390000.0</v>
      </c>
      <c r="J474" s="62" t="s">
        <v>352</v>
      </c>
      <c r="K474" s="62" t="s">
        <v>47</v>
      </c>
      <c r="L474" s="62" t="s">
        <v>8</v>
      </c>
      <c r="M474" s="64" t="str">
        <f t="shared" si="8"/>
        <v>01</v>
      </c>
      <c r="N474" s="63"/>
      <c r="O474" s="63"/>
      <c r="P474" s="63"/>
      <c r="Q474" s="63"/>
      <c r="R474" s="62" t="s">
        <v>52</v>
      </c>
      <c r="S474" s="65"/>
    </row>
    <row r="475" ht="13.5" customHeight="1">
      <c r="A475" s="140">
        <v>472.0</v>
      </c>
      <c r="B475" s="62" t="s">
        <v>936</v>
      </c>
      <c r="C475" s="62" t="s">
        <v>11</v>
      </c>
      <c r="D475" s="57" t="str">
        <f t="shared" si="6"/>
        <v>II</v>
      </c>
      <c r="E475" s="58" t="str">
        <f t="shared" si="7"/>
        <v>FA429/II/01</v>
      </c>
      <c r="F475" s="62" t="s">
        <v>935</v>
      </c>
      <c r="G475" s="141">
        <v>45882.0</v>
      </c>
      <c r="H475" s="146">
        <v>360987.67</v>
      </c>
      <c r="I475" s="143">
        <v>390000.0</v>
      </c>
      <c r="J475" s="62" t="s">
        <v>287</v>
      </c>
      <c r="K475" s="62" t="s">
        <v>158</v>
      </c>
      <c r="L475" s="62" t="s">
        <v>8</v>
      </c>
      <c r="M475" s="64" t="str">
        <f t="shared" si="8"/>
        <v>01</v>
      </c>
      <c r="N475" s="63"/>
      <c r="O475" s="63"/>
      <c r="P475" s="63"/>
      <c r="Q475" s="63"/>
      <c r="R475" s="62" t="s">
        <v>52</v>
      </c>
      <c r="S475" s="65"/>
    </row>
    <row r="476" ht="13.5" customHeight="1">
      <c r="A476" s="140">
        <v>473.0</v>
      </c>
      <c r="B476" s="62" t="s">
        <v>937</v>
      </c>
      <c r="C476" s="62" t="s">
        <v>11</v>
      </c>
      <c r="D476" s="57" t="str">
        <f t="shared" si="6"/>
        <v>II</v>
      </c>
      <c r="E476" s="58" t="str">
        <f t="shared" si="7"/>
        <v>FA430/II/01</v>
      </c>
      <c r="F476" s="62" t="s">
        <v>935</v>
      </c>
      <c r="G476" s="141">
        <v>45882.0</v>
      </c>
      <c r="H476" s="146">
        <v>360987.67</v>
      </c>
      <c r="I476" s="143">
        <v>390000.0</v>
      </c>
      <c r="J476" s="62" t="s">
        <v>160</v>
      </c>
      <c r="K476" s="62" t="s">
        <v>158</v>
      </c>
      <c r="L476" s="62" t="s">
        <v>8</v>
      </c>
      <c r="M476" s="64" t="str">
        <f t="shared" si="8"/>
        <v>01</v>
      </c>
      <c r="N476" s="63"/>
      <c r="O476" s="63"/>
      <c r="P476" s="63"/>
      <c r="Q476" s="63"/>
      <c r="R476" s="62" t="s">
        <v>52</v>
      </c>
      <c r="S476" s="65"/>
    </row>
    <row r="477" ht="13.5" customHeight="1">
      <c r="A477" s="140">
        <v>474.0</v>
      </c>
      <c r="B477" s="62" t="s">
        <v>938</v>
      </c>
      <c r="C477" s="62" t="s">
        <v>16</v>
      </c>
      <c r="D477" s="57" t="str">
        <f t="shared" si="6"/>
        <v>III</v>
      </c>
      <c r="E477" s="58" t="str">
        <f t="shared" si="7"/>
        <v>FA437/III/01</v>
      </c>
      <c r="F477" s="147" t="s">
        <v>939</v>
      </c>
      <c r="G477" s="141">
        <v>45940.0</v>
      </c>
      <c r="H477" s="142">
        <v>1.74427E7</v>
      </c>
      <c r="I477" s="143">
        <v>1.8399E7</v>
      </c>
      <c r="J477" s="62" t="s">
        <v>110</v>
      </c>
      <c r="K477" s="62" t="s">
        <v>51</v>
      </c>
      <c r="L477" s="62" t="s">
        <v>8</v>
      </c>
      <c r="M477" s="64" t="str">
        <f t="shared" si="8"/>
        <v>01</v>
      </c>
      <c r="N477" s="62" t="s">
        <v>103</v>
      </c>
      <c r="O477" s="62" t="s">
        <v>940</v>
      </c>
      <c r="P477" s="63"/>
      <c r="Q477" s="63"/>
      <c r="R477" s="62" t="s">
        <v>52</v>
      </c>
      <c r="S477" s="65"/>
    </row>
    <row r="478" ht="13.5" customHeight="1">
      <c r="A478" s="140">
        <v>475.0</v>
      </c>
      <c r="B478" s="62" t="s">
        <v>941</v>
      </c>
      <c r="C478" s="62" t="s">
        <v>16</v>
      </c>
      <c r="D478" s="57" t="str">
        <f t="shared" si="6"/>
        <v>III</v>
      </c>
      <c r="E478" s="58" t="str">
        <f t="shared" si="7"/>
        <v>FA438/III/03</v>
      </c>
      <c r="F478" s="147" t="s">
        <v>942</v>
      </c>
      <c r="G478" s="141">
        <v>45940.0</v>
      </c>
      <c r="H478" s="142">
        <v>926660.0</v>
      </c>
      <c r="I478" s="143">
        <v>926000.0</v>
      </c>
      <c r="J478" s="62"/>
      <c r="K478" s="62" t="s">
        <v>95</v>
      </c>
      <c r="L478" s="62" t="s">
        <v>18</v>
      </c>
      <c r="M478" s="64" t="str">
        <f t="shared" si="8"/>
        <v>03</v>
      </c>
      <c r="N478" s="62" t="s">
        <v>943</v>
      </c>
      <c r="O478" s="63"/>
      <c r="P478" s="63"/>
      <c r="Q478" s="63"/>
      <c r="R478" s="62" t="s">
        <v>52</v>
      </c>
      <c r="S478" s="65"/>
    </row>
    <row r="479" ht="13.5" customHeight="1">
      <c r="A479" s="140">
        <v>476.0</v>
      </c>
      <c r="B479" s="62" t="s">
        <v>944</v>
      </c>
      <c r="C479" s="62" t="s">
        <v>16</v>
      </c>
      <c r="D479" s="57" t="str">
        <f t="shared" si="6"/>
        <v>III</v>
      </c>
      <c r="E479" s="58" t="str">
        <f t="shared" si="7"/>
        <v>FA439/III/03</v>
      </c>
      <c r="F479" s="147" t="s">
        <v>945</v>
      </c>
      <c r="G479" s="141">
        <v>45946.0</v>
      </c>
      <c r="H479" s="142">
        <v>5751660.0</v>
      </c>
      <c r="I479" s="143">
        <v>5751660.0</v>
      </c>
      <c r="J479" s="62" t="s">
        <v>946</v>
      </c>
      <c r="K479" s="62" t="s">
        <v>158</v>
      </c>
      <c r="L479" s="62" t="s">
        <v>18</v>
      </c>
      <c r="M479" s="64" t="str">
        <f t="shared" si="8"/>
        <v>03</v>
      </c>
      <c r="N479" s="62" t="s">
        <v>121</v>
      </c>
      <c r="O479" s="63"/>
      <c r="P479" s="63"/>
      <c r="Q479" s="63"/>
      <c r="R479" s="62" t="s">
        <v>52</v>
      </c>
      <c r="S479" s="65"/>
    </row>
    <row r="480" ht="13.5" customHeight="1">
      <c r="A480" s="140">
        <v>477.0</v>
      </c>
      <c r="B480" s="62" t="s">
        <v>947</v>
      </c>
      <c r="C480" s="62" t="s">
        <v>6</v>
      </c>
      <c r="D480" s="57" t="str">
        <f t="shared" si="6"/>
        <v>I</v>
      </c>
      <c r="E480" s="58" t="str">
        <f t="shared" si="7"/>
        <v>FA440/I/02</v>
      </c>
      <c r="F480" s="147" t="s">
        <v>948</v>
      </c>
      <c r="G480" s="141">
        <v>45950.0</v>
      </c>
      <c r="H480" s="142">
        <v>3178600.0</v>
      </c>
      <c r="I480" s="143">
        <v>3178600.0</v>
      </c>
      <c r="J480" s="62" t="s">
        <v>138</v>
      </c>
      <c r="K480" s="62" t="s">
        <v>95</v>
      </c>
      <c r="L480" s="62" t="s">
        <v>13</v>
      </c>
      <c r="M480" s="64" t="str">
        <f t="shared" si="8"/>
        <v>02</v>
      </c>
      <c r="N480" s="62" t="s">
        <v>949</v>
      </c>
      <c r="O480" s="63"/>
      <c r="P480" s="63"/>
      <c r="Q480" s="63"/>
      <c r="R480" s="62" t="s">
        <v>52</v>
      </c>
      <c r="S480" s="65"/>
    </row>
    <row r="481" ht="13.5" customHeight="1">
      <c r="A481" s="12">
        <v>478.0</v>
      </c>
      <c r="B481" s="43" t="s">
        <v>950</v>
      </c>
      <c r="C481" s="43" t="s">
        <v>6</v>
      </c>
      <c r="D481" s="39" t="str">
        <f t="shared" si="6"/>
        <v>I</v>
      </c>
      <c r="E481" s="40" t="str">
        <f t="shared" si="7"/>
        <v>FA441/I/03</v>
      </c>
      <c r="F481" s="96" t="s">
        <v>951</v>
      </c>
      <c r="G481" s="122">
        <v>45933.0</v>
      </c>
      <c r="H481" s="20"/>
      <c r="I481" s="116">
        <v>538400.0</v>
      </c>
      <c r="J481" s="43"/>
      <c r="K481" s="43" t="s">
        <v>95</v>
      </c>
      <c r="L481" s="43" t="s">
        <v>18</v>
      </c>
      <c r="M481" s="9" t="str">
        <f t="shared" si="8"/>
        <v>03</v>
      </c>
      <c r="N481" s="43" t="s">
        <v>952</v>
      </c>
      <c r="O481" s="43" t="s">
        <v>953</v>
      </c>
      <c r="P481" s="8"/>
      <c r="Q481" s="8"/>
      <c r="R481" s="43" t="s">
        <v>52</v>
      </c>
      <c r="S481" s="10"/>
    </row>
    <row r="482" ht="13.5" customHeight="1">
      <c r="A482" s="140">
        <v>502.0</v>
      </c>
      <c r="B482" s="62" t="s">
        <v>954</v>
      </c>
      <c r="C482" s="62" t="s">
        <v>6</v>
      </c>
      <c r="D482" s="57" t="str">
        <f t="shared" si="6"/>
        <v>I</v>
      </c>
      <c r="E482" s="58" t="str">
        <f t="shared" si="7"/>
        <v>FA442/I/01</v>
      </c>
      <c r="F482" s="62" t="s">
        <v>955</v>
      </c>
      <c r="G482" s="141">
        <v>45643.0</v>
      </c>
      <c r="H482" s="142">
        <v>4.3703287E7</v>
      </c>
      <c r="I482" s="61"/>
      <c r="J482" s="62" t="s">
        <v>107</v>
      </c>
      <c r="K482" s="62" t="s">
        <v>108</v>
      </c>
      <c r="L482" s="62" t="s">
        <v>8</v>
      </c>
      <c r="M482" s="64" t="str">
        <f t="shared" si="8"/>
        <v>01</v>
      </c>
      <c r="N482" s="63"/>
      <c r="O482" s="63"/>
      <c r="P482" s="63"/>
      <c r="Q482" s="63"/>
      <c r="R482" s="63"/>
      <c r="S482" s="65"/>
    </row>
    <row r="483" ht="13.5" customHeight="1">
      <c r="A483" s="140">
        <v>503.0</v>
      </c>
      <c r="B483" s="62" t="s">
        <v>956</v>
      </c>
      <c r="C483" s="62" t="s">
        <v>6</v>
      </c>
      <c r="D483" s="57" t="str">
        <f t="shared" si="6"/>
        <v>I</v>
      </c>
      <c r="E483" s="58" t="str">
        <f t="shared" si="7"/>
        <v>FA443/I/01</v>
      </c>
      <c r="F483" s="62" t="s">
        <v>957</v>
      </c>
      <c r="G483" s="141">
        <v>45643.0</v>
      </c>
      <c r="H483" s="142">
        <v>8.7422074E7</v>
      </c>
      <c r="I483" s="61"/>
      <c r="J483" s="62" t="s">
        <v>107</v>
      </c>
      <c r="K483" s="62" t="s">
        <v>108</v>
      </c>
      <c r="L483" s="62" t="s">
        <v>8</v>
      </c>
      <c r="M483" s="64" t="str">
        <f t="shared" si="8"/>
        <v>01</v>
      </c>
      <c r="N483" s="63"/>
      <c r="O483" s="63"/>
      <c r="P483" s="63"/>
      <c r="Q483" s="63"/>
      <c r="R483" s="63"/>
      <c r="S483" s="65"/>
    </row>
    <row r="484" ht="13.5" customHeight="1">
      <c r="A484" s="140">
        <v>504.0</v>
      </c>
      <c r="B484" s="62" t="s">
        <v>958</v>
      </c>
      <c r="C484" s="62" t="s">
        <v>6</v>
      </c>
      <c r="D484" s="57" t="str">
        <f t="shared" si="6"/>
        <v>I</v>
      </c>
      <c r="E484" s="58" t="str">
        <f t="shared" si="7"/>
        <v>FA444/I/02</v>
      </c>
      <c r="F484" s="62" t="s">
        <v>959</v>
      </c>
      <c r="G484" s="141">
        <v>45643.0</v>
      </c>
      <c r="H484" s="142">
        <v>1.07679515E8</v>
      </c>
      <c r="I484" s="61"/>
      <c r="J484" s="63"/>
      <c r="K484" s="62" t="s">
        <v>51</v>
      </c>
      <c r="L484" s="62" t="s">
        <v>13</v>
      </c>
      <c r="M484" s="64" t="str">
        <f t="shared" si="8"/>
        <v>02</v>
      </c>
      <c r="N484" s="63"/>
      <c r="O484" s="63"/>
      <c r="P484" s="63"/>
      <c r="Q484" s="63"/>
      <c r="R484" s="63"/>
      <c r="S484" s="65"/>
    </row>
    <row r="485" ht="13.5" customHeight="1">
      <c r="A485" s="140">
        <v>505.0</v>
      </c>
      <c r="B485" s="62" t="s">
        <v>960</v>
      </c>
      <c r="C485" s="62" t="s">
        <v>6</v>
      </c>
      <c r="D485" s="57" t="str">
        <f t="shared" si="6"/>
        <v>I</v>
      </c>
      <c r="E485" s="58" t="str">
        <f t="shared" si="7"/>
        <v>FA445/I/02</v>
      </c>
      <c r="F485" s="62" t="s">
        <v>961</v>
      </c>
      <c r="G485" s="141">
        <v>45643.0</v>
      </c>
      <c r="H485" s="142">
        <v>6.5397725E7</v>
      </c>
      <c r="I485" s="61"/>
      <c r="J485" s="63"/>
      <c r="K485" s="62" t="s">
        <v>51</v>
      </c>
      <c r="L485" s="62" t="s">
        <v>13</v>
      </c>
      <c r="M485" s="64" t="str">
        <f t="shared" si="8"/>
        <v>02</v>
      </c>
      <c r="N485" s="63"/>
      <c r="O485" s="63"/>
      <c r="P485" s="63"/>
      <c r="Q485" s="63"/>
      <c r="R485" s="63"/>
      <c r="S485" s="65"/>
    </row>
    <row r="486" ht="13.5" customHeight="1">
      <c r="A486" s="140">
        <v>506.0</v>
      </c>
      <c r="B486" s="62" t="s">
        <v>962</v>
      </c>
      <c r="C486" s="62" t="s">
        <v>24</v>
      </c>
      <c r="D486" s="57" t="str">
        <f t="shared" si="6"/>
        <v>V</v>
      </c>
      <c r="E486" s="58" t="str">
        <f t="shared" si="7"/>
        <v>FA446/V/02</v>
      </c>
      <c r="F486" s="62" t="s">
        <v>963</v>
      </c>
      <c r="G486" s="141">
        <v>45665.0</v>
      </c>
      <c r="H486" s="142">
        <v>250000.0</v>
      </c>
      <c r="I486" s="61"/>
      <c r="J486" s="63"/>
      <c r="K486" s="62" t="s">
        <v>964</v>
      </c>
      <c r="L486" s="62" t="s">
        <v>13</v>
      </c>
      <c r="M486" s="64" t="str">
        <f t="shared" si="8"/>
        <v>02</v>
      </c>
      <c r="N486" s="63"/>
      <c r="O486" s="63"/>
      <c r="P486" s="63"/>
      <c r="Q486" s="63"/>
      <c r="R486" s="63"/>
      <c r="S486" s="65"/>
    </row>
    <row r="487" ht="13.5" customHeight="1">
      <c r="A487" s="140">
        <v>507.0</v>
      </c>
      <c r="B487" s="62" t="s">
        <v>965</v>
      </c>
      <c r="C487" s="62" t="s">
        <v>24</v>
      </c>
      <c r="D487" s="57" t="str">
        <f t="shared" si="6"/>
        <v>V</v>
      </c>
      <c r="E487" s="58" t="str">
        <f t="shared" si="7"/>
        <v>FA447/V/02</v>
      </c>
      <c r="F487" s="62" t="s">
        <v>966</v>
      </c>
      <c r="G487" s="141">
        <v>45665.0</v>
      </c>
      <c r="H487" s="142">
        <v>280000.0</v>
      </c>
      <c r="I487" s="61"/>
      <c r="J487" s="63"/>
      <c r="K487" s="62" t="s">
        <v>964</v>
      </c>
      <c r="L487" s="62" t="s">
        <v>13</v>
      </c>
      <c r="M487" s="64" t="str">
        <f t="shared" si="8"/>
        <v>02</v>
      </c>
      <c r="N487" s="63"/>
      <c r="O487" s="63"/>
      <c r="P487" s="63"/>
      <c r="Q487" s="63"/>
      <c r="R487" s="63"/>
      <c r="S487" s="65"/>
    </row>
    <row r="488" ht="13.5" customHeight="1">
      <c r="A488" s="140">
        <v>508.0</v>
      </c>
      <c r="B488" s="62" t="s">
        <v>967</v>
      </c>
      <c r="C488" s="62" t="s">
        <v>24</v>
      </c>
      <c r="D488" s="57" t="str">
        <f t="shared" si="6"/>
        <v>V</v>
      </c>
      <c r="E488" s="58" t="str">
        <f t="shared" si="7"/>
        <v>FA448/V/02</v>
      </c>
      <c r="F488" s="62" t="s">
        <v>968</v>
      </c>
      <c r="G488" s="141">
        <v>45691.0</v>
      </c>
      <c r="H488" s="142">
        <v>210000.0</v>
      </c>
      <c r="I488" s="61"/>
      <c r="J488" s="63"/>
      <c r="K488" s="62" t="s">
        <v>964</v>
      </c>
      <c r="L488" s="62" t="s">
        <v>13</v>
      </c>
      <c r="M488" s="64" t="str">
        <f t="shared" si="8"/>
        <v>02</v>
      </c>
      <c r="N488" s="63"/>
      <c r="O488" s="63"/>
      <c r="P488" s="63"/>
      <c r="Q488" s="63"/>
      <c r="R488" s="63"/>
      <c r="S488" s="65"/>
    </row>
    <row r="489" ht="13.5" customHeight="1">
      <c r="A489" s="140">
        <v>509.0</v>
      </c>
      <c r="B489" s="62" t="s">
        <v>969</v>
      </c>
      <c r="C489" s="62" t="s">
        <v>24</v>
      </c>
      <c r="D489" s="57" t="str">
        <f t="shared" si="6"/>
        <v>V</v>
      </c>
      <c r="E489" s="58" t="str">
        <f t="shared" si="7"/>
        <v>FA449/V/02</v>
      </c>
      <c r="F489" s="62" t="s">
        <v>970</v>
      </c>
      <c r="G489" s="141">
        <v>45821.0</v>
      </c>
      <c r="H489" s="142">
        <v>5200000.0</v>
      </c>
      <c r="I489" s="61"/>
      <c r="J489" s="63"/>
      <c r="K489" s="62" t="s">
        <v>964</v>
      </c>
      <c r="L489" s="62" t="s">
        <v>13</v>
      </c>
      <c r="M489" s="64" t="str">
        <f t="shared" si="8"/>
        <v>02</v>
      </c>
      <c r="N489" s="63"/>
      <c r="O489" s="63"/>
      <c r="P489" s="63"/>
      <c r="Q489" s="63"/>
      <c r="R489" s="63"/>
      <c r="S489" s="65"/>
    </row>
    <row r="490" ht="13.5" customHeight="1">
      <c r="A490" s="140">
        <v>510.0</v>
      </c>
      <c r="B490" s="62" t="s">
        <v>971</v>
      </c>
      <c r="C490" s="62" t="s">
        <v>24</v>
      </c>
      <c r="D490" s="57" t="str">
        <f t="shared" si="6"/>
        <v>V</v>
      </c>
      <c r="E490" s="58" t="str">
        <f t="shared" si="7"/>
        <v>FA450/V/02</v>
      </c>
      <c r="F490" s="62" t="s">
        <v>972</v>
      </c>
      <c r="G490" s="141">
        <v>45821.0</v>
      </c>
      <c r="H490" s="142">
        <v>7000000.0</v>
      </c>
      <c r="I490" s="61"/>
      <c r="J490" s="63"/>
      <c r="K490" s="62" t="s">
        <v>964</v>
      </c>
      <c r="L490" s="62" t="s">
        <v>13</v>
      </c>
      <c r="M490" s="64" t="str">
        <f t="shared" si="8"/>
        <v>02</v>
      </c>
      <c r="N490" s="63"/>
      <c r="O490" s="63"/>
      <c r="P490" s="63"/>
      <c r="Q490" s="63"/>
      <c r="R490" s="63"/>
      <c r="S490" s="65"/>
    </row>
    <row r="491" ht="13.5" customHeight="1">
      <c r="A491" s="140">
        <v>511.0</v>
      </c>
      <c r="B491" s="62" t="s">
        <v>973</v>
      </c>
      <c r="C491" s="62" t="s">
        <v>24</v>
      </c>
      <c r="D491" s="57" t="str">
        <f t="shared" si="6"/>
        <v>V</v>
      </c>
      <c r="E491" s="58" t="str">
        <f t="shared" si="7"/>
        <v>FA451/V/02</v>
      </c>
      <c r="F491" s="62" t="s">
        <v>974</v>
      </c>
      <c r="G491" s="141">
        <v>45821.0</v>
      </c>
      <c r="H491" s="142">
        <v>750000.0</v>
      </c>
      <c r="I491" s="61"/>
      <c r="J491" s="63"/>
      <c r="K491" s="62" t="s">
        <v>964</v>
      </c>
      <c r="L491" s="62" t="s">
        <v>13</v>
      </c>
      <c r="M491" s="64" t="str">
        <f t="shared" si="8"/>
        <v>02</v>
      </c>
      <c r="N491" s="63"/>
      <c r="O491" s="63"/>
      <c r="P491" s="63"/>
      <c r="Q491" s="63"/>
      <c r="R491" s="63"/>
      <c r="S491" s="65"/>
    </row>
    <row r="492" ht="13.5" customHeight="1">
      <c r="A492" s="140">
        <v>512.0</v>
      </c>
      <c r="B492" s="62" t="s">
        <v>975</v>
      </c>
      <c r="C492" s="62" t="s">
        <v>24</v>
      </c>
      <c r="D492" s="57" t="str">
        <f t="shared" si="6"/>
        <v>V</v>
      </c>
      <c r="E492" s="58" t="str">
        <f t="shared" si="7"/>
        <v>FA452/V/02</v>
      </c>
      <c r="F492" s="62" t="s">
        <v>976</v>
      </c>
      <c r="G492" s="141">
        <v>45821.0</v>
      </c>
      <c r="H492" s="142">
        <v>5050000.0</v>
      </c>
      <c r="I492" s="61"/>
      <c r="J492" s="63"/>
      <c r="K492" s="62" t="s">
        <v>964</v>
      </c>
      <c r="L492" s="62" t="s">
        <v>13</v>
      </c>
      <c r="M492" s="64" t="str">
        <f t="shared" si="8"/>
        <v>02</v>
      </c>
      <c r="N492" s="63"/>
      <c r="O492" s="63"/>
      <c r="P492" s="63"/>
      <c r="Q492" s="63"/>
      <c r="R492" s="63"/>
      <c r="S492" s="65"/>
    </row>
    <row r="493" ht="13.5" customHeight="1">
      <c r="A493" s="140">
        <v>513.0</v>
      </c>
      <c r="B493" s="62" t="s">
        <v>977</v>
      </c>
      <c r="C493" s="62" t="s">
        <v>24</v>
      </c>
      <c r="D493" s="57" t="str">
        <f t="shared" si="6"/>
        <v>V</v>
      </c>
      <c r="E493" s="58" t="str">
        <f t="shared" si="7"/>
        <v>FA453/V/02</v>
      </c>
      <c r="F493" s="62" t="s">
        <v>978</v>
      </c>
      <c r="G493" s="141">
        <v>45796.0</v>
      </c>
      <c r="H493" s="142">
        <v>500000.0</v>
      </c>
      <c r="I493" s="61"/>
      <c r="J493" s="63"/>
      <c r="K493" s="62" t="s">
        <v>964</v>
      </c>
      <c r="L493" s="62" t="s">
        <v>13</v>
      </c>
      <c r="M493" s="64" t="str">
        <f t="shared" si="8"/>
        <v>02</v>
      </c>
      <c r="N493" s="63"/>
      <c r="O493" s="63"/>
      <c r="P493" s="63"/>
      <c r="Q493" s="63"/>
      <c r="R493" s="63"/>
      <c r="S493" s="65"/>
    </row>
    <row r="494" ht="13.5" customHeight="1">
      <c r="A494" s="140">
        <v>514.0</v>
      </c>
      <c r="B494" s="62" t="s">
        <v>979</v>
      </c>
      <c r="C494" s="62" t="s">
        <v>24</v>
      </c>
      <c r="D494" s="57" t="str">
        <f t="shared" si="6"/>
        <v>V</v>
      </c>
      <c r="E494" s="58" t="str">
        <f t="shared" si="7"/>
        <v>FA454/V/02</v>
      </c>
      <c r="F494" s="62" t="s">
        <v>980</v>
      </c>
      <c r="G494" s="141">
        <v>45800.0</v>
      </c>
      <c r="H494" s="142">
        <v>275000.0</v>
      </c>
      <c r="I494" s="61"/>
      <c r="J494" s="63"/>
      <c r="K494" s="62" t="s">
        <v>964</v>
      </c>
      <c r="L494" s="62" t="s">
        <v>13</v>
      </c>
      <c r="M494" s="64" t="str">
        <f t="shared" si="8"/>
        <v>02</v>
      </c>
      <c r="N494" s="63"/>
      <c r="O494" s="63"/>
      <c r="P494" s="63"/>
      <c r="Q494" s="63"/>
      <c r="R494" s="63"/>
      <c r="S494" s="65"/>
    </row>
    <row r="495" ht="13.5" customHeight="1">
      <c r="A495" s="140">
        <v>515.0</v>
      </c>
      <c r="B495" s="62" t="s">
        <v>981</v>
      </c>
      <c r="C495" s="62" t="s">
        <v>24</v>
      </c>
      <c r="D495" s="57" t="str">
        <f t="shared" si="6"/>
        <v>V</v>
      </c>
      <c r="E495" s="58" t="str">
        <f t="shared" si="7"/>
        <v>FA455/V/02</v>
      </c>
      <c r="F495" s="62" t="s">
        <v>982</v>
      </c>
      <c r="G495" s="141">
        <v>45813.0</v>
      </c>
      <c r="H495" s="142">
        <v>690000.0</v>
      </c>
      <c r="I495" s="61"/>
      <c r="J495" s="63"/>
      <c r="K495" s="62" t="s">
        <v>964</v>
      </c>
      <c r="L495" s="62" t="s">
        <v>13</v>
      </c>
      <c r="M495" s="64" t="str">
        <f t="shared" si="8"/>
        <v>02</v>
      </c>
      <c r="N495" s="63"/>
      <c r="O495" s="63"/>
      <c r="P495" s="63"/>
      <c r="Q495" s="63"/>
      <c r="R495" s="63"/>
      <c r="S495" s="65"/>
    </row>
    <row r="496" ht="13.5" customHeight="1">
      <c r="A496" s="140">
        <v>516.0</v>
      </c>
      <c r="B496" s="62" t="s">
        <v>983</v>
      </c>
      <c r="C496" s="62" t="s">
        <v>24</v>
      </c>
      <c r="D496" s="57" t="str">
        <f t="shared" si="6"/>
        <v>V</v>
      </c>
      <c r="E496" s="58" t="str">
        <f t="shared" si="7"/>
        <v>FA456/V/02</v>
      </c>
      <c r="F496" s="62" t="s">
        <v>984</v>
      </c>
      <c r="G496" s="141">
        <v>45820.0</v>
      </c>
      <c r="H496" s="142">
        <v>7905405.0</v>
      </c>
      <c r="I496" s="61"/>
      <c r="J496" s="63"/>
      <c r="K496" s="62" t="s">
        <v>964</v>
      </c>
      <c r="L496" s="62" t="s">
        <v>13</v>
      </c>
      <c r="M496" s="64" t="str">
        <f t="shared" si="8"/>
        <v>02</v>
      </c>
      <c r="N496" s="63"/>
      <c r="O496" s="63"/>
      <c r="P496" s="63"/>
      <c r="Q496" s="63"/>
      <c r="R496" s="63"/>
      <c r="S496" s="65"/>
    </row>
    <row r="497" ht="13.5" customHeight="1">
      <c r="A497" s="140">
        <v>517.0</v>
      </c>
      <c r="B497" s="62" t="s">
        <v>985</v>
      </c>
      <c r="C497" s="62" t="s">
        <v>24</v>
      </c>
      <c r="D497" s="57" t="str">
        <f t="shared" si="6"/>
        <v>V</v>
      </c>
      <c r="E497" s="58" t="str">
        <f t="shared" si="7"/>
        <v>FA457/V/02</v>
      </c>
      <c r="F497" s="62" t="s">
        <v>986</v>
      </c>
      <c r="G497" s="141">
        <v>45820.0</v>
      </c>
      <c r="H497" s="142">
        <v>1250000.0</v>
      </c>
      <c r="I497" s="61"/>
      <c r="J497" s="63"/>
      <c r="K497" s="62" t="s">
        <v>964</v>
      </c>
      <c r="L497" s="62" t="s">
        <v>13</v>
      </c>
      <c r="M497" s="64" t="str">
        <f t="shared" si="8"/>
        <v>02</v>
      </c>
      <c r="N497" s="63"/>
      <c r="O497" s="63"/>
      <c r="P497" s="63"/>
      <c r="Q497" s="63"/>
      <c r="R497" s="63"/>
      <c r="S497" s="65"/>
    </row>
    <row r="498" ht="13.5" customHeight="1">
      <c r="A498" s="140">
        <v>518.0</v>
      </c>
      <c r="B498" s="62" t="s">
        <v>987</v>
      </c>
      <c r="C498" s="62" t="s">
        <v>24</v>
      </c>
      <c r="D498" s="57" t="str">
        <f t="shared" si="6"/>
        <v>V</v>
      </c>
      <c r="E498" s="58" t="str">
        <f t="shared" si="7"/>
        <v>FA458/V/02</v>
      </c>
      <c r="F498" s="62" t="s">
        <v>988</v>
      </c>
      <c r="G498" s="141">
        <v>45891.0</v>
      </c>
      <c r="H498" s="142">
        <v>5042000.0</v>
      </c>
      <c r="I498" s="61"/>
      <c r="J498" s="63"/>
      <c r="K498" s="62" t="s">
        <v>964</v>
      </c>
      <c r="L498" s="62" t="s">
        <v>13</v>
      </c>
      <c r="M498" s="64" t="str">
        <f t="shared" si="8"/>
        <v>02</v>
      </c>
      <c r="N498" s="63"/>
      <c r="O498" s="63"/>
      <c r="P498" s="63"/>
      <c r="Q498" s="63"/>
      <c r="R498" s="63"/>
      <c r="S498" s="65"/>
    </row>
    <row r="499" ht="13.5" customHeight="1">
      <c r="A499" s="140">
        <v>519.0</v>
      </c>
      <c r="B499" s="62" t="s">
        <v>989</v>
      </c>
      <c r="C499" s="62" t="s">
        <v>24</v>
      </c>
      <c r="D499" s="57" t="str">
        <f t="shared" si="6"/>
        <v>V</v>
      </c>
      <c r="E499" s="58" t="str">
        <f t="shared" si="7"/>
        <v>FA459/V/02</v>
      </c>
      <c r="F499" s="62" t="s">
        <v>990</v>
      </c>
      <c r="G499" s="141">
        <v>45891.0</v>
      </c>
      <c r="H499" s="142">
        <v>1636000.0</v>
      </c>
      <c r="I499" s="61"/>
      <c r="J499" s="63"/>
      <c r="K499" s="62" t="s">
        <v>964</v>
      </c>
      <c r="L499" s="62" t="s">
        <v>13</v>
      </c>
      <c r="M499" s="64" t="str">
        <f t="shared" si="8"/>
        <v>02</v>
      </c>
      <c r="N499" s="63"/>
      <c r="O499" s="63"/>
      <c r="P499" s="63"/>
      <c r="Q499" s="63"/>
      <c r="R499" s="63"/>
      <c r="S499" s="65"/>
    </row>
    <row r="500" ht="13.5" customHeight="1">
      <c r="A500" s="140">
        <v>520.0</v>
      </c>
      <c r="B500" s="62" t="s">
        <v>991</v>
      </c>
      <c r="C500" s="62" t="s">
        <v>24</v>
      </c>
      <c r="D500" s="57" t="str">
        <f t="shared" si="6"/>
        <v>V</v>
      </c>
      <c r="E500" s="58" t="str">
        <f t="shared" si="7"/>
        <v>FA460/V/02</v>
      </c>
      <c r="F500" s="62" t="s">
        <v>990</v>
      </c>
      <c r="G500" s="141">
        <v>45891.0</v>
      </c>
      <c r="H500" s="142">
        <v>1636000.0</v>
      </c>
      <c r="I500" s="61"/>
      <c r="J500" s="63"/>
      <c r="K500" s="62" t="s">
        <v>964</v>
      </c>
      <c r="L500" s="62" t="s">
        <v>13</v>
      </c>
      <c r="M500" s="64" t="str">
        <f t="shared" si="8"/>
        <v>02</v>
      </c>
      <c r="N500" s="63"/>
      <c r="O500" s="63"/>
      <c r="P500" s="63"/>
      <c r="Q500" s="63"/>
      <c r="R500" s="63"/>
      <c r="S500" s="65"/>
    </row>
    <row r="501" ht="13.5" customHeight="1">
      <c r="A501" s="140">
        <v>521.0</v>
      </c>
      <c r="B501" s="62" t="s">
        <v>992</v>
      </c>
      <c r="C501" s="62" t="s">
        <v>24</v>
      </c>
      <c r="D501" s="57" t="str">
        <f t="shared" si="6"/>
        <v>V</v>
      </c>
      <c r="E501" s="58" t="str">
        <f t="shared" si="7"/>
        <v>FA461/V/02</v>
      </c>
      <c r="F501" s="62" t="s">
        <v>990</v>
      </c>
      <c r="G501" s="141">
        <v>45891.0</v>
      </c>
      <c r="H501" s="142">
        <v>1636000.0</v>
      </c>
      <c r="I501" s="61"/>
      <c r="J501" s="63"/>
      <c r="K501" s="62" t="s">
        <v>964</v>
      </c>
      <c r="L501" s="62" t="s">
        <v>13</v>
      </c>
      <c r="M501" s="64" t="str">
        <f t="shared" si="8"/>
        <v>02</v>
      </c>
      <c r="N501" s="63"/>
      <c r="O501" s="63"/>
      <c r="P501" s="63"/>
      <c r="Q501" s="63"/>
      <c r="R501" s="63"/>
      <c r="S501" s="65"/>
    </row>
    <row r="502" ht="13.5" customHeight="1">
      <c r="A502" s="140">
        <v>522.0</v>
      </c>
      <c r="B502" s="62" t="s">
        <v>993</v>
      </c>
      <c r="C502" s="62" t="s">
        <v>24</v>
      </c>
      <c r="D502" s="57" t="str">
        <f t="shared" si="6"/>
        <v>V</v>
      </c>
      <c r="E502" s="58" t="str">
        <f t="shared" si="7"/>
        <v>FA462/V/02</v>
      </c>
      <c r="F502" s="62" t="s">
        <v>990</v>
      </c>
      <c r="G502" s="141">
        <v>45891.0</v>
      </c>
      <c r="H502" s="142">
        <v>1636000.0</v>
      </c>
      <c r="I502" s="61"/>
      <c r="J502" s="63"/>
      <c r="K502" s="62" t="s">
        <v>964</v>
      </c>
      <c r="L502" s="62" t="s">
        <v>13</v>
      </c>
      <c r="M502" s="64" t="str">
        <f t="shared" si="8"/>
        <v>02</v>
      </c>
      <c r="N502" s="63"/>
      <c r="O502" s="63"/>
      <c r="P502" s="63"/>
      <c r="Q502" s="63"/>
      <c r="R502" s="63"/>
      <c r="S502" s="65"/>
    </row>
    <row r="503" ht="13.5" customHeight="1">
      <c r="A503" s="140">
        <v>523.0</v>
      </c>
      <c r="B503" s="62" t="s">
        <v>994</v>
      </c>
      <c r="C503" s="62" t="s">
        <v>24</v>
      </c>
      <c r="D503" s="57" t="str">
        <f t="shared" si="6"/>
        <v>V</v>
      </c>
      <c r="E503" s="58" t="str">
        <f t="shared" si="7"/>
        <v>FA463/V/02</v>
      </c>
      <c r="F503" s="62" t="s">
        <v>990</v>
      </c>
      <c r="G503" s="141">
        <v>45891.0</v>
      </c>
      <c r="H503" s="142">
        <v>1636000.0</v>
      </c>
      <c r="I503" s="61"/>
      <c r="J503" s="63"/>
      <c r="K503" s="62" t="s">
        <v>964</v>
      </c>
      <c r="L503" s="62" t="s">
        <v>13</v>
      </c>
      <c r="M503" s="64" t="str">
        <f t="shared" si="8"/>
        <v>02</v>
      </c>
      <c r="N503" s="63"/>
      <c r="O503" s="63"/>
      <c r="P503" s="63"/>
      <c r="Q503" s="63"/>
      <c r="R503" s="63"/>
      <c r="S503" s="65"/>
    </row>
    <row r="504" ht="13.5" customHeight="1">
      <c r="A504" s="140">
        <v>524.0</v>
      </c>
      <c r="B504" s="62" t="s">
        <v>995</v>
      </c>
      <c r="C504" s="62" t="s">
        <v>24</v>
      </c>
      <c r="D504" s="57" t="str">
        <f t="shared" si="6"/>
        <v>V</v>
      </c>
      <c r="E504" s="58" t="str">
        <f t="shared" si="7"/>
        <v>FA464/V/02</v>
      </c>
      <c r="F504" s="62" t="s">
        <v>996</v>
      </c>
      <c r="G504" s="148">
        <v>45947.0</v>
      </c>
      <c r="H504" s="142">
        <v>3278000.0</v>
      </c>
      <c r="I504" s="145"/>
      <c r="J504" s="63"/>
      <c r="K504" s="62" t="s">
        <v>964</v>
      </c>
      <c r="L504" s="62" t="s">
        <v>13</v>
      </c>
      <c r="M504" s="64" t="str">
        <f t="shared" si="8"/>
        <v>02</v>
      </c>
      <c r="N504" s="63"/>
      <c r="O504" s="63"/>
      <c r="P504" s="63"/>
      <c r="Q504" s="63"/>
      <c r="R504" s="63"/>
      <c r="S504" s="65"/>
    </row>
    <row r="505" ht="13.5" customHeight="1">
      <c r="A505" s="140">
        <v>525.0</v>
      </c>
      <c r="B505" s="62" t="s">
        <v>997</v>
      </c>
      <c r="C505" s="62" t="s">
        <v>24</v>
      </c>
      <c r="D505" s="57" t="str">
        <f t="shared" si="6"/>
        <v>V</v>
      </c>
      <c r="E505" s="58" t="str">
        <f t="shared" si="7"/>
        <v>FA465/V/02</v>
      </c>
      <c r="F505" s="62" t="s">
        <v>998</v>
      </c>
      <c r="G505" s="141">
        <v>45947.0</v>
      </c>
      <c r="H505" s="142">
        <v>5590000.0</v>
      </c>
      <c r="I505" s="145"/>
      <c r="J505" s="63"/>
      <c r="K505" s="62" t="s">
        <v>964</v>
      </c>
      <c r="L505" s="62" t="s">
        <v>13</v>
      </c>
      <c r="M505" s="64" t="str">
        <f t="shared" si="8"/>
        <v>02</v>
      </c>
      <c r="N505" s="63"/>
      <c r="O505" s="63"/>
      <c r="P505" s="63"/>
      <c r="Q505" s="63"/>
      <c r="R505" s="63"/>
      <c r="S505" s="65"/>
    </row>
    <row r="506" ht="13.5" customHeight="1">
      <c r="A506" s="140">
        <v>526.0</v>
      </c>
      <c r="B506" s="62" t="s">
        <v>999</v>
      </c>
      <c r="C506" s="62" t="s">
        <v>24</v>
      </c>
      <c r="D506" s="57" t="str">
        <f t="shared" si="6"/>
        <v>V</v>
      </c>
      <c r="E506" s="58" t="str">
        <f t="shared" si="7"/>
        <v>FA466/V/01</v>
      </c>
      <c r="F506" s="62" t="s">
        <v>1000</v>
      </c>
      <c r="G506" s="141">
        <v>45849.0</v>
      </c>
      <c r="H506" s="149">
        <v>976250.0</v>
      </c>
      <c r="I506" s="143">
        <v>976250.0</v>
      </c>
      <c r="J506" s="62" t="s">
        <v>59</v>
      </c>
      <c r="K506" s="62" t="s">
        <v>51</v>
      </c>
      <c r="L506" s="62" t="s">
        <v>8</v>
      </c>
      <c r="M506" s="64" t="str">
        <f t="shared" si="8"/>
        <v>01</v>
      </c>
      <c r="N506" s="62" t="s">
        <v>1001</v>
      </c>
      <c r="O506" s="63"/>
      <c r="P506" s="63"/>
      <c r="Q506" s="63"/>
      <c r="R506" s="62" t="s">
        <v>52</v>
      </c>
      <c r="S506" s="65"/>
    </row>
    <row r="507" ht="13.5" customHeight="1">
      <c r="A507" s="140">
        <v>527.0</v>
      </c>
      <c r="B507" s="62" t="s">
        <v>1002</v>
      </c>
      <c r="C507" s="62" t="s">
        <v>24</v>
      </c>
      <c r="D507" s="57" t="str">
        <f t="shared" si="6"/>
        <v>V</v>
      </c>
      <c r="E507" s="58" t="str">
        <f t="shared" si="7"/>
        <v>FA467/V/02</v>
      </c>
      <c r="F507" s="62" t="s">
        <v>1003</v>
      </c>
      <c r="G507" s="141">
        <v>45890.0</v>
      </c>
      <c r="H507" s="149">
        <v>1350000.0</v>
      </c>
      <c r="I507" s="143">
        <v>1350000.0</v>
      </c>
      <c r="J507" s="63"/>
      <c r="K507" s="62" t="s">
        <v>964</v>
      </c>
      <c r="L507" s="62" t="s">
        <v>13</v>
      </c>
      <c r="M507" s="64" t="str">
        <f t="shared" si="8"/>
        <v>02</v>
      </c>
      <c r="N507" s="63"/>
      <c r="O507" s="63"/>
      <c r="P507" s="63"/>
      <c r="Q507" s="63"/>
      <c r="R507" s="62" t="s">
        <v>52</v>
      </c>
      <c r="S507" s="65"/>
    </row>
    <row r="508" ht="13.5" customHeight="1">
      <c r="A508" s="140">
        <v>528.0</v>
      </c>
      <c r="B508" s="62" t="s">
        <v>1004</v>
      </c>
      <c r="C508" s="62" t="s">
        <v>24</v>
      </c>
      <c r="D508" s="57" t="str">
        <f t="shared" si="6"/>
        <v>V</v>
      </c>
      <c r="E508" s="58" t="str">
        <f t="shared" si="7"/>
        <v>FA468/V/02</v>
      </c>
      <c r="F508" s="62" t="s">
        <v>1005</v>
      </c>
      <c r="G508" s="141">
        <v>45890.0</v>
      </c>
      <c r="H508" s="149">
        <v>3100000.0</v>
      </c>
      <c r="I508" s="143">
        <v>3100000.0</v>
      </c>
      <c r="J508" s="63"/>
      <c r="K508" s="62" t="s">
        <v>964</v>
      </c>
      <c r="L508" s="62" t="s">
        <v>13</v>
      </c>
      <c r="M508" s="64" t="str">
        <f t="shared" si="8"/>
        <v>02</v>
      </c>
      <c r="N508" s="63"/>
      <c r="O508" s="63"/>
      <c r="P508" s="63"/>
      <c r="Q508" s="63"/>
      <c r="R508" s="62" t="s">
        <v>52</v>
      </c>
      <c r="S508" s="65"/>
    </row>
    <row r="509" ht="13.5" customHeight="1">
      <c r="A509" s="140">
        <v>529.0</v>
      </c>
      <c r="B509" s="62" t="s">
        <v>1006</v>
      </c>
      <c r="C509" s="62" t="s">
        <v>24</v>
      </c>
      <c r="D509" s="57" t="str">
        <f t="shared" si="6"/>
        <v>V</v>
      </c>
      <c r="E509" s="58" t="str">
        <f t="shared" si="7"/>
        <v>FA469/V/02</v>
      </c>
      <c r="F509" s="62" t="s">
        <v>1007</v>
      </c>
      <c r="G509" s="141">
        <v>45890.0</v>
      </c>
      <c r="H509" s="149">
        <v>1550000.0</v>
      </c>
      <c r="I509" s="143">
        <v>1550000.0</v>
      </c>
      <c r="J509" s="63"/>
      <c r="K509" s="62" t="s">
        <v>964</v>
      </c>
      <c r="L509" s="62" t="s">
        <v>13</v>
      </c>
      <c r="M509" s="64" t="str">
        <f t="shared" si="8"/>
        <v>02</v>
      </c>
      <c r="N509" s="63"/>
      <c r="O509" s="63"/>
      <c r="P509" s="63"/>
      <c r="Q509" s="63"/>
      <c r="R509" s="62" t="s">
        <v>52</v>
      </c>
      <c r="S509" s="65"/>
    </row>
    <row r="510" ht="13.5" customHeight="1">
      <c r="A510" s="140">
        <v>530.0</v>
      </c>
      <c r="B510" s="62" t="s">
        <v>1008</v>
      </c>
      <c r="C510" s="62" t="s">
        <v>24</v>
      </c>
      <c r="D510" s="57" t="str">
        <f t="shared" si="6"/>
        <v>V</v>
      </c>
      <c r="E510" s="58" t="str">
        <f t="shared" si="7"/>
        <v>FA470/V/02</v>
      </c>
      <c r="F510" s="62" t="s">
        <v>1009</v>
      </c>
      <c r="G510" s="141">
        <v>45890.0</v>
      </c>
      <c r="H510" s="149">
        <v>583564.0</v>
      </c>
      <c r="I510" s="143">
        <v>583564.0</v>
      </c>
      <c r="J510" s="63"/>
      <c r="K510" s="62" t="s">
        <v>964</v>
      </c>
      <c r="L510" s="62" t="s">
        <v>13</v>
      </c>
      <c r="M510" s="64" t="str">
        <f t="shared" si="8"/>
        <v>02</v>
      </c>
      <c r="N510" s="63"/>
      <c r="O510" s="63"/>
      <c r="P510" s="63"/>
      <c r="Q510" s="63"/>
      <c r="R510" s="62" t="s">
        <v>52</v>
      </c>
      <c r="S510" s="65"/>
    </row>
    <row r="511" ht="13.5" customHeight="1">
      <c r="A511" s="140">
        <v>531.0</v>
      </c>
      <c r="B511" s="62" t="s">
        <v>1010</v>
      </c>
      <c r="C511" s="62" t="s">
        <v>24</v>
      </c>
      <c r="D511" s="57" t="str">
        <f t="shared" si="6"/>
        <v>V</v>
      </c>
      <c r="E511" s="58" t="str">
        <f t="shared" si="7"/>
        <v>FA471/V/02</v>
      </c>
      <c r="F511" s="62" t="s">
        <v>1011</v>
      </c>
      <c r="G511" s="141">
        <v>45890.0</v>
      </c>
      <c r="H511" s="149">
        <v>324365.0</v>
      </c>
      <c r="I511" s="143">
        <v>324365.0</v>
      </c>
      <c r="J511" s="63"/>
      <c r="K511" s="62" t="s">
        <v>964</v>
      </c>
      <c r="L511" s="62" t="s">
        <v>13</v>
      </c>
      <c r="M511" s="64" t="str">
        <f t="shared" si="8"/>
        <v>02</v>
      </c>
      <c r="N511" s="63"/>
      <c r="O511" s="63"/>
      <c r="P511" s="63"/>
      <c r="Q511" s="63"/>
      <c r="R511" s="62" t="s">
        <v>52</v>
      </c>
      <c r="S511" s="65"/>
    </row>
    <row r="512" ht="13.5" customHeight="1">
      <c r="A512" s="140">
        <v>532.0</v>
      </c>
      <c r="B512" s="62" t="s">
        <v>1012</v>
      </c>
      <c r="C512" s="62" t="s">
        <v>24</v>
      </c>
      <c r="D512" s="57" t="str">
        <f t="shared" si="6"/>
        <v>V</v>
      </c>
      <c r="E512" s="58" t="str">
        <f t="shared" si="7"/>
        <v>FA472/V/02</v>
      </c>
      <c r="F512" s="62" t="s">
        <v>1013</v>
      </c>
      <c r="G512" s="141">
        <v>45890.0</v>
      </c>
      <c r="H512" s="149">
        <v>952772.0</v>
      </c>
      <c r="I512" s="143">
        <v>952772.0</v>
      </c>
      <c r="J512" s="63"/>
      <c r="K512" s="62" t="s">
        <v>964</v>
      </c>
      <c r="L512" s="62" t="s">
        <v>13</v>
      </c>
      <c r="M512" s="64" t="str">
        <f t="shared" si="8"/>
        <v>02</v>
      </c>
      <c r="N512" s="63"/>
      <c r="O512" s="63"/>
      <c r="P512" s="63"/>
      <c r="Q512" s="63"/>
      <c r="R512" s="62" t="s">
        <v>52</v>
      </c>
      <c r="S512" s="65"/>
    </row>
    <row r="513" ht="13.5" customHeight="1">
      <c r="A513" s="140">
        <v>533.0</v>
      </c>
      <c r="B513" s="62" t="s">
        <v>1014</v>
      </c>
      <c r="C513" s="62" t="s">
        <v>24</v>
      </c>
      <c r="D513" s="57" t="str">
        <f t="shared" si="6"/>
        <v>V</v>
      </c>
      <c r="E513" s="58" t="str">
        <f t="shared" si="7"/>
        <v>FA473/V/02</v>
      </c>
      <c r="F513" s="62" t="s">
        <v>1015</v>
      </c>
      <c r="G513" s="148">
        <v>45891.0</v>
      </c>
      <c r="H513" s="142">
        <v>930000.0</v>
      </c>
      <c r="I513" s="143">
        <v>790500.0</v>
      </c>
      <c r="J513" s="63"/>
      <c r="K513" s="62" t="s">
        <v>964</v>
      </c>
      <c r="L513" s="62" t="s">
        <v>13</v>
      </c>
      <c r="M513" s="64" t="str">
        <f t="shared" si="8"/>
        <v>02</v>
      </c>
      <c r="N513" s="63"/>
      <c r="O513" s="63"/>
      <c r="P513" s="63"/>
      <c r="Q513" s="63"/>
      <c r="R513" s="63"/>
      <c r="S513" s="65"/>
    </row>
    <row r="514" ht="13.5" customHeight="1">
      <c r="A514" s="140">
        <v>534.0</v>
      </c>
      <c r="B514" s="62" t="s">
        <v>1016</v>
      </c>
      <c r="C514" s="62" t="s">
        <v>24</v>
      </c>
      <c r="D514" s="57" t="str">
        <f t="shared" si="6"/>
        <v>V</v>
      </c>
      <c r="E514" s="58" t="str">
        <f t="shared" si="7"/>
        <v>FA474/V/02</v>
      </c>
      <c r="F514" s="62" t="s">
        <v>1017</v>
      </c>
      <c r="G514" s="148">
        <v>45891.0</v>
      </c>
      <c r="H514" s="142">
        <v>6906000.0</v>
      </c>
      <c r="I514" s="143">
        <v>5870100.0</v>
      </c>
      <c r="J514" s="63"/>
      <c r="K514" s="62" t="s">
        <v>964</v>
      </c>
      <c r="L514" s="62" t="s">
        <v>13</v>
      </c>
      <c r="M514" s="64" t="str">
        <f t="shared" si="8"/>
        <v>02</v>
      </c>
      <c r="N514" s="63"/>
      <c r="O514" s="63"/>
      <c r="P514" s="63"/>
      <c r="Q514" s="63"/>
      <c r="R514" s="63"/>
      <c r="S514" s="65"/>
    </row>
    <row r="515" ht="13.5" customHeight="1">
      <c r="A515" s="140">
        <v>535.0</v>
      </c>
      <c r="B515" s="62" t="s">
        <v>1018</v>
      </c>
      <c r="C515" s="62" t="s">
        <v>24</v>
      </c>
      <c r="D515" s="57" t="str">
        <f t="shared" si="6"/>
        <v>V</v>
      </c>
      <c r="E515" s="58" t="str">
        <f t="shared" si="7"/>
        <v>FA475/V/02</v>
      </c>
      <c r="F515" s="62" t="s">
        <v>1019</v>
      </c>
      <c r="G515" s="148">
        <v>45891.0</v>
      </c>
      <c r="H515" s="142">
        <v>1283000.0</v>
      </c>
      <c r="I515" s="143">
        <v>1090550.0</v>
      </c>
      <c r="J515" s="63"/>
      <c r="K515" s="62" t="s">
        <v>964</v>
      </c>
      <c r="L515" s="62" t="s">
        <v>13</v>
      </c>
      <c r="M515" s="64" t="str">
        <f t="shared" si="8"/>
        <v>02</v>
      </c>
      <c r="N515" s="63"/>
      <c r="O515" s="63"/>
      <c r="P515" s="63"/>
      <c r="Q515" s="63"/>
      <c r="R515" s="63"/>
      <c r="S515" s="65"/>
    </row>
    <row r="516" ht="13.5" customHeight="1">
      <c r="A516" s="140">
        <v>536.0</v>
      </c>
      <c r="B516" s="62" t="s">
        <v>1020</v>
      </c>
      <c r="C516" s="62" t="s">
        <v>24</v>
      </c>
      <c r="D516" s="57" t="str">
        <f t="shared" si="6"/>
        <v>V</v>
      </c>
      <c r="E516" s="58" t="str">
        <f t="shared" si="7"/>
        <v>FA476/V/02</v>
      </c>
      <c r="F516" s="62" t="s">
        <v>1021</v>
      </c>
      <c r="G516" s="141">
        <v>45904.0</v>
      </c>
      <c r="H516" s="142">
        <v>577020.0</v>
      </c>
      <c r="I516" s="143">
        <v>1163847.0</v>
      </c>
      <c r="J516" s="63"/>
      <c r="K516" s="62" t="s">
        <v>964</v>
      </c>
      <c r="L516" s="62" t="s">
        <v>13</v>
      </c>
      <c r="M516" s="64" t="str">
        <f t="shared" si="8"/>
        <v>02</v>
      </c>
      <c r="N516" s="63"/>
      <c r="O516" s="63"/>
      <c r="P516" s="63"/>
      <c r="Q516" s="63"/>
      <c r="R516" s="62" t="s">
        <v>52</v>
      </c>
      <c r="S516" s="65"/>
    </row>
    <row r="517" ht="13.5" customHeight="1">
      <c r="A517" s="140">
        <v>537.0</v>
      </c>
      <c r="B517" s="62" t="s">
        <v>1022</v>
      </c>
      <c r="C517" s="62" t="s">
        <v>24</v>
      </c>
      <c r="D517" s="57" t="str">
        <f t="shared" si="6"/>
        <v>V</v>
      </c>
      <c r="E517" s="58" t="str">
        <f t="shared" si="7"/>
        <v>FA477/V/02</v>
      </c>
      <c r="F517" s="62" t="s">
        <v>1023</v>
      </c>
      <c r="G517" s="141">
        <v>45904.0</v>
      </c>
      <c r="H517" s="142">
        <v>467545.3</v>
      </c>
      <c r="I517" s="143">
        <v>943037.0</v>
      </c>
      <c r="J517" s="63"/>
      <c r="K517" s="62" t="s">
        <v>964</v>
      </c>
      <c r="L517" s="62" t="s">
        <v>13</v>
      </c>
      <c r="M517" s="64" t="str">
        <f t="shared" si="8"/>
        <v>02</v>
      </c>
      <c r="N517" s="63"/>
      <c r="O517" s="63"/>
      <c r="P517" s="63"/>
      <c r="Q517" s="63"/>
      <c r="R517" s="62" t="s">
        <v>52</v>
      </c>
      <c r="S517" s="65"/>
    </row>
    <row r="518" ht="13.5" customHeight="1">
      <c r="A518" s="140">
        <v>538.0</v>
      </c>
      <c r="B518" s="62" t="s">
        <v>1024</v>
      </c>
      <c r="C518" s="62" t="s">
        <v>24</v>
      </c>
      <c r="D518" s="57" t="str">
        <f t="shared" si="6"/>
        <v>V</v>
      </c>
      <c r="E518" s="58" t="str">
        <f t="shared" si="7"/>
        <v>FA478/V/02</v>
      </c>
      <c r="F518" s="62" t="s">
        <v>1025</v>
      </c>
      <c r="G518" s="141">
        <v>45908.0</v>
      </c>
      <c r="H518" s="149">
        <v>4641000.0</v>
      </c>
      <c r="I518" s="143">
        <v>4641000.0</v>
      </c>
      <c r="J518" s="63"/>
      <c r="K518" s="62" t="s">
        <v>964</v>
      </c>
      <c r="L518" s="62" t="s">
        <v>13</v>
      </c>
      <c r="M518" s="64" t="str">
        <f t="shared" si="8"/>
        <v>02</v>
      </c>
      <c r="N518" s="63"/>
      <c r="O518" s="63"/>
      <c r="P518" s="63"/>
      <c r="Q518" s="63"/>
      <c r="R518" s="62" t="s">
        <v>52</v>
      </c>
      <c r="S518" s="65"/>
    </row>
    <row r="519" ht="13.5" customHeight="1">
      <c r="A519" s="140">
        <v>539.0</v>
      </c>
      <c r="B519" s="62" t="s">
        <v>1026</v>
      </c>
      <c r="C519" s="62" t="s">
        <v>24</v>
      </c>
      <c r="D519" s="57" t="str">
        <f t="shared" si="6"/>
        <v>V</v>
      </c>
      <c r="E519" s="58" t="str">
        <f t="shared" si="7"/>
        <v>FA479/V/02</v>
      </c>
      <c r="F519" s="62" t="s">
        <v>1027</v>
      </c>
      <c r="G519" s="141">
        <v>45923.0</v>
      </c>
      <c r="H519" s="149">
        <v>450000.0</v>
      </c>
      <c r="I519" s="143">
        <v>450000.0</v>
      </c>
      <c r="J519" s="63"/>
      <c r="K519" s="62" t="s">
        <v>964</v>
      </c>
      <c r="L519" s="62" t="s">
        <v>13</v>
      </c>
      <c r="M519" s="64" t="str">
        <f t="shared" si="8"/>
        <v>02</v>
      </c>
      <c r="N519" s="63"/>
      <c r="O519" s="63"/>
      <c r="P519" s="63"/>
      <c r="Q519" s="63"/>
      <c r="R519" s="62" t="s">
        <v>52</v>
      </c>
      <c r="S519" s="65"/>
    </row>
    <row r="520" ht="13.5" customHeight="1">
      <c r="A520" s="140">
        <v>540.0</v>
      </c>
      <c r="B520" s="62" t="s">
        <v>1028</v>
      </c>
      <c r="C520" s="62" t="s">
        <v>24</v>
      </c>
      <c r="D520" s="57" t="str">
        <f t="shared" si="6"/>
        <v>V</v>
      </c>
      <c r="E520" s="58" t="str">
        <f t="shared" si="7"/>
        <v>FA480/V/02</v>
      </c>
      <c r="F520" s="62" t="s">
        <v>1029</v>
      </c>
      <c r="G520" s="141">
        <v>45923.0</v>
      </c>
      <c r="H520" s="149">
        <v>900000.0</v>
      </c>
      <c r="I520" s="143">
        <v>900000.0</v>
      </c>
      <c r="J520" s="63"/>
      <c r="K520" s="62" t="s">
        <v>964</v>
      </c>
      <c r="L520" s="62" t="s">
        <v>13</v>
      </c>
      <c r="M520" s="64" t="str">
        <f t="shared" si="8"/>
        <v>02</v>
      </c>
      <c r="N520" s="63"/>
      <c r="O520" s="63"/>
      <c r="P520" s="63"/>
      <c r="Q520" s="63"/>
      <c r="R520" s="62" t="s">
        <v>52</v>
      </c>
      <c r="S520" s="65"/>
    </row>
    <row r="521" ht="13.5" customHeight="1">
      <c r="A521" s="140">
        <v>541.0</v>
      </c>
      <c r="B521" s="62" t="s">
        <v>1030</v>
      </c>
      <c r="C521" s="62" t="s">
        <v>24</v>
      </c>
      <c r="D521" s="57" t="str">
        <f t="shared" si="6"/>
        <v>V</v>
      </c>
      <c r="E521" s="58" t="str">
        <f t="shared" si="7"/>
        <v>FA481/V/02</v>
      </c>
      <c r="F521" s="147" t="s">
        <v>1031</v>
      </c>
      <c r="G521" s="141">
        <v>45943.0</v>
      </c>
      <c r="H521" s="149">
        <v>4850000.0</v>
      </c>
      <c r="I521" s="143">
        <v>4850000.0</v>
      </c>
      <c r="J521" s="62"/>
      <c r="K521" s="62" t="s">
        <v>964</v>
      </c>
      <c r="L521" s="62" t="s">
        <v>13</v>
      </c>
      <c r="M521" s="64" t="str">
        <f t="shared" si="8"/>
        <v>02</v>
      </c>
      <c r="N521" s="63"/>
      <c r="O521" s="63"/>
      <c r="P521" s="63"/>
      <c r="Q521" s="63"/>
      <c r="R521" s="62" t="s">
        <v>52</v>
      </c>
      <c r="S521" s="65"/>
    </row>
    <row r="522" ht="13.5" customHeight="1">
      <c r="A522" s="140">
        <v>542.0</v>
      </c>
      <c r="B522" s="62" t="s">
        <v>1032</v>
      </c>
      <c r="C522" s="62" t="s">
        <v>24</v>
      </c>
      <c r="D522" s="57" t="str">
        <f t="shared" si="6"/>
        <v>V</v>
      </c>
      <c r="E522" s="58" t="str">
        <f t="shared" si="7"/>
        <v>FA482/V/02</v>
      </c>
      <c r="F522" s="147" t="s">
        <v>1033</v>
      </c>
      <c r="G522" s="141">
        <v>45943.0</v>
      </c>
      <c r="H522" s="149">
        <v>950000.0</v>
      </c>
      <c r="I522" s="143">
        <v>950000.0</v>
      </c>
      <c r="J522" s="62"/>
      <c r="K522" s="62" t="s">
        <v>964</v>
      </c>
      <c r="L522" s="62" t="s">
        <v>13</v>
      </c>
      <c r="M522" s="64" t="str">
        <f t="shared" si="8"/>
        <v>02</v>
      </c>
      <c r="N522" s="63"/>
      <c r="O522" s="63"/>
      <c r="P522" s="63"/>
      <c r="Q522" s="63"/>
      <c r="R522" s="62" t="s">
        <v>52</v>
      </c>
      <c r="S522" s="65"/>
    </row>
    <row r="523" ht="13.5" customHeight="1">
      <c r="A523" s="140">
        <v>543.0</v>
      </c>
      <c r="B523" s="62" t="s">
        <v>1034</v>
      </c>
      <c r="C523" s="62" t="s">
        <v>24</v>
      </c>
      <c r="D523" s="57" t="str">
        <f t="shared" si="6"/>
        <v>V</v>
      </c>
      <c r="E523" s="58" t="str">
        <f t="shared" si="7"/>
        <v>FA483/V/02</v>
      </c>
      <c r="F523" s="147" t="s">
        <v>1031</v>
      </c>
      <c r="G523" s="141">
        <v>45950.0</v>
      </c>
      <c r="H523" s="149">
        <v>4850000.0</v>
      </c>
      <c r="I523" s="143">
        <v>4850000.0</v>
      </c>
      <c r="J523" s="62"/>
      <c r="K523" s="62" t="s">
        <v>964</v>
      </c>
      <c r="L523" s="62" t="s">
        <v>13</v>
      </c>
      <c r="M523" s="64" t="str">
        <f t="shared" si="8"/>
        <v>02</v>
      </c>
      <c r="N523" s="63"/>
      <c r="O523" s="63"/>
      <c r="P523" s="63"/>
      <c r="Q523" s="63"/>
      <c r="R523" s="62" t="s">
        <v>52</v>
      </c>
      <c r="S523" s="65"/>
    </row>
    <row r="524" ht="13.5" customHeight="1">
      <c r="A524" s="140">
        <v>544.0</v>
      </c>
      <c r="B524" s="62" t="s">
        <v>1035</v>
      </c>
      <c r="C524" s="62" t="s">
        <v>24</v>
      </c>
      <c r="D524" s="57" t="str">
        <f t="shared" si="6"/>
        <v>V</v>
      </c>
      <c r="E524" s="58" t="str">
        <f t="shared" si="7"/>
        <v>FA484/V/02</v>
      </c>
      <c r="F524" s="62" t="s">
        <v>1036</v>
      </c>
      <c r="G524" s="141">
        <v>45968.0</v>
      </c>
      <c r="H524" s="149">
        <v>662796.0</v>
      </c>
      <c r="I524" s="143"/>
      <c r="J524" s="62"/>
      <c r="K524" s="62" t="s">
        <v>964</v>
      </c>
      <c r="L524" s="62" t="s">
        <v>13</v>
      </c>
      <c r="M524" s="64" t="str">
        <f t="shared" si="8"/>
        <v>02</v>
      </c>
      <c r="N524" s="63"/>
      <c r="O524" s="63"/>
      <c r="P524" s="63"/>
      <c r="Q524" s="63"/>
      <c r="R524" s="62"/>
      <c r="S524" s="65"/>
    </row>
    <row r="525" ht="13.5" customHeight="1">
      <c r="A525" s="140">
        <v>545.0</v>
      </c>
      <c r="B525" s="62" t="s">
        <v>1037</v>
      </c>
      <c r="C525" s="62" t="s">
        <v>24</v>
      </c>
      <c r="D525" s="57" t="str">
        <f t="shared" si="6"/>
        <v>V</v>
      </c>
      <c r="E525" s="58" t="str">
        <f t="shared" si="7"/>
        <v>FA485/V/02</v>
      </c>
      <c r="F525" s="62" t="s">
        <v>1038</v>
      </c>
      <c r="G525" s="141">
        <v>45968.0</v>
      </c>
      <c r="H525" s="149">
        <v>1312895.0</v>
      </c>
      <c r="I525" s="143"/>
      <c r="J525" s="62"/>
      <c r="K525" s="62" t="s">
        <v>964</v>
      </c>
      <c r="L525" s="62" t="s">
        <v>13</v>
      </c>
      <c r="M525" s="64" t="str">
        <f t="shared" si="8"/>
        <v>02</v>
      </c>
      <c r="N525" s="63"/>
      <c r="O525" s="63"/>
      <c r="P525" s="63"/>
      <c r="Q525" s="63"/>
      <c r="R525" s="62"/>
      <c r="S525" s="65"/>
    </row>
    <row r="526" ht="13.5" customHeight="1">
      <c r="A526" s="140">
        <v>546.0</v>
      </c>
      <c r="B526" s="62" t="s">
        <v>1039</v>
      </c>
      <c r="C526" s="62" t="s">
        <v>24</v>
      </c>
      <c r="D526" s="57" t="str">
        <f t="shared" si="6"/>
        <v>V</v>
      </c>
      <c r="E526" s="58" t="str">
        <f t="shared" si="7"/>
        <v>FA486/V/02</v>
      </c>
      <c r="F526" s="62" t="s">
        <v>1038</v>
      </c>
      <c r="G526" s="141">
        <v>45968.0</v>
      </c>
      <c r="H526" s="149">
        <v>1312895.0</v>
      </c>
      <c r="I526" s="149"/>
      <c r="J526" s="62"/>
      <c r="K526" s="62" t="s">
        <v>964</v>
      </c>
      <c r="L526" s="62" t="s">
        <v>13</v>
      </c>
      <c r="M526" s="64" t="str">
        <f t="shared" si="8"/>
        <v>02</v>
      </c>
      <c r="N526" s="63"/>
      <c r="O526" s="63"/>
      <c r="P526" s="63"/>
      <c r="Q526" s="63"/>
      <c r="R526" s="62"/>
      <c r="S526" s="65"/>
    </row>
    <row r="527" ht="13.5" customHeight="1">
      <c r="A527" s="140">
        <v>547.0</v>
      </c>
      <c r="B527" s="62" t="s">
        <v>1040</v>
      </c>
      <c r="C527" s="62" t="s">
        <v>24</v>
      </c>
      <c r="D527" s="57" t="str">
        <f t="shared" si="6"/>
        <v>V</v>
      </c>
      <c r="E527" s="58" t="str">
        <f t="shared" si="7"/>
        <v>FA487/V/02</v>
      </c>
      <c r="F527" s="62" t="s">
        <v>1041</v>
      </c>
      <c r="G527" s="141">
        <v>45968.0</v>
      </c>
      <c r="H527" s="149">
        <v>3760864.0</v>
      </c>
      <c r="I527" s="149"/>
      <c r="J527" s="62"/>
      <c r="K527" s="62" t="s">
        <v>964</v>
      </c>
      <c r="L527" s="62" t="s">
        <v>13</v>
      </c>
      <c r="M527" s="64" t="str">
        <f t="shared" si="8"/>
        <v>02</v>
      </c>
      <c r="N527" s="63"/>
      <c r="O527" s="63"/>
      <c r="P527" s="63"/>
      <c r="Q527" s="63"/>
      <c r="R527" s="62"/>
      <c r="S527" s="65"/>
    </row>
    <row r="528" ht="13.5" customHeight="1">
      <c r="A528" s="140">
        <v>548.0</v>
      </c>
      <c r="B528" s="62" t="s">
        <v>1042</v>
      </c>
      <c r="C528" s="62" t="s">
        <v>24</v>
      </c>
      <c r="D528" s="57" t="str">
        <f t="shared" si="6"/>
        <v>V</v>
      </c>
      <c r="E528" s="58" t="str">
        <f t="shared" si="7"/>
        <v>FA488/V/02</v>
      </c>
      <c r="F528" s="62" t="s">
        <v>1043</v>
      </c>
      <c r="G528" s="141">
        <v>45968.0</v>
      </c>
      <c r="H528" s="149">
        <v>479722.0</v>
      </c>
      <c r="I528" s="149"/>
      <c r="J528" s="62"/>
      <c r="K528" s="62" t="s">
        <v>964</v>
      </c>
      <c r="L528" s="62" t="s">
        <v>13</v>
      </c>
      <c r="M528" s="64" t="str">
        <f t="shared" si="8"/>
        <v>02</v>
      </c>
      <c r="N528" s="63"/>
      <c r="O528" s="63"/>
      <c r="P528" s="63"/>
      <c r="Q528" s="63"/>
      <c r="R528" s="62"/>
      <c r="S528" s="65"/>
    </row>
    <row r="529" ht="13.5" customHeight="1">
      <c r="A529" s="140">
        <v>549.0</v>
      </c>
      <c r="B529" s="62" t="s">
        <v>1044</v>
      </c>
      <c r="C529" s="62" t="s">
        <v>24</v>
      </c>
      <c r="D529" s="57" t="str">
        <f t="shared" si="6"/>
        <v>V</v>
      </c>
      <c r="E529" s="58" t="str">
        <f t="shared" si="7"/>
        <v>FA489/V/02</v>
      </c>
      <c r="F529" s="62" t="s">
        <v>1045</v>
      </c>
      <c r="G529" s="141">
        <v>45968.0</v>
      </c>
      <c r="H529" s="149">
        <v>567306.0</v>
      </c>
      <c r="I529" s="149"/>
      <c r="J529" s="62"/>
      <c r="K529" s="62" t="s">
        <v>964</v>
      </c>
      <c r="L529" s="62" t="s">
        <v>13</v>
      </c>
      <c r="M529" s="64" t="str">
        <f t="shared" si="8"/>
        <v>02</v>
      </c>
      <c r="N529" s="63"/>
      <c r="O529" s="63"/>
      <c r="P529" s="63"/>
      <c r="Q529" s="63"/>
      <c r="R529" s="62"/>
      <c r="S529" s="65"/>
    </row>
    <row r="530" ht="13.5" customHeight="1">
      <c r="A530" s="140">
        <v>550.0</v>
      </c>
      <c r="B530" s="62" t="s">
        <v>1046</v>
      </c>
      <c r="C530" s="62" t="s">
        <v>24</v>
      </c>
      <c r="D530" s="57" t="str">
        <f t="shared" si="6"/>
        <v>V</v>
      </c>
      <c r="E530" s="58" t="str">
        <f t="shared" si="7"/>
        <v>FA490/V/02</v>
      </c>
      <c r="F530" s="62" t="s">
        <v>1047</v>
      </c>
      <c r="G530" s="75" t="s">
        <v>1048</v>
      </c>
      <c r="H530" s="149">
        <v>850000.0</v>
      </c>
      <c r="I530" s="149"/>
      <c r="J530" s="62"/>
      <c r="K530" s="62" t="s">
        <v>964</v>
      </c>
      <c r="L530" s="62" t="s">
        <v>13</v>
      </c>
      <c r="M530" s="64" t="str">
        <f t="shared" si="8"/>
        <v>02</v>
      </c>
      <c r="N530" s="63"/>
      <c r="O530" s="63"/>
      <c r="P530" s="63"/>
      <c r="Q530" s="63"/>
      <c r="R530" s="62"/>
      <c r="S530" s="65"/>
    </row>
    <row r="531" ht="13.5" customHeight="1">
      <c r="A531" s="140">
        <v>551.0</v>
      </c>
      <c r="B531" s="62" t="s">
        <v>1049</v>
      </c>
      <c r="C531" s="62" t="s">
        <v>24</v>
      </c>
      <c r="D531" s="57" t="str">
        <f t="shared" si="6"/>
        <v>V</v>
      </c>
      <c r="E531" s="58" t="str">
        <f t="shared" si="7"/>
        <v>FA491/V/02</v>
      </c>
      <c r="F531" s="62" t="s">
        <v>1050</v>
      </c>
      <c r="G531" s="75" t="s">
        <v>1048</v>
      </c>
      <c r="H531" s="149">
        <v>1850000.0</v>
      </c>
      <c r="I531" s="149"/>
      <c r="J531" s="62"/>
      <c r="K531" s="62" t="s">
        <v>964</v>
      </c>
      <c r="L531" s="62" t="s">
        <v>13</v>
      </c>
      <c r="M531" s="64" t="str">
        <f t="shared" si="8"/>
        <v>02</v>
      </c>
      <c r="N531" s="63"/>
      <c r="O531" s="63"/>
      <c r="P531" s="63"/>
      <c r="Q531" s="63"/>
      <c r="R531" s="62"/>
      <c r="S531" s="65"/>
    </row>
    <row r="532" ht="13.5" customHeight="1">
      <c r="A532" s="140">
        <v>552.0</v>
      </c>
      <c r="B532" s="62" t="s">
        <v>1051</v>
      </c>
      <c r="C532" s="62" t="s">
        <v>24</v>
      </c>
      <c r="D532" s="57" t="str">
        <f t="shared" si="6"/>
        <v>V</v>
      </c>
      <c r="E532" s="58" t="str">
        <f t="shared" si="7"/>
        <v>FA492/V/02</v>
      </c>
      <c r="F532" s="62" t="s">
        <v>1052</v>
      </c>
      <c r="G532" s="75" t="s">
        <v>1048</v>
      </c>
      <c r="H532" s="149">
        <v>780000.0</v>
      </c>
      <c r="I532" s="149"/>
      <c r="J532" s="62"/>
      <c r="K532" s="62" t="s">
        <v>964</v>
      </c>
      <c r="L532" s="62" t="s">
        <v>13</v>
      </c>
      <c r="M532" s="64" t="str">
        <f t="shared" si="8"/>
        <v>02</v>
      </c>
      <c r="N532" s="63"/>
      <c r="O532" s="63"/>
      <c r="P532" s="63"/>
      <c r="Q532" s="63"/>
      <c r="R532" s="62"/>
      <c r="S532" s="65"/>
    </row>
    <row r="533" ht="13.5" customHeight="1">
      <c r="A533" s="140">
        <v>553.0</v>
      </c>
      <c r="B533" s="62" t="s">
        <v>1053</v>
      </c>
      <c r="C533" s="62" t="s">
        <v>24</v>
      </c>
      <c r="D533" s="57" t="str">
        <f t="shared" si="6"/>
        <v>V</v>
      </c>
      <c r="E533" s="58" t="str">
        <f t="shared" si="7"/>
        <v>FA493/V/02</v>
      </c>
      <c r="F533" s="62" t="s">
        <v>1052</v>
      </c>
      <c r="G533" s="75" t="s">
        <v>1048</v>
      </c>
      <c r="H533" s="149">
        <v>780000.0</v>
      </c>
      <c r="I533" s="149"/>
      <c r="J533" s="62"/>
      <c r="K533" s="62" t="s">
        <v>964</v>
      </c>
      <c r="L533" s="62" t="s">
        <v>13</v>
      </c>
      <c r="M533" s="64" t="str">
        <f t="shared" si="8"/>
        <v>02</v>
      </c>
      <c r="N533" s="63"/>
      <c r="O533" s="63"/>
      <c r="P533" s="63"/>
      <c r="Q533" s="63"/>
      <c r="R533" s="62"/>
      <c r="S533" s="65"/>
    </row>
    <row r="534" ht="13.5" customHeight="1">
      <c r="A534" s="140">
        <v>554.0</v>
      </c>
      <c r="B534" s="62" t="s">
        <v>1054</v>
      </c>
      <c r="C534" s="62" t="s">
        <v>24</v>
      </c>
      <c r="D534" s="57" t="str">
        <f t="shared" si="6"/>
        <v>V</v>
      </c>
      <c r="E534" s="58" t="str">
        <f t="shared" si="7"/>
        <v>FA494/V/02</v>
      </c>
      <c r="F534" s="62" t="s">
        <v>1052</v>
      </c>
      <c r="G534" s="75" t="s">
        <v>1048</v>
      </c>
      <c r="H534" s="149">
        <v>780000.0</v>
      </c>
      <c r="I534" s="149"/>
      <c r="J534" s="62"/>
      <c r="K534" s="62" t="s">
        <v>964</v>
      </c>
      <c r="L534" s="62" t="s">
        <v>13</v>
      </c>
      <c r="M534" s="64" t="str">
        <f t="shared" si="8"/>
        <v>02</v>
      </c>
      <c r="N534" s="63"/>
      <c r="O534" s="63"/>
      <c r="P534" s="63"/>
      <c r="Q534" s="63"/>
      <c r="R534" s="62"/>
      <c r="S534" s="65"/>
    </row>
    <row r="535" ht="13.5" customHeight="1">
      <c r="A535" s="140">
        <v>555.0</v>
      </c>
      <c r="B535" s="62" t="s">
        <v>1055</v>
      </c>
      <c r="C535" s="62" t="s">
        <v>24</v>
      </c>
      <c r="D535" s="57" t="str">
        <f t="shared" si="6"/>
        <v>V</v>
      </c>
      <c r="E535" s="58" t="str">
        <f t="shared" si="7"/>
        <v>FA495/V/02</v>
      </c>
      <c r="F535" s="62" t="s">
        <v>1056</v>
      </c>
      <c r="G535" s="75" t="s">
        <v>1048</v>
      </c>
      <c r="H535" s="149">
        <v>880000.0</v>
      </c>
      <c r="I535" s="149"/>
      <c r="J535" s="62"/>
      <c r="K535" s="62" t="s">
        <v>964</v>
      </c>
      <c r="L535" s="62" t="s">
        <v>13</v>
      </c>
      <c r="M535" s="64" t="str">
        <f t="shared" si="8"/>
        <v>02</v>
      </c>
      <c r="N535" s="63"/>
      <c r="O535" s="63"/>
      <c r="P535" s="63"/>
      <c r="Q535" s="63"/>
      <c r="R535" s="62"/>
      <c r="S535" s="65"/>
    </row>
    <row r="536" ht="13.5" customHeight="1">
      <c r="A536" s="140">
        <v>556.0</v>
      </c>
      <c r="B536" s="62" t="s">
        <v>1057</v>
      </c>
      <c r="C536" s="62" t="s">
        <v>24</v>
      </c>
      <c r="D536" s="57" t="str">
        <f t="shared" si="6"/>
        <v>V</v>
      </c>
      <c r="E536" s="58" t="str">
        <f t="shared" si="7"/>
        <v>FA496/V/02</v>
      </c>
      <c r="F536" s="62" t="s">
        <v>1056</v>
      </c>
      <c r="G536" s="75" t="s">
        <v>1048</v>
      </c>
      <c r="H536" s="149">
        <v>880000.0</v>
      </c>
      <c r="I536" s="149"/>
      <c r="J536" s="62"/>
      <c r="K536" s="62" t="s">
        <v>964</v>
      </c>
      <c r="L536" s="62" t="s">
        <v>13</v>
      </c>
      <c r="M536" s="64" t="str">
        <f t="shared" si="8"/>
        <v>02</v>
      </c>
      <c r="N536" s="63"/>
      <c r="O536" s="63"/>
      <c r="P536" s="63"/>
      <c r="Q536" s="63"/>
      <c r="R536" s="62"/>
      <c r="S536" s="65"/>
    </row>
    <row r="537" ht="13.5" customHeight="1">
      <c r="A537" s="140">
        <v>557.0</v>
      </c>
      <c r="B537" s="62" t="s">
        <v>1058</v>
      </c>
      <c r="C537" s="62" t="s">
        <v>24</v>
      </c>
      <c r="D537" s="57" t="str">
        <f t="shared" si="6"/>
        <v>V</v>
      </c>
      <c r="E537" s="58" t="str">
        <f t="shared" si="7"/>
        <v>FA497/V/02</v>
      </c>
      <c r="F537" s="62" t="s">
        <v>1059</v>
      </c>
      <c r="G537" s="75" t="s">
        <v>1048</v>
      </c>
      <c r="H537" s="149">
        <v>1800000.0</v>
      </c>
      <c r="I537" s="149"/>
      <c r="J537" s="62"/>
      <c r="K537" s="62" t="s">
        <v>964</v>
      </c>
      <c r="L537" s="62" t="s">
        <v>13</v>
      </c>
      <c r="M537" s="64" t="str">
        <f t="shared" si="8"/>
        <v>02</v>
      </c>
      <c r="N537" s="63"/>
      <c r="O537" s="63"/>
      <c r="P537" s="63"/>
      <c r="Q537" s="63"/>
      <c r="R537" s="62"/>
      <c r="S537" s="65"/>
    </row>
    <row r="538" ht="13.5" customHeight="1">
      <c r="A538" s="140">
        <v>558.0</v>
      </c>
      <c r="B538" s="62" t="s">
        <v>1060</v>
      </c>
      <c r="C538" s="62" t="s">
        <v>24</v>
      </c>
      <c r="D538" s="57" t="str">
        <f t="shared" si="6"/>
        <v>V</v>
      </c>
      <c r="E538" s="58" t="str">
        <f t="shared" si="7"/>
        <v>FA498/V/02</v>
      </c>
      <c r="F538" s="62" t="s">
        <v>1059</v>
      </c>
      <c r="G538" s="75" t="s">
        <v>1048</v>
      </c>
      <c r="H538" s="149">
        <v>1800000.0</v>
      </c>
      <c r="I538" s="149"/>
      <c r="J538" s="62"/>
      <c r="K538" s="62" t="s">
        <v>964</v>
      </c>
      <c r="L538" s="62" t="s">
        <v>13</v>
      </c>
      <c r="M538" s="64" t="str">
        <f t="shared" si="8"/>
        <v>02</v>
      </c>
      <c r="N538" s="63"/>
      <c r="O538" s="63"/>
      <c r="P538" s="63"/>
      <c r="Q538" s="63"/>
      <c r="R538" s="62"/>
      <c r="S538" s="65"/>
    </row>
    <row r="539" ht="13.5" customHeight="1">
      <c r="A539" s="140">
        <v>559.0</v>
      </c>
      <c r="B539" s="62" t="s">
        <v>1061</v>
      </c>
      <c r="C539" s="62" t="s">
        <v>24</v>
      </c>
      <c r="D539" s="57" t="str">
        <f t="shared" si="6"/>
        <v>V</v>
      </c>
      <c r="E539" s="58" t="str">
        <f t="shared" si="7"/>
        <v>FA499/V/02</v>
      </c>
      <c r="F539" s="62" t="s">
        <v>1062</v>
      </c>
      <c r="G539" s="75" t="s">
        <v>1048</v>
      </c>
      <c r="H539" s="149">
        <v>1620000.0</v>
      </c>
      <c r="I539" s="149"/>
      <c r="J539" s="62"/>
      <c r="K539" s="62" t="s">
        <v>964</v>
      </c>
      <c r="L539" s="62" t="s">
        <v>13</v>
      </c>
      <c r="M539" s="64" t="str">
        <f t="shared" si="8"/>
        <v>02</v>
      </c>
      <c r="N539" s="63"/>
      <c r="O539" s="63"/>
      <c r="P539" s="63"/>
      <c r="Q539" s="63"/>
      <c r="R539" s="62"/>
      <c r="S539" s="65"/>
    </row>
    <row r="540" ht="13.5" customHeight="1">
      <c r="A540" s="140">
        <v>560.0</v>
      </c>
      <c r="B540" s="62" t="s">
        <v>1063</v>
      </c>
      <c r="C540" s="62" t="s">
        <v>24</v>
      </c>
      <c r="D540" s="57" t="str">
        <f t="shared" si="6"/>
        <v>V</v>
      </c>
      <c r="E540" s="58" t="str">
        <f t="shared" si="7"/>
        <v>FA500/V/02</v>
      </c>
      <c r="F540" s="62" t="s">
        <v>1064</v>
      </c>
      <c r="G540" s="75" t="s">
        <v>1048</v>
      </c>
      <c r="H540" s="149">
        <v>2610000.0</v>
      </c>
      <c r="I540" s="149"/>
      <c r="J540" s="62"/>
      <c r="K540" s="62" t="s">
        <v>964</v>
      </c>
      <c r="L540" s="62" t="s">
        <v>13</v>
      </c>
      <c r="M540" s="64" t="str">
        <f t="shared" si="8"/>
        <v>02</v>
      </c>
      <c r="N540" s="63"/>
      <c r="O540" s="63"/>
      <c r="P540" s="63"/>
      <c r="Q540" s="63"/>
      <c r="R540" s="62"/>
      <c r="S540" s="65"/>
    </row>
    <row r="541" ht="13.5" customHeight="1">
      <c r="A541" s="140">
        <v>561.0</v>
      </c>
      <c r="B541" s="62" t="s">
        <v>1065</v>
      </c>
      <c r="C541" s="62" t="s">
        <v>24</v>
      </c>
      <c r="D541" s="57" t="str">
        <f t="shared" si="6"/>
        <v>V</v>
      </c>
      <c r="E541" s="58" t="str">
        <f t="shared" si="7"/>
        <v>FA501/V/02</v>
      </c>
      <c r="F541" s="62" t="s">
        <v>1066</v>
      </c>
      <c r="G541" s="75" t="s">
        <v>1048</v>
      </c>
      <c r="H541" s="149">
        <v>1470000.0</v>
      </c>
      <c r="I541" s="149"/>
      <c r="J541" s="62"/>
      <c r="K541" s="62" t="s">
        <v>964</v>
      </c>
      <c r="L541" s="62" t="s">
        <v>13</v>
      </c>
      <c r="M541" s="64" t="str">
        <f t="shared" si="8"/>
        <v>02</v>
      </c>
      <c r="N541" s="63"/>
      <c r="O541" s="63"/>
      <c r="P541" s="63"/>
      <c r="Q541" s="63"/>
      <c r="R541" s="62"/>
      <c r="S541" s="65"/>
    </row>
    <row r="542" ht="13.5" customHeight="1">
      <c r="A542" s="140"/>
      <c r="B542" s="62"/>
      <c r="C542" s="62"/>
      <c r="D542" s="75"/>
      <c r="E542" s="58"/>
      <c r="F542" s="147"/>
      <c r="G542" s="141"/>
      <c r="H542" s="149"/>
      <c r="I542" s="149"/>
      <c r="J542" s="62"/>
      <c r="K542" s="62"/>
      <c r="L542" s="62"/>
      <c r="M542" s="64"/>
      <c r="N542" s="63"/>
      <c r="O542" s="63"/>
      <c r="P542" s="63"/>
      <c r="Q542" s="63"/>
      <c r="R542" s="62"/>
      <c r="S542" s="65"/>
    </row>
    <row r="543" ht="13.5" customHeight="1">
      <c r="A543" s="9"/>
      <c r="B543" s="8"/>
      <c r="C543" s="8"/>
      <c r="D543" s="134" t="str">
        <f t="shared" ref="D543:D719" si="9">if(C543=$G$2,$H$2, if(C543=$G$3,$H$3, if(C543=$G$4,$H$4, if(C543=$G$5,$H$5,if(C543=$G$6,$H$6, " ")))))</f>
        <v> </v>
      </c>
      <c r="E543" s="40" t="str">
        <f t="shared" ref="E543:E719" si="10">CONCATENATE(B543,"/",D543,"/",M543)</f>
        <v>/ / </v>
      </c>
      <c r="F543" s="8"/>
      <c r="G543" s="122"/>
      <c r="H543" s="20"/>
      <c r="I543" s="7"/>
      <c r="J543" s="8"/>
      <c r="K543" s="8"/>
      <c r="L543" s="8"/>
      <c r="M543" s="9" t="str">
        <f t="shared" ref="M543:M719" si="11">if(L543=$J$2,$K$2,if(L543=$J$3,$K$3,if(L543=$J$4,$K$4," ")))</f>
        <v> </v>
      </c>
      <c r="N543" s="8"/>
      <c r="O543" s="8"/>
      <c r="P543" s="8"/>
      <c r="Q543" s="8"/>
      <c r="R543" s="8"/>
      <c r="S543" s="10"/>
    </row>
    <row r="544" ht="13.5" customHeight="1">
      <c r="A544" s="150">
        <v>489.0</v>
      </c>
      <c r="B544" s="151"/>
      <c r="C544" s="151" t="s">
        <v>24</v>
      </c>
      <c r="D544" s="152" t="str">
        <f t="shared" si="9"/>
        <v>V</v>
      </c>
      <c r="E544" s="153" t="str">
        <f t="shared" si="10"/>
        <v>/V/02</v>
      </c>
      <c r="F544" s="154" t="s">
        <v>1067</v>
      </c>
      <c r="G544" s="155">
        <v>45940.0</v>
      </c>
      <c r="H544" s="156" t="s">
        <v>1068</v>
      </c>
      <c r="I544" s="157">
        <v>3931000.0</v>
      </c>
      <c r="J544" s="151"/>
      <c r="K544" s="151" t="s">
        <v>51</v>
      </c>
      <c r="L544" s="151" t="s">
        <v>13</v>
      </c>
      <c r="M544" s="158" t="str">
        <f t="shared" si="11"/>
        <v>02</v>
      </c>
      <c r="N544" s="159"/>
      <c r="O544" s="159"/>
      <c r="P544" s="159"/>
      <c r="Q544" s="159"/>
      <c r="R544" s="151" t="s">
        <v>52</v>
      </c>
      <c r="S544" s="160"/>
    </row>
    <row r="545" ht="13.5" customHeight="1">
      <c r="A545" s="150">
        <v>490.0</v>
      </c>
      <c r="B545" s="151"/>
      <c r="C545" s="151" t="s">
        <v>24</v>
      </c>
      <c r="D545" s="152" t="str">
        <f t="shared" si="9"/>
        <v>V</v>
      </c>
      <c r="E545" s="153" t="str">
        <f t="shared" si="10"/>
        <v>/V/02</v>
      </c>
      <c r="F545" s="154" t="s">
        <v>1069</v>
      </c>
      <c r="G545" s="155">
        <v>45940.0</v>
      </c>
      <c r="H545" s="156" t="s">
        <v>1068</v>
      </c>
      <c r="I545" s="157">
        <v>484000.0</v>
      </c>
      <c r="J545" s="151"/>
      <c r="K545" s="151" t="s">
        <v>51</v>
      </c>
      <c r="L545" s="151" t="s">
        <v>13</v>
      </c>
      <c r="M545" s="158" t="str">
        <f t="shared" si="11"/>
        <v>02</v>
      </c>
      <c r="N545" s="159"/>
      <c r="O545" s="159"/>
      <c r="P545" s="159"/>
      <c r="Q545" s="159"/>
      <c r="R545" s="151" t="s">
        <v>52</v>
      </c>
      <c r="S545" s="160"/>
    </row>
    <row r="546" ht="13.5" customHeight="1">
      <c r="A546" s="150">
        <v>491.0</v>
      </c>
      <c r="B546" s="151"/>
      <c r="C546" s="151" t="s">
        <v>24</v>
      </c>
      <c r="D546" s="152" t="str">
        <f t="shared" si="9"/>
        <v>V</v>
      </c>
      <c r="E546" s="153" t="str">
        <f t="shared" si="10"/>
        <v>/V/02</v>
      </c>
      <c r="F546" s="154" t="s">
        <v>1070</v>
      </c>
      <c r="G546" s="155">
        <v>45940.0</v>
      </c>
      <c r="H546" s="156" t="s">
        <v>1068</v>
      </c>
      <c r="I546" s="157">
        <v>336000.0</v>
      </c>
      <c r="J546" s="151"/>
      <c r="K546" s="151" t="s">
        <v>51</v>
      </c>
      <c r="L546" s="151" t="s">
        <v>13</v>
      </c>
      <c r="M546" s="158" t="str">
        <f t="shared" si="11"/>
        <v>02</v>
      </c>
      <c r="N546" s="159"/>
      <c r="O546" s="159"/>
      <c r="P546" s="159"/>
      <c r="Q546" s="159"/>
      <c r="R546" s="151" t="s">
        <v>52</v>
      </c>
      <c r="S546" s="160"/>
    </row>
    <row r="547" ht="13.5" customHeight="1">
      <c r="A547" s="150">
        <v>492.0</v>
      </c>
      <c r="B547" s="151"/>
      <c r="C547" s="151" t="s">
        <v>24</v>
      </c>
      <c r="D547" s="152" t="str">
        <f t="shared" si="9"/>
        <v>V</v>
      </c>
      <c r="E547" s="153" t="str">
        <f t="shared" si="10"/>
        <v>/V/02</v>
      </c>
      <c r="F547" s="154" t="s">
        <v>1071</v>
      </c>
      <c r="G547" s="155">
        <v>45940.0</v>
      </c>
      <c r="H547" s="156" t="s">
        <v>1068</v>
      </c>
      <c r="I547" s="157">
        <v>428000.0</v>
      </c>
      <c r="J547" s="151"/>
      <c r="K547" s="151" t="s">
        <v>51</v>
      </c>
      <c r="L547" s="151" t="s">
        <v>13</v>
      </c>
      <c r="M547" s="158" t="str">
        <f t="shared" si="11"/>
        <v>02</v>
      </c>
      <c r="N547" s="159"/>
      <c r="O547" s="159"/>
      <c r="P547" s="159"/>
      <c r="Q547" s="159"/>
      <c r="R547" s="151" t="s">
        <v>52</v>
      </c>
      <c r="S547" s="160"/>
    </row>
    <row r="548" ht="13.5" customHeight="1">
      <c r="A548" s="150">
        <v>496.0</v>
      </c>
      <c r="B548" s="151"/>
      <c r="C548" s="151" t="s">
        <v>24</v>
      </c>
      <c r="D548" s="152" t="str">
        <f t="shared" si="9"/>
        <v>V</v>
      </c>
      <c r="E548" s="153" t="str">
        <f t="shared" si="10"/>
        <v>/V/02</v>
      </c>
      <c r="F548" s="151" t="s">
        <v>1072</v>
      </c>
      <c r="G548" s="161" t="s">
        <v>1073</v>
      </c>
      <c r="H548" s="156" t="s">
        <v>1074</v>
      </c>
      <c r="I548" s="157">
        <v>6656000.0</v>
      </c>
      <c r="J548" s="151" t="s">
        <v>322</v>
      </c>
      <c r="K548" s="151" t="s">
        <v>323</v>
      </c>
      <c r="L548" s="151" t="s">
        <v>13</v>
      </c>
      <c r="M548" s="158" t="str">
        <f t="shared" si="11"/>
        <v>02</v>
      </c>
      <c r="N548" s="159"/>
      <c r="O548" s="159"/>
      <c r="P548" s="159"/>
      <c r="Q548" s="151" t="s">
        <v>1075</v>
      </c>
      <c r="R548" s="159"/>
      <c r="S548" s="160"/>
    </row>
    <row r="549" ht="13.5" customHeight="1">
      <c r="A549" s="150">
        <v>497.0</v>
      </c>
      <c r="B549" s="151"/>
      <c r="C549" s="151" t="s">
        <v>24</v>
      </c>
      <c r="D549" s="152" t="str">
        <f t="shared" si="9"/>
        <v>V</v>
      </c>
      <c r="E549" s="153" t="str">
        <f t="shared" si="10"/>
        <v>/V/02</v>
      </c>
      <c r="F549" s="151" t="s">
        <v>1076</v>
      </c>
      <c r="G549" s="161" t="s">
        <v>1073</v>
      </c>
      <c r="H549" s="156" t="s">
        <v>1074</v>
      </c>
      <c r="I549" s="157">
        <v>3892000.0</v>
      </c>
      <c r="J549" s="151" t="s">
        <v>322</v>
      </c>
      <c r="K549" s="151" t="s">
        <v>323</v>
      </c>
      <c r="L549" s="151" t="s">
        <v>13</v>
      </c>
      <c r="M549" s="158" t="str">
        <f t="shared" si="11"/>
        <v>02</v>
      </c>
      <c r="N549" s="159"/>
      <c r="O549" s="159"/>
      <c r="P549" s="159"/>
      <c r="Q549" s="151" t="s">
        <v>1075</v>
      </c>
      <c r="R549" s="159"/>
      <c r="S549" s="160"/>
    </row>
    <row r="550" ht="13.5" customHeight="1">
      <c r="A550" s="9"/>
      <c r="B550" s="8"/>
      <c r="C550" s="8"/>
      <c r="D550" s="134" t="str">
        <f t="shared" si="9"/>
        <v> </v>
      </c>
      <c r="E550" s="40" t="str">
        <f t="shared" si="10"/>
        <v>/ / </v>
      </c>
      <c r="F550" s="8"/>
      <c r="G550" s="122"/>
      <c r="H550" s="20"/>
      <c r="I550" s="7"/>
      <c r="J550" s="8"/>
      <c r="K550" s="8"/>
      <c r="L550" s="8"/>
      <c r="M550" s="9" t="str">
        <f t="shared" si="11"/>
        <v> </v>
      </c>
      <c r="N550" s="8"/>
      <c r="O550" s="8"/>
      <c r="P550" s="8"/>
      <c r="Q550" s="8"/>
      <c r="R550" s="8"/>
      <c r="S550" s="10"/>
    </row>
    <row r="551" ht="13.5" customHeight="1">
      <c r="A551" s="9"/>
      <c r="B551" s="8"/>
      <c r="C551" s="8"/>
      <c r="D551" s="134" t="str">
        <f t="shared" si="9"/>
        <v> </v>
      </c>
      <c r="E551" s="40" t="str">
        <f t="shared" si="10"/>
        <v>/ / </v>
      </c>
      <c r="F551" s="8"/>
      <c r="G551" s="122"/>
      <c r="H551" s="20"/>
      <c r="I551" s="7"/>
      <c r="J551" s="8"/>
      <c r="K551" s="8"/>
      <c r="L551" s="8"/>
      <c r="M551" s="9" t="str">
        <f t="shared" si="11"/>
        <v> </v>
      </c>
      <c r="N551" s="8"/>
      <c r="O551" s="8"/>
      <c r="P551" s="8"/>
      <c r="Q551" s="8"/>
      <c r="R551" s="8"/>
      <c r="S551" s="10"/>
    </row>
    <row r="552" ht="13.5" customHeight="1">
      <c r="A552" s="9"/>
      <c r="B552" s="8"/>
      <c r="C552" s="8"/>
      <c r="D552" s="134" t="str">
        <f t="shared" si="9"/>
        <v> </v>
      </c>
      <c r="E552" s="40" t="str">
        <f t="shared" si="10"/>
        <v>/ / </v>
      </c>
      <c r="F552" s="8"/>
      <c r="G552" s="122"/>
      <c r="H552" s="20"/>
      <c r="I552" s="7"/>
      <c r="J552" s="8"/>
      <c r="K552" s="8"/>
      <c r="L552" s="8"/>
      <c r="M552" s="9" t="str">
        <f t="shared" si="11"/>
        <v> </v>
      </c>
      <c r="N552" s="8"/>
      <c r="O552" s="8"/>
      <c r="P552" s="8"/>
      <c r="Q552" s="8"/>
      <c r="R552" s="8"/>
      <c r="S552" s="10"/>
    </row>
    <row r="553" ht="13.5" customHeight="1">
      <c r="A553" s="9"/>
      <c r="B553" s="8"/>
      <c r="C553" s="8"/>
      <c r="D553" s="134" t="str">
        <f t="shared" si="9"/>
        <v> </v>
      </c>
      <c r="E553" s="40" t="str">
        <f t="shared" si="10"/>
        <v>/ / </v>
      </c>
      <c r="F553" s="8"/>
      <c r="G553" s="122"/>
      <c r="H553" s="20"/>
      <c r="I553" s="7"/>
      <c r="J553" s="8"/>
      <c r="K553" s="8"/>
      <c r="L553" s="8"/>
      <c r="M553" s="9" t="str">
        <f t="shared" si="11"/>
        <v> </v>
      </c>
      <c r="N553" s="8"/>
      <c r="O553" s="8"/>
      <c r="P553" s="8"/>
      <c r="Q553" s="8"/>
      <c r="R553" s="8"/>
      <c r="S553" s="10"/>
    </row>
    <row r="554" ht="13.5" customHeight="1">
      <c r="A554" s="9"/>
      <c r="B554" s="8"/>
      <c r="C554" s="8"/>
      <c r="D554" s="134" t="str">
        <f t="shared" si="9"/>
        <v> </v>
      </c>
      <c r="E554" s="40" t="str">
        <f t="shared" si="10"/>
        <v>/ / </v>
      </c>
      <c r="F554" s="8"/>
      <c r="G554" s="122"/>
      <c r="H554" s="20"/>
      <c r="I554" s="7"/>
      <c r="J554" s="8"/>
      <c r="K554" s="8"/>
      <c r="L554" s="8"/>
      <c r="M554" s="9" t="str">
        <f t="shared" si="11"/>
        <v> </v>
      </c>
      <c r="N554" s="8"/>
      <c r="O554" s="8"/>
      <c r="P554" s="8"/>
      <c r="Q554" s="8"/>
      <c r="R554" s="8"/>
      <c r="S554" s="10"/>
    </row>
    <row r="555" ht="13.5" customHeight="1">
      <c r="A555" s="9"/>
      <c r="B555" s="8"/>
      <c r="C555" s="8"/>
      <c r="D555" s="134" t="str">
        <f t="shared" si="9"/>
        <v> </v>
      </c>
      <c r="E555" s="40" t="str">
        <f t="shared" si="10"/>
        <v>/ / </v>
      </c>
      <c r="F555" s="8"/>
      <c r="G555" s="122"/>
      <c r="H555" s="20"/>
      <c r="I555" s="7"/>
      <c r="J555" s="8"/>
      <c r="K555" s="8"/>
      <c r="L555" s="8"/>
      <c r="M555" s="9" t="str">
        <f t="shared" si="11"/>
        <v> </v>
      </c>
      <c r="N555" s="8"/>
      <c r="O555" s="8"/>
      <c r="P555" s="8"/>
      <c r="Q555" s="8"/>
      <c r="R555" s="8"/>
      <c r="S555" s="10"/>
    </row>
    <row r="556" ht="13.5" customHeight="1">
      <c r="A556" s="9"/>
      <c r="B556" s="8"/>
      <c r="C556" s="8"/>
      <c r="D556" s="134" t="str">
        <f t="shared" si="9"/>
        <v> </v>
      </c>
      <c r="E556" s="40" t="str">
        <f t="shared" si="10"/>
        <v>/ / </v>
      </c>
      <c r="F556" s="8"/>
      <c r="G556" s="122"/>
      <c r="H556" s="20"/>
      <c r="I556" s="7"/>
      <c r="J556" s="8"/>
      <c r="K556" s="8"/>
      <c r="L556" s="8"/>
      <c r="M556" s="9" t="str">
        <f t="shared" si="11"/>
        <v> </v>
      </c>
      <c r="N556" s="8"/>
      <c r="O556" s="8"/>
      <c r="P556" s="8"/>
      <c r="Q556" s="8"/>
      <c r="R556" s="8"/>
      <c r="S556" s="10"/>
    </row>
    <row r="557" ht="13.5" customHeight="1">
      <c r="A557" s="9"/>
      <c r="B557" s="8"/>
      <c r="C557" s="8"/>
      <c r="D557" s="134" t="str">
        <f t="shared" si="9"/>
        <v> </v>
      </c>
      <c r="E557" s="40" t="str">
        <f t="shared" si="10"/>
        <v>/ / </v>
      </c>
      <c r="F557" s="8"/>
      <c r="G557" s="122"/>
      <c r="H557" s="20"/>
      <c r="I557" s="7"/>
      <c r="J557" s="8"/>
      <c r="K557" s="8"/>
      <c r="L557" s="8"/>
      <c r="M557" s="9" t="str">
        <f t="shared" si="11"/>
        <v> </v>
      </c>
      <c r="N557" s="8"/>
      <c r="O557" s="8"/>
      <c r="P557" s="8"/>
      <c r="Q557" s="8"/>
      <c r="R557" s="8"/>
      <c r="S557" s="10"/>
    </row>
    <row r="558" ht="13.5" customHeight="1">
      <c r="A558" s="9"/>
      <c r="B558" s="8"/>
      <c r="C558" s="8"/>
      <c r="D558" s="134" t="str">
        <f t="shared" si="9"/>
        <v> </v>
      </c>
      <c r="E558" s="40" t="str">
        <f t="shared" si="10"/>
        <v>/ / </v>
      </c>
      <c r="F558" s="8"/>
      <c r="G558" s="122"/>
      <c r="H558" s="20"/>
      <c r="I558" s="7"/>
      <c r="J558" s="8"/>
      <c r="K558" s="8"/>
      <c r="L558" s="8"/>
      <c r="M558" s="9" t="str">
        <f t="shared" si="11"/>
        <v> </v>
      </c>
      <c r="N558" s="8"/>
      <c r="O558" s="8"/>
      <c r="P558" s="8"/>
      <c r="Q558" s="8"/>
      <c r="R558" s="8"/>
      <c r="S558" s="10"/>
    </row>
    <row r="559" ht="13.5" customHeight="1">
      <c r="A559" s="9"/>
      <c r="B559" s="8"/>
      <c r="C559" s="8"/>
      <c r="D559" s="134" t="str">
        <f t="shared" si="9"/>
        <v> </v>
      </c>
      <c r="E559" s="40" t="str">
        <f t="shared" si="10"/>
        <v>/ / </v>
      </c>
      <c r="F559" s="8"/>
      <c r="G559" s="122"/>
      <c r="H559" s="20"/>
      <c r="I559" s="7"/>
      <c r="J559" s="8"/>
      <c r="K559" s="8"/>
      <c r="L559" s="8"/>
      <c r="M559" s="9" t="str">
        <f t="shared" si="11"/>
        <v> </v>
      </c>
      <c r="N559" s="8"/>
      <c r="O559" s="8"/>
      <c r="P559" s="8"/>
      <c r="Q559" s="8"/>
      <c r="R559" s="8"/>
      <c r="S559" s="10"/>
    </row>
    <row r="560" ht="13.5" customHeight="1">
      <c r="A560" s="9"/>
      <c r="B560" s="8"/>
      <c r="C560" s="8"/>
      <c r="D560" s="134" t="str">
        <f t="shared" si="9"/>
        <v> </v>
      </c>
      <c r="E560" s="40" t="str">
        <f t="shared" si="10"/>
        <v>/ / </v>
      </c>
      <c r="F560" s="8"/>
      <c r="G560" s="122"/>
      <c r="H560" s="20"/>
      <c r="I560" s="7"/>
      <c r="J560" s="8"/>
      <c r="K560" s="8"/>
      <c r="L560" s="8"/>
      <c r="M560" s="9" t="str">
        <f t="shared" si="11"/>
        <v> </v>
      </c>
      <c r="N560" s="8"/>
      <c r="O560" s="8"/>
      <c r="P560" s="8"/>
      <c r="Q560" s="8"/>
      <c r="R560" s="8"/>
      <c r="S560" s="10"/>
    </row>
    <row r="561" ht="13.5" customHeight="1">
      <c r="A561" s="9"/>
      <c r="B561" s="8"/>
      <c r="C561" s="8"/>
      <c r="D561" s="134" t="str">
        <f t="shared" si="9"/>
        <v> </v>
      </c>
      <c r="E561" s="40" t="str">
        <f t="shared" si="10"/>
        <v>/ / </v>
      </c>
      <c r="F561" s="8"/>
      <c r="G561" s="122"/>
      <c r="H561" s="20"/>
      <c r="I561" s="7"/>
      <c r="J561" s="8"/>
      <c r="K561" s="8"/>
      <c r="L561" s="8"/>
      <c r="M561" s="9" t="str">
        <f t="shared" si="11"/>
        <v> </v>
      </c>
      <c r="N561" s="8"/>
      <c r="O561" s="8"/>
      <c r="P561" s="8"/>
      <c r="Q561" s="8"/>
      <c r="R561" s="8"/>
      <c r="S561" s="10"/>
    </row>
    <row r="562" ht="13.5" customHeight="1">
      <c r="A562" s="9"/>
      <c r="B562" s="8"/>
      <c r="C562" s="8"/>
      <c r="D562" s="134" t="str">
        <f t="shared" si="9"/>
        <v> </v>
      </c>
      <c r="E562" s="40" t="str">
        <f t="shared" si="10"/>
        <v>/ / </v>
      </c>
      <c r="F562" s="8"/>
      <c r="G562" s="122"/>
      <c r="H562" s="20"/>
      <c r="I562" s="7"/>
      <c r="J562" s="8"/>
      <c r="K562" s="8"/>
      <c r="L562" s="8"/>
      <c r="M562" s="9" t="str">
        <f t="shared" si="11"/>
        <v> </v>
      </c>
      <c r="N562" s="8"/>
      <c r="O562" s="8"/>
      <c r="P562" s="8"/>
      <c r="Q562" s="8"/>
      <c r="R562" s="8"/>
      <c r="S562" s="10"/>
    </row>
    <row r="563" ht="13.5" customHeight="1">
      <c r="A563" s="9"/>
      <c r="B563" s="8"/>
      <c r="C563" s="8"/>
      <c r="D563" s="134" t="str">
        <f t="shared" si="9"/>
        <v> </v>
      </c>
      <c r="E563" s="40" t="str">
        <f t="shared" si="10"/>
        <v>/ / </v>
      </c>
      <c r="F563" s="8"/>
      <c r="G563" s="122"/>
      <c r="H563" s="20"/>
      <c r="I563" s="7"/>
      <c r="J563" s="8"/>
      <c r="K563" s="8"/>
      <c r="L563" s="8"/>
      <c r="M563" s="9" t="str">
        <f t="shared" si="11"/>
        <v> </v>
      </c>
      <c r="N563" s="8"/>
      <c r="O563" s="8"/>
      <c r="P563" s="8"/>
      <c r="Q563" s="8"/>
      <c r="R563" s="8"/>
      <c r="S563" s="10"/>
    </row>
    <row r="564" ht="13.5" customHeight="1">
      <c r="A564" s="9"/>
      <c r="B564" s="8"/>
      <c r="C564" s="8"/>
      <c r="D564" s="134" t="str">
        <f t="shared" si="9"/>
        <v> </v>
      </c>
      <c r="E564" s="40" t="str">
        <f t="shared" si="10"/>
        <v>/ / </v>
      </c>
      <c r="F564" s="8"/>
      <c r="G564" s="122"/>
      <c r="H564" s="20"/>
      <c r="I564" s="7"/>
      <c r="J564" s="8"/>
      <c r="K564" s="8"/>
      <c r="L564" s="8"/>
      <c r="M564" s="9" t="str">
        <f t="shared" si="11"/>
        <v> </v>
      </c>
      <c r="N564" s="8"/>
      <c r="O564" s="8"/>
      <c r="P564" s="8"/>
      <c r="Q564" s="8"/>
      <c r="R564" s="8"/>
      <c r="S564" s="10"/>
    </row>
    <row r="565" ht="13.5" customHeight="1">
      <c r="A565" s="9"/>
      <c r="B565" s="8"/>
      <c r="C565" s="8"/>
      <c r="D565" s="134" t="str">
        <f t="shared" si="9"/>
        <v> </v>
      </c>
      <c r="E565" s="40" t="str">
        <f t="shared" si="10"/>
        <v>/ / </v>
      </c>
      <c r="F565" s="8"/>
      <c r="G565" s="122"/>
      <c r="H565" s="20"/>
      <c r="I565" s="7"/>
      <c r="J565" s="8"/>
      <c r="K565" s="8"/>
      <c r="L565" s="8"/>
      <c r="M565" s="9" t="str">
        <f t="shared" si="11"/>
        <v> </v>
      </c>
      <c r="N565" s="8"/>
      <c r="O565" s="8"/>
      <c r="P565" s="8"/>
      <c r="Q565" s="8"/>
      <c r="R565" s="8"/>
      <c r="S565" s="10"/>
    </row>
    <row r="566" ht="13.5" customHeight="1">
      <c r="A566" s="9"/>
      <c r="B566" s="8"/>
      <c r="C566" s="8"/>
      <c r="D566" s="134" t="str">
        <f t="shared" si="9"/>
        <v> </v>
      </c>
      <c r="E566" s="40" t="str">
        <f t="shared" si="10"/>
        <v>/ / </v>
      </c>
      <c r="F566" s="8"/>
      <c r="G566" s="122"/>
      <c r="H566" s="20"/>
      <c r="I566" s="7"/>
      <c r="J566" s="8"/>
      <c r="K566" s="8"/>
      <c r="L566" s="8"/>
      <c r="M566" s="9" t="str">
        <f t="shared" si="11"/>
        <v> </v>
      </c>
      <c r="N566" s="8"/>
      <c r="O566" s="8"/>
      <c r="P566" s="8"/>
      <c r="Q566" s="8"/>
      <c r="R566" s="8"/>
      <c r="S566" s="10"/>
    </row>
    <row r="567" ht="13.5" customHeight="1">
      <c r="A567" s="9"/>
      <c r="B567" s="8"/>
      <c r="C567" s="8"/>
      <c r="D567" s="134" t="str">
        <f t="shared" si="9"/>
        <v> </v>
      </c>
      <c r="E567" s="40" t="str">
        <f t="shared" si="10"/>
        <v>/ / </v>
      </c>
      <c r="F567" s="8"/>
      <c r="G567" s="122"/>
      <c r="H567" s="20"/>
      <c r="I567" s="7"/>
      <c r="J567" s="8"/>
      <c r="K567" s="8"/>
      <c r="L567" s="8"/>
      <c r="M567" s="9" t="str">
        <f t="shared" si="11"/>
        <v> </v>
      </c>
      <c r="N567" s="8"/>
      <c r="O567" s="8"/>
      <c r="P567" s="8"/>
      <c r="Q567" s="8"/>
      <c r="R567" s="8"/>
      <c r="S567" s="10"/>
    </row>
    <row r="568" ht="13.5" customHeight="1">
      <c r="A568" s="9"/>
      <c r="B568" s="8"/>
      <c r="C568" s="8"/>
      <c r="D568" s="134" t="str">
        <f t="shared" si="9"/>
        <v> </v>
      </c>
      <c r="E568" s="40" t="str">
        <f t="shared" si="10"/>
        <v>/ / </v>
      </c>
      <c r="F568" s="8"/>
      <c r="G568" s="122"/>
      <c r="H568" s="20"/>
      <c r="I568" s="7"/>
      <c r="J568" s="8"/>
      <c r="K568" s="8"/>
      <c r="L568" s="8"/>
      <c r="M568" s="9" t="str">
        <f t="shared" si="11"/>
        <v> </v>
      </c>
      <c r="N568" s="8"/>
      <c r="O568" s="8"/>
      <c r="P568" s="8"/>
      <c r="Q568" s="8"/>
      <c r="R568" s="8"/>
      <c r="S568" s="10"/>
    </row>
    <row r="569" ht="13.5" customHeight="1">
      <c r="A569" s="9"/>
      <c r="B569" s="8"/>
      <c r="C569" s="8"/>
      <c r="D569" s="134" t="str">
        <f t="shared" si="9"/>
        <v> </v>
      </c>
      <c r="E569" s="40" t="str">
        <f t="shared" si="10"/>
        <v>/ / </v>
      </c>
      <c r="F569" s="8"/>
      <c r="G569" s="122"/>
      <c r="H569" s="20"/>
      <c r="I569" s="7"/>
      <c r="J569" s="8"/>
      <c r="K569" s="8"/>
      <c r="L569" s="8"/>
      <c r="M569" s="9" t="str">
        <f t="shared" si="11"/>
        <v> </v>
      </c>
      <c r="N569" s="8"/>
      <c r="O569" s="8"/>
      <c r="P569" s="8"/>
      <c r="Q569" s="8"/>
      <c r="R569" s="8"/>
      <c r="S569" s="10"/>
    </row>
    <row r="570" ht="13.5" customHeight="1">
      <c r="A570" s="9"/>
      <c r="B570" s="8"/>
      <c r="C570" s="8"/>
      <c r="D570" s="134" t="str">
        <f t="shared" si="9"/>
        <v> </v>
      </c>
      <c r="E570" s="40" t="str">
        <f t="shared" si="10"/>
        <v>/ / </v>
      </c>
      <c r="F570" s="8"/>
      <c r="G570" s="122"/>
      <c r="H570" s="20"/>
      <c r="I570" s="7"/>
      <c r="J570" s="8"/>
      <c r="K570" s="8"/>
      <c r="L570" s="8"/>
      <c r="M570" s="9" t="str">
        <f t="shared" si="11"/>
        <v> </v>
      </c>
      <c r="N570" s="8"/>
      <c r="O570" s="8"/>
      <c r="P570" s="8"/>
      <c r="Q570" s="8"/>
      <c r="R570" s="8"/>
      <c r="S570" s="10"/>
    </row>
    <row r="571" ht="13.5" customHeight="1">
      <c r="A571" s="9"/>
      <c r="B571" s="8"/>
      <c r="C571" s="8"/>
      <c r="D571" s="134" t="str">
        <f t="shared" si="9"/>
        <v> </v>
      </c>
      <c r="E571" s="40" t="str">
        <f t="shared" si="10"/>
        <v>/ / </v>
      </c>
      <c r="F571" s="8"/>
      <c r="G571" s="122"/>
      <c r="H571" s="20"/>
      <c r="I571" s="7"/>
      <c r="J571" s="8"/>
      <c r="K571" s="8"/>
      <c r="L571" s="8"/>
      <c r="M571" s="9" t="str">
        <f t="shared" si="11"/>
        <v> </v>
      </c>
      <c r="N571" s="8"/>
      <c r="O571" s="8"/>
      <c r="P571" s="8"/>
      <c r="Q571" s="8"/>
      <c r="R571" s="8"/>
      <c r="S571" s="10"/>
    </row>
    <row r="572" ht="13.5" customHeight="1">
      <c r="A572" s="9"/>
      <c r="B572" s="8"/>
      <c r="C572" s="8"/>
      <c r="D572" s="134" t="str">
        <f t="shared" si="9"/>
        <v> </v>
      </c>
      <c r="E572" s="40" t="str">
        <f t="shared" si="10"/>
        <v>/ / </v>
      </c>
      <c r="F572" s="8"/>
      <c r="G572" s="122"/>
      <c r="H572" s="20"/>
      <c r="I572" s="7"/>
      <c r="J572" s="8"/>
      <c r="K572" s="8"/>
      <c r="L572" s="8"/>
      <c r="M572" s="9" t="str">
        <f t="shared" si="11"/>
        <v> </v>
      </c>
      <c r="N572" s="8"/>
      <c r="O572" s="8"/>
      <c r="P572" s="8"/>
      <c r="Q572" s="8"/>
      <c r="R572" s="8"/>
      <c r="S572" s="10"/>
    </row>
    <row r="573" ht="13.5" customHeight="1">
      <c r="A573" s="9"/>
      <c r="B573" s="8"/>
      <c r="C573" s="8"/>
      <c r="D573" s="134" t="str">
        <f t="shared" si="9"/>
        <v> </v>
      </c>
      <c r="E573" s="40" t="str">
        <f t="shared" si="10"/>
        <v>/ / </v>
      </c>
      <c r="F573" s="8"/>
      <c r="G573" s="122"/>
      <c r="H573" s="20"/>
      <c r="I573" s="7"/>
      <c r="J573" s="8"/>
      <c r="K573" s="8"/>
      <c r="L573" s="8"/>
      <c r="M573" s="9" t="str">
        <f t="shared" si="11"/>
        <v> </v>
      </c>
      <c r="N573" s="8"/>
      <c r="O573" s="8"/>
      <c r="P573" s="8"/>
      <c r="Q573" s="8"/>
      <c r="R573" s="8"/>
      <c r="S573" s="10"/>
    </row>
    <row r="574" ht="13.5" customHeight="1">
      <c r="A574" s="9"/>
      <c r="B574" s="8"/>
      <c r="C574" s="8"/>
      <c r="D574" s="134" t="str">
        <f t="shared" si="9"/>
        <v> </v>
      </c>
      <c r="E574" s="40" t="str">
        <f t="shared" si="10"/>
        <v>/ / </v>
      </c>
      <c r="F574" s="8"/>
      <c r="G574" s="122"/>
      <c r="H574" s="20"/>
      <c r="I574" s="7"/>
      <c r="J574" s="8"/>
      <c r="K574" s="8"/>
      <c r="L574" s="8"/>
      <c r="M574" s="9" t="str">
        <f t="shared" si="11"/>
        <v> </v>
      </c>
      <c r="N574" s="8"/>
      <c r="O574" s="8"/>
      <c r="P574" s="8"/>
      <c r="Q574" s="8"/>
      <c r="R574" s="8"/>
      <c r="S574" s="10"/>
    </row>
    <row r="575" ht="13.5" customHeight="1">
      <c r="A575" s="9"/>
      <c r="B575" s="8"/>
      <c r="C575" s="8"/>
      <c r="D575" s="134" t="str">
        <f t="shared" si="9"/>
        <v> </v>
      </c>
      <c r="E575" s="40" t="str">
        <f t="shared" si="10"/>
        <v>/ / </v>
      </c>
      <c r="F575" s="8"/>
      <c r="G575" s="122"/>
      <c r="H575" s="20"/>
      <c r="I575" s="7"/>
      <c r="J575" s="8"/>
      <c r="K575" s="8"/>
      <c r="L575" s="8"/>
      <c r="M575" s="9" t="str">
        <f t="shared" si="11"/>
        <v> </v>
      </c>
      <c r="N575" s="8"/>
      <c r="O575" s="8"/>
      <c r="P575" s="8"/>
      <c r="Q575" s="8"/>
      <c r="R575" s="8"/>
      <c r="S575" s="10"/>
    </row>
    <row r="576" ht="13.5" customHeight="1">
      <c r="A576" s="9"/>
      <c r="B576" s="8"/>
      <c r="C576" s="8"/>
      <c r="D576" s="134" t="str">
        <f t="shared" si="9"/>
        <v> </v>
      </c>
      <c r="E576" s="40" t="str">
        <f t="shared" si="10"/>
        <v>/ / </v>
      </c>
      <c r="F576" s="8"/>
      <c r="G576" s="122"/>
      <c r="H576" s="20"/>
      <c r="I576" s="7"/>
      <c r="J576" s="8"/>
      <c r="K576" s="8"/>
      <c r="L576" s="8"/>
      <c r="M576" s="9" t="str">
        <f t="shared" si="11"/>
        <v> </v>
      </c>
      <c r="N576" s="8"/>
      <c r="O576" s="8"/>
      <c r="P576" s="8"/>
      <c r="Q576" s="8"/>
      <c r="R576" s="8"/>
      <c r="S576" s="10"/>
    </row>
    <row r="577" ht="13.5" customHeight="1">
      <c r="A577" s="9"/>
      <c r="B577" s="8"/>
      <c r="C577" s="8"/>
      <c r="D577" s="134" t="str">
        <f t="shared" si="9"/>
        <v> </v>
      </c>
      <c r="E577" s="40" t="str">
        <f t="shared" si="10"/>
        <v>/ / </v>
      </c>
      <c r="F577" s="8"/>
      <c r="G577" s="122"/>
      <c r="H577" s="20"/>
      <c r="I577" s="7"/>
      <c r="J577" s="8"/>
      <c r="K577" s="8"/>
      <c r="L577" s="8"/>
      <c r="M577" s="9" t="str">
        <f t="shared" si="11"/>
        <v> </v>
      </c>
      <c r="N577" s="8"/>
      <c r="O577" s="8"/>
      <c r="P577" s="8"/>
      <c r="Q577" s="8"/>
      <c r="R577" s="8"/>
      <c r="S577" s="10"/>
    </row>
    <row r="578" ht="13.5" customHeight="1">
      <c r="A578" s="9"/>
      <c r="B578" s="8"/>
      <c r="C578" s="8"/>
      <c r="D578" s="134" t="str">
        <f t="shared" si="9"/>
        <v> </v>
      </c>
      <c r="E578" s="40" t="str">
        <f t="shared" si="10"/>
        <v>/ / </v>
      </c>
      <c r="F578" s="8"/>
      <c r="G578" s="122"/>
      <c r="H578" s="20"/>
      <c r="I578" s="7"/>
      <c r="J578" s="8"/>
      <c r="K578" s="8"/>
      <c r="L578" s="8"/>
      <c r="M578" s="9" t="str">
        <f t="shared" si="11"/>
        <v> </v>
      </c>
      <c r="N578" s="8"/>
      <c r="O578" s="8"/>
      <c r="P578" s="8"/>
      <c r="Q578" s="8"/>
      <c r="R578" s="8"/>
      <c r="S578" s="10"/>
    </row>
    <row r="579" ht="13.5" customHeight="1">
      <c r="A579" s="9"/>
      <c r="B579" s="8"/>
      <c r="C579" s="8"/>
      <c r="D579" s="134" t="str">
        <f t="shared" si="9"/>
        <v> </v>
      </c>
      <c r="E579" s="40" t="str">
        <f t="shared" si="10"/>
        <v>/ / </v>
      </c>
      <c r="F579" s="8"/>
      <c r="G579" s="122"/>
      <c r="H579" s="20"/>
      <c r="I579" s="7"/>
      <c r="J579" s="8"/>
      <c r="K579" s="8"/>
      <c r="L579" s="8"/>
      <c r="M579" s="9" t="str">
        <f t="shared" si="11"/>
        <v> </v>
      </c>
      <c r="N579" s="8"/>
      <c r="O579" s="8"/>
      <c r="P579" s="8"/>
      <c r="Q579" s="8"/>
      <c r="R579" s="8"/>
      <c r="S579" s="10"/>
    </row>
    <row r="580" ht="13.5" customHeight="1">
      <c r="A580" s="9"/>
      <c r="B580" s="8"/>
      <c r="C580" s="8"/>
      <c r="D580" s="134" t="str">
        <f t="shared" si="9"/>
        <v> </v>
      </c>
      <c r="E580" s="40" t="str">
        <f t="shared" si="10"/>
        <v>/ / </v>
      </c>
      <c r="F580" s="8"/>
      <c r="G580" s="122"/>
      <c r="H580" s="20"/>
      <c r="I580" s="7"/>
      <c r="J580" s="8"/>
      <c r="K580" s="8"/>
      <c r="L580" s="8"/>
      <c r="M580" s="9" t="str">
        <f t="shared" si="11"/>
        <v> </v>
      </c>
      <c r="N580" s="8"/>
      <c r="O580" s="8"/>
      <c r="P580" s="8"/>
      <c r="Q580" s="8"/>
      <c r="R580" s="8"/>
      <c r="S580" s="10"/>
    </row>
    <row r="581" ht="13.5" customHeight="1">
      <c r="A581" s="9"/>
      <c r="B581" s="8"/>
      <c r="C581" s="8"/>
      <c r="D581" s="134" t="str">
        <f t="shared" si="9"/>
        <v> </v>
      </c>
      <c r="E581" s="40" t="str">
        <f t="shared" si="10"/>
        <v>/ / </v>
      </c>
      <c r="F581" s="8"/>
      <c r="G581" s="122"/>
      <c r="H581" s="20"/>
      <c r="I581" s="7"/>
      <c r="J581" s="8"/>
      <c r="K581" s="8"/>
      <c r="L581" s="8"/>
      <c r="M581" s="9" t="str">
        <f t="shared" si="11"/>
        <v> </v>
      </c>
      <c r="N581" s="8"/>
      <c r="O581" s="8"/>
      <c r="P581" s="8"/>
      <c r="Q581" s="8"/>
      <c r="R581" s="8"/>
      <c r="S581" s="10"/>
    </row>
    <row r="582" ht="13.5" customHeight="1">
      <c r="A582" s="9"/>
      <c r="B582" s="8"/>
      <c r="C582" s="8"/>
      <c r="D582" s="134" t="str">
        <f t="shared" si="9"/>
        <v> </v>
      </c>
      <c r="E582" s="40" t="str">
        <f t="shared" si="10"/>
        <v>/ / </v>
      </c>
      <c r="F582" s="8"/>
      <c r="G582" s="122"/>
      <c r="H582" s="20"/>
      <c r="I582" s="7"/>
      <c r="J582" s="8"/>
      <c r="K582" s="8"/>
      <c r="L582" s="8"/>
      <c r="M582" s="9" t="str">
        <f t="shared" si="11"/>
        <v> </v>
      </c>
      <c r="N582" s="8"/>
      <c r="O582" s="8"/>
      <c r="P582" s="8"/>
      <c r="Q582" s="8"/>
      <c r="R582" s="8"/>
      <c r="S582" s="10"/>
    </row>
    <row r="583" ht="13.5" customHeight="1">
      <c r="A583" s="9"/>
      <c r="B583" s="8"/>
      <c r="C583" s="8"/>
      <c r="D583" s="134" t="str">
        <f t="shared" si="9"/>
        <v> </v>
      </c>
      <c r="E583" s="40" t="str">
        <f t="shared" si="10"/>
        <v>/ / </v>
      </c>
      <c r="F583" s="8"/>
      <c r="G583" s="122"/>
      <c r="H583" s="20"/>
      <c r="I583" s="7"/>
      <c r="J583" s="8"/>
      <c r="K583" s="8"/>
      <c r="L583" s="8"/>
      <c r="M583" s="9" t="str">
        <f t="shared" si="11"/>
        <v> </v>
      </c>
      <c r="N583" s="8"/>
      <c r="O583" s="8"/>
      <c r="P583" s="8"/>
      <c r="Q583" s="8"/>
      <c r="R583" s="8"/>
      <c r="S583" s="10"/>
    </row>
    <row r="584" ht="13.5" customHeight="1">
      <c r="A584" s="9"/>
      <c r="B584" s="8"/>
      <c r="C584" s="8"/>
      <c r="D584" s="134" t="str">
        <f t="shared" si="9"/>
        <v> </v>
      </c>
      <c r="E584" s="40" t="str">
        <f t="shared" si="10"/>
        <v>/ / </v>
      </c>
      <c r="F584" s="8"/>
      <c r="G584" s="122"/>
      <c r="H584" s="20"/>
      <c r="I584" s="7"/>
      <c r="J584" s="8"/>
      <c r="K584" s="8"/>
      <c r="L584" s="8"/>
      <c r="M584" s="9" t="str">
        <f t="shared" si="11"/>
        <v> </v>
      </c>
      <c r="N584" s="8"/>
      <c r="O584" s="8"/>
      <c r="P584" s="8"/>
      <c r="Q584" s="8"/>
      <c r="R584" s="8"/>
      <c r="S584" s="10"/>
    </row>
    <row r="585" ht="13.5" customHeight="1">
      <c r="A585" s="9"/>
      <c r="B585" s="8"/>
      <c r="C585" s="8"/>
      <c r="D585" s="134" t="str">
        <f t="shared" si="9"/>
        <v> </v>
      </c>
      <c r="E585" s="40" t="str">
        <f t="shared" si="10"/>
        <v>/ / </v>
      </c>
      <c r="F585" s="8"/>
      <c r="G585" s="122"/>
      <c r="H585" s="20"/>
      <c r="I585" s="7"/>
      <c r="J585" s="8"/>
      <c r="K585" s="8"/>
      <c r="L585" s="8"/>
      <c r="M585" s="9" t="str">
        <f t="shared" si="11"/>
        <v> </v>
      </c>
      <c r="N585" s="8"/>
      <c r="O585" s="8"/>
      <c r="P585" s="8"/>
      <c r="Q585" s="8"/>
      <c r="R585" s="8"/>
      <c r="S585" s="10"/>
    </row>
    <row r="586" ht="13.5" customHeight="1">
      <c r="A586" s="9"/>
      <c r="B586" s="8"/>
      <c r="C586" s="8"/>
      <c r="D586" s="134" t="str">
        <f t="shared" si="9"/>
        <v> </v>
      </c>
      <c r="E586" s="40" t="str">
        <f t="shared" si="10"/>
        <v>/ / </v>
      </c>
      <c r="F586" s="8"/>
      <c r="G586" s="122"/>
      <c r="H586" s="20"/>
      <c r="I586" s="7"/>
      <c r="J586" s="8"/>
      <c r="K586" s="8"/>
      <c r="L586" s="8"/>
      <c r="M586" s="9" t="str">
        <f t="shared" si="11"/>
        <v> </v>
      </c>
      <c r="N586" s="8"/>
      <c r="O586" s="8"/>
      <c r="P586" s="8"/>
      <c r="Q586" s="8"/>
      <c r="R586" s="8"/>
      <c r="S586" s="10"/>
    </row>
    <row r="587" ht="13.5" customHeight="1">
      <c r="A587" s="9"/>
      <c r="B587" s="8"/>
      <c r="C587" s="8"/>
      <c r="D587" s="134" t="str">
        <f t="shared" si="9"/>
        <v> </v>
      </c>
      <c r="E587" s="40" t="str">
        <f t="shared" si="10"/>
        <v>/ / </v>
      </c>
      <c r="F587" s="8"/>
      <c r="G587" s="122"/>
      <c r="H587" s="20"/>
      <c r="I587" s="7"/>
      <c r="J587" s="8"/>
      <c r="K587" s="8"/>
      <c r="L587" s="8"/>
      <c r="M587" s="9" t="str">
        <f t="shared" si="11"/>
        <v> </v>
      </c>
      <c r="N587" s="8"/>
      <c r="O587" s="8"/>
      <c r="P587" s="8"/>
      <c r="Q587" s="8"/>
      <c r="R587" s="8"/>
      <c r="S587" s="10"/>
    </row>
    <row r="588" ht="13.5" customHeight="1">
      <c r="A588" s="9"/>
      <c r="B588" s="8"/>
      <c r="C588" s="8"/>
      <c r="D588" s="134" t="str">
        <f t="shared" si="9"/>
        <v> </v>
      </c>
      <c r="E588" s="40" t="str">
        <f t="shared" si="10"/>
        <v>/ / </v>
      </c>
      <c r="F588" s="8"/>
      <c r="G588" s="122"/>
      <c r="H588" s="20"/>
      <c r="I588" s="7"/>
      <c r="J588" s="8"/>
      <c r="K588" s="8"/>
      <c r="L588" s="8"/>
      <c r="M588" s="9" t="str">
        <f t="shared" si="11"/>
        <v> </v>
      </c>
      <c r="N588" s="8"/>
      <c r="O588" s="8"/>
      <c r="P588" s="8"/>
      <c r="Q588" s="8"/>
      <c r="R588" s="8"/>
      <c r="S588" s="10"/>
    </row>
    <row r="589" ht="13.5" customHeight="1">
      <c r="A589" s="9"/>
      <c r="B589" s="8"/>
      <c r="C589" s="8"/>
      <c r="D589" s="134" t="str">
        <f t="shared" si="9"/>
        <v> </v>
      </c>
      <c r="E589" s="40" t="str">
        <f t="shared" si="10"/>
        <v>/ / </v>
      </c>
      <c r="F589" s="8"/>
      <c r="G589" s="19"/>
      <c r="H589" s="20"/>
      <c r="I589" s="7"/>
      <c r="J589" s="8"/>
      <c r="K589" s="8"/>
      <c r="L589" s="8"/>
      <c r="M589" s="9" t="str">
        <f t="shared" si="11"/>
        <v> </v>
      </c>
      <c r="N589" s="8"/>
      <c r="O589" s="8"/>
      <c r="P589" s="8"/>
      <c r="Q589" s="8"/>
      <c r="R589" s="8"/>
      <c r="S589" s="10"/>
    </row>
    <row r="590" ht="13.5" customHeight="1">
      <c r="A590" s="9"/>
      <c r="B590" s="8"/>
      <c r="C590" s="8"/>
      <c r="D590" s="134" t="str">
        <f t="shared" si="9"/>
        <v> </v>
      </c>
      <c r="E590" s="40" t="str">
        <f t="shared" si="10"/>
        <v>/ / </v>
      </c>
      <c r="F590" s="8"/>
      <c r="G590" s="19"/>
      <c r="H590" s="20"/>
      <c r="I590" s="7"/>
      <c r="J590" s="8"/>
      <c r="K590" s="8"/>
      <c r="L590" s="8"/>
      <c r="M590" s="9" t="str">
        <f t="shared" si="11"/>
        <v> </v>
      </c>
      <c r="N590" s="8"/>
      <c r="O590" s="8"/>
      <c r="P590" s="8"/>
      <c r="Q590" s="8"/>
      <c r="R590" s="8"/>
      <c r="S590" s="10"/>
    </row>
    <row r="591" ht="13.5" customHeight="1">
      <c r="A591" s="9"/>
      <c r="B591" s="8"/>
      <c r="C591" s="8"/>
      <c r="D591" s="134" t="str">
        <f t="shared" si="9"/>
        <v> </v>
      </c>
      <c r="E591" s="40" t="str">
        <f t="shared" si="10"/>
        <v>/ / </v>
      </c>
      <c r="F591" s="8"/>
      <c r="G591" s="19"/>
      <c r="H591" s="20"/>
      <c r="I591" s="7"/>
      <c r="J591" s="8"/>
      <c r="K591" s="8"/>
      <c r="L591" s="8"/>
      <c r="M591" s="9" t="str">
        <f t="shared" si="11"/>
        <v> </v>
      </c>
      <c r="N591" s="8"/>
      <c r="O591" s="8"/>
      <c r="P591" s="8"/>
      <c r="Q591" s="8"/>
      <c r="R591" s="8"/>
      <c r="S591" s="10"/>
    </row>
    <row r="592" ht="13.5" customHeight="1">
      <c r="A592" s="9"/>
      <c r="B592" s="8"/>
      <c r="C592" s="8"/>
      <c r="D592" s="134" t="str">
        <f t="shared" si="9"/>
        <v> </v>
      </c>
      <c r="E592" s="40" t="str">
        <f t="shared" si="10"/>
        <v>/ / </v>
      </c>
      <c r="F592" s="8"/>
      <c r="G592" s="19"/>
      <c r="H592" s="20"/>
      <c r="I592" s="7"/>
      <c r="J592" s="8"/>
      <c r="K592" s="8"/>
      <c r="L592" s="8"/>
      <c r="M592" s="9" t="str">
        <f t="shared" si="11"/>
        <v> </v>
      </c>
      <c r="N592" s="8"/>
      <c r="O592" s="8"/>
      <c r="P592" s="8"/>
      <c r="Q592" s="8"/>
      <c r="R592" s="8"/>
      <c r="S592" s="10"/>
    </row>
    <row r="593" ht="13.5" customHeight="1">
      <c r="A593" s="9"/>
      <c r="B593" s="8"/>
      <c r="C593" s="8"/>
      <c r="D593" s="134" t="str">
        <f t="shared" si="9"/>
        <v> </v>
      </c>
      <c r="E593" s="40" t="str">
        <f t="shared" si="10"/>
        <v>/ / </v>
      </c>
      <c r="F593" s="8"/>
      <c r="G593" s="19"/>
      <c r="H593" s="20"/>
      <c r="I593" s="7"/>
      <c r="J593" s="8"/>
      <c r="K593" s="8"/>
      <c r="L593" s="8"/>
      <c r="M593" s="9" t="str">
        <f t="shared" si="11"/>
        <v> </v>
      </c>
      <c r="N593" s="8"/>
      <c r="O593" s="8"/>
      <c r="P593" s="8"/>
      <c r="Q593" s="8"/>
      <c r="R593" s="8"/>
      <c r="S593" s="10"/>
    </row>
    <row r="594" ht="13.5" customHeight="1">
      <c r="A594" s="9"/>
      <c r="B594" s="8"/>
      <c r="C594" s="8"/>
      <c r="D594" s="134" t="str">
        <f t="shared" si="9"/>
        <v> </v>
      </c>
      <c r="E594" s="40" t="str">
        <f t="shared" si="10"/>
        <v>/ / </v>
      </c>
      <c r="F594" s="8"/>
      <c r="G594" s="19"/>
      <c r="H594" s="20"/>
      <c r="I594" s="7"/>
      <c r="J594" s="8"/>
      <c r="K594" s="8"/>
      <c r="L594" s="8"/>
      <c r="M594" s="9" t="str">
        <f t="shared" si="11"/>
        <v> </v>
      </c>
      <c r="N594" s="8"/>
      <c r="O594" s="8"/>
      <c r="P594" s="8"/>
      <c r="Q594" s="8"/>
      <c r="R594" s="8"/>
      <c r="S594" s="10"/>
    </row>
    <row r="595" ht="13.5" customHeight="1">
      <c r="A595" s="9"/>
      <c r="B595" s="8"/>
      <c r="C595" s="8"/>
      <c r="D595" s="134" t="str">
        <f t="shared" si="9"/>
        <v> </v>
      </c>
      <c r="E595" s="40" t="str">
        <f t="shared" si="10"/>
        <v>/ / </v>
      </c>
      <c r="F595" s="8"/>
      <c r="G595" s="19"/>
      <c r="H595" s="20"/>
      <c r="I595" s="7"/>
      <c r="J595" s="8"/>
      <c r="K595" s="8"/>
      <c r="L595" s="8"/>
      <c r="M595" s="9" t="str">
        <f t="shared" si="11"/>
        <v> </v>
      </c>
      <c r="N595" s="8"/>
      <c r="O595" s="8"/>
      <c r="P595" s="8"/>
      <c r="Q595" s="8"/>
      <c r="R595" s="8"/>
      <c r="S595" s="10"/>
    </row>
    <row r="596" ht="13.5" customHeight="1">
      <c r="A596" s="9"/>
      <c r="B596" s="8"/>
      <c r="C596" s="8"/>
      <c r="D596" s="134" t="str">
        <f t="shared" si="9"/>
        <v> </v>
      </c>
      <c r="E596" s="40" t="str">
        <f t="shared" si="10"/>
        <v>/ / </v>
      </c>
      <c r="F596" s="8"/>
      <c r="G596" s="19"/>
      <c r="H596" s="20"/>
      <c r="I596" s="7"/>
      <c r="J596" s="8"/>
      <c r="K596" s="8"/>
      <c r="L596" s="8"/>
      <c r="M596" s="9" t="str">
        <f t="shared" si="11"/>
        <v> </v>
      </c>
      <c r="N596" s="8"/>
      <c r="O596" s="8"/>
      <c r="P596" s="8"/>
      <c r="Q596" s="8"/>
      <c r="R596" s="8"/>
      <c r="S596" s="10"/>
    </row>
    <row r="597" ht="13.5" customHeight="1">
      <c r="A597" s="9"/>
      <c r="B597" s="8"/>
      <c r="C597" s="8"/>
      <c r="D597" s="134" t="str">
        <f t="shared" si="9"/>
        <v> </v>
      </c>
      <c r="E597" s="40" t="str">
        <f t="shared" si="10"/>
        <v>/ / </v>
      </c>
      <c r="F597" s="8"/>
      <c r="G597" s="19"/>
      <c r="H597" s="20"/>
      <c r="I597" s="7"/>
      <c r="J597" s="8"/>
      <c r="K597" s="8"/>
      <c r="L597" s="8"/>
      <c r="M597" s="9" t="str">
        <f t="shared" si="11"/>
        <v> </v>
      </c>
      <c r="N597" s="8"/>
      <c r="O597" s="8"/>
      <c r="P597" s="8"/>
      <c r="Q597" s="8"/>
      <c r="R597" s="8"/>
      <c r="S597" s="10"/>
    </row>
    <row r="598" ht="13.5" customHeight="1">
      <c r="A598" s="9"/>
      <c r="B598" s="8"/>
      <c r="C598" s="8"/>
      <c r="D598" s="134" t="str">
        <f t="shared" si="9"/>
        <v> </v>
      </c>
      <c r="E598" s="40" t="str">
        <f t="shared" si="10"/>
        <v>/ / </v>
      </c>
      <c r="F598" s="8"/>
      <c r="G598" s="19"/>
      <c r="H598" s="20"/>
      <c r="I598" s="7"/>
      <c r="J598" s="8"/>
      <c r="K598" s="8"/>
      <c r="L598" s="8"/>
      <c r="M598" s="9" t="str">
        <f t="shared" si="11"/>
        <v> </v>
      </c>
      <c r="N598" s="8"/>
      <c r="O598" s="8"/>
      <c r="P598" s="8"/>
      <c r="Q598" s="8"/>
      <c r="R598" s="8"/>
      <c r="S598" s="10"/>
    </row>
    <row r="599" ht="13.5" customHeight="1">
      <c r="A599" s="9"/>
      <c r="B599" s="8"/>
      <c r="C599" s="8"/>
      <c r="D599" s="134" t="str">
        <f t="shared" si="9"/>
        <v> </v>
      </c>
      <c r="E599" s="40" t="str">
        <f t="shared" si="10"/>
        <v>/ / </v>
      </c>
      <c r="F599" s="8"/>
      <c r="G599" s="19"/>
      <c r="H599" s="20"/>
      <c r="I599" s="7"/>
      <c r="J599" s="8"/>
      <c r="K599" s="8"/>
      <c r="L599" s="8"/>
      <c r="M599" s="9" t="str">
        <f t="shared" si="11"/>
        <v> </v>
      </c>
      <c r="N599" s="8"/>
      <c r="O599" s="8"/>
      <c r="P599" s="8"/>
      <c r="Q599" s="8"/>
      <c r="R599" s="8"/>
      <c r="S599" s="10"/>
    </row>
    <row r="600" ht="13.5" customHeight="1">
      <c r="A600" s="9"/>
      <c r="B600" s="8"/>
      <c r="C600" s="8"/>
      <c r="D600" s="134" t="str">
        <f t="shared" si="9"/>
        <v> </v>
      </c>
      <c r="E600" s="40" t="str">
        <f t="shared" si="10"/>
        <v>/ / </v>
      </c>
      <c r="F600" s="8"/>
      <c r="G600" s="19"/>
      <c r="H600" s="20"/>
      <c r="I600" s="7"/>
      <c r="J600" s="8"/>
      <c r="K600" s="8"/>
      <c r="L600" s="8"/>
      <c r="M600" s="9" t="str">
        <f t="shared" si="11"/>
        <v> </v>
      </c>
      <c r="N600" s="8"/>
      <c r="O600" s="8"/>
      <c r="P600" s="8"/>
      <c r="Q600" s="8"/>
      <c r="R600" s="8"/>
      <c r="S600" s="10"/>
    </row>
    <row r="601" ht="13.5" customHeight="1">
      <c r="A601" s="9"/>
      <c r="B601" s="8"/>
      <c r="C601" s="8"/>
      <c r="D601" s="134" t="str">
        <f t="shared" si="9"/>
        <v> </v>
      </c>
      <c r="E601" s="40" t="str">
        <f t="shared" si="10"/>
        <v>/ / </v>
      </c>
      <c r="F601" s="8"/>
      <c r="G601" s="19"/>
      <c r="H601" s="20"/>
      <c r="I601" s="7"/>
      <c r="J601" s="8"/>
      <c r="K601" s="8"/>
      <c r="L601" s="8"/>
      <c r="M601" s="9" t="str">
        <f t="shared" si="11"/>
        <v> </v>
      </c>
      <c r="N601" s="8"/>
      <c r="O601" s="8"/>
      <c r="P601" s="8"/>
      <c r="Q601" s="8"/>
      <c r="R601" s="8"/>
      <c r="S601" s="10"/>
    </row>
    <row r="602" ht="13.5" customHeight="1">
      <c r="A602" s="9"/>
      <c r="B602" s="8"/>
      <c r="C602" s="8"/>
      <c r="D602" s="134" t="str">
        <f t="shared" si="9"/>
        <v> </v>
      </c>
      <c r="E602" s="40" t="str">
        <f t="shared" si="10"/>
        <v>/ / </v>
      </c>
      <c r="F602" s="8"/>
      <c r="G602" s="19"/>
      <c r="H602" s="20"/>
      <c r="I602" s="7"/>
      <c r="J602" s="8"/>
      <c r="K602" s="8"/>
      <c r="L602" s="8"/>
      <c r="M602" s="9" t="str">
        <f t="shared" si="11"/>
        <v> </v>
      </c>
      <c r="N602" s="8"/>
      <c r="O602" s="8"/>
      <c r="P602" s="8"/>
      <c r="Q602" s="8"/>
      <c r="R602" s="8"/>
      <c r="S602" s="10"/>
    </row>
    <row r="603" ht="13.5" customHeight="1">
      <c r="A603" s="9"/>
      <c r="B603" s="8"/>
      <c r="C603" s="8"/>
      <c r="D603" s="134" t="str">
        <f t="shared" si="9"/>
        <v> </v>
      </c>
      <c r="E603" s="40" t="str">
        <f t="shared" si="10"/>
        <v>/ / </v>
      </c>
      <c r="F603" s="8"/>
      <c r="G603" s="19"/>
      <c r="H603" s="20"/>
      <c r="I603" s="7"/>
      <c r="J603" s="8"/>
      <c r="K603" s="8"/>
      <c r="L603" s="8"/>
      <c r="M603" s="9" t="str">
        <f t="shared" si="11"/>
        <v> </v>
      </c>
      <c r="N603" s="8"/>
      <c r="O603" s="8"/>
      <c r="P603" s="8"/>
      <c r="Q603" s="8"/>
      <c r="R603" s="8"/>
      <c r="S603" s="10"/>
    </row>
    <row r="604" ht="13.5" customHeight="1">
      <c r="A604" s="9"/>
      <c r="B604" s="8"/>
      <c r="C604" s="8"/>
      <c r="D604" s="134" t="str">
        <f t="shared" si="9"/>
        <v> </v>
      </c>
      <c r="E604" s="40" t="str">
        <f t="shared" si="10"/>
        <v>/ / </v>
      </c>
      <c r="F604" s="8"/>
      <c r="G604" s="19"/>
      <c r="H604" s="20"/>
      <c r="I604" s="7"/>
      <c r="J604" s="8"/>
      <c r="K604" s="8"/>
      <c r="L604" s="8"/>
      <c r="M604" s="9" t="str">
        <f t="shared" si="11"/>
        <v> </v>
      </c>
      <c r="N604" s="8"/>
      <c r="O604" s="8"/>
      <c r="P604" s="8"/>
      <c r="Q604" s="8"/>
      <c r="R604" s="8"/>
      <c r="S604" s="10"/>
    </row>
    <row r="605" ht="13.5" customHeight="1">
      <c r="A605" s="9"/>
      <c r="B605" s="8"/>
      <c r="C605" s="8"/>
      <c r="D605" s="134" t="str">
        <f t="shared" si="9"/>
        <v> </v>
      </c>
      <c r="E605" s="40" t="str">
        <f t="shared" si="10"/>
        <v>/ / </v>
      </c>
      <c r="F605" s="8"/>
      <c r="G605" s="19"/>
      <c r="H605" s="20"/>
      <c r="I605" s="7"/>
      <c r="J605" s="8"/>
      <c r="K605" s="8"/>
      <c r="L605" s="8"/>
      <c r="M605" s="9" t="str">
        <f t="shared" si="11"/>
        <v> </v>
      </c>
      <c r="N605" s="8"/>
      <c r="O605" s="8"/>
      <c r="P605" s="8"/>
      <c r="Q605" s="8"/>
      <c r="R605" s="8"/>
      <c r="S605" s="10"/>
    </row>
    <row r="606" ht="13.5" customHeight="1">
      <c r="A606" s="9"/>
      <c r="B606" s="8"/>
      <c r="C606" s="8"/>
      <c r="D606" s="134" t="str">
        <f t="shared" si="9"/>
        <v> </v>
      </c>
      <c r="E606" s="40" t="str">
        <f t="shared" si="10"/>
        <v>/ / </v>
      </c>
      <c r="F606" s="8"/>
      <c r="G606" s="19"/>
      <c r="H606" s="20"/>
      <c r="I606" s="7"/>
      <c r="J606" s="8"/>
      <c r="K606" s="8"/>
      <c r="L606" s="8"/>
      <c r="M606" s="9" t="str">
        <f t="shared" si="11"/>
        <v> </v>
      </c>
      <c r="N606" s="8"/>
      <c r="O606" s="8"/>
      <c r="P606" s="8"/>
      <c r="Q606" s="8"/>
      <c r="R606" s="8"/>
      <c r="S606" s="10"/>
    </row>
    <row r="607" ht="13.5" customHeight="1">
      <c r="A607" s="9"/>
      <c r="B607" s="8"/>
      <c r="C607" s="8"/>
      <c r="D607" s="134" t="str">
        <f t="shared" si="9"/>
        <v> </v>
      </c>
      <c r="E607" s="40" t="str">
        <f t="shared" si="10"/>
        <v>/ / </v>
      </c>
      <c r="F607" s="8"/>
      <c r="G607" s="19"/>
      <c r="H607" s="20"/>
      <c r="I607" s="7"/>
      <c r="J607" s="8"/>
      <c r="K607" s="8"/>
      <c r="L607" s="8"/>
      <c r="M607" s="9" t="str">
        <f t="shared" si="11"/>
        <v> </v>
      </c>
      <c r="N607" s="8"/>
      <c r="O607" s="8"/>
      <c r="P607" s="8"/>
      <c r="Q607" s="8"/>
      <c r="R607" s="8"/>
      <c r="S607" s="10"/>
    </row>
    <row r="608" ht="13.5" customHeight="1">
      <c r="A608" s="9"/>
      <c r="B608" s="8"/>
      <c r="C608" s="8"/>
      <c r="D608" s="134" t="str">
        <f t="shared" si="9"/>
        <v> </v>
      </c>
      <c r="E608" s="40" t="str">
        <f t="shared" si="10"/>
        <v>/ / </v>
      </c>
      <c r="F608" s="8"/>
      <c r="G608" s="19"/>
      <c r="H608" s="20"/>
      <c r="I608" s="7"/>
      <c r="J608" s="8"/>
      <c r="K608" s="8"/>
      <c r="L608" s="8"/>
      <c r="M608" s="9" t="str">
        <f t="shared" si="11"/>
        <v> </v>
      </c>
      <c r="N608" s="8"/>
      <c r="O608" s="8"/>
      <c r="P608" s="8"/>
      <c r="Q608" s="8"/>
      <c r="R608" s="8"/>
      <c r="S608" s="10"/>
    </row>
    <row r="609" ht="13.5" customHeight="1">
      <c r="A609" s="9"/>
      <c r="B609" s="8"/>
      <c r="C609" s="8"/>
      <c r="D609" s="134" t="str">
        <f t="shared" si="9"/>
        <v> </v>
      </c>
      <c r="E609" s="40" t="str">
        <f t="shared" si="10"/>
        <v>/ / </v>
      </c>
      <c r="F609" s="8"/>
      <c r="G609" s="19"/>
      <c r="H609" s="20"/>
      <c r="I609" s="7"/>
      <c r="J609" s="8"/>
      <c r="K609" s="8"/>
      <c r="L609" s="8"/>
      <c r="M609" s="9" t="str">
        <f t="shared" si="11"/>
        <v> </v>
      </c>
      <c r="N609" s="8"/>
      <c r="O609" s="8"/>
      <c r="P609" s="8"/>
      <c r="Q609" s="8"/>
      <c r="R609" s="8"/>
      <c r="S609" s="10"/>
    </row>
    <row r="610" ht="13.5" customHeight="1">
      <c r="A610" s="9"/>
      <c r="B610" s="8"/>
      <c r="C610" s="8"/>
      <c r="D610" s="134" t="str">
        <f t="shared" si="9"/>
        <v> </v>
      </c>
      <c r="E610" s="40" t="str">
        <f t="shared" si="10"/>
        <v>/ / </v>
      </c>
      <c r="F610" s="8"/>
      <c r="G610" s="19"/>
      <c r="H610" s="20"/>
      <c r="I610" s="7"/>
      <c r="J610" s="8"/>
      <c r="K610" s="8"/>
      <c r="L610" s="8"/>
      <c r="M610" s="9" t="str">
        <f t="shared" si="11"/>
        <v> </v>
      </c>
      <c r="N610" s="8"/>
      <c r="O610" s="8"/>
      <c r="P610" s="8"/>
      <c r="Q610" s="8"/>
      <c r="R610" s="8"/>
      <c r="S610" s="10"/>
    </row>
    <row r="611" ht="13.5" customHeight="1">
      <c r="A611" s="9"/>
      <c r="B611" s="8"/>
      <c r="C611" s="8"/>
      <c r="D611" s="134" t="str">
        <f t="shared" si="9"/>
        <v> </v>
      </c>
      <c r="E611" s="40" t="str">
        <f t="shared" si="10"/>
        <v>/ / </v>
      </c>
      <c r="F611" s="8"/>
      <c r="G611" s="19"/>
      <c r="H611" s="20"/>
      <c r="I611" s="7"/>
      <c r="J611" s="8"/>
      <c r="K611" s="8"/>
      <c r="L611" s="8"/>
      <c r="M611" s="9" t="str">
        <f t="shared" si="11"/>
        <v> </v>
      </c>
      <c r="N611" s="8"/>
      <c r="O611" s="8"/>
      <c r="P611" s="8"/>
      <c r="Q611" s="8"/>
      <c r="R611" s="8"/>
      <c r="S611" s="10"/>
    </row>
    <row r="612" ht="13.5" customHeight="1">
      <c r="A612" s="9"/>
      <c r="B612" s="8"/>
      <c r="C612" s="8"/>
      <c r="D612" s="134" t="str">
        <f t="shared" si="9"/>
        <v> </v>
      </c>
      <c r="E612" s="40" t="str">
        <f t="shared" si="10"/>
        <v>/ / </v>
      </c>
      <c r="F612" s="8"/>
      <c r="G612" s="19"/>
      <c r="H612" s="20"/>
      <c r="I612" s="7"/>
      <c r="J612" s="8"/>
      <c r="K612" s="8"/>
      <c r="L612" s="8"/>
      <c r="M612" s="9" t="str">
        <f t="shared" si="11"/>
        <v> </v>
      </c>
      <c r="N612" s="8"/>
      <c r="O612" s="8"/>
      <c r="P612" s="8"/>
      <c r="Q612" s="8"/>
      <c r="R612" s="8"/>
      <c r="S612" s="10"/>
    </row>
    <row r="613" ht="13.5" customHeight="1">
      <c r="A613" s="9"/>
      <c r="B613" s="8"/>
      <c r="C613" s="8"/>
      <c r="D613" s="134" t="str">
        <f t="shared" si="9"/>
        <v> </v>
      </c>
      <c r="E613" s="40" t="str">
        <f t="shared" si="10"/>
        <v>/ / </v>
      </c>
      <c r="F613" s="8"/>
      <c r="G613" s="19"/>
      <c r="H613" s="20"/>
      <c r="I613" s="7"/>
      <c r="J613" s="8"/>
      <c r="K613" s="8"/>
      <c r="L613" s="8"/>
      <c r="M613" s="9" t="str">
        <f t="shared" si="11"/>
        <v> </v>
      </c>
      <c r="N613" s="8"/>
      <c r="O613" s="8"/>
      <c r="P613" s="8"/>
      <c r="Q613" s="8"/>
      <c r="R613" s="8"/>
      <c r="S613" s="10"/>
    </row>
    <row r="614" ht="13.5" customHeight="1">
      <c r="A614" s="9"/>
      <c r="B614" s="8"/>
      <c r="C614" s="8"/>
      <c r="D614" s="134" t="str">
        <f t="shared" si="9"/>
        <v> </v>
      </c>
      <c r="E614" s="40" t="str">
        <f t="shared" si="10"/>
        <v>/ / </v>
      </c>
      <c r="F614" s="8"/>
      <c r="G614" s="19"/>
      <c r="H614" s="20"/>
      <c r="I614" s="7"/>
      <c r="J614" s="8"/>
      <c r="K614" s="8"/>
      <c r="L614" s="8"/>
      <c r="M614" s="9" t="str">
        <f t="shared" si="11"/>
        <v> </v>
      </c>
      <c r="N614" s="8"/>
      <c r="O614" s="8"/>
      <c r="P614" s="8"/>
      <c r="Q614" s="8"/>
      <c r="R614" s="8"/>
      <c r="S614" s="10"/>
    </row>
    <row r="615" ht="13.5" customHeight="1">
      <c r="A615" s="9"/>
      <c r="B615" s="8"/>
      <c r="C615" s="8"/>
      <c r="D615" s="134" t="str">
        <f t="shared" si="9"/>
        <v> </v>
      </c>
      <c r="E615" s="40" t="str">
        <f t="shared" si="10"/>
        <v>/ / </v>
      </c>
      <c r="F615" s="8"/>
      <c r="G615" s="19"/>
      <c r="H615" s="20"/>
      <c r="I615" s="7"/>
      <c r="J615" s="8"/>
      <c r="K615" s="8"/>
      <c r="L615" s="8"/>
      <c r="M615" s="9" t="str">
        <f t="shared" si="11"/>
        <v> </v>
      </c>
      <c r="N615" s="8"/>
      <c r="O615" s="8"/>
      <c r="P615" s="8"/>
      <c r="Q615" s="8"/>
      <c r="R615" s="8"/>
      <c r="S615" s="10"/>
    </row>
    <row r="616" ht="13.5" customHeight="1">
      <c r="A616" s="9"/>
      <c r="B616" s="8"/>
      <c r="C616" s="8"/>
      <c r="D616" s="134" t="str">
        <f t="shared" si="9"/>
        <v> </v>
      </c>
      <c r="E616" s="40" t="str">
        <f t="shared" si="10"/>
        <v>/ / </v>
      </c>
      <c r="F616" s="8"/>
      <c r="G616" s="19"/>
      <c r="H616" s="20"/>
      <c r="I616" s="7"/>
      <c r="J616" s="8"/>
      <c r="K616" s="8"/>
      <c r="L616" s="8"/>
      <c r="M616" s="9" t="str">
        <f t="shared" si="11"/>
        <v> </v>
      </c>
      <c r="N616" s="8"/>
      <c r="O616" s="8"/>
      <c r="P616" s="8"/>
      <c r="Q616" s="8"/>
      <c r="R616" s="8"/>
      <c r="S616" s="10"/>
    </row>
    <row r="617" ht="13.5" customHeight="1">
      <c r="A617" s="9"/>
      <c r="B617" s="8"/>
      <c r="C617" s="8"/>
      <c r="D617" s="134" t="str">
        <f t="shared" si="9"/>
        <v> </v>
      </c>
      <c r="E617" s="40" t="str">
        <f t="shared" si="10"/>
        <v>/ / </v>
      </c>
      <c r="F617" s="8"/>
      <c r="G617" s="19"/>
      <c r="H617" s="20"/>
      <c r="I617" s="7"/>
      <c r="J617" s="8"/>
      <c r="K617" s="8"/>
      <c r="L617" s="8"/>
      <c r="M617" s="9" t="str">
        <f t="shared" si="11"/>
        <v> </v>
      </c>
      <c r="N617" s="8"/>
      <c r="O617" s="8"/>
      <c r="P617" s="8"/>
      <c r="Q617" s="8"/>
      <c r="R617" s="8"/>
      <c r="S617" s="10"/>
    </row>
    <row r="618" ht="13.5" customHeight="1">
      <c r="A618" s="9"/>
      <c r="B618" s="8"/>
      <c r="C618" s="8"/>
      <c r="D618" s="134" t="str">
        <f t="shared" si="9"/>
        <v> </v>
      </c>
      <c r="E618" s="40" t="str">
        <f t="shared" si="10"/>
        <v>/ / </v>
      </c>
      <c r="F618" s="8"/>
      <c r="G618" s="19"/>
      <c r="H618" s="20"/>
      <c r="I618" s="7"/>
      <c r="J618" s="8"/>
      <c r="K618" s="8"/>
      <c r="L618" s="8"/>
      <c r="M618" s="9" t="str">
        <f t="shared" si="11"/>
        <v> </v>
      </c>
      <c r="N618" s="8"/>
      <c r="O618" s="8"/>
      <c r="P618" s="8"/>
      <c r="Q618" s="8"/>
      <c r="R618" s="8"/>
      <c r="S618" s="10"/>
    </row>
    <row r="619" ht="13.5" customHeight="1">
      <c r="A619" s="9"/>
      <c r="B619" s="8"/>
      <c r="C619" s="8"/>
      <c r="D619" s="134" t="str">
        <f t="shared" si="9"/>
        <v> </v>
      </c>
      <c r="E619" s="40" t="str">
        <f t="shared" si="10"/>
        <v>/ / </v>
      </c>
      <c r="F619" s="8"/>
      <c r="G619" s="19"/>
      <c r="H619" s="20"/>
      <c r="I619" s="7"/>
      <c r="J619" s="8"/>
      <c r="K619" s="8"/>
      <c r="L619" s="8"/>
      <c r="M619" s="9" t="str">
        <f t="shared" si="11"/>
        <v> </v>
      </c>
      <c r="N619" s="8"/>
      <c r="O619" s="8"/>
      <c r="P619" s="8"/>
      <c r="Q619" s="8"/>
      <c r="R619" s="8"/>
      <c r="S619" s="10"/>
    </row>
    <row r="620" ht="13.5" customHeight="1">
      <c r="A620" s="9"/>
      <c r="B620" s="8"/>
      <c r="C620" s="8"/>
      <c r="D620" s="134" t="str">
        <f t="shared" si="9"/>
        <v> </v>
      </c>
      <c r="E620" s="40" t="str">
        <f t="shared" si="10"/>
        <v>/ / </v>
      </c>
      <c r="F620" s="8"/>
      <c r="G620" s="19"/>
      <c r="H620" s="20"/>
      <c r="I620" s="7"/>
      <c r="J620" s="8"/>
      <c r="K620" s="8"/>
      <c r="L620" s="8"/>
      <c r="M620" s="9" t="str">
        <f t="shared" si="11"/>
        <v> </v>
      </c>
      <c r="N620" s="8"/>
      <c r="O620" s="8"/>
      <c r="P620" s="8"/>
      <c r="Q620" s="8"/>
      <c r="R620" s="8"/>
      <c r="S620" s="10"/>
    </row>
    <row r="621" ht="13.5" customHeight="1">
      <c r="A621" s="9"/>
      <c r="B621" s="8"/>
      <c r="C621" s="8"/>
      <c r="D621" s="134" t="str">
        <f t="shared" si="9"/>
        <v> </v>
      </c>
      <c r="E621" s="40" t="str">
        <f t="shared" si="10"/>
        <v>/ / </v>
      </c>
      <c r="F621" s="8"/>
      <c r="G621" s="19"/>
      <c r="H621" s="20"/>
      <c r="I621" s="7"/>
      <c r="J621" s="8"/>
      <c r="K621" s="8"/>
      <c r="L621" s="8"/>
      <c r="M621" s="9" t="str">
        <f t="shared" si="11"/>
        <v> </v>
      </c>
      <c r="N621" s="8"/>
      <c r="O621" s="8"/>
      <c r="P621" s="8"/>
      <c r="Q621" s="8"/>
      <c r="R621" s="8"/>
      <c r="S621" s="10"/>
    </row>
    <row r="622" ht="13.5" customHeight="1">
      <c r="A622" s="9"/>
      <c r="B622" s="8"/>
      <c r="C622" s="8"/>
      <c r="D622" s="134" t="str">
        <f t="shared" si="9"/>
        <v> </v>
      </c>
      <c r="E622" s="40" t="str">
        <f t="shared" si="10"/>
        <v>/ / </v>
      </c>
      <c r="F622" s="8"/>
      <c r="G622" s="19"/>
      <c r="H622" s="20"/>
      <c r="I622" s="7"/>
      <c r="J622" s="8"/>
      <c r="K622" s="8"/>
      <c r="L622" s="8"/>
      <c r="M622" s="9" t="str">
        <f t="shared" si="11"/>
        <v> </v>
      </c>
      <c r="N622" s="8"/>
      <c r="O622" s="8"/>
      <c r="P622" s="8"/>
      <c r="Q622" s="8"/>
      <c r="R622" s="8"/>
      <c r="S622" s="10"/>
    </row>
    <row r="623" ht="13.5" customHeight="1">
      <c r="A623" s="9"/>
      <c r="B623" s="8"/>
      <c r="C623" s="8"/>
      <c r="D623" s="134" t="str">
        <f t="shared" si="9"/>
        <v> </v>
      </c>
      <c r="E623" s="40" t="str">
        <f t="shared" si="10"/>
        <v>/ / </v>
      </c>
      <c r="F623" s="8"/>
      <c r="G623" s="19"/>
      <c r="H623" s="20"/>
      <c r="I623" s="7"/>
      <c r="J623" s="8"/>
      <c r="K623" s="8"/>
      <c r="L623" s="8"/>
      <c r="M623" s="9" t="str">
        <f t="shared" si="11"/>
        <v> </v>
      </c>
      <c r="N623" s="8"/>
      <c r="O623" s="8"/>
      <c r="P623" s="8"/>
      <c r="Q623" s="8"/>
      <c r="R623" s="8"/>
      <c r="S623" s="10"/>
    </row>
    <row r="624" ht="13.5" customHeight="1">
      <c r="A624" s="9"/>
      <c r="B624" s="8"/>
      <c r="C624" s="8"/>
      <c r="D624" s="134" t="str">
        <f t="shared" si="9"/>
        <v> </v>
      </c>
      <c r="E624" s="40" t="str">
        <f t="shared" si="10"/>
        <v>/ / </v>
      </c>
      <c r="F624" s="8"/>
      <c r="G624" s="19"/>
      <c r="H624" s="20"/>
      <c r="I624" s="7"/>
      <c r="J624" s="8"/>
      <c r="K624" s="8"/>
      <c r="L624" s="8"/>
      <c r="M624" s="9" t="str">
        <f t="shared" si="11"/>
        <v> </v>
      </c>
      <c r="N624" s="8"/>
      <c r="O624" s="8"/>
      <c r="P624" s="8"/>
      <c r="Q624" s="8"/>
      <c r="R624" s="8"/>
      <c r="S624" s="10"/>
    </row>
    <row r="625" ht="13.5" customHeight="1">
      <c r="A625" s="9"/>
      <c r="B625" s="8"/>
      <c r="C625" s="8"/>
      <c r="D625" s="134" t="str">
        <f t="shared" si="9"/>
        <v> </v>
      </c>
      <c r="E625" s="40" t="str">
        <f t="shared" si="10"/>
        <v>/ / </v>
      </c>
      <c r="F625" s="8"/>
      <c r="G625" s="19"/>
      <c r="H625" s="20"/>
      <c r="I625" s="7"/>
      <c r="J625" s="8"/>
      <c r="K625" s="8"/>
      <c r="L625" s="8"/>
      <c r="M625" s="9" t="str">
        <f t="shared" si="11"/>
        <v> </v>
      </c>
      <c r="N625" s="8"/>
      <c r="O625" s="8"/>
      <c r="P625" s="8"/>
      <c r="Q625" s="8"/>
      <c r="R625" s="8"/>
      <c r="S625" s="10"/>
    </row>
    <row r="626" ht="13.5" customHeight="1">
      <c r="A626" s="9"/>
      <c r="B626" s="8"/>
      <c r="C626" s="8"/>
      <c r="D626" s="134" t="str">
        <f t="shared" si="9"/>
        <v> </v>
      </c>
      <c r="E626" s="40" t="str">
        <f t="shared" si="10"/>
        <v>/ / </v>
      </c>
      <c r="F626" s="8"/>
      <c r="G626" s="19"/>
      <c r="H626" s="20"/>
      <c r="I626" s="7"/>
      <c r="J626" s="8"/>
      <c r="K626" s="8"/>
      <c r="L626" s="8"/>
      <c r="M626" s="9" t="str">
        <f t="shared" si="11"/>
        <v> </v>
      </c>
      <c r="N626" s="8"/>
      <c r="O626" s="8"/>
      <c r="P626" s="8"/>
      <c r="Q626" s="8"/>
      <c r="R626" s="8"/>
      <c r="S626" s="10"/>
    </row>
    <row r="627" ht="13.5" customHeight="1">
      <c r="A627" s="9"/>
      <c r="B627" s="8"/>
      <c r="C627" s="8"/>
      <c r="D627" s="134" t="str">
        <f t="shared" si="9"/>
        <v> </v>
      </c>
      <c r="E627" s="40" t="str">
        <f t="shared" si="10"/>
        <v>/ / </v>
      </c>
      <c r="F627" s="8"/>
      <c r="G627" s="19"/>
      <c r="H627" s="20"/>
      <c r="I627" s="7"/>
      <c r="J627" s="8"/>
      <c r="K627" s="8"/>
      <c r="L627" s="8"/>
      <c r="M627" s="9" t="str">
        <f t="shared" si="11"/>
        <v> </v>
      </c>
      <c r="N627" s="8"/>
      <c r="O627" s="8"/>
      <c r="P627" s="8"/>
      <c r="Q627" s="8"/>
      <c r="R627" s="8"/>
      <c r="S627" s="10"/>
    </row>
    <row r="628" ht="13.5" customHeight="1">
      <c r="A628" s="9"/>
      <c r="B628" s="8"/>
      <c r="C628" s="8"/>
      <c r="D628" s="134" t="str">
        <f t="shared" si="9"/>
        <v> </v>
      </c>
      <c r="E628" s="40" t="str">
        <f t="shared" si="10"/>
        <v>/ / </v>
      </c>
      <c r="F628" s="8"/>
      <c r="G628" s="19"/>
      <c r="H628" s="20"/>
      <c r="I628" s="7"/>
      <c r="J628" s="8"/>
      <c r="K628" s="8"/>
      <c r="L628" s="8"/>
      <c r="M628" s="9" t="str">
        <f t="shared" si="11"/>
        <v> </v>
      </c>
      <c r="N628" s="8"/>
      <c r="O628" s="8"/>
      <c r="P628" s="8"/>
      <c r="Q628" s="8"/>
      <c r="R628" s="8"/>
      <c r="S628" s="10"/>
    </row>
    <row r="629" ht="13.5" customHeight="1">
      <c r="A629" s="9"/>
      <c r="B629" s="8"/>
      <c r="C629" s="8"/>
      <c r="D629" s="134" t="str">
        <f t="shared" si="9"/>
        <v> </v>
      </c>
      <c r="E629" s="40" t="str">
        <f t="shared" si="10"/>
        <v>/ / </v>
      </c>
      <c r="F629" s="8"/>
      <c r="G629" s="19"/>
      <c r="H629" s="20"/>
      <c r="I629" s="7"/>
      <c r="J629" s="8"/>
      <c r="K629" s="8"/>
      <c r="L629" s="8"/>
      <c r="M629" s="9" t="str">
        <f t="shared" si="11"/>
        <v> </v>
      </c>
      <c r="N629" s="8"/>
      <c r="O629" s="8"/>
      <c r="P629" s="8"/>
      <c r="Q629" s="8"/>
      <c r="R629" s="8"/>
      <c r="S629" s="10"/>
    </row>
    <row r="630" ht="13.5" customHeight="1">
      <c r="A630" s="9"/>
      <c r="B630" s="8"/>
      <c r="C630" s="8"/>
      <c r="D630" s="134" t="str">
        <f t="shared" si="9"/>
        <v> </v>
      </c>
      <c r="E630" s="40" t="str">
        <f t="shared" si="10"/>
        <v>/ / </v>
      </c>
      <c r="F630" s="8"/>
      <c r="G630" s="19"/>
      <c r="H630" s="20"/>
      <c r="I630" s="7"/>
      <c r="J630" s="8"/>
      <c r="K630" s="8"/>
      <c r="L630" s="8"/>
      <c r="M630" s="9" t="str">
        <f t="shared" si="11"/>
        <v> </v>
      </c>
      <c r="N630" s="8"/>
      <c r="O630" s="8"/>
      <c r="P630" s="8"/>
      <c r="Q630" s="8"/>
      <c r="R630" s="8"/>
      <c r="S630" s="10"/>
    </row>
    <row r="631" ht="13.5" customHeight="1">
      <c r="A631" s="9"/>
      <c r="B631" s="8"/>
      <c r="C631" s="8"/>
      <c r="D631" s="134" t="str">
        <f t="shared" si="9"/>
        <v> </v>
      </c>
      <c r="E631" s="40" t="str">
        <f t="shared" si="10"/>
        <v>/ / </v>
      </c>
      <c r="F631" s="8"/>
      <c r="G631" s="19"/>
      <c r="H631" s="20"/>
      <c r="I631" s="7"/>
      <c r="J631" s="8"/>
      <c r="K631" s="8"/>
      <c r="L631" s="8"/>
      <c r="M631" s="9" t="str">
        <f t="shared" si="11"/>
        <v> </v>
      </c>
      <c r="N631" s="8"/>
      <c r="O631" s="8"/>
      <c r="P631" s="8"/>
      <c r="Q631" s="8"/>
      <c r="R631" s="8"/>
      <c r="S631" s="10"/>
    </row>
    <row r="632" ht="13.5" customHeight="1">
      <c r="A632" s="9"/>
      <c r="B632" s="8"/>
      <c r="C632" s="8"/>
      <c r="D632" s="134" t="str">
        <f t="shared" si="9"/>
        <v> </v>
      </c>
      <c r="E632" s="40" t="str">
        <f t="shared" si="10"/>
        <v>/ / </v>
      </c>
      <c r="F632" s="8"/>
      <c r="G632" s="19"/>
      <c r="H632" s="20"/>
      <c r="I632" s="7"/>
      <c r="J632" s="8"/>
      <c r="K632" s="8"/>
      <c r="L632" s="8"/>
      <c r="M632" s="9" t="str">
        <f t="shared" si="11"/>
        <v> </v>
      </c>
      <c r="N632" s="8"/>
      <c r="O632" s="8"/>
      <c r="P632" s="8"/>
      <c r="Q632" s="8"/>
      <c r="R632" s="8"/>
      <c r="S632" s="10"/>
    </row>
    <row r="633" ht="13.5" customHeight="1">
      <c r="A633" s="9"/>
      <c r="B633" s="8"/>
      <c r="C633" s="8"/>
      <c r="D633" s="134" t="str">
        <f t="shared" si="9"/>
        <v> </v>
      </c>
      <c r="E633" s="40" t="str">
        <f t="shared" si="10"/>
        <v>/ / </v>
      </c>
      <c r="F633" s="8"/>
      <c r="G633" s="19"/>
      <c r="H633" s="20"/>
      <c r="I633" s="7"/>
      <c r="J633" s="8"/>
      <c r="K633" s="8"/>
      <c r="L633" s="8"/>
      <c r="M633" s="9" t="str">
        <f t="shared" si="11"/>
        <v> </v>
      </c>
      <c r="N633" s="8"/>
      <c r="O633" s="8"/>
      <c r="P633" s="8"/>
      <c r="Q633" s="8"/>
      <c r="R633" s="8"/>
      <c r="S633" s="10"/>
    </row>
    <row r="634" ht="13.5" customHeight="1">
      <c r="A634" s="9"/>
      <c r="B634" s="8"/>
      <c r="C634" s="8"/>
      <c r="D634" s="134" t="str">
        <f t="shared" si="9"/>
        <v> </v>
      </c>
      <c r="E634" s="40" t="str">
        <f t="shared" si="10"/>
        <v>/ / </v>
      </c>
      <c r="F634" s="8"/>
      <c r="G634" s="19"/>
      <c r="H634" s="20"/>
      <c r="I634" s="7"/>
      <c r="J634" s="8"/>
      <c r="K634" s="8"/>
      <c r="L634" s="8"/>
      <c r="M634" s="9" t="str">
        <f t="shared" si="11"/>
        <v> </v>
      </c>
      <c r="N634" s="8"/>
      <c r="O634" s="8"/>
      <c r="P634" s="8"/>
      <c r="Q634" s="8"/>
      <c r="R634" s="8"/>
      <c r="S634" s="10"/>
    </row>
    <row r="635" ht="13.5" customHeight="1">
      <c r="A635" s="9"/>
      <c r="B635" s="8"/>
      <c r="C635" s="8"/>
      <c r="D635" s="134" t="str">
        <f t="shared" si="9"/>
        <v> </v>
      </c>
      <c r="E635" s="40" t="str">
        <f t="shared" si="10"/>
        <v>/ / </v>
      </c>
      <c r="F635" s="8"/>
      <c r="G635" s="19"/>
      <c r="H635" s="20"/>
      <c r="I635" s="7"/>
      <c r="J635" s="8"/>
      <c r="K635" s="8"/>
      <c r="L635" s="8"/>
      <c r="M635" s="9" t="str">
        <f t="shared" si="11"/>
        <v> </v>
      </c>
      <c r="N635" s="8"/>
      <c r="O635" s="8"/>
      <c r="P635" s="8"/>
      <c r="Q635" s="8"/>
      <c r="R635" s="8"/>
      <c r="S635" s="10"/>
    </row>
    <row r="636" ht="13.5" customHeight="1">
      <c r="A636" s="9"/>
      <c r="B636" s="8"/>
      <c r="C636" s="8"/>
      <c r="D636" s="134" t="str">
        <f t="shared" si="9"/>
        <v> </v>
      </c>
      <c r="E636" s="40" t="str">
        <f t="shared" si="10"/>
        <v>/ / </v>
      </c>
      <c r="F636" s="8"/>
      <c r="G636" s="19"/>
      <c r="H636" s="20"/>
      <c r="I636" s="7"/>
      <c r="J636" s="8"/>
      <c r="K636" s="8"/>
      <c r="L636" s="8"/>
      <c r="M636" s="9" t="str">
        <f t="shared" si="11"/>
        <v> </v>
      </c>
      <c r="N636" s="8"/>
      <c r="O636" s="8"/>
      <c r="P636" s="8"/>
      <c r="Q636" s="8"/>
      <c r="R636" s="8"/>
      <c r="S636" s="10"/>
    </row>
    <row r="637" ht="13.5" customHeight="1">
      <c r="A637" s="9"/>
      <c r="B637" s="8"/>
      <c r="C637" s="8"/>
      <c r="D637" s="134" t="str">
        <f t="shared" si="9"/>
        <v> </v>
      </c>
      <c r="E637" s="40" t="str">
        <f t="shared" si="10"/>
        <v>/ / </v>
      </c>
      <c r="F637" s="8"/>
      <c r="G637" s="19"/>
      <c r="H637" s="20"/>
      <c r="I637" s="7"/>
      <c r="J637" s="8"/>
      <c r="K637" s="8"/>
      <c r="L637" s="8"/>
      <c r="M637" s="9" t="str">
        <f t="shared" si="11"/>
        <v> </v>
      </c>
      <c r="N637" s="8"/>
      <c r="O637" s="8"/>
      <c r="P637" s="8"/>
      <c r="Q637" s="8"/>
      <c r="R637" s="8"/>
      <c r="S637" s="10"/>
    </row>
    <row r="638" ht="13.5" customHeight="1">
      <c r="A638" s="9"/>
      <c r="B638" s="8"/>
      <c r="C638" s="8"/>
      <c r="D638" s="134" t="str">
        <f t="shared" si="9"/>
        <v> </v>
      </c>
      <c r="E638" s="40" t="str">
        <f t="shared" si="10"/>
        <v>/ / </v>
      </c>
      <c r="F638" s="8"/>
      <c r="G638" s="19"/>
      <c r="H638" s="20"/>
      <c r="I638" s="7"/>
      <c r="J638" s="8"/>
      <c r="K638" s="8"/>
      <c r="L638" s="8"/>
      <c r="M638" s="9" t="str">
        <f t="shared" si="11"/>
        <v> </v>
      </c>
      <c r="N638" s="8"/>
      <c r="O638" s="8"/>
      <c r="P638" s="8"/>
      <c r="Q638" s="8"/>
      <c r="R638" s="8"/>
      <c r="S638" s="10"/>
    </row>
    <row r="639" ht="13.5" customHeight="1">
      <c r="A639" s="9"/>
      <c r="B639" s="8"/>
      <c r="C639" s="8"/>
      <c r="D639" s="134" t="str">
        <f t="shared" si="9"/>
        <v> </v>
      </c>
      <c r="E639" s="40" t="str">
        <f t="shared" si="10"/>
        <v>/ / </v>
      </c>
      <c r="F639" s="8"/>
      <c r="G639" s="19"/>
      <c r="H639" s="20"/>
      <c r="I639" s="7"/>
      <c r="J639" s="8"/>
      <c r="K639" s="8"/>
      <c r="L639" s="8"/>
      <c r="M639" s="9" t="str">
        <f t="shared" si="11"/>
        <v> </v>
      </c>
      <c r="N639" s="8"/>
      <c r="O639" s="8"/>
      <c r="P639" s="8"/>
      <c r="Q639" s="8"/>
      <c r="R639" s="8"/>
      <c r="S639" s="10"/>
    </row>
    <row r="640" ht="13.5" customHeight="1">
      <c r="A640" s="9"/>
      <c r="B640" s="8"/>
      <c r="C640" s="8"/>
      <c r="D640" s="134" t="str">
        <f t="shared" si="9"/>
        <v> </v>
      </c>
      <c r="E640" s="40" t="str">
        <f t="shared" si="10"/>
        <v>/ / </v>
      </c>
      <c r="F640" s="8"/>
      <c r="G640" s="19"/>
      <c r="H640" s="20"/>
      <c r="I640" s="7"/>
      <c r="J640" s="8"/>
      <c r="K640" s="8"/>
      <c r="L640" s="8"/>
      <c r="M640" s="9" t="str">
        <f t="shared" si="11"/>
        <v> </v>
      </c>
      <c r="N640" s="8"/>
      <c r="O640" s="8"/>
      <c r="P640" s="8"/>
      <c r="Q640" s="8"/>
      <c r="R640" s="8"/>
      <c r="S640" s="10"/>
    </row>
    <row r="641" ht="13.5" customHeight="1">
      <c r="A641" s="9"/>
      <c r="B641" s="8"/>
      <c r="C641" s="8"/>
      <c r="D641" s="134" t="str">
        <f t="shared" si="9"/>
        <v> </v>
      </c>
      <c r="E641" s="40" t="str">
        <f t="shared" si="10"/>
        <v>/ / </v>
      </c>
      <c r="F641" s="8"/>
      <c r="G641" s="19"/>
      <c r="H641" s="20"/>
      <c r="I641" s="7"/>
      <c r="J641" s="8"/>
      <c r="K641" s="8"/>
      <c r="L641" s="8"/>
      <c r="M641" s="9" t="str">
        <f t="shared" si="11"/>
        <v> </v>
      </c>
      <c r="N641" s="8"/>
      <c r="O641" s="8"/>
      <c r="P641" s="8"/>
      <c r="Q641" s="8"/>
      <c r="R641" s="8"/>
      <c r="S641" s="10"/>
    </row>
    <row r="642" ht="13.5" customHeight="1">
      <c r="A642" s="9"/>
      <c r="B642" s="8"/>
      <c r="C642" s="8"/>
      <c r="D642" s="134" t="str">
        <f t="shared" si="9"/>
        <v> </v>
      </c>
      <c r="E642" s="40" t="str">
        <f t="shared" si="10"/>
        <v>/ / </v>
      </c>
      <c r="F642" s="8"/>
      <c r="G642" s="19"/>
      <c r="H642" s="20"/>
      <c r="I642" s="7"/>
      <c r="J642" s="8"/>
      <c r="K642" s="8"/>
      <c r="L642" s="8"/>
      <c r="M642" s="9" t="str">
        <f t="shared" si="11"/>
        <v> </v>
      </c>
      <c r="N642" s="8"/>
      <c r="O642" s="8"/>
      <c r="P642" s="8"/>
      <c r="Q642" s="8"/>
      <c r="R642" s="8"/>
      <c r="S642" s="10"/>
    </row>
    <row r="643" ht="13.5" customHeight="1">
      <c r="A643" s="9"/>
      <c r="B643" s="8"/>
      <c r="C643" s="8"/>
      <c r="D643" s="134" t="str">
        <f t="shared" si="9"/>
        <v> </v>
      </c>
      <c r="E643" s="40" t="str">
        <f t="shared" si="10"/>
        <v>/ / </v>
      </c>
      <c r="F643" s="8"/>
      <c r="G643" s="19"/>
      <c r="H643" s="20"/>
      <c r="I643" s="7"/>
      <c r="J643" s="8"/>
      <c r="K643" s="8"/>
      <c r="L643" s="8"/>
      <c r="M643" s="9" t="str">
        <f t="shared" si="11"/>
        <v> </v>
      </c>
      <c r="N643" s="8"/>
      <c r="O643" s="8"/>
      <c r="P643" s="8"/>
      <c r="Q643" s="8"/>
      <c r="R643" s="8"/>
      <c r="S643" s="10"/>
    </row>
    <row r="644" ht="13.5" customHeight="1">
      <c r="A644" s="9"/>
      <c r="B644" s="8"/>
      <c r="C644" s="8"/>
      <c r="D644" s="134" t="str">
        <f t="shared" si="9"/>
        <v> </v>
      </c>
      <c r="E644" s="40" t="str">
        <f t="shared" si="10"/>
        <v>/ / </v>
      </c>
      <c r="F644" s="8"/>
      <c r="G644" s="19"/>
      <c r="H644" s="20"/>
      <c r="I644" s="7"/>
      <c r="J644" s="8"/>
      <c r="K644" s="8"/>
      <c r="L644" s="8"/>
      <c r="M644" s="9" t="str">
        <f t="shared" si="11"/>
        <v> </v>
      </c>
      <c r="N644" s="8"/>
      <c r="O644" s="8"/>
      <c r="P644" s="8"/>
      <c r="Q644" s="8"/>
      <c r="R644" s="8"/>
      <c r="S644" s="10"/>
    </row>
    <row r="645" ht="13.5" customHeight="1">
      <c r="A645" s="9"/>
      <c r="B645" s="8"/>
      <c r="C645" s="8"/>
      <c r="D645" s="134" t="str">
        <f t="shared" si="9"/>
        <v> </v>
      </c>
      <c r="E645" s="40" t="str">
        <f t="shared" si="10"/>
        <v>/ / </v>
      </c>
      <c r="F645" s="8"/>
      <c r="G645" s="19"/>
      <c r="H645" s="20"/>
      <c r="I645" s="7"/>
      <c r="J645" s="8"/>
      <c r="K645" s="8"/>
      <c r="L645" s="8"/>
      <c r="M645" s="9" t="str">
        <f t="shared" si="11"/>
        <v> </v>
      </c>
      <c r="N645" s="8"/>
      <c r="O645" s="8"/>
      <c r="P645" s="8"/>
      <c r="Q645" s="8"/>
      <c r="R645" s="8"/>
      <c r="S645" s="10"/>
    </row>
    <row r="646" ht="13.5" customHeight="1">
      <c r="A646" s="9"/>
      <c r="B646" s="8"/>
      <c r="C646" s="8"/>
      <c r="D646" s="134" t="str">
        <f t="shared" si="9"/>
        <v> </v>
      </c>
      <c r="E646" s="40" t="str">
        <f t="shared" si="10"/>
        <v>/ / </v>
      </c>
      <c r="F646" s="8"/>
      <c r="G646" s="19"/>
      <c r="H646" s="20"/>
      <c r="I646" s="7"/>
      <c r="J646" s="8"/>
      <c r="K646" s="8"/>
      <c r="L646" s="8"/>
      <c r="M646" s="9" t="str">
        <f t="shared" si="11"/>
        <v> </v>
      </c>
      <c r="N646" s="8"/>
      <c r="O646" s="8"/>
      <c r="P646" s="8"/>
      <c r="Q646" s="8"/>
      <c r="R646" s="8"/>
      <c r="S646" s="10"/>
    </row>
    <row r="647" ht="13.5" customHeight="1">
      <c r="A647" s="9"/>
      <c r="B647" s="8"/>
      <c r="C647" s="8"/>
      <c r="D647" s="134" t="str">
        <f t="shared" si="9"/>
        <v> </v>
      </c>
      <c r="E647" s="40" t="str">
        <f t="shared" si="10"/>
        <v>/ / </v>
      </c>
      <c r="F647" s="8"/>
      <c r="G647" s="19"/>
      <c r="H647" s="20"/>
      <c r="I647" s="7"/>
      <c r="J647" s="8"/>
      <c r="K647" s="8"/>
      <c r="L647" s="8"/>
      <c r="M647" s="9" t="str">
        <f t="shared" si="11"/>
        <v> </v>
      </c>
      <c r="N647" s="8"/>
      <c r="O647" s="8"/>
      <c r="P647" s="8"/>
      <c r="Q647" s="8"/>
      <c r="R647" s="8"/>
      <c r="S647" s="10"/>
    </row>
    <row r="648" ht="13.5" customHeight="1">
      <c r="A648" s="9"/>
      <c r="B648" s="8"/>
      <c r="C648" s="8"/>
      <c r="D648" s="134" t="str">
        <f t="shared" si="9"/>
        <v> </v>
      </c>
      <c r="E648" s="40" t="str">
        <f t="shared" si="10"/>
        <v>/ / </v>
      </c>
      <c r="F648" s="8"/>
      <c r="G648" s="19"/>
      <c r="H648" s="20"/>
      <c r="I648" s="7"/>
      <c r="J648" s="8"/>
      <c r="K648" s="8"/>
      <c r="L648" s="8"/>
      <c r="M648" s="9" t="str">
        <f t="shared" si="11"/>
        <v> </v>
      </c>
      <c r="N648" s="8"/>
      <c r="O648" s="8"/>
      <c r="P648" s="8"/>
      <c r="Q648" s="8"/>
      <c r="R648" s="8"/>
      <c r="S648" s="10"/>
    </row>
    <row r="649" ht="13.5" customHeight="1">
      <c r="A649" s="9"/>
      <c r="B649" s="8"/>
      <c r="C649" s="8"/>
      <c r="D649" s="134" t="str">
        <f t="shared" si="9"/>
        <v> </v>
      </c>
      <c r="E649" s="40" t="str">
        <f t="shared" si="10"/>
        <v>/ / </v>
      </c>
      <c r="F649" s="8"/>
      <c r="G649" s="19"/>
      <c r="H649" s="20"/>
      <c r="I649" s="7"/>
      <c r="J649" s="8"/>
      <c r="K649" s="8"/>
      <c r="L649" s="8"/>
      <c r="M649" s="9" t="str">
        <f t="shared" si="11"/>
        <v> </v>
      </c>
      <c r="N649" s="8"/>
      <c r="O649" s="8"/>
      <c r="P649" s="8"/>
      <c r="Q649" s="8"/>
      <c r="R649" s="8"/>
      <c r="S649" s="10"/>
    </row>
    <row r="650" ht="13.5" customHeight="1">
      <c r="A650" s="9"/>
      <c r="B650" s="8"/>
      <c r="C650" s="8"/>
      <c r="D650" s="134" t="str">
        <f t="shared" si="9"/>
        <v> </v>
      </c>
      <c r="E650" s="40" t="str">
        <f t="shared" si="10"/>
        <v>/ / </v>
      </c>
      <c r="F650" s="8"/>
      <c r="G650" s="19"/>
      <c r="H650" s="20"/>
      <c r="I650" s="7"/>
      <c r="J650" s="8"/>
      <c r="K650" s="8"/>
      <c r="L650" s="8"/>
      <c r="M650" s="9" t="str">
        <f t="shared" si="11"/>
        <v> </v>
      </c>
      <c r="N650" s="8"/>
      <c r="O650" s="8"/>
      <c r="P650" s="8"/>
      <c r="Q650" s="8"/>
      <c r="R650" s="8"/>
      <c r="S650" s="10"/>
    </row>
    <row r="651" ht="13.5" customHeight="1">
      <c r="A651" s="9"/>
      <c r="B651" s="8"/>
      <c r="C651" s="8"/>
      <c r="D651" s="134" t="str">
        <f t="shared" si="9"/>
        <v> </v>
      </c>
      <c r="E651" s="40" t="str">
        <f t="shared" si="10"/>
        <v>/ / </v>
      </c>
      <c r="F651" s="8"/>
      <c r="G651" s="19"/>
      <c r="H651" s="20"/>
      <c r="I651" s="7"/>
      <c r="J651" s="8"/>
      <c r="K651" s="8"/>
      <c r="L651" s="8"/>
      <c r="M651" s="9" t="str">
        <f t="shared" si="11"/>
        <v> </v>
      </c>
      <c r="N651" s="8"/>
      <c r="O651" s="8"/>
      <c r="P651" s="8"/>
      <c r="Q651" s="8"/>
      <c r="R651" s="8"/>
      <c r="S651" s="10"/>
    </row>
    <row r="652" ht="13.5" customHeight="1">
      <c r="A652" s="9"/>
      <c r="B652" s="8"/>
      <c r="C652" s="8"/>
      <c r="D652" s="134" t="str">
        <f t="shared" si="9"/>
        <v> </v>
      </c>
      <c r="E652" s="40" t="str">
        <f t="shared" si="10"/>
        <v>/ / </v>
      </c>
      <c r="F652" s="8"/>
      <c r="G652" s="19"/>
      <c r="H652" s="20"/>
      <c r="I652" s="7"/>
      <c r="J652" s="8"/>
      <c r="K652" s="8"/>
      <c r="L652" s="8"/>
      <c r="M652" s="9" t="str">
        <f t="shared" si="11"/>
        <v> </v>
      </c>
      <c r="N652" s="8"/>
      <c r="O652" s="8"/>
      <c r="P652" s="8"/>
      <c r="Q652" s="8"/>
      <c r="R652" s="8"/>
      <c r="S652" s="10"/>
    </row>
    <row r="653" ht="13.5" customHeight="1">
      <c r="A653" s="9"/>
      <c r="B653" s="8"/>
      <c r="C653" s="8"/>
      <c r="D653" s="134" t="str">
        <f t="shared" si="9"/>
        <v> </v>
      </c>
      <c r="E653" s="40" t="str">
        <f t="shared" si="10"/>
        <v>/ / </v>
      </c>
      <c r="F653" s="8"/>
      <c r="G653" s="19"/>
      <c r="H653" s="20"/>
      <c r="I653" s="7"/>
      <c r="J653" s="8"/>
      <c r="K653" s="8"/>
      <c r="L653" s="8"/>
      <c r="M653" s="9" t="str">
        <f t="shared" si="11"/>
        <v> </v>
      </c>
      <c r="N653" s="8"/>
      <c r="O653" s="8"/>
      <c r="P653" s="8"/>
      <c r="Q653" s="8"/>
      <c r="R653" s="8"/>
      <c r="S653" s="10"/>
    </row>
    <row r="654" ht="13.5" customHeight="1">
      <c r="A654" s="9"/>
      <c r="B654" s="8"/>
      <c r="C654" s="8"/>
      <c r="D654" s="134" t="str">
        <f t="shared" si="9"/>
        <v> </v>
      </c>
      <c r="E654" s="40" t="str">
        <f t="shared" si="10"/>
        <v>/ / </v>
      </c>
      <c r="F654" s="8"/>
      <c r="G654" s="19"/>
      <c r="H654" s="20"/>
      <c r="I654" s="7"/>
      <c r="J654" s="8"/>
      <c r="K654" s="8"/>
      <c r="L654" s="8"/>
      <c r="M654" s="9" t="str">
        <f t="shared" si="11"/>
        <v> </v>
      </c>
      <c r="N654" s="8"/>
      <c r="O654" s="8"/>
      <c r="P654" s="8"/>
      <c r="Q654" s="8"/>
      <c r="R654" s="8"/>
      <c r="S654" s="10"/>
    </row>
    <row r="655" ht="13.5" customHeight="1">
      <c r="A655" s="9"/>
      <c r="B655" s="8"/>
      <c r="C655" s="8"/>
      <c r="D655" s="134" t="str">
        <f t="shared" si="9"/>
        <v> </v>
      </c>
      <c r="E655" s="40" t="str">
        <f t="shared" si="10"/>
        <v>/ / </v>
      </c>
      <c r="F655" s="8"/>
      <c r="G655" s="19"/>
      <c r="H655" s="20"/>
      <c r="I655" s="7"/>
      <c r="J655" s="8"/>
      <c r="K655" s="8"/>
      <c r="L655" s="8"/>
      <c r="M655" s="9" t="str">
        <f t="shared" si="11"/>
        <v> </v>
      </c>
      <c r="N655" s="8"/>
      <c r="O655" s="8"/>
      <c r="P655" s="8"/>
      <c r="Q655" s="8"/>
      <c r="R655" s="8"/>
      <c r="S655" s="10"/>
    </row>
    <row r="656" ht="13.5" customHeight="1">
      <c r="A656" s="9"/>
      <c r="B656" s="8"/>
      <c r="C656" s="8"/>
      <c r="D656" s="134" t="str">
        <f t="shared" si="9"/>
        <v> </v>
      </c>
      <c r="E656" s="40" t="str">
        <f t="shared" si="10"/>
        <v>/ / </v>
      </c>
      <c r="F656" s="8"/>
      <c r="G656" s="19"/>
      <c r="H656" s="20"/>
      <c r="I656" s="7"/>
      <c r="J656" s="8"/>
      <c r="K656" s="8"/>
      <c r="L656" s="8"/>
      <c r="M656" s="9" t="str">
        <f t="shared" si="11"/>
        <v> </v>
      </c>
      <c r="N656" s="8"/>
      <c r="O656" s="8"/>
      <c r="P656" s="8"/>
      <c r="Q656" s="8"/>
      <c r="R656" s="8"/>
      <c r="S656" s="10"/>
    </row>
    <row r="657" ht="13.5" customHeight="1">
      <c r="A657" s="9"/>
      <c r="B657" s="8"/>
      <c r="C657" s="8"/>
      <c r="D657" s="134" t="str">
        <f t="shared" si="9"/>
        <v> </v>
      </c>
      <c r="E657" s="40" t="str">
        <f t="shared" si="10"/>
        <v>/ / </v>
      </c>
      <c r="F657" s="8"/>
      <c r="G657" s="19"/>
      <c r="H657" s="20"/>
      <c r="I657" s="7"/>
      <c r="J657" s="8"/>
      <c r="K657" s="8"/>
      <c r="L657" s="8"/>
      <c r="M657" s="9" t="str">
        <f t="shared" si="11"/>
        <v> </v>
      </c>
      <c r="N657" s="8"/>
      <c r="O657" s="8"/>
      <c r="P657" s="8"/>
      <c r="Q657" s="8"/>
      <c r="R657" s="8"/>
      <c r="S657" s="10"/>
    </row>
    <row r="658" ht="13.5" customHeight="1">
      <c r="A658" s="9"/>
      <c r="B658" s="8"/>
      <c r="C658" s="8"/>
      <c r="D658" s="134" t="str">
        <f t="shared" si="9"/>
        <v> </v>
      </c>
      <c r="E658" s="40" t="str">
        <f t="shared" si="10"/>
        <v>/ / </v>
      </c>
      <c r="F658" s="8"/>
      <c r="G658" s="19"/>
      <c r="H658" s="20"/>
      <c r="I658" s="7"/>
      <c r="J658" s="8"/>
      <c r="K658" s="8"/>
      <c r="L658" s="8"/>
      <c r="M658" s="9" t="str">
        <f t="shared" si="11"/>
        <v> </v>
      </c>
      <c r="N658" s="8"/>
      <c r="O658" s="8"/>
      <c r="P658" s="8"/>
      <c r="Q658" s="8"/>
      <c r="R658" s="8"/>
      <c r="S658" s="10"/>
    </row>
    <row r="659" ht="13.5" customHeight="1">
      <c r="A659" s="9"/>
      <c r="B659" s="8"/>
      <c r="C659" s="8"/>
      <c r="D659" s="134" t="str">
        <f t="shared" si="9"/>
        <v> </v>
      </c>
      <c r="E659" s="40" t="str">
        <f t="shared" si="10"/>
        <v>/ / </v>
      </c>
      <c r="F659" s="8"/>
      <c r="G659" s="19"/>
      <c r="H659" s="20"/>
      <c r="I659" s="7"/>
      <c r="J659" s="8"/>
      <c r="K659" s="8"/>
      <c r="L659" s="8"/>
      <c r="M659" s="9" t="str">
        <f t="shared" si="11"/>
        <v> </v>
      </c>
      <c r="N659" s="8"/>
      <c r="O659" s="8"/>
      <c r="P659" s="8"/>
      <c r="Q659" s="8"/>
      <c r="R659" s="8"/>
      <c r="S659" s="10"/>
    </row>
    <row r="660" ht="13.5" customHeight="1">
      <c r="A660" s="9"/>
      <c r="B660" s="8"/>
      <c r="C660" s="8"/>
      <c r="D660" s="134" t="str">
        <f t="shared" si="9"/>
        <v> </v>
      </c>
      <c r="E660" s="40" t="str">
        <f t="shared" si="10"/>
        <v>/ / </v>
      </c>
      <c r="F660" s="8"/>
      <c r="G660" s="19"/>
      <c r="H660" s="20"/>
      <c r="I660" s="7"/>
      <c r="J660" s="8"/>
      <c r="K660" s="8"/>
      <c r="L660" s="8"/>
      <c r="M660" s="9" t="str">
        <f t="shared" si="11"/>
        <v> </v>
      </c>
      <c r="N660" s="8"/>
      <c r="O660" s="8"/>
      <c r="P660" s="8"/>
      <c r="Q660" s="8"/>
      <c r="R660" s="8"/>
      <c r="S660" s="10"/>
    </row>
    <row r="661" ht="13.5" customHeight="1">
      <c r="A661" s="9"/>
      <c r="B661" s="8"/>
      <c r="C661" s="8"/>
      <c r="D661" s="134" t="str">
        <f t="shared" si="9"/>
        <v> </v>
      </c>
      <c r="E661" s="40" t="str">
        <f t="shared" si="10"/>
        <v>/ / </v>
      </c>
      <c r="F661" s="8"/>
      <c r="G661" s="19"/>
      <c r="H661" s="20"/>
      <c r="I661" s="7"/>
      <c r="J661" s="8"/>
      <c r="K661" s="8"/>
      <c r="L661" s="8"/>
      <c r="M661" s="9" t="str">
        <f t="shared" si="11"/>
        <v> </v>
      </c>
      <c r="N661" s="8"/>
      <c r="O661" s="8"/>
      <c r="P661" s="8"/>
      <c r="Q661" s="8"/>
      <c r="R661" s="8"/>
      <c r="S661" s="10"/>
    </row>
    <row r="662" ht="13.5" customHeight="1">
      <c r="A662" s="9"/>
      <c r="B662" s="8"/>
      <c r="C662" s="8"/>
      <c r="D662" s="134" t="str">
        <f t="shared" si="9"/>
        <v> </v>
      </c>
      <c r="E662" s="40" t="str">
        <f t="shared" si="10"/>
        <v>/ / </v>
      </c>
      <c r="F662" s="8"/>
      <c r="G662" s="19"/>
      <c r="H662" s="20"/>
      <c r="I662" s="7"/>
      <c r="J662" s="8"/>
      <c r="K662" s="8"/>
      <c r="L662" s="8"/>
      <c r="M662" s="9" t="str">
        <f t="shared" si="11"/>
        <v> </v>
      </c>
      <c r="N662" s="8"/>
      <c r="O662" s="8"/>
      <c r="P662" s="8"/>
      <c r="Q662" s="8"/>
      <c r="R662" s="8"/>
      <c r="S662" s="10"/>
    </row>
    <row r="663" ht="13.5" customHeight="1">
      <c r="A663" s="9"/>
      <c r="B663" s="8"/>
      <c r="C663" s="8"/>
      <c r="D663" s="134" t="str">
        <f t="shared" si="9"/>
        <v> </v>
      </c>
      <c r="E663" s="40" t="str">
        <f t="shared" si="10"/>
        <v>/ / </v>
      </c>
      <c r="F663" s="8"/>
      <c r="G663" s="19"/>
      <c r="H663" s="20"/>
      <c r="I663" s="7"/>
      <c r="J663" s="8"/>
      <c r="K663" s="8"/>
      <c r="L663" s="8"/>
      <c r="M663" s="9" t="str">
        <f t="shared" si="11"/>
        <v> </v>
      </c>
      <c r="N663" s="8"/>
      <c r="O663" s="8"/>
      <c r="P663" s="8"/>
      <c r="Q663" s="8"/>
      <c r="R663" s="8"/>
      <c r="S663" s="10"/>
    </row>
    <row r="664" ht="13.5" customHeight="1">
      <c r="A664" s="9"/>
      <c r="B664" s="8"/>
      <c r="C664" s="8"/>
      <c r="D664" s="134" t="str">
        <f t="shared" si="9"/>
        <v> </v>
      </c>
      <c r="E664" s="40" t="str">
        <f t="shared" si="10"/>
        <v>/ / </v>
      </c>
      <c r="F664" s="8"/>
      <c r="G664" s="19"/>
      <c r="H664" s="20"/>
      <c r="I664" s="7"/>
      <c r="J664" s="8"/>
      <c r="K664" s="8"/>
      <c r="L664" s="8"/>
      <c r="M664" s="9" t="str">
        <f t="shared" si="11"/>
        <v> </v>
      </c>
      <c r="N664" s="8"/>
      <c r="O664" s="8"/>
      <c r="P664" s="8"/>
      <c r="Q664" s="8"/>
      <c r="R664" s="8"/>
      <c r="S664" s="10"/>
    </row>
    <row r="665" ht="13.5" customHeight="1">
      <c r="A665" s="9"/>
      <c r="B665" s="8"/>
      <c r="C665" s="8"/>
      <c r="D665" s="134" t="str">
        <f t="shared" si="9"/>
        <v> </v>
      </c>
      <c r="E665" s="40" t="str">
        <f t="shared" si="10"/>
        <v>/ / </v>
      </c>
      <c r="F665" s="8"/>
      <c r="G665" s="19"/>
      <c r="H665" s="20"/>
      <c r="I665" s="7"/>
      <c r="J665" s="8"/>
      <c r="K665" s="8"/>
      <c r="L665" s="8"/>
      <c r="M665" s="9" t="str">
        <f t="shared" si="11"/>
        <v> </v>
      </c>
      <c r="N665" s="8"/>
      <c r="O665" s="8"/>
      <c r="P665" s="8"/>
      <c r="Q665" s="8"/>
      <c r="R665" s="8"/>
      <c r="S665" s="10"/>
    </row>
    <row r="666" ht="13.5" customHeight="1">
      <c r="A666" s="9"/>
      <c r="B666" s="8"/>
      <c r="C666" s="8"/>
      <c r="D666" s="134" t="str">
        <f t="shared" si="9"/>
        <v> </v>
      </c>
      <c r="E666" s="40" t="str">
        <f t="shared" si="10"/>
        <v>/ / </v>
      </c>
      <c r="F666" s="8"/>
      <c r="G666" s="19"/>
      <c r="H666" s="20"/>
      <c r="I666" s="7"/>
      <c r="J666" s="8"/>
      <c r="K666" s="8"/>
      <c r="L666" s="8"/>
      <c r="M666" s="9" t="str">
        <f t="shared" si="11"/>
        <v> </v>
      </c>
      <c r="N666" s="8"/>
      <c r="O666" s="8"/>
      <c r="P666" s="8"/>
      <c r="Q666" s="8"/>
      <c r="R666" s="8"/>
      <c r="S666" s="10"/>
    </row>
    <row r="667" ht="13.5" customHeight="1">
      <c r="A667" s="9"/>
      <c r="B667" s="8"/>
      <c r="C667" s="8"/>
      <c r="D667" s="134" t="str">
        <f t="shared" si="9"/>
        <v> </v>
      </c>
      <c r="E667" s="40" t="str">
        <f t="shared" si="10"/>
        <v>/ / </v>
      </c>
      <c r="F667" s="8"/>
      <c r="G667" s="19"/>
      <c r="H667" s="20"/>
      <c r="I667" s="7"/>
      <c r="J667" s="8"/>
      <c r="K667" s="8"/>
      <c r="L667" s="8"/>
      <c r="M667" s="9" t="str">
        <f t="shared" si="11"/>
        <v> </v>
      </c>
      <c r="N667" s="8"/>
      <c r="O667" s="8"/>
      <c r="P667" s="8"/>
      <c r="Q667" s="8"/>
      <c r="R667" s="8"/>
      <c r="S667" s="10"/>
    </row>
    <row r="668" ht="13.5" customHeight="1">
      <c r="A668" s="9"/>
      <c r="B668" s="8"/>
      <c r="C668" s="8"/>
      <c r="D668" s="134" t="str">
        <f t="shared" si="9"/>
        <v> </v>
      </c>
      <c r="E668" s="40" t="str">
        <f t="shared" si="10"/>
        <v>/ / </v>
      </c>
      <c r="F668" s="8"/>
      <c r="G668" s="19"/>
      <c r="H668" s="20"/>
      <c r="I668" s="7"/>
      <c r="J668" s="8"/>
      <c r="K668" s="8"/>
      <c r="L668" s="8"/>
      <c r="M668" s="9" t="str">
        <f t="shared" si="11"/>
        <v> </v>
      </c>
      <c r="N668" s="8"/>
      <c r="O668" s="8"/>
      <c r="P668" s="8"/>
      <c r="Q668" s="8"/>
      <c r="R668" s="8"/>
      <c r="S668" s="10"/>
    </row>
    <row r="669" ht="13.5" customHeight="1">
      <c r="A669" s="9"/>
      <c r="B669" s="8"/>
      <c r="C669" s="8"/>
      <c r="D669" s="134" t="str">
        <f t="shared" si="9"/>
        <v> </v>
      </c>
      <c r="E669" s="40" t="str">
        <f t="shared" si="10"/>
        <v>/ / </v>
      </c>
      <c r="F669" s="8"/>
      <c r="G669" s="19"/>
      <c r="H669" s="20"/>
      <c r="I669" s="7"/>
      <c r="J669" s="8"/>
      <c r="K669" s="8"/>
      <c r="L669" s="8"/>
      <c r="M669" s="9" t="str">
        <f t="shared" si="11"/>
        <v> </v>
      </c>
      <c r="N669" s="8"/>
      <c r="O669" s="8"/>
      <c r="P669" s="8"/>
      <c r="Q669" s="8"/>
      <c r="R669" s="8"/>
      <c r="S669" s="10"/>
    </row>
    <row r="670" ht="13.5" customHeight="1">
      <c r="A670" s="9"/>
      <c r="B670" s="8"/>
      <c r="C670" s="8"/>
      <c r="D670" s="134" t="str">
        <f t="shared" si="9"/>
        <v> </v>
      </c>
      <c r="E670" s="40" t="str">
        <f t="shared" si="10"/>
        <v>/ / </v>
      </c>
      <c r="F670" s="8"/>
      <c r="G670" s="19"/>
      <c r="H670" s="20"/>
      <c r="I670" s="7"/>
      <c r="J670" s="8"/>
      <c r="K670" s="8"/>
      <c r="L670" s="8"/>
      <c r="M670" s="9" t="str">
        <f t="shared" si="11"/>
        <v> </v>
      </c>
      <c r="N670" s="8"/>
      <c r="O670" s="8"/>
      <c r="P670" s="8"/>
      <c r="Q670" s="8"/>
      <c r="R670" s="8"/>
      <c r="S670" s="10"/>
    </row>
    <row r="671" ht="13.5" customHeight="1">
      <c r="A671" s="9"/>
      <c r="B671" s="8"/>
      <c r="C671" s="8"/>
      <c r="D671" s="134" t="str">
        <f t="shared" si="9"/>
        <v> </v>
      </c>
      <c r="E671" s="40" t="str">
        <f t="shared" si="10"/>
        <v>/ / </v>
      </c>
      <c r="F671" s="8"/>
      <c r="G671" s="19"/>
      <c r="H671" s="20"/>
      <c r="I671" s="7"/>
      <c r="J671" s="8"/>
      <c r="K671" s="8"/>
      <c r="L671" s="8"/>
      <c r="M671" s="9" t="str">
        <f t="shared" si="11"/>
        <v> </v>
      </c>
      <c r="N671" s="8"/>
      <c r="O671" s="8"/>
      <c r="P671" s="8"/>
      <c r="Q671" s="8"/>
      <c r="R671" s="8"/>
      <c r="S671" s="10"/>
    </row>
    <row r="672" ht="13.5" customHeight="1">
      <c r="A672" s="9"/>
      <c r="B672" s="8"/>
      <c r="C672" s="8"/>
      <c r="D672" s="134" t="str">
        <f t="shared" si="9"/>
        <v> </v>
      </c>
      <c r="E672" s="40" t="str">
        <f t="shared" si="10"/>
        <v>/ / </v>
      </c>
      <c r="F672" s="8"/>
      <c r="G672" s="19"/>
      <c r="H672" s="20"/>
      <c r="I672" s="7"/>
      <c r="J672" s="8"/>
      <c r="K672" s="8"/>
      <c r="L672" s="8"/>
      <c r="M672" s="9" t="str">
        <f t="shared" si="11"/>
        <v> </v>
      </c>
      <c r="N672" s="8"/>
      <c r="O672" s="8"/>
      <c r="P672" s="8"/>
      <c r="Q672" s="8"/>
      <c r="R672" s="8"/>
      <c r="S672" s="10"/>
    </row>
    <row r="673" ht="13.5" customHeight="1">
      <c r="A673" s="9"/>
      <c r="B673" s="8"/>
      <c r="C673" s="8"/>
      <c r="D673" s="134" t="str">
        <f t="shared" si="9"/>
        <v> </v>
      </c>
      <c r="E673" s="40" t="str">
        <f t="shared" si="10"/>
        <v>/ / </v>
      </c>
      <c r="F673" s="8"/>
      <c r="G673" s="19"/>
      <c r="H673" s="20"/>
      <c r="I673" s="7"/>
      <c r="J673" s="8"/>
      <c r="K673" s="8"/>
      <c r="L673" s="8"/>
      <c r="M673" s="9" t="str">
        <f t="shared" si="11"/>
        <v> </v>
      </c>
      <c r="N673" s="8"/>
      <c r="O673" s="8"/>
      <c r="P673" s="8"/>
      <c r="Q673" s="8"/>
      <c r="R673" s="8"/>
      <c r="S673" s="10"/>
    </row>
    <row r="674" ht="13.5" customHeight="1">
      <c r="A674" s="9"/>
      <c r="B674" s="8"/>
      <c r="C674" s="8"/>
      <c r="D674" s="134" t="str">
        <f t="shared" si="9"/>
        <v> </v>
      </c>
      <c r="E674" s="40" t="str">
        <f t="shared" si="10"/>
        <v>/ / </v>
      </c>
      <c r="F674" s="8"/>
      <c r="G674" s="19"/>
      <c r="H674" s="20"/>
      <c r="I674" s="7"/>
      <c r="J674" s="8"/>
      <c r="K674" s="8"/>
      <c r="L674" s="8"/>
      <c r="M674" s="9" t="str">
        <f t="shared" si="11"/>
        <v> </v>
      </c>
      <c r="N674" s="8"/>
      <c r="O674" s="8"/>
      <c r="P674" s="8"/>
      <c r="Q674" s="8"/>
      <c r="R674" s="8"/>
      <c r="S674" s="10"/>
    </row>
    <row r="675" ht="13.5" customHeight="1">
      <c r="A675" s="9"/>
      <c r="B675" s="8"/>
      <c r="C675" s="8"/>
      <c r="D675" s="134" t="str">
        <f t="shared" si="9"/>
        <v> </v>
      </c>
      <c r="E675" s="40" t="str">
        <f t="shared" si="10"/>
        <v>/ / </v>
      </c>
      <c r="F675" s="8"/>
      <c r="G675" s="19"/>
      <c r="H675" s="20"/>
      <c r="I675" s="7"/>
      <c r="J675" s="8"/>
      <c r="K675" s="8"/>
      <c r="L675" s="8"/>
      <c r="M675" s="9" t="str">
        <f t="shared" si="11"/>
        <v> </v>
      </c>
      <c r="N675" s="8"/>
      <c r="O675" s="8"/>
      <c r="P675" s="8"/>
      <c r="Q675" s="8"/>
      <c r="R675" s="8"/>
      <c r="S675" s="10"/>
    </row>
    <row r="676" ht="13.5" customHeight="1">
      <c r="A676" s="9"/>
      <c r="B676" s="8"/>
      <c r="C676" s="8"/>
      <c r="D676" s="134" t="str">
        <f t="shared" si="9"/>
        <v> </v>
      </c>
      <c r="E676" s="40" t="str">
        <f t="shared" si="10"/>
        <v>/ / </v>
      </c>
      <c r="F676" s="8"/>
      <c r="G676" s="19"/>
      <c r="H676" s="20"/>
      <c r="I676" s="7"/>
      <c r="J676" s="8"/>
      <c r="K676" s="8"/>
      <c r="L676" s="8"/>
      <c r="M676" s="9" t="str">
        <f t="shared" si="11"/>
        <v> </v>
      </c>
      <c r="N676" s="8"/>
      <c r="O676" s="8"/>
      <c r="P676" s="8"/>
      <c r="Q676" s="8"/>
      <c r="R676" s="8"/>
      <c r="S676" s="10"/>
    </row>
    <row r="677" ht="13.5" customHeight="1">
      <c r="A677" s="9"/>
      <c r="B677" s="8"/>
      <c r="C677" s="8"/>
      <c r="D677" s="134" t="str">
        <f t="shared" si="9"/>
        <v> </v>
      </c>
      <c r="E677" s="40" t="str">
        <f t="shared" si="10"/>
        <v>/ / </v>
      </c>
      <c r="F677" s="8"/>
      <c r="G677" s="19"/>
      <c r="H677" s="20"/>
      <c r="I677" s="7"/>
      <c r="J677" s="8"/>
      <c r="K677" s="8"/>
      <c r="L677" s="8"/>
      <c r="M677" s="9" t="str">
        <f t="shared" si="11"/>
        <v> </v>
      </c>
      <c r="N677" s="8"/>
      <c r="O677" s="8"/>
      <c r="P677" s="8"/>
      <c r="Q677" s="8"/>
      <c r="R677" s="8"/>
      <c r="S677" s="10"/>
    </row>
    <row r="678" ht="13.5" customHeight="1">
      <c r="A678" s="9"/>
      <c r="B678" s="8"/>
      <c r="C678" s="8"/>
      <c r="D678" s="134" t="str">
        <f t="shared" si="9"/>
        <v> </v>
      </c>
      <c r="E678" s="40" t="str">
        <f t="shared" si="10"/>
        <v>/ / </v>
      </c>
      <c r="F678" s="8"/>
      <c r="G678" s="19"/>
      <c r="H678" s="20"/>
      <c r="I678" s="7"/>
      <c r="J678" s="8"/>
      <c r="K678" s="8"/>
      <c r="L678" s="8"/>
      <c r="M678" s="9" t="str">
        <f t="shared" si="11"/>
        <v> </v>
      </c>
      <c r="N678" s="8"/>
      <c r="O678" s="8"/>
      <c r="P678" s="8"/>
      <c r="Q678" s="8"/>
      <c r="R678" s="8"/>
      <c r="S678" s="10"/>
    </row>
    <row r="679" ht="13.5" customHeight="1">
      <c r="A679" s="9"/>
      <c r="B679" s="8"/>
      <c r="C679" s="8"/>
      <c r="D679" s="134" t="str">
        <f t="shared" si="9"/>
        <v> </v>
      </c>
      <c r="E679" s="40" t="str">
        <f t="shared" si="10"/>
        <v>/ / </v>
      </c>
      <c r="F679" s="8"/>
      <c r="G679" s="19"/>
      <c r="H679" s="20"/>
      <c r="I679" s="7"/>
      <c r="J679" s="8"/>
      <c r="K679" s="8"/>
      <c r="L679" s="8"/>
      <c r="M679" s="9" t="str">
        <f t="shared" si="11"/>
        <v> </v>
      </c>
      <c r="N679" s="8"/>
      <c r="O679" s="8"/>
      <c r="P679" s="8"/>
      <c r="Q679" s="8"/>
      <c r="R679" s="8"/>
      <c r="S679" s="10"/>
    </row>
    <row r="680" ht="13.5" customHeight="1">
      <c r="A680" s="9"/>
      <c r="B680" s="8"/>
      <c r="C680" s="8"/>
      <c r="D680" s="134" t="str">
        <f t="shared" si="9"/>
        <v> </v>
      </c>
      <c r="E680" s="40" t="str">
        <f t="shared" si="10"/>
        <v>/ / </v>
      </c>
      <c r="F680" s="8"/>
      <c r="G680" s="19"/>
      <c r="H680" s="20"/>
      <c r="I680" s="7"/>
      <c r="J680" s="8"/>
      <c r="K680" s="8"/>
      <c r="L680" s="8"/>
      <c r="M680" s="9" t="str">
        <f t="shared" si="11"/>
        <v> </v>
      </c>
      <c r="N680" s="8"/>
      <c r="O680" s="8"/>
      <c r="P680" s="8"/>
      <c r="Q680" s="8"/>
      <c r="R680" s="8"/>
      <c r="S680" s="10"/>
    </row>
    <row r="681" ht="13.5" customHeight="1">
      <c r="A681" s="9"/>
      <c r="B681" s="8"/>
      <c r="C681" s="8"/>
      <c r="D681" s="134" t="str">
        <f t="shared" si="9"/>
        <v> </v>
      </c>
      <c r="E681" s="40" t="str">
        <f t="shared" si="10"/>
        <v>/ / </v>
      </c>
      <c r="F681" s="8"/>
      <c r="G681" s="19"/>
      <c r="H681" s="20"/>
      <c r="I681" s="7"/>
      <c r="J681" s="8"/>
      <c r="K681" s="8"/>
      <c r="L681" s="8"/>
      <c r="M681" s="9" t="str">
        <f t="shared" si="11"/>
        <v> </v>
      </c>
      <c r="N681" s="8"/>
      <c r="O681" s="8"/>
      <c r="P681" s="8"/>
      <c r="Q681" s="8"/>
      <c r="R681" s="8"/>
      <c r="S681" s="10"/>
    </row>
    <row r="682" ht="13.5" customHeight="1">
      <c r="A682" s="9"/>
      <c r="B682" s="8"/>
      <c r="C682" s="8"/>
      <c r="D682" s="134" t="str">
        <f t="shared" si="9"/>
        <v> </v>
      </c>
      <c r="E682" s="40" t="str">
        <f t="shared" si="10"/>
        <v>/ / </v>
      </c>
      <c r="F682" s="8"/>
      <c r="G682" s="19"/>
      <c r="H682" s="20"/>
      <c r="I682" s="7"/>
      <c r="J682" s="8"/>
      <c r="K682" s="8"/>
      <c r="L682" s="8"/>
      <c r="M682" s="9" t="str">
        <f t="shared" si="11"/>
        <v> </v>
      </c>
      <c r="N682" s="8"/>
      <c r="O682" s="8"/>
      <c r="P682" s="8"/>
      <c r="Q682" s="8"/>
      <c r="R682" s="8"/>
      <c r="S682" s="10"/>
    </row>
    <row r="683" ht="13.5" customHeight="1">
      <c r="A683" s="9"/>
      <c r="B683" s="8"/>
      <c r="C683" s="8"/>
      <c r="D683" s="134" t="str">
        <f t="shared" si="9"/>
        <v> </v>
      </c>
      <c r="E683" s="40" t="str">
        <f t="shared" si="10"/>
        <v>/ / </v>
      </c>
      <c r="F683" s="8"/>
      <c r="G683" s="19"/>
      <c r="H683" s="20"/>
      <c r="I683" s="7"/>
      <c r="J683" s="8"/>
      <c r="K683" s="8"/>
      <c r="L683" s="8"/>
      <c r="M683" s="9" t="str">
        <f t="shared" si="11"/>
        <v> </v>
      </c>
      <c r="N683" s="8"/>
      <c r="O683" s="8"/>
      <c r="P683" s="8"/>
      <c r="Q683" s="8"/>
      <c r="R683" s="8"/>
      <c r="S683" s="10"/>
    </row>
    <row r="684" ht="13.5" customHeight="1">
      <c r="A684" s="9"/>
      <c r="B684" s="8"/>
      <c r="C684" s="8"/>
      <c r="D684" s="134" t="str">
        <f t="shared" si="9"/>
        <v> </v>
      </c>
      <c r="E684" s="40" t="str">
        <f t="shared" si="10"/>
        <v>/ / </v>
      </c>
      <c r="F684" s="8"/>
      <c r="G684" s="19"/>
      <c r="H684" s="20"/>
      <c r="I684" s="7"/>
      <c r="J684" s="8"/>
      <c r="K684" s="8"/>
      <c r="L684" s="8"/>
      <c r="M684" s="9" t="str">
        <f t="shared" si="11"/>
        <v> </v>
      </c>
      <c r="N684" s="8"/>
      <c r="O684" s="8"/>
      <c r="P684" s="8"/>
      <c r="Q684" s="8"/>
      <c r="R684" s="8"/>
      <c r="S684" s="10"/>
    </row>
    <row r="685" ht="13.5" customHeight="1">
      <c r="A685" s="9"/>
      <c r="B685" s="8"/>
      <c r="C685" s="8"/>
      <c r="D685" s="134" t="str">
        <f t="shared" si="9"/>
        <v> </v>
      </c>
      <c r="E685" s="40" t="str">
        <f t="shared" si="10"/>
        <v>/ / </v>
      </c>
      <c r="F685" s="8"/>
      <c r="G685" s="19"/>
      <c r="H685" s="20"/>
      <c r="I685" s="7"/>
      <c r="J685" s="8"/>
      <c r="K685" s="8"/>
      <c r="L685" s="8"/>
      <c r="M685" s="9" t="str">
        <f t="shared" si="11"/>
        <v> </v>
      </c>
      <c r="N685" s="8"/>
      <c r="O685" s="8"/>
      <c r="P685" s="8"/>
      <c r="Q685" s="8"/>
      <c r="R685" s="8"/>
      <c r="S685" s="10"/>
    </row>
    <row r="686" ht="13.5" customHeight="1">
      <c r="A686" s="9"/>
      <c r="B686" s="8"/>
      <c r="C686" s="8"/>
      <c r="D686" s="134" t="str">
        <f t="shared" si="9"/>
        <v> </v>
      </c>
      <c r="E686" s="40" t="str">
        <f t="shared" si="10"/>
        <v>/ / </v>
      </c>
      <c r="F686" s="8"/>
      <c r="G686" s="19"/>
      <c r="H686" s="20"/>
      <c r="I686" s="7"/>
      <c r="J686" s="8"/>
      <c r="K686" s="8"/>
      <c r="L686" s="8"/>
      <c r="M686" s="9" t="str">
        <f t="shared" si="11"/>
        <v> </v>
      </c>
      <c r="N686" s="8"/>
      <c r="O686" s="8"/>
      <c r="P686" s="8"/>
      <c r="Q686" s="8"/>
      <c r="R686" s="8"/>
      <c r="S686" s="10"/>
    </row>
    <row r="687" ht="13.5" customHeight="1">
      <c r="A687" s="9"/>
      <c r="B687" s="8"/>
      <c r="C687" s="8"/>
      <c r="D687" s="134" t="str">
        <f t="shared" si="9"/>
        <v> </v>
      </c>
      <c r="E687" s="40" t="str">
        <f t="shared" si="10"/>
        <v>/ / </v>
      </c>
      <c r="F687" s="8"/>
      <c r="G687" s="19"/>
      <c r="H687" s="20"/>
      <c r="I687" s="7"/>
      <c r="J687" s="8"/>
      <c r="K687" s="8"/>
      <c r="L687" s="8"/>
      <c r="M687" s="9" t="str">
        <f t="shared" si="11"/>
        <v> </v>
      </c>
      <c r="N687" s="8"/>
      <c r="O687" s="8"/>
      <c r="P687" s="8"/>
      <c r="Q687" s="8"/>
      <c r="R687" s="8"/>
      <c r="S687" s="10"/>
    </row>
    <row r="688" ht="13.5" customHeight="1">
      <c r="A688" s="9"/>
      <c r="B688" s="8"/>
      <c r="C688" s="8"/>
      <c r="D688" s="134" t="str">
        <f t="shared" si="9"/>
        <v> </v>
      </c>
      <c r="E688" s="40" t="str">
        <f t="shared" si="10"/>
        <v>/ / </v>
      </c>
      <c r="F688" s="8"/>
      <c r="G688" s="19"/>
      <c r="H688" s="20"/>
      <c r="I688" s="7"/>
      <c r="J688" s="8"/>
      <c r="K688" s="8"/>
      <c r="L688" s="8"/>
      <c r="M688" s="9" t="str">
        <f t="shared" si="11"/>
        <v> </v>
      </c>
      <c r="N688" s="8"/>
      <c r="O688" s="8"/>
      <c r="P688" s="8"/>
      <c r="Q688" s="8"/>
      <c r="R688" s="8"/>
      <c r="S688" s="10"/>
    </row>
    <row r="689" ht="13.5" customHeight="1">
      <c r="A689" s="9"/>
      <c r="B689" s="8"/>
      <c r="C689" s="8"/>
      <c r="D689" s="134" t="str">
        <f t="shared" si="9"/>
        <v> </v>
      </c>
      <c r="E689" s="40" t="str">
        <f t="shared" si="10"/>
        <v>/ / </v>
      </c>
      <c r="F689" s="8"/>
      <c r="G689" s="19"/>
      <c r="H689" s="20"/>
      <c r="I689" s="7"/>
      <c r="J689" s="8"/>
      <c r="K689" s="8"/>
      <c r="L689" s="8"/>
      <c r="M689" s="9" t="str">
        <f t="shared" si="11"/>
        <v> </v>
      </c>
      <c r="N689" s="8"/>
      <c r="O689" s="8"/>
      <c r="P689" s="8"/>
      <c r="Q689" s="8"/>
      <c r="R689" s="8"/>
      <c r="S689" s="10"/>
    </row>
    <row r="690" ht="13.5" customHeight="1">
      <c r="A690" s="9"/>
      <c r="B690" s="8"/>
      <c r="C690" s="8"/>
      <c r="D690" s="134" t="str">
        <f t="shared" si="9"/>
        <v> </v>
      </c>
      <c r="E690" s="40" t="str">
        <f t="shared" si="10"/>
        <v>/ / </v>
      </c>
      <c r="F690" s="8"/>
      <c r="G690" s="19"/>
      <c r="H690" s="20"/>
      <c r="I690" s="7"/>
      <c r="J690" s="8"/>
      <c r="K690" s="8"/>
      <c r="L690" s="8"/>
      <c r="M690" s="9" t="str">
        <f t="shared" si="11"/>
        <v> </v>
      </c>
      <c r="N690" s="8"/>
      <c r="O690" s="8"/>
      <c r="P690" s="8"/>
      <c r="Q690" s="8"/>
      <c r="R690" s="8"/>
      <c r="S690" s="10"/>
    </row>
    <row r="691" ht="13.5" customHeight="1">
      <c r="A691" s="9"/>
      <c r="B691" s="8"/>
      <c r="C691" s="8"/>
      <c r="D691" s="134" t="str">
        <f t="shared" si="9"/>
        <v> </v>
      </c>
      <c r="E691" s="40" t="str">
        <f t="shared" si="10"/>
        <v>/ / </v>
      </c>
      <c r="F691" s="8"/>
      <c r="G691" s="19"/>
      <c r="H691" s="20"/>
      <c r="I691" s="7"/>
      <c r="J691" s="8"/>
      <c r="K691" s="8"/>
      <c r="L691" s="8"/>
      <c r="M691" s="9" t="str">
        <f t="shared" si="11"/>
        <v> </v>
      </c>
      <c r="N691" s="8"/>
      <c r="O691" s="8"/>
      <c r="P691" s="8"/>
      <c r="Q691" s="8"/>
      <c r="R691" s="8"/>
      <c r="S691" s="10"/>
    </row>
    <row r="692" ht="13.5" customHeight="1">
      <c r="A692" s="9"/>
      <c r="B692" s="8"/>
      <c r="C692" s="8"/>
      <c r="D692" s="134" t="str">
        <f t="shared" si="9"/>
        <v> </v>
      </c>
      <c r="E692" s="40" t="str">
        <f t="shared" si="10"/>
        <v>/ / </v>
      </c>
      <c r="F692" s="8"/>
      <c r="G692" s="19"/>
      <c r="H692" s="20"/>
      <c r="I692" s="7"/>
      <c r="J692" s="8"/>
      <c r="K692" s="8"/>
      <c r="L692" s="8"/>
      <c r="M692" s="9" t="str">
        <f t="shared" si="11"/>
        <v> </v>
      </c>
      <c r="N692" s="8"/>
      <c r="O692" s="8"/>
      <c r="P692" s="8"/>
      <c r="Q692" s="8"/>
      <c r="R692" s="8"/>
      <c r="S692" s="10"/>
    </row>
    <row r="693" ht="13.5" customHeight="1">
      <c r="A693" s="9"/>
      <c r="B693" s="8"/>
      <c r="C693" s="8"/>
      <c r="D693" s="134" t="str">
        <f t="shared" si="9"/>
        <v> </v>
      </c>
      <c r="E693" s="40" t="str">
        <f t="shared" si="10"/>
        <v>/ / </v>
      </c>
      <c r="F693" s="8"/>
      <c r="G693" s="19"/>
      <c r="H693" s="20"/>
      <c r="I693" s="7"/>
      <c r="J693" s="8"/>
      <c r="K693" s="8"/>
      <c r="L693" s="8"/>
      <c r="M693" s="9" t="str">
        <f t="shared" si="11"/>
        <v> </v>
      </c>
      <c r="N693" s="8"/>
      <c r="O693" s="8"/>
      <c r="P693" s="8"/>
      <c r="Q693" s="8"/>
      <c r="R693" s="8"/>
      <c r="S693" s="10"/>
    </row>
    <row r="694" ht="13.5" customHeight="1">
      <c r="A694" s="9"/>
      <c r="B694" s="8"/>
      <c r="C694" s="8"/>
      <c r="D694" s="134" t="str">
        <f t="shared" si="9"/>
        <v> </v>
      </c>
      <c r="E694" s="40" t="str">
        <f t="shared" si="10"/>
        <v>/ / </v>
      </c>
      <c r="F694" s="8"/>
      <c r="G694" s="19"/>
      <c r="H694" s="20"/>
      <c r="I694" s="7"/>
      <c r="J694" s="8"/>
      <c r="K694" s="8"/>
      <c r="L694" s="8"/>
      <c r="M694" s="9" t="str">
        <f t="shared" si="11"/>
        <v> </v>
      </c>
      <c r="N694" s="8"/>
      <c r="O694" s="8"/>
      <c r="P694" s="8"/>
      <c r="Q694" s="8"/>
      <c r="R694" s="8"/>
      <c r="S694" s="10"/>
    </row>
    <row r="695" ht="13.5" customHeight="1">
      <c r="A695" s="9"/>
      <c r="B695" s="8"/>
      <c r="C695" s="8"/>
      <c r="D695" s="134" t="str">
        <f t="shared" si="9"/>
        <v> </v>
      </c>
      <c r="E695" s="40" t="str">
        <f t="shared" si="10"/>
        <v>/ / </v>
      </c>
      <c r="F695" s="8"/>
      <c r="G695" s="19"/>
      <c r="H695" s="20"/>
      <c r="I695" s="7"/>
      <c r="J695" s="8"/>
      <c r="K695" s="8"/>
      <c r="L695" s="8"/>
      <c r="M695" s="9" t="str">
        <f t="shared" si="11"/>
        <v> </v>
      </c>
      <c r="N695" s="8"/>
      <c r="O695" s="8"/>
      <c r="P695" s="8"/>
      <c r="Q695" s="8"/>
      <c r="R695" s="8"/>
      <c r="S695" s="10"/>
    </row>
    <row r="696" ht="13.5" customHeight="1">
      <c r="A696" s="9"/>
      <c r="B696" s="8"/>
      <c r="C696" s="8"/>
      <c r="D696" s="134" t="str">
        <f t="shared" si="9"/>
        <v> </v>
      </c>
      <c r="E696" s="40" t="str">
        <f t="shared" si="10"/>
        <v>/ / </v>
      </c>
      <c r="F696" s="8"/>
      <c r="G696" s="19"/>
      <c r="H696" s="20"/>
      <c r="I696" s="7"/>
      <c r="J696" s="8"/>
      <c r="K696" s="8"/>
      <c r="L696" s="8"/>
      <c r="M696" s="9" t="str">
        <f t="shared" si="11"/>
        <v> </v>
      </c>
      <c r="N696" s="8"/>
      <c r="O696" s="8"/>
      <c r="P696" s="8"/>
      <c r="Q696" s="8"/>
      <c r="R696" s="8"/>
      <c r="S696" s="10"/>
    </row>
    <row r="697" ht="13.5" customHeight="1">
      <c r="A697" s="9"/>
      <c r="B697" s="8"/>
      <c r="C697" s="8"/>
      <c r="D697" s="134" t="str">
        <f t="shared" si="9"/>
        <v> </v>
      </c>
      <c r="E697" s="40" t="str">
        <f t="shared" si="10"/>
        <v>/ / </v>
      </c>
      <c r="F697" s="8"/>
      <c r="G697" s="19"/>
      <c r="H697" s="20"/>
      <c r="I697" s="7"/>
      <c r="J697" s="8"/>
      <c r="K697" s="8"/>
      <c r="L697" s="8"/>
      <c r="M697" s="9" t="str">
        <f t="shared" si="11"/>
        <v> </v>
      </c>
      <c r="N697" s="8"/>
      <c r="O697" s="8"/>
      <c r="P697" s="8"/>
      <c r="Q697" s="8"/>
      <c r="R697" s="8"/>
      <c r="S697" s="10"/>
    </row>
    <row r="698" ht="13.5" customHeight="1">
      <c r="A698" s="9"/>
      <c r="B698" s="8"/>
      <c r="C698" s="8"/>
      <c r="D698" s="134" t="str">
        <f t="shared" si="9"/>
        <v> </v>
      </c>
      <c r="E698" s="40" t="str">
        <f t="shared" si="10"/>
        <v>/ / </v>
      </c>
      <c r="F698" s="8"/>
      <c r="G698" s="19"/>
      <c r="H698" s="20"/>
      <c r="I698" s="7"/>
      <c r="J698" s="8"/>
      <c r="K698" s="8"/>
      <c r="L698" s="8"/>
      <c r="M698" s="9" t="str">
        <f t="shared" si="11"/>
        <v> </v>
      </c>
      <c r="N698" s="8"/>
      <c r="O698" s="8"/>
      <c r="P698" s="8"/>
      <c r="Q698" s="8"/>
      <c r="R698" s="8"/>
      <c r="S698" s="10"/>
    </row>
    <row r="699" ht="13.5" customHeight="1">
      <c r="A699" s="9"/>
      <c r="B699" s="8"/>
      <c r="C699" s="8"/>
      <c r="D699" s="134" t="str">
        <f t="shared" si="9"/>
        <v> </v>
      </c>
      <c r="E699" s="40" t="str">
        <f t="shared" si="10"/>
        <v>/ / </v>
      </c>
      <c r="F699" s="8"/>
      <c r="G699" s="19"/>
      <c r="H699" s="20"/>
      <c r="I699" s="7"/>
      <c r="J699" s="8"/>
      <c r="K699" s="8"/>
      <c r="L699" s="8"/>
      <c r="M699" s="9" t="str">
        <f t="shared" si="11"/>
        <v> </v>
      </c>
      <c r="N699" s="8"/>
      <c r="O699" s="8"/>
      <c r="P699" s="8"/>
      <c r="Q699" s="8"/>
      <c r="R699" s="8"/>
      <c r="S699" s="10"/>
    </row>
    <row r="700" ht="13.5" customHeight="1">
      <c r="A700" s="9"/>
      <c r="B700" s="8"/>
      <c r="C700" s="8"/>
      <c r="D700" s="134" t="str">
        <f t="shared" si="9"/>
        <v> </v>
      </c>
      <c r="E700" s="40" t="str">
        <f t="shared" si="10"/>
        <v>/ / </v>
      </c>
      <c r="F700" s="8"/>
      <c r="G700" s="19"/>
      <c r="H700" s="20"/>
      <c r="I700" s="7"/>
      <c r="J700" s="8"/>
      <c r="K700" s="8"/>
      <c r="L700" s="8"/>
      <c r="M700" s="9" t="str">
        <f t="shared" si="11"/>
        <v> </v>
      </c>
      <c r="N700" s="8"/>
      <c r="O700" s="8"/>
      <c r="P700" s="8"/>
      <c r="Q700" s="8"/>
      <c r="R700" s="8"/>
      <c r="S700" s="10"/>
    </row>
    <row r="701" ht="13.5" customHeight="1">
      <c r="A701" s="9"/>
      <c r="B701" s="8"/>
      <c r="C701" s="8"/>
      <c r="D701" s="134" t="str">
        <f t="shared" si="9"/>
        <v> </v>
      </c>
      <c r="E701" s="40" t="str">
        <f t="shared" si="10"/>
        <v>/ / </v>
      </c>
      <c r="F701" s="8"/>
      <c r="G701" s="19"/>
      <c r="H701" s="20"/>
      <c r="I701" s="7"/>
      <c r="J701" s="8"/>
      <c r="K701" s="8"/>
      <c r="L701" s="8"/>
      <c r="M701" s="9" t="str">
        <f t="shared" si="11"/>
        <v> </v>
      </c>
      <c r="N701" s="8"/>
      <c r="O701" s="8"/>
      <c r="P701" s="8"/>
      <c r="Q701" s="8"/>
      <c r="R701" s="8"/>
      <c r="S701" s="10"/>
    </row>
    <row r="702" ht="13.5" customHeight="1">
      <c r="A702" s="9"/>
      <c r="B702" s="8"/>
      <c r="C702" s="8"/>
      <c r="D702" s="134" t="str">
        <f t="shared" si="9"/>
        <v> </v>
      </c>
      <c r="E702" s="40" t="str">
        <f t="shared" si="10"/>
        <v>/ / </v>
      </c>
      <c r="F702" s="8"/>
      <c r="G702" s="19"/>
      <c r="H702" s="20"/>
      <c r="I702" s="7"/>
      <c r="J702" s="8"/>
      <c r="K702" s="8"/>
      <c r="L702" s="8"/>
      <c r="M702" s="9" t="str">
        <f t="shared" si="11"/>
        <v> </v>
      </c>
      <c r="N702" s="8"/>
      <c r="O702" s="8"/>
      <c r="P702" s="8"/>
      <c r="Q702" s="8"/>
      <c r="R702" s="8"/>
      <c r="S702" s="10"/>
    </row>
    <row r="703" ht="13.5" customHeight="1">
      <c r="A703" s="9"/>
      <c r="B703" s="8"/>
      <c r="C703" s="8"/>
      <c r="D703" s="134" t="str">
        <f t="shared" si="9"/>
        <v> </v>
      </c>
      <c r="E703" s="40" t="str">
        <f t="shared" si="10"/>
        <v>/ / </v>
      </c>
      <c r="F703" s="8"/>
      <c r="G703" s="19"/>
      <c r="H703" s="20"/>
      <c r="I703" s="7"/>
      <c r="J703" s="8"/>
      <c r="K703" s="8"/>
      <c r="L703" s="8"/>
      <c r="M703" s="9" t="str">
        <f t="shared" si="11"/>
        <v> </v>
      </c>
      <c r="N703" s="8"/>
      <c r="O703" s="8"/>
      <c r="P703" s="8"/>
      <c r="Q703" s="8"/>
      <c r="R703" s="8"/>
      <c r="S703" s="10"/>
    </row>
    <row r="704" ht="13.5" customHeight="1">
      <c r="A704" s="9"/>
      <c r="B704" s="8"/>
      <c r="C704" s="8"/>
      <c r="D704" s="134" t="str">
        <f t="shared" si="9"/>
        <v> </v>
      </c>
      <c r="E704" s="40" t="str">
        <f t="shared" si="10"/>
        <v>/ / </v>
      </c>
      <c r="F704" s="8"/>
      <c r="G704" s="19"/>
      <c r="H704" s="20"/>
      <c r="I704" s="7"/>
      <c r="J704" s="8"/>
      <c r="K704" s="8"/>
      <c r="L704" s="8"/>
      <c r="M704" s="9" t="str">
        <f t="shared" si="11"/>
        <v> </v>
      </c>
      <c r="N704" s="8"/>
      <c r="O704" s="8"/>
      <c r="P704" s="8"/>
      <c r="Q704" s="8"/>
      <c r="R704" s="8"/>
      <c r="S704" s="10"/>
    </row>
    <row r="705" ht="13.5" customHeight="1">
      <c r="A705" s="9"/>
      <c r="B705" s="8"/>
      <c r="C705" s="8"/>
      <c r="D705" s="134" t="str">
        <f t="shared" si="9"/>
        <v> </v>
      </c>
      <c r="E705" s="40" t="str">
        <f t="shared" si="10"/>
        <v>/ / </v>
      </c>
      <c r="F705" s="8"/>
      <c r="G705" s="19"/>
      <c r="H705" s="20"/>
      <c r="I705" s="7"/>
      <c r="J705" s="8"/>
      <c r="K705" s="8"/>
      <c r="L705" s="8"/>
      <c r="M705" s="9" t="str">
        <f t="shared" si="11"/>
        <v> </v>
      </c>
      <c r="N705" s="8"/>
      <c r="O705" s="8"/>
      <c r="P705" s="8"/>
      <c r="Q705" s="8"/>
      <c r="R705" s="8"/>
      <c r="S705" s="10"/>
    </row>
    <row r="706" ht="13.5" customHeight="1">
      <c r="A706" s="9"/>
      <c r="B706" s="8"/>
      <c r="C706" s="8"/>
      <c r="D706" s="134" t="str">
        <f t="shared" si="9"/>
        <v> </v>
      </c>
      <c r="E706" s="40" t="str">
        <f t="shared" si="10"/>
        <v>/ / </v>
      </c>
      <c r="F706" s="8"/>
      <c r="G706" s="19"/>
      <c r="H706" s="20"/>
      <c r="I706" s="7"/>
      <c r="J706" s="8"/>
      <c r="K706" s="8"/>
      <c r="L706" s="8"/>
      <c r="M706" s="9" t="str">
        <f t="shared" si="11"/>
        <v> </v>
      </c>
      <c r="N706" s="8"/>
      <c r="O706" s="8"/>
      <c r="P706" s="8"/>
      <c r="Q706" s="8"/>
      <c r="R706" s="8"/>
      <c r="S706" s="10"/>
    </row>
    <row r="707" ht="13.5" customHeight="1">
      <c r="A707" s="9"/>
      <c r="B707" s="8"/>
      <c r="C707" s="8"/>
      <c r="D707" s="134" t="str">
        <f t="shared" si="9"/>
        <v> </v>
      </c>
      <c r="E707" s="40" t="str">
        <f t="shared" si="10"/>
        <v>/ / </v>
      </c>
      <c r="F707" s="8"/>
      <c r="G707" s="19"/>
      <c r="H707" s="20"/>
      <c r="I707" s="7"/>
      <c r="J707" s="8"/>
      <c r="K707" s="8"/>
      <c r="L707" s="8"/>
      <c r="M707" s="9" t="str">
        <f t="shared" si="11"/>
        <v> </v>
      </c>
      <c r="N707" s="8"/>
      <c r="O707" s="8"/>
      <c r="P707" s="8"/>
      <c r="Q707" s="8"/>
      <c r="R707" s="8"/>
      <c r="S707" s="10"/>
    </row>
    <row r="708" ht="13.5" customHeight="1">
      <c r="A708" s="9"/>
      <c r="B708" s="8"/>
      <c r="C708" s="8"/>
      <c r="D708" s="134" t="str">
        <f t="shared" si="9"/>
        <v> </v>
      </c>
      <c r="E708" s="40" t="str">
        <f t="shared" si="10"/>
        <v>/ / </v>
      </c>
      <c r="F708" s="8"/>
      <c r="G708" s="19"/>
      <c r="H708" s="20"/>
      <c r="I708" s="7"/>
      <c r="J708" s="8"/>
      <c r="K708" s="8"/>
      <c r="L708" s="8"/>
      <c r="M708" s="9" t="str">
        <f t="shared" si="11"/>
        <v> </v>
      </c>
      <c r="N708" s="8"/>
      <c r="O708" s="8"/>
      <c r="P708" s="8"/>
      <c r="Q708" s="8"/>
      <c r="R708" s="8"/>
      <c r="S708" s="10"/>
    </row>
    <row r="709" ht="13.5" customHeight="1">
      <c r="A709" s="9"/>
      <c r="B709" s="8"/>
      <c r="C709" s="8"/>
      <c r="D709" s="134" t="str">
        <f t="shared" si="9"/>
        <v> </v>
      </c>
      <c r="E709" s="40" t="str">
        <f t="shared" si="10"/>
        <v>/ / </v>
      </c>
      <c r="F709" s="8"/>
      <c r="G709" s="19"/>
      <c r="H709" s="20"/>
      <c r="I709" s="7"/>
      <c r="J709" s="8"/>
      <c r="K709" s="8"/>
      <c r="L709" s="8"/>
      <c r="M709" s="9" t="str">
        <f t="shared" si="11"/>
        <v> </v>
      </c>
      <c r="N709" s="8"/>
      <c r="O709" s="8"/>
      <c r="P709" s="8"/>
      <c r="Q709" s="8"/>
      <c r="R709" s="8"/>
      <c r="S709" s="10"/>
    </row>
    <row r="710" ht="13.5" customHeight="1">
      <c r="A710" s="9"/>
      <c r="B710" s="8"/>
      <c r="C710" s="8"/>
      <c r="D710" s="134" t="str">
        <f t="shared" si="9"/>
        <v> </v>
      </c>
      <c r="E710" s="40" t="str">
        <f t="shared" si="10"/>
        <v>/ / </v>
      </c>
      <c r="F710" s="8"/>
      <c r="G710" s="19"/>
      <c r="H710" s="20"/>
      <c r="I710" s="7"/>
      <c r="J710" s="8"/>
      <c r="K710" s="8"/>
      <c r="L710" s="8"/>
      <c r="M710" s="9" t="str">
        <f t="shared" si="11"/>
        <v> </v>
      </c>
      <c r="N710" s="8"/>
      <c r="O710" s="8"/>
      <c r="P710" s="8"/>
      <c r="Q710" s="8"/>
      <c r="R710" s="8"/>
      <c r="S710" s="10"/>
    </row>
    <row r="711" ht="13.5" customHeight="1">
      <c r="A711" s="9"/>
      <c r="B711" s="8"/>
      <c r="C711" s="8"/>
      <c r="D711" s="134" t="str">
        <f t="shared" si="9"/>
        <v> </v>
      </c>
      <c r="E711" s="40" t="str">
        <f t="shared" si="10"/>
        <v>/ / </v>
      </c>
      <c r="F711" s="8"/>
      <c r="G711" s="19"/>
      <c r="H711" s="20"/>
      <c r="I711" s="7"/>
      <c r="J711" s="8"/>
      <c r="K711" s="8"/>
      <c r="L711" s="8"/>
      <c r="M711" s="9" t="str">
        <f t="shared" si="11"/>
        <v> </v>
      </c>
      <c r="N711" s="8"/>
      <c r="O711" s="8"/>
      <c r="P711" s="8"/>
      <c r="Q711" s="8"/>
      <c r="R711" s="8"/>
      <c r="S711" s="10"/>
    </row>
    <row r="712" ht="13.5" customHeight="1">
      <c r="A712" s="9"/>
      <c r="B712" s="8"/>
      <c r="C712" s="8"/>
      <c r="D712" s="134" t="str">
        <f t="shared" si="9"/>
        <v> </v>
      </c>
      <c r="E712" s="40" t="str">
        <f t="shared" si="10"/>
        <v>/ / </v>
      </c>
      <c r="F712" s="8"/>
      <c r="G712" s="19"/>
      <c r="H712" s="20"/>
      <c r="I712" s="7"/>
      <c r="J712" s="8"/>
      <c r="K712" s="8"/>
      <c r="L712" s="8"/>
      <c r="M712" s="9" t="str">
        <f t="shared" si="11"/>
        <v> </v>
      </c>
      <c r="N712" s="8"/>
      <c r="O712" s="8"/>
      <c r="P712" s="8"/>
      <c r="Q712" s="8"/>
      <c r="R712" s="8"/>
      <c r="S712" s="10"/>
    </row>
    <row r="713" ht="13.5" customHeight="1">
      <c r="A713" s="9"/>
      <c r="B713" s="8"/>
      <c r="C713" s="8"/>
      <c r="D713" s="134" t="str">
        <f t="shared" si="9"/>
        <v> </v>
      </c>
      <c r="E713" s="40" t="str">
        <f t="shared" si="10"/>
        <v>/ / </v>
      </c>
      <c r="F713" s="8"/>
      <c r="G713" s="19"/>
      <c r="H713" s="20"/>
      <c r="I713" s="7"/>
      <c r="J713" s="8"/>
      <c r="K713" s="8"/>
      <c r="L713" s="8"/>
      <c r="M713" s="9" t="str">
        <f t="shared" si="11"/>
        <v> </v>
      </c>
      <c r="N713" s="8"/>
      <c r="O713" s="8"/>
      <c r="P713" s="8"/>
      <c r="Q713" s="8"/>
      <c r="R713" s="8"/>
      <c r="S713" s="10"/>
    </row>
    <row r="714" ht="13.5" customHeight="1">
      <c r="A714" s="9"/>
      <c r="B714" s="8"/>
      <c r="C714" s="8"/>
      <c r="D714" s="134" t="str">
        <f t="shared" si="9"/>
        <v> </v>
      </c>
      <c r="E714" s="40" t="str">
        <f t="shared" si="10"/>
        <v>/ / </v>
      </c>
      <c r="F714" s="8"/>
      <c r="G714" s="19"/>
      <c r="H714" s="20"/>
      <c r="I714" s="7"/>
      <c r="J714" s="8"/>
      <c r="K714" s="8"/>
      <c r="L714" s="8"/>
      <c r="M714" s="9" t="str">
        <f t="shared" si="11"/>
        <v> </v>
      </c>
      <c r="N714" s="8"/>
      <c r="O714" s="8"/>
      <c r="P714" s="8"/>
      <c r="Q714" s="8"/>
      <c r="R714" s="8"/>
      <c r="S714" s="10"/>
    </row>
    <row r="715" ht="13.5" customHeight="1">
      <c r="A715" s="9"/>
      <c r="B715" s="8"/>
      <c r="C715" s="8"/>
      <c r="D715" s="134" t="str">
        <f t="shared" si="9"/>
        <v> </v>
      </c>
      <c r="E715" s="40" t="str">
        <f t="shared" si="10"/>
        <v>/ / </v>
      </c>
      <c r="F715" s="8"/>
      <c r="G715" s="19"/>
      <c r="H715" s="20"/>
      <c r="I715" s="7"/>
      <c r="J715" s="8"/>
      <c r="K715" s="8"/>
      <c r="L715" s="8"/>
      <c r="M715" s="9" t="str">
        <f t="shared" si="11"/>
        <v> </v>
      </c>
      <c r="N715" s="8"/>
      <c r="O715" s="8"/>
      <c r="P715" s="8"/>
      <c r="Q715" s="8"/>
      <c r="R715" s="8"/>
      <c r="S715" s="10"/>
    </row>
    <row r="716" ht="13.5" customHeight="1">
      <c r="A716" s="9"/>
      <c r="B716" s="8"/>
      <c r="C716" s="8"/>
      <c r="D716" s="134" t="str">
        <f t="shared" si="9"/>
        <v> </v>
      </c>
      <c r="E716" s="40" t="str">
        <f t="shared" si="10"/>
        <v>/ / </v>
      </c>
      <c r="F716" s="8"/>
      <c r="G716" s="19"/>
      <c r="H716" s="20"/>
      <c r="I716" s="7"/>
      <c r="J716" s="8"/>
      <c r="K716" s="8"/>
      <c r="L716" s="8"/>
      <c r="M716" s="9" t="str">
        <f t="shared" si="11"/>
        <v> </v>
      </c>
      <c r="N716" s="8"/>
      <c r="O716" s="8"/>
      <c r="P716" s="8"/>
      <c r="Q716" s="8"/>
      <c r="R716" s="8"/>
      <c r="S716" s="10"/>
    </row>
    <row r="717" ht="13.5" customHeight="1">
      <c r="A717" s="9"/>
      <c r="B717" s="8"/>
      <c r="C717" s="8"/>
      <c r="D717" s="134" t="str">
        <f t="shared" si="9"/>
        <v> </v>
      </c>
      <c r="E717" s="40" t="str">
        <f t="shared" si="10"/>
        <v>/ / </v>
      </c>
      <c r="F717" s="8"/>
      <c r="G717" s="19"/>
      <c r="H717" s="20"/>
      <c r="I717" s="7"/>
      <c r="J717" s="8"/>
      <c r="K717" s="8"/>
      <c r="L717" s="8"/>
      <c r="M717" s="9" t="str">
        <f t="shared" si="11"/>
        <v> </v>
      </c>
      <c r="N717" s="8"/>
      <c r="O717" s="8"/>
      <c r="P717" s="8"/>
      <c r="Q717" s="8"/>
      <c r="R717" s="8"/>
      <c r="S717" s="10"/>
    </row>
    <row r="718" ht="13.5" customHeight="1">
      <c r="A718" s="9"/>
      <c r="B718" s="8"/>
      <c r="C718" s="8"/>
      <c r="D718" s="134" t="str">
        <f t="shared" si="9"/>
        <v> </v>
      </c>
      <c r="E718" s="40" t="str">
        <f t="shared" si="10"/>
        <v>/ / </v>
      </c>
      <c r="F718" s="8"/>
      <c r="G718" s="19"/>
      <c r="H718" s="20"/>
      <c r="I718" s="7"/>
      <c r="J718" s="8"/>
      <c r="K718" s="8"/>
      <c r="L718" s="8"/>
      <c r="M718" s="9" t="str">
        <f t="shared" si="11"/>
        <v> </v>
      </c>
      <c r="N718" s="8"/>
      <c r="O718" s="8"/>
      <c r="P718" s="8"/>
      <c r="Q718" s="8"/>
      <c r="R718" s="8"/>
      <c r="S718" s="10"/>
    </row>
    <row r="719" ht="13.5" customHeight="1">
      <c r="A719" s="9"/>
      <c r="B719" s="8"/>
      <c r="C719" s="8"/>
      <c r="D719" s="134" t="str">
        <f t="shared" si="9"/>
        <v> </v>
      </c>
      <c r="E719" s="40" t="str">
        <f t="shared" si="10"/>
        <v>/ / </v>
      </c>
      <c r="F719" s="8"/>
      <c r="G719" s="19"/>
      <c r="H719" s="20"/>
      <c r="I719" s="7"/>
      <c r="J719" s="8"/>
      <c r="K719" s="8"/>
      <c r="L719" s="8"/>
      <c r="M719" s="9" t="str">
        <f t="shared" si="11"/>
        <v> </v>
      </c>
      <c r="N719" s="8"/>
      <c r="O719" s="8"/>
      <c r="P719" s="8"/>
      <c r="Q719" s="8"/>
      <c r="R719" s="8"/>
      <c r="S719" s="10"/>
    </row>
    <row r="720" ht="13.5" customHeight="1">
      <c r="A720" s="9"/>
      <c r="B720" s="43"/>
      <c r="C720" s="43"/>
      <c r="D720" s="134"/>
      <c r="E720" s="40"/>
      <c r="F720" s="8"/>
      <c r="G720" s="162"/>
      <c r="H720" s="20"/>
      <c r="I720" s="116"/>
      <c r="J720" s="43"/>
      <c r="K720" s="43"/>
      <c r="L720" s="43"/>
      <c r="M720" s="9"/>
      <c r="N720" s="8"/>
      <c r="O720" s="8"/>
      <c r="P720" s="8"/>
      <c r="Q720" s="8"/>
      <c r="R720" s="8"/>
      <c r="S720" s="10"/>
    </row>
    <row r="721" ht="13.5" customHeight="1">
      <c r="A721" s="9"/>
      <c r="B721" s="43"/>
      <c r="C721" s="43"/>
      <c r="D721" s="134"/>
      <c r="E721" s="40"/>
      <c r="F721" s="8"/>
      <c r="G721" s="162"/>
      <c r="H721" s="20"/>
      <c r="I721" s="116"/>
      <c r="J721" s="43"/>
      <c r="K721" s="43"/>
      <c r="L721" s="43"/>
      <c r="M721" s="9"/>
      <c r="N721" s="8"/>
      <c r="O721" s="8"/>
      <c r="P721" s="8"/>
      <c r="Q721" s="8"/>
      <c r="R721" s="8"/>
      <c r="S721" s="10"/>
    </row>
    <row r="722" ht="13.5" customHeight="1">
      <c r="A722" s="9"/>
      <c r="B722" s="43"/>
      <c r="C722" s="43"/>
      <c r="D722" s="134"/>
      <c r="E722" s="40"/>
      <c r="F722" s="8"/>
      <c r="G722" s="19"/>
      <c r="H722" s="20"/>
      <c r="I722" s="116"/>
      <c r="J722" s="43"/>
      <c r="K722" s="43"/>
      <c r="L722" s="43"/>
      <c r="M722" s="9"/>
      <c r="N722" s="8"/>
      <c r="O722" s="8"/>
      <c r="P722" s="8"/>
      <c r="Q722" s="8"/>
      <c r="R722" s="8"/>
      <c r="S722" s="10"/>
    </row>
    <row r="723" ht="13.5" customHeight="1">
      <c r="A723" s="9"/>
      <c r="B723" s="8"/>
      <c r="C723" s="8"/>
      <c r="D723" s="134" t="str">
        <f t="shared" ref="D723:D808" si="12">if(C723=$G$2,$H$2, if(C723=$G$3,$H$3, if(C723=$G$4,$H$4, if(C723=$G$5,$H$5,if(C723=$G$6,$H$6, " ")))))</f>
        <v> </v>
      </c>
      <c r="E723" s="40" t="str">
        <f t="shared" ref="E723:E808" si="13">CONCATENATE(B723,"/",D723,"/",M723)</f>
        <v>/ / </v>
      </c>
      <c r="F723" s="8"/>
      <c r="G723" s="19"/>
      <c r="H723" s="20"/>
      <c r="I723" s="7"/>
      <c r="J723" s="8"/>
      <c r="K723" s="8"/>
      <c r="L723" s="8"/>
      <c r="M723" s="9" t="str">
        <f t="shared" ref="M723:M830" si="14">if(L723=$J$2,$K$2,if(L723=$J$3,$K$3,if(L723=$J$4,$K$4," ")))</f>
        <v> </v>
      </c>
      <c r="N723" s="8"/>
      <c r="O723" s="8"/>
      <c r="P723" s="8"/>
      <c r="Q723" s="8"/>
      <c r="R723" s="8"/>
      <c r="S723" s="10"/>
    </row>
    <row r="724" ht="13.5" customHeight="1">
      <c r="A724" s="9"/>
      <c r="B724" s="8"/>
      <c r="C724" s="8"/>
      <c r="D724" s="134" t="str">
        <f t="shared" si="12"/>
        <v> </v>
      </c>
      <c r="E724" s="40" t="str">
        <f t="shared" si="13"/>
        <v>/ / </v>
      </c>
      <c r="F724" s="8"/>
      <c r="G724" s="19"/>
      <c r="H724" s="20"/>
      <c r="I724" s="7"/>
      <c r="J724" s="8"/>
      <c r="K724" s="8"/>
      <c r="L724" s="8"/>
      <c r="M724" s="9" t="str">
        <f t="shared" si="14"/>
        <v> </v>
      </c>
      <c r="N724" s="8"/>
      <c r="O724" s="8"/>
      <c r="P724" s="8"/>
      <c r="Q724" s="8"/>
      <c r="R724" s="8"/>
      <c r="S724" s="10"/>
    </row>
    <row r="725" ht="13.5" customHeight="1">
      <c r="A725" s="9"/>
      <c r="B725" s="8"/>
      <c r="C725" s="8"/>
      <c r="D725" s="134" t="str">
        <f t="shared" si="12"/>
        <v> </v>
      </c>
      <c r="E725" s="40" t="str">
        <f t="shared" si="13"/>
        <v>/ / </v>
      </c>
      <c r="F725" s="8"/>
      <c r="G725" s="19"/>
      <c r="H725" s="20"/>
      <c r="I725" s="7"/>
      <c r="J725" s="8"/>
      <c r="K725" s="8"/>
      <c r="L725" s="8"/>
      <c r="M725" s="9" t="str">
        <f t="shared" si="14"/>
        <v> </v>
      </c>
      <c r="N725" s="8"/>
      <c r="O725" s="8"/>
      <c r="P725" s="8"/>
      <c r="Q725" s="8"/>
      <c r="R725" s="8"/>
      <c r="S725" s="10"/>
    </row>
    <row r="726" ht="13.5" customHeight="1">
      <c r="A726" s="9"/>
      <c r="B726" s="8"/>
      <c r="C726" s="8"/>
      <c r="D726" s="134" t="str">
        <f t="shared" si="12"/>
        <v> </v>
      </c>
      <c r="E726" s="40" t="str">
        <f t="shared" si="13"/>
        <v>/ / </v>
      </c>
      <c r="F726" s="8"/>
      <c r="G726" s="19"/>
      <c r="H726" s="20"/>
      <c r="I726" s="7"/>
      <c r="J726" s="8"/>
      <c r="K726" s="8"/>
      <c r="L726" s="8"/>
      <c r="M726" s="9" t="str">
        <f t="shared" si="14"/>
        <v> </v>
      </c>
      <c r="N726" s="8"/>
      <c r="O726" s="8"/>
      <c r="P726" s="8"/>
      <c r="Q726" s="8"/>
      <c r="R726" s="8"/>
      <c r="S726" s="10"/>
    </row>
    <row r="727" ht="13.5" customHeight="1">
      <c r="A727" s="9"/>
      <c r="B727" s="8"/>
      <c r="C727" s="8"/>
      <c r="D727" s="134" t="str">
        <f t="shared" si="12"/>
        <v> </v>
      </c>
      <c r="E727" s="40" t="str">
        <f t="shared" si="13"/>
        <v>/ / </v>
      </c>
      <c r="F727" s="8"/>
      <c r="G727" s="19"/>
      <c r="H727" s="20"/>
      <c r="I727" s="7"/>
      <c r="J727" s="8"/>
      <c r="K727" s="8"/>
      <c r="L727" s="8"/>
      <c r="M727" s="9" t="str">
        <f t="shared" si="14"/>
        <v> </v>
      </c>
      <c r="N727" s="8"/>
      <c r="O727" s="8"/>
      <c r="P727" s="8"/>
      <c r="Q727" s="8"/>
      <c r="R727" s="8"/>
      <c r="S727" s="10"/>
    </row>
    <row r="728" ht="13.5" customHeight="1">
      <c r="A728" s="9"/>
      <c r="B728" s="8"/>
      <c r="C728" s="8"/>
      <c r="D728" s="134" t="str">
        <f t="shared" si="12"/>
        <v> </v>
      </c>
      <c r="E728" s="40" t="str">
        <f t="shared" si="13"/>
        <v>/ / </v>
      </c>
      <c r="F728" s="8"/>
      <c r="G728" s="19"/>
      <c r="H728" s="20"/>
      <c r="I728" s="7"/>
      <c r="J728" s="8"/>
      <c r="K728" s="8"/>
      <c r="L728" s="8"/>
      <c r="M728" s="9" t="str">
        <f t="shared" si="14"/>
        <v> </v>
      </c>
      <c r="N728" s="8"/>
      <c r="O728" s="8"/>
      <c r="P728" s="8"/>
      <c r="Q728" s="8"/>
      <c r="R728" s="8"/>
      <c r="S728" s="10"/>
    </row>
    <row r="729" ht="13.5" customHeight="1">
      <c r="A729" s="9"/>
      <c r="B729" s="8"/>
      <c r="C729" s="8"/>
      <c r="D729" s="134" t="str">
        <f t="shared" si="12"/>
        <v> </v>
      </c>
      <c r="E729" s="40" t="str">
        <f t="shared" si="13"/>
        <v>/ / </v>
      </c>
      <c r="F729" s="8"/>
      <c r="G729" s="19"/>
      <c r="H729" s="20"/>
      <c r="I729" s="7"/>
      <c r="J729" s="8"/>
      <c r="K729" s="8"/>
      <c r="L729" s="8"/>
      <c r="M729" s="9" t="str">
        <f t="shared" si="14"/>
        <v> </v>
      </c>
      <c r="N729" s="8"/>
      <c r="O729" s="8"/>
      <c r="P729" s="8"/>
      <c r="Q729" s="8"/>
      <c r="R729" s="8"/>
      <c r="S729" s="10"/>
    </row>
    <row r="730" ht="13.5" customHeight="1">
      <c r="A730" s="9"/>
      <c r="B730" s="8"/>
      <c r="C730" s="8"/>
      <c r="D730" s="134" t="str">
        <f t="shared" si="12"/>
        <v> </v>
      </c>
      <c r="E730" s="40" t="str">
        <f t="shared" si="13"/>
        <v>/ / </v>
      </c>
      <c r="F730" s="8"/>
      <c r="G730" s="19"/>
      <c r="H730" s="20"/>
      <c r="I730" s="7"/>
      <c r="J730" s="8"/>
      <c r="K730" s="8"/>
      <c r="L730" s="8"/>
      <c r="M730" s="9" t="str">
        <f t="shared" si="14"/>
        <v> </v>
      </c>
      <c r="N730" s="8"/>
      <c r="O730" s="8"/>
      <c r="P730" s="8"/>
      <c r="Q730" s="8"/>
      <c r="R730" s="8"/>
      <c r="S730" s="10"/>
    </row>
    <row r="731" ht="13.5" customHeight="1">
      <c r="A731" s="9"/>
      <c r="B731" s="8"/>
      <c r="C731" s="8"/>
      <c r="D731" s="134" t="str">
        <f t="shared" si="12"/>
        <v> </v>
      </c>
      <c r="E731" s="40" t="str">
        <f t="shared" si="13"/>
        <v>/ / </v>
      </c>
      <c r="F731" s="8"/>
      <c r="G731" s="19"/>
      <c r="H731" s="20"/>
      <c r="I731" s="7"/>
      <c r="J731" s="8"/>
      <c r="K731" s="8"/>
      <c r="L731" s="8"/>
      <c r="M731" s="9" t="str">
        <f t="shared" si="14"/>
        <v> </v>
      </c>
      <c r="N731" s="8"/>
      <c r="O731" s="8"/>
      <c r="P731" s="8"/>
      <c r="Q731" s="8"/>
      <c r="R731" s="8"/>
      <c r="S731" s="10"/>
    </row>
    <row r="732" ht="13.5" customHeight="1">
      <c r="A732" s="9"/>
      <c r="B732" s="8"/>
      <c r="C732" s="8"/>
      <c r="D732" s="134" t="str">
        <f t="shared" si="12"/>
        <v> </v>
      </c>
      <c r="E732" s="40" t="str">
        <f t="shared" si="13"/>
        <v>/ / </v>
      </c>
      <c r="F732" s="8"/>
      <c r="G732" s="19"/>
      <c r="H732" s="20"/>
      <c r="I732" s="7"/>
      <c r="J732" s="8"/>
      <c r="K732" s="8"/>
      <c r="L732" s="8"/>
      <c r="M732" s="9" t="str">
        <f t="shared" si="14"/>
        <v> </v>
      </c>
      <c r="N732" s="8"/>
      <c r="O732" s="8"/>
      <c r="P732" s="8"/>
      <c r="Q732" s="8"/>
      <c r="R732" s="8"/>
      <c r="S732" s="10"/>
    </row>
    <row r="733" ht="13.5" customHeight="1">
      <c r="A733" s="9"/>
      <c r="B733" s="8"/>
      <c r="C733" s="8"/>
      <c r="D733" s="134" t="str">
        <f t="shared" si="12"/>
        <v> </v>
      </c>
      <c r="E733" s="40" t="str">
        <f t="shared" si="13"/>
        <v>/ / </v>
      </c>
      <c r="F733" s="8"/>
      <c r="G733" s="19"/>
      <c r="H733" s="20"/>
      <c r="I733" s="7"/>
      <c r="J733" s="8"/>
      <c r="K733" s="8"/>
      <c r="L733" s="8"/>
      <c r="M733" s="9" t="str">
        <f t="shared" si="14"/>
        <v> </v>
      </c>
      <c r="N733" s="8"/>
      <c r="O733" s="8"/>
      <c r="P733" s="8"/>
      <c r="Q733" s="8"/>
      <c r="R733" s="8"/>
      <c r="S733" s="10"/>
    </row>
    <row r="734" ht="13.5" customHeight="1">
      <c r="A734" s="9"/>
      <c r="B734" s="8"/>
      <c r="C734" s="8"/>
      <c r="D734" s="134" t="str">
        <f t="shared" si="12"/>
        <v> </v>
      </c>
      <c r="E734" s="40" t="str">
        <f t="shared" si="13"/>
        <v>/ / </v>
      </c>
      <c r="F734" s="8"/>
      <c r="G734" s="19"/>
      <c r="H734" s="20"/>
      <c r="I734" s="7"/>
      <c r="J734" s="8"/>
      <c r="K734" s="8"/>
      <c r="L734" s="8"/>
      <c r="M734" s="9" t="str">
        <f t="shared" si="14"/>
        <v> </v>
      </c>
      <c r="N734" s="8"/>
      <c r="O734" s="8"/>
      <c r="P734" s="8"/>
      <c r="Q734" s="8"/>
      <c r="R734" s="8"/>
      <c r="S734" s="10"/>
    </row>
    <row r="735" ht="13.5" customHeight="1">
      <c r="A735" s="9"/>
      <c r="B735" s="8"/>
      <c r="C735" s="8"/>
      <c r="D735" s="134" t="str">
        <f t="shared" si="12"/>
        <v> </v>
      </c>
      <c r="E735" s="40" t="str">
        <f t="shared" si="13"/>
        <v>/ / </v>
      </c>
      <c r="F735" s="8"/>
      <c r="G735" s="19"/>
      <c r="H735" s="20"/>
      <c r="I735" s="7"/>
      <c r="J735" s="8"/>
      <c r="K735" s="8"/>
      <c r="L735" s="8"/>
      <c r="M735" s="9" t="str">
        <f t="shared" si="14"/>
        <v> </v>
      </c>
      <c r="N735" s="8"/>
      <c r="O735" s="8"/>
      <c r="P735" s="8"/>
      <c r="Q735" s="8"/>
      <c r="R735" s="8"/>
      <c r="S735" s="10"/>
    </row>
    <row r="736" ht="13.5" customHeight="1">
      <c r="A736" s="9"/>
      <c r="B736" s="8"/>
      <c r="C736" s="8"/>
      <c r="D736" s="134" t="str">
        <f t="shared" si="12"/>
        <v> </v>
      </c>
      <c r="E736" s="40" t="str">
        <f t="shared" si="13"/>
        <v>/ / </v>
      </c>
      <c r="F736" s="8"/>
      <c r="G736" s="19"/>
      <c r="H736" s="20"/>
      <c r="I736" s="7"/>
      <c r="J736" s="8"/>
      <c r="K736" s="8"/>
      <c r="L736" s="8"/>
      <c r="M736" s="9" t="str">
        <f t="shared" si="14"/>
        <v> </v>
      </c>
      <c r="N736" s="8"/>
      <c r="O736" s="8"/>
      <c r="P736" s="8"/>
      <c r="Q736" s="8"/>
      <c r="R736" s="8"/>
      <c r="S736" s="10"/>
    </row>
    <row r="737" ht="13.5" customHeight="1">
      <c r="A737" s="9"/>
      <c r="B737" s="8"/>
      <c r="C737" s="8"/>
      <c r="D737" s="134" t="str">
        <f t="shared" si="12"/>
        <v> </v>
      </c>
      <c r="E737" s="40" t="str">
        <f t="shared" si="13"/>
        <v>/ / </v>
      </c>
      <c r="F737" s="8"/>
      <c r="G737" s="19"/>
      <c r="H737" s="20"/>
      <c r="I737" s="7"/>
      <c r="J737" s="8"/>
      <c r="K737" s="8"/>
      <c r="L737" s="8"/>
      <c r="M737" s="9" t="str">
        <f t="shared" si="14"/>
        <v> </v>
      </c>
      <c r="N737" s="8"/>
      <c r="O737" s="8"/>
      <c r="P737" s="8"/>
      <c r="Q737" s="8"/>
      <c r="R737" s="8"/>
      <c r="S737" s="10"/>
    </row>
    <row r="738" ht="13.5" customHeight="1">
      <c r="A738" s="9"/>
      <c r="B738" s="8"/>
      <c r="C738" s="8"/>
      <c r="D738" s="134" t="str">
        <f t="shared" si="12"/>
        <v> </v>
      </c>
      <c r="E738" s="40" t="str">
        <f t="shared" si="13"/>
        <v>/ / </v>
      </c>
      <c r="F738" s="8"/>
      <c r="G738" s="19"/>
      <c r="H738" s="20"/>
      <c r="I738" s="7"/>
      <c r="J738" s="8"/>
      <c r="K738" s="8"/>
      <c r="L738" s="8"/>
      <c r="M738" s="9" t="str">
        <f t="shared" si="14"/>
        <v> </v>
      </c>
      <c r="N738" s="8"/>
      <c r="O738" s="8"/>
      <c r="P738" s="8"/>
      <c r="Q738" s="8"/>
      <c r="R738" s="8"/>
      <c r="S738" s="10"/>
    </row>
    <row r="739" ht="13.5" customHeight="1">
      <c r="A739" s="9"/>
      <c r="B739" s="8"/>
      <c r="C739" s="8"/>
      <c r="D739" s="134" t="str">
        <f t="shared" si="12"/>
        <v> </v>
      </c>
      <c r="E739" s="40" t="str">
        <f t="shared" si="13"/>
        <v>/ / </v>
      </c>
      <c r="F739" s="8"/>
      <c r="G739" s="19"/>
      <c r="H739" s="20"/>
      <c r="I739" s="7"/>
      <c r="J739" s="8"/>
      <c r="K739" s="8"/>
      <c r="L739" s="8"/>
      <c r="M739" s="9" t="str">
        <f t="shared" si="14"/>
        <v> </v>
      </c>
      <c r="N739" s="8"/>
      <c r="O739" s="8"/>
      <c r="P739" s="8"/>
      <c r="Q739" s="8"/>
      <c r="R739" s="8"/>
      <c r="S739" s="10"/>
    </row>
    <row r="740" ht="13.5" customHeight="1">
      <c r="A740" s="9"/>
      <c r="B740" s="8"/>
      <c r="C740" s="8"/>
      <c r="D740" s="134" t="str">
        <f t="shared" si="12"/>
        <v> </v>
      </c>
      <c r="E740" s="40" t="str">
        <f t="shared" si="13"/>
        <v>/ / </v>
      </c>
      <c r="F740" s="8"/>
      <c r="G740" s="19"/>
      <c r="H740" s="20"/>
      <c r="I740" s="7"/>
      <c r="J740" s="8"/>
      <c r="K740" s="8"/>
      <c r="L740" s="8"/>
      <c r="M740" s="9" t="str">
        <f t="shared" si="14"/>
        <v> </v>
      </c>
      <c r="N740" s="8"/>
      <c r="O740" s="8"/>
      <c r="P740" s="8"/>
      <c r="Q740" s="8"/>
      <c r="R740" s="8"/>
      <c r="S740" s="10"/>
    </row>
    <row r="741" ht="13.5" customHeight="1">
      <c r="A741" s="9"/>
      <c r="B741" s="8"/>
      <c r="C741" s="8"/>
      <c r="D741" s="134" t="str">
        <f t="shared" si="12"/>
        <v> </v>
      </c>
      <c r="E741" s="40" t="str">
        <f t="shared" si="13"/>
        <v>/ / </v>
      </c>
      <c r="F741" s="8"/>
      <c r="G741" s="19"/>
      <c r="H741" s="20"/>
      <c r="I741" s="7"/>
      <c r="J741" s="8"/>
      <c r="K741" s="8"/>
      <c r="L741" s="8"/>
      <c r="M741" s="9" t="str">
        <f t="shared" si="14"/>
        <v> </v>
      </c>
      <c r="N741" s="8"/>
      <c r="O741" s="8"/>
      <c r="P741" s="8"/>
      <c r="Q741" s="8"/>
      <c r="R741" s="8"/>
      <c r="S741" s="10"/>
    </row>
    <row r="742" ht="13.5" customHeight="1">
      <c r="A742" s="9"/>
      <c r="B742" s="8"/>
      <c r="C742" s="8"/>
      <c r="D742" s="134" t="str">
        <f t="shared" si="12"/>
        <v> </v>
      </c>
      <c r="E742" s="40" t="str">
        <f t="shared" si="13"/>
        <v>/ / </v>
      </c>
      <c r="F742" s="8"/>
      <c r="G742" s="19"/>
      <c r="H742" s="20"/>
      <c r="I742" s="7"/>
      <c r="J742" s="8"/>
      <c r="K742" s="8"/>
      <c r="L742" s="8"/>
      <c r="M742" s="9" t="str">
        <f t="shared" si="14"/>
        <v> </v>
      </c>
      <c r="N742" s="8"/>
      <c r="O742" s="8"/>
      <c r="P742" s="8"/>
      <c r="Q742" s="8"/>
      <c r="R742" s="8"/>
      <c r="S742" s="10"/>
    </row>
    <row r="743" ht="13.5" customHeight="1">
      <c r="A743" s="9"/>
      <c r="B743" s="8"/>
      <c r="C743" s="8"/>
      <c r="D743" s="134" t="str">
        <f t="shared" si="12"/>
        <v> </v>
      </c>
      <c r="E743" s="40" t="str">
        <f t="shared" si="13"/>
        <v>/ / </v>
      </c>
      <c r="F743" s="8"/>
      <c r="G743" s="19"/>
      <c r="H743" s="20"/>
      <c r="I743" s="7"/>
      <c r="J743" s="8"/>
      <c r="K743" s="8"/>
      <c r="L743" s="8"/>
      <c r="M743" s="9" t="str">
        <f t="shared" si="14"/>
        <v> </v>
      </c>
      <c r="N743" s="8"/>
      <c r="O743" s="8"/>
      <c r="P743" s="8"/>
      <c r="Q743" s="8"/>
      <c r="R743" s="8"/>
      <c r="S743" s="10"/>
    </row>
    <row r="744" ht="13.5" customHeight="1">
      <c r="A744" s="9"/>
      <c r="B744" s="8"/>
      <c r="C744" s="8"/>
      <c r="D744" s="134" t="str">
        <f t="shared" si="12"/>
        <v> </v>
      </c>
      <c r="E744" s="40" t="str">
        <f t="shared" si="13"/>
        <v>/ / </v>
      </c>
      <c r="F744" s="8"/>
      <c r="G744" s="19"/>
      <c r="H744" s="20"/>
      <c r="I744" s="7"/>
      <c r="J744" s="8"/>
      <c r="K744" s="8"/>
      <c r="L744" s="8"/>
      <c r="M744" s="9" t="str">
        <f t="shared" si="14"/>
        <v> </v>
      </c>
      <c r="N744" s="8"/>
      <c r="O744" s="8"/>
      <c r="P744" s="8"/>
      <c r="Q744" s="8"/>
      <c r="R744" s="8"/>
      <c r="S744" s="10"/>
    </row>
    <row r="745" ht="13.5" customHeight="1">
      <c r="A745" s="9"/>
      <c r="B745" s="8"/>
      <c r="C745" s="8"/>
      <c r="D745" s="134" t="str">
        <f t="shared" si="12"/>
        <v> </v>
      </c>
      <c r="E745" s="40" t="str">
        <f t="shared" si="13"/>
        <v>/ / </v>
      </c>
      <c r="F745" s="8"/>
      <c r="G745" s="19"/>
      <c r="H745" s="20"/>
      <c r="I745" s="7"/>
      <c r="J745" s="8"/>
      <c r="K745" s="8"/>
      <c r="L745" s="8"/>
      <c r="M745" s="9" t="str">
        <f t="shared" si="14"/>
        <v> </v>
      </c>
      <c r="N745" s="8"/>
      <c r="O745" s="8"/>
      <c r="P745" s="8"/>
      <c r="Q745" s="8"/>
      <c r="R745" s="8"/>
      <c r="S745" s="10"/>
    </row>
    <row r="746" ht="13.5" customHeight="1">
      <c r="A746" s="9"/>
      <c r="B746" s="8"/>
      <c r="C746" s="8"/>
      <c r="D746" s="134" t="str">
        <f t="shared" si="12"/>
        <v> </v>
      </c>
      <c r="E746" s="40" t="str">
        <f t="shared" si="13"/>
        <v>/ / </v>
      </c>
      <c r="F746" s="8"/>
      <c r="G746" s="19"/>
      <c r="H746" s="20"/>
      <c r="I746" s="7"/>
      <c r="J746" s="8"/>
      <c r="K746" s="8"/>
      <c r="L746" s="8"/>
      <c r="M746" s="9" t="str">
        <f t="shared" si="14"/>
        <v> </v>
      </c>
      <c r="N746" s="8"/>
      <c r="O746" s="8"/>
      <c r="P746" s="8"/>
      <c r="Q746" s="8"/>
      <c r="R746" s="8"/>
      <c r="S746" s="10"/>
    </row>
    <row r="747" ht="13.5" customHeight="1">
      <c r="A747" s="9"/>
      <c r="B747" s="8"/>
      <c r="C747" s="8"/>
      <c r="D747" s="134" t="str">
        <f t="shared" si="12"/>
        <v> </v>
      </c>
      <c r="E747" s="40" t="str">
        <f t="shared" si="13"/>
        <v>/ / </v>
      </c>
      <c r="F747" s="8"/>
      <c r="G747" s="19"/>
      <c r="H747" s="20"/>
      <c r="I747" s="7"/>
      <c r="J747" s="8"/>
      <c r="K747" s="8"/>
      <c r="L747" s="8"/>
      <c r="M747" s="9" t="str">
        <f t="shared" si="14"/>
        <v> </v>
      </c>
      <c r="N747" s="8"/>
      <c r="O747" s="8"/>
      <c r="P747" s="8"/>
      <c r="Q747" s="8"/>
      <c r="R747" s="8"/>
      <c r="S747" s="10"/>
    </row>
    <row r="748" ht="13.5" customHeight="1">
      <c r="A748" s="9"/>
      <c r="B748" s="8"/>
      <c r="C748" s="8"/>
      <c r="D748" s="134" t="str">
        <f t="shared" si="12"/>
        <v> </v>
      </c>
      <c r="E748" s="40" t="str">
        <f t="shared" si="13"/>
        <v>/ / </v>
      </c>
      <c r="F748" s="8"/>
      <c r="G748" s="19"/>
      <c r="H748" s="20"/>
      <c r="I748" s="7"/>
      <c r="J748" s="8"/>
      <c r="K748" s="8"/>
      <c r="L748" s="8"/>
      <c r="M748" s="9" t="str">
        <f t="shared" si="14"/>
        <v> </v>
      </c>
      <c r="N748" s="8"/>
      <c r="O748" s="8"/>
      <c r="P748" s="8"/>
      <c r="Q748" s="8"/>
      <c r="R748" s="8"/>
      <c r="S748" s="10"/>
    </row>
    <row r="749" ht="13.5" customHeight="1">
      <c r="A749" s="9"/>
      <c r="B749" s="8"/>
      <c r="C749" s="8"/>
      <c r="D749" s="134" t="str">
        <f t="shared" si="12"/>
        <v> </v>
      </c>
      <c r="E749" s="40" t="str">
        <f t="shared" si="13"/>
        <v>/ / </v>
      </c>
      <c r="F749" s="8"/>
      <c r="G749" s="19"/>
      <c r="H749" s="20"/>
      <c r="I749" s="7"/>
      <c r="J749" s="8"/>
      <c r="K749" s="8"/>
      <c r="L749" s="8"/>
      <c r="M749" s="9" t="str">
        <f t="shared" si="14"/>
        <v> </v>
      </c>
      <c r="N749" s="8"/>
      <c r="O749" s="8"/>
      <c r="P749" s="8"/>
      <c r="Q749" s="8"/>
      <c r="R749" s="8"/>
      <c r="S749" s="10"/>
    </row>
    <row r="750" ht="13.5" customHeight="1">
      <c r="A750" s="9"/>
      <c r="B750" s="8"/>
      <c r="C750" s="8"/>
      <c r="D750" s="134" t="str">
        <f t="shared" si="12"/>
        <v> </v>
      </c>
      <c r="E750" s="40" t="str">
        <f t="shared" si="13"/>
        <v>/ / </v>
      </c>
      <c r="F750" s="8"/>
      <c r="G750" s="19"/>
      <c r="H750" s="20"/>
      <c r="I750" s="7"/>
      <c r="J750" s="8"/>
      <c r="K750" s="8"/>
      <c r="L750" s="8"/>
      <c r="M750" s="9" t="str">
        <f t="shared" si="14"/>
        <v> </v>
      </c>
      <c r="N750" s="8"/>
      <c r="O750" s="8"/>
      <c r="P750" s="8"/>
      <c r="Q750" s="8"/>
      <c r="R750" s="8"/>
      <c r="S750" s="10"/>
    </row>
    <row r="751" ht="13.5" customHeight="1">
      <c r="A751" s="9"/>
      <c r="B751" s="8"/>
      <c r="C751" s="8"/>
      <c r="D751" s="134" t="str">
        <f t="shared" si="12"/>
        <v> </v>
      </c>
      <c r="E751" s="40" t="str">
        <f t="shared" si="13"/>
        <v>/ / </v>
      </c>
      <c r="F751" s="8"/>
      <c r="G751" s="19"/>
      <c r="H751" s="20"/>
      <c r="I751" s="7"/>
      <c r="J751" s="8"/>
      <c r="K751" s="8"/>
      <c r="L751" s="8"/>
      <c r="M751" s="9" t="str">
        <f t="shared" si="14"/>
        <v> </v>
      </c>
      <c r="N751" s="8"/>
      <c r="O751" s="8"/>
      <c r="P751" s="8"/>
      <c r="Q751" s="8"/>
      <c r="R751" s="8"/>
      <c r="S751" s="10"/>
    </row>
    <row r="752" ht="13.5" customHeight="1">
      <c r="A752" s="9"/>
      <c r="B752" s="8"/>
      <c r="C752" s="8"/>
      <c r="D752" s="134" t="str">
        <f t="shared" si="12"/>
        <v> </v>
      </c>
      <c r="E752" s="40" t="str">
        <f t="shared" si="13"/>
        <v>/ / </v>
      </c>
      <c r="F752" s="8"/>
      <c r="G752" s="19"/>
      <c r="H752" s="20"/>
      <c r="I752" s="7"/>
      <c r="J752" s="8"/>
      <c r="K752" s="8"/>
      <c r="L752" s="8"/>
      <c r="M752" s="9" t="str">
        <f t="shared" si="14"/>
        <v> </v>
      </c>
      <c r="N752" s="8"/>
      <c r="O752" s="8"/>
      <c r="P752" s="8"/>
      <c r="Q752" s="8"/>
      <c r="R752" s="8"/>
      <c r="S752" s="10"/>
    </row>
    <row r="753" ht="13.5" customHeight="1">
      <c r="A753" s="9"/>
      <c r="B753" s="8"/>
      <c r="C753" s="8"/>
      <c r="D753" s="134" t="str">
        <f t="shared" si="12"/>
        <v> </v>
      </c>
      <c r="E753" s="40" t="str">
        <f t="shared" si="13"/>
        <v>/ / </v>
      </c>
      <c r="F753" s="8"/>
      <c r="G753" s="19"/>
      <c r="H753" s="20"/>
      <c r="I753" s="7"/>
      <c r="J753" s="8"/>
      <c r="K753" s="8"/>
      <c r="L753" s="8"/>
      <c r="M753" s="9" t="str">
        <f t="shared" si="14"/>
        <v> </v>
      </c>
      <c r="N753" s="8"/>
      <c r="O753" s="8"/>
      <c r="P753" s="8"/>
      <c r="Q753" s="8"/>
      <c r="R753" s="8"/>
      <c r="S753" s="10"/>
    </row>
    <row r="754" ht="13.5" customHeight="1">
      <c r="A754" s="9"/>
      <c r="B754" s="8"/>
      <c r="C754" s="8"/>
      <c r="D754" s="134" t="str">
        <f t="shared" si="12"/>
        <v> </v>
      </c>
      <c r="E754" s="40" t="str">
        <f t="shared" si="13"/>
        <v>/ / </v>
      </c>
      <c r="F754" s="8"/>
      <c r="G754" s="19"/>
      <c r="H754" s="20"/>
      <c r="I754" s="7"/>
      <c r="J754" s="8"/>
      <c r="K754" s="8"/>
      <c r="L754" s="8"/>
      <c r="M754" s="9" t="str">
        <f t="shared" si="14"/>
        <v> </v>
      </c>
      <c r="N754" s="8"/>
      <c r="O754" s="8"/>
      <c r="P754" s="8"/>
      <c r="Q754" s="8"/>
      <c r="R754" s="8"/>
      <c r="S754" s="10"/>
    </row>
    <row r="755" ht="13.5" customHeight="1">
      <c r="A755" s="9"/>
      <c r="B755" s="8"/>
      <c r="C755" s="8"/>
      <c r="D755" s="134" t="str">
        <f t="shared" si="12"/>
        <v> </v>
      </c>
      <c r="E755" s="40" t="str">
        <f t="shared" si="13"/>
        <v>/ / </v>
      </c>
      <c r="F755" s="8"/>
      <c r="G755" s="19"/>
      <c r="H755" s="20"/>
      <c r="I755" s="7"/>
      <c r="J755" s="8"/>
      <c r="K755" s="8"/>
      <c r="L755" s="8"/>
      <c r="M755" s="9" t="str">
        <f t="shared" si="14"/>
        <v> </v>
      </c>
      <c r="N755" s="8"/>
      <c r="O755" s="8"/>
      <c r="P755" s="8"/>
      <c r="Q755" s="8"/>
      <c r="R755" s="8"/>
      <c r="S755" s="10"/>
    </row>
    <row r="756" ht="13.5" customHeight="1">
      <c r="A756" s="9"/>
      <c r="B756" s="8"/>
      <c r="C756" s="8"/>
      <c r="D756" s="134" t="str">
        <f t="shared" si="12"/>
        <v> </v>
      </c>
      <c r="E756" s="40" t="str">
        <f t="shared" si="13"/>
        <v>/ / </v>
      </c>
      <c r="F756" s="8"/>
      <c r="G756" s="19"/>
      <c r="H756" s="20"/>
      <c r="I756" s="7"/>
      <c r="J756" s="8"/>
      <c r="K756" s="8"/>
      <c r="L756" s="8"/>
      <c r="M756" s="9" t="str">
        <f t="shared" si="14"/>
        <v> </v>
      </c>
      <c r="N756" s="8"/>
      <c r="O756" s="8"/>
      <c r="P756" s="8"/>
      <c r="Q756" s="8"/>
      <c r="R756" s="8"/>
      <c r="S756" s="10"/>
    </row>
    <row r="757" ht="13.5" customHeight="1">
      <c r="A757" s="9"/>
      <c r="B757" s="8"/>
      <c r="C757" s="8"/>
      <c r="D757" s="134" t="str">
        <f t="shared" si="12"/>
        <v> </v>
      </c>
      <c r="E757" s="40" t="str">
        <f t="shared" si="13"/>
        <v>/ / </v>
      </c>
      <c r="F757" s="8"/>
      <c r="G757" s="19"/>
      <c r="H757" s="20"/>
      <c r="I757" s="7"/>
      <c r="J757" s="8"/>
      <c r="K757" s="8"/>
      <c r="L757" s="8"/>
      <c r="M757" s="9" t="str">
        <f t="shared" si="14"/>
        <v> </v>
      </c>
      <c r="N757" s="8"/>
      <c r="O757" s="8"/>
      <c r="P757" s="8"/>
      <c r="Q757" s="8"/>
      <c r="R757" s="8"/>
      <c r="S757" s="10"/>
    </row>
    <row r="758" ht="13.5" customHeight="1">
      <c r="A758" s="9"/>
      <c r="B758" s="8"/>
      <c r="C758" s="8"/>
      <c r="D758" s="134" t="str">
        <f t="shared" si="12"/>
        <v> </v>
      </c>
      <c r="E758" s="40" t="str">
        <f t="shared" si="13"/>
        <v>/ / </v>
      </c>
      <c r="F758" s="8"/>
      <c r="G758" s="19"/>
      <c r="H758" s="20"/>
      <c r="I758" s="7"/>
      <c r="J758" s="8"/>
      <c r="K758" s="8"/>
      <c r="L758" s="8"/>
      <c r="M758" s="9" t="str">
        <f t="shared" si="14"/>
        <v> </v>
      </c>
      <c r="N758" s="8"/>
      <c r="O758" s="8"/>
      <c r="P758" s="8"/>
      <c r="Q758" s="8"/>
      <c r="R758" s="8"/>
      <c r="S758" s="10"/>
    </row>
    <row r="759" ht="13.5" customHeight="1">
      <c r="A759" s="9"/>
      <c r="B759" s="8"/>
      <c r="C759" s="8"/>
      <c r="D759" s="134" t="str">
        <f t="shared" si="12"/>
        <v> </v>
      </c>
      <c r="E759" s="40" t="str">
        <f t="shared" si="13"/>
        <v>/ / </v>
      </c>
      <c r="F759" s="8"/>
      <c r="G759" s="19"/>
      <c r="H759" s="20"/>
      <c r="I759" s="7"/>
      <c r="J759" s="8"/>
      <c r="K759" s="8"/>
      <c r="L759" s="8"/>
      <c r="M759" s="9" t="str">
        <f t="shared" si="14"/>
        <v> </v>
      </c>
      <c r="N759" s="8"/>
      <c r="O759" s="8"/>
      <c r="P759" s="8"/>
      <c r="Q759" s="8"/>
      <c r="R759" s="8"/>
      <c r="S759" s="10"/>
    </row>
    <row r="760" ht="13.5" customHeight="1">
      <c r="A760" s="9"/>
      <c r="B760" s="8"/>
      <c r="C760" s="8"/>
      <c r="D760" s="134" t="str">
        <f t="shared" si="12"/>
        <v> </v>
      </c>
      <c r="E760" s="40" t="str">
        <f t="shared" si="13"/>
        <v>/ / </v>
      </c>
      <c r="F760" s="8"/>
      <c r="G760" s="19"/>
      <c r="H760" s="20"/>
      <c r="I760" s="7"/>
      <c r="J760" s="8"/>
      <c r="K760" s="8"/>
      <c r="L760" s="8"/>
      <c r="M760" s="9" t="str">
        <f t="shared" si="14"/>
        <v> </v>
      </c>
      <c r="N760" s="8"/>
      <c r="O760" s="8"/>
      <c r="P760" s="8"/>
      <c r="Q760" s="8"/>
      <c r="R760" s="8"/>
      <c r="S760" s="10"/>
    </row>
    <row r="761" ht="13.5" customHeight="1">
      <c r="A761" s="9"/>
      <c r="B761" s="8"/>
      <c r="C761" s="8"/>
      <c r="D761" s="134" t="str">
        <f t="shared" si="12"/>
        <v> </v>
      </c>
      <c r="E761" s="40" t="str">
        <f t="shared" si="13"/>
        <v>/ / </v>
      </c>
      <c r="F761" s="8"/>
      <c r="G761" s="19"/>
      <c r="H761" s="20"/>
      <c r="I761" s="7"/>
      <c r="J761" s="8"/>
      <c r="K761" s="8"/>
      <c r="L761" s="8"/>
      <c r="M761" s="9" t="str">
        <f t="shared" si="14"/>
        <v> </v>
      </c>
      <c r="N761" s="8"/>
      <c r="O761" s="8"/>
      <c r="P761" s="8"/>
      <c r="Q761" s="8"/>
      <c r="R761" s="8"/>
      <c r="S761" s="10"/>
    </row>
    <row r="762" ht="13.5" customHeight="1">
      <c r="A762" s="9"/>
      <c r="B762" s="8"/>
      <c r="C762" s="8"/>
      <c r="D762" s="134" t="str">
        <f t="shared" si="12"/>
        <v> </v>
      </c>
      <c r="E762" s="40" t="str">
        <f t="shared" si="13"/>
        <v>/ / </v>
      </c>
      <c r="F762" s="8"/>
      <c r="G762" s="19"/>
      <c r="H762" s="20"/>
      <c r="I762" s="7"/>
      <c r="J762" s="8"/>
      <c r="K762" s="8"/>
      <c r="L762" s="8"/>
      <c r="M762" s="9" t="str">
        <f t="shared" si="14"/>
        <v> </v>
      </c>
      <c r="N762" s="8"/>
      <c r="O762" s="8"/>
      <c r="P762" s="8"/>
      <c r="Q762" s="8"/>
      <c r="R762" s="8"/>
      <c r="S762" s="10"/>
    </row>
    <row r="763" ht="13.5" customHeight="1">
      <c r="A763" s="9"/>
      <c r="B763" s="8"/>
      <c r="C763" s="8"/>
      <c r="D763" s="134" t="str">
        <f t="shared" si="12"/>
        <v> </v>
      </c>
      <c r="E763" s="40" t="str">
        <f t="shared" si="13"/>
        <v>/ / </v>
      </c>
      <c r="F763" s="8"/>
      <c r="G763" s="19"/>
      <c r="H763" s="20"/>
      <c r="I763" s="7"/>
      <c r="J763" s="8"/>
      <c r="K763" s="8"/>
      <c r="L763" s="8"/>
      <c r="M763" s="9" t="str">
        <f t="shared" si="14"/>
        <v> </v>
      </c>
      <c r="N763" s="8"/>
      <c r="O763" s="8"/>
      <c r="P763" s="8"/>
      <c r="Q763" s="8"/>
      <c r="R763" s="8"/>
      <c r="S763" s="10"/>
    </row>
    <row r="764" ht="13.5" customHeight="1">
      <c r="A764" s="9"/>
      <c r="B764" s="8"/>
      <c r="C764" s="8"/>
      <c r="D764" s="134" t="str">
        <f t="shared" si="12"/>
        <v> </v>
      </c>
      <c r="E764" s="40" t="str">
        <f t="shared" si="13"/>
        <v>/ / </v>
      </c>
      <c r="F764" s="8"/>
      <c r="G764" s="19"/>
      <c r="H764" s="20"/>
      <c r="I764" s="7"/>
      <c r="J764" s="8"/>
      <c r="K764" s="8"/>
      <c r="L764" s="8"/>
      <c r="M764" s="9" t="str">
        <f t="shared" si="14"/>
        <v> </v>
      </c>
      <c r="N764" s="8"/>
      <c r="O764" s="8"/>
      <c r="P764" s="8"/>
      <c r="Q764" s="8"/>
      <c r="R764" s="8"/>
      <c r="S764" s="10"/>
    </row>
    <row r="765" ht="13.5" customHeight="1">
      <c r="A765" s="9"/>
      <c r="B765" s="8"/>
      <c r="C765" s="8"/>
      <c r="D765" s="134" t="str">
        <f t="shared" si="12"/>
        <v> </v>
      </c>
      <c r="E765" s="40" t="str">
        <f t="shared" si="13"/>
        <v>/ / </v>
      </c>
      <c r="F765" s="8"/>
      <c r="G765" s="19"/>
      <c r="H765" s="20"/>
      <c r="I765" s="7"/>
      <c r="J765" s="8"/>
      <c r="K765" s="8"/>
      <c r="L765" s="8"/>
      <c r="M765" s="9" t="str">
        <f t="shared" si="14"/>
        <v> </v>
      </c>
      <c r="N765" s="8"/>
      <c r="O765" s="8"/>
      <c r="P765" s="8"/>
      <c r="Q765" s="8"/>
      <c r="R765" s="8"/>
      <c r="S765" s="10"/>
    </row>
    <row r="766" ht="13.5" customHeight="1">
      <c r="A766" s="9"/>
      <c r="B766" s="8"/>
      <c r="C766" s="8"/>
      <c r="D766" s="134" t="str">
        <f t="shared" si="12"/>
        <v> </v>
      </c>
      <c r="E766" s="40" t="str">
        <f t="shared" si="13"/>
        <v>/ / </v>
      </c>
      <c r="F766" s="8"/>
      <c r="G766" s="19"/>
      <c r="H766" s="20"/>
      <c r="I766" s="7"/>
      <c r="J766" s="8"/>
      <c r="K766" s="8"/>
      <c r="L766" s="8"/>
      <c r="M766" s="9" t="str">
        <f t="shared" si="14"/>
        <v> </v>
      </c>
      <c r="N766" s="8"/>
      <c r="O766" s="8"/>
      <c r="P766" s="8"/>
      <c r="Q766" s="8"/>
      <c r="R766" s="8"/>
      <c r="S766" s="10"/>
    </row>
    <row r="767" ht="13.5" customHeight="1">
      <c r="A767" s="9"/>
      <c r="B767" s="8"/>
      <c r="C767" s="8"/>
      <c r="D767" s="134" t="str">
        <f t="shared" si="12"/>
        <v> </v>
      </c>
      <c r="E767" s="40" t="str">
        <f t="shared" si="13"/>
        <v>/ / </v>
      </c>
      <c r="F767" s="8"/>
      <c r="G767" s="19"/>
      <c r="H767" s="20"/>
      <c r="I767" s="7"/>
      <c r="J767" s="8"/>
      <c r="K767" s="8"/>
      <c r="L767" s="8"/>
      <c r="M767" s="9" t="str">
        <f t="shared" si="14"/>
        <v> </v>
      </c>
      <c r="N767" s="8"/>
      <c r="O767" s="8"/>
      <c r="P767" s="8"/>
      <c r="Q767" s="8"/>
      <c r="R767" s="8"/>
      <c r="S767" s="10"/>
    </row>
    <row r="768" ht="13.5" customHeight="1">
      <c r="A768" s="9"/>
      <c r="B768" s="8"/>
      <c r="C768" s="8"/>
      <c r="D768" s="134" t="str">
        <f t="shared" si="12"/>
        <v> </v>
      </c>
      <c r="E768" s="40" t="str">
        <f t="shared" si="13"/>
        <v>/ / </v>
      </c>
      <c r="F768" s="8"/>
      <c r="G768" s="19"/>
      <c r="H768" s="20"/>
      <c r="I768" s="7"/>
      <c r="J768" s="8"/>
      <c r="K768" s="8"/>
      <c r="L768" s="8"/>
      <c r="M768" s="9" t="str">
        <f t="shared" si="14"/>
        <v> </v>
      </c>
      <c r="N768" s="8"/>
      <c r="O768" s="8"/>
      <c r="P768" s="8"/>
      <c r="Q768" s="8"/>
      <c r="R768" s="8"/>
      <c r="S768" s="10"/>
    </row>
    <row r="769" ht="13.5" customHeight="1">
      <c r="A769" s="9"/>
      <c r="B769" s="8"/>
      <c r="C769" s="8"/>
      <c r="D769" s="134" t="str">
        <f t="shared" si="12"/>
        <v> </v>
      </c>
      <c r="E769" s="40" t="str">
        <f t="shared" si="13"/>
        <v>/ / </v>
      </c>
      <c r="F769" s="8"/>
      <c r="G769" s="19"/>
      <c r="H769" s="20"/>
      <c r="I769" s="7"/>
      <c r="J769" s="8"/>
      <c r="K769" s="8"/>
      <c r="L769" s="8"/>
      <c r="M769" s="9" t="str">
        <f t="shared" si="14"/>
        <v> </v>
      </c>
      <c r="N769" s="8"/>
      <c r="O769" s="8"/>
      <c r="P769" s="8"/>
      <c r="Q769" s="8"/>
      <c r="R769" s="8"/>
      <c r="S769" s="10"/>
    </row>
    <row r="770" ht="13.5" customHeight="1">
      <c r="A770" s="9"/>
      <c r="B770" s="8"/>
      <c r="C770" s="8"/>
      <c r="D770" s="134" t="str">
        <f t="shared" si="12"/>
        <v> </v>
      </c>
      <c r="E770" s="40" t="str">
        <f t="shared" si="13"/>
        <v>/ / </v>
      </c>
      <c r="F770" s="8"/>
      <c r="G770" s="19"/>
      <c r="H770" s="20"/>
      <c r="I770" s="7"/>
      <c r="J770" s="8"/>
      <c r="K770" s="8"/>
      <c r="L770" s="8"/>
      <c r="M770" s="9" t="str">
        <f t="shared" si="14"/>
        <v> </v>
      </c>
      <c r="N770" s="8"/>
      <c r="O770" s="8"/>
      <c r="P770" s="8"/>
      <c r="Q770" s="8"/>
      <c r="R770" s="8"/>
      <c r="S770" s="10"/>
    </row>
    <row r="771" ht="13.5" customHeight="1">
      <c r="A771" s="9"/>
      <c r="B771" s="8"/>
      <c r="C771" s="8"/>
      <c r="D771" s="134" t="str">
        <f t="shared" si="12"/>
        <v> </v>
      </c>
      <c r="E771" s="40" t="str">
        <f t="shared" si="13"/>
        <v>/ / </v>
      </c>
      <c r="F771" s="8"/>
      <c r="G771" s="19"/>
      <c r="H771" s="20"/>
      <c r="I771" s="7"/>
      <c r="J771" s="8"/>
      <c r="K771" s="8"/>
      <c r="L771" s="8"/>
      <c r="M771" s="9" t="str">
        <f t="shared" si="14"/>
        <v> </v>
      </c>
      <c r="N771" s="8"/>
      <c r="O771" s="8"/>
      <c r="P771" s="8"/>
      <c r="Q771" s="8"/>
      <c r="R771" s="8"/>
      <c r="S771" s="10"/>
    </row>
    <row r="772" ht="13.5" customHeight="1">
      <c r="A772" s="9"/>
      <c r="B772" s="8"/>
      <c r="C772" s="8"/>
      <c r="D772" s="134" t="str">
        <f t="shared" si="12"/>
        <v> </v>
      </c>
      <c r="E772" s="40" t="str">
        <f t="shared" si="13"/>
        <v>/ / </v>
      </c>
      <c r="F772" s="8"/>
      <c r="G772" s="19"/>
      <c r="H772" s="20"/>
      <c r="I772" s="7"/>
      <c r="J772" s="8"/>
      <c r="K772" s="8"/>
      <c r="L772" s="8"/>
      <c r="M772" s="9" t="str">
        <f t="shared" si="14"/>
        <v> </v>
      </c>
      <c r="N772" s="8"/>
      <c r="O772" s="8"/>
      <c r="P772" s="8"/>
      <c r="Q772" s="8"/>
      <c r="R772" s="8"/>
      <c r="S772" s="10"/>
    </row>
    <row r="773" ht="13.5" customHeight="1">
      <c r="A773" s="9"/>
      <c r="B773" s="8"/>
      <c r="C773" s="8"/>
      <c r="D773" s="134" t="str">
        <f t="shared" si="12"/>
        <v> </v>
      </c>
      <c r="E773" s="40" t="str">
        <f t="shared" si="13"/>
        <v>/ / </v>
      </c>
      <c r="F773" s="8"/>
      <c r="G773" s="19"/>
      <c r="H773" s="20"/>
      <c r="I773" s="7"/>
      <c r="J773" s="8"/>
      <c r="K773" s="8"/>
      <c r="L773" s="8"/>
      <c r="M773" s="9" t="str">
        <f t="shared" si="14"/>
        <v> </v>
      </c>
      <c r="N773" s="8"/>
      <c r="O773" s="8"/>
      <c r="P773" s="8"/>
      <c r="Q773" s="8"/>
      <c r="R773" s="8"/>
      <c r="S773" s="10"/>
    </row>
    <row r="774" ht="13.5" customHeight="1">
      <c r="A774" s="9"/>
      <c r="B774" s="8"/>
      <c r="C774" s="8"/>
      <c r="D774" s="134" t="str">
        <f t="shared" si="12"/>
        <v> </v>
      </c>
      <c r="E774" s="40" t="str">
        <f t="shared" si="13"/>
        <v>/ / </v>
      </c>
      <c r="F774" s="8"/>
      <c r="G774" s="19"/>
      <c r="H774" s="20"/>
      <c r="I774" s="7"/>
      <c r="J774" s="8"/>
      <c r="K774" s="8"/>
      <c r="L774" s="8"/>
      <c r="M774" s="9" t="str">
        <f t="shared" si="14"/>
        <v> </v>
      </c>
      <c r="N774" s="8"/>
      <c r="O774" s="8"/>
      <c r="P774" s="8"/>
      <c r="Q774" s="8"/>
      <c r="R774" s="8"/>
      <c r="S774" s="10"/>
    </row>
    <row r="775" ht="13.5" customHeight="1">
      <c r="A775" s="9"/>
      <c r="B775" s="8"/>
      <c r="C775" s="8"/>
      <c r="D775" s="134" t="str">
        <f t="shared" si="12"/>
        <v> </v>
      </c>
      <c r="E775" s="40" t="str">
        <f t="shared" si="13"/>
        <v>/ / </v>
      </c>
      <c r="F775" s="8"/>
      <c r="G775" s="19"/>
      <c r="H775" s="20"/>
      <c r="I775" s="7"/>
      <c r="J775" s="8"/>
      <c r="K775" s="8"/>
      <c r="L775" s="8"/>
      <c r="M775" s="9" t="str">
        <f t="shared" si="14"/>
        <v> </v>
      </c>
      <c r="N775" s="8"/>
      <c r="O775" s="8"/>
      <c r="P775" s="8"/>
      <c r="Q775" s="8"/>
      <c r="R775" s="8"/>
      <c r="S775" s="10"/>
    </row>
    <row r="776" ht="13.5" customHeight="1">
      <c r="A776" s="9"/>
      <c r="B776" s="8"/>
      <c r="C776" s="8"/>
      <c r="D776" s="134" t="str">
        <f t="shared" si="12"/>
        <v> </v>
      </c>
      <c r="E776" s="40" t="str">
        <f t="shared" si="13"/>
        <v>/ / </v>
      </c>
      <c r="F776" s="8"/>
      <c r="G776" s="19"/>
      <c r="H776" s="20"/>
      <c r="I776" s="7"/>
      <c r="J776" s="8"/>
      <c r="K776" s="8"/>
      <c r="L776" s="8"/>
      <c r="M776" s="9" t="str">
        <f t="shared" si="14"/>
        <v> </v>
      </c>
      <c r="N776" s="8"/>
      <c r="O776" s="8"/>
      <c r="P776" s="8"/>
      <c r="Q776" s="8"/>
      <c r="R776" s="8"/>
      <c r="S776" s="10"/>
    </row>
    <row r="777" ht="13.5" customHeight="1">
      <c r="A777" s="9"/>
      <c r="B777" s="8"/>
      <c r="C777" s="8"/>
      <c r="D777" s="134" t="str">
        <f t="shared" si="12"/>
        <v> </v>
      </c>
      <c r="E777" s="40" t="str">
        <f t="shared" si="13"/>
        <v>/ / </v>
      </c>
      <c r="F777" s="8"/>
      <c r="G777" s="19"/>
      <c r="H777" s="20"/>
      <c r="I777" s="7"/>
      <c r="J777" s="8"/>
      <c r="K777" s="8"/>
      <c r="L777" s="8"/>
      <c r="M777" s="9" t="str">
        <f t="shared" si="14"/>
        <v> </v>
      </c>
      <c r="N777" s="8"/>
      <c r="O777" s="8"/>
      <c r="P777" s="8"/>
      <c r="Q777" s="8"/>
      <c r="R777" s="8"/>
      <c r="S777" s="10"/>
    </row>
    <row r="778" ht="13.5" customHeight="1">
      <c r="A778" s="9"/>
      <c r="B778" s="8"/>
      <c r="C778" s="8"/>
      <c r="D778" s="134" t="str">
        <f t="shared" si="12"/>
        <v> </v>
      </c>
      <c r="E778" s="40" t="str">
        <f t="shared" si="13"/>
        <v>/ / </v>
      </c>
      <c r="F778" s="8"/>
      <c r="G778" s="19"/>
      <c r="H778" s="20"/>
      <c r="I778" s="7"/>
      <c r="J778" s="8"/>
      <c r="K778" s="8"/>
      <c r="L778" s="8"/>
      <c r="M778" s="9" t="str">
        <f t="shared" si="14"/>
        <v> </v>
      </c>
      <c r="N778" s="8"/>
      <c r="O778" s="8"/>
      <c r="P778" s="8"/>
      <c r="Q778" s="8"/>
      <c r="R778" s="8"/>
      <c r="S778" s="10"/>
    </row>
    <row r="779" ht="13.5" customHeight="1">
      <c r="A779" s="9"/>
      <c r="B779" s="8"/>
      <c r="C779" s="8"/>
      <c r="D779" s="134" t="str">
        <f t="shared" si="12"/>
        <v> </v>
      </c>
      <c r="E779" s="40" t="str">
        <f t="shared" si="13"/>
        <v>/ / </v>
      </c>
      <c r="F779" s="8"/>
      <c r="G779" s="19"/>
      <c r="H779" s="20"/>
      <c r="I779" s="7"/>
      <c r="J779" s="8"/>
      <c r="K779" s="8"/>
      <c r="L779" s="8"/>
      <c r="M779" s="9" t="str">
        <f t="shared" si="14"/>
        <v> </v>
      </c>
      <c r="N779" s="8"/>
      <c r="O779" s="8"/>
      <c r="P779" s="8"/>
      <c r="Q779" s="8"/>
      <c r="R779" s="8"/>
      <c r="S779" s="10"/>
    </row>
    <row r="780" ht="13.5" customHeight="1">
      <c r="A780" s="9"/>
      <c r="B780" s="8"/>
      <c r="C780" s="8"/>
      <c r="D780" s="134" t="str">
        <f t="shared" si="12"/>
        <v> </v>
      </c>
      <c r="E780" s="40" t="str">
        <f t="shared" si="13"/>
        <v>/ / </v>
      </c>
      <c r="F780" s="8"/>
      <c r="G780" s="19"/>
      <c r="H780" s="20"/>
      <c r="I780" s="7"/>
      <c r="J780" s="8"/>
      <c r="K780" s="8"/>
      <c r="L780" s="8"/>
      <c r="M780" s="9" t="str">
        <f t="shared" si="14"/>
        <v> </v>
      </c>
      <c r="N780" s="8"/>
      <c r="O780" s="8"/>
      <c r="P780" s="8"/>
      <c r="Q780" s="8"/>
      <c r="R780" s="8"/>
      <c r="S780" s="10"/>
    </row>
    <row r="781" ht="13.5" customHeight="1">
      <c r="A781" s="9"/>
      <c r="B781" s="8"/>
      <c r="C781" s="8"/>
      <c r="D781" s="134" t="str">
        <f t="shared" si="12"/>
        <v> </v>
      </c>
      <c r="E781" s="40" t="str">
        <f t="shared" si="13"/>
        <v>/ / </v>
      </c>
      <c r="F781" s="8"/>
      <c r="G781" s="19"/>
      <c r="H781" s="20"/>
      <c r="I781" s="7"/>
      <c r="J781" s="8"/>
      <c r="K781" s="8"/>
      <c r="L781" s="8"/>
      <c r="M781" s="9" t="str">
        <f t="shared" si="14"/>
        <v> </v>
      </c>
      <c r="N781" s="8"/>
      <c r="O781" s="8"/>
      <c r="P781" s="8"/>
      <c r="Q781" s="8"/>
      <c r="R781" s="8"/>
      <c r="S781" s="10"/>
    </row>
    <row r="782" ht="13.5" customHeight="1">
      <c r="A782" s="9"/>
      <c r="B782" s="8"/>
      <c r="C782" s="8"/>
      <c r="D782" s="134" t="str">
        <f t="shared" si="12"/>
        <v> </v>
      </c>
      <c r="E782" s="40" t="str">
        <f t="shared" si="13"/>
        <v>/ / </v>
      </c>
      <c r="F782" s="8"/>
      <c r="G782" s="19"/>
      <c r="H782" s="20"/>
      <c r="I782" s="7"/>
      <c r="J782" s="8"/>
      <c r="K782" s="8"/>
      <c r="L782" s="8"/>
      <c r="M782" s="9" t="str">
        <f t="shared" si="14"/>
        <v> </v>
      </c>
      <c r="N782" s="8"/>
      <c r="O782" s="8"/>
      <c r="P782" s="8"/>
      <c r="Q782" s="8"/>
      <c r="R782" s="8"/>
      <c r="S782" s="10"/>
    </row>
    <row r="783" ht="13.5" customHeight="1">
      <c r="A783" s="9"/>
      <c r="B783" s="8"/>
      <c r="C783" s="8"/>
      <c r="D783" s="134" t="str">
        <f t="shared" si="12"/>
        <v> </v>
      </c>
      <c r="E783" s="40" t="str">
        <f t="shared" si="13"/>
        <v>/ / </v>
      </c>
      <c r="F783" s="8"/>
      <c r="G783" s="19"/>
      <c r="H783" s="20"/>
      <c r="I783" s="7"/>
      <c r="J783" s="8"/>
      <c r="K783" s="8"/>
      <c r="L783" s="8"/>
      <c r="M783" s="9" t="str">
        <f t="shared" si="14"/>
        <v> </v>
      </c>
      <c r="N783" s="8"/>
      <c r="O783" s="8"/>
      <c r="P783" s="8"/>
      <c r="Q783" s="8"/>
      <c r="R783" s="8"/>
      <c r="S783" s="10"/>
    </row>
    <row r="784" ht="13.5" customHeight="1">
      <c r="A784" s="9"/>
      <c r="B784" s="8"/>
      <c r="C784" s="8"/>
      <c r="D784" s="134" t="str">
        <f t="shared" si="12"/>
        <v> </v>
      </c>
      <c r="E784" s="40" t="str">
        <f t="shared" si="13"/>
        <v>/ / </v>
      </c>
      <c r="F784" s="8"/>
      <c r="G784" s="19"/>
      <c r="H784" s="20"/>
      <c r="I784" s="7"/>
      <c r="J784" s="8"/>
      <c r="K784" s="8"/>
      <c r="L784" s="8"/>
      <c r="M784" s="9" t="str">
        <f t="shared" si="14"/>
        <v> </v>
      </c>
      <c r="N784" s="8"/>
      <c r="O784" s="8"/>
      <c r="P784" s="8"/>
      <c r="Q784" s="8"/>
      <c r="R784" s="8"/>
      <c r="S784" s="10"/>
    </row>
    <row r="785" ht="13.5" customHeight="1">
      <c r="A785" s="9"/>
      <c r="B785" s="8"/>
      <c r="C785" s="8"/>
      <c r="D785" s="134" t="str">
        <f t="shared" si="12"/>
        <v> </v>
      </c>
      <c r="E785" s="40" t="str">
        <f t="shared" si="13"/>
        <v>/ / </v>
      </c>
      <c r="F785" s="8"/>
      <c r="G785" s="19"/>
      <c r="H785" s="20"/>
      <c r="I785" s="7"/>
      <c r="J785" s="8"/>
      <c r="K785" s="8"/>
      <c r="L785" s="8"/>
      <c r="M785" s="9" t="str">
        <f t="shared" si="14"/>
        <v> </v>
      </c>
      <c r="N785" s="8"/>
      <c r="O785" s="8"/>
      <c r="P785" s="8"/>
      <c r="Q785" s="8"/>
      <c r="R785" s="8"/>
      <c r="S785" s="10"/>
    </row>
    <row r="786" ht="13.5" customHeight="1">
      <c r="A786" s="9"/>
      <c r="B786" s="8"/>
      <c r="C786" s="8"/>
      <c r="D786" s="134" t="str">
        <f t="shared" si="12"/>
        <v> </v>
      </c>
      <c r="E786" s="40" t="str">
        <f t="shared" si="13"/>
        <v>/ / </v>
      </c>
      <c r="F786" s="8"/>
      <c r="G786" s="19"/>
      <c r="H786" s="20"/>
      <c r="I786" s="7"/>
      <c r="J786" s="8"/>
      <c r="K786" s="8"/>
      <c r="L786" s="8"/>
      <c r="M786" s="9" t="str">
        <f t="shared" si="14"/>
        <v> </v>
      </c>
      <c r="N786" s="8"/>
      <c r="O786" s="8"/>
      <c r="P786" s="8"/>
      <c r="Q786" s="8"/>
      <c r="R786" s="8"/>
      <c r="S786" s="10"/>
    </row>
    <row r="787" ht="13.5" customHeight="1">
      <c r="A787" s="9"/>
      <c r="B787" s="8"/>
      <c r="C787" s="8"/>
      <c r="D787" s="134" t="str">
        <f t="shared" si="12"/>
        <v> </v>
      </c>
      <c r="E787" s="40" t="str">
        <f t="shared" si="13"/>
        <v>/ / </v>
      </c>
      <c r="F787" s="8"/>
      <c r="G787" s="19"/>
      <c r="H787" s="20"/>
      <c r="I787" s="7"/>
      <c r="J787" s="8"/>
      <c r="K787" s="8"/>
      <c r="L787" s="8"/>
      <c r="M787" s="9" t="str">
        <f t="shared" si="14"/>
        <v> </v>
      </c>
      <c r="N787" s="8"/>
      <c r="O787" s="8"/>
      <c r="P787" s="8"/>
      <c r="Q787" s="8"/>
      <c r="R787" s="8"/>
      <c r="S787" s="10"/>
    </row>
    <row r="788" ht="13.5" customHeight="1">
      <c r="A788" s="9"/>
      <c r="B788" s="8"/>
      <c r="C788" s="8"/>
      <c r="D788" s="134" t="str">
        <f t="shared" si="12"/>
        <v> </v>
      </c>
      <c r="E788" s="40" t="str">
        <f t="shared" si="13"/>
        <v>/ / </v>
      </c>
      <c r="F788" s="8"/>
      <c r="G788" s="19"/>
      <c r="H788" s="20"/>
      <c r="I788" s="7"/>
      <c r="J788" s="8"/>
      <c r="K788" s="8"/>
      <c r="L788" s="8"/>
      <c r="M788" s="9" t="str">
        <f t="shared" si="14"/>
        <v> </v>
      </c>
      <c r="N788" s="8"/>
      <c r="O788" s="8"/>
      <c r="P788" s="8"/>
      <c r="Q788" s="8"/>
      <c r="R788" s="8"/>
      <c r="S788" s="10"/>
    </row>
    <row r="789" ht="13.5" customHeight="1">
      <c r="A789" s="9"/>
      <c r="B789" s="8"/>
      <c r="C789" s="8"/>
      <c r="D789" s="134" t="str">
        <f t="shared" si="12"/>
        <v> </v>
      </c>
      <c r="E789" s="40" t="str">
        <f t="shared" si="13"/>
        <v>/ / </v>
      </c>
      <c r="F789" s="8"/>
      <c r="G789" s="19"/>
      <c r="H789" s="20"/>
      <c r="I789" s="7"/>
      <c r="J789" s="8"/>
      <c r="K789" s="8"/>
      <c r="L789" s="8"/>
      <c r="M789" s="9" t="str">
        <f t="shared" si="14"/>
        <v> </v>
      </c>
      <c r="N789" s="8"/>
      <c r="O789" s="8"/>
      <c r="P789" s="8"/>
      <c r="Q789" s="8"/>
      <c r="R789" s="8"/>
      <c r="S789" s="10"/>
    </row>
    <row r="790" ht="13.5" customHeight="1">
      <c r="A790" s="9"/>
      <c r="B790" s="8"/>
      <c r="C790" s="8"/>
      <c r="D790" s="134" t="str">
        <f t="shared" si="12"/>
        <v> </v>
      </c>
      <c r="E790" s="40" t="str">
        <f t="shared" si="13"/>
        <v>/ / </v>
      </c>
      <c r="F790" s="8"/>
      <c r="G790" s="19"/>
      <c r="H790" s="20"/>
      <c r="I790" s="7"/>
      <c r="J790" s="8"/>
      <c r="K790" s="8"/>
      <c r="L790" s="8"/>
      <c r="M790" s="9" t="str">
        <f t="shared" si="14"/>
        <v> </v>
      </c>
      <c r="N790" s="8"/>
      <c r="O790" s="8"/>
      <c r="P790" s="8"/>
      <c r="Q790" s="8"/>
      <c r="R790" s="8"/>
      <c r="S790" s="10"/>
    </row>
    <row r="791" ht="13.5" customHeight="1">
      <c r="A791" s="9"/>
      <c r="B791" s="8"/>
      <c r="C791" s="8"/>
      <c r="D791" s="134" t="str">
        <f t="shared" si="12"/>
        <v> </v>
      </c>
      <c r="E791" s="40" t="str">
        <f t="shared" si="13"/>
        <v>/ / </v>
      </c>
      <c r="F791" s="8"/>
      <c r="G791" s="19"/>
      <c r="H791" s="20"/>
      <c r="I791" s="7"/>
      <c r="J791" s="8"/>
      <c r="K791" s="8"/>
      <c r="L791" s="8"/>
      <c r="M791" s="9" t="str">
        <f t="shared" si="14"/>
        <v> </v>
      </c>
      <c r="N791" s="8"/>
      <c r="O791" s="8"/>
      <c r="P791" s="8"/>
      <c r="Q791" s="8"/>
      <c r="R791" s="8"/>
      <c r="S791" s="10"/>
    </row>
    <row r="792" ht="13.5" customHeight="1">
      <c r="A792" s="9"/>
      <c r="B792" s="8"/>
      <c r="C792" s="8"/>
      <c r="D792" s="134" t="str">
        <f t="shared" si="12"/>
        <v> </v>
      </c>
      <c r="E792" s="40" t="str">
        <f t="shared" si="13"/>
        <v>/ / </v>
      </c>
      <c r="F792" s="8"/>
      <c r="G792" s="19"/>
      <c r="H792" s="20"/>
      <c r="I792" s="7"/>
      <c r="J792" s="8"/>
      <c r="K792" s="8"/>
      <c r="L792" s="8"/>
      <c r="M792" s="9" t="str">
        <f t="shared" si="14"/>
        <v> </v>
      </c>
      <c r="N792" s="8"/>
      <c r="O792" s="8"/>
      <c r="P792" s="8"/>
      <c r="Q792" s="8"/>
      <c r="R792" s="8"/>
      <c r="S792" s="10"/>
    </row>
    <row r="793" ht="13.5" customHeight="1">
      <c r="A793" s="9"/>
      <c r="B793" s="8"/>
      <c r="C793" s="8"/>
      <c r="D793" s="134" t="str">
        <f t="shared" si="12"/>
        <v> </v>
      </c>
      <c r="E793" s="40" t="str">
        <f t="shared" si="13"/>
        <v>/ / </v>
      </c>
      <c r="F793" s="8"/>
      <c r="G793" s="19"/>
      <c r="H793" s="20"/>
      <c r="I793" s="7"/>
      <c r="J793" s="8"/>
      <c r="K793" s="8"/>
      <c r="L793" s="8"/>
      <c r="M793" s="9" t="str">
        <f t="shared" si="14"/>
        <v> </v>
      </c>
      <c r="N793" s="8"/>
      <c r="O793" s="8"/>
      <c r="P793" s="8"/>
      <c r="Q793" s="8"/>
      <c r="R793" s="8"/>
      <c r="S793" s="10"/>
    </row>
    <row r="794" ht="13.5" customHeight="1">
      <c r="A794" s="9"/>
      <c r="B794" s="8"/>
      <c r="C794" s="8"/>
      <c r="D794" s="134" t="str">
        <f t="shared" si="12"/>
        <v> </v>
      </c>
      <c r="E794" s="40" t="str">
        <f t="shared" si="13"/>
        <v>/ / </v>
      </c>
      <c r="F794" s="8"/>
      <c r="G794" s="19"/>
      <c r="H794" s="20"/>
      <c r="I794" s="7"/>
      <c r="J794" s="8"/>
      <c r="K794" s="8"/>
      <c r="L794" s="8"/>
      <c r="M794" s="9" t="str">
        <f t="shared" si="14"/>
        <v> </v>
      </c>
      <c r="N794" s="8"/>
      <c r="O794" s="8"/>
      <c r="P794" s="8"/>
      <c r="Q794" s="8"/>
      <c r="R794" s="8"/>
      <c r="S794" s="10"/>
    </row>
    <row r="795" ht="13.5" customHeight="1">
      <c r="A795" s="9"/>
      <c r="B795" s="8"/>
      <c r="C795" s="8"/>
      <c r="D795" s="134" t="str">
        <f t="shared" si="12"/>
        <v> </v>
      </c>
      <c r="E795" s="40" t="str">
        <f t="shared" si="13"/>
        <v>/ / </v>
      </c>
      <c r="F795" s="8"/>
      <c r="G795" s="19"/>
      <c r="H795" s="20"/>
      <c r="I795" s="7"/>
      <c r="J795" s="8"/>
      <c r="K795" s="8"/>
      <c r="L795" s="8"/>
      <c r="M795" s="9" t="str">
        <f t="shared" si="14"/>
        <v> </v>
      </c>
      <c r="N795" s="8"/>
      <c r="O795" s="8"/>
      <c r="P795" s="8"/>
      <c r="Q795" s="8"/>
      <c r="R795" s="8"/>
      <c r="S795" s="10"/>
    </row>
    <row r="796" ht="13.5" customHeight="1">
      <c r="A796" s="9"/>
      <c r="B796" s="8"/>
      <c r="C796" s="8"/>
      <c r="D796" s="134" t="str">
        <f t="shared" si="12"/>
        <v> </v>
      </c>
      <c r="E796" s="40" t="str">
        <f t="shared" si="13"/>
        <v>/ / </v>
      </c>
      <c r="F796" s="8"/>
      <c r="G796" s="19"/>
      <c r="H796" s="20"/>
      <c r="I796" s="7"/>
      <c r="J796" s="8"/>
      <c r="K796" s="8"/>
      <c r="L796" s="8"/>
      <c r="M796" s="9" t="str">
        <f t="shared" si="14"/>
        <v> </v>
      </c>
      <c r="N796" s="8"/>
      <c r="O796" s="8"/>
      <c r="P796" s="8"/>
      <c r="Q796" s="8"/>
      <c r="R796" s="8"/>
      <c r="S796" s="10"/>
    </row>
    <row r="797" ht="13.5" customHeight="1">
      <c r="A797" s="9"/>
      <c r="B797" s="8"/>
      <c r="C797" s="8"/>
      <c r="D797" s="134" t="str">
        <f t="shared" si="12"/>
        <v> </v>
      </c>
      <c r="E797" s="40" t="str">
        <f t="shared" si="13"/>
        <v>/ / </v>
      </c>
      <c r="F797" s="8"/>
      <c r="G797" s="19"/>
      <c r="H797" s="20"/>
      <c r="I797" s="7"/>
      <c r="J797" s="8"/>
      <c r="K797" s="8"/>
      <c r="L797" s="8"/>
      <c r="M797" s="9" t="str">
        <f t="shared" si="14"/>
        <v> </v>
      </c>
      <c r="N797" s="8"/>
      <c r="O797" s="8"/>
      <c r="P797" s="8"/>
      <c r="Q797" s="8"/>
      <c r="R797" s="8"/>
      <c r="S797" s="10"/>
    </row>
    <row r="798" ht="13.5" customHeight="1">
      <c r="A798" s="9"/>
      <c r="B798" s="8"/>
      <c r="C798" s="8"/>
      <c r="D798" s="134" t="str">
        <f t="shared" si="12"/>
        <v> </v>
      </c>
      <c r="E798" s="40" t="str">
        <f t="shared" si="13"/>
        <v>/ / </v>
      </c>
      <c r="F798" s="8"/>
      <c r="G798" s="19"/>
      <c r="H798" s="20"/>
      <c r="I798" s="7"/>
      <c r="J798" s="8"/>
      <c r="K798" s="8"/>
      <c r="L798" s="8"/>
      <c r="M798" s="9" t="str">
        <f t="shared" si="14"/>
        <v> </v>
      </c>
      <c r="N798" s="8"/>
      <c r="O798" s="8"/>
      <c r="P798" s="8"/>
      <c r="Q798" s="8"/>
      <c r="R798" s="8"/>
      <c r="S798" s="10"/>
    </row>
    <row r="799" ht="13.5" customHeight="1">
      <c r="A799" s="9"/>
      <c r="B799" s="8"/>
      <c r="C799" s="8"/>
      <c r="D799" s="134" t="str">
        <f t="shared" si="12"/>
        <v> </v>
      </c>
      <c r="E799" s="40" t="str">
        <f t="shared" si="13"/>
        <v>/ / </v>
      </c>
      <c r="F799" s="8"/>
      <c r="G799" s="19"/>
      <c r="H799" s="20"/>
      <c r="I799" s="7"/>
      <c r="J799" s="8"/>
      <c r="K799" s="8"/>
      <c r="L799" s="8"/>
      <c r="M799" s="9" t="str">
        <f t="shared" si="14"/>
        <v> </v>
      </c>
      <c r="N799" s="8"/>
      <c r="O799" s="8"/>
      <c r="P799" s="8"/>
      <c r="Q799" s="8"/>
      <c r="R799" s="8"/>
      <c r="S799" s="10"/>
    </row>
    <row r="800" ht="13.5" customHeight="1">
      <c r="A800" s="9"/>
      <c r="B800" s="8"/>
      <c r="C800" s="8"/>
      <c r="D800" s="134" t="str">
        <f t="shared" si="12"/>
        <v> </v>
      </c>
      <c r="E800" s="40" t="str">
        <f t="shared" si="13"/>
        <v>/ / </v>
      </c>
      <c r="F800" s="8"/>
      <c r="G800" s="19"/>
      <c r="H800" s="20"/>
      <c r="I800" s="7"/>
      <c r="J800" s="8"/>
      <c r="K800" s="8"/>
      <c r="L800" s="8"/>
      <c r="M800" s="9" t="str">
        <f t="shared" si="14"/>
        <v> </v>
      </c>
      <c r="N800" s="8"/>
      <c r="O800" s="8"/>
      <c r="P800" s="8"/>
      <c r="Q800" s="8"/>
      <c r="R800" s="8"/>
      <c r="S800" s="10"/>
    </row>
    <row r="801" ht="13.5" customHeight="1">
      <c r="A801" s="9"/>
      <c r="B801" s="8"/>
      <c r="C801" s="8"/>
      <c r="D801" s="134" t="str">
        <f t="shared" si="12"/>
        <v> </v>
      </c>
      <c r="E801" s="40" t="str">
        <f t="shared" si="13"/>
        <v>/ / </v>
      </c>
      <c r="F801" s="8"/>
      <c r="G801" s="19"/>
      <c r="H801" s="20"/>
      <c r="I801" s="7"/>
      <c r="J801" s="8"/>
      <c r="K801" s="8"/>
      <c r="L801" s="8"/>
      <c r="M801" s="9" t="str">
        <f t="shared" si="14"/>
        <v> </v>
      </c>
      <c r="N801" s="8"/>
      <c r="O801" s="8"/>
      <c r="P801" s="8"/>
      <c r="Q801" s="8"/>
      <c r="R801" s="8"/>
      <c r="S801" s="10"/>
    </row>
    <row r="802" ht="13.5" customHeight="1">
      <c r="A802" s="9"/>
      <c r="B802" s="8"/>
      <c r="C802" s="8"/>
      <c r="D802" s="134" t="str">
        <f t="shared" si="12"/>
        <v> </v>
      </c>
      <c r="E802" s="40" t="str">
        <f t="shared" si="13"/>
        <v>/ / </v>
      </c>
      <c r="F802" s="8"/>
      <c r="G802" s="19"/>
      <c r="H802" s="20"/>
      <c r="I802" s="7"/>
      <c r="J802" s="8"/>
      <c r="K802" s="8"/>
      <c r="L802" s="8"/>
      <c r="M802" s="9" t="str">
        <f t="shared" si="14"/>
        <v> </v>
      </c>
      <c r="N802" s="8"/>
      <c r="O802" s="8"/>
      <c r="P802" s="8"/>
      <c r="Q802" s="8"/>
      <c r="R802" s="8"/>
      <c r="S802" s="10"/>
    </row>
    <row r="803" ht="13.5" customHeight="1">
      <c r="A803" s="9"/>
      <c r="B803" s="8"/>
      <c r="C803" s="8"/>
      <c r="D803" s="134" t="str">
        <f t="shared" si="12"/>
        <v> </v>
      </c>
      <c r="E803" s="40" t="str">
        <f t="shared" si="13"/>
        <v>/ / </v>
      </c>
      <c r="F803" s="8"/>
      <c r="G803" s="19"/>
      <c r="H803" s="20"/>
      <c r="I803" s="7"/>
      <c r="J803" s="8"/>
      <c r="K803" s="8"/>
      <c r="L803" s="8"/>
      <c r="M803" s="9" t="str">
        <f t="shared" si="14"/>
        <v> </v>
      </c>
      <c r="N803" s="8"/>
      <c r="O803" s="8"/>
      <c r="P803" s="8"/>
      <c r="Q803" s="8"/>
      <c r="R803" s="8"/>
      <c r="S803" s="10"/>
    </row>
    <row r="804" ht="13.5" customHeight="1">
      <c r="A804" s="9"/>
      <c r="B804" s="8"/>
      <c r="C804" s="8"/>
      <c r="D804" s="134" t="str">
        <f t="shared" si="12"/>
        <v> </v>
      </c>
      <c r="E804" s="40" t="str">
        <f t="shared" si="13"/>
        <v>/ / </v>
      </c>
      <c r="F804" s="8"/>
      <c r="G804" s="19"/>
      <c r="H804" s="20"/>
      <c r="I804" s="7"/>
      <c r="J804" s="8"/>
      <c r="K804" s="8"/>
      <c r="L804" s="8"/>
      <c r="M804" s="9" t="str">
        <f t="shared" si="14"/>
        <v> </v>
      </c>
      <c r="N804" s="8"/>
      <c r="O804" s="8"/>
      <c r="P804" s="8"/>
      <c r="Q804" s="8"/>
      <c r="R804" s="8"/>
      <c r="S804" s="10"/>
    </row>
    <row r="805" ht="13.5" customHeight="1">
      <c r="A805" s="9"/>
      <c r="B805" s="8"/>
      <c r="C805" s="8"/>
      <c r="D805" s="134" t="str">
        <f t="shared" si="12"/>
        <v> </v>
      </c>
      <c r="E805" s="40" t="str">
        <f t="shared" si="13"/>
        <v>/ / </v>
      </c>
      <c r="F805" s="8"/>
      <c r="G805" s="19"/>
      <c r="H805" s="20"/>
      <c r="I805" s="7"/>
      <c r="J805" s="8"/>
      <c r="K805" s="8"/>
      <c r="L805" s="8"/>
      <c r="M805" s="9" t="str">
        <f t="shared" si="14"/>
        <v> </v>
      </c>
      <c r="N805" s="8"/>
      <c r="O805" s="8"/>
      <c r="P805" s="8"/>
      <c r="Q805" s="8"/>
      <c r="R805" s="8"/>
      <c r="S805" s="10"/>
    </row>
    <row r="806" ht="13.5" customHeight="1">
      <c r="A806" s="9"/>
      <c r="B806" s="8"/>
      <c r="C806" s="8"/>
      <c r="D806" s="134" t="str">
        <f t="shared" si="12"/>
        <v> </v>
      </c>
      <c r="E806" s="40" t="str">
        <f t="shared" si="13"/>
        <v>/ / </v>
      </c>
      <c r="F806" s="8"/>
      <c r="G806" s="19"/>
      <c r="H806" s="20"/>
      <c r="I806" s="7"/>
      <c r="J806" s="8"/>
      <c r="K806" s="8"/>
      <c r="L806" s="8"/>
      <c r="M806" s="9" t="str">
        <f t="shared" si="14"/>
        <v> </v>
      </c>
      <c r="N806" s="8"/>
      <c r="O806" s="8"/>
      <c r="P806" s="8"/>
      <c r="Q806" s="8"/>
      <c r="R806" s="8"/>
      <c r="S806" s="10"/>
    </row>
    <row r="807" ht="13.5" customHeight="1">
      <c r="A807" s="9"/>
      <c r="B807" s="8"/>
      <c r="C807" s="8"/>
      <c r="D807" s="134" t="str">
        <f t="shared" si="12"/>
        <v> </v>
      </c>
      <c r="E807" s="40" t="str">
        <f t="shared" si="13"/>
        <v>/ / </v>
      </c>
      <c r="F807" s="8"/>
      <c r="G807" s="19"/>
      <c r="H807" s="20"/>
      <c r="I807" s="7"/>
      <c r="J807" s="8"/>
      <c r="K807" s="8"/>
      <c r="L807" s="8"/>
      <c r="M807" s="9" t="str">
        <f t="shared" si="14"/>
        <v> </v>
      </c>
      <c r="N807" s="8"/>
      <c r="O807" s="8"/>
      <c r="P807" s="8"/>
      <c r="Q807" s="8"/>
      <c r="R807" s="8"/>
      <c r="S807" s="10"/>
    </row>
    <row r="808" ht="13.5" customHeight="1">
      <c r="A808" s="9"/>
      <c r="B808" s="8"/>
      <c r="C808" s="8"/>
      <c r="D808" s="134" t="str">
        <f t="shared" si="12"/>
        <v> </v>
      </c>
      <c r="E808" s="40" t="str">
        <f t="shared" si="13"/>
        <v>/ / </v>
      </c>
      <c r="F808" s="8"/>
      <c r="G808" s="19"/>
      <c r="H808" s="20"/>
      <c r="I808" s="7"/>
      <c r="J808" s="8"/>
      <c r="K808" s="8"/>
      <c r="L808" s="8"/>
      <c r="M808" s="9" t="str">
        <f t="shared" si="14"/>
        <v> </v>
      </c>
      <c r="N808" s="8"/>
      <c r="O808" s="8"/>
      <c r="P808" s="8"/>
      <c r="Q808" s="8"/>
      <c r="R808" s="8"/>
      <c r="S808" s="10"/>
    </row>
    <row r="809" ht="13.5" customHeight="1">
      <c r="A809" s="9"/>
      <c r="B809" s="8"/>
      <c r="C809" s="8"/>
      <c r="D809" s="9"/>
      <c r="E809" s="8"/>
      <c r="F809" s="8"/>
      <c r="G809" s="19"/>
      <c r="H809" s="20"/>
      <c r="I809" s="7"/>
      <c r="J809" s="8"/>
      <c r="K809" s="8"/>
      <c r="L809" s="8"/>
      <c r="M809" s="9" t="str">
        <f t="shared" si="14"/>
        <v> </v>
      </c>
      <c r="N809" s="8"/>
      <c r="O809" s="8"/>
      <c r="P809" s="8"/>
      <c r="Q809" s="8"/>
      <c r="R809" s="8"/>
      <c r="S809" s="10"/>
    </row>
    <row r="810" ht="13.5" customHeight="1">
      <c r="A810" s="9"/>
      <c r="B810" s="8"/>
      <c r="C810" s="8"/>
      <c r="D810" s="9"/>
      <c r="E810" s="8"/>
      <c r="F810" s="8"/>
      <c r="G810" s="19"/>
      <c r="H810" s="20"/>
      <c r="I810" s="7"/>
      <c r="J810" s="8"/>
      <c r="K810" s="8"/>
      <c r="L810" s="8"/>
      <c r="M810" s="9" t="str">
        <f t="shared" si="14"/>
        <v> </v>
      </c>
      <c r="N810" s="8"/>
      <c r="O810" s="8"/>
      <c r="P810" s="8"/>
      <c r="Q810" s="8"/>
      <c r="R810" s="8"/>
      <c r="S810" s="10"/>
    </row>
    <row r="811" ht="13.5" customHeight="1">
      <c r="A811" s="9"/>
      <c r="B811" s="8"/>
      <c r="C811" s="8"/>
      <c r="D811" s="9"/>
      <c r="E811" s="8"/>
      <c r="F811" s="8"/>
      <c r="G811" s="19"/>
      <c r="H811" s="20"/>
      <c r="I811" s="7"/>
      <c r="J811" s="8"/>
      <c r="K811" s="8"/>
      <c r="L811" s="8"/>
      <c r="M811" s="9" t="str">
        <f t="shared" si="14"/>
        <v> </v>
      </c>
      <c r="N811" s="8"/>
      <c r="O811" s="8"/>
      <c r="P811" s="8"/>
      <c r="Q811" s="8"/>
      <c r="R811" s="8"/>
      <c r="S811" s="10"/>
    </row>
    <row r="812" ht="13.5" customHeight="1">
      <c r="A812" s="9"/>
      <c r="B812" s="8"/>
      <c r="C812" s="8"/>
      <c r="D812" s="9"/>
      <c r="E812" s="8"/>
      <c r="F812" s="8"/>
      <c r="G812" s="19"/>
      <c r="H812" s="20"/>
      <c r="I812" s="7"/>
      <c r="J812" s="8"/>
      <c r="K812" s="8"/>
      <c r="L812" s="8"/>
      <c r="M812" s="9" t="str">
        <f t="shared" si="14"/>
        <v> </v>
      </c>
      <c r="N812" s="8"/>
      <c r="O812" s="8"/>
      <c r="P812" s="8"/>
      <c r="Q812" s="8"/>
      <c r="R812" s="8"/>
      <c r="S812" s="10"/>
    </row>
    <row r="813" ht="13.5" customHeight="1">
      <c r="A813" s="9"/>
      <c r="B813" s="8"/>
      <c r="C813" s="8"/>
      <c r="D813" s="9"/>
      <c r="E813" s="8"/>
      <c r="F813" s="8"/>
      <c r="G813" s="19"/>
      <c r="H813" s="20"/>
      <c r="I813" s="7"/>
      <c r="J813" s="8"/>
      <c r="K813" s="8"/>
      <c r="L813" s="8"/>
      <c r="M813" s="9" t="str">
        <f t="shared" si="14"/>
        <v> </v>
      </c>
      <c r="N813" s="8"/>
      <c r="O813" s="8"/>
      <c r="P813" s="8"/>
      <c r="Q813" s="8"/>
      <c r="R813" s="8"/>
      <c r="S813" s="10"/>
    </row>
    <row r="814" ht="13.5" customHeight="1">
      <c r="A814" s="9"/>
      <c r="B814" s="8"/>
      <c r="C814" s="8"/>
      <c r="D814" s="9"/>
      <c r="E814" s="8"/>
      <c r="F814" s="8"/>
      <c r="G814" s="19"/>
      <c r="H814" s="20"/>
      <c r="I814" s="7"/>
      <c r="J814" s="8"/>
      <c r="K814" s="8"/>
      <c r="L814" s="8"/>
      <c r="M814" s="9" t="str">
        <f t="shared" si="14"/>
        <v> </v>
      </c>
      <c r="N814" s="8"/>
      <c r="O814" s="8"/>
      <c r="P814" s="8"/>
      <c r="Q814" s="8"/>
      <c r="R814" s="8"/>
      <c r="S814" s="10"/>
    </row>
    <row r="815" ht="13.5" customHeight="1">
      <c r="A815" s="9"/>
      <c r="B815" s="8"/>
      <c r="C815" s="8"/>
      <c r="D815" s="9"/>
      <c r="E815" s="8"/>
      <c r="F815" s="8"/>
      <c r="G815" s="19"/>
      <c r="H815" s="20"/>
      <c r="I815" s="7"/>
      <c r="J815" s="8"/>
      <c r="K815" s="8"/>
      <c r="L815" s="8"/>
      <c r="M815" s="9" t="str">
        <f t="shared" si="14"/>
        <v> </v>
      </c>
      <c r="N815" s="8"/>
      <c r="O815" s="8"/>
      <c r="P815" s="8"/>
      <c r="Q815" s="8"/>
      <c r="R815" s="8"/>
      <c r="S815" s="10"/>
    </row>
    <row r="816" ht="13.5" customHeight="1">
      <c r="A816" s="9"/>
      <c r="B816" s="8"/>
      <c r="C816" s="8"/>
      <c r="D816" s="9"/>
      <c r="E816" s="8"/>
      <c r="F816" s="8"/>
      <c r="G816" s="19"/>
      <c r="H816" s="20"/>
      <c r="I816" s="7"/>
      <c r="J816" s="8"/>
      <c r="K816" s="8"/>
      <c r="L816" s="8"/>
      <c r="M816" s="9" t="str">
        <f t="shared" si="14"/>
        <v> </v>
      </c>
      <c r="N816" s="8"/>
      <c r="O816" s="8"/>
      <c r="P816" s="8"/>
      <c r="Q816" s="8"/>
      <c r="R816" s="8"/>
      <c r="S816" s="10"/>
    </row>
    <row r="817" ht="13.5" customHeight="1">
      <c r="A817" s="9"/>
      <c r="B817" s="8"/>
      <c r="C817" s="8"/>
      <c r="D817" s="9"/>
      <c r="E817" s="8"/>
      <c r="F817" s="8"/>
      <c r="G817" s="19"/>
      <c r="H817" s="20"/>
      <c r="I817" s="7"/>
      <c r="J817" s="8"/>
      <c r="K817" s="8"/>
      <c r="L817" s="8"/>
      <c r="M817" s="9" t="str">
        <f t="shared" si="14"/>
        <v> </v>
      </c>
      <c r="N817" s="8"/>
      <c r="O817" s="8"/>
      <c r="P817" s="8"/>
      <c r="Q817" s="8"/>
      <c r="R817" s="8"/>
      <c r="S817" s="10"/>
    </row>
    <row r="818" ht="13.5" customHeight="1">
      <c r="A818" s="9"/>
      <c r="B818" s="8"/>
      <c r="C818" s="8"/>
      <c r="D818" s="9"/>
      <c r="E818" s="8"/>
      <c r="F818" s="8"/>
      <c r="G818" s="19"/>
      <c r="H818" s="20"/>
      <c r="I818" s="7"/>
      <c r="J818" s="8"/>
      <c r="K818" s="8"/>
      <c r="L818" s="8"/>
      <c r="M818" s="9" t="str">
        <f t="shared" si="14"/>
        <v> </v>
      </c>
      <c r="N818" s="8"/>
      <c r="O818" s="8"/>
      <c r="P818" s="8"/>
      <c r="Q818" s="8"/>
      <c r="R818" s="8"/>
      <c r="S818" s="10"/>
    </row>
    <row r="819" ht="13.5" customHeight="1">
      <c r="A819" s="9"/>
      <c r="B819" s="8"/>
      <c r="C819" s="8"/>
      <c r="D819" s="9"/>
      <c r="E819" s="8"/>
      <c r="F819" s="8"/>
      <c r="G819" s="19"/>
      <c r="H819" s="20"/>
      <c r="I819" s="7"/>
      <c r="J819" s="8"/>
      <c r="K819" s="8"/>
      <c r="L819" s="8"/>
      <c r="M819" s="9" t="str">
        <f t="shared" si="14"/>
        <v> </v>
      </c>
      <c r="N819" s="8"/>
      <c r="O819" s="8"/>
      <c r="P819" s="8"/>
      <c r="Q819" s="8"/>
      <c r="R819" s="8"/>
      <c r="S819" s="10"/>
    </row>
    <row r="820" ht="13.5" customHeight="1">
      <c r="A820" s="9"/>
      <c r="B820" s="8"/>
      <c r="C820" s="8"/>
      <c r="D820" s="9"/>
      <c r="E820" s="8"/>
      <c r="F820" s="8"/>
      <c r="G820" s="19"/>
      <c r="H820" s="20"/>
      <c r="I820" s="7"/>
      <c r="J820" s="8"/>
      <c r="K820" s="8"/>
      <c r="L820" s="8"/>
      <c r="M820" s="9" t="str">
        <f t="shared" si="14"/>
        <v> </v>
      </c>
      <c r="N820" s="8"/>
      <c r="O820" s="8"/>
      <c r="P820" s="8"/>
      <c r="Q820" s="8"/>
      <c r="R820" s="8"/>
      <c r="S820" s="10"/>
    </row>
    <row r="821" ht="13.5" customHeight="1">
      <c r="A821" s="9"/>
      <c r="B821" s="8"/>
      <c r="C821" s="8"/>
      <c r="D821" s="9"/>
      <c r="E821" s="8"/>
      <c r="F821" s="8"/>
      <c r="G821" s="19"/>
      <c r="H821" s="20"/>
      <c r="I821" s="7"/>
      <c r="J821" s="8"/>
      <c r="K821" s="8"/>
      <c r="L821" s="8"/>
      <c r="M821" s="9" t="str">
        <f t="shared" si="14"/>
        <v> </v>
      </c>
      <c r="N821" s="8"/>
      <c r="O821" s="8"/>
      <c r="P821" s="8"/>
      <c r="Q821" s="8"/>
      <c r="R821" s="8"/>
      <c r="S821" s="10"/>
    </row>
    <row r="822" ht="13.5" customHeight="1">
      <c r="A822" s="9"/>
      <c r="B822" s="8"/>
      <c r="C822" s="8"/>
      <c r="D822" s="9"/>
      <c r="E822" s="8"/>
      <c r="F822" s="8"/>
      <c r="G822" s="19"/>
      <c r="H822" s="20"/>
      <c r="I822" s="7"/>
      <c r="J822" s="8"/>
      <c r="K822" s="8"/>
      <c r="L822" s="8"/>
      <c r="M822" s="9" t="str">
        <f t="shared" si="14"/>
        <v> </v>
      </c>
      <c r="N822" s="8"/>
      <c r="O822" s="8"/>
      <c r="P822" s="8"/>
      <c r="Q822" s="8"/>
      <c r="R822" s="8"/>
      <c r="S822" s="10"/>
    </row>
    <row r="823" ht="13.5" customHeight="1">
      <c r="A823" s="9"/>
      <c r="B823" s="8"/>
      <c r="C823" s="8"/>
      <c r="D823" s="9"/>
      <c r="E823" s="8"/>
      <c r="F823" s="8"/>
      <c r="G823" s="19"/>
      <c r="H823" s="20"/>
      <c r="I823" s="7"/>
      <c r="J823" s="8"/>
      <c r="K823" s="8"/>
      <c r="L823" s="8"/>
      <c r="M823" s="9" t="str">
        <f t="shared" si="14"/>
        <v> </v>
      </c>
      <c r="N823" s="8"/>
      <c r="O823" s="8"/>
      <c r="P823" s="8"/>
      <c r="Q823" s="8"/>
      <c r="R823" s="8"/>
      <c r="S823" s="10"/>
    </row>
    <row r="824" ht="13.5" customHeight="1">
      <c r="A824" s="9"/>
      <c r="B824" s="8"/>
      <c r="C824" s="8"/>
      <c r="D824" s="9"/>
      <c r="E824" s="8"/>
      <c r="F824" s="8"/>
      <c r="G824" s="19"/>
      <c r="H824" s="20"/>
      <c r="I824" s="7"/>
      <c r="J824" s="8"/>
      <c r="K824" s="8"/>
      <c r="L824" s="8"/>
      <c r="M824" s="9" t="str">
        <f t="shared" si="14"/>
        <v> </v>
      </c>
      <c r="N824" s="8"/>
      <c r="O824" s="8"/>
      <c r="P824" s="8"/>
      <c r="Q824" s="8"/>
      <c r="R824" s="8"/>
      <c r="S824" s="10"/>
    </row>
    <row r="825" ht="13.5" customHeight="1">
      <c r="A825" s="9"/>
      <c r="B825" s="8"/>
      <c r="C825" s="8"/>
      <c r="D825" s="9"/>
      <c r="E825" s="8"/>
      <c r="F825" s="8"/>
      <c r="G825" s="19"/>
      <c r="H825" s="20"/>
      <c r="I825" s="7"/>
      <c r="J825" s="8"/>
      <c r="K825" s="8"/>
      <c r="L825" s="8"/>
      <c r="M825" s="9" t="str">
        <f t="shared" si="14"/>
        <v> </v>
      </c>
      <c r="N825" s="8"/>
      <c r="O825" s="8"/>
      <c r="P825" s="8"/>
      <c r="Q825" s="8"/>
      <c r="R825" s="8"/>
      <c r="S825" s="10"/>
    </row>
    <row r="826" ht="13.5" customHeight="1">
      <c r="A826" s="9"/>
      <c r="B826" s="8"/>
      <c r="C826" s="8"/>
      <c r="D826" s="9"/>
      <c r="E826" s="8"/>
      <c r="F826" s="8"/>
      <c r="G826" s="19"/>
      <c r="H826" s="20"/>
      <c r="I826" s="7"/>
      <c r="J826" s="8"/>
      <c r="K826" s="8"/>
      <c r="L826" s="8"/>
      <c r="M826" s="9" t="str">
        <f t="shared" si="14"/>
        <v> </v>
      </c>
      <c r="N826" s="8"/>
      <c r="O826" s="8"/>
      <c r="P826" s="8"/>
      <c r="Q826" s="8"/>
      <c r="R826" s="8"/>
      <c r="S826" s="10"/>
    </row>
    <row r="827" ht="13.5" customHeight="1">
      <c r="A827" s="9"/>
      <c r="B827" s="8"/>
      <c r="C827" s="8"/>
      <c r="D827" s="9"/>
      <c r="E827" s="8"/>
      <c r="F827" s="8"/>
      <c r="G827" s="19"/>
      <c r="H827" s="20"/>
      <c r="I827" s="7"/>
      <c r="J827" s="8"/>
      <c r="K827" s="8"/>
      <c r="L827" s="8"/>
      <c r="M827" s="9" t="str">
        <f t="shared" si="14"/>
        <v> </v>
      </c>
      <c r="N827" s="8"/>
      <c r="O827" s="8"/>
      <c r="P827" s="8"/>
      <c r="Q827" s="8"/>
      <c r="R827" s="8"/>
      <c r="S827" s="10"/>
    </row>
    <row r="828" ht="13.5" customHeight="1">
      <c r="A828" s="9"/>
      <c r="B828" s="8"/>
      <c r="C828" s="8"/>
      <c r="D828" s="9"/>
      <c r="E828" s="8"/>
      <c r="F828" s="8"/>
      <c r="G828" s="19"/>
      <c r="H828" s="20"/>
      <c r="I828" s="7"/>
      <c r="J828" s="8"/>
      <c r="K828" s="8"/>
      <c r="L828" s="8"/>
      <c r="M828" s="9" t="str">
        <f t="shared" si="14"/>
        <v> </v>
      </c>
      <c r="N828" s="8"/>
      <c r="O828" s="8"/>
      <c r="P828" s="8"/>
      <c r="Q828" s="8"/>
      <c r="R828" s="8"/>
      <c r="S828" s="10"/>
    </row>
    <row r="829" ht="13.5" customHeight="1">
      <c r="A829" s="9"/>
      <c r="B829" s="8"/>
      <c r="C829" s="8"/>
      <c r="D829" s="9"/>
      <c r="E829" s="8"/>
      <c r="F829" s="8"/>
      <c r="G829" s="19"/>
      <c r="H829" s="20"/>
      <c r="I829" s="7"/>
      <c r="J829" s="8"/>
      <c r="K829" s="8"/>
      <c r="L829" s="8"/>
      <c r="M829" s="9" t="str">
        <f t="shared" si="14"/>
        <v> </v>
      </c>
      <c r="N829" s="8"/>
      <c r="O829" s="8"/>
      <c r="P829" s="8"/>
      <c r="Q829" s="8"/>
      <c r="R829" s="8"/>
      <c r="S829" s="10"/>
    </row>
    <row r="830" ht="13.5" customHeight="1">
      <c r="A830" s="9"/>
      <c r="B830" s="8"/>
      <c r="C830" s="8"/>
      <c r="D830" s="9"/>
      <c r="E830" s="8"/>
      <c r="F830" s="8"/>
      <c r="G830" s="19"/>
      <c r="H830" s="20"/>
      <c r="I830" s="7"/>
      <c r="J830" s="8"/>
      <c r="K830" s="8"/>
      <c r="L830" s="8"/>
      <c r="M830" s="9" t="str">
        <f t="shared" si="14"/>
        <v> </v>
      </c>
      <c r="N830" s="8"/>
      <c r="O830" s="8"/>
      <c r="P830" s="8"/>
      <c r="Q830" s="8"/>
      <c r="R830" s="8"/>
      <c r="S830" s="10"/>
    </row>
    <row r="831" ht="13.5" customHeight="1">
      <c r="A831" s="9"/>
      <c r="B831" s="8"/>
      <c r="C831" s="8"/>
      <c r="D831" s="9"/>
      <c r="E831" s="8"/>
      <c r="F831" s="8"/>
      <c r="G831" s="19"/>
      <c r="H831" s="20"/>
      <c r="I831" s="7"/>
      <c r="J831" s="8"/>
      <c r="K831" s="8"/>
      <c r="L831" s="8"/>
      <c r="M831" s="9"/>
      <c r="N831" s="8"/>
      <c r="O831" s="8"/>
      <c r="P831" s="8"/>
      <c r="Q831" s="8"/>
      <c r="R831" s="8"/>
      <c r="S831" s="10"/>
    </row>
    <row r="832" ht="13.5" customHeight="1">
      <c r="A832" s="9"/>
      <c r="B832" s="8"/>
      <c r="C832" s="8"/>
      <c r="D832" s="9"/>
      <c r="E832" s="8"/>
      <c r="F832" s="8"/>
      <c r="G832" s="19"/>
      <c r="H832" s="20"/>
      <c r="I832" s="7"/>
      <c r="J832" s="8"/>
      <c r="K832" s="8"/>
      <c r="L832" s="8"/>
      <c r="M832" s="9"/>
      <c r="N832" s="8"/>
      <c r="O832" s="8"/>
      <c r="P832" s="8"/>
      <c r="Q832" s="8"/>
      <c r="R832" s="8"/>
      <c r="S832" s="10"/>
    </row>
    <row r="833" ht="13.5" customHeight="1">
      <c r="A833" s="9"/>
      <c r="B833" s="8"/>
      <c r="C833" s="8"/>
      <c r="D833" s="9"/>
      <c r="E833" s="8"/>
      <c r="F833" s="8"/>
      <c r="G833" s="19"/>
      <c r="H833" s="20"/>
      <c r="I833" s="7"/>
      <c r="J833" s="8"/>
      <c r="K833" s="8"/>
      <c r="L833" s="8"/>
      <c r="M833" s="9"/>
      <c r="N833" s="8"/>
      <c r="O833" s="8"/>
      <c r="P833" s="8"/>
      <c r="Q833" s="8"/>
      <c r="R833" s="8"/>
      <c r="S833" s="10"/>
    </row>
    <row r="834" ht="13.5" customHeight="1">
      <c r="A834" s="9"/>
      <c r="B834" s="8"/>
      <c r="C834" s="8"/>
      <c r="D834" s="9"/>
      <c r="E834" s="8"/>
      <c r="F834" s="8"/>
      <c r="G834" s="19"/>
      <c r="H834" s="20"/>
      <c r="I834" s="7"/>
      <c r="J834" s="8"/>
      <c r="K834" s="8"/>
      <c r="L834" s="8"/>
      <c r="M834" s="9"/>
      <c r="N834" s="8"/>
      <c r="O834" s="8"/>
      <c r="P834" s="8"/>
      <c r="Q834" s="8"/>
      <c r="R834" s="8"/>
      <c r="S834" s="10"/>
    </row>
    <row r="835" ht="13.5" customHeight="1">
      <c r="A835" s="9"/>
      <c r="B835" s="8"/>
      <c r="C835" s="8"/>
      <c r="D835" s="9"/>
      <c r="E835" s="8"/>
      <c r="F835" s="8"/>
      <c r="G835" s="19"/>
      <c r="H835" s="20"/>
      <c r="I835" s="7"/>
      <c r="J835" s="8"/>
      <c r="K835" s="8"/>
      <c r="L835" s="8"/>
      <c r="M835" s="9"/>
      <c r="N835" s="8"/>
      <c r="O835" s="8"/>
      <c r="P835" s="8"/>
      <c r="Q835" s="8"/>
      <c r="R835" s="8"/>
      <c r="S835" s="10"/>
    </row>
    <row r="836" ht="13.5" customHeight="1">
      <c r="A836" s="9"/>
      <c r="B836" s="8"/>
      <c r="C836" s="8"/>
      <c r="D836" s="9"/>
      <c r="E836" s="8"/>
      <c r="F836" s="8"/>
      <c r="G836" s="19"/>
      <c r="H836" s="20"/>
      <c r="I836" s="7"/>
      <c r="J836" s="8"/>
      <c r="K836" s="8"/>
      <c r="L836" s="8"/>
      <c r="M836" s="9"/>
      <c r="N836" s="8"/>
      <c r="O836" s="8"/>
      <c r="P836" s="8"/>
      <c r="Q836" s="8"/>
      <c r="R836" s="8"/>
      <c r="S836" s="10"/>
    </row>
    <row r="837" ht="13.5" customHeight="1">
      <c r="A837" s="9"/>
      <c r="B837" s="8"/>
      <c r="C837" s="8"/>
      <c r="D837" s="9"/>
      <c r="E837" s="8"/>
      <c r="F837" s="8"/>
      <c r="G837" s="19"/>
      <c r="H837" s="20"/>
      <c r="I837" s="7"/>
      <c r="J837" s="8"/>
      <c r="K837" s="8"/>
      <c r="L837" s="8"/>
      <c r="M837" s="9"/>
      <c r="N837" s="8"/>
      <c r="O837" s="8"/>
      <c r="P837" s="8"/>
      <c r="Q837" s="8"/>
      <c r="R837" s="8"/>
      <c r="S837" s="10"/>
    </row>
    <row r="838" ht="13.5" customHeight="1">
      <c r="A838" s="9"/>
      <c r="B838" s="8"/>
      <c r="C838" s="8"/>
      <c r="D838" s="9"/>
      <c r="E838" s="8"/>
      <c r="F838" s="8"/>
      <c r="G838" s="19"/>
      <c r="H838" s="20"/>
      <c r="I838" s="7"/>
      <c r="J838" s="8"/>
      <c r="K838" s="8"/>
      <c r="L838" s="8"/>
      <c r="M838" s="9"/>
      <c r="N838" s="8"/>
      <c r="O838" s="8"/>
      <c r="P838" s="8"/>
      <c r="Q838" s="8"/>
      <c r="R838" s="8"/>
      <c r="S838" s="10"/>
    </row>
    <row r="839" ht="13.5" customHeight="1">
      <c r="A839" s="9"/>
      <c r="B839" s="8"/>
      <c r="C839" s="8"/>
      <c r="D839" s="9"/>
      <c r="E839" s="8"/>
      <c r="F839" s="8"/>
      <c r="G839" s="19"/>
      <c r="H839" s="20"/>
      <c r="I839" s="7"/>
      <c r="J839" s="8"/>
      <c r="K839" s="8"/>
      <c r="L839" s="8"/>
      <c r="M839" s="9"/>
      <c r="N839" s="8"/>
      <c r="O839" s="8"/>
      <c r="P839" s="8"/>
      <c r="Q839" s="8"/>
      <c r="R839" s="8"/>
      <c r="S839" s="10"/>
    </row>
    <row r="840" ht="13.5" customHeight="1">
      <c r="A840" s="9"/>
      <c r="B840" s="8"/>
      <c r="C840" s="8"/>
      <c r="D840" s="9"/>
      <c r="E840" s="8"/>
      <c r="F840" s="8"/>
      <c r="G840" s="19"/>
      <c r="H840" s="20"/>
      <c r="I840" s="7"/>
      <c r="J840" s="8"/>
      <c r="K840" s="8"/>
      <c r="L840" s="8"/>
      <c r="M840" s="9"/>
      <c r="N840" s="8"/>
      <c r="O840" s="8"/>
      <c r="P840" s="8"/>
      <c r="Q840" s="8"/>
      <c r="R840" s="8"/>
      <c r="S840" s="10"/>
    </row>
    <row r="841" ht="13.5" customHeight="1">
      <c r="A841" s="9"/>
      <c r="B841" s="8"/>
      <c r="C841" s="8"/>
      <c r="D841" s="9"/>
      <c r="E841" s="8"/>
      <c r="F841" s="8"/>
      <c r="G841" s="19"/>
      <c r="H841" s="20"/>
      <c r="I841" s="7"/>
      <c r="J841" s="8"/>
      <c r="K841" s="8"/>
      <c r="L841" s="8"/>
      <c r="M841" s="9"/>
      <c r="N841" s="8"/>
      <c r="O841" s="8"/>
      <c r="P841" s="8"/>
      <c r="Q841" s="8"/>
      <c r="R841" s="8"/>
      <c r="S841" s="10"/>
    </row>
    <row r="842" ht="13.5" customHeight="1">
      <c r="A842" s="9"/>
      <c r="B842" s="8"/>
      <c r="C842" s="8"/>
      <c r="D842" s="9"/>
      <c r="E842" s="8"/>
      <c r="F842" s="8"/>
      <c r="G842" s="19"/>
      <c r="H842" s="20"/>
      <c r="I842" s="7"/>
      <c r="J842" s="8"/>
      <c r="K842" s="8"/>
      <c r="L842" s="8"/>
      <c r="M842" s="9"/>
      <c r="N842" s="8"/>
      <c r="O842" s="8"/>
      <c r="P842" s="8"/>
      <c r="Q842" s="8"/>
      <c r="R842" s="8"/>
      <c r="S842" s="10"/>
    </row>
    <row r="843" ht="13.5" customHeight="1">
      <c r="A843" s="9"/>
      <c r="B843" s="8"/>
      <c r="C843" s="8"/>
      <c r="D843" s="9"/>
      <c r="E843" s="8"/>
      <c r="F843" s="8"/>
      <c r="G843" s="19"/>
      <c r="H843" s="20"/>
      <c r="I843" s="7"/>
      <c r="J843" s="8"/>
      <c r="K843" s="8"/>
      <c r="L843" s="8"/>
      <c r="M843" s="9"/>
      <c r="N843" s="8"/>
      <c r="O843" s="8"/>
      <c r="P843" s="8"/>
      <c r="Q843" s="8"/>
      <c r="R843" s="8"/>
      <c r="S843" s="10"/>
    </row>
    <row r="844" ht="13.5" customHeight="1">
      <c r="A844" s="9"/>
      <c r="B844" s="8"/>
      <c r="C844" s="8"/>
      <c r="D844" s="9"/>
      <c r="E844" s="8"/>
      <c r="F844" s="8"/>
      <c r="G844" s="19"/>
      <c r="H844" s="20"/>
      <c r="I844" s="7"/>
      <c r="J844" s="8"/>
      <c r="K844" s="8"/>
      <c r="L844" s="8"/>
      <c r="M844" s="9"/>
      <c r="N844" s="8"/>
      <c r="O844" s="8"/>
      <c r="P844" s="8"/>
      <c r="Q844" s="8"/>
      <c r="R844" s="8"/>
      <c r="S844" s="10"/>
    </row>
    <row r="845" ht="13.5" customHeight="1">
      <c r="A845" s="9"/>
      <c r="B845" s="8"/>
      <c r="C845" s="8"/>
      <c r="D845" s="9"/>
      <c r="E845" s="8"/>
      <c r="F845" s="8"/>
      <c r="G845" s="19"/>
      <c r="H845" s="20"/>
      <c r="I845" s="7"/>
      <c r="J845" s="8"/>
      <c r="K845" s="8"/>
      <c r="L845" s="8"/>
      <c r="M845" s="9"/>
      <c r="N845" s="8"/>
      <c r="O845" s="8"/>
      <c r="P845" s="8"/>
      <c r="Q845" s="8"/>
      <c r="R845" s="8"/>
      <c r="S845" s="10"/>
    </row>
    <row r="846" ht="13.5" customHeight="1">
      <c r="A846" s="9"/>
      <c r="B846" s="8"/>
      <c r="C846" s="8"/>
      <c r="D846" s="9"/>
      <c r="E846" s="8"/>
      <c r="F846" s="8"/>
      <c r="G846" s="19"/>
      <c r="H846" s="20"/>
      <c r="I846" s="7"/>
      <c r="J846" s="8"/>
      <c r="K846" s="8"/>
      <c r="L846" s="8"/>
      <c r="M846" s="9"/>
      <c r="N846" s="8"/>
      <c r="O846" s="8"/>
      <c r="P846" s="8"/>
      <c r="Q846" s="8"/>
      <c r="R846" s="8"/>
      <c r="S846" s="10"/>
    </row>
    <row r="847" ht="13.5" customHeight="1">
      <c r="A847" s="9"/>
      <c r="B847" s="8"/>
      <c r="C847" s="8"/>
      <c r="D847" s="9"/>
      <c r="E847" s="8"/>
      <c r="F847" s="8"/>
      <c r="G847" s="19"/>
      <c r="H847" s="20"/>
      <c r="I847" s="7"/>
      <c r="J847" s="8"/>
      <c r="K847" s="8"/>
      <c r="L847" s="8"/>
      <c r="M847" s="9"/>
      <c r="N847" s="8"/>
      <c r="O847" s="8"/>
      <c r="P847" s="8"/>
      <c r="Q847" s="8"/>
      <c r="R847" s="8"/>
      <c r="S847" s="10"/>
    </row>
    <row r="848" ht="13.5" customHeight="1">
      <c r="A848" s="9"/>
      <c r="B848" s="8"/>
      <c r="C848" s="8"/>
      <c r="D848" s="9"/>
      <c r="E848" s="8"/>
      <c r="F848" s="8"/>
      <c r="G848" s="19"/>
      <c r="H848" s="20"/>
      <c r="I848" s="7"/>
      <c r="J848" s="8"/>
      <c r="K848" s="8"/>
      <c r="L848" s="8"/>
      <c r="M848" s="9"/>
      <c r="N848" s="8"/>
      <c r="O848" s="8"/>
      <c r="P848" s="8"/>
      <c r="Q848" s="8"/>
      <c r="R848" s="8"/>
      <c r="S848" s="10"/>
    </row>
    <row r="849" ht="13.5" customHeight="1">
      <c r="A849" s="9"/>
      <c r="B849" s="8"/>
      <c r="C849" s="8"/>
      <c r="D849" s="9"/>
      <c r="E849" s="8"/>
      <c r="F849" s="8"/>
      <c r="G849" s="19"/>
      <c r="H849" s="20"/>
      <c r="I849" s="7"/>
      <c r="J849" s="8"/>
      <c r="K849" s="8"/>
      <c r="L849" s="8"/>
      <c r="M849" s="9"/>
      <c r="N849" s="8"/>
      <c r="O849" s="8"/>
      <c r="P849" s="8"/>
      <c r="Q849" s="8"/>
      <c r="R849" s="8"/>
      <c r="S849" s="10"/>
    </row>
    <row r="850" ht="13.5" customHeight="1">
      <c r="A850" s="9"/>
      <c r="B850" s="8"/>
      <c r="C850" s="8"/>
      <c r="D850" s="9"/>
      <c r="E850" s="8"/>
      <c r="F850" s="8"/>
      <c r="G850" s="19"/>
      <c r="H850" s="20"/>
      <c r="I850" s="7"/>
      <c r="J850" s="8"/>
      <c r="K850" s="8"/>
      <c r="L850" s="8"/>
      <c r="M850" s="9"/>
      <c r="N850" s="8"/>
      <c r="O850" s="8"/>
      <c r="P850" s="8"/>
      <c r="Q850" s="8"/>
      <c r="R850" s="8"/>
      <c r="S850" s="10"/>
    </row>
    <row r="851" ht="13.5" customHeight="1">
      <c r="A851" s="9"/>
      <c r="B851" s="8"/>
      <c r="C851" s="8"/>
      <c r="D851" s="9"/>
      <c r="E851" s="8"/>
      <c r="F851" s="8"/>
      <c r="G851" s="19"/>
      <c r="H851" s="20"/>
      <c r="I851" s="7"/>
      <c r="J851" s="8"/>
      <c r="K851" s="8"/>
      <c r="L851" s="8"/>
      <c r="M851" s="9"/>
      <c r="N851" s="8"/>
      <c r="O851" s="8"/>
      <c r="P851" s="8"/>
      <c r="Q851" s="8"/>
      <c r="R851" s="8"/>
      <c r="S851" s="10"/>
    </row>
    <row r="852" ht="13.5" customHeight="1">
      <c r="A852" s="9"/>
      <c r="B852" s="8"/>
      <c r="C852" s="8"/>
      <c r="D852" s="9"/>
      <c r="E852" s="8"/>
      <c r="F852" s="8"/>
      <c r="G852" s="19"/>
      <c r="H852" s="20"/>
      <c r="I852" s="7"/>
      <c r="J852" s="8"/>
      <c r="K852" s="8"/>
      <c r="L852" s="8"/>
      <c r="M852" s="9"/>
      <c r="N852" s="8"/>
      <c r="O852" s="8"/>
      <c r="P852" s="8"/>
      <c r="Q852" s="8"/>
      <c r="R852" s="8"/>
      <c r="S852" s="10"/>
    </row>
    <row r="853" ht="13.5" customHeight="1">
      <c r="A853" s="9"/>
      <c r="B853" s="8"/>
      <c r="C853" s="8"/>
      <c r="D853" s="9"/>
      <c r="E853" s="8"/>
      <c r="F853" s="8"/>
      <c r="G853" s="19"/>
      <c r="H853" s="20"/>
      <c r="I853" s="7"/>
      <c r="J853" s="8"/>
      <c r="K853" s="8"/>
      <c r="L853" s="8"/>
      <c r="M853" s="9"/>
      <c r="N853" s="8"/>
      <c r="O853" s="8"/>
      <c r="P853" s="8"/>
      <c r="Q853" s="8"/>
      <c r="R853" s="8"/>
      <c r="S853" s="10"/>
    </row>
    <row r="854" ht="13.5" customHeight="1">
      <c r="A854" s="9"/>
      <c r="B854" s="8"/>
      <c r="C854" s="8"/>
      <c r="D854" s="9"/>
      <c r="E854" s="8"/>
      <c r="F854" s="8"/>
      <c r="G854" s="19"/>
      <c r="H854" s="20"/>
      <c r="I854" s="7"/>
      <c r="J854" s="8"/>
      <c r="K854" s="8"/>
      <c r="L854" s="8"/>
      <c r="M854" s="9"/>
      <c r="N854" s="8"/>
      <c r="O854" s="8"/>
      <c r="P854" s="8"/>
      <c r="Q854" s="8"/>
      <c r="R854" s="8"/>
      <c r="S854" s="10"/>
    </row>
    <row r="855" ht="13.5" customHeight="1">
      <c r="A855" s="9"/>
      <c r="B855" s="8"/>
      <c r="C855" s="8"/>
      <c r="D855" s="9"/>
      <c r="E855" s="8"/>
      <c r="F855" s="8"/>
      <c r="G855" s="19"/>
      <c r="H855" s="20"/>
      <c r="I855" s="7"/>
      <c r="J855" s="8"/>
      <c r="K855" s="8"/>
      <c r="L855" s="8"/>
      <c r="M855" s="9"/>
      <c r="N855" s="8"/>
      <c r="O855" s="8"/>
      <c r="P855" s="8"/>
      <c r="Q855" s="8"/>
      <c r="R855" s="8"/>
      <c r="S855" s="10"/>
    </row>
    <row r="856" ht="13.5" customHeight="1">
      <c r="A856" s="9"/>
      <c r="B856" s="8"/>
      <c r="C856" s="8"/>
      <c r="D856" s="9"/>
      <c r="E856" s="8"/>
      <c r="F856" s="8"/>
      <c r="G856" s="19"/>
      <c r="H856" s="20"/>
      <c r="I856" s="7"/>
      <c r="J856" s="8"/>
      <c r="K856" s="8"/>
      <c r="L856" s="8"/>
      <c r="M856" s="9"/>
      <c r="N856" s="8"/>
      <c r="O856" s="8"/>
      <c r="P856" s="8"/>
      <c r="Q856" s="8"/>
      <c r="R856" s="8"/>
      <c r="S856" s="10"/>
    </row>
    <row r="857" ht="13.5" customHeight="1">
      <c r="A857" s="9"/>
      <c r="B857" s="8"/>
      <c r="C857" s="8"/>
      <c r="D857" s="9"/>
      <c r="E857" s="8"/>
      <c r="F857" s="8"/>
      <c r="G857" s="19"/>
      <c r="H857" s="20"/>
      <c r="I857" s="7"/>
      <c r="J857" s="8"/>
      <c r="K857" s="8"/>
      <c r="L857" s="8"/>
      <c r="M857" s="9"/>
      <c r="N857" s="8"/>
      <c r="O857" s="8"/>
      <c r="P857" s="8"/>
      <c r="Q857" s="8"/>
      <c r="R857" s="8"/>
      <c r="S857" s="10"/>
    </row>
    <row r="858" ht="13.5" customHeight="1">
      <c r="A858" s="9"/>
      <c r="B858" s="8"/>
      <c r="C858" s="8"/>
      <c r="D858" s="9"/>
      <c r="E858" s="8"/>
      <c r="F858" s="8"/>
      <c r="G858" s="19"/>
      <c r="H858" s="20"/>
      <c r="I858" s="7"/>
      <c r="J858" s="8"/>
      <c r="K858" s="8"/>
      <c r="L858" s="8"/>
      <c r="M858" s="9"/>
      <c r="N858" s="8"/>
      <c r="O858" s="8"/>
      <c r="P858" s="8"/>
      <c r="Q858" s="8"/>
      <c r="R858" s="8"/>
      <c r="S858" s="10"/>
    </row>
    <row r="859" ht="13.5" customHeight="1">
      <c r="A859" s="9"/>
      <c r="B859" s="8"/>
      <c r="C859" s="8"/>
      <c r="D859" s="9"/>
      <c r="E859" s="8"/>
      <c r="F859" s="8"/>
      <c r="G859" s="19"/>
      <c r="H859" s="20"/>
      <c r="I859" s="7"/>
      <c r="J859" s="8"/>
      <c r="K859" s="8"/>
      <c r="L859" s="8"/>
      <c r="M859" s="9"/>
      <c r="N859" s="8"/>
      <c r="O859" s="8"/>
      <c r="P859" s="8"/>
      <c r="Q859" s="8"/>
      <c r="R859" s="8"/>
      <c r="S859" s="10"/>
    </row>
    <row r="860" ht="13.5" customHeight="1">
      <c r="A860" s="9"/>
      <c r="B860" s="8"/>
      <c r="C860" s="8"/>
      <c r="D860" s="9"/>
      <c r="E860" s="8"/>
      <c r="F860" s="8"/>
      <c r="G860" s="19"/>
      <c r="H860" s="20"/>
      <c r="I860" s="7"/>
      <c r="J860" s="8"/>
      <c r="K860" s="8"/>
      <c r="L860" s="8"/>
      <c r="M860" s="9"/>
      <c r="N860" s="8"/>
      <c r="O860" s="8"/>
      <c r="P860" s="8"/>
      <c r="Q860" s="8"/>
      <c r="R860" s="8"/>
      <c r="S860" s="10"/>
    </row>
    <row r="861" ht="13.5" customHeight="1">
      <c r="A861" s="9"/>
      <c r="B861" s="8"/>
      <c r="C861" s="8"/>
      <c r="D861" s="9"/>
      <c r="E861" s="8"/>
      <c r="F861" s="8"/>
      <c r="G861" s="19"/>
      <c r="H861" s="20"/>
      <c r="I861" s="7"/>
      <c r="J861" s="8"/>
      <c r="K861" s="8"/>
      <c r="L861" s="8"/>
      <c r="M861" s="9"/>
      <c r="N861" s="8"/>
      <c r="O861" s="8"/>
      <c r="P861" s="8"/>
      <c r="Q861" s="8"/>
      <c r="R861" s="8"/>
      <c r="S861" s="10"/>
    </row>
    <row r="862" ht="13.5" customHeight="1">
      <c r="A862" s="9"/>
      <c r="B862" s="8"/>
      <c r="C862" s="8"/>
      <c r="D862" s="9"/>
      <c r="E862" s="8"/>
      <c r="F862" s="8"/>
      <c r="G862" s="19"/>
      <c r="H862" s="20"/>
      <c r="I862" s="7"/>
      <c r="J862" s="8"/>
      <c r="K862" s="8"/>
      <c r="L862" s="8"/>
      <c r="M862" s="9"/>
      <c r="N862" s="8"/>
      <c r="O862" s="8"/>
      <c r="P862" s="8"/>
      <c r="Q862" s="8"/>
      <c r="R862" s="8"/>
      <c r="S862" s="10"/>
    </row>
    <row r="863" ht="13.5" customHeight="1">
      <c r="A863" s="9"/>
      <c r="B863" s="8"/>
      <c r="C863" s="8"/>
      <c r="D863" s="9"/>
      <c r="E863" s="8"/>
      <c r="F863" s="8"/>
      <c r="G863" s="19"/>
      <c r="H863" s="20"/>
      <c r="I863" s="7"/>
      <c r="J863" s="8"/>
      <c r="K863" s="8"/>
      <c r="L863" s="8"/>
      <c r="M863" s="9"/>
      <c r="N863" s="8"/>
      <c r="O863" s="8"/>
      <c r="P863" s="8"/>
      <c r="Q863" s="8"/>
      <c r="R863" s="8"/>
      <c r="S863" s="10"/>
    </row>
    <row r="864" ht="13.5" customHeight="1">
      <c r="A864" s="9"/>
      <c r="B864" s="8"/>
      <c r="C864" s="8"/>
      <c r="D864" s="9"/>
      <c r="E864" s="8"/>
      <c r="F864" s="8"/>
      <c r="G864" s="19"/>
      <c r="H864" s="20"/>
      <c r="I864" s="7"/>
      <c r="J864" s="8"/>
      <c r="K864" s="8"/>
      <c r="L864" s="8"/>
      <c r="M864" s="9"/>
      <c r="N864" s="8"/>
      <c r="O864" s="8"/>
      <c r="P864" s="8"/>
      <c r="Q864" s="8"/>
      <c r="R864" s="8"/>
      <c r="S864" s="10"/>
    </row>
    <row r="865" ht="13.5" customHeight="1">
      <c r="A865" s="9"/>
      <c r="B865" s="8"/>
      <c r="C865" s="8"/>
      <c r="D865" s="9"/>
      <c r="E865" s="8"/>
      <c r="F865" s="8"/>
      <c r="G865" s="19"/>
      <c r="H865" s="20"/>
      <c r="I865" s="7"/>
      <c r="J865" s="8"/>
      <c r="K865" s="8"/>
      <c r="L865" s="8"/>
      <c r="M865" s="9"/>
      <c r="N865" s="8"/>
      <c r="O865" s="8"/>
      <c r="P865" s="8"/>
      <c r="Q865" s="8"/>
      <c r="R865" s="8"/>
      <c r="S865" s="10"/>
    </row>
    <row r="866" ht="13.5" customHeight="1">
      <c r="A866" s="9"/>
      <c r="B866" s="8"/>
      <c r="C866" s="8"/>
      <c r="D866" s="9"/>
      <c r="E866" s="8"/>
      <c r="F866" s="8"/>
      <c r="G866" s="19"/>
      <c r="H866" s="20"/>
      <c r="I866" s="7"/>
      <c r="J866" s="8"/>
      <c r="K866" s="8"/>
      <c r="L866" s="8"/>
      <c r="M866" s="9"/>
      <c r="N866" s="8"/>
      <c r="O866" s="8"/>
      <c r="P866" s="8"/>
      <c r="Q866" s="8"/>
      <c r="R866" s="8"/>
      <c r="S866" s="10"/>
    </row>
    <row r="867" ht="13.5" customHeight="1">
      <c r="A867" s="9"/>
      <c r="B867" s="8"/>
      <c r="C867" s="8"/>
      <c r="D867" s="9"/>
      <c r="E867" s="8"/>
      <c r="F867" s="8"/>
      <c r="G867" s="19"/>
      <c r="H867" s="20"/>
      <c r="I867" s="7"/>
      <c r="J867" s="8"/>
      <c r="K867" s="8"/>
      <c r="L867" s="8"/>
      <c r="M867" s="9"/>
      <c r="N867" s="8"/>
      <c r="O867" s="8"/>
      <c r="P867" s="8"/>
      <c r="Q867" s="8"/>
      <c r="R867" s="8"/>
      <c r="S867" s="10"/>
    </row>
    <row r="868" ht="13.5" customHeight="1">
      <c r="A868" s="9"/>
      <c r="B868" s="8"/>
      <c r="C868" s="8"/>
      <c r="D868" s="9"/>
      <c r="E868" s="8"/>
      <c r="F868" s="8"/>
      <c r="G868" s="19"/>
      <c r="H868" s="20"/>
      <c r="I868" s="7"/>
      <c r="J868" s="8"/>
      <c r="K868" s="8"/>
      <c r="L868" s="8"/>
      <c r="M868" s="9"/>
      <c r="N868" s="8"/>
      <c r="O868" s="8"/>
      <c r="P868" s="8"/>
      <c r="Q868" s="8"/>
      <c r="R868" s="8"/>
      <c r="S868" s="10"/>
    </row>
    <row r="869" ht="13.5" customHeight="1">
      <c r="A869" s="9"/>
      <c r="B869" s="8"/>
      <c r="C869" s="8"/>
      <c r="D869" s="9"/>
      <c r="E869" s="8"/>
      <c r="F869" s="8"/>
      <c r="G869" s="19"/>
      <c r="H869" s="20"/>
      <c r="I869" s="7"/>
      <c r="J869" s="8"/>
      <c r="K869" s="8"/>
      <c r="L869" s="8"/>
      <c r="M869" s="9"/>
      <c r="N869" s="8"/>
      <c r="O869" s="8"/>
      <c r="P869" s="8"/>
      <c r="Q869" s="8"/>
      <c r="R869" s="8"/>
      <c r="S869" s="10"/>
    </row>
    <row r="870" ht="13.5" customHeight="1">
      <c r="A870" s="9"/>
      <c r="B870" s="8"/>
      <c r="C870" s="8"/>
      <c r="D870" s="9"/>
      <c r="E870" s="8"/>
      <c r="F870" s="8"/>
      <c r="G870" s="19"/>
      <c r="H870" s="20"/>
      <c r="I870" s="7"/>
      <c r="J870" s="8"/>
      <c r="K870" s="8"/>
      <c r="L870" s="8"/>
      <c r="M870" s="9"/>
      <c r="N870" s="8"/>
      <c r="O870" s="8"/>
      <c r="P870" s="8"/>
      <c r="Q870" s="8"/>
      <c r="R870" s="8"/>
      <c r="S870" s="10"/>
    </row>
    <row r="871" ht="13.5" customHeight="1">
      <c r="A871" s="9"/>
      <c r="B871" s="8"/>
      <c r="C871" s="8"/>
      <c r="D871" s="9"/>
      <c r="E871" s="8"/>
      <c r="F871" s="8"/>
      <c r="G871" s="19"/>
      <c r="H871" s="20"/>
      <c r="I871" s="7"/>
      <c r="J871" s="8"/>
      <c r="K871" s="8"/>
      <c r="L871" s="8"/>
      <c r="M871" s="9"/>
      <c r="N871" s="8"/>
      <c r="O871" s="8"/>
      <c r="P871" s="8"/>
      <c r="Q871" s="8"/>
      <c r="R871" s="8"/>
      <c r="S871" s="10"/>
    </row>
    <row r="872" ht="13.5" customHeight="1">
      <c r="A872" s="9"/>
      <c r="B872" s="8"/>
      <c r="C872" s="8"/>
      <c r="D872" s="9"/>
      <c r="E872" s="8"/>
      <c r="F872" s="8"/>
      <c r="G872" s="19"/>
      <c r="H872" s="20"/>
      <c r="I872" s="7"/>
      <c r="J872" s="8"/>
      <c r="K872" s="8"/>
      <c r="L872" s="8"/>
      <c r="M872" s="9"/>
      <c r="N872" s="8"/>
      <c r="O872" s="8"/>
      <c r="P872" s="8"/>
      <c r="Q872" s="8"/>
      <c r="R872" s="8"/>
      <c r="S872" s="10"/>
    </row>
    <row r="873" ht="13.5" customHeight="1">
      <c r="A873" s="9"/>
      <c r="B873" s="8"/>
      <c r="C873" s="8"/>
      <c r="D873" s="9"/>
      <c r="E873" s="8"/>
      <c r="F873" s="8"/>
      <c r="G873" s="19"/>
      <c r="H873" s="20"/>
      <c r="I873" s="7"/>
      <c r="J873" s="8"/>
      <c r="K873" s="8"/>
      <c r="L873" s="8"/>
      <c r="M873" s="9"/>
      <c r="N873" s="8"/>
      <c r="O873" s="8"/>
      <c r="P873" s="8"/>
      <c r="Q873" s="8"/>
      <c r="R873" s="8"/>
      <c r="S873" s="10"/>
    </row>
    <row r="874" ht="13.5" customHeight="1">
      <c r="A874" s="9"/>
      <c r="B874" s="8"/>
      <c r="C874" s="8"/>
      <c r="D874" s="9"/>
      <c r="E874" s="8"/>
      <c r="F874" s="8"/>
      <c r="G874" s="19"/>
      <c r="H874" s="20"/>
      <c r="I874" s="7"/>
      <c r="J874" s="8"/>
      <c r="K874" s="8"/>
      <c r="L874" s="8"/>
      <c r="M874" s="9"/>
      <c r="N874" s="8"/>
      <c r="O874" s="8"/>
      <c r="P874" s="8"/>
      <c r="Q874" s="8"/>
      <c r="R874" s="8"/>
      <c r="S874" s="10"/>
    </row>
    <row r="875" ht="13.5" customHeight="1">
      <c r="A875" s="9"/>
      <c r="B875" s="8"/>
      <c r="C875" s="8"/>
      <c r="D875" s="9"/>
      <c r="E875" s="8"/>
      <c r="F875" s="8"/>
      <c r="G875" s="19"/>
      <c r="H875" s="20"/>
      <c r="I875" s="7"/>
      <c r="J875" s="8"/>
      <c r="K875" s="8"/>
      <c r="L875" s="8"/>
      <c r="M875" s="9"/>
      <c r="N875" s="8"/>
      <c r="O875" s="8"/>
      <c r="P875" s="8"/>
      <c r="Q875" s="8"/>
      <c r="R875" s="8"/>
      <c r="S875" s="10"/>
    </row>
    <row r="876" ht="13.5" customHeight="1">
      <c r="A876" s="9"/>
      <c r="B876" s="8"/>
      <c r="C876" s="8"/>
      <c r="D876" s="9"/>
      <c r="E876" s="8"/>
      <c r="F876" s="8"/>
      <c r="G876" s="19"/>
      <c r="H876" s="20"/>
      <c r="I876" s="7"/>
      <c r="J876" s="8"/>
      <c r="K876" s="8"/>
      <c r="L876" s="8"/>
      <c r="M876" s="9"/>
      <c r="N876" s="8"/>
      <c r="O876" s="8"/>
      <c r="P876" s="8"/>
      <c r="Q876" s="8"/>
      <c r="R876" s="8"/>
      <c r="S876" s="10"/>
    </row>
    <row r="877" ht="13.5" customHeight="1">
      <c r="A877" s="9"/>
      <c r="B877" s="8"/>
      <c r="C877" s="8"/>
      <c r="D877" s="9"/>
      <c r="E877" s="8"/>
      <c r="F877" s="8"/>
      <c r="G877" s="19"/>
      <c r="H877" s="20"/>
      <c r="I877" s="7"/>
      <c r="J877" s="8"/>
      <c r="K877" s="8"/>
      <c r="L877" s="8"/>
      <c r="M877" s="9"/>
      <c r="N877" s="8"/>
      <c r="O877" s="8"/>
      <c r="P877" s="8"/>
      <c r="Q877" s="8"/>
      <c r="R877" s="8"/>
      <c r="S877" s="10"/>
    </row>
    <row r="878" ht="13.5" customHeight="1">
      <c r="A878" s="9"/>
      <c r="B878" s="8"/>
      <c r="C878" s="8"/>
      <c r="D878" s="9"/>
      <c r="E878" s="8"/>
      <c r="F878" s="8"/>
      <c r="G878" s="19"/>
      <c r="H878" s="20"/>
      <c r="I878" s="7"/>
      <c r="J878" s="8"/>
      <c r="K878" s="8"/>
      <c r="L878" s="8"/>
      <c r="M878" s="9"/>
      <c r="N878" s="8"/>
      <c r="O878" s="8"/>
      <c r="P878" s="8"/>
      <c r="Q878" s="8"/>
      <c r="R878" s="8"/>
      <c r="S878" s="10"/>
    </row>
    <row r="879" ht="13.5" customHeight="1">
      <c r="A879" s="9"/>
      <c r="B879" s="8"/>
      <c r="C879" s="8"/>
      <c r="D879" s="9"/>
      <c r="E879" s="8"/>
      <c r="F879" s="8"/>
      <c r="G879" s="19"/>
      <c r="H879" s="20"/>
      <c r="I879" s="7"/>
      <c r="J879" s="8"/>
      <c r="K879" s="8"/>
      <c r="L879" s="8"/>
      <c r="M879" s="9"/>
      <c r="N879" s="8"/>
      <c r="O879" s="8"/>
      <c r="P879" s="8"/>
      <c r="Q879" s="8"/>
      <c r="R879" s="8"/>
      <c r="S879" s="10"/>
    </row>
    <row r="880" ht="13.5" customHeight="1">
      <c r="A880" s="9"/>
      <c r="B880" s="8"/>
      <c r="C880" s="8"/>
      <c r="D880" s="9"/>
      <c r="E880" s="8"/>
      <c r="F880" s="8"/>
      <c r="G880" s="19"/>
      <c r="H880" s="20"/>
      <c r="I880" s="7"/>
      <c r="J880" s="8"/>
      <c r="K880" s="8"/>
      <c r="L880" s="8"/>
      <c r="M880" s="9"/>
      <c r="N880" s="8"/>
      <c r="O880" s="8"/>
      <c r="P880" s="8"/>
      <c r="Q880" s="8"/>
      <c r="R880" s="8"/>
      <c r="S880" s="10"/>
    </row>
    <row r="881" ht="13.5" customHeight="1">
      <c r="A881" s="9"/>
      <c r="B881" s="8"/>
      <c r="C881" s="8"/>
      <c r="D881" s="9"/>
      <c r="E881" s="8"/>
      <c r="F881" s="8"/>
      <c r="G881" s="19"/>
      <c r="H881" s="20"/>
      <c r="I881" s="7"/>
      <c r="J881" s="8"/>
      <c r="K881" s="8"/>
      <c r="L881" s="8"/>
      <c r="M881" s="9"/>
      <c r="N881" s="8"/>
      <c r="O881" s="8"/>
      <c r="P881" s="8"/>
      <c r="Q881" s="8"/>
      <c r="R881" s="8"/>
      <c r="S881" s="10"/>
    </row>
    <row r="882" ht="13.5" customHeight="1">
      <c r="A882" s="9"/>
      <c r="B882" s="8"/>
      <c r="C882" s="8"/>
      <c r="D882" s="9"/>
      <c r="E882" s="8"/>
      <c r="F882" s="8"/>
      <c r="G882" s="19"/>
      <c r="H882" s="20"/>
      <c r="I882" s="7"/>
      <c r="J882" s="8"/>
      <c r="K882" s="8"/>
      <c r="L882" s="8"/>
      <c r="M882" s="9"/>
      <c r="N882" s="8"/>
      <c r="O882" s="8"/>
      <c r="P882" s="8"/>
      <c r="Q882" s="8"/>
      <c r="R882" s="8"/>
      <c r="S882" s="10"/>
    </row>
    <row r="883" ht="13.5" customHeight="1">
      <c r="A883" s="9"/>
      <c r="B883" s="8"/>
      <c r="C883" s="8"/>
      <c r="D883" s="9"/>
      <c r="E883" s="8"/>
      <c r="F883" s="8"/>
      <c r="G883" s="19"/>
      <c r="H883" s="20"/>
      <c r="I883" s="7"/>
      <c r="J883" s="8"/>
      <c r="K883" s="8"/>
      <c r="L883" s="8"/>
      <c r="M883" s="9"/>
      <c r="N883" s="8"/>
      <c r="O883" s="8"/>
      <c r="P883" s="8"/>
      <c r="Q883" s="8"/>
      <c r="R883" s="8"/>
      <c r="S883" s="10"/>
    </row>
    <row r="884" ht="13.5" customHeight="1">
      <c r="A884" s="9"/>
      <c r="B884" s="8"/>
      <c r="C884" s="8"/>
      <c r="D884" s="9"/>
      <c r="E884" s="8"/>
      <c r="F884" s="8"/>
      <c r="G884" s="19"/>
      <c r="H884" s="20"/>
      <c r="I884" s="7"/>
      <c r="J884" s="8"/>
      <c r="K884" s="8"/>
      <c r="L884" s="8"/>
      <c r="M884" s="9"/>
      <c r="N884" s="8"/>
      <c r="O884" s="8"/>
      <c r="P884" s="8"/>
      <c r="Q884" s="8"/>
      <c r="R884" s="8"/>
      <c r="S884" s="10"/>
    </row>
    <row r="885" ht="13.5" customHeight="1">
      <c r="A885" s="9"/>
      <c r="B885" s="8"/>
      <c r="C885" s="8"/>
      <c r="D885" s="9"/>
      <c r="E885" s="8"/>
      <c r="F885" s="8"/>
      <c r="G885" s="19"/>
      <c r="H885" s="20"/>
      <c r="I885" s="7"/>
      <c r="J885" s="8"/>
      <c r="K885" s="8"/>
      <c r="L885" s="8"/>
      <c r="M885" s="9"/>
      <c r="N885" s="8"/>
      <c r="O885" s="8"/>
      <c r="P885" s="8"/>
      <c r="Q885" s="8"/>
      <c r="R885" s="8"/>
      <c r="S885" s="10"/>
    </row>
    <row r="886" ht="13.5" customHeight="1">
      <c r="A886" s="9"/>
      <c r="B886" s="8"/>
      <c r="C886" s="8"/>
      <c r="D886" s="9"/>
      <c r="E886" s="8"/>
      <c r="F886" s="8"/>
      <c r="G886" s="19"/>
      <c r="H886" s="20"/>
      <c r="I886" s="7"/>
      <c r="J886" s="8"/>
      <c r="K886" s="8"/>
      <c r="L886" s="8"/>
      <c r="M886" s="9"/>
      <c r="N886" s="8"/>
      <c r="O886" s="8"/>
      <c r="P886" s="8"/>
      <c r="Q886" s="8"/>
      <c r="R886" s="8"/>
      <c r="S886" s="10"/>
    </row>
    <row r="887" ht="13.5" customHeight="1">
      <c r="A887" s="9"/>
      <c r="B887" s="8"/>
      <c r="C887" s="8"/>
      <c r="D887" s="9"/>
      <c r="E887" s="8"/>
      <c r="F887" s="8"/>
      <c r="G887" s="19"/>
      <c r="H887" s="20"/>
      <c r="I887" s="7"/>
      <c r="J887" s="8"/>
      <c r="K887" s="8"/>
      <c r="L887" s="8"/>
      <c r="M887" s="9"/>
      <c r="N887" s="8"/>
      <c r="O887" s="8"/>
      <c r="P887" s="8"/>
      <c r="Q887" s="8"/>
      <c r="R887" s="8"/>
      <c r="S887" s="10"/>
    </row>
    <row r="888" ht="13.5" customHeight="1">
      <c r="A888" s="9"/>
      <c r="B888" s="8"/>
      <c r="C888" s="8"/>
      <c r="D888" s="9"/>
      <c r="E888" s="8"/>
      <c r="F888" s="8"/>
      <c r="G888" s="19"/>
      <c r="H888" s="20"/>
      <c r="I888" s="7"/>
      <c r="J888" s="8"/>
      <c r="K888" s="8"/>
      <c r="L888" s="8"/>
      <c r="M888" s="9"/>
      <c r="N888" s="8"/>
      <c r="O888" s="8"/>
      <c r="P888" s="8"/>
      <c r="Q888" s="8"/>
      <c r="R888" s="8"/>
      <c r="S888" s="10"/>
    </row>
    <row r="889" ht="13.5" customHeight="1">
      <c r="A889" s="9"/>
      <c r="B889" s="8"/>
      <c r="C889" s="8"/>
      <c r="D889" s="9"/>
      <c r="E889" s="8"/>
      <c r="F889" s="8"/>
      <c r="G889" s="19"/>
      <c r="H889" s="20"/>
      <c r="I889" s="7"/>
      <c r="J889" s="8"/>
      <c r="K889" s="8"/>
      <c r="L889" s="8"/>
      <c r="M889" s="9"/>
      <c r="N889" s="8"/>
      <c r="O889" s="8"/>
      <c r="P889" s="8"/>
      <c r="Q889" s="8"/>
      <c r="R889" s="8"/>
      <c r="S889" s="10"/>
    </row>
    <row r="890" ht="13.5" customHeight="1">
      <c r="A890" s="9"/>
      <c r="B890" s="8"/>
      <c r="C890" s="8"/>
      <c r="D890" s="9"/>
      <c r="E890" s="8"/>
      <c r="F890" s="8"/>
      <c r="G890" s="19"/>
      <c r="H890" s="20"/>
      <c r="I890" s="7"/>
      <c r="J890" s="8"/>
      <c r="K890" s="8"/>
      <c r="L890" s="8"/>
      <c r="M890" s="9"/>
      <c r="N890" s="8"/>
      <c r="O890" s="8"/>
      <c r="P890" s="8"/>
      <c r="Q890" s="8"/>
      <c r="R890" s="8"/>
      <c r="S890" s="10"/>
    </row>
    <row r="891" ht="13.5" customHeight="1">
      <c r="A891" s="9"/>
      <c r="B891" s="8"/>
      <c r="C891" s="8"/>
      <c r="D891" s="9"/>
      <c r="E891" s="8"/>
      <c r="F891" s="8"/>
      <c r="G891" s="19"/>
      <c r="H891" s="20"/>
      <c r="I891" s="7"/>
      <c r="J891" s="8"/>
      <c r="K891" s="8"/>
      <c r="L891" s="8"/>
      <c r="M891" s="9"/>
      <c r="N891" s="8"/>
      <c r="O891" s="8"/>
      <c r="P891" s="8"/>
      <c r="Q891" s="8"/>
      <c r="R891" s="8"/>
      <c r="S891" s="10"/>
    </row>
    <row r="892" ht="13.5" customHeight="1">
      <c r="A892" s="9"/>
      <c r="B892" s="8"/>
      <c r="C892" s="8"/>
      <c r="D892" s="9"/>
      <c r="E892" s="8"/>
      <c r="F892" s="8"/>
      <c r="G892" s="19"/>
      <c r="H892" s="20"/>
      <c r="I892" s="7"/>
      <c r="J892" s="8"/>
      <c r="K892" s="8"/>
      <c r="L892" s="8"/>
      <c r="M892" s="9"/>
      <c r="N892" s="8"/>
      <c r="O892" s="8"/>
      <c r="P892" s="8"/>
      <c r="Q892" s="8"/>
      <c r="R892" s="8"/>
      <c r="S892" s="10"/>
    </row>
    <row r="893" ht="13.5" customHeight="1">
      <c r="A893" s="9"/>
      <c r="B893" s="8"/>
      <c r="C893" s="8"/>
      <c r="D893" s="9"/>
      <c r="E893" s="8"/>
      <c r="F893" s="8"/>
      <c r="G893" s="19"/>
      <c r="H893" s="20"/>
      <c r="I893" s="7"/>
      <c r="J893" s="8"/>
      <c r="K893" s="8"/>
      <c r="L893" s="8"/>
      <c r="M893" s="9"/>
      <c r="N893" s="8"/>
      <c r="O893" s="8"/>
      <c r="P893" s="8"/>
      <c r="Q893" s="8"/>
      <c r="R893" s="8"/>
      <c r="S893" s="10"/>
    </row>
    <row r="894" ht="13.5" customHeight="1">
      <c r="A894" s="9"/>
      <c r="B894" s="8"/>
      <c r="C894" s="8"/>
      <c r="D894" s="9"/>
      <c r="E894" s="8"/>
      <c r="F894" s="8"/>
      <c r="G894" s="19"/>
      <c r="H894" s="20"/>
      <c r="I894" s="7"/>
      <c r="J894" s="8"/>
      <c r="K894" s="8"/>
      <c r="L894" s="8"/>
      <c r="M894" s="9"/>
      <c r="N894" s="8"/>
      <c r="O894" s="8"/>
      <c r="P894" s="8"/>
      <c r="Q894" s="8"/>
      <c r="R894" s="8"/>
      <c r="S894" s="10"/>
    </row>
    <row r="895" ht="13.5" customHeight="1">
      <c r="A895" s="9"/>
      <c r="B895" s="8"/>
      <c r="C895" s="8"/>
      <c r="D895" s="9"/>
      <c r="E895" s="8"/>
      <c r="F895" s="8"/>
      <c r="G895" s="19"/>
      <c r="H895" s="20"/>
      <c r="I895" s="7"/>
      <c r="J895" s="8"/>
      <c r="K895" s="8"/>
      <c r="L895" s="8"/>
      <c r="M895" s="9"/>
      <c r="N895" s="8"/>
      <c r="O895" s="8"/>
      <c r="P895" s="8"/>
      <c r="Q895" s="8"/>
      <c r="R895" s="8"/>
      <c r="S895" s="10"/>
    </row>
    <row r="896" ht="13.5" customHeight="1">
      <c r="A896" s="9"/>
      <c r="B896" s="8"/>
      <c r="C896" s="8"/>
      <c r="D896" s="9"/>
      <c r="E896" s="8"/>
      <c r="F896" s="8"/>
      <c r="G896" s="19"/>
      <c r="H896" s="20"/>
      <c r="I896" s="7"/>
      <c r="J896" s="8"/>
      <c r="K896" s="8"/>
      <c r="L896" s="8"/>
      <c r="M896" s="9"/>
      <c r="N896" s="8"/>
      <c r="O896" s="8"/>
      <c r="P896" s="8"/>
      <c r="Q896" s="8"/>
      <c r="R896" s="8"/>
      <c r="S896" s="10"/>
    </row>
    <row r="897" ht="13.5" customHeight="1">
      <c r="A897" s="9"/>
      <c r="B897" s="8"/>
      <c r="C897" s="8"/>
      <c r="D897" s="9"/>
      <c r="E897" s="8"/>
      <c r="F897" s="8"/>
      <c r="G897" s="19"/>
      <c r="H897" s="20"/>
      <c r="I897" s="7"/>
      <c r="J897" s="8"/>
      <c r="K897" s="8"/>
      <c r="L897" s="8"/>
      <c r="M897" s="9"/>
      <c r="N897" s="8"/>
      <c r="O897" s="8"/>
      <c r="P897" s="8"/>
      <c r="Q897" s="8"/>
      <c r="R897" s="8"/>
      <c r="S897" s="10"/>
    </row>
    <row r="898" ht="13.5" customHeight="1">
      <c r="A898" s="9"/>
      <c r="B898" s="8"/>
      <c r="C898" s="8"/>
      <c r="D898" s="9"/>
      <c r="E898" s="8"/>
      <c r="F898" s="8"/>
      <c r="G898" s="19"/>
      <c r="H898" s="20"/>
      <c r="I898" s="7"/>
      <c r="J898" s="8"/>
      <c r="K898" s="8"/>
      <c r="L898" s="8"/>
      <c r="M898" s="9"/>
      <c r="N898" s="8"/>
      <c r="O898" s="8"/>
      <c r="P898" s="8"/>
      <c r="Q898" s="8"/>
      <c r="R898" s="8"/>
      <c r="S898" s="10"/>
    </row>
    <row r="899" ht="13.5" customHeight="1">
      <c r="A899" s="9"/>
      <c r="B899" s="8"/>
      <c r="C899" s="8"/>
      <c r="D899" s="9"/>
      <c r="E899" s="8"/>
      <c r="F899" s="8"/>
      <c r="G899" s="19"/>
      <c r="H899" s="20"/>
      <c r="I899" s="7"/>
      <c r="J899" s="8"/>
      <c r="K899" s="8"/>
      <c r="L899" s="8"/>
      <c r="M899" s="9"/>
      <c r="N899" s="8"/>
      <c r="O899" s="8"/>
      <c r="P899" s="8"/>
      <c r="Q899" s="8"/>
      <c r="R899" s="8"/>
      <c r="S899" s="10"/>
    </row>
    <row r="900" ht="13.5" customHeight="1">
      <c r="A900" s="9"/>
      <c r="B900" s="8"/>
      <c r="C900" s="8"/>
      <c r="D900" s="9"/>
      <c r="E900" s="8"/>
      <c r="F900" s="8"/>
      <c r="G900" s="19"/>
      <c r="H900" s="20"/>
      <c r="I900" s="7"/>
      <c r="J900" s="8"/>
      <c r="K900" s="8"/>
      <c r="L900" s="8"/>
      <c r="M900" s="9"/>
      <c r="N900" s="8"/>
      <c r="O900" s="8"/>
      <c r="P900" s="8"/>
      <c r="Q900" s="8"/>
      <c r="R900" s="8"/>
      <c r="S900" s="10"/>
    </row>
    <row r="901" ht="13.5" customHeight="1">
      <c r="A901" s="9"/>
      <c r="B901" s="8"/>
      <c r="C901" s="8"/>
      <c r="D901" s="9"/>
      <c r="E901" s="8"/>
      <c r="F901" s="8"/>
      <c r="G901" s="19"/>
      <c r="H901" s="20"/>
      <c r="I901" s="7"/>
      <c r="J901" s="8"/>
      <c r="K901" s="8"/>
      <c r="L901" s="8"/>
      <c r="M901" s="9"/>
      <c r="N901" s="8"/>
      <c r="O901" s="8"/>
      <c r="P901" s="8"/>
      <c r="Q901" s="8"/>
      <c r="R901" s="8"/>
      <c r="S901" s="10"/>
    </row>
    <row r="902" ht="13.5" customHeight="1">
      <c r="A902" s="9"/>
      <c r="B902" s="8"/>
      <c r="C902" s="8"/>
      <c r="D902" s="9"/>
      <c r="E902" s="8"/>
      <c r="F902" s="8"/>
      <c r="G902" s="19"/>
      <c r="H902" s="20"/>
      <c r="I902" s="7"/>
      <c r="J902" s="8"/>
      <c r="K902" s="8"/>
      <c r="L902" s="8"/>
      <c r="M902" s="9"/>
      <c r="N902" s="8"/>
      <c r="O902" s="8"/>
      <c r="P902" s="8"/>
      <c r="Q902" s="8"/>
      <c r="R902" s="8"/>
      <c r="S902" s="10"/>
    </row>
    <row r="903" ht="13.5" customHeight="1">
      <c r="A903" s="9"/>
      <c r="B903" s="8"/>
      <c r="C903" s="8"/>
      <c r="D903" s="9"/>
      <c r="E903" s="8"/>
      <c r="F903" s="8"/>
      <c r="G903" s="19"/>
      <c r="H903" s="20"/>
      <c r="I903" s="7"/>
      <c r="J903" s="8"/>
      <c r="K903" s="8"/>
      <c r="L903" s="8"/>
      <c r="M903" s="9"/>
      <c r="N903" s="8"/>
      <c r="O903" s="8"/>
      <c r="P903" s="8"/>
      <c r="Q903" s="8"/>
      <c r="R903" s="8"/>
      <c r="S903" s="10"/>
    </row>
    <row r="904" ht="13.5" customHeight="1">
      <c r="A904" s="9"/>
      <c r="B904" s="8"/>
      <c r="C904" s="8"/>
      <c r="D904" s="9"/>
      <c r="E904" s="8"/>
      <c r="F904" s="8"/>
      <c r="G904" s="19"/>
      <c r="H904" s="20"/>
      <c r="I904" s="7"/>
      <c r="J904" s="8"/>
      <c r="K904" s="8"/>
      <c r="L904" s="8"/>
      <c r="M904" s="9"/>
      <c r="N904" s="8"/>
      <c r="O904" s="8"/>
      <c r="P904" s="8"/>
      <c r="Q904" s="8"/>
      <c r="R904" s="8"/>
      <c r="S904" s="10"/>
    </row>
    <row r="905" ht="13.5" customHeight="1">
      <c r="A905" s="9"/>
      <c r="B905" s="8"/>
      <c r="C905" s="8"/>
      <c r="D905" s="9"/>
      <c r="E905" s="8"/>
      <c r="F905" s="8"/>
      <c r="G905" s="19"/>
      <c r="H905" s="20"/>
      <c r="I905" s="7"/>
      <c r="J905" s="8"/>
      <c r="K905" s="8"/>
      <c r="L905" s="8"/>
      <c r="M905" s="9"/>
      <c r="N905" s="8"/>
      <c r="O905" s="8"/>
      <c r="P905" s="8"/>
      <c r="Q905" s="8"/>
      <c r="R905" s="8"/>
      <c r="S905" s="10"/>
    </row>
    <row r="906" ht="13.5" customHeight="1">
      <c r="A906" s="9"/>
      <c r="B906" s="8"/>
      <c r="C906" s="8"/>
      <c r="D906" s="9"/>
      <c r="E906" s="8"/>
      <c r="F906" s="8"/>
      <c r="G906" s="19"/>
      <c r="H906" s="20"/>
      <c r="I906" s="7"/>
      <c r="J906" s="8"/>
      <c r="K906" s="8"/>
      <c r="L906" s="8"/>
      <c r="M906" s="9"/>
      <c r="N906" s="8"/>
      <c r="O906" s="8"/>
      <c r="P906" s="8"/>
      <c r="Q906" s="8"/>
      <c r="R906" s="8"/>
      <c r="S906" s="10"/>
    </row>
    <row r="907" ht="13.5" customHeight="1">
      <c r="A907" s="9"/>
      <c r="B907" s="8"/>
      <c r="C907" s="8"/>
      <c r="D907" s="9"/>
      <c r="E907" s="8"/>
      <c r="F907" s="8"/>
      <c r="G907" s="19"/>
      <c r="H907" s="20"/>
      <c r="I907" s="7"/>
      <c r="J907" s="8"/>
      <c r="K907" s="8"/>
      <c r="L907" s="8"/>
      <c r="M907" s="9"/>
      <c r="N907" s="8"/>
      <c r="O907" s="8"/>
      <c r="P907" s="8"/>
      <c r="Q907" s="8"/>
      <c r="R907" s="8"/>
      <c r="S907" s="10"/>
    </row>
    <row r="908" ht="13.5" customHeight="1">
      <c r="A908" s="9"/>
      <c r="B908" s="8"/>
      <c r="C908" s="8"/>
      <c r="D908" s="9"/>
      <c r="E908" s="8"/>
      <c r="F908" s="8"/>
      <c r="G908" s="19"/>
      <c r="H908" s="20"/>
      <c r="I908" s="7"/>
      <c r="J908" s="8"/>
      <c r="K908" s="8"/>
      <c r="L908" s="8"/>
      <c r="M908" s="9"/>
      <c r="N908" s="8"/>
      <c r="O908" s="8"/>
      <c r="P908" s="8"/>
      <c r="Q908" s="8"/>
      <c r="R908" s="8"/>
      <c r="S908" s="10"/>
    </row>
    <row r="909" ht="13.5" customHeight="1">
      <c r="A909" s="9"/>
      <c r="B909" s="8"/>
      <c r="C909" s="8"/>
      <c r="D909" s="9"/>
      <c r="E909" s="8"/>
      <c r="F909" s="8"/>
      <c r="G909" s="19"/>
      <c r="H909" s="20"/>
      <c r="I909" s="7"/>
      <c r="J909" s="8"/>
      <c r="K909" s="8"/>
      <c r="L909" s="8"/>
      <c r="M909" s="9"/>
      <c r="N909" s="8"/>
      <c r="O909" s="8"/>
      <c r="P909" s="8"/>
      <c r="Q909" s="8"/>
      <c r="R909" s="8"/>
      <c r="S909" s="10"/>
    </row>
    <row r="910" ht="13.5" customHeight="1">
      <c r="A910" s="9"/>
      <c r="B910" s="8"/>
      <c r="C910" s="8"/>
      <c r="D910" s="9"/>
      <c r="E910" s="8"/>
      <c r="F910" s="8"/>
      <c r="G910" s="19"/>
      <c r="H910" s="20"/>
      <c r="I910" s="7"/>
      <c r="J910" s="8"/>
      <c r="K910" s="8"/>
      <c r="L910" s="8"/>
      <c r="M910" s="9"/>
      <c r="N910" s="8"/>
      <c r="O910" s="8"/>
      <c r="P910" s="8"/>
      <c r="Q910" s="8"/>
      <c r="R910" s="8"/>
      <c r="S910" s="10"/>
    </row>
    <row r="911" ht="13.5" customHeight="1">
      <c r="A911" s="9"/>
      <c r="B911" s="8"/>
      <c r="C911" s="8"/>
      <c r="D911" s="9"/>
      <c r="E911" s="8"/>
      <c r="F911" s="8"/>
      <c r="G911" s="19"/>
      <c r="H911" s="20"/>
      <c r="I911" s="7"/>
      <c r="J911" s="8"/>
      <c r="K911" s="8"/>
      <c r="L911" s="8"/>
      <c r="M911" s="9"/>
      <c r="N911" s="8"/>
      <c r="O911" s="8"/>
      <c r="P911" s="8"/>
      <c r="Q911" s="8"/>
      <c r="R911" s="8"/>
      <c r="S911" s="10"/>
    </row>
    <row r="912" ht="13.5" customHeight="1">
      <c r="A912" s="9"/>
      <c r="B912" s="8"/>
      <c r="C912" s="8"/>
      <c r="D912" s="9"/>
      <c r="E912" s="8"/>
      <c r="F912" s="8"/>
      <c r="G912" s="19"/>
      <c r="H912" s="20"/>
      <c r="I912" s="7"/>
      <c r="J912" s="8"/>
      <c r="K912" s="8"/>
      <c r="L912" s="8"/>
      <c r="M912" s="9"/>
      <c r="N912" s="8"/>
      <c r="O912" s="8"/>
      <c r="P912" s="8"/>
      <c r="Q912" s="8"/>
      <c r="R912" s="8"/>
      <c r="S912" s="10"/>
    </row>
    <row r="913" ht="13.5" customHeight="1">
      <c r="A913" s="9"/>
      <c r="B913" s="8"/>
      <c r="C913" s="8"/>
      <c r="D913" s="9"/>
      <c r="E913" s="8"/>
      <c r="F913" s="8"/>
      <c r="G913" s="19"/>
      <c r="H913" s="20"/>
      <c r="I913" s="7"/>
      <c r="J913" s="8"/>
      <c r="K913" s="8"/>
      <c r="L913" s="8"/>
      <c r="M913" s="9"/>
      <c r="N913" s="8"/>
      <c r="O913" s="8"/>
      <c r="P913" s="8"/>
      <c r="Q913" s="8"/>
      <c r="R913" s="8"/>
      <c r="S913" s="10"/>
    </row>
    <row r="914" ht="13.5" customHeight="1">
      <c r="A914" s="9"/>
      <c r="B914" s="8"/>
      <c r="C914" s="8"/>
      <c r="D914" s="9"/>
      <c r="E914" s="8"/>
      <c r="F914" s="8"/>
      <c r="G914" s="19"/>
      <c r="H914" s="20"/>
      <c r="I914" s="7"/>
      <c r="J914" s="8"/>
      <c r="K914" s="8"/>
      <c r="L914" s="8"/>
      <c r="M914" s="9"/>
      <c r="N914" s="8"/>
      <c r="O914" s="8"/>
      <c r="P914" s="8"/>
      <c r="Q914" s="8"/>
      <c r="R914" s="8"/>
      <c r="S914" s="10"/>
    </row>
    <row r="915" ht="13.5" customHeight="1">
      <c r="A915" s="9"/>
      <c r="B915" s="8"/>
      <c r="C915" s="8"/>
      <c r="D915" s="9"/>
      <c r="E915" s="8"/>
      <c r="F915" s="8"/>
      <c r="G915" s="19"/>
      <c r="H915" s="20"/>
      <c r="I915" s="7"/>
      <c r="J915" s="8"/>
      <c r="K915" s="8"/>
      <c r="L915" s="8"/>
      <c r="M915" s="9"/>
      <c r="N915" s="8"/>
      <c r="O915" s="8"/>
      <c r="P915" s="8"/>
      <c r="Q915" s="8"/>
      <c r="R915" s="8"/>
      <c r="S915" s="10"/>
    </row>
    <row r="916" ht="13.5" customHeight="1">
      <c r="A916" s="9"/>
      <c r="B916" s="8"/>
      <c r="C916" s="8"/>
      <c r="D916" s="9"/>
      <c r="E916" s="8"/>
      <c r="F916" s="8"/>
      <c r="G916" s="19"/>
      <c r="H916" s="20"/>
      <c r="I916" s="7"/>
      <c r="J916" s="8"/>
      <c r="K916" s="8"/>
      <c r="L916" s="8"/>
      <c r="M916" s="9"/>
      <c r="N916" s="8"/>
      <c r="O916" s="8"/>
      <c r="P916" s="8"/>
      <c r="Q916" s="8"/>
      <c r="R916" s="8"/>
      <c r="S916" s="10"/>
    </row>
    <row r="917" ht="13.5" customHeight="1">
      <c r="A917" s="9"/>
      <c r="B917" s="8"/>
      <c r="C917" s="8"/>
      <c r="D917" s="9"/>
      <c r="E917" s="8"/>
      <c r="F917" s="8"/>
      <c r="G917" s="19"/>
      <c r="H917" s="20"/>
      <c r="I917" s="7"/>
      <c r="J917" s="8"/>
      <c r="K917" s="8"/>
      <c r="L917" s="8"/>
      <c r="M917" s="9"/>
      <c r="N917" s="8"/>
      <c r="O917" s="8"/>
      <c r="P917" s="8"/>
      <c r="Q917" s="8"/>
      <c r="R917" s="8"/>
      <c r="S917" s="10"/>
    </row>
    <row r="918" ht="13.5" customHeight="1">
      <c r="A918" s="9"/>
      <c r="B918" s="8"/>
      <c r="C918" s="8"/>
      <c r="D918" s="9"/>
      <c r="E918" s="8"/>
      <c r="F918" s="8"/>
      <c r="G918" s="19"/>
      <c r="H918" s="20"/>
      <c r="I918" s="7"/>
      <c r="J918" s="8"/>
      <c r="K918" s="8"/>
      <c r="L918" s="8"/>
      <c r="M918" s="9"/>
      <c r="N918" s="8"/>
      <c r="O918" s="8"/>
      <c r="P918" s="8"/>
      <c r="Q918" s="8"/>
      <c r="R918" s="8"/>
      <c r="S918" s="10"/>
    </row>
    <row r="919" ht="13.5" customHeight="1">
      <c r="A919" s="9"/>
      <c r="B919" s="8"/>
      <c r="C919" s="8"/>
      <c r="D919" s="9"/>
      <c r="E919" s="8"/>
      <c r="F919" s="8"/>
      <c r="G919" s="19"/>
      <c r="H919" s="20"/>
      <c r="I919" s="7"/>
      <c r="J919" s="8"/>
      <c r="K919" s="8"/>
      <c r="L919" s="8"/>
      <c r="M919" s="9"/>
      <c r="N919" s="8"/>
      <c r="O919" s="8"/>
      <c r="P919" s="8"/>
      <c r="Q919" s="8"/>
      <c r="R919" s="8"/>
      <c r="S919" s="10"/>
    </row>
    <row r="920" ht="13.5" customHeight="1">
      <c r="A920" s="9"/>
      <c r="B920" s="8"/>
      <c r="C920" s="8"/>
      <c r="D920" s="9"/>
      <c r="E920" s="8"/>
      <c r="F920" s="8"/>
      <c r="G920" s="19"/>
      <c r="H920" s="20"/>
      <c r="I920" s="7"/>
      <c r="J920" s="8"/>
      <c r="K920" s="8"/>
      <c r="L920" s="8"/>
      <c r="M920" s="9"/>
      <c r="N920" s="8"/>
      <c r="O920" s="8"/>
      <c r="P920" s="8"/>
      <c r="Q920" s="8"/>
      <c r="R920" s="8"/>
      <c r="S920" s="10"/>
    </row>
    <row r="921" ht="13.5" customHeight="1">
      <c r="A921" s="9"/>
      <c r="B921" s="8"/>
      <c r="C921" s="8"/>
      <c r="D921" s="9"/>
      <c r="E921" s="8"/>
      <c r="F921" s="8"/>
      <c r="G921" s="19"/>
      <c r="H921" s="20"/>
      <c r="I921" s="7"/>
      <c r="J921" s="8"/>
      <c r="K921" s="8"/>
      <c r="L921" s="8"/>
      <c r="M921" s="9"/>
      <c r="N921" s="8"/>
      <c r="O921" s="8"/>
      <c r="P921" s="8"/>
      <c r="Q921" s="8"/>
      <c r="R921" s="8"/>
      <c r="S921" s="10"/>
    </row>
    <row r="922" ht="13.5" customHeight="1">
      <c r="A922" s="9"/>
      <c r="B922" s="8"/>
      <c r="C922" s="8"/>
      <c r="D922" s="9"/>
      <c r="E922" s="8"/>
      <c r="F922" s="8"/>
      <c r="G922" s="19"/>
      <c r="H922" s="20"/>
      <c r="I922" s="7"/>
      <c r="J922" s="8"/>
      <c r="K922" s="8"/>
      <c r="L922" s="8"/>
      <c r="M922" s="9"/>
      <c r="N922" s="8"/>
      <c r="O922" s="8"/>
      <c r="P922" s="8"/>
      <c r="Q922" s="8"/>
      <c r="R922" s="8"/>
      <c r="S922" s="10"/>
    </row>
    <row r="923" ht="13.5" customHeight="1">
      <c r="A923" s="9"/>
      <c r="B923" s="8"/>
      <c r="C923" s="8"/>
      <c r="D923" s="9"/>
      <c r="E923" s="8"/>
      <c r="F923" s="8"/>
      <c r="G923" s="19"/>
      <c r="H923" s="20"/>
      <c r="I923" s="7"/>
      <c r="J923" s="8"/>
      <c r="K923" s="8"/>
      <c r="L923" s="8"/>
      <c r="M923" s="9"/>
      <c r="N923" s="8"/>
      <c r="O923" s="8"/>
      <c r="P923" s="8"/>
      <c r="Q923" s="8"/>
      <c r="R923" s="8"/>
      <c r="S923" s="10"/>
    </row>
    <row r="924" ht="13.5" customHeight="1">
      <c r="A924" s="9"/>
      <c r="B924" s="8"/>
      <c r="C924" s="8"/>
      <c r="D924" s="9"/>
      <c r="E924" s="8"/>
      <c r="F924" s="8"/>
      <c r="G924" s="19"/>
      <c r="H924" s="20"/>
      <c r="I924" s="7"/>
      <c r="J924" s="8"/>
      <c r="K924" s="8"/>
      <c r="L924" s="8"/>
      <c r="M924" s="9"/>
      <c r="N924" s="8"/>
      <c r="O924" s="8"/>
      <c r="P924" s="8"/>
      <c r="Q924" s="8"/>
      <c r="R924" s="8"/>
      <c r="S924" s="10"/>
    </row>
    <row r="925" ht="13.5" customHeight="1">
      <c r="A925" s="9"/>
      <c r="B925" s="8"/>
      <c r="C925" s="8"/>
      <c r="D925" s="9"/>
      <c r="E925" s="8"/>
      <c r="F925" s="8"/>
      <c r="G925" s="19"/>
      <c r="H925" s="20"/>
      <c r="I925" s="7"/>
      <c r="J925" s="8"/>
      <c r="K925" s="8"/>
      <c r="L925" s="8"/>
      <c r="M925" s="9"/>
      <c r="N925" s="8"/>
      <c r="O925" s="8"/>
      <c r="P925" s="8"/>
      <c r="Q925" s="8"/>
      <c r="R925" s="8"/>
      <c r="S925" s="10"/>
    </row>
    <row r="926" ht="13.5" customHeight="1">
      <c r="A926" s="9"/>
      <c r="B926" s="8"/>
      <c r="C926" s="8"/>
      <c r="D926" s="9"/>
      <c r="E926" s="8"/>
      <c r="F926" s="8"/>
      <c r="G926" s="19"/>
      <c r="H926" s="20"/>
      <c r="I926" s="7"/>
      <c r="J926" s="8"/>
      <c r="K926" s="8"/>
      <c r="L926" s="8"/>
      <c r="M926" s="9"/>
      <c r="N926" s="8"/>
      <c r="O926" s="8"/>
      <c r="P926" s="8"/>
      <c r="Q926" s="8"/>
      <c r="R926" s="8"/>
      <c r="S926" s="10"/>
    </row>
    <row r="927" ht="13.5" customHeight="1">
      <c r="A927" s="9"/>
      <c r="B927" s="8"/>
      <c r="C927" s="8"/>
      <c r="D927" s="9"/>
      <c r="E927" s="8"/>
      <c r="F927" s="8"/>
      <c r="G927" s="19"/>
      <c r="H927" s="20"/>
      <c r="I927" s="7"/>
      <c r="J927" s="8"/>
      <c r="K927" s="8"/>
      <c r="L927" s="8"/>
      <c r="M927" s="9"/>
      <c r="N927" s="8"/>
      <c r="O927" s="8"/>
      <c r="P927" s="8"/>
      <c r="Q927" s="8"/>
      <c r="R927" s="8"/>
      <c r="S927" s="10"/>
    </row>
    <row r="928" ht="13.5" customHeight="1">
      <c r="A928" s="9"/>
      <c r="B928" s="8"/>
      <c r="C928" s="8"/>
      <c r="D928" s="9"/>
      <c r="E928" s="8"/>
      <c r="F928" s="8"/>
      <c r="G928" s="19"/>
      <c r="H928" s="20"/>
      <c r="I928" s="7"/>
      <c r="J928" s="8"/>
      <c r="K928" s="8"/>
      <c r="L928" s="8"/>
      <c r="M928" s="9"/>
      <c r="N928" s="8"/>
      <c r="O928" s="8"/>
      <c r="P928" s="8"/>
      <c r="Q928" s="8"/>
      <c r="R928" s="8"/>
      <c r="S928" s="10"/>
    </row>
    <row r="929" ht="13.5" customHeight="1">
      <c r="A929" s="9"/>
      <c r="B929" s="8"/>
      <c r="C929" s="8"/>
      <c r="D929" s="9"/>
      <c r="E929" s="8"/>
      <c r="F929" s="8"/>
      <c r="G929" s="19"/>
      <c r="H929" s="20"/>
      <c r="I929" s="7"/>
      <c r="J929" s="8"/>
      <c r="K929" s="8"/>
      <c r="L929" s="8"/>
      <c r="M929" s="9"/>
      <c r="N929" s="8"/>
      <c r="O929" s="8"/>
      <c r="P929" s="8"/>
      <c r="Q929" s="8"/>
      <c r="R929" s="8"/>
      <c r="S929" s="10"/>
    </row>
    <row r="930" ht="13.5" customHeight="1">
      <c r="A930" s="9"/>
      <c r="B930" s="8"/>
      <c r="C930" s="8"/>
      <c r="D930" s="9"/>
      <c r="E930" s="8"/>
      <c r="F930" s="8"/>
      <c r="G930" s="19"/>
      <c r="H930" s="20"/>
      <c r="I930" s="7"/>
      <c r="J930" s="8"/>
      <c r="K930" s="8"/>
      <c r="L930" s="8"/>
      <c r="M930" s="9"/>
      <c r="N930" s="8"/>
      <c r="O930" s="8"/>
      <c r="P930" s="8"/>
      <c r="Q930" s="8"/>
      <c r="R930" s="8"/>
      <c r="S930" s="10"/>
    </row>
    <row r="931" ht="13.5" customHeight="1">
      <c r="A931" s="9"/>
      <c r="B931" s="8"/>
      <c r="C931" s="8"/>
      <c r="D931" s="9"/>
      <c r="E931" s="8"/>
      <c r="F931" s="8"/>
      <c r="G931" s="19"/>
      <c r="H931" s="20"/>
      <c r="I931" s="7"/>
      <c r="J931" s="8"/>
      <c r="K931" s="8"/>
      <c r="L931" s="8"/>
      <c r="M931" s="9"/>
      <c r="N931" s="8"/>
      <c r="O931" s="8"/>
      <c r="P931" s="8"/>
      <c r="Q931" s="8"/>
      <c r="R931" s="8"/>
      <c r="S931" s="10"/>
    </row>
    <row r="932" ht="13.5" customHeight="1">
      <c r="A932" s="9"/>
      <c r="B932" s="8"/>
      <c r="C932" s="8"/>
      <c r="D932" s="9"/>
      <c r="E932" s="8"/>
      <c r="F932" s="8"/>
      <c r="G932" s="19"/>
      <c r="H932" s="20"/>
      <c r="I932" s="7"/>
      <c r="J932" s="8"/>
      <c r="K932" s="8"/>
      <c r="L932" s="8"/>
      <c r="M932" s="9"/>
      <c r="N932" s="8"/>
      <c r="O932" s="8"/>
      <c r="P932" s="8"/>
      <c r="Q932" s="8"/>
      <c r="R932" s="8"/>
      <c r="S932" s="10"/>
    </row>
    <row r="933" ht="13.5" customHeight="1">
      <c r="A933" s="9"/>
      <c r="B933" s="8"/>
      <c r="C933" s="8"/>
      <c r="D933" s="9"/>
      <c r="E933" s="8"/>
      <c r="F933" s="8"/>
      <c r="G933" s="19"/>
      <c r="H933" s="20"/>
      <c r="I933" s="7"/>
      <c r="J933" s="8"/>
      <c r="K933" s="8"/>
      <c r="L933" s="8"/>
      <c r="M933" s="9"/>
      <c r="N933" s="8"/>
      <c r="O933" s="8"/>
      <c r="P933" s="8"/>
      <c r="Q933" s="8"/>
      <c r="R933" s="8"/>
      <c r="S933" s="10"/>
    </row>
    <row r="934" ht="13.5" customHeight="1">
      <c r="A934" s="9"/>
      <c r="B934" s="8"/>
      <c r="C934" s="8"/>
      <c r="D934" s="9"/>
      <c r="E934" s="8"/>
      <c r="F934" s="8"/>
      <c r="G934" s="19"/>
      <c r="H934" s="20"/>
      <c r="I934" s="7"/>
      <c r="J934" s="8"/>
      <c r="K934" s="8"/>
      <c r="L934" s="8"/>
      <c r="M934" s="9"/>
      <c r="N934" s="8"/>
      <c r="O934" s="8"/>
      <c r="P934" s="8"/>
      <c r="Q934" s="8"/>
      <c r="R934" s="8"/>
      <c r="S934" s="10"/>
    </row>
    <row r="935" ht="13.5" customHeight="1">
      <c r="A935" s="9"/>
      <c r="B935" s="8"/>
      <c r="C935" s="8"/>
      <c r="D935" s="9"/>
      <c r="E935" s="8"/>
      <c r="F935" s="8"/>
      <c r="G935" s="19"/>
      <c r="H935" s="20"/>
      <c r="I935" s="7"/>
      <c r="J935" s="8"/>
      <c r="K935" s="8"/>
      <c r="L935" s="8"/>
      <c r="M935" s="9"/>
      <c r="N935" s="8"/>
      <c r="O935" s="8"/>
      <c r="P935" s="8"/>
      <c r="Q935" s="8"/>
      <c r="R935" s="8"/>
      <c r="S935" s="10"/>
    </row>
    <row r="936" ht="13.5" customHeight="1">
      <c r="A936" s="9"/>
      <c r="B936" s="8"/>
      <c r="C936" s="8"/>
      <c r="D936" s="9"/>
      <c r="E936" s="8"/>
      <c r="F936" s="8"/>
      <c r="G936" s="19"/>
      <c r="H936" s="20"/>
      <c r="I936" s="7"/>
      <c r="J936" s="8"/>
      <c r="K936" s="8"/>
      <c r="L936" s="8"/>
      <c r="M936" s="9"/>
      <c r="N936" s="8"/>
      <c r="O936" s="8"/>
      <c r="P936" s="8"/>
      <c r="Q936" s="8"/>
      <c r="R936" s="8"/>
      <c r="S936" s="10"/>
    </row>
    <row r="937" ht="13.5" customHeight="1">
      <c r="A937" s="9"/>
      <c r="B937" s="8"/>
      <c r="C937" s="8"/>
      <c r="D937" s="9"/>
      <c r="E937" s="8"/>
      <c r="F937" s="8"/>
      <c r="G937" s="19"/>
      <c r="H937" s="20"/>
      <c r="I937" s="7"/>
      <c r="J937" s="8"/>
      <c r="K937" s="8"/>
      <c r="L937" s="8"/>
      <c r="M937" s="9"/>
      <c r="N937" s="8"/>
      <c r="O937" s="8"/>
      <c r="P937" s="8"/>
      <c r="Q937" s="8"/>
      <c r="R937" s="8"/>
      <c r="S937" s="10"/>
    </row>
    <row r="938" ht="13.5" customHeight="1">
      <c r="A938" s="9"/>
      <c r="B938" s="8"/>
      <c r="C938" s="8"/>
      <c r="D938" s="9"/>
      <c r="E938" s="8"/>
      <c r="F938" s="8"/>
      <c r="G938" s="19"/>
      <c r="H938" s="20"/>
      <c r="I938" s="7"/>
      <c r="J938" s="8"/>
      <c r="K938" s="8"/>
      <c r="L938" s="8"/>
      <c r="M938" s="9"/>
      <c r="N938" s="8"/>
      <c r="O938" s="8"/>
      <c r="P938" s="8"/>
      <c r="Q938" s="8"/>
      <c r="R938" s="8"/>
      <c r="S938" s="10"/>
    </row>
    <row r="939" ht="13.5" customHeight="1">
      <c r="A939" s="9"/>
      <c r="B939" s="8"/>
      <c r="C939" s="8"/>
      <c r="D939" s="9"/>
      <c r="E939" s="8"/>
      <c r="F939" s="8"/>
      <c r="G939" s="19"/>
      <c r="H939" s="20"/>
      <c r="I939" s="7"/>
      <c r="J939" s="8"/>
      <c r="K939" s="8"/>
      <c r="L939" s="8"/>
      <c r="M939" s="9"/>
      <c r="N939" s="8"/>
      <c r="O939" s="8"/>
      <c r="P939" s="8"/>
      <c r="Q939" s="8"/>
      <c r="R939" s="8"/>
      <c r="S939" s="10"/>
    </row>
    <row r="940" ht="13.5" customHeight="1">
      <c r="A940" s="9"/>
      <c r="B940" s="8"/>
      <c r="C940" s="8"/>
      <c r="D940" s="9"/>
      <c r="E940" s="8"/>
      <c r="F940" s="8"/>
      <c r="G940" s="19"/>
      <c r="H940" s="20"/>
      <c r="I940" s="7"/>
      <c r="J940" s="8"/>
      <c r="K940" s="8"/>
      <c r="L940" s="8"/>
      <c r="M940" s="9"/>
      <c r="N940" s="8"/>
      <c r="O940" s="8"/>
      <c r="P940" s="8"/>
      <c r="Q940" s="8"/>
      <c r="R940" s="8"/>
      <c r="S940" s="10"/>
    </row>
    <row r="941" ht="13.5" customHeight="1">
      <c r="A941" s="9"/>
      <c r="B941" s="8"/>
      <c r="C941" s="8"/>
      <c r="D941" s="9"/>
      <c r="E941" s="8"/>
      <c r="F941" s="8"/>
      <c r="G941" s="19"/>
      <c r="H941" s="20"/>
      <c r="I941" s="7"/>
      <c r="J941" s="8"/>
      <c r="K941" s="8"/>
      <c r="L941" s="8"/>
      <c r="M941" s="9"/>
      <c r="N941" s="8"/>
      <c r="O941" s="8"/>
      <c r="P941" s="8"/>
      <c r="Q941" s="8"/>
      <c r="R941" s="8"/>
      <c r="S941" s="10"/>
    </row>
    <row r="942" ht="13.5" customHeight="1">
      <c r="A942" s="9"/>
      <c r="B942" s="8"/>
      <c r="C942" s="8"/>
      <c r="D942" s="9"/>
      <c r="E942" s="8"/>
      <c r="F942" s="8"/>
      <c r="G942" s="19"/>
      <c r="H942" s="20"/>
      <c r="I942" s="7"/>
      <c r="J942" s="8"/>
      <c r="K942" s="8"/>
      <c r="L942" s="8"/>
      <c r="M942" s="9"/>
      <c r="N942" s="8"/>
      <c r="O942" s="8"/>
      <c r="P942" s="8"/>
      <c r="Q942" s="8"/>
      <c r="R942" s="8"/>
      <c r="S942" s="10"/>
    </row>
    <row r="943" ht="13.5" customHeight="1">
      <c r="A943" s="9"/>
      <c r="B943" s="8"/>
      <c r="C943" s="8"/>
      <c r="D943" s="9"/>
      <c r="E943" s="8"/>
      <c r="F943" s="8"/>
      <c r="G943" s="19"/>
      <c r="H943" s="20"/>
      <c r="I943" s="7"/>
      <c r="J943" s="8"/>
      <c r="K943" s="8"/>
      <c r="L943" s="8"/>
      <c r="M943" s="9"/>
      <c r="N943" s="8"/>
      <c r="O943" s="8"/>
      <c r="P943" s="8"/>
      <c r="Q943" s="8"/>
      <c r="R943" s="8"/>
      <c r="S943" s="10"/>
    </row>
    <row r="944" ht="13.5" customHeight="1">
      <c r="A944" s="9"/>
      <c r="B944" s="8"/>
      <c r="C944" s="8"/>
      <c r="D944" s="9"/>
      <c r="E944" s="8"/>
      <c r="F944" s="8"/>
      <c r="G944" s="19"/>
      <c r="H944" s="20"/>
      <c r="I944" s="7"/>
      <c r="J944" s="8"/>
      <c r="K944" s="8"/>
      <c r="L944" s="8"/>
      <c r="M944" s="9"/>
      <c r="N944" s="8"/>
      <c r="O944" s="8"/>
      <c r="P944" s="8"/>
      <c r="Q944" s="8"/>
      <c r="R944" s="8"/>
      <c r="S944" s="10"/>
    </row>
    <row r="945" ht="13.5" customHeight="1">
      <c r="A945" s="9"/>
      <c r="B945" s="8"/>
      <c r="C945" s="8"/>
      <c r="D945" s="9"/>
      <c r="E945" s="8"/>
      <c r="F945" s="8"/>
      <c r="G945" s="19"/>
      <c r="H945" s="20"/>
      <c r="I945" s="7"/>
      <c r="J945" s="8"/>
      <c r="K945" s="8"/>
      <c r="L945" s="8"/>
      <c r="M945" s="9"/>
      <c r="N945" s="8"/>
      <c r="O945" s="8"/>
      <c r="P945" s="8"/>
      <c r="Q945" s="8"/>
      <c r="R945" s="8"/>
      <c r="S945" s="10"/>
    </row>
    <row r="946" ht="13.5" customHeight="1">
      <c r="A946" s="9"/>
      <c r="B946" s="8"/>
      <c r="C946" s="8"/>
      <c r="D946" s="9"/>
      <c r="E946" s="8"/>
      <c r="F946" s="8"/>
      <c r="G946" s="19"/>
      <c r="H946" s="20"/>
      <c r="I946" s="7"/>
      <c r="J946" s="8"/>
      <c r="K946" s="8"/>
      <c r="L946" s="8"/>
      <c r="M946" s="9"/>
      <c r="N946" s="8"/>
      <c r="O946" s="8"/>
      <c r="P946" s="8"/>
      <c r="Q946" s="8"/>
      <c r="R946" s="8"/>
      <c r="S946" s="10"/>
    </row>
    <row r="947" ht="13.5" customHeight="1">
      <c r="A947" s="9"/>
      <c r="B947" s="8"/>
      <c r="C947" s="8"/>
      <c r="D947" s="9"/>
      <c r="E947" s="8"/>
      <c r="F947" s="8"/>
      <c r="G947" s="19"/>
      <c r="H947" s="20"/>
      <c r="I947" s="7"/>
      <c r="J947" s="8"/>
      <c r="K947" s="8"/>
      <c r="L947" s="8"/>
      <c r="M947" s="9"/>
      <c r="N947" s="8"/>
      <c r="O947" s="8"/>
      <c r="P947" s="8"/>
      <c r="Q947" s="8"/>
      <c r="R947" s="8"/>
      <c r="S947" s="10"/>
    </row>
    <row r="948" ht="13.5" customHeight="1">
      <c r="A948" s="9"/>
      <c r="B948" s="8"/>
      <c r="C948" s="8"/>
      <c r="D948" s="9"/>
      <c r="E948" s="8"/>
      <c r="F948" s="8"/>
      <c r="G948" s="19"/>
      <c r="H948" s="20"/>
      <c r="I948" s="7"/>
      <c r="J948" s="8"/>
      <c r="K948" s="8"/>
      <c r="L948" s="8"/>
      <c r="M948" s="9"/>
      <c r="N948" s="8"/>
      <c r="O948" s="8"/>
      <c r="P948" s="8"/>
      <c r="Q948" s="8"/>
      <c r="R948" s="8"/>
      <c r="S948" s="10"/>
    </row>
    <row r="949" ht="13.5" customHeight="1">
      <c r="A949" s="9"/>
      <c r="B949" s="8"/>
      <c r="C949" s="8"/>
      <c r="D949" s="9"/>
      <c r="E949" s="8"/>
      <c r="F949" s="8"/>
      <c r="G949" s="19"/>
      <c r="H949" s="20"/>
      <c r="I949" s="7"/>
      <c r="J949" s="8"/>
      <c r="K949" s="8"/>
      <c r="L949" s="8"/>
      <c r="M949" s="9"/>
      <c r="N949" s="8"/>
      <c r="O949" s="8"/>
      <c r="P949" s="8"/>
      <c r="Q949" s="8"/>
      <c r="R949" s="8"/>
      <c r="S949" s="10"/>
    </row>
    <row r="950" ht="13.5" customHeight="1">
      <c r="A950" s="9"/>
      <c r="B950" s="8"/>
      <c r="C950" s="8"/>
      <c r="D950" s="9"/>
      <c r="E950" s="8"/>
      <c r="F950" s="8"/>
      <c r="G950" s="19"/>
      <c r="H950" s="20"/>
      <c r="I950" s="7"/>
      <c r="J950" s="8"/>
      <c r="K950" s="8"/>
      <c r="L950" s="8"/>
      <c r="M950" s="9"/>
      <c r="N950" s="8"/>
      <c r="O950" s="8"/>
      <c r="P950" s="8"/>
      <c r="Q950" s="8"/>
      <c r="R950" s="8"/>
      <c r="S950" s="10"/>
    </row>
    <row r="951" ht="13.5" customHeight="1">
      <c r="A951" s="9"/>
      <c r="B951" s="8"/>
      <c r="C951" s="8"/>
      <c r="D951" s="9"/>
      <c r="E951" s="8"/>
      <c r="F951" s="8"/>
      <c r="G951" s="19"/>
      <c r="H951" s="20"/>
      <c r="I951" s="7"/>
      <c r="J951" s="8"/>
      <c r="K951" s="8"/>
      <c r="L951" s="8"/>
      <c r="M951" s="9"/>
      <c r="N951" s="8"/>
      <c r="O951" s="8"/>
      <c r="P951" s="8"/>
      <c r="Q951" s="8"/>
      <c r="R951" s="8"/>
      <c r="S951" s="10"/>
    </row>
    <row r="952" ht="13.5" customHeight="1">
      <c r="A952" s="9"/>
      <c r="B952" s="8"/>
      <c r="C952" s="8"/>
      <c r="D952" s="9"/>
      <c r="E952" s="8"/>
      <c r="F952" s="8"/>
      <c r="G952" s="19"/>
      <c r="H952" s="20"/>
      <c r="I952" s="7"/>
      <c r="J952" s="8"/>
      <c r="K952" s="8"/>
      <c r="L952" s="8"/>
      <c r="M952" s="9"/>
      <c r="N952" s="8"/>
      <c r="O952" s="8"/>
      <c r="P952" s="8"/>
      <c r="Q952" s="8"/>
      <c r="R952" s="8"/>
      <c r="S952" s="10"/>
    </row>
    <row r="953" ht="13.5" customHeight="1">
      <c r="A953" s="9"/>
      <c r="B953" s="8"/>
      <c r="C953" s="8"/>
      <c r="D953" s="9"/>
      <c r="E953" s="8"/>
      <c r="F953" s="8"/>
      <c r="G953" s="19"/>
      <c r="H953" s="20"/>
      <c r="I953" s="7"/>
      <c r="J953" s="8"/>
      <c r="K953" s="8"/>
      <c r="L953" s="8"/>
      <c r="M953" s="9"/>
      <c r="N953" s="8"/>
      <c r="O953" s="8"/>
      <c r="P953" s="8"/>
      <c r="Q953" s="8"/>
      <c r="R953" s="8"/>
      <c r="S953" s="10"/>
    </row>
    <row r="954" ht="13.5" customHeight="1">
      <c r="A954" s="9"/>
      <c r="B954" s="8"/>
      <c r="C954" s="8"/>
      <c r="D954" s="9"/>
      <c r="E954" s="8"/>
      <c r="F954" s="8"/>
      <c r="G954" s="19"/>
      <c r="H954" s="20"/>
      <c r="I954" s="7"/>
      <c r="J954" s="8"/>
      <c r="K954" s="8"/>
      <c r="L954" s="8"/>
      <c r="M954" s="9"/>
      <c r="N954" s="8"/>
      <c r="O954" s="8"/>
      <c r="P954" s="8"/>
      <c r="Q954" s="8"/>
      <c r="R954" s="8"/>
      <c r="S954" s="10"/>
    </row>
    <row r="955" ht="13.5" customHeight="1">
      <c r="A955" s="9"/>
      <c r="B955" s="8"/>
      <c r="C955" s="8"/>
      <c r="D955" s="9"/>
      <c r="E955" s="8"/>
      <c r="F955" s="8"/>
      <c r="G955" s="19"/>
      <c r="H955" s="20"/>
      <c r="I955" s="7"/>
      <c r="J955" s="8"/>
      <c r="K955" s="8"/>
      <c r="L955" s="8"/>
      <c r="M955" s="9"/>
      <c r="N955" s="8"/>
      <c r="O955" s="8"/>
      <c r="P955" s="8"/>
      <c r="Q955" s="8"/>
      <c r="R955" s="8"/>
      <c r="S955" s="10"/>
    </row>
    <row r="956" ht="13.5" customHeight="1">
      <c r="A956" s="9"/>
      <c r="B956" s="8"/>
      <c r="C956" s="8"/>
      <c r="D956" s="9"/>
      <c r="E956" s="8"/>
      <c r="F956" s="8"/>
      <c r="G956" s="19"/>
      <c r="H956" s="20"/>
      <c r="I956" s="7"/>
      <c r="J956" s="8"/>
      <c r="K956" s="8"/>
      <c r="L956" s="8"/>
      <c r="M956" s="9"/>
      <c r="N956" s="8"/>
      <c r="O956" s="8"/>
      <c r="P956" s="8"/>
      <c r="Q956" s="8"/>
      <c r="R956" s="8"/>
      <c r="S956" s="10"/>
    </row>
    <row r="957" ht="13.5" customHeight="1">
      <c r="A957" s="9"/>
      <c r="B957" s="8"/>
      <c r="C957" s="8"/>
      <c r="D957" s="9"/>
      <c r="E957" s="8"/>
      <c r="F957" s="8"/>
      <c r="G957" s="19"/>
      <c r="H957" s="20"/>
      <c r="I957" s="7"/>
      <c r="J957" s="8"/>
      <c r="K957" s="8"/>
      <c r="L957" s="8"/>
      <c r="M957" s="9"/>
      <c r="N957" s="8"/>
      <c r="O957" s="8"/>
      <c r="P957" s="8"/>
      <c r="Q957" s="8"/>
      <c r="R957" s="8"/>
      <c r="S957" s="10"/>
    </row>
    <row r="958" ht="13.5" customHeight="1">
      <c r="A958" s="9"/>
      <c r="B958" s="8"/>
      <c r="C958" s="8"/>
      <c r="D958" s="9"/>
      <c r="E958" s="8"/>
      <c r="F958" s="8"/>
      <c r="G958" s="19"/>
      <c r="H958" s="20"/>
      <c r="I958" s="7"/>
      <c r="J958" s="8"/>
      <c r="K958" s="8"/>
      <c r="L958" s="8"/>
      <c r="M958" s="9"/>
      <c r="N958" s="8"/>
      <c r="O958" s="8"/>
      <c r="P958" s="8"/>
      <c r="Q958" s="8"/>
      <c r="R958" s="8"/>
      <c r="S958" s="10"/>
    </row>
    <row r="959" ht="13.5" customHeight="1">
      <c r="A959" s="9"/>
      <c r="B959" s="8"/>
      <c r="C959" s="8"/>
      <c r="D959" s="9"/>
      <c r="E959" s="8"/>
      <c r="F959" s="8"/>
      <c r="G959" s="19"/>
      <c r="H959" s="20"/>
      <c r="I959" s="7"/>
      <c r="J959" s="8"/>
      <c r="K959" s="8"/>
      <c r="L959" s="8"/>
      <c r="M959" s="9"/>
      <c r="N959" s="8"/>
      <c r="O959" s="8"/>
      <c r="P959" s="8"/>
      <c r="Q959" s="8"/>
      <c r="R959" s="8"/>
      <c r="S959" s="10"/>
    </row>
    <row r="960" ht="13.5" customHeight="1">
      <c r="A960" s="9"/>
      <c r="B960" s="8"/>
      <c r="C960" s="8"/>
      <c r="D960" s="9"/>
      <c r="E960" s="8"/>
      <c r="F960" s="8"/>
      <c r="G960" s="19"/>
      <c r="H960" s="20"/>
      <c r="I960" s="7"/>
      <c r="J960" s="8"/>
      <c r="K960" s="8"/>
      <c r="L960" s="8"/>
      <c r="M960" s="9"/>
      <c r="N960" s="8"/>
      <c r="O960" s="8"/>
      <c r="P960" s="8"/>
      <c r="Q960" s="8"/>
      <c r="R960" s="8"/>
      <c r="S960" s="10"/>
    </row>
    <row r="961" ht="13.5" customHeight="1">
      <c r="A961" s="9"/>
      <c r="B961" s="8"/>
      <c r="C961" s="8"/>
      <c r="D961" s="9"/>
      <c r="E961" s="8"/>
      <c r="F961" s="8"/>
      <c r="G961" s="19"/>
      <c r="H961" s="20"/>
      <c r="I961" s="7"/>
      <c r="J961" s="8"/>
      <c r="K961" s="8"/>
      <c r="L961" s="8"/>
      <c r="M961" s="9"/>
      <c r="N961" s="8"/>
      <c r="O961" s="8"/>
      <c r="P961" s="8"/>
      <c r="Q961" s="8"/>
      <c r="R961" s="8"/>
      <c r="S961" s="10"/>
    </row>
    <row r="962" ht="13.5" customHeight="1">
      <c r="A962" s="9"/>
      <c r="B962" s="8"/>
      <c r="C962" s="8"/>
      <c r="D962" s="9"/>
      <c r="E962" s="8"/>
      <c r="F962" s="8"/>
      <c r="G962" s="19"/>
      <c r="H962" s="20"/>
      <c r="I962" s="7"/>
      <c r="J962" s="8"/>
      <c r="K962" s="8"/>
      <c r="L962" s="8"/>
      <c r="M962" s="9"/>
      <c r="N962" s="8"/>
      <c r="O962" s="8"/>
      <c r="P962" s="8"/>
      <c r="Q962" s="8"/>
      <c r="R962" s="8"/>
      <c r="S962" s="10"/>
    </row>
    <row r="963" ht="13.5" customHeight="1">
      <c r="A963" s="9"/>
      <c r="B963" s="8"/>
      <c r="C963" s="8"/>
      <c r="D963" s="9"/>
      <c r="E963" s="8"/>
      <c r="F963" s="8"/>
      <c r="G963" s="19"/>
      <c r="H963" s="20"/>
      <c r="I963" s="7"/>
      <c r="J963" s="8"/>
      <c r="K963" s="8"/>
      <c r="L963" s="8"/>
      <c r="M963" s="9"/>
      <c r="N963" s="8"/>
      <c r="O963" s="8"/>
      <c r="P963" s="8"/>
      <c r="Q963" s="8"/>
      <c r="R963" s="8"/>
      <c r="S963" s="10"/>
    </row>
    <row r="964" ht="13.5" customHeight="1">
      <c r="A964" s="9"/>
      <c r="B964" s="8"/>
      <c r="C964" s="8"/>
      <c r="D964" s="9"/>
      <c r="E964" s="8"/>
      <c r="F964" s="8"/>
      <c r="G964" s="19"/>
      <c r="H964" s="20"/>
      <c r="I964" s="7"/>
      <c r="J964" s="8"/>
      <c r="K964" s="8"/>
      <c r="L964" s="8"/>
      <c r="M964" s="9"/>
      <c r="N964" s="8"/>
      <c r="O964" s="8"/>
      <c r="P964" s="8"/>
      <c r="Q964" s="8"/>
      <c r="R964" s="8"/>
      <c r="S964" s="10"/>
    </row>
    <row r="965" ht="13.5" customHeight="1">
      <c r="A965" s="9"/>
      <c r="B965" s="8"/>
      <c r="C965" s="8"/>
      <c r="D965" s="9"/>
      <c r="E965" s="8"/>
      <c r="F965" s="8"/>
      <c r="G965" s="19"/>
      <c r="H965" s="20"/>
      <c r="I965" s="7"/>
      <c r="J965" s="8"/>
      <c r="K965" s="8"/>
      <c r="L965" s="8"/>
      <c r="M965" s="9"/>
      <c r="N965" s="8"/>
      <c r="O965" s="8"/>
      <c r="P965" s="8"/>
      <c r="Q965" s="8"/>
      <c r="R965" s="8"/>
      <c r="S965" s="10"/>
    </row>
    <row r="966" ht="13.5" customHeight="1">
      <c r="A966" s="9"/>
      <c r="B966" s="8"/>
      <c r="C966" s="8"/>
      <c r="D966" s="9"/>
      <c r="E966" s="8"/>
      <c r="F966" s="8"/>
      <c r="G966" s="19"/>
      <c r="H966" s="20"/>
      <c r="I966" s="7"/>
      <c r="J966" s="8"/>
      <c r="K966" s="8"/>
      <c r="L966" s="8"/>
      <c r="M966" s="9"/>
      <c r="N966" s="8"/>
      <c r="O966" s="8"/>
      <c r="P966" s="8"/>
      <c r="Q966" s="8"/>
      <c r="R966" s="8"/>
      <c r="S966" s="10"/>
    </row>
    <row r="967" ht="13.5" customHeight="1">
      <c r="A967" s="9"/>
      <c r="B967" s="8"/>
      <c r="C967" s="8"/>
      <c r="D967" s="9"/>
      <c r="E967" s="8"/>
      <c r="F967" s="8"/>
      <c r="G967" s="19"/>
      <c r="H967" s="20"/>
      <c r="I967" s="7"/>
      <c r="J967" s="8"/>
      <c r="K967" s="8"/>
      <c r="L967" s="8"/>
      <c r="M967" s="9"/>
      <c r="N967" s="8"/>
      <c r="O967" s="8"/>
      <c r="P967" s="8"/>
      <c r="Q967" s="8"/>
      <c r="R967" s="8"/>
      <c r="S967" s="10"/>
    </row>
    <row r="968" ht="13.5" customHeight="1">
      <c r="A968" s="9"/>
      <c r="B968" s="8"/>
      <c r="C968" s="8"/>
      <c r="D968" s="9"/>
      <c r="E968" s="8"/>
      <c r="F968" s="8"/>
      <c r="G968" s="19"/>
      <c r="H968" s="20"/>
      <c r="I968" s="7"/>
      <c r="J968" s="8"/>
      <c r="K968" s="8"/>
      <c r="L968" s="8"/>
      <c r="M968" s="9"/>
      <c r="N968" s="8"/>
      <c r="O968" s="8"/>
      <c r="P968" s="8"/>
      <c r="Q968" s="8"/>
      <c r="R968" s="8"/>
      <c r="S968" s="10"/>
    </row>
    <row r="969" ht="13.5" customHeight="1">
      <c r="A969" s="9"/>
      <c r="B969" s="8"/>
      <c r="C969" s="8"/>
      <c r="D969" s="9"/>
      <c r="E969" s="8"/>
      <c r="F969" s="8"/>
      <c r="G969" s="19"/>
      <c r="H969" s="20"/>
      <c r="I969" s="7"/>
      <c r="J969" s="8"/>
      <c r="K969" s="8"/>
      <c r="L969" s="8"/>
      <c r="M969" s="9"/>
      <c r="N969" s="8"/>
      <c r="O969" s="8"/>
      <c r="P969" s="8"/>
      <c r="Q969" s="8"/>
      <c r="R969" s="8"/>
      <c r="S969" s="10"/>
    </row>
    <row r="970" ht="13.5" customHeight="1">
      <c r="A970" s="9"/>
      <c r="B970" s="8"/>
      <c r="C970" s="8"/>
      <c r="D970" s="9"/>
      <c r="E970" s="8"/>
      <c r="F970" s="8"/>
      <c r="G970" s="19"/>
      <c r="H970" s="20"/>
      <c r="I970" s="7"/>
      <c r="J970" s="8"/>
      <c r="K970" s="8"/>
      <c r="L970" s="8"/>
      <c r="M970" s="9"/>
      <c r="N970" s="8"/>
      <c r="O970" s="8"/>
      <c r="P970" s="8"/>
      <c r="Q970" s="8"/>
      <c r="R970" s="8"/>
      <c r="S970" s="10"/>
    </row>
    <row r="971" ht="13.5" customHeight="1">
      <c r="A971" s="9"/>
      <c r="B971" s="8"/>
      <c r="C971" s="8"/>
      <c r="D971" s="9"/>
      <c r="E971" s="8"/>
      <c r="F971" s="8"/>
      <c r="G971" s="19"/>
      <c r="H971" s="20"/>
      <c r="I971" s="7"/>
      <c r="J971" s="8"/>
      <c r="K971" s="8"/>
      <c r="L971" s="8"/>
      <c r="M971" s="9"/>
      <c r="N971" s="8"/>
      <c r="O971" s="8"/>
      <c r="P971" s="8"/>
      <c r="Q971" s="8"/>
      <c r="R971" s="8"/>
      <c r="S971" s="10"/>
    </row>
    <row r="972" ht="13.5" customHeight="1">
      <c r="A972" s="9"/>
      <c r="B972" s="8"/>
      <c r="C972" s="8"/>
      <c r="D972" s="9"/>
      <c r="E972" s="8"/>
      <c r="F972" s="8"/>
      <c r="G972" s="19"/>
      <c r="H972" s="20"/>
      <c r="I972" s="7"/>
      <c r="J972" s="8"/>
      <c r="K972" s="8"/>
      <c r="L972" s="8"/>
      <c r="M972" s="9"/>
      <c r="N972" s="8"/>
      <c r="O972" s="8"/>
      <c r="P972" s="8"/>
      <c r="Q972" s="8"/>
      <c r="R972" s="8"/>
      <c r="S972" s="10"/>
    </row>
    <row r="973" ht="13.5" customHeight="1">
      <c r="A973" s="9"/>
      <c r="B973" s="8"/>
      <c r="C973" s="8"/>
      <c r="D973" s="9"/>
      <c r="E973" s="8"/>
      <c r="F973" s="8"/>
      <c r="G973" s="19"/>
      <c r="H973" s="20"/>
      <c r="I973" s="7"/>
      <c r="J973" s="8"/>
      <c r="K973" s="8"/>
      <c r="L973" s="8"/>
      <c r="M973" s="9"/>
      <c r="N973" s="8"/>
      <c r="O973" s="8"/>
      <c r="P973" s="8"/>
      <c r="Q973" s="8"/>
      <c r="R973" s="8"/>
      <c r="S973" s="10"/>
    </row>
    <row r="974" ht="13.5" customHeight="1">
      <c r="A974" s="9"/>
      <c r="B974" s="8"/>
      <c r="C974" s="8"/>
      <c r="D974" s="9"/>
      <c r="E974" s="8"/>
      <c r="F974" s="8"/>
      <c r="G974" s="19"/>
      <c r="H974" s="20"/>
      <c r="I974" s="7"/>
      <c r="J974" s="8"/>
      <c r="K974" s="8"/>
      <c r="L974" s="8"/>
      <c r="M974" s="9"/>
      <c r="N974" s="8"/>
      <c r="O974" s="8"/>
      <c r="P974" s="8"/>
      <c r="Q974" s="8"/>
      <c r="R974" s="8"/>
      <c r="S974" s="10"/>
    </row>
    <row r="975" ht="13.5" customHeight="1">
      <c r="A975" s="9"/>
      <c r="B975" s="8"/>
      <c r="C975" s="8"/>
      <c r="D975" s="9"/>
      <c r="E975" s="8"/>
      <c r="F975" s="8"/>
      <c r="G975" s="19"/>
      <c r="H975" s="20"/>
      <c r="I975" s="7"/>
      <c r="J975" s="8"/>
      <c r="K975" s="8"/>
      <c r="L975" s="8"/>
      <c r="M975" s="9"/>
      <c r="N975" s="8"/>
      <c r="O975" s="8"/>
      <c r="P975" s="8"/>
      <c r="Q975" s="8"/>
      <c r="R975" s="8"/>
      <c r="S975" s="10"/>
    </row>
    <row r="976" ht="13.5" customHeight="1">
      <c r="A976" s="9"/>
      <c r="B976" s="8"/>
      <c r="C976" s="8"/>
      <c r="D976" s="9"/>
      <c r="E976" s="8"/>
      <c r="F976" s="8"/>
      <c r="G976" s="19"/>
      <c r="H976" s="20"/>
      <c r="I976" s="7"/>
      <c r="J976" s="8"/>
      <c r="K976" s="8"/>
      <c r="L976" s="8"/>
      <c r="M976" s="9"/>
      <c r="N976" s="8"/>
      <c r="O976" s="8"/>
      <c r="P976" s="8"/>
      <c r="Q976" s="8"/>
      <c r="R976" s="8"/>
      <c r="S976" s="10"/>
    </row>
    <row r="977" ht="13.5" customHeight="1">
      <c r="A977" s="9"/>
      <c r="B977" s="8"/>
      <c r="C977" s="8"/>
      <c r="D977" s="9"/>
      <c r="E977" s="8"/>
      <c r="F977" s="8"/>
      <c r="G977" s="19"/>
      <c r="H977" s="20"/>
      <c r="I977" s="7"/>
      <c r="J977" s="8"/>
      <c r="K977" s="8"/>
      <c r="L977" s="8"/>
      <c r="M977" s="9"/>
      <c r="N977" s="8"/>
      <c r="O977" s="8"/>
      <c r="P977" s="8"/>
      <c r="Q977" s="8"/>
      <c r="R977" s="8"/>
      <c r="S977" s="10"/>
    </row>
    <row r="978" ht="13.5" customHeight="1">
      <c r="A978" s="9"/>
      <c r="B978" s="8"/>
      <c r="C978" s="8"/>
      <c r="D978" s="9"/>
      <c r="E978" s="8"/>
      <c r="F978" s="8"/>
      <c r="G978" s="19"/>
      <c r="H978" s="20"/>
      <c r="I978" s="7"/>
      <c r="J978" s="8"/>
      <c r="K978" s="8"/>
      <c r="L978" s="8"/>
      <c r="M978" s="9"/>
      <c r="N978" s="8"/>
      <c r="O978" s="8"/>
      <c r="P978" s="8"/>
      <c r="Q978" s="8"/>
      <c r="R978" s="8"/>
      <c r="S978" s="10"/>
    </row>
    <row r="979" ht="13.5" customHeight="1">
      <c r="A979" s="9"/>
      <c r="B979" s="8"/>
      <c r="C979" s="8"/>
      <c r="D979" s="9"/>
      <c r="E979" s="8"/>
      <c r="F979" s="8"/>
      <c r="G979" s="19"/>
      <c r="H979" s="20"/>
      <c r="I979" s="7"/>
      <c r="J979" s="8"/>
      <c r="K979" s="8"/>
      <c r="L979" s="8"/>
      <c r="M979" s="9"/>
      <c r="N979" s="8"/>
      <c r="O979" s="8"/>
      <c r="P979" s="8"/>
      <c r="Q979" s="8"/>
      <c r="R979" s="8"/>
      <c r="S979" s="10"/>
    </row>
    <row r="980" ht="13.5" customHeight="1">
      <c r="A980" s="9"/>
      <c r="B980" s="8"/>
      <c r="C980" s="8"/>
      <c r="D980" s="9"/>
      <c r="E980" s="8"/>
      <c r="F980" s="8"/>
      <c r="G980" s="19"/>
      <c r="H980" s="20"/>
      <c r="I980" s="7"/>
      <c r="J980" s="8"/>
      <c r="K980" s="8"/>
      <c r="L980" s="8"/>
      <c r="M980" s="9"/>
      <c r="N980" s="8"/>
      <c r="O980" s="8"/>
      <c r="P980" s="8"/>
      <c r="Q980" s="8"/>
      <c r="R980" s="8"/>
      <c r="S980" s="10"/>
    </row>
    <row r="981" ht="13.5" customHeight="1">
      <c r="A981" s="9"/>
      <c r="B981" s="8"/>
      <c r="C981" s="8"/>
      <c r="D981" s="9"/>
      <c r="E981" s="8"/>
      <c r="F981" s="8"/>
      <c r="G981" s="19"/>
      <c r="H981" s="20"/>
      <c r="I981" s="7"/>
      <c r="J981" s="8"/>
      <c r="K981" s="8"/>
      <c r="L981" s="8"/>
      <c r="M981" s="9"/>
      <c r="N981" s="8"/>
      <c r="O981" s="8"/>
      <c r="P981" s="8"/>
      <c r="Q981" s="8"/>
      <c r="R981" s="8"/>
      <c r="S981" s="10"/>
    </row>
    <row r="982" ht="13.5" customHeight="1">
      <c r="A982" s="9"/>
      <c r="B982" s="8"/>
      <c r="C982" s="8"/>
      <c r="D982" s="9"/>
      <c r="E982" s="8"/>
      <c r="F982" s="8"/>
      <c r="G982" s="19"/>
      <c r="H982" s="20"/>
      <c r="I982" s="7"/>
      <c r="J982" s="8"/>
      <c r="K982" s="8"/>
      <c r="L982" s="8"/>
      <c r="M982" s="9"/>
      <c r="N982" s="8"/>
      <c r="O982" s="8"/>
      <c r="P982" s="8"/>
      <c r="Q982" s="8"/>
      <c r="R982" s="8"/>
      <c r="S982" s="10"/>
    </row>
    <row r="983" ht="13.5" customHeight="1">
      <c r="A983" s="9"/>
      <c r="B983" s="8"/>
      <c r="C983" s="8"/>
      <c r="D983" s="9"/>
      <c r="E983" s="8"/>
      <c r="F983" s="8"/>
      <c r="G983" s="19"/>
      <c r="H983" s="20"/>
      <c r="I983" s="7"/>
      <c r="J983" s="8"/>
      <c r="K983" s="8"/>
      <c r="L983" s="8"/>
      <c r="M983" s="9"/>
      <c r="N983" s="8"/>
      <c r="O983" s="8"/>
      <c r="P983" s="8"/>
      <c r="Q983" s="8"/>
      <c r="R983" s="8"/>
      <c r="S983" s="10"/>
    </row>
    <row r="984" ht="13.5" customHeight="1">
      <c r="A984" s="9"/>
      <c r="B984" s="8"/>
      <c r="C984" s="8"/>
      <c r="D984" s="9"/>
      <c r="E984" s="8"/>
      <c r="F984" s="8"/>
      <c r="G984" s="19"/>
      <c r="H984" s="20"/>
      <c r="I984" s="7"/>
      <c r="J984" s="8"/>
      <c r="K984" s="8"/>
      <c r="L984" s="8"/>
      <c r="M984" s="9"/>
      <c r="N984" s="8"/>
      <c r="O984" s="8"/>
      <c r="P984" s="8"/>
      <c r="Q984" s="8"/>
      <c r="R984" s="8"/>
      <c r="S984" s="10"/>
    </row>
    <row r="985" ht="13.5" customHeight="1">
      <c r="A985" s="9"/>
      <c r="B985" s="8"/>
      <c r="C985" s="8"/>
      <c r="D985" s="9"/>
      <c r="E985" s="8"/>
      <c r="F985" s="8"/>
      <c r="G985" s="19"/>
      <c r="H985" s="20"/>
      <c r="I985" s="7"/>
      <c r="J985" s="8"/>
      <c r="K985" s="8"/>
      <c r="L985" s="8"/>
      <c r="M985" s="9"/>
      <c r="N985" s="8"/>
      <c r="O985" s="8"/>
      <c r="P985" s="8"/>
      <c r="Q985" s="8"/>
      <c r="R985" s="8"/>
      <c r="S985" s="10"/>
    </row>
    <row r="986" ht="13.5" customHeight="1">
      <c r="A986" s="9"/>
      <c r="B986" s="8"/>
      <c r="C986" s="8"/>
      <c r="D986" s="9"/>
      <c r="E986" s="8"/>
      <c r="F986" s="8"/>
      <c r="G986" s="19"/>
      <c r="H986" s="20"/>
      <c r="I986" s="7"/>
      <c r="J986" s="8"/>
      <c r="K986" s="8"/>
      <c r="L986" s="8"/>
      <c r="M986" s="9"/>
      <c r="N986" s="8"/>
      <c r="O986" s="8"/>
      <c r="P986" s="8"/>
      <c r="Q986" s="8"/>
      <c r="R986" s="8"/>
      <c r="S986" s="10"/>
    </row>
    <row r="987" ht="13.5" customHeight="1">
      <c r="A987" s="9"/>
      <c r="B987" s="8"/>
      <c r="C987" s="8"/>
      <c r="D987" s="9"/>
      <c r="E987" s="8"/>
      <c r="F987" s="8"/>
      <c r="G987" s="19"/>
      <c r="H987" s="20"/>
      <c r="I987" s="7"/>
      <c r="J987" s="8"/>
      <c r="K987" s="8"/>
      <c r="L987" s="8"/>
      <c r="M987" s="9"/>
      <c r="N987" s="8"/>
      <c r="O987" s="8"/>
      <c r="P987" s="8"/>
      <c r="Q987" s="8"/>
      <c r="R987" s="8"/>
      <c r="S987" s="10"/>
    </row>
    <row r="988" ht="13.5" customHeight="1">
      <c r="A988" s="9"/>
      <c r="B988" s="8"/>
      <c r="C988" s="8"/>
      <c r="D988" s="9"/>
      <c r="E988" s="8"/>
      <c r="F988" s="8"/>
      <c r="G988" s="19"/>
      <c r="H988" s="20"/>
      <c r="I988" s="7"/>
      <c r="J988" s="8"/>
      <c r="K988" s="8"/>
      <c r="L988" s="8"/>
      <c r="M988" s="9"/>
      <c r="N988" s="8"/>
      <c r="O988" s="8"/>
      <c r="P988" s="8"/>
      <c r="Q988" s="8"/>
      <c r="R988" s="8"/>
      <c r="S988" s="10"/>
    </row>
    <row r="989" ht="13.5" customHeight="1">
      <c r="A989" s="9"/>
      <c r="B989" s="8"/>
      <c r="C989" s="8"/>
      <c r="D989" s="9"/>
      <c r="E989" s="8"/>
      <c r="F989" s="8"/>
      <c r="G989" s="19"/>
      <c r="H989" s="20"/>
      <c r="I989" s="7"/>
      <c r="J989" s="8"/>
      <c r="K989" s="8"/>
      <c r="L989" s="8"/>
      <c r="M989" s="9"/>
      <c r="N989" s="8"/>
      <c r="O989" s="8"/>
      <c r="P989" s="8"/>
      <c r="Q989" s="8"/>
      <c r="R989" s="8"/>
      <c r="S989" s="10"/>
    </row>
    <row r="990" ht="13.5" customHeight="1">
      <c r="A990" s="9"/>
      <c r="B990" s="8"/>
      <c r="C990" s="8"/>
      <c r="D990" s="9"/>
      <c r="E990" s="8"/>
      <c r="F990" s="8"/>
      <c r="G990" s="19"/>
      <c r="H990" s="20"/>
      <c r="I990" s="7"/>
      <c r="J990" s="8"/>
      <c r="K990" s="8"/>
      <c r="L990" s="8"/>
      <c r="M990" s="9"/>
      <c r="N990" s="8"/>
      <c r="O990" s="8"/>
      <c r="P990" s="8"/>
      <c r="Q990" s="8"/>
      <c r="R990" s="8"/>
      <c r="S990" s="10"/>
    </row>
    <row r="991" ht="13.5" customHeight="1">
      <c r="A991" s="9"/>
      <c r="B991" s="8"/>
      <c r="C991" s="8"/>
      <c r="D991" s="9"/>
      <c r="E991" s="8"/>
      <c r="F991" s="8"/>
      <c r="G991" s="19"/>
      <c r="H991" s="20"/>
      <c r="I991" s="7"/>
      <c r="J991" s="8"/>
      <c r="K991" s="8"/>
      <c r="L991" s="8"/>
      <c r="M991" s="9"/>
      <c r="N991" s="8"/>
      <c r="O991" s="8"/>
      <c r="P991" s="8"/>
      <c r="Q991" s="8"/>
      <c r="R991" s="8"/>
      <c r="S991" s="10"/>
    </row>
    <row r="992" ht="13.5" customHeight="1">
      <c r="A992" s="9"/>
      <c r="B992" s="8"/>
      <c r="C992" s="8"/>
      <c r="D992" s="9"/>
      <c r="E992" s="8"/>
      <c r="F992" s="8"/>
      <c r="G992" s="19"/>
      <c r="H992" s="20"/>
      <c r="I992" s="7"/>
      <c r="J992" s="8"/>
      <c r="K992" s="8"/>
      <c r="L992" s="8"/>
      <c r="M992" s="9"/>
      <c r="N992" s="8"/>
      <c r="O992" s="8"/>
      <c r="P992" s="8"/>
      <c r="Q992" s="8"/>
      <c r="R992" s="8"/>
      <c r="S992" s="10"/>
    </row>
    <row r="993" ht="13.5" customHeight="1">
      <c r="A993" s="9"/>
      <c r="B993" s="8"/>
      <c r="C993" s="8"/>
      <c r="D993" s="9"/>
      <c r="E993" s="8"/>
      <c r="F993" s="8"/>
      <c r="G993" s="19"/>
      <c r="H993" s="20"/>
      <c r="I993" s="7"/>
      <c r="J993" s="8"/>
      <c r="K993" s="8"/>
      <c r="L993" s="8"/>
      <c r="M993" s="9"/>
      <c r="N993" s="8"/>
      <c r="O993" s="8"/>
      <c r="P993" s="8"/>
      <c r="Q993" s="8"/>
      <c r="R993" s="8"/>
      <c r="S993" s="10"/>
    </row>
    <row r="994" ht="13.5" customHeight="1">
      <c r="A994" s="9"/>
      <c r="B994" s="8"/>
      <c r="C994" s="8"/>
      <c r="D994" s="9"/>
      <c r="E994" s="8"/>
      <c r="F994" s="8"/>
      <c r="G994" s="19"/>
      <c r="H994" s="20"/>
      <c r="I994" s="7"/>
      <c r="J994" s="8"/>
      <c r="K994" s="8"/>
      <c r="L994" s="8"/>
      <c r="M994" s="9"/>
      <c r="N994" s="8"/>
      <c r="O994" s="8"/>
      <c r="P994" s="8"/>
      <c r="Q994" s="8"/>
      <c r="R994" s="8"/>
      <c r="S994" s="10"/>
    </row>
    <row r="995" ht="13.5" customHeight="1">
      <c r="A995" s="9"/>
      <c r="B995" s="8"/>
      <c r="C995" s="8"/>
      <c r="D995" s="9"/>
      <c r="E995" s="8"/>
      <c r="F995" s="8"/>
      <c r="G995" s="19"/>
      <c r="H995" s="20"/>
      <c r="I995" s="7"/>
      <c r="J995" s="8"/>
      <c r="K995" s="8"/>
      <c r="L995" s="8"/>
      <c r="M995" s="9"/>
      <c r="N995" s="8"/>
      <c r="O995" s="8"/>
      <c r="P995" s="8"/>
      <c r="Q995" s="8"/>
      <c r="R995" s="8"/>
      <c r="S995" s="10"/>
    </row>
    <row r="996" ht="13.5" customHeight="1">
      <c r="A996" s="9"/>
      <c r="B996" s="8"/>
      <c r="C996" s="8"/>
      <c r="D996" s="9"/>
      <c r="E996" s="8"/>
      <c r="F996" s="8"/>
      <c r="G996" s="19"/>
      <c r="H996" s="20"/>
      <c r="I996" s="7"/>
      <c r="J996" s="8"/>
      <c r="K996" s="8"/>
      <c r="L996" s="8"/>
      <c r="M996" s="9"/>
      <c r="N996" s="8"/>
      <c r="O996" s="8"/>
      <c r="P996" s="8"/>
      <c r="Q996" s="8"/>
      <c r="R996" s="8"/>
      <c r="S996" s="10"/>
    </row>
    <row r="997" ht="13.5" customHeight="1">
      <c r="A997" s="9"/>
      <c r="B997" s="8"/>
      <c r="C997" s="8"/>
      <c r="D997" s="9"/>
      <c r="E997" s="8"/>
      <c r="F997" s="8"/>
      <c r="G997" s="19"/>
      <c r="H997" s="20"/>
      <c r="I997" s="7"/>
      <c r="J997" s="8"/>
      <c r="K997" s="8"/>
      <c r="L997" s="8"/>
      <c r="M997" s="9"/>
      <c r="N997" s="8"/>
      <c r="O997" s="8"/>
      <c r="P997" s="8"/>
      <c r="Q997" s="8"/>
      <c r="R997" s="8"/>
      <c r="S997" s="10"/>
    </row>
    <row r="998" ht="13.5" customHeight="1">
      <c r="A998" s="9"/>
      <c r="B998" s="8"/>
      <c r="C998" s="8"/>
      <c r="D998" s="9"/>
      <c r="E998" s="8"/>
      <c r="F998" s="8"/>
      <c r="G998" s="19"/>
      <c r="H998" s="20"/>
      <c r="I998" s="7"/>
      <c r="J998" s="8"/>
      <c r="K998" s="8"/>
      <c r="L998" s="8"/>
      <c r="M998" s="9"/>
      <c r="N998" s="8"/>
      <c r="O998" s="8"/>
      <c r="P998" s="8"/>
      <c r="Q998" s="8"/>
      <c r="R998" s="8"/>
      <c r="S998" s="10"/>
    </row>
    <row r="999" ht="13.5" customHeight="1">
      <c r="A999" s="9"/>
      <c r="B999" s="8"/>
      <c r="C999" s="8"/>
      <c r="D999" s="9"/>
      <c r="E999" s="8"/>
      <c r="F999" s="8"/>
      <c r="G999" s="19"/>
      <c r="H999" s="20"/>
      <c r="I999" s="7"/>
      <c r="J999" s="8"/>
      <c r="K999" s="8"/>
      <c r="L999" s="8"/>
      <c r="M999" s="9"/>
      <c r="N999" s="8"/>
      <c r="O999" s="8"/>
      <c r="P999" s="8"/>
      <c r="Q999" s="8"/>
      <c r="R999" s="8"/>
      <c r="S999" s="10"/>
    </row>
    <row r="1000" ht="13.5" customHeight="1">
      <c r="A1000" s="9"/>
      <c r="B1000" s="8"/>
      <c r="C1000" s="8"/>
      <c r="D1000" s="9"/>
      <c r="E1000" s="8"/>
      <c r="F1000" s="8"/>
      <c r="G1000" s="19"/>
      <c r="H1000" s="20"/>
      <c r="I1000" s="7"/>
      <c r="J1000" s="8"/>
      <c r="K1000" s="8"/>
      <c r="L1000" s="8"/>
      <c r="M1000" s="9"/>
      <c r="N1000" s="8"/>
      <c r="O1000" s="8"/>
      <c r="P1000" s="8"/>
      <c r="Q1000" s="8"/>
      <c r="R1000" s="8"/>
      <c r="S1000" s="10"/>
    </row>
    <row r="1001" ht="13.5" customHeight="1">
      <c r="A1001" s="9"/>
      <c r="B1001" s="8"/>
      <c r="C1001" s="8"/>
      <c r="D1001" s="9"/>
      <c r="E1001" s="8"/>
      <c r="F1001" s="8"/>
      <c r="G1001" s="19"/>
      <c r="H1001" s="20"/>
      <c r="I1001" s="7"/>
      <c r="J1001" s="8"/>
      <c r="K1001" s="8"/>
      <c r="L1001" s="8"/>
      <c r="M1001" s="9"/>
      <c r="N1001" s="8"/>
      <c r="O1001" s="8"/>
      <c r="P1001" s="8"/>
      <c r="Q1001" s="8"/>
      <c r="R1001" s="8"/>
      <c r="S1001" s="10"/>
    </row>
    <row r="1002" ht="13.5" customHeight="1">
      <c r="A1002" s="9"/>
      <c r="B1002" s="8"/>
      <c r="C1002" s="8"/>
      <c r="D1002" s="9"/>
      <c r="E1002" s="8"/>
      <c r="F1002" s="8"/>
      <c r="G1002" s="19"/>
      <c r="H1002" s="20"/>
      <c r="I1002" s="7"/>
      <c r="J1002" s="8"/>
      <c r="K1002" s="8"/>
      <c r="L1002" s="8"/>
      <c r="M1002" s="9"/>
      <c r="N1002" s="8"/>
      <c r="O1002" s="8"/>
      <c r="P1002" s="8"/>
      <c r="Q1002" s="8"/>
      <c r="R1002" s="8"/>
      <c r="S1002" s="10"/>
    </row>
    <row r="1003" ht="13.5" customHeight="1">
      <c r="A1003" s="9"/>
      <c r="B1003" s="8"/>
      <c r="C1003" s="8"/>
      <c r="D1003" s="9"/>
      <c r="E1003" s="8"/>
      <c r="F1003" s="8"/>
      <c r="G1003" s="19"/>
      <c r="H1003" s="20"/>
      <c r="I1003" s="7"/>
      <c r="J1003" s="8"/>
      <c r="K1003" s="8"/>
      <c r="L1003" s="8"/>
      <c r="M1003" s="9"/>
      <c r="N1003" s="8"/>
      <c r="O1003" s="8"/>
      <c r="P1003" s="8"/>
      <c r="Q1003" s="8"/>
      <c r="R1003" s="8"/>
      <c r="S1003" s="10"/>
    </row>
    <row r="1004" ht="13.5" customHeight="1">
      <c r="A1004" s="9"/>
      <c r="B1004" s="8"/>
      <c r="C1004" s="8"/>
      <c r="D1004" s="9"/>
      <c r="E1004" s="8"/>
      <c r="F1004" s="8"/>
      <c r="G1004" s="19"/>
      <c r="H1004" s="20"/>
      <c r="I1004" s="7"/>
      <c r="J1004" s="8"/>
      <c r="K1004" s="8"/>
      <c r="L1004" s="8"/>
      <c r="M1004" s="9"/>
      <c r="N1004" s="8"/>
      <c r="O1004" s="8"/>
      <c r="P1004" s="8"/>
      <c r="Q1004" s="8"/>
      <c r="R1004" s="8"/>
      <c r="S1004" s="10"/>
    </row>
    <row r="1005" ht="13.5" customHeight="1">
      <c r="A1005" s="9"/>
      <c r="B1005" s="8"/>
      <c r="C1005" s="8"/>
      <c r="D1005" s="9"/>
      <c r="E1005" s="8"/>
      <c r="F1005" s="8"/>
      <c r="G1005" s="19"/>
      <c r="H1005" s="20"/>
      <c r="I1005" s="7"/>
      <c r="J1005" s="8"/>
      <c r="K1005" s="8"/>
      <c r="L1005" s="8"/>
      <c r="M1005" s="9"/>
      <c r="N1005" s="8"/>
      <c r="O1005" s="8"/>
      <c r="P1005" s="8"/>
      <c r="Q1005" s="8"/>
      <c r="R1005" s="8"/>
      <c r="S1005" s="10"/>
    </row>
    <row r="1006" ht="13.5" customHeight="1">
      <c r="A1006" s="9"/>
      <c r="B1006" s="8"/>
      <c r="C1006" s="8"/>
      <c r="D1006" s="9"/>
      <c r="E1006" s="8"/>
      <c r="F1006" s="8"/>
      <c r="G1006" s="19"/>
      <c r="H1006" s="20"/>
      <c r="I1006" s="7"/>
      <c r="J1006" s="8"/>
      <c r="K1006" s="8"/>
      <c r="L1006" s="8"/>
      <c r="M1006" s="9"/>
      <c r="N1006" s="8"/>
      <c r="O1006" s="8"/>
      <c r="P1006" s="8"/>
      <c r="Q1006" s="8"/>
      <c r="R1006" s="8"/>
      <c r="S1006" s="10"/>
    </row>
    <row r="1007" ht="13.5" customHeight="1">
      <c r="A1007" s="9"/>
      <c r="B1007" s="8"/>
      <c r="C1007" s="8"/>
      <c r="D1007" s="9"/>
      <c r="E1007" s="8"/>
      <c r="F1007" s="8"/>
      <c r="G1007" s="19"/>
      <c r="H1007" s="20"/>
      <c r="I1007" s="7"/>
      <c r="J1007" s="8"/>
      <c r="K1007" s="8"/>
      <c r="L1007" s="8"/>
      <c r="M1007" s="9"/>
      <c r="N1007" s="8"/>
      <c r="O1007" s="8"/>
      <c r="P1007" s="8"/>
      <c r="Q1007" s="8"/>
      <c r="R1007" s="8"/>
      <c r="S1007" s="10"/>
    </row>
    <row r="1008" ht="13.5" customHeight="1">
      <c r="A1008" s="9"/>
      <c r="B1008" s="8"/>
      <c r="C1008" s="8"/>
      <c r="D1008" s="9"/>
      <c r="E1008" s="8"/>
      <c r="F1008" s="8"/>
      <c r="G1008" s="19"/>
      <c r="H1008" s="20"/>
      <c r="I1008" s="7"/>
      <c r="J1008" s="8"/>
      <c r="K1008" s="8"/>
      <c r="L1008" s="8"/>
      <c r="M1008" s="9"/>
      <c r="N1008" s="8"/>
      <c r="O1008" s="8"/>
      <c r="P1008" s="8"/>
      <c r="Q1008" s="8"/>
      <c r="R1008" s="8"/>
      <c r="S1008" s="10"/>
    </row>
    <row r="1009" ht="13.5" customHeight="1">
      <c r="A1009" s="9"/>
      <c r="B1009" s="8"/>
      <c r="C1009" s="8"/>
      <c r="D1009" s="9"/>
      <c r="E1009" s="8"/>
      <c r="F1009" s="8"/>
      <c r="G1009" s="19"/>
      <c r="H1009" s="20"/>
      <c r="I1009" s="7"/>
      <c r="J1009" s="8"/>
      <c r="K1009" s="8"/>
      <c r="L1009" s="8"/>
      <c r="M1009" s="9"/>
      <c r="N1009" s="8"/>
      <c r="O1009" s="8"/>
      <c r="P1009" s="8"/>
      <c r="Q1009" s="8"/>
      <c r="R1009" s="8"/>
      <c r="S1009" s="10"/>
    </row>
    <row r="1010" ht="13.5" customHeight="1">
      <c r="A1010" s="9"/>
      <c r="B1010" s="8"/>
      <c r="C1010" s="8"/>
      <c r="D1010" s="9"/>
      <c r="E1010" s="8"/>
      <c r="F1010" s="8"/>
      <c r="G1010" s="19"/>
      <c r="H1010" s="20"/>
      <c r="I1010" s="7"/>
      <c r="J1010" s="8"/>
      <c r="K1010" s="8"/>
      <c r="L1010" s="8"/>
      <c r="M1010" s="9"/>
      <c r="N1010" s="8"/>
      <c r="O1010" s="8"/>
      <c r="P1010" s="8"/>
      <c r="Q1010" s="8"/>
      <c r="R1010" s="8"/>
      <c r="S1010" s="10"/>
    </row>
    <row r="1011" ht="13.5" customHeight="1">
      <c r="A1011" s="9"/>
      <c r="B1011" s="8"/>
      <c r="C1011" s="8"/>
      <c r="D1011" s="9"/>
      <c r="E1011" s="8"/>
      <c r="F1011" s="8"/>
      <c r="G1011" s="19"/>
      <c r="H1011" s="20"/>
      <c r="I1011" s="7"/>
      <c r="J1011" s="8"/>
      <c r="K1011" s="8"/>
      <c r="L1011" s="8"/>
      <c r="M1011" s="9"/>
      <c r="N1011" s="8"/>
      <c r="O1011" s="8"/>
      <c r="P1011" s="8"/>
      <c r="Q1011" s="8"/>
      <c r="R1011" s="8"/>
      <c r="S1011" s="10"/>
    </row>
    <row r="1012" ht="13.5" customHeight="1">
      <c r="A1012" s="9"/>
      <c r="B1012" s="8"/>
      <c r="C1012" s="8"/>
      <c r="D1012" s="9"/>
      <c r="E1012" s="8"/>
      <c r="F1012" s="8"/>
      <c r="G1012" s="19"/>
      <c r="H1012" s="20"/>
      <c r="I1012" s="7"/>
      <c r="J1012" s="8"/>
      <c r="K1012" s="8"/>
      <c r="L1012" s="8"/>
      <c r="M1012" s="9"/>
      <c r="N1012" s="8"/>
      <c r="O1012" s="8"/>
      <c r="P1012" s="8"/>
      <c r="Q1012" s="8"/>
      <c r="R1012" s="8"/>
      <c r="S1012" s="10"/>
    </row>
    <row r="1013" ht="13.5" customHeight="1">
      <c r="A1013" s="9"/>
      <c r="B1013" s="8"/>
      <c r="C1013" s="8"/>
      <c r="D1013" s="9"/>
      <c r="E1013" s="8"/>
      <c r="F1013" s="8"/>
      <c r="G1013" s="19"/>
      <c r="H1013" s="20"/>
      <c r="I1013" s="7"/>
      <c r="J1013" s="8"/>
      <c r="K1013" s="8"/>
      <c r="L1013" s="8"/>
      <c r="M1013" s="9"/>
      <c r="N1013" s="8"/>
      <c r="O1013" s="8"/>
      <c r="P1013" s="8"/>
      <c r="Q1013" s="8"/>
      <c r="R1013" s="8"/>
      <c r="S1013" s="10"/>
    </row>
    <row r="1014" ht="13.5" customHeight="1">
      <c r="A1014" s="9"/>
      <c r="B1014" s="8"/>
      <c r="C1014" s="8"/>
      <c r="D1014" s="9"/>
      <c r="E1014" s="8"/>
      <c r="F1014" s="8"/>
      <c r="G1014" s="19"/>
      <c r="H1014" s="20"/>
      <c r="I1014" s="7"/>
      <c r="J1014" s="8"/>
      <c r="K1014" s="8"/>
      <c r="L1014" s="8"/>
      <c r="M1014" s="9"/>
      <c r="N1014" s="8"/>
      <c r="O1014" s="8"/>
      <c r="P1014" s="8"/>
      <c r="Q1014" s="8"/>
      <c r="R1014" s="8"/>
      <c r="S1014" s="10"/>
    </row>
    <row r="1015" ht="13.5" customHeight="1">
      <c r="A1015" s="9"/>
      <c r="B1015" s="8"/>
      <c r="C1015" s="8"/>
      <c r="D1015" s="9"/>
      <c r="E1015" s="8"/>
      <c r="F1015" s="8"/>
      <c r="G1015" s="19"/>
      <c r="H1015" s="20"/>
      <c r="I1015" s="7"/>
      <c r="J1015" s="8"/>
      <c r="K1015" s="8"/>
      <c r="L1015" s="8"/>
      <c r="M1015" s="9"/>
      <c r="N1015" s="8"/>
      <c r="O1015" s="8"/>
      <c r="P1015" s="8"/>
      <c r="Q1015" s="8"/>
      <c r="R1015" s="8"/>
      <c r="S1015" s="10"/>
    </row>
    <row r="1016" ht="13.5" customHeight="1">
      <c r="A1016" s="9"/>
      <c r="B1016" s="8"/>
      <c r="C1016" s="8"/>
      <c r="D1016" s="9"/>
      <c r="E1016" s="8"/>
      <c r="F1016" s="8"/>
      <c r="G1016" s="19"/>
      <c r="H1016" s="20"/>
      <c r="I1016" s="7"/>
      <c r="J1016" s="8"/>
      <c r="K1016" s="8"/>
      <c r="L1016" s="8"/>
      <c r="M1016" s="9"/>
      <c r="N1016" s="8"/>
      <c r="O1016" s="8"/>
      <c r="P1016" s="8"/>
      <c r="Q1016" s="8"/>
      <c r="R1016" s="8"/>
      <c r="S1016" s="10"/>
    </row>
    <row r="1017" ht="13.5" customHeight="1">
      <c r="A1017" s="9"/>
      <c r="B1017" s="8"/>
      <c r="C1017" s="8"/>
      <c r="D1017" s="9"/>
      <c r="E1017" s="8"/>
      <c r="F1017" s="8"/>
      <c r="G1017" s="19"/>
      <c r="H1017" s="20"/>
      <c r="I1017" s="7"/>
      <c r="J1017" s="8"/>
      <c r="K1017" s="8"/>
      <c r="L1017" s="8"/>
      <c r="M1017" s="9"/>
      <c r="N1017" s="8"/>
      <c r="O1017" s="8"/>
      <c r="P1017" s="8"/>
      <c r="Q1017" s="8"/>
      <c r="R1017" s="8"/>
      <c r="S1017" s="10"/>
    </row>
    <row r="1018" ht="13.5" customHeight="1">
      <c r="A1018" s="9"/>
      <c r="B1018" s="8"/>
      <c r="C1018" s="8"/>
      <c r="D1018" s="9"/>
      <c r="E1018" s="8"/>
      <c r="F1018" s="8"/>
      <c r="G1018" s="19"/>
      <c r="H1018" s="20"/>
      <c r="I1018" s="7"/>
      <c r="J1018" s="8"/>
      <c r="K1018" s="8"/>
      <c r="L1018" s="8"/>
      <c r="M1018" s="9"/>
      <c r="N1018" s="8"/>
      <c r="O1018" s="8"/>
      <c r="P1018" s="8"/>
      <c r="Q1018" s="8"/>
      <c r="R1018" s="8"/>
      <c r="S1018" s="10"/>
    </row>
    <row r="1019" ht="13.5" customHeight="1">
      <c r="A1019" s="9"/>
      <c r="B1019" s="8"/>
      <c r="C1019" s="8"/>
      <c r="D1019" s="9"/>
      <c r="E1019" s="8"/>
      <c r="F1019" s="8"/>
      <c r="G1019" s="19"/>
      <c r="H1019" s="20"/>
      <c r="I1019" s="7"/>
      <c r="J1019" s="8"/>
      <c r="K1019" s="8"/>
      <c r="L1019" s="8"/>
      <c r="M1019" s="9"/>
      <c r="N1019" s="8"/>
      <c r="O1019" s="8"/>
      <c r="P1019" s="8"/>
      <c r="Q1019" s="8"/>
      <c r="R1019" s="8"/>
      <c r="S1019" s="10"/>
    </row>
    <row r="1020" ht="13.5" customHeight="1">
      <c r="A1020" s="9"/>
      <c r="B1020" s="8"/>
      <c r="C1020" s="8"/>
      <c r="D1020" s="9"/>
      <c r="E1020" s="8"/>
      <c r="F1020" s="8"/>
      <c r="G1020" s="19"/>
      <c r="H1020" s="20"/>
      <c r="I1020" s="7"/>
      <c r="J1020" s="8"/>
      <c r="K1020" s="8"/>
      <c r="L1020" s="8"/>
      <c r="M1020" s="9"/>
      <c r="N1020" s="8"/>
      <c r="O1020" s="8"/>
      <c r="P1020" s="8"/>
      <c r="Q1020" s="8"/>
      <c r="R1020" s="8"/>
      <c r="S1020" s="10"/>
    </row>
    <row r="1021" ht="13.5" customHeight="1">
      <c r="A1021" s="9"/>
      <c r="B1021" s="8"/>
      <c r="C1021" s="8"/>
      <c r="D1021" s="9"/>
      <c r="E1021" s="8"/>
      <c r="F1021" s="8"/>
      <c r="G1021" s="19"/>
      <c r="H1021" s="20"/>
      <c r="I1021" s="7"/>
      <c r="J1021" s="8"/>
      <c r="K1021" s="8"/>
      <c r="L1021" s="8"/>
      <c r="M1021" s="9"/>
      <c r="N1021" s="8"/>
      <c r="O1021" s="8"/>
      <c r="P1021" s="8"/>
      <c r="Q1021" s="8"/>
      <c r="R1021" s="8"/>
      <c r="S1021" s="10"/>
    </row>
    <row r="1022" ht="13.5" customHeight="1">
      <c r="A1022" s="9"/>
      <c r="B1022" s="8"/>
      <c r="C1022" s="8"/>
      <c r="D1022" s="9"/>
      <c r="E1022" s="8"/>
      <c r="F1022" s="8"/>
      <c r="G1022" s="19"/>
      <c r="H1022" s="20"/>
      <c r="I1022" s="7"/>
      <c r="J1022" s="8"/>
      <c r="K1022" s="8"/>
      <c r="L1022" s="8"/>
      <c r="M1022" s="9"/>
      <c r="N1022" s="8"/>
      <c r="O1022" s="8"/>
      <c r="P1022" s="8"/>
      <c r="Q1022" s="8"/>
      <c r="R1022" s="8"/>
      <c r="S1022" s="10"/>
    </row>
    <row r="1023" ht="13.5" customHeight="1">
      <c r="A1023" s="9"/>
      <c r="B1023" s="8"/>
      <c r="C1023" s="8"/>
      <c r="D1023" s="9"/>
      <c r="E1023" s="8"/>
      <c r="F1023" s="8"/>
      <c r="G1023" s="19"/>
      <c r="H1023" s="20"/>
      <c r="I1023" s="7"/>
      <c r="J1023" s="8"/>
      <c r="K1023" s="8"/>
      <c r="L1023" s="8"/>
      <c r="M1023" s="9"/>
      <c r="N1023" s="8"/>
      <c r="O1023" s="8"/>
      <c r="P1023" s="8"/>
      <c r="Q1023" s="8"/>
      <c r="R1023" s="8"/>
      <c r="S1023" s="10"/>
    </row>
    <row r="1024" ht="13.5" customHeight="1">
      <c r="A1024" s="9"/>
      <c r="B1024" s="8"/>
      <c r="C1024" s="8"/>
      <c r="D1024" s="9"/>
      <c r="E1024" s="8"/>
      <c r="F1024" s="8"/>
      <c r="G1024" s="19"/>
      <c r="H1024" s="20"/>
      <c r="I1024" s="7"/>
      <c r="J1024" s="8"/>
      <c r="K1024" s="8"/>
      <c r="L1024" s="8"/>
      <c r="M1024" s="9"/>
      <c r="N1024" s="8"/>
      <c r="O1024" s="8"/>
      <c r="P1024" s="8"/>
      <c r="Q1024" s="8"/>
      <c r="R1024" s="8"/>
      <c r="S1024" s="10"/>
    </row>
    <row r="1025" ht="13.5" customHeight="1">
      <c r="A1025" s="9"/>
      <c r="B1025" s="8"/>
      <c r="C1025" s="8"/>
      <c r="D1025" s="9"/>
      <c r="E1025" s="8"/>
      <c r="F1025" s="8"/>
      <c r="G1025" s="19"/>
      <c r="H1025" s="20"/>
      <c r="I1025" s="7"/>
      <c r="J1025" s="8"/>
      <c r="K1025" s="8"/>
      <c r="L1025" s="8"/>
      <c r="M1025" s="9"/>
      <c r="N1025" s="8"/>
      <c r="O1025" s="8"/>
      <c r="P1025" s="8"/>
      <c r="Q1025" s="8"/>
      <c r="R1025" s="8"/>
      <c r="S1025" s="10"/>
    </row>
    <row r="1026" ht="13.5" customHeight="1">
      <c r="A1026" s="9"/>
      <c r="B1026" s="8"/>
      <c r="C1026" s="8"/>
      <c r="D1026" s="9"/>
      <c r="E1026" s="8"/>
      <c r="F1026" s="8"/>
      <c r="G1026" s="19"/>
      <c r="H1026" s="20"/>
      <c r="I1026" s="7"/>
      <c r="J1026" s="8"/>
      <c r="K1026" s="8"/>
      <c r="L1026" s="8"/>
      <c r="M1026" s="9"/>
      <c r="N1026" s="8"/>
      <c r="O1026" s="8"/>
      <c r="P1026" s="8"/>
      <c r="Q1026" s="8"/>
      <c r="R1026" s="8"/>
      <c r="S1026" s="10"/>
    </row>
    <row r="1027" ht="13.5" customHeight="1">
      <c r="A1027" s="9"/>
      <c r="B1027" s="8"/>
      <c r="C1027" s="8"/>
      <c r="D1027" s="9"/>
      <c r="E1027" s="8"/>
      <c r="F1027" s="8"/>
      <c r="G1027" s="19"/>
      <c r="H1027" s="20"/>
      <c r="I1027" s="7"/>
      <c r="J1027" s="8"/>
      <c r="K1027" s="8"/>
      <c r="L1027" s="8"/>
      <c r="M1027" s="9"/>
      <c r="N1027" s="8"/>
      <c r="O1027" s="8"/>
      <c r="P1027" s="8"/>
      <c r="Q1027" s="8"/>
      <c r="R1027" s="8"/>
      <c r="S1027" s="10"/>
    </row>
    <row r="1028" ht="13.5" customHeight="1">
      <c r="A1028" s="9"/>
      <c r="B1028" s="8"/>
      <c r="C1028" s="8"/>
      <c r="D1028" s="9"/>
      <c r="E1028" s="8"/>
      <c r="F1028" s="8"/>
      <c r="G1028" s="19"/>
      <c r="H1028" s="20"/>
      <c r="I1028" s="7"/>
      <c r="J1028" s="8"/>
      <c r="K1028" s="8"/>
      <c r="L1028" s="8"/>
      <c r="M1028" s="9"/>
      <c r="N1028" s="8"/>
      <c r="O1028" s="8"/>
      <c r="P1028" s="8"/>
      <c r="Q1028" s="8"/>
      <c r="R1028" s="8"/>
      <c r="S1028" s="10"/>
    </row>
    <row r="1029" ht="13.5" customHeight="1">
      <c r="A1029" s="9"/>
      <c r="B1029" s="8"/>
      <c r="C1029" s="8"/>
      <c r="D1029" s="9"/>
      <c r="E1029" s="8"/>
      <c r="F1029" s="8"/>
      <c r="G1029" s="19"/>
      <c r="H1029" s="20"/>
      <c r="I1029" s="7"/>
      <c r="J1029" s="8"/>
      <c r="K1029" s="8"/>
      <c r="L1029" s="8"/>
      <c r="M1029" s="9"/>
      <c r="N1029" s="8"/>
      <c r="O1029" s="8"/>
      <c r="P1029" s="8"/>
      <c r="Q1029" s="8"/>
      <c r="R1029" s="8"/>
      <c r="S1029" s="10"/>
    </row>
    <row r="1030" ht="13.5" customHeight="1">
      <c r="A1030" s="9"/>
      <c r="B1030" s="8"/>
      <c r="C1030" s="8"/>
      <c r="D1030" s="9"/>
      <c r="E1030" s="8"/>
      <c r="F1030" s="8"/>
      <c r="G1030" s="19"/>
      <c r="H1030" s="20"/>
      <c r="I1030" s="7"/>
      <c r="J1030" s="8"/>
      <c r="K1030" s="8"/>
      <c r="L1030" s="8"/>
      <c r="M1030" s="9"/>
      <c r="N1030" s="8"/>
      <c r="O1030" s="8"/>
      <c r="P1030" s="8"/>
      <c r="Q1030" s="8"/>
      <c r="R1030" s="8"/>
      <c r="S1030" s="10"/>
    </row>
    <row r="1031" ht="13.5" customHeight="1">
      <c r="A1031" s="9"/>
      <c r="B1031" s="8"/>
      <c r="C1031" s="8"/>
      <c r="D1031" s="9"/>
      <c r="E1031" s="8"/>
      <c r="F1031" s="8"/>
      <c r="G1031" s="19"/>
      <c r="H1031" s="20"/>
      <c r="I1031" s="7"/>
      <c r="J1031" s="8"/>
      <c r="K1031" s="8"/>
      <c r="L1031" s="8"/>
      <c r="M1031" s="9"/>
      <c r="N1031" s="8"/>
      <c r="O1031" s="8"/>
      <c r="P1031" s="8"/>
      <c r="Q1031" s="8"/>
      <c r="R1031" s="8"/>
      <c r="S1031" s="10"/>
    </row>
    <row r="1032" ht="13.5" customHeight="1">
      <c r="A1032" s="9"/>
      <c r="B1032" s="8"/>
      <c r="C1032" s="8"/>
      <c r="D1032" s="9"/>
      <c r="E1032" s="8"/>
      <c r="F1032" s="8"/>
      <c r="G1032" s="19"/>
      <c r="H1032" s="20"/>
      <c r="I1032" s="7"/>
      <c r="J1032" s="8"/>
      <c r="K1032" s="8"/>
      <c r="L1032" s="8"/>
      <c r="M1032" s="9"/>
      <c r="N1032" s="8"/>
      <c r="O1032" s="8"/>
      <c r="P1032" s="8"/>
      <c r="Q1032" s="8"/>
      <c r="R1032" s="8"/>
      <c r="S1032" s="10"/>
    </row>
    <row r="1033" ht="13.5" customHeight="1">
      <c r="A1033" s="9"/>
      <c r="B1033" s="8"/>
      <c r="C1033" s="8"/>
      <c r="D1033" s="9"/>
      <c r="E1033" s="8"/>
      <c r="F1033" s="8"/>
      <c r="G1033" s="19"/>
      <c r="H1033" s="20"/>
      <c r="I1033" s="7"/>
      <c r="J1033" s="8"/>
      <c r="K1033" s="8"/>
      <c r="L1033" s="8"/>
      <c r="M1033" s="9"/>
      <c r="N1033" s="8"/>
      <c r="O1033" s="8"/>
      <c r="P1033" s="8"/>
      <c r="Q1033" s="8"/>
      <c r="R1033" s="8"/>
      <c r="S1033" s="10"/>
    </row>
    <row r="1034" ht="13.5" customHeight="1">
      <c r="A1034" s="9"/>
      <c r="B1034" s="8"/>
      <c r="C1034" s="8"/>
      <c r="D1034" s="9"/>
      <c r="E1034" s="8"/>
      <c r="F1034" s="8"/>
      <c r="G1034" s="19"/>
      <c r="H1034" s="20"/>
      <c r="I1034" s="7"/>
      <c r="J1034" s="8"/>
      <c r="K1034" s="8"/>
      <c r="L1034" s="8"/>
      <c r="M1034" s="9"/>
      <c r="N1034" s="8"/>
      <c r="O1034" s="8"/>
      <c r="P1034" s="8"/>
      <c r="Q1034" s="8"/>
      <c r="R1034" s="8"/>
      <c r="S1034" s="10"/>
    </row>
    <row r="1035" ht="13.5" customHeight="1">
      <c r="A1035" s="9"/>
      <c r="B1035" s="8"/>
      <c r="C1035" s="8"/>
      <c r="D1035" s="9"/>
      <c r="E1035" s="8"/>
      <c r="F1035" s="8"/>
      <c r="G1035" s="19"/>
      <c r="H1035" s="20"/>
      <c r="I1035" s="7"/>
      <c r="J1035" s="8"/>
      <c r="K1035" s="8"/>
      <c r="L1035" s="8"/>
      <c r="M1035" s="9"/>
      <c r="N1035" s="8"/>
      <c r="O1035" s="8"/>
      <c r="P1035" s="8"/>
      <c r="Q1035" s="8"/>
      <c r="R1035" s="8"/>
      <c r="S1035" s="10"/>
    </row>
    <row r="1036" ht="13.5" customHeight="1">
      <c r="A1036" s="9"/>
      <c r="B1036" s="8"/>
      <c r="C1036" s="8"/>
      <c r="D1036" s="9"/>
      <c r="E1036" s="8"/>
      <c r="F1036" s="8"/>
      <c r="G1036" s="19"/>
      <c r="H1036" s="20"/>
      <c r="I1036" s="7"/>
      <c r="J1036" s="8"/>
      <c r="K1036" s="8"/>
      <c r="L1036" s="8"/>
      <c r="M1036" s="9"/>
      <c r="N1036" s="8"/>
      <c r="O1036" s="8"/>
      <c r="P1036" s="8"/>
      <c r="Q1036" s="8"/>
      <c r="R1036" s="8"/>
      <c r="S1036" s="10"/>
    </row>
    <row r="1037" ht="13.5" customHeight="1">
      <c r="A1037" s="9"/>
      <c r="B1037" s="8"/>
      <c r="C1037" s="8"/>
      <c r="D1037" s="9"/>
      <c r="E1037" s="8"/>
      <c r="F1037" s="8"/>
      <c r="G1037" s="19"/>
      <c r="H1037" s="20"/>
      <c r="I1037" s="7"/>
      <c r="J1037" s="8"/>
      <c r="K1037" s="8"/>
      <c r="L1037" s="8"/>
      <c r="M1037" s="9"/>
      <c r="N1037" s="8"/>
      <c r="O1037" s="8"/>
      <c r="P1037" s="8"/>
      <c r="Q1037" s="8"/>
      <c r="R1037" s="8"/>
      <c r="S1037" s="10"/>
    </row>
    <row r="1038" ht="13.5" customHeight="1">
      <c r="A1038" s="9"/>
      <c r="B1038" s="8"/>
      <c r="C1038" s="8"/>
      <c r="D1038" s="9"/>
      <c r="E1038" s="8"/>
      <c r="F1038" s="8"/>
      <c r="G1038" s="19"/>
      <c r="H1038" s="20"/>
      <c r="I1038" s="7"/>
      <c r="J1038" s="8"/>
      <c r="K1038" s="8"/>
      <c r="L1038" s="8"/>
      <c r="M1038" s="9"/>
      <c r="N1038" s="8"/>
      <c r="O1038" s="8"/>
      <c r="P1038" s="8"/>
      <c r="Q1038" s="8"/>
      <c r="R1038" s="8"/>
      <c r="S1038" s="10"/>
    </row>
    <row r="1039" ht="13.5" customHeight="1">
      <c r="A1039" s="9"/>
      <c r="B1039" s="8"/>
      <c r="C1039" s="8"/>
      <c r="D1039" s="9"/>
      <c r="E1039" s="8"/>
      <c r="F1039" s="8"/>
      <c r="G1039" s="19"/>
      <c r="H1039" s="20"/>
      <c r="I1039" s="7"/>
      <c r="J1039" s="8"/>
      <c r="K1039" s="8"/>
      <c r="L1039" s="8"/>
      <c r="M1039" s="9"/>
      <c r="N1039" s="8"/>
      <c r="O1039" s="8"/>
      <c r="P1039" s="8"/>
      <c r="Q1039" s="8"/>
      <c r="R1039" s="8"/>
      <c r="S1039" s="10"/>
    </row>
    <row r="1040" ht="13.5" customHeight="1">
      <c r="A1040" s="9"/>
      <c r="B1040" s="8"/>
      <c r="C1040" s="8"/>
      <c r="D1040" s="9"/>
      <c r="E1040" s="8"/>
      <c r="F1040" s="8"/>
      <c r="G1040" s="19"/>
      <c r="H1040" s="20"/>
      <c r="I1040" s="7"/>
      <c r="J1040" s="8"/>
      <c r="K1040" s="8"/>
      <c r="L1040" s="8"/>
      <c r="M1040" s="9"/>
      <c r="N1040" s="8"/>
      <c r="O1040" s="8"/>
      <c r="P1040" s="8"/>
      <c r="Q1040" s="8"/>
      <c r="R1040" s="8"/>
      <c r="S1040" s="10"/>
    </row>
    <row r="1041" ht="13.5" customHeight="1">
      <c r="A1041" s="9"/>
      <c r="B1041" s="8"/>
      <c r="C1041" s="8"/>
      <c r="D1041" s="9"/>
      <c r="E1041" s="8"/>
      <c r="F1041" s="8"/>
      <c r="G1041" s="19"/>
      <c r="H1041" s="20"/>
      <c r="I1041" s="7"/>
      <c r="J1041" s="8"/>
      <c r="K1041" s="8"/>
      <c r="L1041" s="8"/>
      <c r="M1041" s="9"/>
      <c r="N1041" s="8"/>
      <c r="O1041" s="8"/>
      <c r="P1041" s="8"/>
      <c r="Q1041" s="8"/>
      <c r="R1041" s="8"/>
      <c r="S1041" s="10"/>
    </row>
    <row r="1042" ht="13.5" customHeight="1">
      <c r="A1042" s="9"/>
      <c r="B1042" s="8"/>
      <c r="C1042" s="8"/>
      <c r="D1042" s="9"/>
      <c r="E1042" s="8"/>
      <c r="F1042" s="8"/>
      <c r="G1042" s="19"/>
      <c r="H1042" s="20"/>
      <c r="I1042" s="7"/>
      <c r="J1042" s="8"/>
      <c r="K1042" s="8"/>
      <c r="L1042" s="8"/>
      <c r="M1042" s="9"/>
      <c r="N1042" s="8"/>
      <c r="O1042" s="8"/>
      <c r="P1042" s="8"/>
      <c r="Q1042" s="8"/>
      <c r="R1042" s="8"/>
      <c r="S1042" s="10"/>
    </row>
    <row r="1043" ht="13.5" customHeight="1">
      <c r="A1043" s="9"/>
      <c r="B1043" s="8"/>
      <c r="C1043" s="8"/>
      <c r="D1043" s="9"/>
      <c r="E1043" s="8"/>
      <c r="F1043" s="8"/>
      <c r="G1043" s="19"/>
      <c r="H1043" s="20"/>
      <c r="I1043" s="7"/>
      <c r="J1043" s="8"/>
      <c r="K1043" s="8"/>
      <c r="L1043" s="8"/>
      <c r="M1043" s="9"/>
      <c r="N1043" s="8"/>
      <c r="O1043" s="8"/>
      <c r="P1043" s="8"/>
      <c r="Q1043" s="8"/>
      <c r="R1043" s="8"/>
      <c r="S1043" s="10"/>
    </row>
    <row r="1044" ht="13.5" customHeight="1">
      <c r="A1044" s="9"/>
      <c r="B1044" s="8"/>
      <c r="C1044" s="8"/>
      <c r="D1044" s="9"/>
      <c r="E1044" s="8"/>
      <c r="F1044" s="8"/>
      <c r="G1044" s="19"/>
      <c r="H1044" s="20"/>
      <c r="I1044" s="7"/>
      <c r="J1044" s="8"/>
      <c r="K1044" s="8"/>
      <c r="L1044" s="8"/>
      <c r="M1044" s="9"/>
      <c r="N1044" s="8"/>
      <c r="O1044" s="8"/>
      <c r="P1044" s="8"/>
      <c r="Q1044" s="8"/>
      <c r="R1044" s="8"/>
      <c r="S1044" s="10"/>
    </row>
    <row r="1045" ht="13.5" customHeight="1">
      <c r="A1045" s="9"/>
      <c r="B1045" s="8"/>
      <c r="C1045" s="8"/>
      <c r="D1045" s="9"/>
      <c r="E1045" s="8"/>
      <c r="F1045" s="8"/>
      <c r="G1045" s="19"/>
      <c r="H1045" s="20"/>
      <c r="I1045" s="7"/>
      <c r="J1045" s="8"/>
      <c r="K1045" s="8"/>
      <c r="L1045" s="8"/>
      <c r="M1045" s="9"/>
      <c r="N1045" s="8"/>
      <c r="O1045" s="8"/>
      <c r="P1045" s="8"/>
      <c r="Q1045" s="8"/>
      <c r="R1045" s="8"/>
      <c r="S1045" s="10"/>
    </row>
    <row r="1046" ht="13.5" customHeight="1">
      <c r="A1046" s="9"/>
      <c r="B1046" s="8"/>
      <c r="C1046" s="8"/>
      <c r="D1046" s="9"/>
      <c r="E1046" s="8"/>
      <c r="F1046" s="8"/>
      <c r="G1046" s="19"/>
      <c r="H1046" s="20"/>
      <c r="I1046" s="7"/>
      <c r="J1046" s="8"/>
      <c r="K1046" s="8"/>
      <c r="L1046" s="8"/>
      <c r="M1046" s="9"/>
      <c r="N1046" s="8"/>
      <c r="O1046" s="8"/>
      <c r="P1046" s="8"/>
      <c r="Q1046" s="8"/>
      <c r="R1046" s="8"/>
      <c r="S1046" s="10"/>
    </row>
    <row r="1047" ht="13.5" customHeight="1">
      <c r="A1047" s="9"/>
      <c r="B1047" s="8"/>
      <c r="C1047" s="8"/>
      <c r="D1047" s="9"/>
      <c r="E1047" s="8"/>
      <c r="F1047" s="8"/>
      <c r="G1047" s="19"/>
      <c r="H1047" s="20"/>
      <c r="I1047" s="7"/>
      <c r="J1047" s="8"/>
      <c r="K1047" s="8"/>
      <c r="L1047" s="8"/>
      <c r="M1047" s="9"/>
      <c r="N1047" s="8"/>
      <c r="O1047" s="8"/>
      <c r="P1047" s="8"/>
      <c r="Q1047" s="8"/>
      <c r="R1047" s="8"/>
      <c r="S1047" s="10"/>
    </row>
    <row r="1048" ht="13.5" customHeight="1">
      <c r="A1048" s="9"/>
      <c r="B1048" s="8"/>
      <c r="C1048" s="8"/>
      <c r="D1048" s="9"/>
      <c r="E1048" s="8"/>
      <c r="F1048" s="8"/>
      <c r="G1048" s="19"/>
      <c r="H1048" s="20"/>
      <c r="I1048" s="7"/>
      <c r="J1048" s="8"/>
      <c r="K1048" s="8"/>
      <c r="L1048" s="8"/>
      <c r="M1048" s="9"/>
      <c r="N1048" s="8"/>
      <c r="O1048" s="8"/>
      <c r="P1048" s="8"/>
      <c r="Q1048" s="8"/>
      <c r="R1048" s="8"/>
      <c r="S1048" s="10"/>
    </row>
    <row r="1049" ht="13.5" customHeight="1">
      <c r="A1049" s="9"/>
      <c r="B1049" s="8"/>
      <c r="C1049" s="8"/>
      <c r="D1049" s="9"/>
      <c r="E1049" s="8"/>
      <c r="F1049" s="8"/>
      <c r="G1049" s="19"/>
      <c r="H1049" s="20"/>
      <c r="I1049" s="7"/>
      <c r="J1049" s="8"/>
      <c r="K1049" s="8"/>
      <c r="L1049" s="8"/>
      <c r="M1049" s="9"/>
      <c r="N1049" s="8"/>
      <c r="O1049" s="8"/>
      <c r="P1049" s="8"/>
      <c r="Q1049" s="8"/>
      <c r="R1049" s="8"/>
      <c r="S1049" s="10"/>
    </row>
    <row r="1050" ht="13.5" customHeight="1">
      <c r="A1050" s="9"/>
      <c r="B1050" s="8"/>
      <c r="C1050" s="8"/>
      <c r="D1050" s="9"/>
      <c r="E1050" s="8"/>
      <c r="F1050" s="8"/>
      <c r="G1050" s="19"/>
      <c r="H1050" s="20"/>
      <c r="I1050" s="7"/>
      <c r="J1050" s="8"/>
      <c r="K1050" s="8"/>
      <c r="L1050" s="8"/>
      <c r="M1050" s="9"/>
      <c r="N1050" s="8"/>
      <c r="O1050" s="8"/>
      <c r="P1050" s="8"/>
      <c r="Q1050" s="8"/>
      <c r="R1050" s="8"/>
      <c r="S1050" s="10"/>
    </row>
    <row r="1051" ht="13.5" customHeight="1">
      <c r="A1051" s="9"/>
      <c r="B1051" s="8"/>
      <c r="C1051" s="8"/>
      <c r="D1051" s="9"/>
      <c r="E1051" s="8"/>
      <c r="F1051" s="8"/>
      <c r="G1051" s="19"/>
      <c r="H1051" s="20"/>
      <c r="I1051" s="7"/>
      <c r="J1051" s="8"/>
      <c r="K1051" s="8"/>
      <c r="L1051" s="8"/>
      <c r="M1051" s="9"/>
      <c r="N1051" s="8"/>
      <c r="O1051" s="8"/>
      <c r="P1051" s="8"/>
      <c r="Q1051" s="8"/>
      <c r="R1051" s="8"/>
      <c r="S1051" s="10"/>
    </row>
    <row r="1052" ht="13.5" customHeight="1">
      <c r="A1052" s="9"/>
      <c r="B1052" s="8"/>
      <c r="C1052" s="8"/>
      <c r="D1052" s="9"/>
      <c r="E1052" s="8"/>
      <c r="F1052" s="8"/>
      <c r="G1052" s="19"/>
      <c r="H1052" s="20"/>
      <c r="I1052" s="7"/>
      <c r="J1052" s="8"/>
      <c r="K1052" s="8"/>
      <c r="L1052" s="8"/>
      <c r="M1052" s="9"/>
      <c r="N1052" s="8"/>
      <c r="O1052" s="8"/>
      <c r="P1052" s="8"/>
      <c r="Q1052" s="8"/>
      <c r="R1052" s="8"/>
      <c r="S1052" s="10"/>
    </row>
    <row r="1053" ht="13.5" customHeight="1">
      <c r="A1053" s="9"/>
      <c r="B1053" s="8"/>
      <c r="C1053" s="8"/>
      <c r="D1053" s="9"/>
      <c r="E1053" s="8"/>
      <c r="F1053" s="8"/>
      <c r="G1053" s="19"/>
      <c r="H1053" s="20"/>
      <c r="I1053" s="7"/>
      <c r="J1053" s="8"/>
      <c r="K1053" s="8"/>
      <c r="L1053" s="8"/>
      <c r="M1053" s="9"/>
      <c r="N1053" s="8"/>
      <c r="O1053" s="8"/>
      <c r="P1053" s="8"/>
      <c r="Q1053" s="8"/>
      <c r="R1053" s="8"/>
      <c r="S1053" s="10"/>
    </row>
    <row r="1054" ht="13.5" customHeight="1">
      <c r="A1054" s="9"/>
      <c r="B1054" s="8"/>
      <c r="C1054" s="8"/>
      <c r="D1054" s="9"/>
      <c r="E1054" s="8"/>
      <c r="F1054" s="8"/>
      <c r="G1054" s="19"/>
      <c r="H1054" s="20"/>
      <c r="I1054" s="7"/>
      <c r="J1054" s="8"/>
      <c r="K1054" s="8"/>
      <c r="L1054" s="8"/>
      <c r="M1054" s="9"/>
      <c r="N1054" s="8"/>
      <c r="O1054" s="8"/>
      <c r="P1054" s="8"/>
      <c r="Q1054" s="8"/>
      <c r="R1054" s="8"/>
      <c r="S1054" s="10"/>
    </row>
    <row r="1055" ht="13.5" customHeight="1">
      <c r="A1055" s="9"/>
      <c r="B1055" s="8"/>
      <c r="C1055" s="8"/>
      <c r="D1055" s="9"/>
      <c r="E1055" s="8"/>
      <c r="F1055" s="8"/>
      <c r="G1055" s="19"/>
      <c r="H1055" s="20"/>
      <c r="I1055" s="7"/>
      <c r="J1055" s="8"/>
      <c r="K1055" s="8"/>
      <c r="L1055" s="8"/>
      <c r="M1055" s="9"/>
      <c r="N1055" s="8"/>
      <c r="O1055" s="8"/>
      <c r="P1055" s="8"/>
      <c r="Q1055" s="8"/>
      <c r="R1055" s="8"/>
      <c r="S1055" s="10"/>
    </row>
    <row r="1056" ht="13.5" customHeight="1">
      <c r="A1056" s="9"/>
      <c r="B1056" s="8"/>
      <c r="C1056" s="8"/>
      <c r="D1056" s="9"/>
      <c r="E1056" s="8"/>
      <c r="F1056" s="8"/>
      <c r="G1056" s="19"/>
      <c r="H1056" s="20"/>
      <c r="I1056" s="7"/>
      <c r="J1056" s="8"/>
      <c r="K1056" s="8"/>
      <c r="L1056" s="8"/>
      <c r="M1056" s="9"/>
      <c r="N1056" s="8"/>
      <c r="O1056" s="8"/>
      <c r="P1056" s="8"/>
      <c r="Q1056" s="8"/>
      <c r="R1056" s="8"/>
      <c r="S1056" s="10"/>
    </row>
    <row r="1057" ht="13.5" customHeight="1">
      <c r="A1057" s="9"/>
      <c r="B1057" s="8"/>
      <c r="C1057" s="8"/>
      <c r="D1057" s="9"/>
      <c r="E1057" s="8"/>
      <c r="F1057" s="8"/>
      <c r="G1057" s="19"/>
      <c r="H1057" s="20"/>
      <c r="I1057" s="7"/>
      <c r="J1057" s="8"/>
      <c r="K1057" s="8"/>
      <c r="L1057" s="8"/>
      <c r="M1057" s="9"/>
      <c r="N1057" s="8"/>
      <c r="O1057" s="8"/>
      <c r="P1057" s="8"/>
      <c r="Q1057" s="8"/>
      <c r="R1057" s="8"/>
      <c r="S1057" s="10"/>
    </row>
    <row r="1058" ht="13.5" customHeight="1">
      <c r="A1058" s="9"/>
      <c r="B1058" s="8"/>
      <c r="C1058" s="8"/>
      <c r="D1058" s="9"/>
      <c r="E1058" s="8"/>
      <c r="F1058" s="8"/>
      <c r="G1058" s="19"/>
      <c r="H1058" s="20"/>
      <c r="I1058" s="7"/>
      <c r="J1058" s="8"/>
      <c r="K1058" s="8"/>
      <c r="L1058" s="8"/>
      <c r="M1058" s="9"/>
      <c r="N1058" s="8"/>
      <c r="O1058" s="8"/>
      <c r="P1058" s="8"/>
      <c r="Q1058" s="8"/>
      <c r="R1058" s="8"/>
      <c r="S1058" s="10"/>
    </row>
    <row r="1059" ht="13.5" customHeight="1">
      <c r="A1059" s="9"/>
      <c r="B1059" s="8"/>
      <c r="C1059" s="8"/>
      <c r="D1059" s="9"/>
      <c r="E1059" s="8"/>
      <c r="F1059" s="8"/>
      <c r="G1059" s="19"/>
      <c r="H1059" s="20"/>
      <c r="I1059" s="7"/>
      <c r="J1059" s="8"/>
      <c r="K1059" s="8"/>
      <c r="L1059" s="8"/>
      <c r="M1059" s="9"/>
      <c r="N1059" s="8"/>
      <c r="O1059" s="8"/>
      <c r="P1059" s="8"/>
      <c r="Q1059" s="8"/>
      <c r="R1059" s="8"/>
      <c r="S1059" s="10"/>
    </row>
    <row r="1060" ht="13.5" customHeight="1">
      <c r="A1060" s="9"/>
      <c r="B1060" s="8"/>
      <c r="C1060" s="8"/>
      <c r="D1060" s="9"/>
      <c r="E1060" s="8"/>
      <c r="F1060" s="8"/>
      <c r="G1060" s="19"/>
      <c r="H1060" s="20"/>
      <c r="I1060" s="7"/>
      <c r="J1060" s="8"/>
      <c r="K1060" s="8"/>
      <c r="L1060" s="8"/>
      <c r="M1060" s="9"/>
      <c r="N1060" s="8"/>
      <c r="O1060" s="8"/>
      <c r="P1060" s="8"/>
      <c r="Q1060" s="8"/>
      <c r="R1060" s="8"/>
      <c r="S1060" s="10"/>
    </row>
    <row r="1061" ht="13.5" customHeight="1">
      <c r="A1061" s="9"/>
      <c r="B1061" s="8"/>
      <c r="C1061" s="8"/>
      <c r="D1061" s="9"/>
      <c r="E1061" s="8"/>
      <c r="F1061" s="8"/>
      <c r="G1061" s="19"/>
      <c r="H1061" s="20"/>
      <c r="I1061" s="7"/>
      <c r="J1061" s="8"/>
      <c r="K1061" s="8"/>
      <c r="L1061" s="8"/>
      <c r="M1061" s="9"/>
      <c r="N1061" s="8"/>
      <c r="O1061" s="8"/>
      <c r="P1061" s="8"/>
      <c r="Q1061" s="8"/>
      <c r="R1061" s="8"/>
      <c r="S1061" s="10"/>
    </row>
    <row r="1062" ht="13.5" customHeight="1">
      <c r="A1062" s="9"/>
      <c r="B1062" s="8"/>
      <c r="C1062" s="8"/>
      <c r="D1062" s="9"/>
      <c r="E1062" s="8"/>
      <c r="F1062" s="8"/>
      <c r="G1062" s="19"/>
      <c r="H1062" s="20"/>
      <c r="I1062" s="7"/>
      <c r="J1062" s="8"/>
      <c r="K1062" s="8"/>
      <c r="L1062" s="8"/>
      <c r="M1062" s="9"/>
      <c r="N1062" s="8"/>
      <c r="O1062" s="8"/>
      <c r="P1062" s="8"/>
      <c r="Q1062" s="8"/>
      <c r="R1062" s="8"/>
      <c r="S1062" s="10"/>
    </row>
    <row r="1063" ht="13.5" customHeight="1">
      <c r="A1063" s="9"/>
      <c r="B1063" s="8"/>
      <c r="C1063" s="8"/>
      <c r="D1063" s="9"/>
      <c r="E1063" s="8"/>
      <c r="F1063" s="8"/>
      <c r="G1063" s="19"/>
      <c r="H1063" s="20"/>
      <c r="I1063" s="7"/>
      <c r="J1063" s="8"/>
      <c r="K1063" s="8"/>
      <c r="L1063" s="8"/>
      <c r="M1063" s="9"/>
      <c r="N1063" s="8"/>
      <c r="O1063" s="8"/>
      <c r="P1063" s="8"/>
      <c r="Q1063" s="8"/>
      <c r="R1063" s="8"/>
      <c r="S1063" s="10"/>
    </row>
    <row r="1064" ht="13.5" customHeight="1">
      <c r="A1064" s="9"/>
      <c r="B1064" s="8"/>
      <c r="C1064" s="8"/>
      <c r="D1064" s="9"/>
      <c r="E1064" s="8"/>
      <c r="F1064" s="8"/>
      <c r="G1064" s="19"/>
      <c r="H1064" s="20"/>
      <c r="I1064" s="7"/>
      <c r="J1064" s="8"/>
      <c r="K1064" s="8"/>
      <c r="L1064" s="8"/>
      <c r="M1064" s="9"/>
      <c r="N1064" s="8"/>
      <c r="O1064" s="8"/>
      <c r="P1064" s="8"/>
      <c r="Q1064" s="8"/>
      <c r="R1064" s="8"/>
      <c r="S1064" s="10"/>
    </row>
    <row r="1065" ht="13.5" customHeight="1">
      <c r="A1065" s="9"/>
      <c r="B1065" s="8"/>
      <c r="C1065" s="8"/>
      <c r="D1065" s="9"/>
      <c r="E1065" s="8"/>
      <c r="F1065" s="8"/>
      <c r="G1065" s="19"/>
      <c r="H1065" s="20"/>
      <c r="I1065" s="7"/>
      <c r="J1065" s="8"/>
      <c r="K1065" s="8"/>
      <c r="L1065" s="8"/>
      <c r="M1065" s="9"/>
      <c r="N1065" s="8"/>
      <c r="O1065" s="8"/>
      <c r="P1065" s="8"/>
      <c r="Q1065" s="8"/>
      <c r="R1065" s="8"/>
      <c r="S1065" s="10"/>
    </row>
    <row r="1066" ht="13.5" customHeight="1">
      <c r="A1066" s="9"/>
      <c r="B1066" s="8"/>
      <c r="C1066" s="8"/>
      <c r="D1066" s="9"/>
      <c r="E1066" s="8"/>
      <c r="F1066" s="8"/>
      <c r="G1066" s="19"/>
      <c r="H1066" s="20"/>
      <c r="I1066" s="7"/>
      <c r="J1066" s="8"/>
      <c r="K1066" s="8"/>
      <c r="L1066" s="8"/>
      <c r="M1066" s="9"/>
      <c r="N1066" s="8"/>
      <c r="O1066" s="8"/>
      <c r="P1066" s="8"/>
      <c r="Q1066" s="8"/>
      <c r="R1066" s="8"/>
      <c r="S1066" s="10"/>
    </row>
    <row r="1067" ht="13.5" customHeight="1">
      <c r="A1067" s="9"/>
      <c r="B1067" s="8"/>
      <c r="C1067" s="8"/>
      <c r="D1067" s="9"/>
      <c r="E1067" s="8"/>
      <c r="F1067" s="8"/>
      <c r="G1067" s="19"/>
      <c r="H1067" s="20"/>
      <c r="I1067" s="7"/>
      <c r="J1067" s="8"/>
      <c r="K1067" s="8"/>
      <c r="L1067" s="8"/>
      <c r="M1067" s="9"/>
      <c r="N1067" s="8"/>
      <c r="O1067" s="8"/>
      <c r="P1067" s="8"/>
      <c r="Q1067" s="8"/>
      <c r="R1067" s="8"/>
      <c r="S1067" s="10"/>
    </row>
    <row r="1068" ht="13.5" customHeight="1">
      <c r="A1068" s="9"/>
      <c r="B1068" s="8"/>
      <c r="C1068" s="8"/>
      <c r="D1068" s="9"/>
      <c r="E1068" s="8"/>
      <c r="F1068" s="8"/>
      <c r="G1068" s="19"/>
      <c r="H1068" s="20"/>
      <c r="I1068" s="7"/>
      <c r="J1068" s="8"/>
      <c r="K1068" s="8"/>
      <c r="L1068" s="8"/>
      <c r="M1068" s="9"/>
      <c r="N1068" s="8"/>
      <c r="O1068" s="8"/>
      <c r="P1068" s="8"/>
      <c r="Q1068" s="8"/>
      <c r="R1068" s="8"/>
      <c r="S1068" s="10"/>
    </row>
    <row r="1069" ht="13.5" customHeight="1">
      <c r="A1069" s="9"/>
      <c r="B1069" s="8"/>
      <c r="C1069" s="8"/>
      <c r="D1069" s="9"/>
      <c r="E1069" s="8"/>
      <c r="F1069" s="8"/>
      <c r="G1069" s="19"/>
      <c r="H1069" s="20"/>
      <c r="I1069" s="7"/>
      <c r="J1069" s="8"/>
      <c r="K1069" s="8"/>
      <c r="L1069" s="8"/>
      <c r="M1069" s="9"/>
      <c r="N1069" s="8"/>
      <c r="O1069" s="8"/>
      <c r="P1069" s="8"/>
      <c r="Q1069" s="8"/>
      <c r="R1069" s="8"/>
      <c r="S1069" s="10"/>
    </row>
    <row r="1070" ht="13.5" customHeight="1">
      <c r="A1070" s="9"/>
      <c r="B1070" s="8"/>
      <c r="C1070" s="8"/>
      <c r="D1070" s="9"/>
      <c r="E1070" s="8"/>
      <c r="F1070" s="8"/>
      <c r="G1070" s="19"/>
      <c r="H1070" s="20"/>
      <c r="I1070" s="7"/>
      <c r="J1070" s="8"/>
      <c r="K1070" s="8"/>
      <c r="L1070" s="8"/>
      <c r="M1070" s="9"/>
      <c r="N1070" s="8"/>
      <c r="O1070" s="8"/>
      <c r="P1070" s="8"/>
      <c r="Q1070" s="8"/>
      <c r="R1070" s="8"/>
      <c r="S1070" s="10"/>
    </row>
    <row r="1071" ht="13.5" customHeight="1">
      <c r="A1071" s="9"/>
      <c r="B1071" s="8"/>
      <c r="C1071" s="8"/>
      <c r="D1071" s="9"/>
      <c r="E1071" s="8"/>
      <c r="F1071" s="8"/>
      <c r="G1071" s="19"/>
      <c r="H1071" s="20"/>
      <c r="I1071" s="7"/>
      <c r="J1071" s="8"/>
      <c r="K1071" s="8"/>
      <c r="L1071" s="8"/>
      <c r="M1071" s="9"/>
      <c r="N1071" s="8"/>
      <c r="O1071" s="8"/>
      <c r="P1071" s="8"/>
      <c r="Q1071" s="8"/>
      <c r="R1071" s="8"/>
      <c r="S1071" s="10"/>
    </row>
    <row r="1072" ht="13.5" customHeight="1">
      <c r="A1072" s="9"/>
      <c r="B1072" s="8"/>
      <c r="C1072" s="8"/>
      <c r="D1072" s="9"/>
      <c r="E1072" s="8"/>
      <c r="F1072" s="8"/>
      <c r="G1072" s="19"/>
      <c r="H1072" s="20"/>
      <c r="I1072" s="7"/>
      <c r="J1072" s="8"/>
      <c r="K1072" s="8"/>
      <c r="L1072" s="8"/>
      <c r="M1072" s="9"/>
      <c r="N1072" s="8"/>
      <c r="O1072" s="8"/>
      <c r="P1072" s="8"/>
      <c r="Q1072" s="8"/>
      <c r="R1072" s="8"/>
      <c r="S1072" s="10"/>
    </row>
  </sheetData>
  <autoFilter ref="$A$9:$S$719">
    <sortState ref="A9:S719">
      <sortCondition ref="A9:A719"/>
    </sortState>
  </autoFilter>
  <customSheetViews>
    <customSheetView guid="{B45B4F1B-E3DF-4A75-A762-96C9B9B1C98C}" filter="1" showAutoFilter="1">
      <autoFilter ref="$A$9:$S$1058"/>
      <extLst>
        <ext uri="GoogleSheetsCustomDataVersion1">
          <go:sheetsCustomData xmlns:go="http://customooxmlschemas.google.com/" filterViewId="1109426633"/>
        </ext>
      </extLst>
    </customSheetView>
  </customSheetViews>
  <mergeCells count="1">
    <mergeCell ref="A1:B1"/>
  </mergeCells>
  <conditionalFormatting sqref="G10:G719">
    <cfRule type="notContainsBlanks" dxfId="0" priority="1">
      <formula>LEN(TRIM(G10))&gt;0</formula>
    </cfRule>
  </conditionalFormatting>
  <dataValidations>
    <dataValidation type="list" allowBlank="1" showErrorMessage="1" sqref="R10:R1072">
      <formula1>"Active,Broken,Lost/ Missing,Sell"</formula1>
    </dataValidation>
    <dataValidation type="list" allowBlank="1" showErrorMessage="1" sqref="L10:L1072">
      <formula1>"BSD,Deltamas 1,Deltamas 2,Other Area"</formula1>
    </dataValidation>
    <dataValidation type="list" allowBlank="1" showErrorMessage="1" sqref="K10:K1072">
      <formula1>"BOD,Engineering,Finance &amp; Accounting,HRGA &amp; Legal,PITD,QA/QC,Sales &amp; Marketing,Supply Chain,Business &amp; Digital Development,Production"</formula1>
    </dataValidation>
    <dataValidation type="list" allowBlank="1" showErrorMessage="1" sqref="J10:J1072">
      <formula1>Database!$B:$B</formula1>
    </dataValidation>
    <dataValidation type="list" allowBlank="1" showErrorMessage="1" sqref="J1:J8">
      <formula1>"Adelia,Adi Kusumah,Agus RH,Alvin,Amalia,Arina,Audrey,Bagas,Bilkis,Bilkis Ismail,BSD,Carissa,Chendy,Chendy ,Cokyat,Corneleo,Customer,Daniella,Deigo,Deltamas 1,Deltamas 2,Devi Erliani,Diki,Dimas,Dina,Dina Assyfa,Eka,Eko Wahyu,Eliza,Fattah,Felix Firmansyah,F"&amp;"itria,Gabriella,Gedeon,Gio Saputra,Hari Mulyanto,Hari TM,Harmoko,Hendra,Hendra Nur,Herfian,Joko Prihono,Joseline,Khrisna,Mahmudin,Marcel,Melisa,Nabila,PIC,Ranti,Ricardo,Rifky Fauzi,Rino,Rispandi,Rubi,Shela Oktania,Siska,Site,Stefanus,Yogie"</formula1>
    </dataValidation>
  </dataValidations>
  <printOptions/>
  <pageMargins bottom="0.25" footer="0.0" header="0.0" left="0.25" right="0.25" top="0.25"/>
  <pageSetup fitToHeight="0"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3.33"/>
    <col customWidth="1" min="2" max="2" width="12.67"/>
    <col customWidth="1" min="3" max="3" width="3.33"/>
    <col customWidth="1" min="4" max="4" width="12.67"/>
    <col customWidth="1" min="5" max="5" width="3.33"/>
    <col customWidth="1" min="6" max="6" width="12.67"/>
    <col customWidth="1" min="7" max="7" width="3.33"/>
    <col customWidth="1" min="8" max="8" width="12.67"/>
    <col customWidth="1" min="9" max="9" width="3.33"/>
    <col customWidth="1" min="10" max="10" width="12.67"/>
    <col customWidth="1" min="11" max="13" width="3.33"/>
    <col customWidth="1" min="14" max="14" width="12.67"/>
    <col customWidth="1" min="15" max="15" width="3.33"/>
    <col customWidth="1" min="16" max="16" width="12.67"/>
    <col customWidth="1" min="17" max="17" width="3.33"/>
    <col customWidth="1" min="18" max="18" width="12.67"/>
    <col customWidth="1" min="19" max="19" width="3.33"/>
    <col customWidth="1" min="20" max="20" width="12.67"/>
    <col customWidth="1" min="21" max="21" width="3.33"/>
    <col customWidth="1" min="22" max="22" width="12.67"/>
  </cols>
  <sheetData>
    <row r="1">
      <c r="A1" s="163"/>
      <c r="B1" s="164"/>
      <c r="C1" s="163"/>
      <c r="D1" s="164"/>
      <c r="E1" s="163"/>
      <c r="F1" s="164"/>
      <c r="G1" s="163"/>
      <c r="H1" s="164"/>
      <c r="I1" s="163"/>
      <c r="J1" s="164"/>
      <c r="K1" s="163"/>
      <c r="L1" s="165"/>
      <c r="M1" s="163"/>
      <c r="N1" s="164"/>
      <c r="O1" s="163"/>
      <c r="P1" s="164"/>
      <c r="Q1" s="163"/>
      <c r="R1" s="164"/>
      <c r="S1" s="163"/>
      <c r="T1" s="164"/>
      <c r="U1" s="163"/>
      <c r="V1" s="164"/>
      <c r="W1" s="163"/>
      <c r="X1" s="163"/>
      <c r="Y1" s="163"/>
      <c r="Z1" s="163"/>
      <c r="AA1" s="163"/>
    </row>
    <row r="2">
      <c r="A2" s="163"/>
      <c r="B2" s="166" t="s">
        <v>1077</v>
      </c>
      <c r="C2" s="163"/>
      <c r="D2" s="166" t="s">
        <v>1078</v>
      </c>
      <c r="E2" s="163"/>
      <c r="F2" s="166" t="s">
        <v>1079</v>
      </c>
      <c r="G2" s="163"/>
      <c r="H2" s="166" t="s">
        <v>1080</v>
      </c>
      <c r="I2" s="163"/>
      <c r="J2" s="166" t="s">
        <v>1080</v>
      </c>
      <c r="K2" s="163"/>
      <c r="L2" s="165"/>
      <c r="M2" s="163"/>
      <c r="N2" s="167"/>
      <c r="O2" s="163"/>
      <c r="P2" s="166" t="s">
        <v>1081</v>
      </c>
      <c r="Q2" s="163"/>
      <c r="R2" s="166" t="s">
        <v>1082</v>
      </c>
      <c r="S2" s="163"/>
      <c r="T2" s="167" t="s">
        <v>1083</v>
      </c>
      <c r="U2" s="163"/>
      <c r="V2" s="167" t="s">
        <v>1084</v>
      </c>
      <c r="W2" s="163"/>
      <c r="X2" s="163"/>
      <c r="Y2" s="163"/>
      <c r="Z2" s="163"/>
      <c r="AA2" s="163"/>
    </row>
    <row r="3" ht="56.25" customHeight="1">
      <c r="A3" s="163"/>
      <c r="B3" s="168" t="str">
        <f>image("https://image-charts.com/chart?chs=150x150&amp;cht=qr&amp;choe=UTF-8&amp;chl="&amp;ENCODEURL(B2))</f>
        <v/>
      </c>
      <c r="C3" s="163"/>
      <c r="D3" s="169" t="str">
        <f>image("https://image-charts.com/chart?chs=150x150&amp;cht=qr&amp;choe=UTF-8&amp;chl="&amp;ENCODEURL(D2))</f>
        <v/>
      </c>
      <c r="E3" s="163"/>
      <c r="F3" s="169" t="str">
        <f>image("https://image-charts.com/chart?chs=150x150&amp;cht=qr&amp;choe=UTF-8&amp;chl="&amp;ENCODEURL(F2))</f>
        <v/>
      </c>
      <c r="G3" s="163"/>
      <c r="H3" s="169" t="str">
        <f>image("https://image-charts.com/chart?chs=150x150&amp;cht=qr&amp;choe=UTF-8&amp;chl="&amp;ENCODEURL(H2))</f>
        <v/>
      </c>
      <c r="I3" s="163"/>
      <c r="J3" s="169" t="str">
        <f>image("https://image-charts.com/chart?chs=150x150&amp;cht=qr&amp;choe=UTF-8&amp;chl="&amp;ENCODEURL(J2))</f>
        <v/>
      </c>
      <c r="K3" s="163"/>
      <c r="L3" s="165"/>
      <c r="M3" s="163"/>
      <c r="N3" s="169" t="str">
        <f>image("https://image-charts.com/chart?chs=150x150&amp;cht=qr&amp;choe=UTF-8&amp;chl="&amp;ENCODEURL(N2))</f>
        <v/>
      </c>
      <c r="O3" s="163"/>
      <c r="P3" s="169" t="str">
        <f>image("https://image-charts.com/chart?chs=150x150&amp;cht=qr&amp;choe=UTF-8&amp;chl="&amp;ENCODEURL(P2))</f>
        <v/>
      </c>
      <c r="Q3" s="163"/>
      <c r="R3" s="169" t="str">
        <f>image("https://image-charts.com/chart?chs=150x150&amp;cht=qr&amp;choe=UTF-8&amp;chl="&amp;ENCODEURL(R2))</f>
        <v/>
      </c>
      <c r="S3" s="163"/>
      <c r="T3" s="169" t="str">
        <f>image("https://image-charts.com/chart?chs=150x150&amp;cht=qr&amp;choe=UTF-8&amp;chl="&amp;ENCODEURL(T2))</f>
        <v/>
      </c>
      <c r="U3" s="163"/>
      <c r="V3" s="169" t="str">
        <f>image("https://image-charts.com/chart?chs=150x150&amp;cht=qr&amp;choe=UTF-8&amp;chl="&amp;ENCODEURL(V2))</f>
        <v/>
      </c>
      <c r="W3" s="163"/>
      <c r="X3" s="163"/>
      <c r="Y3" s="163"/>
      <c r="Z3" s="163"/>
      <c r="AA3" s="163"/>
    </row>
    <row r="4">
      <c r="A4" s="163"/>
      <c r="B4" s="163"/>
      <c r="C4" s="163"/>
      <c r="D4" s="163"/>
      <c r="E4" s="163"/>
      <c r="F4" s="163"/>
      <c r="G4" s="163"/>
      <c r="H4" s="163"/>
      <c r="I4" s="163"/>
      <c r="J4" s="163"/>
      <c r="K4" s="163"/>
      <c r="L4" s="165"/>
      <c r="M4" s="163"/>
      <c r="N4" s="163"/>
      <c r="O4" s="163"/>
      <c r="P4" s="163"/>
      <c r="Q4" s="163"/>
      <c r="R4" s="163"/>
      <c r="S4" s="163"/>
      <c r="T4" s="163"/>
      <c r="U4" s="163"/>
      <c r="V4" s="163"/>
      <c r="W4" s="163"/>
      <c r="X4" s="163"/>
      <c r="Y4" s="163"/>
      <c r="Z4" s="163"/>
      <c r="AA4" s="163"/>
    </row>
    <row r="5">
      <c r="A5" s="163"/>
      <c r="B5" s="164"/>
      <c r="C5" s="163"/>
      <c r="D5" s="164"/>
      <c r="E5" s="163"/>
      <c r="F5" s="164"/>
      <c r="G5" s="163"/>
      <c r="H5" s="164"/>
      <c r="I5" s="163"/>
      <c r="J5" s="164"/>
      <c r="K5" s="163"/>
      <c r="L5" s="165"/>
      <c r="M5" s="163"/>
      <c r="N5" s="164"/>
      <c r="O5" s="163"/>
      <c r="P5" s="164"/>
      <c r="Q5" s="163"/>
      <c r="R5" s="164"/>
      <c r="S5" s="163"/>
      <c r="T5" s="164"/>
      <c r="U5" s="163"/>
      <c r="V5" s="164"/>
      <c r="W5" s="163"/>
      <c r="X5" s="163"/>
      <c r="Y5" s="163"/>
      <c r="Z5" s="163"/>
      <c r="AA5" s="163"/>
    </row>
    <row r="6">
      <c r="A6" s="163"/>
      <c r="B6" s="167" t="s">
        <v>1085</v>
      </c>
      <c r="C6" s="163"/>
      <c r="D6" s="167" t="s">
        <v>1086</v>
      </c>
      <c r="E6" s="163"/>
      <c r="F6" s="167" t="s">
        <v>1087</v>
      </c>
      <c r="G6" s="163"/>
      <c r="H6" s="167" t="s">
        <v>1088</v>
      </c>
      <c r="I6" s="163"/>
      <c r="J6" s="167" t="s">
        <v>1089</v>
      </c>
      <c r="K6" s="163"/>
      <c r="L6" s="165"/>
      <c r="M6" s="163"/>
      <c r="N6" s="166" t="s">
        <v>1090</v>
      </c>
      <c r="O6" s="163"/>
      <c r="P6" s="167" t="s">
        <v>1091</v>
      </c>
      <c r="Q6" s="163"/>
      <c r="R6" s="167" t="s">
        <v>1092</v>
      </c>
      <c r="S6" s="163"/>
      <c r="T6" s="167" t="s">
        <v>1092</v>
      </c>
      <c r="U6" s="163"/>
      <c r="V6" s="167" t="s">
        <v>1093</v>
      </c>
      <c r="W6" s="163"/>
      <c r="X6" s="163"/>
      <c r="Y6" s="163"/>
      <c r="Z6" s="163"/>
      <c r="AA6" s="163"/>
    </row>
    <row r="7" ht="56.25" customHeight="1">
      <c r="A7" s="163"/>
      <c r="B7" s="169" t="str">
        <f>image("https://image-charts.com/chart?chs=150x150&amp;cht=qr&amp;choe=UTF-8&amp;chl="&amp;ENCODEURL(B6))</f>
        <v/>
      </c>
      <c r="C7" s="163"/>
      <c r="D7" s="169" t="str">
        <f>image("https://image-charts.com/chart?chs=150x150&amp;cht=qr&amp;choe=UTF-8&amp;chl="&amp;ENCODEURL(D6))</f>
        <v/>
      </c>
      <c r="E7" s="163"/>
      <c r="F7" s="169" t="str">
        <f>image("https://image-charts.com/chart?chs=150x150&amp;cht=qr&amp;choe=UTF-8&amp;chl="&amp;ENCODEURL(F6))</f>
        <v/>
      </c>
      <c r="G7" s="163"/>
      <c r="H7" s="169" t="str">
        <f>image("https://image-charts.com/chart?chs=150x150&amp;cht=qr&amp;choe=UTF-8&amp;chl="&amp;ENCODEURL(H6))</f>
        <v/>
      </c>
      <c r="I7" s="163"/>
      <c r="J7" s="169" t="str">
        <f>image("https://image-charts.com/chart?chs=150x150&amp;cht=qr&amp;choe=UTF-8&amp;chl="&amp;ENCODEURL(J6))</f>
        <v/>
      </c>
      <c r="K7" s="163"/>
      <c r="L7" s="165"/>
      <c r="M7" s="163"/>
      <c r="N7" s="169" t="str">
        <f>image("https://image-charts.com/chart?chs=150x150&amp;cht=qr&amp;choe=UTF-8&amp;chl="&amp;ENCODEURL(N6))</f>
        <v/>
      </c>
      <c r="O7" s="163"/>
      <c r="P7" s="169" t="str">
        <f>image("https://image-charts.com/chart?chs=150x150&amp;cht=qr&amp;choe=UTF-8&amp;chl="&amp;ENCODEURL(P6))</f>
        <v/>
      </c>
      <c r="Q7" s="163"/>
      <c r="R7" s="169" t="str">
        <f>image("https://image-charts.com/chart?chs=150x150&amp;cht=qr&amp;choe=UTF-8&amp;chl="&amp;ENCODEURL(R6))</f>
        <v/>
      </c>
      <c r="S7" s="163"/>
      <c r="T7" s="169" t="str">
        <f>image("https://image-charts.com/chart?chs=150x150&amp;cht=qr&amp;choe=UTF-8&amp;chl="&amp;ENCODEURL(T6))</f>
        <v/>
      </c>
      <c r="U7" s="163"/>
      <c r="V7" s="169" t="str">
        <f>image("https://image-charts.com/chart?chs=150x150&amp;cht=qr&amp;choe=UTF-8&amp;chl="&amp;ENCODEURL(V6))</f>
        <v/>
      </c>
      <c r="W7" s="163"/>
      <c r="X7" s="163"/>
      <c r="Y7" s="163"/>
      <c r="Z7" s="163"/>
      <c r="AA7" s="163"/>
    </row>
    <row r="8">
      <c r="A8" s="163"/>
      <c r="B8" s="163"/>
      <c r="C8" s="163"/>
      <c r="D8" s="163"/>
      <c r="E8" s="163"/>
      <c r="F8" s="163"/>
      <c r="G8" s="163"/>
      <c r="H8" s="163"/>
      <c r="I8" s="163"/>
      <c r="J8" s="163"/>
      <c r="K8" s="163"/>
      <c r="L8" s="165"/>
      <c r="M8" s="163"/>
      <c r="N8" s="163"/>
      <c r="O8" s="163"/>
      <c r="P8" s="163"/>
      <c r="Q8" s="163"/>
      <c r="R8" s="163"/>
      <c r="S8" s="163"/>
      <c r="T8" s="163"/>
      <c r="U8" s="163"/>
      <c r="V8" s="163"/>
      <c r="W8" s="163"/>
      <c r="X8" s="163"/>
      <c r="Y8" s="163"/>
      <c r="Z8" s="163"/>
      <c r="AA8" s="163"/>
    </row>
    <row r="9">
      <c r="A9" s="163"/>
      <c r="B9" s="164"/>
      <c r="C9" s="163"/>
      <c r="D9" s="164"/>
      <c r="E9" s="163"/>
      <c r="F9" s="164"/>
      <c r="G9" s="163"/>
      <c r="H9" s="164"/>
      <c r="I9" s="163"/>
      <c r="J9" s="164"/>
      <c r="K9" s="163"/>
      <c r="L9" s="165"/>
      <c r="M9" s="163"/>
      <c r="N9" s="164"/>
      <c r="O9" s="163"/>
      <c r="P9" s="164"/>
      <c r="Q9" s="163"/>
      <c r="R9" s="164"/>
      <c r="S9" s="163"/>
      <c r="T9" s="164"/>
      <c r="U9" s="163"/>
      <c r="V9" s="164"/>
      <c r="W9" s="163"/>
      <c r="X9" s="163"/>
      <c r="Y9" s="163"/>
      <c r="Z9" s="163"/>
      <c r="AA9" s="163"/>
    </row>
    <row r="10">
      <c r="A10" s="163"/>
      <c r="B10" s="167" t="s">
        <v>1094</v>
      </c>
      <c r="C10" s="163"/>
      <c r="D10" s="170" t="s">
        <v>1095</v>
      </c>
      <c r="E10" s="163"/>
      <c r="F10" s="167" t="s">
        <v>1096</v>
      </c>
      <c r="G10" s="163"/>
      <c r="H10" s="167" t="s">
        <v>1097</v>
      </c>
      <c r="I10" s="163"/>
      <c r="J10" s="167" t="s">
        <v>1098</v>
      </c>
      <c r="K10" s="163"/>
      <c r="L10" s="165"/>
      <c r="M10" s="163"/>
      <c r="N10" s="167" t="s">
        <v>1099</v>
      </c>
      <c r="O10" s="163"/>
      <c r="P10" s="167" t="s">
        <v>1100</v>
      </c>
      <c r="Q10" s="163"/>
      <c r="R10" s="167" t="s">
        <v>1101</v>
      </c>
      <c r="S10" s="163"/>
      <c r="T10" s="167" t="s">
        <v>1102</v>
      </c>
      <c r="U10" s="163"/>
      <c r="V10" s="167" t="s">
        <v>1103</v>
      </c>
      <c r="W10" s="163"/>
      <c r="X10" s="163"/>
      <c r="Y10" s="163"/>
      <c r="Z10" s="163"/>
      <c r="AA10" s="163"/>
    </row>
    <row r="11" ht="56.25" customHeight="1">
      <c r="A11" s="163"/>
      <c r="B11" s="169" t="str">
        <f>image("https://image-charts.com/chart?chs=150x150&amp;cht=qr&amp;choe=UTF-8&amp;chl="&amp;ENCODEURL(B10))</f>
        <v/>
      </c>
      <c r="C11" s="163"/>
      <c r="D11" s="169" t="str">
        <f>image("https://image-charts.com/chart?chs=150x150&amp;cht=qr&amp;choe=UTF-8&amp;chl="&amp;ENCODEURL(D10))</f>
        <v/>
      </c>
      <c r="E11" s="163"/>
      <c r="F11" s="169" t="str">
        <f>image("https://image-charts.com/chart?chs=150x150&amp;cht=qr&amp;choe=UTF-8&amp;chl="&amp;ENCODEURL(F10))</f>
        <v/>
      </c>
      <c r="G11" s="163"/>
      <c r="H11" s="169" t="str">
        <f>image("https://image-charts.com/chart?chs=150x150&amp;cht=qr&amp;choe=UTF-8&amp;chl="&amp;ENCODEURL(H10))</f>
        <v/>
      </c>
      <c r="I11" s="163"/>
      <c r="J11" s="169" t="str">
        <f>image("https://image-charts.com/chart?chs=150x150&amp;cht=qr&amp;choe=UTF-8&amp;chl="&amp;ENCODEURL(J10))</f>
        <v/>
      </c>
      <c r="K11" s="163"/>
      <c r="L11" s="165"/>
      <c r="M11" s="163"/>
      <c r="N11" s="169" t="str">
        <f>image("https://image-charts.com/chart?chs=150x150&amp;cht=qr&amp;choe=UTF-8&amp;chl="&amp;ENCODEURL(N10))</f>
        <v/>
      </c>
      <c r="O11" s="163"/>
      <c r="P11" s="169" t="str">
        <f>image("https://image-charts.com/chart?chs=150x150&amp;cht=qr&amp;choe=UTF-8&amp;chl="&amp;ENCODEURL(P10))</f>
        <v/>
      </c>
      <c r="Q11" s="163"/>
      <c r="R11" s="169" t="str">
        <f>image("https://image-charts.com/chart?chs=150x150&amp;cht=qr&amp;choe=UTF-8&amp;chl="&amp;ENCODEURL(R10))</f>
        <v/>
      </c>
      <c r="S11" s="163"/>
      <c r="T11" s="169" t="str">
        <f>image("https://image-charts.com/chart?chs=150x150&amp;cht=qr&amp;choe=UTF-8&amp;chl="&amp;ENCODEURL(T10))</f>
        <v/>
      </c>
      <c r="U11" s="163"/>
      <c r="V11" s="169" t="str">
        <f>image("https://image-charts.com/chart?chs=150x150&amp;cht=qr&amp;choe=UTF-8&amp;chl="&amp;ENCODEURL(V10))</f>
        <v/>
      </c>
      <c r="W11" s="163"/>
      <c r="X11" s="163"/>
      <c r="Y11" s="163"/>
      <c r="Z11" s="163"/>
      <c r="AA11" s="163"/>
    </row>
    <row r="12">
      <c r="A12" s="163"/>
      <c r="B12" s="163"/>
      <c r="C12" s="163"/>
      <c r="D12" s="163"/>
      <c r="E12" s="163"/>
      <c r="F12" s="163"/>
      <c r="G12" s="163"/>
      <c r="H12" s="163"/>
      <c r="I12" s="163"/>
      <c r="J12" s="163"/>
      <c r="K12" s="163"/>
      <c r="L12" s="165"/>
      <c r="M12" s="163"/>
      <c r="N12" s="163"/>
      <c r="O12" s="163"/>
      <c r="P12" s="163"/>
      <c r="Q12" s="163"/>
      <c r="R12" s="163"/>
      <c r="S12" s="163"/>
      <c r="T12" s="163"/>
      <c r="U12" s="163"/>
      <c r="V12" s="163"/>
      <c r="W12" s="163"/>
      <c r="X12" s="163"/>
      <c r="Y12" s="163"/>
      <c r="Z12" s="163"/>
      <c r="AA12" s="163"/>
    </row>
    <row r="13">
      <c r="A13" s="163"/>
      <c r="B13" s="164"/>
      <c r="C13" s="163"/>
      <c r="D13" s="164"/>
      <c r="E13" s="163"/>
      <c r="F13" s="164"/>
      <c r="G13" s="163"/>
      <c r="H13" s="164"/>
      <c r="I13" s="163"/>
      <c r="J13" s="164"/>
      <c r="K13" s="163"/>
      <c r="L13" s="165"/>
      <c r="M13" s="163"/>
      <c r="N13" s="164"/>
      <c r="O13" s="163"/>
      <c r="P13" s="164"/>
      <c r="Q13" s="163"/>
      <c r="R13" s="164"/>
      <c r="S13" s="163"/>
      <c r="T13" s="164"/>
      <c r="U13" s="163"/>
      <c r="V13" s="164"/>
      <c r="W13" s="163"/>
      <c r="X13" s="163"/>
      <c r="Y13" s="163"/>
      <c r="Z13" s="163"/>
      <c r="AA13" s="163"/>
    </row>
    <row r="14">
      <c r="A14" s="163"/>
      <c r="B14" s="167" t="s">
        <v>1104</v>
      </c>
      <c r="C14" s="163"/>
      <c r="D14" s="167" t="s">
        <v>904</v>
      </c>
      <c r="E14" s="163"/>
      <c r="F14" s="167" t="s">
        <v>906</v>
      </c>
      <c r="G14" s="163"/>
      <c r="H14" s="167" t="s">
        <v>908</v>
      </c>
      <c r="I14" s="163"/>
      <c r="J14" s="167" t="s">
        <v>1105</v>
      </c>
      <c r="K14" s="163"/>
      <c r="L14" s="165"/>
      <c r="M14" s="163"/>
      <c r="N14" s="167" t="s">
        <v>1106</v>
      </c>
      <c r="O14" s="163"/>
      <c r="P14" s="167" t="s">
        <v>1107</v>
      </c>
      <c r="Q14" s="163"/>
      <c r="R14" s="167" t="s">
        <v>1108</v>
      </c>
      <c r="S14" s="163"/>
      <c r="T14" s="167" t="s">
        <v>1109</v>
      </c>
      <c r="U14" s="163"/>
      <c r="V14" s="167" t="s">
        <v>1110</v>
      </c>
      <c r="W14" s="163"/>
      <c r="X14" s="163"/>
      <c r="Y14" s="163"/>
      <c r="Z14" s="163"/>
      <c r="AA14" s="163"/>
    </row>
    <row r="15" ht="56.25" customHeight="1">
      <c r="A15" s="163"/>
      <c r="B15" s="169" t="str">
        <f>image("https://image-charts.com/chart?chs=150x150&amp;cht=qr&amp;choe=UTF-8&amp;chl="&amp;ENCODEURL(B14))</f>
        <v/>
      </c>
      <c r="C15" s="163"/>
      <c r="D15" s="169" t="str">
        <f>image("https://image-charts.com/chart?chs=150x150&amp;cht=qr&amp;choe=UTF-8&amp;chl="&amp;ENCODEURL(D14))</f>
        <v/>
      </c>
      <c r="E15" s="163"/>
      <c r="F15" s="169" t="str">
        <f>image("https://image-charts.com/chart?chs=150x150&amp;cht=qr&amp;choe=UTF-8&amp;chl="&amp;ENCODEURL(F14))</f>
        <v/>
      </c>
      <c r="G15" s="163"/>
      <c r="H15" s="169" t="str">
        <f>image("https://image-charts.com/chart?chs=150x150&amp;cht=qr&amp;choe=UTF-8&amp;chl="&amp;ENCODEURL(H14))</f>
        <v/>
      </c>
      <c r="I15" s="163"/>
      <c r="J15" s="169" t="str">
        <f>image("https://image-charts.com/chart?chs=150x150&amp;cht=qr&amp;choe=UTF-8&amp;chl="&amp;ENCODEURL(J14))</f>
        <v/>
      </c>
      <c r="K15" s="163"/>
      <c r="L15" s="165"/>
      <c r="M15" s="163"/>
      <c r="N15" s="169" t="str">
        <f>image("https://image-charts.com/chart?chs=150x150&amp;cht=qr&amp;choe=UTF-8&amp;chl="&amp;ENCODEURL(N14))</f>
        <v/>
      </c>
      <c r="O15" s="163"/>
      <c r="P15" s="169" t="str">
        <f>image("https://image-charts.com/chart?chs=150x150&amp;cht=qr&amp;choe=UTF-8&amp;chl="&amp;ENCODEURL(P14))</f>
        <v/>
      </c>
      <c r="Q15" s="163"/>
      <c r="R15" s="169" t="str">
        <f>image("https://image-charts.com/chart?chs=150x150&amp;cht=qr&amp;choe=UTF-8&amp;chl="&amp;ENCODEURL(R14))</f>
        <v/>
      </c>
      <c r="S15" s="163"/>
      <c r="T15" s="169" t="str">
        <f>image("https://image-charts.com/chart?chs=150x150&amp;cht=qr&amp;choe=UTF-8&amp;chl="&amp;ENCODEURL(T14))</f>
        <v/>
      </c>
      <c r="U15" s="163"/>
      <c r="V15" s="169" t="str">
        <f>image("https://image-charts.com/chart?chs=150x150&amp;cht=qr&amp;choe=UTF-8&amp;chl="&amp;ENCODEURL(V14))</f>
        <v/>
      </c>
      <c r="W15" s="163"/>
      <c r="X15" s="163"/>
      <c r="Y15" s="163"/>
      <c r="Z15" s="163"/>
      <c r="AA15" s="163"/>
    </row>
    <row r="16">
      <c r="A16" s="163"/>
      <c r="B16" s="163"/>
      <c r="C16" s="163"/>
      <c r="D16" s="163"/>
      <c r="E16" s="163"/>
      <c r="F16" s="163"/>
      <c r="G16" s="163"/>
      <c r="H16" s="163"/>
      <c r="I16" s="163"/>
      <c r="J16" s="163"/>
      <c r="K16" s="163"/>
      <c r="L16" s="165"/>
      <c r="M16" s="163"/>
      <c r="N16" s="163"/>
      <c r="O16" s="163"/>
      <c r="P16" s="163"/>
      <c r="Q16" s="163"/>
      <c r="R16" s="163"/>
      <c r="S16" s="163"/>
      <c r="T16" s="163"/>
      <c r="U16" s="163"/>
      <c r="V16" s="163"/>
      <c r="W16" s="163"/>
      <c r="X16" s="163"/>
      <c r="Y16" s="163"/>
      <c r="Z16" s="163"/>
      <c r="AA16" s="163"/>
    </row>
    <row r="17">
      <c r="A17" s="163"/>
      <c r="B17" s="164"/>
      <c r="C17" s="163"/>
      <c r="D17" s="164"/>
      <c r="E17" s="163"/>
      <c r="F17" s="164"/>
      <c r="G17" s="163"/>
      <c r="H17" s="164"/>
      <c r="I17" s="163"/>
      <c r="J17" s="164"/>
      <c r="K17" s="163"/>
      <c r="L17" s="165"/>
      <c r="M17" s="163"/>
      <c r="N17" s="164"/>
      <c r="O17" s="163"/>
      <c r="P17" s="164"/>
      <c r="Q17" s="163"/>
      <c r="R17" s="164"/>
      <c r="S17" s="163"/>
      <c r="T17" s="164"/>
      <c r="U17" s="163"/>
      <c r="V17" s="164"/>
      <c r="W17" s="163"/>
      <c r="X17" s="163"/>
      <c r="Y17" s="163"/>
      <c r="Z17" s="163"/>
      <c r="AA17" s="163"/>
    </row>
    <row r="18">
      <c r="A18" s="163"/>
      <c r="B18" s="167" t="s">
        <v>1111</v>
      </c>
      <c r="C18" s="163"/>
      <c r="D18" s="167" t="s">
        <v>1112</v>
      </c>
      <c r="E18" s="163"/>
      <c r="F18" s="167" t="s">
        <v>1113</v>
      </c>
      <c r="G18" s="163"/>
      <c r="H18" s="167" t="s">
        <v>1114</v>
      </c>
      <c r="I18" s="163"/>
      <c r="J18" s="167" t="s">
        <v>1115</v>
      </c>
      <c r="K18" s="163"/>
      <c r="L18" s="165"/>
      <c r="M18" s="163"/>
      <c r="N18" s="171" t="s">
        <v>1116</v>
      </c>
      <c r="O18" s="163"/>
      <c r="P18" s="172" t="s">
        <v>1117</v>
      </c>
      <c r="Q18" s="163"/>
      <c r="R18" s="172" t="s">
        <v>1118</v>
      </c>
      <c r="S18" s="163"/>
      <c r="T18" s="171" t="s">
        <v>1119</v>
      </c>
      <c r="U18" s="163"/>
      <c r="V18" s="171" t="s">
        <v>1120</v>
      </c>
      <c r="W18" s="163"/>
      <c r="X18" s="163"/>
      <c r="Y18" s="163"/>
      <c r="Z18" s="163"/>
      <c r="AA18" s="163"/>
    </row>
    <row r="19" ht="56.25" customHeight="1">
      <c r="A19" s="163"/>
      <c r="B19" s="169" t="str">
        <f>image("https://image-charts.com/chart?chs=150x150&amp;cht=qr&amp;choe=UTF-8&amp;chl="&amp;ENCODEURL(B18))</f>
        <v/>
      </c>
      <c r="C19" s="163"/>
      <c r="D19" s="169" t="str">
        <f>image("https://image-charts.com/chart?chs=150x150&amp;cht=qr&amp;choe=UTF-8&amp;chl="&amp;ENCODEURL(D18))</f>
        <v/>
      </c>
      <c r="E19" s="163"/>
      <c r="F19" s="169" t="str">
        <f>image("https://image-charts.com/chart?chs=150x150&amp;cht=qr&amp;choe=UTF-8&amp;chl="&amp;ENCODEURL(F18))</f>
        <v/>
      </c>
      <c r="G19" s="163"/>
      <c r="H19" s="169" t="str">
        <f>image("https://image-charts.com/chart?chs=150x150&amp;cht=qr&amp;choe=UTF-8&amp;chl="&amp;ENCODEURL(H18))</f>
        <v/>
      </c>
      <c r="I19" s="163"/>
      <c r="J19" s="169" t="str">
        <f>image("https://image-charts.com/chart?chs=150x150&amp;cht=qr&amp;choe=UTF-8&amp;chl="&amp;ENCODEURL(J18))</f>
        <v/>
      </c>
      <c r="K19" s="163"/>
      <c r="L19" s="165"/>
      <c r="M19" s="163"/>
      <c r="N19" s="169" t="str">
        <f>image("https://image-charts.com/chart?chs=150x150&amp;cht=qr&amp;choe=UTF-8&amp;chl="&amp;ENCODEURL(N18))</f>
        <v/>
      </c>
      <c r="O19" s="163"/>
      <c r="P19" s="169" t="str">
        <f>image("https://image-charts.com/chart?chs=150x150&amp;cht=qr&amp;choe=UTF-8&amp;chl="&amp;ENCODEURL(P18))</f>
        <v/>
      </c>
      <c r="Q19" s="163"/>
      <c r="R19" s="169" t="str">
        <f>image("https://image-charts.com/chart?chs=150x150&amp;cht=qr&amp;choe=UTF-8&amp;chl="&amp;ENCODEURL(R18))</f>
        <v/>
      </c>
      <c r="S19" s="163"/>
      <c r="T19" s="169" t="str">
        <f>image("https://image-charts.com/chart?chs=150x150&amp;cht=qr&amp;choe=UTF-8&amp;chl="&amp;ENCODEURL(T18))</f>
        <v/>
      </c>
      <c r="U19" s="163"/>
      <c r="V19" s="169" t="str">
        <f>image("https://image-charts.com/chart?chs=150x150&amp;cht=qr&amp;choe=UTF-8&amp;chl="&amp;ENCODEURL(V18))</f>
        <v/>
      </c>
      <c r="W19" s="163"/>
      <c r="X19" s="163"/>
      <c r="Y19" s="163"/>
      <c r="Z19" s="163"/>
      <c r="AA19" s="163"/>
    </row>
    <row r="20">
      <c r="A20" s="163"/>
      <c r="B20" s="163"/>
      <c r="C20" s="163"/>
      <c r="D20" s="163"/>
      <c r="E20" s="163"/>
      <c r="F20" s="163"/>
      <c r="G20" s="163"/>
      <c r="H20" s="163"/>
      <c r="I20" s="163"/>
      <c r="J20" s="163"/>
      <c r="K20" s="163"/>
      <c r="L20" s="165"/>
      <c r="M20" s="163"/>
      <c r="N20" s="163"/>
      <c r="O20" s="163"/>
      <c r="P20" s="163"/>
      <c r="Q20" s="163"/>
      <c r="R20" s="163"/>
      <c r="S20" s="163"/>
      <c r="T20" s="163"/>
      <c r="U20" s="163"/>
      <c r="V20" s="163"/>
      <c r="W20" s="163"/>
      <c r="X20" s="163"/>
      <c r="Y20" s="163"/>
      <c r="Z20" s="163"/>
      <c r="AA20" s="163"/>
    </row>
    <row r="21">
      <c r="A21" s="163"/>
      <c r="B21" s="164"/>
      <c r="C21" s="163"/>
      <c r="D21" s="164"/>
      <c r="E21" s="163"/>
      <c r="F21" s="164"/>
      <c r="G21" s="163"/>
      <c r="H21" s="164"/>
      <c r="I21" s="163"/>
      <c r="J21" s="164"/>
      <c r="K21" s="163"/>
      <c r="L21" s="165"/>
      <c r="M21" s="163"/>
      <c r="N21" s="164"/>
      <c r="O21" s="163"/>
      <c r="P21" s="164"/>
      <c r="Q21" s="163"/>
      <c r="R21" s="164"/>
      <c r="S21" s="163"/>
      <c r="T21" s="164"/>
      <c r="U21" s="163"/>
      <c r="V21" s="164"/>
      <c r="W21" s="163"/>
      <c r="X21" s="163"/>
      <c r="Y21" s="163"/>
      <c r="Z21" s="163"/>
      <c r="AA21" s="163"/>
    </row>
    <row r="22">
      <c r="A22" s="163"/>
      <c r="B22" s="167" t="s">
        <v>1121</v>
      </c>
      <c r="C22" s="163"/>
      <c r="D22" s="167" t="s">
        <v>1122</v>
      </c>
      <c r="E22" s="163"/>
      <c r="F22" s="167" t="s">
        <v>1123</v>
      </c>
      <c r="G22" s="163"/>
      <c r="H22" s="167" t="s">
        <v>1124</v>
      </c>
      <c r="I22" s="163"/>
      <c r="J22" s="167" t="s">
        <v>1125</v>
      </c>
      <c r="K22" s="163"/>
      <c r="L22" s="165"/>
      <c r="M22" s="163"/>
      <c r="N22" s="172" t="s">
        <v>1126</v>
      </c>
      <c r="O22" s="163"/>
      <c r="P22" s="171" t="s">
        <v>1127</v>
      </c>
      <c r="Q22" s="163"/>
      <c r="R22" s="171" t="s">
        <v>1128</v>
      </c>
      <c r="S22" s="163"/>
      <c r="T22" s="171" t="s">
        <v>1129</v>
      </c>
      <c r="U22" s="163"/>
      <c r="V22" s="167" t="s">
        <v>1130</v>
      </c>
      <c r="W22" s="163"/>
      <c r="X22" s="163"/>
      <c r="Y22" s="163"/>
      <c r="Z22" s="163"/>
      <c r="AA22" s="163"/>
    </row>
    <row r="23" ht="56.25" customHeight="1">
      <c r="A23" s="163"/>
      <c r="B23" s="169" t="str">
        <f>image("https://image-charts.com/chart?chs=150x150&amp;cht=qr&amp;choe=UTF-8&amp;chl="&amp;ENCODEURL(B22))</f>
        <v/>
      </c>
      <c r="C23" s="163"/>
      <c r="D23" s="169" t="str">
        <f>image("https://image-charts.com/chart?chs=150x150&amp;cht=qr&amp;choe=UTF-8&amp;chl="&amp;ENCODEURL(D22))</f>
        <v/>
      </c>
      <c r="E23" s="163"/>
      <c r="F23" s="169" t="str">
        <f>image("https://image-charts.com/chart?chs=150x150&amp;cht=qr&amp;choe=UTF-8&amp;chl="&amp;ENCODEURL(F22))</f>
        <v/>
      </c>
      <c r="G23" s="163"/>
      <c r="H23" s="169" t="str">
        <f>image("https://image-charts.com/chart?chs=150x150&amp;cht=qr&amp;choe=UTF-8&amp;chl="&amp;ENCODEURL(H22))</f>
        <v/>
      </c>
      <c r="I23" s="163"/>
      <c r="J23" s="169" t="str">
        <f>image("https://image-charts.com/chart?chs=150x150&amp;cht=qr&amp;choe=UTF-8&amp;chl="&amp;ENCODEURL(J22))</f>
        <v/>
      </c>
      <c r="K23" s="163"/>
      <c r="L23" s="165"/>
      <c r="M23" s="163"/>
      <c r="N23" s="169" t="str">
        <f>image("https://image-charts.com/chart?chs=150x150&amp;cht=qr&amp;choe=UTF-8&amp;chl="&amp;ENCODEURL(N22))</f>
        <v/>
      </c>
      <c r="O23" s="163"/>
      <c r="P23" s="169" t="str">
        <f>image("https://image-charts.com/chart?chs=150x150&amp;cht=qr&amp;choe=UTF-8&amp;chl="&amp;ENCODEURL(P22))</f>
        <v/>
      </c>
      <c r="Q23" s="163"/>
      <c r="R23" s="169" t="str">
        <f>image("https://image-charts.com/chart?chs=150x150&amp;cht=qr&amp;choe=UTF-8&amp;chl="&amp;ENCODEURL(R22))</f>
        <v/>
      </c>
      <c r="S23" s="163"/>
      <c r="T23" s="169" t="str">
        <f>image("https://image-charts.com/chart?chs=150x150&amp;cht=qr&amp;choe=UTF-8&amp;chl="&amp;ENCODEURL(T22))</f>
        <v/>
      </c>
      <c r="U23" s="163"/>
      <c r="V23" s="169" t="str">
        <f>image("https://image-charts.com/chart?chs=150x150&amp;cht=qr&amp;choe=UTF-8&amp;chl="&amp;ENCODEURL(V22))</f>
        <v/>
      </c>
      <c r="W23" s="163"/>
      <c r="X23" s="163"/>
      <c r="Y23" s="163"/>
      <c r="Z23" s="163"/>
      <c r="AA23" s="163"/>
    </row>
    <row r="24">
      <c r="A24" s="163"/>
      <c r="B24" s="163"/>
      <c r="C24" s="163"/>
      <c r="D24" s="163"/>
      <c r="E24" s="163"/>
      <c r="F24" s="163"/>
      <c r="G24" s="163"/>
      <c r="H24" s="163"/>
      <c r="I24" s="163"/>
      <c r="J24" s="163"/>
      <c r="K24" s="163"/>
      <c r="L24" s="165"/>
      <c r="M24" s="163"/>
      <c r="N24" s="163"/>
      <c r="O24" s="163"/>
      <c r="P24" s="163"/>
      <c r="Q24" s="163"/>
      <c r="R24" s="163"/>
      <c r="S24" s="163"/>
      <c r="T24" s="163"/>
      <c r="U24" s="163"/>
      <c r="V24" s="163"/>
      <c r="W24" s="163"/>
      <c r="X24" s="163"/>
      <c r="Y24" s="163"/>
      <c r="Z24" s="163"/>
      <c r="AA24" s="163"/>
    </row>
    <row r="25">
      <c r="A25" s="163"/>
      <c r="B25" s="164"/>
      <c r="C25" s="163"/>
      <c r="D25" s="164"/>
      <c r="E25" s="163"/>
      <c r="F25" s="164"/>
      <c r="G25" s="163"/>
      <c r="H25" s="164"/>
      <c r="I25" s="163"/>
      <c r="J25" s="164"/>
      <c r="K25" s="163"/>
      <c r="L25" s="165"/>
      <c r="M25" s="163"/>
      <c r="N25" s="164"/>
      <c r="O25" s="163"/>
      <c r="P25" s="164"/>
      <c r="Q25" s="163"/>
      <c r="R25" s="164"/>
      <c r="S25" s="163"/>
      <c r="T25" s="164"/>
      <c r="U25" s="163"/>
      <c r="V25" s="164"/>
      <c r="W25" s="163"/>
      <c r="X25" s="163"/>
      <c r="Y25" s="163"/>
      <c r="Z25" s="163"/>
      <c r="AA25" s="163"/>
    </row>
    <row r="26">
      <c r="A26" s="163"/>
      <c r="B26" s="167" t="s">
        <v>1131</v>
      </c>
      <c r="C26" s="163"/>
      <c r="D26" s="167" t="s">
        <v>1132</v>
      </c>
      <c r="E26" s="163"/>
      <c r="F26" s="167" t="s">
        <v>1133</v>
      </c>
      <c r="G26" s="163"/>
      <c r="H26" s="167" t="s">
        <v>1134</v>
      </c>
      <c r="I26" s="163"/>
      <c r="J26" s="167" t="s">
        <v>1135</v>
      </c>
      <c r="K26" s="163"/>
      <c r="L26" s="165"/>
      <c r="M26" s="163"/>
      <c r="N26" s="167" t="s">
        <v>1136</v>
      </c>
      <c r="O26" s="163"/>
      <c r="P26" s="167" t="s">
        <v>1137</v>
      </c>
      <c r="Q26" s="163"/>
      <c r="R26" s="167" t="s">
        <v>1138</v>
      </c>
      <c r="S26" s="163"/>
      <c r="T26" s="167" t="s">
        <v>1139</v>
      </c>
      <c r="U26" s="163"/>
      <c r="V26" s="167" t="s">
        <v>1140</v>
      </c>
      <c r="W26" s="163"/>
      <c r="X26" s="163"/>
      <c r="Y26" s="163"/>
      <c r="Z26" s="163"/>
      <c r="AA26" s="163"/>
    </row>
    <row r="27" ht="56.25" customHeight="1">
      <c r="A27" s="163"/>
      <c r="B27" s="169" t="str">
        <f>image("https://image-charts.com/chart?chs=150x150&amp;cht=qr&amp;choe=UTF-8&amp;chl="&amp;ENCODEURL(B26))</f>
        <v/>
      </c>
      <c r="C27" s="163"/>
      <c r="D27" s="169" t="str">
        <f>image("https://image-charts.com/chart?chs=150x150&amp;cht=qr&amp;choe=UTF-8&amp;chl="&amp;ENCODEURL(D26))</f>
        <v/>
      </c>
      <c r="E27" s="163"/>
      <c r="F27" s="169" t="str">
        <f>image("https://image-charts.com/chart?chs=150x150&amp;cht=qr&amp;choe=UTF-8&amp;chl="&amp;ENCODEURL(F26))</f>
        <v/>
      </c>
      <c r="G27" s="163"/>
      <c r="H27" s="169" t="str">
        <f>image("https://image-charts.com/chart?chs=150x150&amp;cht=qr&amp;choe=UTF-8&amp;chl="&amp;ENCODEURL(H26))</f>
        <v/>
      </c>
      <c r="I27" s="163"/>
      <c r="J27" s="169" t="str">
        <f>image("https://image-charts.com/chart?chs=150x150&amp;cht=qr&amp;choe=UTF-8&amp;chl="&amp;ENCODEURL(J26))</f>
        <v/>
      </c>
      <c r="K27" s="163"/>
      <c r="L27" s="165"/>
      <c r="M27" s="163"/>
      <c r="N27" s="169" t="str">
        <f>image("https://image-charts.com/chart?chs=150x150&amp;cht=qr&amp;choe=UTF-8&amp;chl="&amp;ENCODEURL(N26))</f>
        <v/>
      </c>
      <c r="O27" s="163"/>
      <c r="P27" s="169" t="str">
        <f>image("https://image-charts.com/chart?chs=150x150&amp;cht=qr&amp;choe=UTF-8&amp;chl="&amp;ENCODEURL(P26))</f>
        <v/>
      </c>
      <c r="Q27" s="163"/>
      <c r="R27" s="169" t="str">
        <f>image("https://image-charts.com/chart?chs=150x150&amp;cht=qr&amp;choe=UTF-8&amp;chl="&amp;ENCODEURL(R26))</f>
        <v/>
      </c>
      <c r="S27" s="163"/>
      <c r="T27" s="169" t="str">
        <f>image("https://image-charts.com/chart?chs=150x150&amp;cht=qr&amp;choe=UTF-8&amp;chl="&amp;ENCODEURL(T26))</f>
        <v/>
      </c>
      <c r="U27" s="163"/>
      <c r="V27" s="169" t="str">
        <f>image("https://image-charts.com/chart?chs=150x150&amp;cht=qr&amp;choe=UTF-8&amp;chl="&amp;ENCODEURL(V26))</f>
        <v/>
      </c>
      <c r="W27" s="163"/>
      <c r="X27" s="163"/>
      <c r="Y27" s="163"/>
      <c r="Z27" s="163"/>
      <c r="AA27" s="163"/>
    </row>
    <row r="28">
      <c r="A28" s="163"/>
      <c r="B28" s="163"/>
      <c r="C28" s="163"/>
      <c r="D28" s="163"/>
      <c r="E28" s="163"/>
      <c r="F28" s="163"/>
      <c r="G28" s="163"/>
      <c r="H28" s="163"/>
      <c r="I28" s="163"/>
      <c r="J28" s="163"/>
      <c r="K28" s="163"/>
      <c r="L28" s="165"/>
      <c r="M28" s="163"/>
      <c r="N28" s="163"/>
      <c r="O28" s="163"/>
      <c r="P28" s="163"/>
      <c r="Q28" s="163"/>
      <c r="R28" s="163"/>
      <c r="S28" s="163"/>
      <c r="T28" s="163"/>
      <c r="U28" s="163"/>
      <c r="V28" s="163"/>
      <c r="W28" s="163"/>
      <c r="X28" s="163"/>
      <c r="Y28" s="163"/>
      <c r="Z28" s="163"/>
      <c r="AA28" s="163"/>
    </row>
    <row r="29">
      <c r="A29" s="163"/>
      <c r="B29" s="164"/>
      <c r="C29" s="163"/>
      <c r="D29" s="164"/>
      <c r="E29" s="163"/>
      <c r="F29" s="164"/>
      <c r="G29" s="163"/>
      <c r="H29" s="164"/>
      <c r="I29" s="163"/>
      <c r="J29" s="164"/>
      <c r="K29" s="163"/>
      <c r="L29" s="165"/>
      <c r="M29" s="163"/>
      <c r="N29" s="164"/>
      <c r="O29" s="163"/>
      <c r="P29" s="164"/>
      <c r="Q29" s="163"/>
      <c r="R29" s="164"/>
      <c r="S29" s="163"/>
      <c r="T29" s="164"/>
      <c r="U29" s="163"/>
      <c r="V29" s="164"/>
      <c r="W29" s="163"/>
      <c r="X29" s="163"/>
      <c r="Y29" s="163"/>
      <c r="Z29" s="163"/>
      <c r="AA29" s="163"/>
    </row>
    <row r="30">
      <c r="A30" s="163"/>
      <c r="B30" s="173"/>
      <c r="C30" s="163"/>
      <c r="D30" s="167"/>
      <c r="E30" s="163"/>
      <c r="F30" s="167"/>
      <c r="G30" s="163"/>
      <c r="H30" s="167"/>
      <c r="I30" s="163"/>
      <c r="J30" s="173"/>
      <c r="K30" s="163"/>
      <c r="L30" s="165"/>
      <c r="M30" s="163"/>
      <c r="N30" s="167" t="s">
        <v>1141</v>
      </c>
      <c r="O30" s="163"/>
      <c r="P30" s="167" t="s">
        <v>1142</v>
      </c>
      <c r="Q30" s="163"/>
      <c r="R30" s="167" t="s">
        <v>1143</v>
      </c>
      <c r="S30" s="163"/>
      <c r="T30" s="167" t="s">
        <v>1144</v>
      </c>
      <c r="U30" s="163"/>
      <c r="V30" s="167" t="s">
        <v>1145</v>
      </c>
      <c r="W30" s="163"/>
      <c r="X30" s="163"/>
      <c r="Y30" s="163"/>
      <c r="Z30" s="163"/>
      <c r="AA30" s="163"/>
    </row>
    <row r="31" ht="56.25" customHeight="1">
      <c r="A31" s="163"/>
      <c r="B31" s="169" t="str">
        <f>image("https://image-charts.com/chart?chs=150x150&amp;cht=qr&amp;choe=UTF-8&amp;chl="&amp;ENCODEURL(B30))</f>
        <v/>
      </c>
      <c r="C31" s="163"/>
      <c r="D31" s="169" t="str">
        <f>image("https://image-charts.com/chart?chs=150x150&amp;cht=qr&amp;choe=UTF-8&amp;chl="&amp;ENCODEURL(D30))</f>
        <v/>
      </c>
      <c r="E31" s="163"/>
      <c r="F31" s="169" t="str">
        <f>image("https://image-charts.com/chart?chs=150x150&amp;cht=qr&amp;choe=UTF-8&amp;chl="&amp;ENCODEURL(F30))</f>
        <v/>
      </c>
      <c r="G31" s="163"/>
      <c r="H31" s="169" t="str">
        <f>image("https://image-charts.com/chart?chs=150x150&amp;cht=qr&amp;choe=UTF-8&amp;chl="&amp;ENCODEURL(H30))</f>
        <v/>
      </c>
      <c r="I31" s="163"/>
      <c r="J31" s="169" t="str">
        <f>image("https://image-charts.com/chart?chs=150x150&amp;cht=qr&amp;choe=UTF-8&amp;chl="&amp;ENCODEURL(J30))</f>
        <v/>
      </c>
      <c r="K31" s="163"/>
      <c r="L31" s="165"/>
      <c r="M31" s="163"/>
      <c r="N31" s="169" t="str">
        <f>image("https://image-charts.com/chart?chs=150x150&amp;cht=qr&amp;choe=UTF-8&amp;chl="&amp;ENCODEURL(N30))</f>
        <v/>
      </c>
      <c r="O31" s="163"/>
      <c r="P31" s="169" t="str">
        <f>image("https://image-charts.com/chart?chs=150x150&amp;cht=qr&amp;choe=UTF-8&amp;chl="&amp;ENCODEURL(P30))</f>
        <v/>
      </c>
      <c r="Q31" s="163"/>
      <c r="R31" s="169" t="str">
        <f>image("https://image-charts.com/chart?chs=150x150&amp;cht=qr&amp;choe=UTF-8&amp;chl="&amp;ENCODEURL(R30))</f>
        <v/>
      </c>
      <c r="S31" s="163"/>
      <c r="T31" s="169" t="str">
        <f>image("https://image-charts.com/chart?chs=150x150&amp;cht=qr&amp;choe=UTF-8&amp;chl="&amp;ENCODEURL(T30))</f>
        <v/>
      </c>
      <c r="U31" s="163"/>
      <c r="V31" s="169" t="str">
        <f>image("https://image-charts.com/chart?chs=150x150&amp;cht=qr&amp;choe=UTF-8&amp;chl="&amp;ENCODEURL(V30))</f>
        <v/>
      </c>
      <c r="W31" s="163"/>
      <c r="X31" s="163"/>
      <c r="Y31" s="163"/>
      <c r="Z31" s="163"/>
      <c r="AA31" s="163"/>
    </row>
    <row r="32">
      <c r="A32" s="163"/>
      <c r="B32" s="163"/>
      <c r="C32" s="163"/>
      <c r="D32" s="163"/>
      <c r="E32" s="163"/>
      <c r="F32" s="163"/>
      <c r="G32" s="163"/>
      <c r="H32" s="163"/>
      <c r="I32" s="163"/>
      <c r="J32" s="163"/>
      <c r="K32" s="163"/>
      <c r="L32" s="165"/>
      <c r="M32" s="163"/>
      <c r="N32" s="163"/>
      <c r="O32" s="163"/>
      <c r="P32" s="163"/>
      <c r="Q32" s="163"/>
      <c r="R32" s="163"/>
      <c r="S32" s="163"/>
      <c r="T32" s="163"/>
      <c r="U32" s="163"/>
      <c r="V32" s="163"/>
      <c r="W32" s="163"/>
      <c r="X32" s="163"/>
      <c r="Y32" s="163"/>
      <c r="Z32" s="163"/>
      <c r="AA32" s="163"/>
    </row>
    <row r="33">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row>
    <row r="34">
      <c r="A34" s="163"/>
      <c r="B34" s="163"/>
      <c r="C34" s="163"/>
      <c r="D34" s="163"/>
      <c r="E34" s="163"/>
      <c r="F34" s="163"/>
      <c r="G34" s="163"/>
      <c r="H34" s="163"/>
      <c r="I34" s="163"/>
      <c r="J34" s="163"/>
      <c r="K34" s="163"/>
      <c r="L34" s="165"/>
      <c r="M34" s="163"/>
      <c r="N34" s="163"/>
      <c r="O34" s="163"/>
      <c r="P34" s="163"/>
      <c r="Q34" s="163"/>
      <c r="R34" s="163"/>
      <c r="S34" s="163"/>
      <c r="T34" s="163"/>
      <c r="U34" s="163"/>
      <c r="V34" s="163"/>
      <c r="W34" s="163"/>
      <c r="X34" s="163"/>
      <c r="Y34" s="163"/>
      <c r="Z34" s="163"/>
      <c r="AA34" s="163"/>
    </row>
    <row r="35">
      <c r="A35" s="163"/>
      <c r="B35" s="164"/>
      <c r="C35" s="163"/>
      <c r="D35" s="164"/>
      <c r="E35" s="163"/>
      <c r="F35" s="164"/>
      <c r="G35" s="163"/>
      <c r="H35" s="164"/>
      <c r="I35" s="163"/>
      <c r="J35" s="164"/>
      <c r="K35" s="163"/>
      <c r="L35" s="165"/>
      <c r="M35" s="163"/>
      <c r="N35" s="164"/>
      <c r="O35" s="163"/>
      <c r="P35" s="164"/>
      <c r="Q35" s="163"/>
      <c r="R35" s="164"/>
      <c r="S35" s="163"/>
      <c r="T35" s="164"/>
      <c r="U35" s="163"/>
      <c r="V35" s="164"/>
      <c r="W35" s="163"/>
      <c r="X35" s="163"/>
      <c r="Y35" s="163"/>
      <c r="Z35" s="163"/>
      <c r="AA35" s="163"/>
    </row>
    <row r="36">
      <c r="A36" s="163"/>
      <c r="B36" s="167" t="s">
        <v>1146</v>
      </c>
      <c r="C36" s="163"/>
      <c r="D36" s="167" t="s">
        <v>1147</v>
      </c>
      <c r="E36" s="163"/>
      <c r="F36" s="167" t="s">
        <v>1148</v>
      </c>
      <c r="G36" s="163"/>
      <c r="H36" s="167" t="s">
        <v>1149</v>
      </c>
      <c r="I36" s="163"/>
      <c r="J36" s="167" t="s">
        <v>1150</v>
      </c>
      <c r="K36" s="163"/>
      <c r="L36" s="165"/>
      <c r="M36" s="163"/>
      <c r="N36" s="167" t="s">
        <v>1151</v>
      </c>
      <c r="O36" s="163"/>
      <c r="P36" s="167" t="s">
        <v>1152</v>
      </c>
      <c r="Q36" s="163"/>
      <c r="R36" s="167" t="s">
        <v>1153</v>
      </c>
      <c r="S36" s="163"/>
      <c r="T36" s="167" t="s">
        <v>1154</v>
      </c>
      <c r="U36" s="163"/>
      <c r="V36" s="167" t="s">
        <v>1155</v>
      </c>
      <c r="W36" s="163"/>
      <c r="X36" s="163"/>
      <c r="Y36" s="163"/>
      <c r="Z36" s="163"/>
      <c r="AA36" s="163"/>
    </row>
    <row r="37" ht="56.25" customHeight="1">
      <c r="A37" s="163"/>
      <c r="B37" s="169" t="str">
        <f>image("https://image-charts.com/chart?chs=150x150&amp;cht=qr&amp;choe=UTF-8&amp;chl="&amp;ENCODEURL(B36))</f>
        <v/>
      </c>
      <c r="C37" s="163"/>
      <c r="D37" s="169" t="str">
        <f>image("https://image-charts.com/chart?chs=150x150&amp;cht=qr&amp;choe=UTF-8&amp;chl="&amp;ENCODEURL(D36))</f>
        <v/>
      </c>
      <c r="E37" s="163"/>
      <c r="F37" s="169" t="str">
        <f>image("https://image-charts.com/chart?chs=150x150&amp;cht=qr&amp;choe=UTF-8&amp;chl="&amp;ENCODEURL(F36))</f>
        <v/>
      </c>
      <c r="G37" s="163"/>
      <c r="H37" s="169" t="str">
        <f>image("https://image-charts.com/chart?chs=150x150&amp;cht=qr&amp;choe=UTF-8&amp;chl="&amp;ENCODEURL(H36))</f>
        <v/>
      </c>
      <c r="I37" s="163"/>
      <c r="J37" s="169" t="str">
        <f>image("https://image-charts.com/chart?chs=150x150&amp;cht=qr&amp;choe=UTF-8&amp;chl="&amp;ENCODEURL(J36))</f>
        <v/>
      </c>
      <c r="K37" s="163"/>
      <c r="L37" s="165"/>
      <c r="M37" s="163"/>
      <c r="N37" s="169" t="str">
        <f>image("https://image-charts.com/chart?chs=150x150&amp;cht=qr&amp;choe=UTF-8&amp;chl="&amp;ENCODEURL(N36))</f>
        <v/>
      </c>
      <c r="O37" s="163"/>
      <c r="P37" s="169" t="str">
        <f>image("https://image-charts.com/chart?chs=150x150&amp;cht=qr&amp;choe=UTF-8&amp;chl="&amp;ENCODEURL(P36))</f>
        <v/>
      </c>
      <c r="Q37" s="163"/>
      <c r="R37" s="169" t="str">
        <f>image("https://image-charts.com/chart?chs=150x150&amp;cht=qr&amp;choe=UTF-8&amp;chl="&amp;ENCODEURL(R36))</f>
        <v/>
      </c>
      <c r="S37" s="163"/>
      <c r="T37" s="169" t="str">
        <f>image("https://image-charts.com/chart?chs=150x150&amp;cht=qr&amp;choe=UTF-8&amp;chl="&amp;ENCODEURL(T36))</f>
        <v/>
      </c>
      <c r="U37" s="163"/>
      <c r="V37" s="169" t="str">
        <f>image("https://image-charts.com/chart?chs=150x150&amp;cht=qr&amp;choe=UTF-8&amp;chl="&amp;ENCODEURL(V36))</f>
        <v/>
      </c>
      <c r="W37" s="163"/>
      <c r="X37" s="163"/>
      <c r="Y37" s="163"/>
      <c r="Z37" s="163"/>
      <c r="AA37" s="163"/>
    </row>
    <row r="38">
      <c r="A38" s="163"/>
      <c r="B38" s="163"/>
      <c r="C38" s="163"/>
      <c r="D38" s="163"/>
      <c r="E38" s="163"/>
      <c r="F38" s="163"/>
      <c r="G38" s="163"/>
      <c r="H38" s="163"/>
      <c r="I38" s="163"/>
      <c r="J38" s="163"/>
      <c r="K38" s="163"/>
      <c r="L38" s="165"/>
      <c r="M38" s="163"/>
      <c r="N38" s="163"/>
      <c r="O38" s="163"/>
      <c r="P38" s="163"/>
      <c r="Q38" s="163"/>
      <c r="R38" s="163"/>
      <c r="S38" s="163"/>
      <c r="T38" s="163"/>
      <c r="U38" s="163"/>
      <c r="V38" s="163"/>
      <c r="W38" s="163"/>
      <c r="X38" s="163"/>
      <c r="Y38" s="163"/>
      <c r="Z38" s="163"/>
      <c r="AA38" s="163"/>
    </row>
    <row r="39">
      <c r="A39" s="163"/>
      <c r="B39" s="164"/>
      <c r="C39" s="163"/>
      <c r="D39" s="164"/>
      <c r="E39" s="163"/>
      <c r="F39" s="164"/>
      <c r="G39" s="163"/>
      <c r="H39" s="164"/>
      <c r="I39" s="163"/>
      <c r="J39" s="164"/>
      <c r="K39" s="163"/>
      <c r="L39" s="165"/>
      <c r="M39" s="163"/>
      <c r="N39" s="164"/>
      <c r="O39" s="163"/>
      <c r="P39" s="164"/>
      <c r="Q39" s="163"/>
      <c r="R39" s="164"/>
      <c r="S39" s="163"/>
      <c r="T39" s="164"/>
      <c r="U39" s="163"/>
      <c r="V39" s="164"/>
      <c r="W39" s="163"/>
      <c r="X39" s="163"/>
      <c r="Y39" s="163"/>
      <c r="Z39" s="163"/>
      <c r="AA39" s="163"/>
    </row>
    <row r="40">
      <c r="A40" s="163"/>
      <c r="B40" s="167" t="s">
        <v>1156</v>
      </c>
      <c r="C40" s="163"/>
      <c r="D40" s="167" t="s">
        <v>1157</v>
      </c>
      <c r="E40" s="163"/>
      <c r="F40" s="167" t="s">
        <v>1158</v>
      </c>
      <c r="G40" s="163"/>
      <c r="H40" s="167" t="s">
        <v>1159</v>
      </c>
      <c r="I40" s="163"/>
      <c r="J40" s="167" t="s">
        <v>1160</v>
      </c>
      <c r="K40" s="163"/>
      <c r="L40" s="165"/>
      <c r="M40" s="163"/>
      <c r="N40" s="167" t="s">
        <v>1161</v>
      </c>
      <c r="O40" s="163"/>
      <c r="P40" s="167" t="s">
        <v>1162</v>
      </c>
      <c r="Q40" s="163"/>
      <c r="R40" s="167" t="s">
        <v>1163</v>
      </c>
      <c r="S40" s="163"/>
      <c r="T40" s="167" t="s">
        <v>1164</v>
      </c>
      <c r="U40" s="163"/>
      <c r="V40" s="171" t="s">
        <v>1165</v>
      </c>
      <c r="W40" s="163"/>
      <c r="X40" s="163"/>
      <c r="Y40" s="163"/>
      <c r="Z40" s="163"/>
      <c r="AA40" s="163"/>
    </row>
    <row r="41" ht="56.25" customHeight="1">
      <c r="A41" s="163"/>
      <c r="B41" s="169" t="str">
        <f>image("https://image-charts.com/chart?chs=150x150&amp;cht=qr&amp;choe=UTF-8&amp;chl="&amp;ENCODEURL(B40))</f>
        <v/>
      </c>
      <c r="C41" s="163"/>
      <c r="D41" s="169" t="str">
        <f>image("https://image-charts.com/chart?chs=150x150&amp;cht=qr&amp;choe=UTF-8&amp;chl="&amp;ENCODEURL(D40))</f>
        <v/>
      </c>
      <c r="E41" s="163"/>
      <c r="F41" s="169" t="str">
        <f>image("https://image-charts.com/chart?chs=150x150&amp;cht=qr&amp;choe=UTF-8&amp;chl="&amp;ENCODEURL(F40))</f>
        <v/>
      </c>
      <c r="G41" s="163"/>
      <c r="H41" s="169" t="str">
        <f>image("https://image-charts.com/chart?chs=150x150&amp;cht=qr&amp;choe=UTF-8&amp;chl="&amp;ENCODEURL(H40))</f>
        <v/>
      </c>
      <c r="I41" s="163"/>
      <c r="J41" s="169" t="str">
        <f>image("https://image-charts.com/chart?chs=150x150&amp;cht=qr&amp;choe=UTF-8&amp;chl="&amp;ENCODEURL(J40))</f>
        <v/>
      </c>
      <c r="K41" s="163"/>
      <c r="L41" s="165"/>
      <c r="M41" s="163"/>
      <c r="N41" s="169" t="str">
        <f>image("https://image-charts.com/chart?chs=150x150&amp;cht=qr&amp;choe=UTF-8&amp;chl="&amp;ENCODEURL(N40))</f>
        <v/>
      </c>
      <c r="O41" s="163"/>
      <c r="P41" s="169" t="str">
        <f>image("https://image-charts.com/chart?chs=150x150&amp;cht=qr&amp;choe=UTF-8&amp;chl="&amp;ENCODEURL(P40))</f>
        <v/>
      </c>
      <c r="Q41" s="163"/>
      <c r="R41" s="169" t="str">
        <f>image("https://image-charts.com/chart?chs=150x150&amp;cht=qr&amp;choe=UTF-8&amp;chl="&amp;ENCODEURL(R40))</f>
        <v/>
      </c>
      <c r="S41" s="163"/>
      <c r="T41" s="169" t="str">
        <f>image("https://image-charts.com/chart?chs=150x150&amp;cht=qr&amp;choe=UTF-8&amp;chl="&amp;ENCODEURL(T40))</f>
        <v/>
      </c>
      <c r="U41" s="163"/>
      <c r="V41" s="169" t="str">
        <f>image("https://image-charts.com/chart?chs=150x150&amp;cht=qr&amp;choe=UTF-8&amp;chl="&amp;ENCODEURL(V40))</f>
        <v/>
      </c>
      <c r="W41" s="163"/>
      <c r="X41" s="163"/>
      <c r="Y41" s="163"/>
      <c r="Z41" s="163"/>
      <c r="AA41" s="163"/>
    </row>
    <row r="42">
      <c r="A42" s="163"/>
      <c r="B42" s="163"/>
      <c r="C42" s="163"/>
      <c r="D42" s="163"/>
      <c r="E42" s="163"/>
      <c r="F42" s="163"/>
      <c r="G42" s="163"/>
      <c r="H42" s="163"/>
      <c r="I42" s="163"/>
      <c r="J42" s="163"/>
      <c r="K42" s="163"/>
      <c r="L42" s="165"/>
      <c r="M42" s="163"/>
      <c r="N42" s="163"/>
      <c r="O42" s="163"/>
      <c r="P42" s="163"/>
      <c r="Q42" s="163"/>
      <c r="R42" s="163"/>
      <c r="S42" s="163"/>
      <c r="T42" s="163"/>
      <c r="U42" s="163"/>
      <c r="V42" s="163"/>
      <c r="W42" s="163"/>
      <c r="X42" s="163"/>
      <c r="Y42" s="163"/>
      <c r="Z42" s="163"/>
      <c r="AA42" s="163"/>
    </row>
    <row r="43">
      <c r="A43" s="163"/>
      <c r="B43" s="164"/>
      <c r="C43" s="163"/>
      <c r="D43" s="164"/>
      <c r="E43" s="163"/>
      <c r="F43" s="164"/>
      <c r="G43" s="163"/>
      <c r="H43" s="164"/>
      <c r="I43" s="163"/>
      <c r="J43" s="164"/>
      <c r="K43" s="163"/>
      <c r="L43" s="165"/>
      <c r="M43" s="163"/>
      <c r="N43" s="164"/>
      <c r="O43" s="163"/>
      <c r="P43" s="164"/>
      <c r="Q43" s="163"/>
      <c r="R43" s="164"/>
      <c r="S43" s="163"/>
      <c r="T43" s="164"/>
      <c r="U43" s="163"/>
      <c r="V43" s="164"/>
      <c r="W43" s="163"/>
      <c r="X43" s="163"/>
      <c r="Y43" s="163"/>
      <c r="Z43" s="163"/>
      <c r="AA43" s="163"/>
    </row>
    <row r="44">
      <c r="A44" s="163"/>
      <c r="B44" s="171" t="s">
        <v>1166</v>
      </c>
      <c r="C44" s="163"/>
      <c r="D44" s="171" t="s">
        <v>1167</v>
      </c>
      <c r="E44" s="163"/>
      <c r="F44" s="171" t="s">
        <v>1168</v>
      </c>
      <c r="G44" s="163"/>
      <c r="H44" s="171" t="s">
        <v>1169</v>
      </c>
      <c r="I44" s="163"/>
      <c r="J44" s="171" t="s">
        <v>1170</v>
      </c>
      <c r="K44" s="163"/>
      <c r="L44" s="165"/>
      <c r="M44" s="163"/>
      <c r="N44" s="171" t="s">
        <v>1171</v>
      </c>
      <c r="O44" s="163"/>
      <c r="P44" s="167"/>
      <c r="Q44" s="163"/>
      <c r="R44" s="167"/>
      <c r="S44" s="163"/>
      <c r="T44" s="167"/>
      <c r="U44" s="163"/>
      <c r="V44" s="167"/>
      <c r="W44" s="163"/>
      <c r="X44" s="163"/>
      <c r="Y44" s="163"/>
      <c r="Z44" s="163"/>
      <c r="AA44" s="163"/>
    </row>
    <row r="45" ht="56.25" customHeight="1">
      <c r="A45" s="163"/>
      <c r="B45" s="169" t="str">
        <f>image("https://image-charts.com/chart?chs=150x150&amp;cht=qr&amp;choe=UTF-8&amp;chl="&amp;ENCODEURL(B44))</f>
        <v/>
      </c>
      <c r="C45" s="163"/>
      <c r="D45" s="169" t="str">
        <f>image("https://image-charts.com/chart?chs=150x150&amp;cht=qr&amp;choe=UTF-8&amp;chl="&amp;ENCODEURL(D44))</f>
        <v/>
      </c>
      <c r="E45" s="163"/>
      <c r="F45" s="169" t="str">
        <f>image("https://image-charts.com/chart?chs=150x150&amp;cht=qr&amp;choe=UTF-8&amp;chl="&amp;ENCODEURL(F44))</f>
        <v/>
      </c>
      <c r="G45" s="163"/>
      <c r="H45" s="169" t="str">
        <f>image("https://image-charts.com/chart?chs=150x150&amp;cht=qr&amp;choe=UTF-8&amp;chl="&amp;ENCODEURL(H44))</f>
        <v/>
      </c>
      <c r="I45" s="163"/>
      <c r="J45" s="169" t="str">
        <f>image("https://image-charts.com/chart?chs=150x150&amp;cht=qr&amp;choe=UTF-8&amp;chl="&amp;ENCODEURL(J44))</f>
        <v/>
      </c>
      <c r="K45" s="163"/>
      <c r="L45" s="165"/>
      <c r="M45" s="163"/>
      <c r="N45" s="169" t="str">
        <f>image("https://image-charts.com/chart?chs=150x150&amp;cht=qr&amp;choe=UTF-8&amp;chl="&amp;ENCODEURL(N44))</f>
        <v/>
      </c>
      <c r="O45" s="163"/>
      <c r="P45" s="169" t="str">
        <f>image("https://image-charts.com/chart?chs=150x150&amp;cht=qr&amp;choe=UTF-8&amp;chl="&amp;ENCODEURL(P44))</f>
        <v/>
      </c>
      <c r="Q45" s="163"/>
      <c r="R45" s="169" t="str">
        <f>image("https://image-charts.com/chart?chs=150x150&amp;cht=qr&amp;choe=UTF-8&amp;chl="&amp;ENCODEURL(R44))</f>
        <v/>
      </c>
      <c r="S45" s="163"/>
      <c r="T45" s="169" t="str">
        <f>image("https://image-charts.com/chart?chs=150x150&amp;cht=qr&amp;choe=UTF-8&amp;chl="&amp;ENCODEURL(T44))</f>
        <v/>
      </c>
      <c r="U45" s="163"/>
      <c r="V45" s="169" t="str">
        <f>image("https://image-charts.com/chart?chs=150x150&amp;cht=qr&amp;choe=UTF-8&amp;chl="&amp;ENCODEURL(V44))</f>
        <v/>
      </c>
      <c r="W45" s="163"/>
      <c r="X45" s="163"/>
      <c r="Y45" s="163"/>
      <c r="Z45" s="163"/>
      <c r="AA45" s="163"/>
    </row>
    <row r="46">
      <c r="A46" s="163"/>
      <c r="B46" s="163"/>
      <c r="C46" s="163"/>
      <c r="D46" s="163"/>
      <c r="E46" s="163"/>
      <c r="F46" s="163"/>
      <c r="G46" s="163"/>
      <c r="H46" s="163"/>
      <c r="I46" s="163"/>
      <c r="J46" s="163"/>
      <c r="K46" s="163"/>
      <c r="L46" s="165"/>
      <c r="M46" s="163"/>
      <c r="N46" s="163"/>
      <c r="O46" s="163"/>
      <c r="P46" s="163"/>
      <c r="Q46" s="163"/>
      <c r="R46" s="163"/>
      <c r="S46" s="163"/>
      <c r="T46" s="163"/>
      <c r="U46" s="163"/>
      <c r="V46" s="163"/>
      <c r="W46" s="163"/>
      <c r="X46" s="163"/>
      <c r="Y46" s="163"/>
      <c r="Z46" s="163"/>
      <c r="AA46" s="163"/>
    </row>
    <row r="47">
      <c r="A47" s="163"/>
      <c r="B47" s="164"/>
      <c r="C47" s="163"/>
      <c r="D47" s="164"/>
      <c r="E47" s="163"/>
      <c r="F47" s="164"/>
      <c r="G47" s="163"/>
      <c r="H47" s="164"/>
      <c r="I47" s="163"/>
      <c r="J47" s="164"/>
      <c r="K47" s="163"/>
      <c r="L47" s="165"/>
      <c r="M47" s="163"/>
      <c r="N47" s="164"/>
      <c r="O47" s="163"/>
      <c r="P47" s="164"/>
      <c r="Q47" s="163"/>
      <c r="R47" s="164"/>
      <c r="S47" s="163"/>
      <c r="T47" s="164"/>
      <c r="U47" s="163"/>
      <c r="V47" s="164"/>
      <c r="W47" s="163"/>
      <c r="X47" s="163"/>
      <c r="Y47" s="163"/>
      <c r="Z47" s="163"/>
      <c r="AA47" s="163"/>
    </row>
    <row r="48">
      <c r="A48" s="163"/>
      <c r="B48" s="167"/>
      <c r="C48" s="163"/>
      <c r="D48" s="167"/>
      <c r="E48" s="163"/>
      <c r="F48" s="167"/>
      <c r="G48" s="163"/>
      <c r="H48" s="167"/>
      <c r="I48" s="163"/>
      <c r="J48" s="167"/>
      <c r="K48" s="163"/>
      <c r="L48" s="165"/>
      <c r="M48" s="163"/>
      <c r="N48" s="167"/>
      <c r="O48" s="163"/>
      <c r="P48" s="167"/>
      <c r="Q48" s="163"/>
      <c r="R48" s="167"/>
      <c r="S48" s="163"/>
      <c r="T48" s="167"/>
      <c r="U48" s="163"/>
      <c r="V48" s="167"/>
      <c r="W48" s="163"/>
      <c r="X48" s="163"/>
      <c r="Y48" s="163"/>
      <c r="Z48" s="163"/>
      <c r="AA48" s="163"/>
    </row>
    <row r="49" ht="56.25" customHeight="1">
      <c r="A49" s="163"/>
      <c r="B49" s="169" t="str">
        <f>image("https://image-charts.com/chart?chs=150x150&amp;cht=qr&amp;choe=UTF-8&amp;chl="&amp;ENCODEURL(B48))</f>
        <v/>
      </c>
      <c r="C49" s="163"/>
      <c r="D49" s="169" t="str">
        <f>image("https://image-charts.com/chart?chs=150x150&amp;cht=qr&amp;choe=UTF-8&amp;chl="&amp;ENCODEURL(D48))</f>
        <v/>
      </c>
      <c r="E49" s="163"/>
      <c r="F49" s="174" t="str">
        <f>image("https://image-charts.com/chart?chs=150x150&amp;cht=qr&amp;choe=UTF-8&amp;chl="&amp;ENCODEURL(F48))</f>
        <v/>
      </c>
      <c r="G49" s="163"/>
      <c r="H49" s="169" t="str">
        <f>image("https://image-charts.com/chart?chs=150x150&amp;cht=qr&amp;choe=UTF-8&amp;chl="&amp;ENCODEURL(H48))</f>
        <v/>
      </c>
      <c r="I49" s="163"/>
      <c r="J49" s="169" t="str">
        <f>image("https://image-charts.com/chart?chs=150x150&amp;cht=qr&amp;choe=UTF-8&amp;chl="&amp;ENCODEURL(J48))</f>
        <v/>
      </c>
      <c r="K49" s="163"/>
      <c r="L49" s="165"/>
      <c r="M49" s="163"/>
      <c r="N49" s="169" t="str">
        <f>image("https://image-charts.com/chart?chs=150x150&amp;cht=qr&amp;choe=UTF-8&amp;chl="&amp;ENCODEURL(N48))</f>
        <v/>
      </c>
      <c r="O49" s="163"/>
      <c r="P49" s="169" t="str">
        <f>image("https://image-charts.com/chart?chs=150x150&amp;cht=qr&amp;choe=UTF-8&amp;chl="&amp;ENCODEURL(P48))</f>
        <v/>
      </c>
      <c r="Q49" s="163"/>
      <c r="R49" s="169" t="str">
        <f>image("https://image-charts.com/chart?chs=150x150&amp;cht=qr&amp;choe=UTF-8&amp;chl="&amp;ENCODEURL(R48))</f>
        <v/>
      </c>
      <c r="S49" s="163"/>
      <c r="T49" s="169" t="str">
        <f>image("https://image-charts.com/chart?chs=150x150&amp;cht=qr&amp;choe=UTF-8&amp;chl="&amp;ENCODEURL(T48))</f>
        <v/>
      </c>
      <c r="U49" s="163"/>
      <c r="V49" s="169" t="str">
        <f>image("https://image-charts.com/chart?chs=150x150&amp;cht=qr&amp;choe=UTF-8&amp;chl="&amp;ENCODEURL(V48))</f>
        <v/>
      </c>
      <c r="W49" s="163"/>
      <c r="X49" s="163"/>
      <c r="Y49" s="163"/>
      <c r="Z49" s="163"/>
      <c r="AA49" s="163"/>
    </row>
    <row r="50">
      <c r="A50" s="163"/>
      <c r="B50" s="163"/>
      <c r="C50" s="163"/>
      <c r="D50" s="163"/>
      <c r="E50" s="163"/>
      <c r="F50" s="163"/>
      <c r="G50" s="163"/>
      <c r="H50" s="163"/>
      <c r="I50" s="163"/>
      <c r="J50" s="163"/>
      <c r="K50" s="163"/>
      <c r="L50" s="165"/>
      <c r="M50" s="163"/>
      <c r="N50" s="163"/>
      <c r="O50" s="163"/>
      <c r="P50" s="163"/>
      <c r="Q50" s="163"/>
      <c r="R50" s="163"/>
      <c r="S50" s="163"/>
      <c r="T50" s="163"/>
      <c r="U50" s="163"/>
      <c r="V50" s="163"/>
      <c r="W50" s="163"/>
      <c r="X50" s="163"/>
      <c r="Y50" s="163"/>
      <c r="Z50" s="163"/>
      <c r="AA50" s="163"/>
    </row>
    <row r="51">
      <c r="A51" s="163"/>
      <c r="B51" s="164"/>
      <c r="C51" s="163"/>
      <c r="D51" s="164"/>
      <c r="E51" s="163"/>
      <c r="F51" s="164"/>
      <c r="G51" s="163"/>
      <c r="H51" s="164"/>
      <c r="I51" s="163"/>
      <c r="J51" s="164"/>
      <c r="K51" s="163"/>
      <c r="L51" s="165"/>
      <c r="M51" s="163"/>
      <c r="N51" s="164"/>
      <c r="O51" s="163"/>
      <c r="P51" s="164"/>
      <c r="Q51" s="163"/>
      <c r="R51" s="164"/>
      <c r="S51" s="163"/>
      <c r="T51" s="164"/>
      <c r="U51" s="163"/>
      <c r="V51" s="164"/>
      <c r="W51" s="163"/>
      <c r="X51" s="163"/>
      <c r="Y51" s="163"/>
      <c r="Z51" s="163"/>
      <c r="AA51" s="163"/>
    </row>
    <row r="52">
      <c r="A52" s="163"/>
      <c r="B52" s="167"/>
      <c r="C52" s="163"/>
      <c r="D52" s="167"/>
      <c r="E52" s="163"/>
      <c r="F52" s="167"/>
      <c r="G52" s="163"/>
      <c r="H52" s="167"/>
      <c r="I52" s="163"/>
      <c r="J52" s="167"/>
      <c r="K52" s="163"/>
      <c r="L52" s="165"/>
      <c r="M52" s="163"/>
      <c r="N52" s="167"/>
      <c r="O52" s="163"/>
      <c r="P52" s="167"/>
      <c r="Q52" s="163"/>
      <c r="R52" s="167"/>
      <c r="S52" s="163"/>
      <c r="T52" s="167"/>
      <c r="U52" s="163"/>
      <c r="V52" s="167"/>
      <c r="W52" s="163"/>
      <c r="X52" s="163"/>
      <c r="Y52" s="163"/>
      <c r="Z52" s="163"/>
      <c r="AA52" s="163"/>
    </row>
    <row r="53" ht="56.25" customHeight="1">
      <c r="A53" s="163"/>
      <c r="B53" s="169" t="str">
        <f>image("https://image-charts.com/chart?chs=150x150&amp;cht=qr&amp;choe=UTF-8&amp;chl="&amp;ENCODEURL(B52))</f>
        <v/>
      </c>
      <c r="C53" s="163"/>
      <c r="D53" s="169" t="str">
        <f>image("https://image-charts.com/chart?chs=150x150&amp;cht=qr&amp;choe=UTF-8&amp;chl="&amp;ENCODEURL(D52))</f>
        <v/>
      </c>
      <c r="E53" s="163"/>
      <c r="F53" s="169" t="str">
        <f>image("https://image-charts.com/chart?chs=150x150&amp;cht=qr&amp;choe=UTF-8&amp;chl="&amp;ENCODEURL(F52))</f>
        <v/>
      </c>
      <c r="G53" s="163"/>
      <c r="H53" s="169" t="str">
        <f>image("https://image-charts.com/chart?chs=150x150&amp;cht=qr&amp;choe=UTF-8&amp;chl="&amp;ENCODEURL(H52))</f>
        <v/>
      </c>
      <c r="I53" s="163"/>
      <c r="J53" s="169" t="str">
        <f>image("https://image-charts.com/chart?chs=150x150&amp;cht=qr&amp;choe=UTF-8&amp;chl="&amp;ENCODEURL(J52))</f>
        <v/>
      </c>
      <c r="K53" s="163"/>
      <c r="L53" s="165"/>
      <c r="M53" s="163"/>
      <c r="N53" s="169" t="str">
        <f>image("https://image-charts.com/chart?chs=150x150&amp;cht=qr&amp;choe=UTF-8&amp;chl="&amp;ENCODEURL(N52))</f>
        <v/>
      </c>
      <c r="O53" s="163"/>
      <c r="P53" s="169" t="str">
        <f>image("https://image-charts.com/chart?chs=150x150&amp;cht=qr&amp;choe=UTF-8&amp;chl="&amp;ENCODEURL(P52))</f>
        <v/>
      </c>
      <c r="Q53" s="163"/>
      <c r="R53" s="169" t="str">
        <f>image("https://image-charts.com/chart?chs=150x150&amp;cht=qr&amp;choe=UTF-8&amp;chl="&amp;ENCODEURL(R52))</f>
        <v/>
      </c>
      <c r="S53" s="163"/>
      <c r="T53" s="169" t="str">
        <f>image("https://image-charts.com/chart?chs=150x150&amp;cht=qr&amp;choe=UTF-8&amp;chl="&amp;ENCODEURL(T52))</f>
        <v/>
      </c>
      <c r="U53" s="163"/>
      <c r="V53" s="169" t="str">
        <f>image("https://image-charts.com/chart?chs=150x150&amp;cht=qr&amp;choe=UTF-8&amp;chl="&amp;ENCODEURL(V52))</f>
        <v/>
      </c>
      <c r="W53" s="163"/>
      <c r="X53" s="163"/>
      <c r="Y53" s="163"/>
      <c r="Z53" s="163"/>
      <c r="AA53" s="163"/>
    </row>
    <row r="54">
      <c r="A54" s="163"/>
      <c r="B54" s="163"/>
      <c r="C54" s="163"/>
      <c r="D54" s="163"/>
      <c r="E54" s="163"/>
      <c r="F54" s="163"/>
      <c r="G54" s="163"/>
      <c r="H54" s="163"/>
      <c r="I54" s="163"/>
      <c r="J54" s="163"/>
      <c r="K54" s="163"/>
      <c r="L54" s="165"/>
      <c r="M54" s="163"/>
      <c r="N54" s="163"/>
      <c r="O54" s="163"/>
      <c r="P54" s="163"/>
      <c r="Q54" s="163"/>
      <c r="R54" s="163"/>
      <c r="S54" s="163"/>
      <c r="T54" s="163"/>
      <c r="U54" s="163"/>
      <c r="V54" s="163"/>
      <c r="W54" s="163"/>
      <c r="X54" s="163"/>
      <c r="Y54" s="163"/>
      <c r="Z54" s="163"/>
      <c r="AA54" s="163"/>
    </row>
    <row r="55">
      <c r="A55" s="163"/>
      <c r="B55" s="164"/>
      <c r="C55" s="163"/>
      <c r="D55" s="164"/>
      <c r="E55" s="163"/>
      <c r="F55" s="164"/>
      <c r="G55" s="163"/>
      <c r="H55" s="164"/>
      <c r="I55" s="163"/>
      <c r="J55" s="164"/>
      <c r="K55" s="163"/>
      <c r="L55" s="165"/>
      <c r="M55" s="163"/>
      <c r="N55" s="164"/>
      <c r="O55" s="163"/>
      <c r="P55" s="164"/>
      <c r="Q55" s="163"/>
      <c r="R55" s="164"/>
      <c r="S55" s="163"/>
      <c r="T55" s="164"/>
      <c r="U55" s="163"/>
      <c r="V55" s="164"/>
      <c r="W55" s="163"/>
      <c r="X55" s="163"/>
      <c r="Y55" s="163"/>
      <c r="Z55" s="163"/>
      <c r="AA55" s="163"/>
    </row>
    <row r="56">
      <c r="A56" s="163"/>
      <c r="B56" s="167"/>
      <c r="C56" s="163"/>
      <c r="D56" s="167"/>
      <c r="E56" s="163"/>
      <c r="F56" s="167"/>
      <c r="G56" s="163"/>
      <c r="H56" s="167"/>
      <c r="I56" s="163"/>
      <c r="J56" s="167"/>
      <c r="K56" s="163"/>
      <c r="L56" s="165"/>
      <c r="M56" s="163"/>
      <c r="N56" s="171"/>
      <c r="O56" s="163"/>
      <c r="P56" s="172"/>
      <c r="Q56" s="163"/>
      <c r="R56" s="172"/>
      <c r="S56" s="163"/>
      <c r="T56" s="171"/>
      <c r="U56" s="163"/>
      <c r="V56" s="171"/>
      <c r="W56" s="163"/>
      <c r="X56" s="163"/>
      <c r="Y56" s="163"/>
      <c r="Z56" s="163"/>
      <c r="AA56" s="163"/>
    </row>
    <row r="57" ht="56.25" customHeight="1">
      <c r="A57" s="163"/>
      <c r="B57" s="169" t="str">
        <f>image("https://image-charts.com/chart?chs=150x150&amp;cht=qr&amp;choe=UTF-8&amp;chl="&amp;ENCODEURL(B56))</f>
        <v/>
      </c>
      <c r="C57" s="163"/>
      <c r="D57" s="169" t="str">
        <f>image("https://image-charts.com/chart?chs=150x150&amp;cht=qr&amp;choe=UTF-8&amp;chl="&amp;ENCODEURL(D56))</f>
        <v/>
      </c>
      <c r="E57" s="163"/>
      <c r="F57" s="169" t="str">
        <f>image("https://image-charts.com/chart?chs=150x150&amp;cht=qr&amp;choe=UTF-8&amp;chl="&amp;ENCODEURL(F56))</f>
        <v/>
      </c>
      <c r="G57" s="163"/>
      <c r="H57" s="169" t="str">
        <f>image("https://image-charts.com/chart?chs=150x150&amp;cht=qr&amp;choe=UTF-8&amp;chl="&amp;ENCODEURL(H56))</f>
        <v/>
      </c>
      <c r="I57" s="163"/>
      <c r="J57" s="169" t="str">
        <f>image("https://image-charts.com/chart?chs=150x150&amp;cht=qr&amp;choe=UTF-8&amp;chl="&amp;ENCODEURL(J56))</f>
        <v/>
      </c>
      <c r="K57" s="163"/>
      <c r="L57" s="165"/>
      <c r="M57" s="163"/>
      <c r="N57" s="169" t="str">
        <f>image("https://image-charts.com/chart?chs=150x150&amp;cht=qr&amp;choe=UTF-8&amp;chl="&amp;ENCODEURL(N56))</f>
        <v/>
      </c>
      <c r="O57" s="163"/>
      <c r="P57" s="169" t="str">
        <f>image("https://image-charts.com/chart?chs=150x150&amp;cht=qr&amp;choe=UTF-8&amp;chl="&amp;ENCODEURL(P56))</f>
        <v/>
      </c>
      <c r="Q57" s="163"/>
      <c r="R57" s="169" t="str">
        <f>image("https://image-charts.com/chart?chs=150x150&amp;cht=qr&amp;choe=UTF-8&amp;chl="&amp;ENCODEURL(R56))</f>
        <v/>
      </c>
      <c r="S57" s="163"/>
      <c r="T57" s="169" t="str">
        <f>image("https://image-charts.com/chart?chs=150x150&amp;cht=qr&amp;choe=UTF-8&amp;chl="&amp;ENCODEURL(T56))</f>
        <v/>
      </c>
      <c r="U57" s="163"/>
      <c r="V57" s="169" t="str">
        <f>image("https://image-charts.com/chart?chs=150x150&amp;cht=qr&amp;choe=UTF-8&amp;chl="&amp;ENCODEURL(V56))</f>
        <v/>
      </c>
      <c r="W57" s="163"/>
      <c r="X57" s="163"/>
      <c r="Y57" s="163"/>
      <c r="Z57" s="163"/>
      <c r="AA57" s="163"/>
    </row>
    <row r="58">
      <c r="A58" s="163"/>
      <c r="B58" s="163"/>
      <c r="C58" s="163"/>
      <c r="D58" s="163"/>
      <c r="E58" s="163"/>
      <c r="F58" s="163"/>
      <c r="G58" s="163"/>
      <c r="H58" s="163"/>
      <c r="I58" s="163"/>
      <c r="J58" s="163"/>
      <c r="K58" s="163"/>
      <c r="L58" s="165"/>
      <c r="M58" s="163"/>
      <c r="N58" s="163"/>
      <c r="O58" s="163"/>
      <c r="P58" s="163"/>
      <c r="Q58" s="163"/>
      <c r="R58" s="163"/>
      <c r="S58" s="163"/>
      <c r="T58" s="163"/>
      <c r="U58" s="163"/>
      <c r="V58" s="163"/>
      <c r="W58" s="163"/>
      <c r="X58" s="163"/>
      <c r="Y58" s="163"/>
      <c r="Z58" s="163"/>
      <c r="AA58" s="163"/>
    </row>
    <row r="59">
      <c r="A59" s="163"/>
      <c r="B59" s="164"/>
      <c r="C59" s="163"/>
      <c r="D59" s="164"/>
      <c r="E59" s="163"/>
      <c r="F59" s="164"/>
      <c r="G59" s="163"/>
      <c r="H59" s="164"/>
      <c r="I59" s="163"/>
      <c r="J59" s="164"/>
      <c r="K59" s="163"/>
      <c r="L59" s="165"/>
      <c r="M59" s="163"/>
      <c r="N59" s="164"/>
      <c r="O59" s="163"/>
      <c r="P59" s="164"/>
      <c r="Q59" s="163"/>
      <c r="R59" s="164"/>
      <c r="S59" s="163"/>
      <c r="T59" s="164"/>
      <c r="U59" s="163"/>
      <c r="V59" s="164"/>
      <c r="W59" s="163"/>
      <c r="X59" s="163"/>
      <c r="Y59" s="163"/>
      <c r="Z59" s="163"/>
      <c r="AA59" s="163"/>
    </row>
    <row r="60">
      <c r="A60" s="163"/>
      <c r="B60" s="167"/>
      <c r="C60" s="163"/>
      <c r="D60" s="167"/>
      <c r="E60" s="163"/>
      <c r="F60" s="167"/>
      <c r="G60" s="163"/>
      <c r="H60" s="167"/>
      <c r="I60" s="163"/>
      <c r="J60" s="167"/>
      <c r="K60" s="163"/>
      <c r="L60" s="165"/>
      <c r="M60" s="163"/>
      <c r="N60" s="172"/>
      <c r="O60" s="163"/>
      <c r="P60" s="171"/>
      <c r="Q60" s="163"/>
      <c r="R60" s="171"/>
      <c r="S60" s="163"/>
      <c r="T60" s="171"/>
      <c r="U60" s="163"/>
      <c r="V60" s="167"/>
      <c r="W60" s="163"/>
      <c r="X60" s="163"/>
      <c r="Y60" s="163"/>
      <c r="Z60" s="163"/>
      <c r="AA60" s="163"/>
    </row>
    <row r="61" ht="56.25" customHeight="1">
      <c r="A61" s="163"/>
      <c r="B61" s="169" t="str">
        <f>image("https://image-charts.com/chart?chs=150x150&amp;cht=qr&amp;choe=UTF-8&amp;chl="&amp;ENCODEURL(B60))</f>
        <v/>
      </c>
      <c r="C61" s="163"/>
      <c r="D61" s="169" t="str">
        <f>image("https://image-charts.com/chart?chs=150x150&amp;cht=qr&amp;choe=UTF-8&amp;chl="&amp;ENCODEURL(D60))</f>
        <v/>
      </c>
      <c r="E61" s="163"/>
      <c r="F61" s="169" t="str">
        <f>image("https://image-charts.com/chart?chs=150x150&amp;cht=qr&amp;choe=UTF-8&amp;chl="&amp;ENCODEURL(F60))</f>
        <v/>
      </c>
      <c r="G61" s="163"/>
      <c r="H61" s="169" t="str">
        <f>image("https://image-charts.com/chart?chs=150x150&amp;cht=qr&amp;choe=UTF-8&amp;chl="&amp;ENCODEURL(H60))</f>
        <v/>
      </c>
      <c r="I61" s="163"/>
      <c r="J61" s="169" t="str">
        <f>image("https://image-charts.com/chart?chs=150x150&amp;cht=qr&amp;choe=UTF-8&amp;chl="&amp;ENCODEURL(J60))</f>
        <v/>
      </c>
      <c r="K61" s="163"/>
      <c r="L61" s="165"/>
      <c r="M61" s="163"/>
      <c r="N61" s="169" t="str">
        <f>image("https://image-charts.com/chart?chs=150x150&amp;cht=qr&amp;choe=UTF-8&amp;chl="&amp;ENCODEURL(N60))</f>
        <v/>
      </c>
      <c r="O61" s="163"/>
      <c r="P61" s="169" t="str">
        <f>image("https://image-charts.com/chart?chs=150x150&amp;cht=qr&amp;choe=UTF-8&amp;chl="&amp;ENCODEURL(P60))</f>
        <v/>
      </c>
      <c r="Q61" s="163"/>
      <c r="R61" s="169" t="str">
        <f>image("https://image-charts.com/chart?chs=150x150&amp;cht=qr&amp;choe=UTF-8&amp;chl="&amp;ENCODEURL(R60))</f>
        <v/>
      </c>
      <c r="S61" s="163"/>
      <c r="T61" s="169" t="str">
        <f>image("https://image-charts.com/chart?chs=150x150&amp;cht=qr&amp;choe=UTF-8&amp;chl="&amp;ENCODEURL(T60))</f>
        <v/>
      </c>
      <c r="U61" s="163"/>
      <c r="V61" s="169" t="str">
        <f>image("https://image-charts.com/chart?chs=150x150&amp;cht=qr&amp;choe=UTF-8&amp;chl="&amp;ENCODEURL(V60))</f>
        <v/>
      </c>
      <c r="W61" s="163"/>
      <c r="X61" s="163"/>
      <c r="Y61" s="163"/>
      <c r="Z61" s="163"/>
      <c r="AA61" s="163"/>
    </row>
    <row r="62">
      <c r="A62" s="163"/>
      <c r="B62" s="163"/>
      <c r="C62" s="163"/>
      <c r="D62" s="163"/>
      <c r="E62" s="163"/>
      <c r="F62" s="163"/>
      <c r="G62" s="163"/>
      <c r="H62" s="163"/>
      <c r="I62" s="163"/>
      <c r="J62" s="163"/>
      <c r="K62" s="163"/>
      <c r="L62" s="165"/>
      <c r="M62" s="163"/>
      <c r="N62" s="163"/>
      <c r="O62" s="163"/>
      <c r="P62" s="163"/>
      <c r="Q62" s="163"/>
      <c r="R62" s="163"/>
      <c r="S62" s="163"/>
      <c r="T62" s="163"/>
      <c r="U62" s="163"/>
      <c r="V62" s="163"/>
      <c r="W62" s="163"/>
      <c r="X62" s="163"/>
      <c r="Y62" s="163"/>
      <c r="Z62" s="163"/>
      <c r="AA62" s="163"/>
    </row>
    <row r="63">
      <c r="A63" s="163"/>
      <c r="B63" s="164"/>
      <c r="C63" s="163"/>
      <c r="D63" s="164"/>
      <c r="E63" s="163"/>
      <c r="F63" s="164"/>
      <c r="G63" s="163"/>
      <c r="H63" s="164"/>
      <c r="I63" s="163"/>
      <c r="J63" s="164"/>
      <c r="K63" s="163"/>
      <c r="L63" s="165"/>
      <c r="M63" s="163"/>
      <c r="N63" s="164"/>
      <c r="O63" s="163"/>
      <c r="P63" s="164"/>
      <c r="Q63" s="163"/>
      <c r="R63" s="164"/>
      <c r="S63" s="163"/>
      <c r="T63" s="164"/>
      <c r="U63" s="163"/>
      <c r="V63" s="164"/>
      <c r="W63" s="163"/>
      <c r="X63" s="163"/>
      <c r="Y63" s="163"/>
      <c r="Z63" s="163"/>
      <c r="AA63" s="163"/>
    </row>
    <row r="64">
      <c r="A64" s="163"/>
      <c r="B64" s="167"/>
      <c r="C64" s="163"/>
      <c r="D64" s="167"/>
      <c r="E64" s="163"/>
      <c r="F64" s="167"/>
      <c r="G64" s="163"/>
      <c r="H64" s="167"/>
      <c r="I64" s="163"/>
      <c r="J64" s="167"/>
      <c r="K64" s="163"/>
      <c r="L64" s="165"/>
      <c r="M64" s="163"/>
      <c r="N64" s="167"/>
      <c r="O64" s="163"/>
      <c r="P64" s="167"/>
      <c r="Q64" s="163"/>
      <c r="R64" s="167"/>
      <c r="S64" s="163"/>
      <c r="T64" s="167"/>
      <c r="U64" s="163"/>
      <c r="V64" s="167"/>
      <c r="W64" s="163"/>
      <c r="X64" s="163"/>
      <c r="Y64" s="163"/>
      <c r="Z64" s="163"/>
      <c r="AA64" s="163"/>
    </row>
    <row r="65" ht="56.25" customHeight="1">
      <c r="A65" s="163"/>
      <c r="B65" s="169" t="str">
        <f>image("https://image-charts.com/chart?chs=150x150&amp;cht=qr&amp;choe=UTF-8&amp;chl="&amp;ENCODEURL(B64))</f>
        <v/>
      </c>
      <c r="C65" s="163"/>
      <c r="D65" s="169" t="str">
        <f>image("https://image-charts.com/chart?chs=150x150&amp;cht=qr&amp;choe=UTF-8&amp;chl="&amp;ENCODEURL(D64))</f>
        <v/>
      </c>
      <c r="E65" s="163"/>
      <c r="F65" s="169" t="str">
        <f>image("https://image-charts.com/chart?chs=150x150&amp;cht=qr&amp;choe=UTF-8&amp;chl="&amp;ENCODEURL(F64))</f>
        <v/>
      </c>
      <c r="G65" s="163"/>
      <c r="H65" s="169" t="str">
        <f>image("https://image-charts.com/chart?chs=150x150&amp;cht=qr&amp;choe=UTF-8&amp;chl="&amp;ENCODEURL(H64))</f>
        <v/>
      </c>
      <c r="I65" s="163"/>
      <c r="J65" s="169" t="str">
        <f>image("https://image-charts.com/chart?chs=150x150&amp;cht=qr&amp;choe=UTF-8&amp;chl="&amp;ENCODEURL(J64))</f>
        <v/>
      </c>
      <c r="K65" s="163"/>
      <c r="L65" s="165"/>
      <c r="M65" s="163"/>
      <c r="N65" s="169" t="str">
        <f>image("https://image-charts.com/chart?chs=150x150&amp;cht=qr&amp;choe=UTF-8&amp;chl="&amp;ENCODEURL(N64))</f>
        <v/>
      </c>
      <c r="O65" s="163"/>
      <c r="P65" s="169" t="str">
        <f>image("https://image-charts.com/chart?chs=150x150&amp;cht=qr&amp;choe=UTF-8&amp;chl="&amp;ENCODEURL(P64))</f>
        <v/>
      </c>
      <c r="Q65" s="163"/>
      <c r="R65" s="169" t="str">
        <f>image("https://image-charts.com/chart?chs=150x150&amp;cht=qr&amp;choe=UTF-8&amp;chl="&amp;ENCODEURL(R64))</f>
        <v/>
      </c>
      <c r="S65" s="163"/>
      <c r="T65" s="169" t="str">
        <f>image("https://image-charts.com/chart?chs=150x150&amp;cht=qr&amp;choe=UTF-8&amp;chl="&amp;ENCODEURL(T64))</f>
        <v/>
      </c>
      <c r="U65" s="163"/>
      <c r="V65" s="169" t="str">
        <f>image("https://image-charts.com/chart?chs=150x150&amp;cht=qr&amp;choe=UTF-8&amp;chl="&amp;ENCODEURL(V64))</f>
        <v/>
      </c>
      <c r="W65" s="163"/>
      <c r="X65" s="163"/>
      <c r="Y65" s="163"/>
      <c r="Z65" s="163"/>
      <c r="AA65" s="163"/>
    </row>
    <row r="66">
      <c r="A66" s="163"/>
      <c r="B66" s="163"/>
      <c r="C66" s="163"/>
      <c r="D66" s="163"/>
      <c r="E66" s="163"/>
      <c r="F66" s="163"/>
      <c r="G66" s="163"/>
      <c r="H66" s="163"/>
      <c r="I66" s="163"/>
      <c r="J66" s="163"/>
      <c r="K66" s="163"/>
      <c r="L66" s="165"/>
      <c r="M66" s="163"/>
      <c r="N66" s="163"/>
      <c r="O66" s="163"/>
      <c r="P66" s="163"/>
      <c r="Q66" s="163"/>
      <c r="R66" s="163"/>
      <c r="S66" s="163"/>
      <c r="T66" s="163"/>
      <c r="U66" s="163"/>
      <c r="V66" s="163"/>
      <c r="W66" s="163"/>
      <c r="X66" s="163"/>
      <c r="Y66" s="163"/>
      <c r="Z66" s="163"/>
      <c r="AA66" s="163"/>
    </row>
    <row r="67">
      <c r="A67" s="163"/>
      <c r="B67" s="163"/>
      <c r="C67" s="163"/>
      <c r="D67" s="163"/>
      <c r="E67" s="163"/>
      <c r="F67" s="163"/>
      <c r="G67" s="163"/>
      <c r="H67" s="163"/>
      <c r="I67" s="163"/>
      <c r="J67" s="163"/>
      <c r="K67" s="163"/>
      <c r="L67" s="165"/>
      <c r="M67" s="163"/>
      <c r="N67" s="163"/>
      <c r="O67" s="163"/>
      <c r="P67" s="163"/>
      <c r="Q67" s="163"/>
      <c r="R67" s="163"/>
      <c r="S67" s="163"/>
      <c r="T67" s="163"/>
      <c r="U67" s="163"/>
      <c r="V67" s="163"/>
      <c r="W67" s="163"/>
      <c r="X67" s="163"/>
      <c r="Y67" s="163"/>
      <c r="Z67" s="163"/>
      <c r="AA67" s="163"/>
    </row>
    <row r="68">
      <c r="A68" s="163"/>
      <c r="B68" s="163"/>
      <c r="C68" s="163"/>
      <c r="D68" s="163"/>
      <c r="E68" s="163"/>
      <c r="F68" s="163"/>
      <c r="G68" s="163"/>
      <c r="H68" s="163"/>
      <c r="I68" s="163"/>
      <c r="J68" s="163"/>
      <c r="K68" s="163"/>
      <c r="L68" s="165"/>
      <c r="M68" s="163"/>
      <c r="N68" s="163"/>
      <c r="O68" s="163"/>
      <c r="P68" s="163"/>
      <c r="Q68" s="163"/>
      <c r="R68" s="163"/>
      <c r="S68" s="163"/>
      <c r="T68" s="163"/>
      <c r="U68" s="163"/>
      <c r="V68" s="163"/>
      <c r="W68" s="163"/>
      <c r="X68" s="163"/>
      <c r="Y68" s="163"/>
      <c r="Z68" s="163"/>
      <c r="AA68" s="163"/>
    </row>
    <row r="69">
      <c r="A69" s="163"/>
      <c r="B69" s="163"/>
      <c r="C69" s="163"/>
      <c r="D69" s="163"/>
      <c r="E69" s="163"/>
      <c r="F69" s="163"/>
      <c r="G69" s="163"/>
      <c r="H69" s="163"/>
      <c r="I69" s="163"/>
      <c r="J69" s="163"/>
      <c r="K69" s="163"/>
      <c r="L69" s="165"/>
      <c r="M69" s="163"/>
      <c r="N69" s="163"/>
      <c r="O69" s="163"/>
      <c r="P69" s="163"/>
      <c r="Q69" s="163"/>
      <c r="R69" s="163"/>
      <c r="S69" s="163"/>
      <c r="T69" s="163"/>
      <c r="U69" s="163"/>
      <c r="V69" s="163"/>
      <c r="W69" s="163"/>
      <c r="X69" s="163"/>
      <c r="Y69" s="163"/>
      <c r="Z69" s="163"/>
      <c r="AA69" s="163"/>
    </row>
    <row r="70">
      <c r="A70" s="163"/>
      <c r="B70" s="163"/>
      <c r="C70" s="163"/>
      <c r="D70" s="163"/>
      <c r="E70" s="163"/>
      <c r="F70" s="163"/>
      <c r="G70" s="163"/>
      <c r="H70" s="163"/>
      <c r="I70" s="163"/>
      <c r="J70" s="163"/>
      <c r="K70" s="163"/>
      <c r="L70" s="165"/>
      <c r="M70" s="163"/>
      <c r="N70" s="163"/>
      <c r="O70" s="163"/>
      <c r="P70" s="163"/>
      <c r="Q70" s="163"/>
      <c r="R70" s="163"/>
      <c r="S70" s="163"/>
      <c r="T70" s="163"/>
      <c r="U70" s="163"/>
      <c r="V70" s="163"/>
      <c r="W70" s="163"/>
      <c r="X70" s="163"/>
      <c r="Y70" s="163"/>
      <c r="Z70" s="163"/>
      <c r="AA70" s="163"/>
    </row>
    <row r="71">
      <c r="A71" s="163"/>
      <c r="B71" s="163"/>
      <c r="C71" s="163"/>
      <c r="D71" s="163"/>
      <c r="E71" s="163"/>
      <c r="F71" s="163"/>
      <c r="G71" s="163"/>
      <c r="H71" s="163"/>
      <c r="I71" s="163"/>
      <c r="J71" s="163"/>
      <c r="K71" s="163"/>
      <c r="L71" s="165"/>
      <c r="M71" s="163"/>
      <c r="N71" s="163"/>
      <c r="O71" s="163"/>
      <c r="P71" s="163"/>
      <c r="Q71" s="163"/>
      <c r="R71" s="163"/>
      <c r="S71" s="163"/>
      <c r="T71" s="163"/>
      <c r="U71" s="163"/>
      <c r="V71" s="163"/>
      <c r="W71" s="163"/>
      <c r="X71" s="163"/>
      <c r="Y71" s="163"/>
      <c r="Z71" s="163"/>
      <c r="AA71" s="163"/>
    </row>
    <row r="72">
      <c r="A72" s="163"/>
      <c r="B72" s="163"/>
      <c r="C72" s="163"/>
      <c r="D72" s="163"/>
      <c r="E72" s="163"/>
      <c r="F72" s="163"/>
      <c r="G72" s="163"/>
      <c r="H72" s="163"/>
      <c r="I72" s="163"/>
      <c r="J72" s="163"/>
      <c r="K72" s="163"/>
      <c r="L72" s="165"/>
      <c r="M72" s="163"/>
      <c r="N72" s="163"/>
      <c r="O72" s="163"/>
      <c r="P72" s="163"/>
      <c r="Q72" s="163"/>
      <c r="R72" s="163"/>
      <c r="S72" s="163"/>
      <c r="T72" s="163"/>
      <c r="U72" s="163"/>
      <c r="V72" s="163"/>
      <c r="W72" s="163"/>
      <c r="X72" s="163"/>
      <c r="Y72" s="163"/>
      <c r="Z72" s="163"/>
      <c r="AA72" s="163"/>
    </row>
    <row r="73">
      <c r="A73" s="163"/>
      <c r="B73" s="163"/>
      <c r="C73" s="163"/>
      <c r="D73" s="163"/>
      <c r="E73" s="163"/>
      <c r="F73" s="163"/>
      <c r="G73" s="163"/>
      <c r="H73" s="163"/>
      <c r="I73" s="163"/>
      <c r="J73" s="163"/>
      <c r="K73" s="163"/>
      <c r="L73" s="165"/>
      <c r="M73" s="163"/>
      <c r="N73" s="163"/>
      <c r="O73" s="163"/>
      <c r="P73" s="163"/>
      <c r="Q73" s="163"/>
      <c r="R73" s="163"/>
      <c r="S73" s="163"/>
      <c r="T73" s="163"/>
      <c r="U73" s="163"/>
      <c r="V73" s="163"/>
      <c r="W73" s="163"/>
      <c r="X73" s="163"/>
      <c r="Y73" s="163"/>
      <c r="Z73" s="163"/>
      <c r="AA73" s="163"/>
    </row>
    <row r="74">
      <c r="A74" s="163"/>
      <c r="B74" s="163"/>
      <c r="C74" s="163"/>
      <c r="D74" s="163"/>
      <c r="E74" s="163"/>
      <c r="F74" s="163"/>
      <c r="G74" s="163"/>
      <c r="H74" s="163"/>
      <c r="I74" s="163"/>
      <c r="J74" s="163"/>
      <c r="K74" s="163"/>
      <c r="L74" s="165"/>
      <c r="M74" s="163"/>
      <c r="N74" s="163"/>
      <c r="O74" s="163"/>
      <c r="P74" s="163"/>
      <c r="Q74" s="163"/>
      <c r="R74" s="163"/>
      <c r="S74" s="163"/>
      <c r="T74" s="163"/>
      <c r="U74" s="163"/>
      <c r="V74" s="163"/>
      <c r="W74" s="163"/>
      <c r="X74" s="163"/>
      <c r="Y74" s="163"/>
      <c r="Z74" s="163"/>
      <c r="AA74" s="163"/>
    </row>
    <row r="75">
      <c r="A75" s="163"/>
      <c r="B75" s="163"/>
      <c r="C75" s="163"/>
      <c r="D75" s="163"/>
      <c r="E75" s="163"/>
      <c r="F75" s="163"/>
      <c r="G75" s="163"/>
      <c r="H75" s="163"/>
      <c r="I75" s="163"/>
      <c r="J75" s="163"/>
      <c r="K75" s="163"/>
      <c r="L75" s="165"/>
      <c r="M75" s="163"/>
      <c r="N75" s="163"/>
      <c r="O75" s="163"/>
      <c r="P75" s="163"/>
      <c r="Q75" s="163"/>
      <c r="R75" s="163"/>
      <c r="S75" s="163"/>
      <c r="T75" s="163"/>
      <c r="U75" s="163"/>
      <c r="V75" s="163"/>
      <c r="W75" s="163"/>
      <c r="X75" s="163"/>
      <c r="Y75" s="163"/>
      <c r="Z75" s="163"/>
      <c r="AA75" s="163"/>
    </row>
    <row r="76">
      <c r="A76" s="163"/>
      <c r="B76" s="163"/>
      <c r="C76" s="163"/>
      <c r="D76" s="163"/>
      <c r="E76" s="163"/>
      <c r="F76" s="163"/>
      <c r="G76" s="163"/>
      <c r="H76" s="163"/>
      <c r="I76" s="163"/>
      <c r="J76" s="163"/>
      <c r="K76" s="163"/>
      <c r="L76" s="165"/>
      <c r="M76" s="163"/>
      <c r="N76" s="163"/>
      <c r="O76" s="163"/>
      <c r="P76" s="163"/>
      <c r="Q76" s="163"/>
      <c r="R76" s="163"/>
      <c r="S76" s="163"/>
      <c r="T76" s="163"/>
      <c r="U76" s="163"/>
      <c r="V76" s="163"/>
      <c r="W76" s="163"/>
      <c r="X76" s="163"/>
      <c r="Y76" s="163"/>
      <c r="Z76" s="163"/>
      <c r="AA76" s="163"/>
    </row>
    <row r="77">
      <c r="A77" s="163"/>
      <c r="B77" s="163"/>
      <c r="C77" s="163"/>
      <c r="D77" s="163"/>
      <c r="E77" s="163"/>
      <c r="F77" s="163"/>
      <c r="G77" s="163"/>
      <c r="H77" s="163"/>
      <c r="I77" s="163"/>
      <c r="J77" s="163"/>
      <c r="K77" s="163"/>
      <c r="L77" s="165"/>
      <c r="M77" s="163"/>
      <c r="N77" s="163"/>
      <c r="O77" s="163"/>
      <c r="P77" s="163"/>
      <c r="Q77" s="163"/>
      <c r="R77" s="163"/>
      <c r="S77" s="163"/>
      <c r="T77" s="163"/>
      <c r="U77" s="163"/>
      <c r="V77" s="163"/>
      <c r="W77" s="163"/>
      <c r="X77" s="163"/>
      <c r="Y77" s="163"/>
      <c r="Z77" s="163"/>
      <c r="AA77" s="163"/>
    </row>
    <row r="78">
      <c r="A78" s="163"/>
      <c r="B78" s="163"/>
      <c r="C78" s="163"/>
      <c r="D78" s="163"/>
      <c r="E78" s="163"/>
      <c r="F78" s="163"/>
      <c r="G78" s="163"/>
      <c r="H78" s="163"/>
      <c r="I78" s="163"/>
      <c r="J78" s="163"/>
      <c r="K78" s="163"/>
      <c r="L78" s="165"/>
      <c r="M78" s="163"/>
      <c r="N78" s="163"/>
      <c r="O78" s="163"/>
      <c r="P78" s="163"/>
      <c r="Q78" s="163"/>
      <c r="R78" s="163"/>
      <c r="S78" s="163"/>
      <c r="T78" s="163"/>
      <c r="U78" s="163"/>
      <c r="V78" s="163"/>
      <c r="W78" s="163"/>
      <c r="X78" s="163"/>
      <c r="Y78" s="163"/>
      <c r="Z78" s="163"/>
      <c r="AA78" s="163"/>
    </row>
    <row r="79">
      <c r="A79" s="163"/>
      <c r="B79" s="163"/>
      <c r="C79" s="163"/>
      <c r="D79" s="163"/>
      <c r="E79" s="163"/>
      <c r="F79" s="163"/>
      <c r="G79" s="163"/>
      <c r="H79" s="163"/>
      <c r="I79" s="163"/>
      <c r="J79" s="163"/>
      <c r="K79" s="163"/>
      <c r="L79" s="165"/>
      <c r="M79" s="163"/>
      <c r="N79" s="163"/>
      <c r="O79" s="163"/>
      <c r="P79" s="163"/>
      <c r="Q79" s="163"/>
      <c r="R79" s="163"/>
      <c r="S79" s="163"/>
      <c r="T79" s="163"/>
      <c r="U79" s="163"/>
      <c r="V79" s="163"/>
      <c r="W79" s="163"/>
      <c r="X79" s="163"/>
      <c r="Y79" s="163"/>
      <c r="Z79" s="163"/>
      <c r="AA79" s="163"/>
    </row>
    <row r="80">
      <c r="A80" s="163"/>
      <c r="B80" s="163"/>
      <c r="C80" s="163"/>
      <c r="D80" s="163"/>
      <c r="E80" s="163"/>
      <c r="F80" s="163"/>
      <c r="G80" s="163"/>
      <c r="H80" s="163"/>
      <c r="I80" s="163"/>
      <c r="J80" s="163"/>
      <c r="K80" s="163"/>
      <c r="L80" s="165"/>
      <c r="M80" s="163"/>
      <c r="N80" s="163"/>
      <c r="O80" s="163"/>
      <c r="P80" s="163"/>
      <c r="Q80" s="163"/>
      <c r="R80" s="163"/>
      <c r="S80" s="163"/>
      <c r="T80" s="163"/>
      <c r="U80" s="163"/>
      <c r="V80" s="163"/>
      <c r="W80" s="163"/>
      <c r="X80" s="163"/>
      <c r="Y80" s="163"/>
      <c r="Z80" s="163"/>
      <c r="AA80" s="163"/>
    </row>
    <row r="81">
      <c r="A81" s="163"/>
      <c r="B81" s="163"/>
      <c r="C81" s="163"/>
      <c r="D81" s="163"/>
      <c r="E81" s="163"/>
      <c r="F81" s="163"/>
      <c r="G81" s="163"/>
      <c r="H81" s="163"/>
      <c r="I81" s="163"/>
      <c r="J81" s="163"/>
      <c r="K81" s="163"/>
      <c r="L81" s="165"/>
      <c r="M81" s="163"/>
      <c r="N81" s="163"/>
      <c r="O81" s="163"/>
      <c r="P81" s="163"/>
      <c r="Q81" s="163"/>
      <c r="R81" s="163"/>
      <c r="S81" s="163"/>
      <c r="T81" s="163"/>
      <c r="U81" s="163"/>
      <c r="V81" s="163"/>
      <c r="W81" s="163"/>
      <c r="X81" s="163"/>
      <c r="Y81" s="163"/>
      <c r="Z81" s="163"/>
      <c r="AA81" s="163"/>
    </row>
    <row r="82">
      <c r="A82" s="163"/>
      <c r="B82" s="163"/>
      <c r="C82" s="163"/>
      <c r="D82" s="163"/>
      <c r="E82" s="163"/>
      <c r="F82" s="163"/>
      <c r="G82" s="163"/>
      <c r="H82" s="163"/>
      <c r="I82" s="163"/>
      <c r="J82" s="163"/>
      <c r="K82" s="163"/>
      <c r="L82" s="165"/>
      <c r="M82" s="163"/>
      <c r="N82" s="163"/>
      <c r="O82" s="163"/>
      <c r="P82" s="163"/>
      <c r="Q82" s="163"/>
      <c r="R82" s="163"/>
      <c r="S82" s="163"/>
      <c r="T82" s="163"/>
      <c r="U82" s="163"/>
      <c r="V82" s="163"/>
      <c r="W82" s="163"/>
      <c r="X82" s="163"/>
      <c r="Y82" s="163"/>
      <c r="Z82" s="163"/>
      <c r="AA82" s="163"/>
    </row>
    <row r="83">
      <c r="A83" s="163"/>
      <c r="B83" s="163"/>
      <c r="C83" s="163"/>
      <c r="D83" s="163"/>
      <c r="E83" s="163"/>
      <c r="F83" s="163"/>
      <c r="G83" s="163"/>
      <c r="H83" s="163"/>
      <c r="I83" s="163"/>
      <c r="J83" s="163"/>
      <c r="K83" s="163"/>
      <c r="L83" s="165"/>
      <c r="M83" s="163"/>
      <c r="N83" s="163"/>
      <c r="O83" s="163"/>
      <c r="P83" s="163"/>
      <c r="Q83" s="163"/>
      <c r="R83" s="163"/>
      <c r="S83" s="163"/>
      <c r="T83" s="163"/>
      <c r="U83" s="163"/>
      <c r="V83" s="163"/>
      <c r="W83" s="163"/>
      <c r="X83" s="163"/>
      <c r="Y83" s="163"/>
      <c r="Z83" s="163"/>
      <c r="AA83" s="163"/>
    </row>
    <row r="84">
      <c r="A84" s="163"/>
      <c r="B84" s="163"/>
      <c r="C84" s="163"/>
      <c r="D84" s="163"/>
      <c r="E84" s="163"/>
      <c r="F84" s="163"/>
      <c r="G84" s="163"/>
      <c r="H84" s="163"/>
      <c r="I84" s="163"/>
      <c r="J84" s="163"/>
      <c r="K84" s="163"/>
      <c r="L84" s="165"/>
      <c r="M84" s="163"/>
      <c r="N84" s="163"/>
      <c r="O84" s="163"/>
      <c r="P84" s="163"/>
      <c r="Q84" s="163"/>
      <c r="R84" s="163"/>
      <c r="S84" s="163"/>
      <c r="T84" s="163"/>
      <c r="U84" s="163"/>
      <c r="V84" s="163"/>
      <c r="W84" s="163"/>
      <c r="X84" s="163"/>
      <c r="Y84" s="163"/>
      <c r="Z84" s="163"/>
      <c r="AA84" s="163"/>
    </row>
    <row r="85">
      <c r="A85" s="163"/>
      <c r="B85" s="163"/>
      <c r="C85" s="163"/>
      <c r="D85" s="163"/>
      <c r="E85" s="163"/>
      <c r="F85" s="163"/>
      <c r="G85" s="163"/>
      <c r="H85" s="163"/>
      <c r="I85" s="163"/>
      <c r="J85" s="163"/>
      <c r="K85" s="163"/>
      <c r="L85" s="165"/>
      <c r="M85" s="163"/>
      <c r="N85" s="163"/>
      <c r="O85" s="163"/>
      <c r="P85" s="163"/>
      <c r="Q85" s="163"/>
      <c r="R85" s="163"/>
      <c r="S85" s="163"/>
      <c r="T85" s="163"/>
      <c r="U85" s="163"/>
      <c r="V85" s="163"/>
      <c r="W85" s="163"/>
      <c r="X85" s="163"/>
      <c r="Y85" s="163"/>
      <c r="Z85" s="163"/>
      <c r="AA85" s="163"/>
    </row>
    <row r="86">
      <c r="A86" s="163"/>
      <c r="B86" s="163"/>
      <c r="C86" s="163"/>
      <c r="D86" s="163"/>
      <c r="E86" s="163"/>
      <c r="F86" s="163"/>
      <c r="G86" s="163"/>
      <c r="H86" s="163"/>
      <c r="I86" s="163"/>
      <c r="J86" s="163"/>
      <c r="K86" s="163"/>
      <c r="L86" s="165"/>
      <c r="M86" s="163"/>
      <c r="N86" s="163"/>
      <c r="O86" s="163"/>
      <c r="P86" s="163"/>
      <c r="Q86" s="163"/>
      <c r="R86" s="163"/>
      <c r="S86" s="163"/>
      <c r="T86" s="163"/>
      <c r="U86" s="163"/>
      <c r="V86" s="163"/>
      <c r="W86" s="163"/>
      <c r="X86" s="163"/>
      <c r="Y86" s="163"/>
      <c r="Z86" s="163"/>
      <c r="AA86" s="163"/>
    </row>
    <row r="87">
      <c r="A87" s="163"/>
      <c r="B87" s="163"/>
      <c r="C87" s="163"/>
      <c r="D87" s="163"/>
      <c r="E87" s="163"/>
      <c r="F87" s="163"/>
      <c r="G87" s="163"/>
      <c r="H87" s="163"/>
      <c r="I87" s="163"/>
      <c r="J87" s="163"/>
      <c r="K87" s="163"/>
      <c r="L87" s="165"/>
      <c r="M87" s="163"/>
      <c r="N87" s="163"/>
      <c r="O87" s="163"/>
      <c r="P87" s="163"/>
      <c r="Q87" s="163"/>
      <c r="R87" s="163"/>
      <c r="S87" s="163"/>
      <c r="T87" s="163"/>
      <c r="U87" s="163"/>
      <c r="V87" s="163"/>
      <c r="W87" s="163"/>
      <c r="X87" s="163"/>
      <c r="Y87" s="163"/>
      <c r="Z87" s="163"/>
      <c r="AA87" s="163"/>
    </row>
    <row r="88">
      <c r="A88" s="163"/>
      <c r="B88" s="163"/>
      <c r="C88" s="163"/>
      <c r="D88" s="163"/>
      <c r="E88" s="163"/>
      <c r="F88" s="163"/>
      <c r="G88" s="163"/>
      <c r="H88" s="163"/>
      <c r="I88" s="163"/>
      <c r="J88" s="163"/>
      <c r="K88" s="163"/>
      <c r="L88" s="165"/>
      <c r="M88" s="163"/>
      <c r="N88" s="163"/>
      <c r="O88" s="163"/>
      <c r="P88" s="163"/>
      <c r="Q88" s="163"/>
      <c r="R88" s="163"/>
      <c r="S88" s="163"/>
      <c r="T88" s="163"/>
      <c r="U88" s="163"/>
      <c r="V88" s="163"/>
      <c r="W88" s="163"/>
      <c r="X88" s="163"/>
      <c r="Y88" s="163"/>
      <c r="Z88" s="163"/>
      <c r="AA88" s="163"/>
    </row>
    <row r="89">
      <c r="A89" s="163"/>
      <c r="B89" s="163"/>
      <c r="C89" s="163"/>
      <c r="D89" s="163"/>
      <c r="E89" s="163"/>
      <c r="F89" s="163"/>
      <c r="G89" s="163"/>
      <c r="H89" s="163"/>
      <c r="I89" s="163"/>
      <c r="J89" s="163"/>
      <c r="K89" s="163"/>
      <c r="L89" s="165"/>
      <c r="M89" s="163"/>
      <c r="N89" s="163"/>
      <c r="O89" s="163"/>
      <c r="P89" s="163"/>
      <c r="Q89" s="163"/>
      <c r="R89" s="163"/>
      <c r="S89" s="163"/>
      <c r="T89" s="163"/>
      <c r="U89" s="163"/>
      <c r="V89" s="163"/>
      <c r="W89" s="163"/>
      <c r="X89" s="163"/>
      <c r="Y89" s="163"/>
      <c r="Z89" s="163"/>
      <c r="AA89" s="163"/>
    </row>
    <row r="90">
      <c r="A90" s="163"/>
      <c r="B90" s="163"/>
      <c r="C90" s="163"/>
      <c r="D90" s="163"/>
      <c r="E90" s="163"/>
      <c r="F90" s="163"/>
      <c r="G90" s="163"/>
      <c r="H90" s="163"/>
      <c r="I90" s="163"/>
      <c r="J90" s="163"/>
      <c r="K90" s="163"/>
      <c r="L90" s="165"/>
      <c r="M90" s="163"/>
      <c r="N90" s="163"/>
      <c r="O90" s="163"/>
      <c r="P90" s="163"/>
      <c r="Q90" s="163"/>
      <c r="R90" s="163"/>
      <c r="S90" s="163"/>
      <c r="T90" s="163"/>
      <c r="U90" s="163"/>
      <c r="V90" s="163"/>
      <c r="W90" s="163"/>
      <c r="X90" s="163"/>
      <c r="Y90" s="163"/>
      <c r="Z90" s="163"/>
      <c r="AA90" s="163"/>
    </row>
    <row r="91">
      <c r="A91" s="163"/>
      <c r="B91" s="163"/>
      <c r="C91" s="163"/>
      <c r="D91" s="163"/>
      <c r="E91" s="163"/>
      <c r="F91" s="163"/>
      <c r="G91" s="163"/>
      <c r="H91" s="163"/>
      <c r="I91" s="163"/>
      <c r="J91" s="163"/>
      <c r="K91" s="163"/>
      <c r="L91" s="165"/>
      <c r="M91" s="163"/>
      <c r="N91" s="163"/>
      <c r="O91" s="163"/>
      <c r="P91" s="163"/>
      <c r="Q91" s="163"/>
      <c r="R91" s="163"/>
      <c r="S91" s="163"/>
      <c r="T91" s="163"/>
      <c r="U91" s="163"/>
      <c r="V91" s="163"/>
      <c r="W91" s="163"/>
      <c r="X91" s="163"/>
      <c r="Y91" s="163"/>
      <c r="Z91" s="163"/>
      <c r="AA91" s="163"/>
    </row>
    <row r="92">
      <c r="A92" s="163"/>
      <c r="B92" s="163"/>
      <c r="C92" s="163"/>
      <c r="D92" s="163"/>
      <c r="E92" s="163"/>
      <c r="F92" s="163"/>
      <c r="G92" s="163"/>
      <c r="H92" s="163"/>
      <c r="I92" s="163"/>
      <c r="J92" s="163"/>
      <c r="K92" s="163"/>
      <c r="L92" s="165"/>
      <c r="M92" s="163"/>
      <c r="N92" s="163"/>
      <c r="O92" s="163"/>
      <c r="P92" s="163"/>
      <c r="Q92" s="163"/>
      <c r="R92" s="163"/>
      <c r="S92" s="163"/>
      <c r="T92" s="163"/>
      <c r="U92" s="163"/>
      <c r="V92" s="163"/>
      <c r="W92" s="163"/>
      <c r="X92" s="163"/>
      <c r="Y92" s="163"/>
      <c r="Z92" s="163"/>
      <c r="AA92" s="163"/>
    </row>
    <row r="93">
      <c r="A93" s="163"/>
      <c r="B93" s="163"/>
      <c r="C93" s="163"/>
      <c r="D93" s="163"/>
      <c r="E93" s="163"/>
      <c r="F93" s="163"/>
      <c r="G93" s="163"/>
      <c r="H93" s="163"/>
      <c r="I93" s="163"/>
      <c r="J93" s="163"/>
      <c r="K93" s="163"/>
      <c r="L93" s="165"/>
      <c r="M93" s="163"/>
      <c r="N93" s="163"/>
      <c r="O93" s="163"/>
      <c r="P93" s="163"/>
      <c r="Q93" s="163"/>
      <c r="R93" s="163"/>
      <c r="S93" s="163"/>
      <c r="T93" s="163"/>
      <c r="U93" s="163"/>
      <c r="V93" s="163"/>
      <c r="W93" s="163"/>
      <c r="X93" s="163"/>
      <c r="Y93" s="163"/>
      <c r="Z93" s="163"/>
      <c r="AA93" s="163"/>
    </row>
    <row r="94">
      <c r="A94" s="163"/>
      <c r="B94" s="163"/>
      <c r="C94" s="163"/>
      <c r="D94" s="163"/>
      <c r="E94" s="163"/>
      <c r="F94" s="163"/>
      <c r="G94" s="163"/>
      <c r="H94" s="163"/>
      <c r="I94" s="163"/>
      <c r="J94" s="163"/>
      <c r="K94" s="163"/>
      <c r="L94" s="165"/>
      <c r="M94" s="163"/>
      <c r="N94" s="163"/>
      <c r="O94" s="163"/>
      <c r="P94" s="163"/>
      <c r="Q94" s="163"/>
      <c r="R94" s="163"/>
      <c r="S94" s="163"/>
      <c r="T94" s="163"/>
      <c r="U94" s="163"/>
      <c r="V94" s="163"/>
      <c r="W94" s="163"/>
      <c r="X94" s="163"/>
      <c r="Y94" s="163"/>
      <c r="Z94" s="163"/>
      <c r="AA94" s="163"/>
    </row>
    <row r="95">
      <c r="A95" s="163"/>
      <c r="B95" s="163"/>
      <c r="C95" s="163"/>
      <c r="D95" s="163"/>
      <c r="E95" s="163"/>
      <c r="F95" s="163"/>
      <c r="G95" s="163"/>
      <c r="H95" s="163"/>
      <c r="I95" s="163"/>
      <c r="J95" s="163"/>
      <c r="K95" s="163"/>
      <c r="L95" s="165"/>
      <c r="M95" s="163"/>
      <c r="N95" s="163"/>
      <c r="O95" s="163"/>
      <c r="P95" s="163"/>
      <c r="Q95" s="163"/>
      <c r="R95" s="163"/>
      <c r="S95" s="163"/>
      <c r="T95" s="163"/>
      <c r="U95" s="163"/>
      <c r="V95" s="163"/>
      <c r="W95" s="163"/>
      <c r="X95" s="163"/>
      <c r="Y95" s="163"/>
      <c r="Z95" s="163"/>
      <c r="AA95" s="163"/>
    </row>
    <row r="96">
      <c r="A96" s="163"/>
      <c r="B96" s="163"/>
      <c r="C96" s="163"/>
      <c r="D96" s="163"/>
      <c r="E96" s="163"/>
      <c r="F96" s="163"/>
      <c r="G96" s="163"/>
      <c r="H96" s="163"/>
      <c r="I96" s="163"/>
      <c r="J96" s="163"/>
      <c r="K96" s="163"/>
      <c r="L96" s="165"/>
      <c r="M96" s="163"/>
      <c r="N96" s="163"/>
      <c r="O96" s="163"/>
      <c r="P96" s="163"/>
      <c r="Q96" s="163"/>
      <c r="R96" s="163"/>
      <c r="S96" s="163"/>
      <c r="T96" s="163"/>
      <c r="U96" s="163"/>
      <c r="V96" s="163"/>
      <c r="W96" s="163"/>
      <c r="X96" s="163"/>
      <c r="Y96" s="163"/>
      <c r="Z96" s="163"/>
      <c r="AA96" s="163"/>
    </row>
    <row r="97">
      <c r="A97" s="163"/>
      <c r="B97" s="163"/>
      <c r="C97" s="163"/>
      <c r="D97" s="163"/>
      <c r="E97" s="163"/>
      <c r="F97" s="163"/>
      <c r="G97" s="163"/>
      <c r="H97" s="163"/>
      <c r="I97" s="163"/>
      <c r="J97" s="163"/>
      <c r="K97" s="163"/>
      <c r="L97" s="165"/>
      <c r="M97" s="163"/>
      <c r="N97" s="163"/>
      <c r="O97" s="163"/>
      <c r="P97" s="163"/>
      <c r="Q97" s="163"/>
      <c r="R97" s="163"/>
      <c r="S97" s="163"/>
      <c r="T97" s="163"/>
      <c r="U97" s="163"/>
      <c r="V97" s="163"/>
      <c r="W97" s="163"/>
      <c r="X97" s="163"/>
      <c r="Y97" s="163"/>
      <c r="Z97" s="163"/>
      <c r="AA97" s="163"/>
    </row>
    <row r="98">
      <c r="A98" s="163"/>
      <c r="B98" s="163"/>
      <c r="C98" s="163"/>
      <c r="D98" s="163"/>
      <c r="E98" s="163"/>
      <c r="F98" s="163"/>
      <c r="G98" s="163"/>
      <c r="H98" s="163"/>
      <c r="I98" s="163"/>
      <c r="J98" s="163"/>
      <c r="K98" s="163"/>
      <c r="L98" s="165"/>
      <c r="M98" s="163"/>
      <c r="N98" s="163"/>
      <c r="O98" s="163"/>
      <c r="P98" s="163"/>
      <c r="Q98" s="163"/>
      <c r="R98" s="163"/>
      <c r="S98" s="163"/>
      <c r="T98" s="163"/>
      <c r="U98" s="163"/>
      <c r="V98" s="163"/>
      <c r="W98" s="163"/>
      <c r="X98" s="163"/>
      <c r="Y98" s="163"/>
      <c r="Z98" s="163"/>
      <c r="AA98" s="163"/>
    </row>
    <row r="99">
      <c r="A99" s="163"/>
      <c r="B99" s="163"/>
      <c r="C99" s="163"/>
      <c r="D99" s="163"/>
      <c r="E99" s="163"/>
      <c r="F99" s="163"/>
      <c r="G99" s="163"/>
      <c r="H99" s="163"/>
      <c r="I99" s="163"/>
      <c r="J99" s="163"/>
      <c r="K99" s="163"/>
      <c r="L99" s="165"/>
      <c r="M99" s="163"/>
      <c r="N99" s="163"/>
      <c r="O99" s="163"/>
      <c r="P99" s="163"/>
      <c r="Q99" s="163"/>
      <c r="R99" s="163"/>
      <c r="S99" s="163"/>
      <c r="T99" s="163"/>
      <c r="U99" s="163"/>
      <c r="V99" s="163"/>
      <c r="W99" s="163"/>
      <c r="X99" s="163"/>
      <c r="Y99" s="163"/>
      <c r="Z99" s="163"/>
      <c r="AA99" s="163"/>
    </row>
    <row r="100">
      <c r="A100" s="163"/>
      <c r="B100" s="163"/>
      <c r="C100" s="163"/>
      <c r="D100" s="163"/>
      <c r="E100" s="163"/>
      <c r="F100" s="163"/>
      <c r="G100" s="163"/>
      <c r="H100" s="163"/>
      <c r="I100" s="163"/>
      <c r="J100" s="163"/>
      <c r="K100" s="163"/>
      <c r="L100" s="165"/>
      <c r="M100" s="163"/>
      <c r="N100" s="163"/>
      <c r="O100" s="163"/>
      <c r="P100" s="163"/>
      <c r="Q100" s="163"/>
      <c r="R100" s="163"/>
      <c r="S100" s="163"/>
      <c r="T100" s="163"/>
      <c r="U100" s="163"/>
      <c r="V100" s="163"/>
      <c r="W100" s="163"/>
      <c r="X100" s="163"/>
      <c r="Y100" s="163"/>
      <c r="Z100" s="163"/>
      <c r="AA100" s="163"/>
    </row>
    <row r="101">
      <c r="A101" s="163"/>
      <c r="B101" s="163"/>
      <c r="C101" s="163"/>
      <c r="D101" s="163"/>
      <c r="E101" s="163"/>
      <c r="F101" s="163"/>
      <c r="G101" s="163"/>
      <c r="H101" s="163"/>
      <c r="I101" s="163"/>
      <c r="J101" s="163"/>
      <c r="K101" s="163"/>
      <c r="L101" s="165"/>
      <c r="M101" s="163"/>
      <c r="N101" s="163"/>
      <c r="O101" s="163"/>
      <c r="P101" s="163"/>
      <c r="Q101" s="163"/>
      <c r="R101" s="163"/>
      <c r="S101" s="163"/>
      <c r="T101" s="163"/>
      <c r="U101" s="163"/>
      <c r="V101" s="163"/>
      <c r="W101" s="163"/>
      <c r="X101" s="163"/>
      <c r="Y101" s="163"/>
      <c r="Z101" s="163"/>
      <c r="AA101" s="163"/>
    </row>
    <row r="102">
      <c r="A102" s="163"/>
      <c r="B102" s="163"/>
      <c r="C102" s="163"/>
      <c r="D102" s="163"/>
      <c r="E102" s="163"/>
      <c r="F102" s="163"/>
      <c r="G102" s="163"/>
      <c r="H102" s="163"/>
      <c r="I102" s="163"/>
      <c r="J102" s="163"/>
      <c r="K102" s="163"/>
      <c r="L102" s="165"/>
      <c r="M102" s="163"/>
      <c r="N102" s="163"/>
      <c r="O102" s="163"/>
      <c r="P102" s="163"/>
      <c r="Q102" s="163"/>
      <c r="R102" s="163"/>
      <c r="S102" s="163"/>
      <c r="T102" s="163"/>
      <c r="U102" s="163"/>
      <c r="V102" s="163"/>
      <c r="W102" s="163"/>
      <c r="X102" s="163"/>
      <c r="Y102" s="163"/>
      <c r="Z102" s="163"/>
      <c r="AA102" s="163"/>
    </row>
    <row r="103">
      <c r="A103" s="163"/>
      <c r="B103" s="163"/>
      <c r="C103" s="163"/>
      <c r="D103" s="163"/>
      <c r="E103" s="163"/>
      <c r="F103" s="163"/>
      <c r="G103" s="163"/>
      <c r="H103" s="163"/>
      <c r="I103" s="163"/>
      <c r="J103" s="163"/>
      <c r="K103" s="163"/>
      <c r="L103" s="165"/>
      <c r="M103" s="163"/>
      <c r="N103" s="163"/>
      <c r="O103" s="163"/>
      <c r="P103" s="163"/>
      <c r="Q103" s="163"/>
      <c r="R103" s="163"/>
      <c r="S103" s="163"/>
      <c r="T103" s="163"/>
      <c r="U103" s="163"/>
      <c r="V103" s="163"/>
      <c r="W103" s="163"/>
      <c r="X103" s="163"/>
      <c r="Y103" s="163"/>
      <c r="Z103" s="163"/>
      <c r="AA103" s="163"/>
    </row>
    <row r="104">
      <c r="A104" s="163"/>
      <c r="B104" s="163"/>
      <c r="C104" s="163"/>
      <c r="D104" s="163"/>
      <c r="E104" s="163"/>
      <c r="F104" s="163"/>
      <c r="G104" s="163"/>
      <c r="H104" s="163"/>
      <c r="I104" s="163"/>
      <c r="J104" s="163"/>
      <c r="K104" s="163"/>
      <c r="L104" s="165"/>
      <c r="M104" s="163"/>
      <c r="N104" s="163"/>
      <c r="O104" s="163"/>
      <c r="P104" s="163"/>
      <c r="Q104" s="163"/>
      <c r="R104" s="163"/>
      <c r="S104" s="163"/>
      <c r="T104" s="163"/>
      <c r="U104" s="163"/>
      <c r="V104" s="163"/>
      <c r="W104" s="163"/>
      <c r="X104" s="163"/>
      <c r="Y104" s="163"/>
      <c r="Z104" s="163"/>
      <c r="AA104" s="163"/>
    </row>
    <row r="105">
      <c r="A105" s="163"/>
      <c r="B105" s="163"/>
      <c r="C105" s="163"/>
      <c r="D105" s="163"/>
      <c r="E105" s="163"/>
      <c r="F105" s="163"/>
      <c r="G105" s="163"/>
      <c r="H105" s="163"/>
      <c r="I105" s="163"/>
      <c r="J105" s="163"/>
      <c r="K105" s="163"/>
      <c r="L105" s="165"/>
      <c r="M105" s="163"/>
      <c r="N105" s="163"/>
      <c r="O105" s="163"/>
      <c r="P105" s="163"/>
      <c r="Q105" s="163"/>
      <c r="R105" s="163"/>
      <c r="S105" s="163"/>
      <c r="T105" s="163"/>
      <c r="U105" s="163"/>
      <c r="V105" s="163"/>
      <c r="W105" s="163"/>
      <c r="X105" s="163"/>
      <c r="Y105" s="163"/>
      <c r="Z105" s="163"/>
      <c r="AA105" s="163"/>
    </row>
    <row r="106">
      <c r="A106" s="163"/>
      <c r="B106" s="163"/>
      <c r="C106" s="163"/>
      <c r="D106" s="163"/>
      <c r="E106" s="163"/>
      <c r="F106" s="163"/>
      <c r="G106" s="163"/>
      <c r="H106" s="163"/>
      <c r="I106" s="163"/>
      <c r="J106" s="163"/>
      <c r="K106" s="163"/>
      <c r="L106" s="165"/>
      <c r="M106" s="163"/>
      <c r="N106" s="163"/>
      <c r="O106" s="163"/>
      <c r="P106" s="163"/>
      <c r="Q106" s="163"/>
      <c r="R106" s="163"/>
      <c r="S106" s="163"/>
      <c r="T106" s="163"/>
      <c r="U106" s="163"/>
      <c r="V106" s="163"/>
      <c r="W106" s="163"/>
      <c r="X106" s="163"/>
      <c r="Y106" s="163"/>
      <c r="Z106" s="163"/>
      <c r="AA106" s="163"/>
    </row>
    <row r="107">
      <c r="A107" s="163"/>
      <c r="B107" s="163"/>
      <c r="C107" s="163"/>
      <c r="D107" s="163"/>
      <c r="E107" s="163"/>
      <c r="F107" s="163"/>
      <c r="G107" s="163"/>
      <c r="H107" s="163"/>
      <c r="I107" s="163"/>
      <c r="J107" s="163"/>
      <c r="K107" s="163"/>
      <c r="L107" s="165"/>
      <c r="M107" s="163"/>
      <c r="N107" s="163"/>
      <c r="O107" s="163"/>
      <c r="P107" s="163"/>
      <c r="Q107" s="163"/>
      <c r="R107" s="163"/>
      <c r="S107" s="163"/>
      <c r="T107" s="163"/>
      <c r="U107" s="163"/>
      <c r="V107" s="163"/>
      <c r="W107" s="163"/>
      <c r="X107" s="163"/>
      <c r="Y107" s="163"/>
      <c r="Z107" s="163"/>
      <c r="AA107" s="163"/>
    </row>
    <row r="108">
      <c r="A108" s="163"/>
      <c r="B108" s="163"/>
      <c r="C108" s="163"/>
      <c r="D108" s="163"/>
      <c r="E108" s="163"/>
      <c r="F108" s="163"/>
      <c r="G108" s="163"/>
      <c r="H108" s="163"/>
      <c r="I108" s="163"/>
      <c r="J108" s="163"/>
      <c r="K108" s="163"/>
      <c r="L108" s="165"/>
      <c r="M108" s="163"/>
      <c r="N108" s="163"/>
      <c r="O108" s="163"/>
      <c r="P108" s="163"/>
      <c r="Q108" s="163"/>
      <c r="R108" s="163"/>
      <c r="S108" s="163"/>
      <c r="T108" s="163"/>
      <c r="U108" s="163"/>
      <c r="V108" s="163"/>
      <c r="W108" s="163"/>
      <c r="X108" s="163"/>
      <c r="Y108" s="163"/>
      <c r="Z108" s="163"/>
      <c r="AA108" s="163"/>
    </row>
    <row r="109">
      <c r="A109" s="163"/>
      <c r="B109" s="163"/>
      <c r="C109" s="163"/>
      <c r="D109" s="163"/>
      <c r="E109" s="163"/>
      <c r="F109" s="163"/>
      <c r="G109" s="163"/>
      <c r="H109" s="163"/>
      <c r="I109" s="163"/>
      <c r="J109" s="163"/>
      <c r="K109" s="163"/>
      <c r="L109" s="165"/>
      <c r="M109" s="163"/>
      <c r="N109" s="163"/>
      <c r="O109" s="163"/>
      <c r="P109" s="163"/>
      <c r="Q109" s="163"/>
      <c r="R109" s="163"/>
      <c r="S109" s="163"/>
      <c r="T109" s="163"/>
      <c r="U109" s="163"/>
      <c r="V109" s="163"/>
      <c r="W109" s="163"/>
      <c r="X109" s="163"/>
      <c r="Y109" s="163"/>
      <c r="Z109" s="163"/>
      <c r="AA109" s="163"/>
    </row>
    <row r="110">
      <c r="A110" s="163"/>
      <c r="B110" s="163"/>
      <c r="C110" s="163"/>
      <c r="D110" s="163"/>
      <c r="E110" s="163"/>
      <c r="F110" s="163"/>
      <c r="G110" s="163"/>
      <c r="H110" s="163"/>
      <c r="I110" s="163"/>
      <c r="J110" s="163"/>
      <c r="K110" s="163"/>
      <c r="L110" s="165"/>
      <c r="M110" s="163"/>
      <c r="N110" s="163"/>
      <c r="O110" s="163"/>
      <c r="P110" s="163"/>
      <c r="Q110" s="163"/>
      <c r="R110" s="163"/>
      <c r="S110" s="163"/>
      <c r="T110" s="163"/>
      <c r="U110" s="163"/>
      <c r="V110" s="163"/>
      <c r="W110" s="163"/>
      <c r="X110" s="163"/>
      <c r="Y110" s="163"/>
      <c r="Z110" s="163"/>
      <c r="AA110" s="163"/>
    </row>
    <row r="111">
      <c r="A111" s="163"/>
      <c r="B111" s="163"/>
      <c r="C111" s="163"/>
      <c r="D111" s="163"/>
      <c r="E111" s="163"/>
      <c r="F111" s="163"/>
      <c r="G111" s="163"/>
      <c r="H111" s="163"/>
      <c r="I111" s="163"/>
      <c r="J111" s="163"/>
      <c r="K111" s="163"/>
      <c r="L111" s="165"/>
      <c r="M111" s="163"/>
      <c r="N111" s="163"/>
      <c r="O111" s="163"/>
      <c r="P111" s="163"/>
      <c r="Q111" s="163"/>
      <c r="R111" s="163"/>
      <c r="S111" s="163"/>
      <c r="T111" s="163"/>
      <c r="U111" s="163"/>
      <c r="V111" s="163"/>
      <c r="W111" s="163"/>
      <c r="X111" s="163"/>
      <c r="Y111" s="163"/>
      <c r="Z111" s="163"/>
      <c r="AA111" s="163"/>
    </row>
    <row r="112">
      <c r="A112" s="163"/>
      <c r="B112" s="163"/>
      <c r="C112" s="163"/>
      <c r="D112" s="163"/>
      <c r="E112" s="163"/>
      <c r="F112" s="163"/>
      <c r="G112" s="163"/>
      <c r="H112" s="163"/>
      <c r="I112" s="163"/>
      <c r="J112" s="163"/>
      <c r="K112" s="163"/>
      <c r="L112" s="165"/>
      <c r="M112" s="163"/>
      <c r="N112" s="163"/>
      <c r="O112" s="163"/>
      <c r="P112" s="163"/>
      <c r="Q112" s="163"/>
      <c r="R112" s="163"/>
      <c r="S112" s="163"/>
      <c r="T112" s="163"/>
      <c r="U112" s="163"/>
      <c r="V112" s="163"/>
      <c r="W112" s="163"/>
      <c r="X112" s="163"/>
      <c r="Y112" s="163"/>
      <c r="Z112" s="163"/>
      <c r="AA112" s="163"/>
    </row>
    <row r="113">
      <c r="A113" s="163"/>
      <c r="B113" s="163"/>
      <c r="C113" s="163"/>
      <c r="D113" s="163"/>
      <c r="E113" s="163"/>
      <c r="F113" s="163"/>
      <c r="G113" s="163"/>
      <c r="H113" s="163"/>
      <c r="I113" s="163"/>
      <c r="J113" s="163"/>
      <c r="K113" s="163"/>
      <c r="L113" s="165"/>
      <c r="M113" s="163"/>
      <c r="N113" s="163"/>
      <c r="O113" s="163"/>
      <c r="P113" s="163"/>
      <c r="Q113" s="163"/>
      <c r="R113" s="163"/>
      <c r="S113" s="163"/>
      <c r="T113" s="163"/>
      <c r="U113" s="163"/>
      <c r="V113" s="163"/>
      <c r="W113" s="163"/>
      <c r="X113" s="163"/>
      <c r="Y113" s="163"/>
      <c r="Z113" s="163"/>
      <c r="AA113" s="163"/>
    </row>
    <row r="114">
      <c r="A114" s="163"/>
      <c r="B114" s="163"/>
      <c r="C114" s="163"/>
      <c r="D114" s="163"/>
      <c r="E114" s="163"/>
      <c r="F114" s="163"/>
      <c r="G114" s="163"/>
      <c r="H114" s="163"/>
      <c r="I114" s="163"/>
      <c r="J114" s="163"/>
      <c r="K114" s="163"/>
      <c r="L114" s="165"/>
      <c r="M114" s="163"/>
      <c r="N114" s="163"/>
      <c r="O114" s="163"/>
      <c r="P114" s="163"/>
      <c r="Q114" s="163"/>
      <c r="R114" s="163"/>
      <c r="S114" s="163"/>
      <c r="T114" s="163"/>
      <c r="U114" s="163"/>
      <c r="V114" s="163"/>
      <c r="W114" s="163"/>
      <c r="X114" s="163"/>
      <c r="Y114" s="163"/>
      <c r="Z114" s="163"/>
      <c r="AA114" s="163"/>
    </row>
    <row r="115">
      <c r="A115" s="163"/>
      <c r="B115" s="163"/>
      <c r="C115" s="163"/>
      <c r="D115" s="163"/>
      <c r="E115" s="163"/>
      <c r="F115" s="163"/>
      <c r="G115" s="163"/>
      <c r="H115" s="163"/>
      <c r="I115" s="163"/>
      <c r="J115" s="163"/>
      <c r="K115" s="163"/>
      <c r="L115" s="165"/>
      <c r="M115" s="163"/>
      <c r="N115" s="163"/>
      <c r="O115" s="163"/>
      <c r="P115" s="163"/>
      <c r="Q115" s="163"/>
      <c r="R115" s="163"/>
      <c r="S115" s="163"/>
      <c r="T115" s="163"/>
      <c r="U115" s="163"/>
      <c r="V115" s="163"/>
      <c r="W115" s="163"/>
      <c r="X115" s="163"/>
      <c r="Y115" s="163"/>
      <c r="Z115" s="163"/>
      <c r="AA115" s="163"/>
    </row>
    <row r="116">
      <c r="A116" s="163"/>
      <c r="B116" s="163"/>
      <c r="C116" s="163"/>
      <c r="D116" s="163"/>
      <c r="E116" s="163"/>
      <c r="F116" s="163"/>
      <c r="G116" s="163"/>
      <c r="H116" s="163"/>
      <c r="I116" s="163"/>
      <c r="J116" s="163"/>
      <c r="K116" s="163"/>
      <c r="L116" s="165"/>
      <c r="M116" s="163"/>
      <c r="N116" s="163"/>
      <c r="O116" s="163"/>
      <c r="P116" s="163"/>
      <c r="Q116" s="163"/>
      <c r="R116" s="163"/>
      <c r="S116" s="163"/>
      <c r="T116" s="163"/>
      <c r="U116" s="163"/>
      <c r="V116" s="163"/>
      <c r="W116" s="163"/>
      <c r="X116" s="163"/>
      <c r="Y116" s="163"/>
      <c r="Z116" s="163"/>
      <c r="AA116" s="163"/>
    </row>
    <row r="117">
      <c r="A117" s="163"/>
      <c r="B117" s="163"/>
      <c r="C117" s="163"/>
      <c r="D117" s="163"/>
      <c r="E117" s="163"/>
      <c r="F117" s="163"/>
      <c r="G117" s="163"/>
      <c r="H117" s="163"/>
      <c r="I117" s="163"/>
      <c r="J117" s="163"/>
      <c r="K117" s="163"/>
      <c r="L117" s="165"/>
      <c r="M117" s="163"/>
      <c r="N117" s="163"/>
      <c r="O117" s="163"/>
      <c r="P117" s="163"/>
      <c r="Q117" s="163"/>
      <c r="R117" s="163"/>
      <c r="S117" s="163"/>
      <c r="T117" s="163"/>
      <c r="U117" s="163"/>
      <c r="V117" s="163"/>
      <c r="W117" s="163"/>
      <c r="X117" s="163"/>
      <c r="Y117" s="163"/>
      <c r="Z117" s="163"/>
      <c r="AA117" s="163"/>
    </row>
    <row r="118">
      <c r="A118" s="163"/>
      <c r="B118" s="163"/>
      <c r="C118" s="163"/>
      <c r="D118" s="163"/>
      <c r="E118" s="163"/>
      <c r="F118" s="163"/>
      <c r="G118" s="163"/>
      <c r="H118" s="163"/>
      <c r="I118" s="163"/>
      <c r="J118" s="163"/>
      <c r="K118" s="163"/>
      <c r="L118" s="165"/>
      <c r="M118" s="163"/>
      <c r="N118" s="163"/>
      <c r="O118" s="163"/>
      <c r="P118" s="163"/>
      <c r="Q118" s="163"/>
      <c r="R118" s="163"/>
      <c r="S118" s="163"/>
      <c r="T118" s="163"/>
      <c r="U118" s="163"/>
      <c r="V118" s="163"/>
      <c r="W118" s="163"/>
      <c r="X118" s="163"/>
      <c r="Y118" s="163"/>
      <c r="Z118" s="163"/>
      <c r="AA118" s="163"/>
    </row>
    <row r="119">
      <c r="A119" s="163"/>
      <c r="B119" s="163"/>
      <c r="C119" s="163"/>
      <c r="D119" s="163"/>
      <c r="E119" s="163"/>
      <c r="F119" s="163"/>
      <c r="G119" s="163"/>
      <c r="H119" s="163"/>
      <c r="I119" s="163"/>
      <c r="J119" s="163"/>
      <c r="K119" s="163"/>
      <c r="L119" s="165"/>
      <c r="M119" s="163"/>
      <c r="N119" s="163"/>
      <c r="O119" s="163"/>
      <c r="P119" s="163"/>
      <c r="Q119" s="163"/>
      <c r="R119" s="163"/>
      <c r="S119" s="163"/>
      <c r="T119" s="163"/>
      <c r="U119" s="163"/>
      <c r="V119" s="163"/>
      <c r="W119" s="163"/>
      <c r="X119" s="163"/>
      <c r="Y119" s="163"/>
      <c r="Z119" s="163"/>
      <c r="AA119" s="163"/>
    </row>
    <row r="120">
      <c r="A120" s="163"/>
      <c r="B120" s="163"/>
      <c r="C120" s="163"/>
      <c r="D120" s="163"/>
      <c r="E120" s="163"/>
      <c r="F120" s="163"/>
      <c r="G120" s="163"/>
      <c r="H120" s="163"/>
      <c r="I120" s="163"/>
      <c r="J120" s="163"/>
      <c r="K120" s="163"/>
      <c r="L120" s="165"/>
      <c r="M120" s="163"/>
      <c r="N120" s="163"/>
      <c r="O120" s="163"/>
      <c r="P120" s="163"/>
      <c r="Q120" s="163"/>
      <c r="R120" s="163"/>
      <c r="S120" s="163"/>
      <c r="T120" s="163"/>
      <c r="U120" s="163"/>
      <c r="V120" s="163"/>
      <c r="W120" s="163"/>
      <c r="X120" s="163"/>
      <c r="Y120" s="163"/>
      <c r="Z120" s="163"/>
      <c r="AA120" s="163"/>
    </row>
    <row r="121">
      <c r="A121" s="163"/>
      <c r="B121" s="163"/>
      <c r="C121" s="163"/>
      <c r="D121" s="163"/>
      <c r="E121" s="163"/>
      <c r="F121" s="163"/>
      <c r="G121" s="163"/>
      <c r="H121" s="163"/>
      <c r="I121" s="163"/>
      <c r="J121" s="163"/>
      <c r="K121" s="163"/>
      <c r="L121" s="165"/>
      <c r="M121" s="163"/>
      <c r="N121" s="163"/>
      <c r="O121" s="163"/>
      <c r="P121" s="163"/>
      <c r="Q121" s="163"/>
      <c r="R121" s="163"/>
      <c r="S121" s="163"/>
      <c r="T121" s="163"/>
      <c r="U121" s="163"/>
      <c r="V121" s="163"/>
      <c r="W121" s="163"/>
      <c r="X121" s="163"/>
      <c r="Y121" s="163"/>
      <c r="Z121" s="163"/>
      <c r="AA121" s="163"/>
    </row>
    <row r="122">
      <c r="A122" s="163"/>
      <c r="B122" s="163"/>
      <c r="C122" s="163"/>
      <c r="D122" s="163"/>
      <c r="E122" s="163"/>
      <c r="F122" s="163"/>
      <c r="G122" s="163"/>
      <c r="H122" s="163"/>
      <c r="I122" s="163"/>
      <c r="J122" s="163"/>
      <c r="K122" s="163"/>
      <c r="L122" s="165"/>
      <c r="M122" s="163"/>
      <c r="N122" s="163"/>
      <c r="O122" s="163"/>
      <c r="P122" s="163"/>
      <c r="Q122" s="163"/>
      <c r="R122" s="163"/>
      <c r="S122" s="163"/>
      <c r="T122" s="163"/>
      <c r="U122" s="163"/>
      <c r="V122" s="163"/>
      <c r="W122" s="163"/>
      <c r="X122" s="163"/>
      <c r="Y122" s="163"/>
      <c r="Z122" s="163"/>
      <c r="AA122" s="163"/>
    </row>
    <row r="123">
      <c r="A123" s="163"/>
      <c r="B123" s="163"/>
      <c r="C123" s="163"/>
      <c r="D123" s="163"/>
      <c r="E123" s="163"/>
      <c r="F123" s="163"/>
      <c r="G123" s="163"/>
      <c r="H123" s="163"/>
      <c r="I123" s="163"/>
      <c r="J123" s="163"/>
      <c r="K123" s="163"/>
      <c r="L123" s="165"/>
      <c r="M123" s="163"/>
      <c r="N123" s="163"/>
      <c r="O123" s="163"/>
      <c r="P123" s="163"/>
      <c r="Q123" s="163"/>
      <c r="R123" s="163"/>
      <c r="S123" s="163"/>
      <c r="T123" s="163"/>
      <c r="U123" s="163"/>
      <c r="V123" s="163"/>
      <c r="W123" s="163"/>
      <c r="X123" s="163"/>
      <c r="Y123" s="163"/>
      <c r="Z123" s="163"/>
      <c r="AA123" s="163"/>
    </row>
    <row r="124">
      <c r="A124" s="163"/>
      <c r="B124" s="163"/>
      <c r="C124" s="163"/>
      <c r="D124" s="163"/>
      <c r="E124" s="163"/>
      <c r="F124" s="163"/>
      <c r="G124" s="163"/>
      <c r="H124" s="163"/>
      <c r="I124" s="163"/>
      <c r="J124" s="163"/>
      <c r="K124" s="163"/>
      <c r="L124" s="165"/>
      <c r="M124" s="163"/>
      <c r="N124" s="163"/>
      <c r="O124" s="163"/>
      <c r="P124" s="163"/>
      <c r="Q124" s="163"/>
      <c r="R124" s="163"/>
      <c r="S124" s="163"/>
      <c r="T124" s="163"/>
      <c r="U124" s="163"/>
      <c r="V124" s="163"/>
      <c r="W124" s="163"/>
      <c r="X124" s="163"/>
      <c r="Y124" s="163"/>
      <c r="Z124" s="163"/>
      <c r="AA124" s="163"/>
    </row>
    <row r="125">
      <c r="A125" s="163"/>
      <c r="B125" s="163"/>
      <c r="C125" s="163"/>
      <c r="D125" s="163"/>
      <c r="E125" s="163"/>
      <c r="F125" s="163"/>
      <c r="G125" s="163"/>
      <c r="H125" s="163"/>
      <c r="I125" s="163"/>
      <c r="J125" s="163"/>
      <c r="K125" s="163"/>
      <c r="L125" s="165"/>
      <c r="M125" s="163"/>
      <c r="N125" s="163"/>
      <c r="O125" s="163"/>
      <c r="P125" s="163"/>
      <c r="Q125" s="163"/>
      <c r="R125" s="163"/>
      <c r="S125" s="163"/>
      <c r="T125" s="163"/>
      <c r="U125" s="163"/>
      <c r="V125" s="163"/>
      <c r="W125" s="163"/>
      <c r="X125" s="163"/>
      <c r="Y125" s="163"/>
      <c r="Z125" s="163"/>
      <c r="AA125" s="163"/>
    </row>
    <row r="126">
      <c r="A126" s="163"/>
      <c r="B126" s="163"/>
      <c r="C126" s="163"/>
      <c r="D126" s="163"/>
      <c r="E126" s="163"/>
      <c r="F126" s="163"/>
      <c r="G126" s="163"/>
      <c r="H126" s="163"/>
      <c r="I126" s="163"/>
      <c r="J126" s="163"/>
      <c r="K126" s="163"/>
      <c r="L126" s="165"/>
      <c r="M126" s="163"/>
      <c r="N126" s="163"/>
      <c r="O126" s="163"/>
      <c r="P126" s="163"/>
      <c r="Q126" s="163"/>
      <c r="R126" s="163"/>
      <c r="S126" s="163"/>
      <c r="T126" s="163"/>
      <c r="U126" s="163"/>
      <c r="V126" s="163"/>
      <c r="W126" s="163"/>
      <c r="X126" s="163"/>
      <c r="Y126" s="163"/>
      <c r="Z126" s="163"/>
      <c r="AA126" s="163"/>
    </row>
    <row r="127">
      <c r="A127" s="163"/>
      <c r="B127" s="163"/>
      <c r="C127" s="163"/>
      <c r="D127" s="163"/>
      <c r="E127" s="163"/>
      <c r="F127" s="163"/>
      <c r="G127" s="163"/>
      <c r="H127" s="163"/>
      <c r="I127" s="163"/>
      <c r="J127" s="163"/>
      <c r="K127" s="163"/>
      <c r="L127" s="165"/>
      <c r="M127" s="163"/>
      <c r="N127" s="163"/>
      <c r="O127" s="163"/>
      <c r="P127" s="163"/>
      <c r="Q127" s="163"/>
      <c r="R127" s="163"/>
      <c r="S127" s="163"/>
      <c r="T127" s="163"/>
      <c r="U127" s="163"/>
      <c r="V127" s="163"/>
      <c r="W127" s="163"/>
      <c r="X127" s="163"/>
      <c r="Y127" s="163"/>
      <c r="Z127" s="163"/>
      <c r="AA127" s="163"/>
    </row>
    <row r="128">
      <c r="A128" s="163"/>
      <c r="B128" s="163"/>
      <c r="C128" s="163"/>
      <c r="D128" s="163"/>
      <c r="E128" s="163"/>
      <c r="F128" s="163"/>
      <c r="G128" s="163"/>
      <c r="H128" s="163"/>
      <c r="I128" s="163"/>
      <c r="J128" s="163"/>
      <c r="K128" s="163"/>
      <c r="L128" s="165"/>
      <c r="M128" s="163"/>
      <c r="N128" s="163"/>
      <c r="O128" s="163"/>
      <c r="P128" s="163"/>
      <c r="Q128" s="163"/>
      <c r="R128" s="163"/>
      <c r="S128" s="163"/>
      <c r="T128" s="163"/>
      <c r="U128" s="163"/>
      <c r="V128" s="163"/>
      <c r="W128" s="163"/>
      <c r="X128" s="163"/>
      <c r="Y128" s="163"/>
      <c r="Z128" s="163"/>
      <c r="AA128" s="163"/>
    </row>
    <row r="129">
      <c r="A129" s="163"/>
      <c r="B129" s="163"/>
      <c r="C129" s="163"/>
      <c r="D129" s="163"/>
      <c r="E129" s="163"/>
      <c r="F129" s="163"/>
      <c r="G129" s="163"/>
      <c r="H129" s="163"/>
      <c r="I129" s="163"/>
      <c r="J129" s="163"/>
      <c r="K129" s="163"/>
      <c r="L129" s="165"/>
      <c r="M129" s="163"/>
      <c r="N129" s="163"/>
      <c r="O129" s="163"/>
      <c r="P129" s="163"/>
      <c r="Q129" s="163"/>
      <c r="R129" s="163"/>
      <c r="S129" s="163"/>
      <c r="T129" s="163"/>
      <c r="U129" s="163"/>
      <c r="V129" s="163"/>
      <c r="W129" s="163"/>
      <c r="X129" s="163"/>
      <c r="Y129" s="163"/>
      <c r="Z129" s="163"/>
      <c r="AA129" s="163"/>
    </row>
    <row r="130">
      <c r="A130" s="163"/>
      <c r="B130" s="163"/>
      <c r="C130" s="163"/>
      <c r="D130" s="163"/>
      <c r="E130" s="163"/>
      <c r="F130" s="163"/>
      <c r="G130" s="163"/>
      <c r="H130" s="163"/>
      <c r="I130" s="163"/>
      <c r="J130" s="163"/>
      <c r="K130" s="163"/>
      <c r="L130" s="165"/>
      <c r="M130" s="163"/>
      <c r="N130" s="163"/>
      <c r="O130" s="163"/>
      <c r="P130" s="163"/>
      <c r="Q130" s="163"/>
      <c r="R130" s="163"/>
      <c r="S130" s="163"/>
      <c r="T130" s="163"/>
      <c r="U130" s="163"/>
      <c r="V130" s="163"/>
      <c r="W130" s="163"/>
      <c r="X130" s="163"/>
      <c r="Y130" s="163"/>
      <c r="Z130" s="163"/>
      <c r="AA130" s="163"/>
    </row>
    <row r="131">
      <c r="A131" s="163"/>
      <c r="B131" s="163"/>
      <c r="C131" s="163"/>
      <c r="D131" s="163"/>
      <c r="E131" s="163"/>
      <c r="F131" s="163"/>
      <c r="G131" s="163"/>
      <c r="H131" s="163"/>
      <c r="I131" s="163"/>
      <c r="J131" s="163"/>
      <c r="K131" s="163"/>
      <c r="L131" s="165"/>
      <c r="M131" s="163"/>
      <c r="N131" s="163"/>
      <c r="O131" s="163"/>
      <c r="P131" s="163"/>
      <c r="Q131" s="163"/>
      <c r="R131" s="163"/>
      <c r="S131" s="163"/>
      <c r="T131" s="163"/>
      <c r="U131" s="163"/>
      <c r="V131" s="163"/>
      <c r="W131" s="163"/>
      <c r="X131" s="163"/>
      <c r="Y131" s="163"/>
      <c r="Z131" s="163"/>
      <c r="AA131" s="163"/>
    </row>
    <row r="132">
      <c r="A132" s="163"/>
      <c r="B132" s="163"/>
      <c r="C132" s="163"/>
      <c r="D132" s="163"/>
      <c r="E132" s="163"/>
      <c r="F132" s="163"/>
      <c r="G132" s="163"/>
      <c r="H132" s="163"/>
      <c r="I132" s="163"/>
      <c r="J132" s="163"/>
      <c r="K132" s="163"/>
      <c r="L132" s="165"/>
      <c r="M132" s="163"/>
      <c r="N132" s="163"/>
      <c r="O132" s="163"/>
      <c r="P132" s="163"/>
      <c r="Q132" s="163"/>
      <c r="R132" s="163"/>
      <c r="S132" s="163"/>
      <c r="T132" s="163"/>
      <c r="U132" s="163"/>
      <c r="V132" s="163"/>
      <c r="W132" s="163"/>
      <c r="X132" s="163"/>
      <c r="Y132" s="163"/>
      <c r="Z132" s="163"/>
      <c r="AA132" s="163"/>
    </row>
    <row r="133">
      <c r="A133" s="163"/>
      <c r="B133" s="163"/>
      <c r="C133" s="163"/>
      <c r="D133" s="163"/>
      <c r="E133" s="163"/>
      <c r="F133" s="163"/>
      <c r="G133" s="163"/>
      <c r="H133" s="163"/>
      <c r="I133" s="163"/>
      <c r="J133" s="163"/>
      <c r="K133" s="163"/>
      <c r="L133" s="165"/>
      <c r="M133" s="163"/>
      <c r="N133" s="163"/>
      <c r="O133" s="163"/>
      <c r="P133" s="163"/>
      <c r="Q133" s="163"/>
      <c r="R133" s="163"/>
      <c r="S133" s="163"/>
      <c r="T133" s="163"/>
      <c r="U133" s="163"/>
      <c r="V133" s="163"/>
      <c r="W133" s="163"/>
      <c r="X133" s="163"/>
      <c r="Y133" s="163"/>
      <c r="Z133" s="163"/>
      <c r="AA133" s="163"/>
    </row>
    <row r="134">
      <c r="A134" s="163"/>
      <c r="B134" s="163"/>
      <c r="C134" s="163"/>
      <c r="D134" s="163"/>
      <c r="E134" s="163"/>
      <c r="F134" s="163"/>
      <c r="G134" s="163"/>
      <c r="H134" s="163"/>
      <c r="I134" s="163"/>
      <c r="J134" s="163"/>
      <c r="K134" s="163"/>
      <c r="L134" s="165"/>
      <c r="M134" s="163"/>
      <c r="N134" s="163"/>
      <c r="O134" s="163"/>
      <c r="P134" s="163"/>
      <c r="Q134" s="163"/>
      <c r="R134" s="163"/>
      <c r="S134" s="163"/>
      <c r="T134" s="163"/>
      <c r="U134" s="163"/>
      <c r="V134" s="163"/>
      <c r="W134" s="163"/>
      <c r="X134" s="163"/>
      <c r="Y134" s="163"/>
      <c r="Z134" s="163"/>
      <c r="AA134" s="163"/>
    </row>
    <row r="135">
      <c r="A135" s="163"/>
      <c r="B135" s="163"/>
      <c r="C135" s="163"/>
      <c r="D135" s="163"/>
      <c r="E135" s="163"/>
      <c r="F135" s="163"/>
      <c r="G135" s="163"/>
      <c r="H135" s="163"/>
      <c r="I135" s="163"/>
      <c r="J135" s="163"/>
      <c r="K135" s="163"/>
      <c r="L135" s="165"/>
      <c r="M135" s="163"/>
      <c r="N135" s="163"/>
      <c r="O135" s="163"/>
      <c r="P135" s="163"/>
      <c r="Q135" s="163"/>
      <c r="R135" s="163"/>
      <c r="S135" s="163"/>
      <c r="T135" s="163"/>
      <c r="U135" s="163"/>
      <c r="V135" s="163"/>
      <c r="W135" s="163"/>
      <c r="X135" s="163"/>
      <c r="Y135" s="163"/>
      <c r="Z135" s="163"/>
      <c r="AA135" s="163"/>
    </row>
    <row r="136">
      <c r="A136" s="163"/>
      <c r="B136" s="163"/>
      <c r="C136" s="163"/>
      <c r="D136" s="163"/>
      <c r="E136" s="163"/>
      <c r="F136" s="163"/>
      <c r="G136" s="163"/>
      <c r="H136" s="163"/>
      <c r="I136" s="163"/>
      <c r="J136" s="163"/>
      <c r="K136" s="163"/>
      <c r="L136" s="165"/>
      <c r="M136" s="163"/>
      <c r="N136" s="163"/>
      <c r="O136" s="163"/>
      <c r="P136" s="163"/>
      <c r="Q136" s="163"/>
      <c r="R136" s="163"/>
      <c r="S136" s="163"/>
      <c r="T136" s="163"/>
      <c r="U136" s="163"/>
      <c r="V136" s="163"/>
      <c r="W136" s="163"/>
      <c r="X136" s="163"/>
      <c r="Y136" s="163"/>
      <c r="Z136" s="163"/>
      <c r="AA136" s="163"/>
    </row>
    <row r="137">
      <c r="A137" s="163"/>
      <c r="B137" s="163"/>
      <c r="C137" s="163"/>
      <c r="D137" s="163"/>
      <c r="E137" s="163"/>
      <c r="F137" s="163"/>
      <c r="G137" s="163"/>
      <c r="H137" s="163"/>
      <c r="I137" s="163"/>
      <c r="J137" s="163"/>
      <c r="K137" s="163"/>
      <c r="L137" s="165"/>
      <c r="M137" s="163"/>
      <c r="N137" s="163"/>
      <c r="O137" s="163"/>
      <c r="P137" s="163"/>
      <c r="Q137" s="163"/>
      <c r="R137" s="163"/>
      <c r="S137" s="163"/>
      <c r="T137" s="163"/>
      <c r="U137" s="163"/>
      <c r="V137" s="163"/>
      <c r="W137" s="163"/>
      <c r="X137" s="163"/>
      <c r="Y137" s="163"/>
      <c r="Z137" s="163"/>
      <c r="AA137" s="163"/>
    </row>
    <row r="138">
      <c r="A138" s="163"/>
      <c r="B138" s="163"/>
      <c r="C138" s="163"/>
      <c r="D138" s="163"/>
      <c r="E138" s="163"/>
      <c r="F138" s="163"/>
      <c r="G138" s="163"/>
      <c r="H138" s="163"/>
      <c r="I138" s="163"/>
      <c r="J138" s="163"/>
      <c r="K138" s="163"/>
      <c r="L138" s="165"/>
      <c r="M138" s="163"/>
      <c r="N138" s="163"/>
      <c r="O138" s="163"/>
      <c r="P138" s="163"/>
      <c r="Q138" s="163"/>
      <c r="R138" s="163"/>
      <c r="S138" s="163"/>
      <c r="T138" s="163"/>
      <c r="U138" s="163"/>
      <c r="V138" s="163"/>
      <c r="W138" s="163"/>
      <c r="X138" s="163"/>
      <c r="Y138" s="163"/>
      <c r="Z138" s="163"/>
      <c r="AA138" s="163"/>
    </row>
    <row r="139">
      <c r="A139" s="163"/>
      <c r="B139" s="163"/>
      <c r="C139" s="163"/>
      <c r="D139" s="163"/>
      <c r="E139" s="163"/>
      <c r="F139" s="163"/>
      <c r="G139" s="163"/>
      <c r="H139" s="163"/>
      <c r="I139" s="163"/>
      <c r="J139" s="163"/>
      <c r="K139" s="163"/>
      <c r="L139" s="165"/>
      <c r="M139" s="163"/>
      <c r="N139" s="163"/>
      <c r="O139" s="163"/>
      <c r="P139" s="163"/>
      <c r="Q139" s="163"/>
      <c r="R139" s="163"/>
      <c r="S139" s="163"/>
      <c r="T139" s="163"/>
      <c r="U139" s="163"/>
      <c r="V139" s="163"/>
      <c r="W139" s="163"/>
      <c r="X139" s="163"/>
      <c r="Y139" s="163"/>
      <c r="Z139" s="163"/>
      <c r="AA139" s="163"/>
    </row>
    <row r="140">
      <c r="A140" s="163"/>
      <c r="B140" s="163"/>
      <c r="C140" s="163"/>
      <c r="D140" s="163"/>
      <c r="E140" s="163"/>
      <c r="F140" s="163"/>
      <c r="G140" s="163"/>
      <c r="H140" s="163"/>
      <c r="I140" s="163"/>
      <c r="J140" s="163"/>
      <c r="K140" s="163"/>
      <c r="L140" s="165"/>
      <c r="M140" s="163"/>
      <c r="N140" s="163"/>
      <c r="O140" s="163"/>
      <c r="P140" s="163"/>
      <c r="Q140" s="163"/>
      <c r="R140" s="163"/>
      <c r="S140" s="163"/>
      <c r="T140" s="163"/>
      <c r="U140" s="163"/>
      <c r="V140" s="163"/>
      <c r="W140" s="163"/>
      <c r="X140" s="163"/>
      <c r="Y140" s="163"/>
      <c r="Z140" s="163"/>
      <c r="AA140" s="163"/>
    </row>
    <row r="141">
      <c r="A141" s="163"/>
      <c r="B141" s="163"/>
      <c r="C141" s="163"/>
      <c r="D141" s="163"/>
      <c r="E141" s="163"/>
      <c r="F141" s="163"/>
      <c r="G141" s="163"/>
      <c r="H141" s="163"/>
      <c r="I141" s="163"/>
      <c r="J141" s="163"/>
      <c r="K141" s="163"/>
      <c r="L141" s="165"/>
      <c r="M141" s="163"/>
      <c r="N141" s="163"/>
      <c r="O141" s="163"/>
      <c r="P141" s="163"/>
      <c r="Q141" s="163"/>
      <c r="R141" s="163"/>
      <c r="S141" s="163"/>
      <c r="T141" s="163"/>
      <c r="U141" s="163"/>
      <c r="V141" s="163"/>
      <c r="W141" s="163"/>
      <c r="X141" s="163"/>
      <c r="Y141" s="163"/>
      <c r="Z141" s="163"/>
      <c r="AA141" s="163"/>
    </row>
    <row r="142">
      <c r="A142" s="163"/>
      <c r="B142" s="163"/>
      <c r="C142" s="163"/>
      <c r="D142" s="163"/>
      <c r="E142" s="163"/>
      <c r="F142" s="163"/>
      <c r="G142" s="163"/>
      <c r="H142" s="163"/>
      <c r="I142" s="163"/>
      <c r="J142" s="163"/>
      <c r="K142" s="163"/>
      <c r="L142" s="165"/>
      <c r="M142" s="163"/>
      <c r="N142" s="163"/>
      <c r="O142" s="163"/>
      <c r="P142" s="163"/>
      <c r="Q142" s="163"/>
      <c r="R142" s="163"/>
      <c r="S142" s="163"/>
      <c r="T142" s="163"/>
      <c r="U142" s="163"/>
      <c r="V142" s="163"/>
      <c r="W142" s="163"/>
      <c r="X142" s="163"/>
      <c r="Y142" s="163"/>
      <c r="Z142" s="163"/>
      <c r="AA142" s="163"/>
    </row>
    <row r="143">
      <c r="A143" s="163"/>
      <c r="B143" s="163"/>
      <c r="C143" s="163"/>
      <c r="D143" s="163"/>
      <c r="E143" s="163"/>
      <c r="F143" s="163"/>
      <c r="G143" s="163"/>
      <c r="H143" s="163"/>
      <c r="I143" s="163"/>
      <c r="J143" s="163"/>
      <c r="K143" s="163"/>
      <c r="L143" s="165"/>
      <c r="M143" s="163"/>
      <c r="N143" s="163"/>
      <c r="O143" s="163"/>
      <c r="P143" s="163"/>
      <c r="Q143" s="163"/>
      <c r="R143" s="163"/>
      <c r="S143" s="163"/>
      <c r="T143" s="163"/>
      <c r="U143" s="163"/>
      <c r="V143" s="163"/>
      <c r="W143" s="163"/>
      <c r="X143" s="163"/>
      <c r="Y143" s="163"/>
      <c r="Z143" s="163"/>
      <c r="AA143" s="163"/>
    </row>
    <row r="144">
      <c r="A144" s="163"/>
      <c r="B144" s="163"/>
      <c r="C144" s="163"/>
      <c r="D144" s="163"/>
      <c r="E144" s="163"/>
      <c r="F144" s="163"/>
      <c r="G144" s="163"/>
      <c r="H144" s="163"/>
      <c r="I144" s="163"/>
      <c r="J144" s="163"/>
      <c r="K144" s="163"/>
      <c r="L144" s="165"/>
      <c r="M144" s="163"/>
      <c r="N144" s="163"/>
      <c r="O144" s="163"/>
      <c r="P144" s="163"/>
      <c r="Q144" s="163"/>
      <c r="R144" s="163"/>
      <c r="S144" s="163"/>
      <c r="T144" s="163"/>
      <c r="U144" s="163"/>
      <c r="V144" s="163"/>
      <c r="W144" s="163"/>
      <c r="X144" s="163"/>
      <c r="Y144" s="163"/>
      <c r="Z144" s="163"/>
      <c r="AA144" s="163"/>
    </row>
    <row r="145">
      <c r="A145" s="163"/>
      <c r="B145" s="163"/>
      <c r="C145" s="163"/>
      <c r="D145" s="163"/>
      <c r="E145" s="163"/>
      <c r="F145" s="163"/>
      <c r="G145" s="163"/>
      <c r="H145" s="163"/>
      <c r="I145" s="163"/>
      <c r="J145" s="163"/>
      <c r="K145" s="163"/>
      <c r="L145" s="165"/>
      <c r="M145" s="163"/>
      <c r="N145" s="163"/>
      <c r="O145" s="163"/>
      <c r="P145" s="163"/>
      <c r="Q145" s="163"/>
      <c r="R145" s="163"/>
      <c r="S145" s="163"/>
      <c r="T145" s="163"/>
      <c r="U145" s="163"/>
      <c r="V145" s="163"/>
      <c r="W145" s="163"/>
      <c r="X145" s="163"/>
      <c r="Y145" s="163"/>
      <c r="Z145" s="163"/>
      <c r="AA145" s="163"/>
    </row>
    <row r="146">
      <c r="A146" s="163"/>
      <c r="B146" s="163"/>
      <c r="C146" s="163"/>
      <c r="D146" s="163"/>
      <c r="E146" s="163"/>
      <c r="F146" s="163"/>
      <c r="G146" s="163"/>
      <c r="H146" s="163"/>
      <c r="I146" s="163"/>
      <c r="J146" s="163"/>
      <c r="K146" s="163"/>
      <c r="L146" s="165"/>
      <c r="M146" s="163"/>
      <c r="N146" s="163"/>
      <c r="O146" s="163"/>
      <c r="P146" s="163"/>
      <c r="Q146" s="163"/>
      <c r="R146" s="163"/>
      <c r="S146" s="163"/>
      <c r="T146" s="163"/>
      <c r="U146" s="163"/>
      <c r="V146" s="163"/>
      <c r="W146" s="163"/>
      <c r="X146" s="163"/>
      <c r="Y146" s="163"/>
      <c r="Z146" s="163"/>
      <c r="AA146" s="163"/>
    </row>
    <row r="147">
      <c r="A147" s="163"/>
      <c r="B147" s="163"/>
      <c r="C147" s="163"/>
      <c r="D147" s="163"/>
      <c r="E147" s="163"/>
      <c r="F147" s="163"/>
      <c r="G147" s="163"/>
      <c r="H147" s="163"/>
      <c r="I147" s="163"/>
      <c r="J147" s="163"/>
      <c r="K147" s="163"/>
      <c r="L147" s="165"/>
      <c r="M147" s="163"/>
      <c r="N147" s="163"/>
      <c r="O147" s="163"/>
      <c r="P147" s="163"/>
      <c r="Q147" s="163"/>
      <c r="R147" s="163"/>
      <c r="S147" s="163"/>
      <c r="T147" s="163"/>
      <c r="U147" s="163"/>
      <c r="V147" s="163"/>
      <c r="W147" s="163"/>
      <c r="X147" s="163"/>
      <c r="Y147" s="163"/>
      <c r="Z147" s="163"/>
      <c r="AA147" s="163"/>
    </row>
    <row r="148">
      <c r="A148" s="163"/>
      <c r="B148" s="163"/>
      <c r="C148" s="163"/>
      <c r="D148" s="163"/>
      <c r="E148" s="163"/>
      <c r="F148" s="163"/>
      <c r="G148" s="163"/>
      <c r="H148" s="163"/>
      <c r="I148" s="163"/>
      <c r="J148" s="163"/>
      <c r="K148" s="163"/>
      <c r="L148" s="165"/>
      <c r="M148" s="163"/>
      <c r="N148" s="163"/>
      <c r="O148" s="163"/>
      <c r="P148" s="163"/>
      <c r="Q148" s="163"/>
      <c r="R148" s="163"/>
      <c r="S148" s="163"/>
      <c r="T148" s="163"/>
      <c r="U148" s="163"/>
      <c r="V148" s="163"/>
      <c r="W148" s="163"/>
      <c r="X148" s="163"/>
      <c r="Y148" s="163"/>
      <c r="Z148" s="163"/>
      <c r="AA148" s="163"/>
    </row>
    <row r="149">
      <c r="A149" s="163"/>
      <c r="B149" s="163"/>
      <c r="C149" s="163"/>
      <c r="D149" s="163"/>
      <c r="E149" s="163"/>
      <c r="F149" s="163"/>
      <c r="G149" s="163"/>
      <c r="H149" s="163"/>
      <c r="I149" s="163"/>
      <c r="J149" s="163"/>
      <c r="K149" s="163"/>
      <c r="L149" s="165"/>
      <c r="M149" s="163"/>
      <c r="N149" s="163"/>
      <c r="O149" s="163"/>
      <c r="P149" s="163"/>
      <c r="Q149" s="163"/>
      <c r="R149" s="163"/>
      <c r="S149" s="163"/>
      <c r="T149" s="163"/>
      <c r="U149" s="163"/>
      <c r="V149" s="163"/>
      <c r="W149" s="163"/>
      <c r="X149" s="163"/>
      <c r="Y149" s="163"/>
      <c r="Z149" s="163"/>
      <c r="AA149" s="163"/>
    </row>
    <row r="150">
      <c r="A150" s="163"/>
      <c r="B150" s="163"/>
      <c r="C150" s="163"/>
      <c r="D150" s="163"/>
      <c r="E150" s="163"/>
      <c r="F150" s="163"/>
      <c r="G150" s="163"/>
      <c r="H150" s="163"/>
      <c r="I150" s="163"/>
      <c r="J150" s="163"/>
      <c r="K150" s="163"/>
      <c r="L150" s="165"/>
      <c r="M150" s="163"/>
      <c r="N150" s="163"/>
      <c r="O150" s="163"/>
      <c r="P150" s="163"/>
      <c r="Q150" s="163"/>
      <c r="R150" s="163"/>
      <c r="S150" s="163"/>
      <c r="T150" s="163"/>
      <c r="U150" s="163"/>
      <c r="V150" s="163"/>
      <c r="W150" s="163"/>
      <c r="X150" s="163"/>
      <c r="Y150" s="163"/>
      <c r="Z150" s="163"/>
      <c r="AA150" s="163"/>
    </row>
    <row r="151">
      <c r="A151" s="163"/>
      <c r="B151" s="163"/>
      <c r="C151" s="163"/>
      <c r="D151" s="163"/>
      <c r="E151" s="163"/>
      <c r="F151" s="163"/>
      <c r="G151" s="163"/>
      <c r="H151" s="163"/>
      <c r="I151" s="163"/>
      <c r="J151" s="163"/>
      <c r="K151" s="163"/>
      <c r="L151" s="165"/>
      <c r="M151" s="163"/>
      <c r="N151" s="163"/>
      <c r="O151" s="163"/>
      <c r="P151" s="163"/>
      <c r="Q151" s="163"/>
      <c r="R151" s="163"/>
      <c r="S151" s="163"/>
      <c r="T151" s="163"/>
      <c r="U151" s="163"/>
      <c r="V151" s="163"/>
      <c r="W151" s="163"/>
      <c r="X151" s="163"/>
      <c r="Y151" s="163"/>
      <c r="Z151" s="163"/>
      <c r="AA151" s="163"/>
    </row>
    <row r="152">
      <c r="A152" s="163"/>
      <c r="B152" s="163"/>
      <c r="C152" s="163"/>
      <c r="D152" s="163"/>
      <c r="E152" s="163"/>
      <c r="F152" s="163"/>
      <c r="G152" s="163"/>
      <c r="H152" s="163"/>
      <c r="I152" s="163"/>
      <c r="J152" s="163"/>
      <c r="K152" s="163"/>
      <c r="L152" s="165"/>
      <c r="M152" s="163"/>
      <c r="N152" s="163"/>
      <c r="O152" s="163"/>
      <c r="P152" s="163"/>
      <c r="Q152" s="163"/>
      <c r="R152" s="163"/>
      <c r="S152" s="163"/>
      <c r="T152" s="163"/>
      <c r="U152" s="163"/>
      <c r="V152" s="163"/>
      <c r="W152" s="163"/>
      <c r="X152" s="163"/>
      <c r="Y152" s="163"/>
      <c r="Z152" s="163"/>
      <c r="AA152" s="163"/>
    </row>
    <row r="153">
      <c r="A153" s="163"/>
      <c r="B153" s="163"/>
      <c r="C153" s="163"/>
      <c r="D153" s="163"/>
      <c r="E153" s="163"/>
      <c r="F153" s="163"/>
      <c r="G153" s="163"/>
      <c r="H153" s="163"/>
      <c r="I153" s="163"/>
      <c r="J153" s="163"/>
      <c r="K153" s="163"/>
      <c r="L153" s="165"/>
      <c r="M153" s="163"/>
      <c r="N153" s="163"/>
      <c r="O153" s="163"/>
      <c r="P153" s="163"/>
      <c r="Q153" s="163"/>
      <c r="R153" s="163"/>
      <c r="S153" s="163"/>
      <c r="T153" s="163"/>
      <c r="U153" s="163"/>
      <c r="V153" s="163"/>
      <c r="W153" s="163"/>
      <c r="X153" s="163"/>
      <c r="Y153" s="163"/>
      <c r="Z153" s="163"/>
      <c r="AA153" s="163"/>
    </row>
    <row r="154">
      <c r="A154" s="163"/>
      <c r="B154" s="163"/>
      <c r="C154" s="163"/>
      <c r="D154" s="163"/>
      <c r="E154" s="163"/>
      <c r="F154" s="163"/>
      <c r="G154" s="163"/>
      <c r="H154" s="163"/>
      <c r="I154" s="163"/>
      <c r="J154" s="163"/>
      <c r="K154" s="163"/>
      <c r="L154" s="165"/>
      <c r="M154" s="163"/>
      <c r="N154" s="163"/>
      <c r="O154" s="163"/>
      <c r="P154" s="163"/>
      <c r="Q154" s="163"/>
      <c r="R154" s="163"/>
      <c r="S154" s="163"/>
      <c r="T154" s="163"/>
      <c r="U154" s="163"/>
      <c r="V154" s="163"/>
      <c r="W154" s="163"/>
      <c r="X154" s="163"/>
      <c r="Y154" s="163"/>
      <c r="Z154" s="163"/>
      <c r="AA154" s="163"/>
    </row>
    <row r="155">
      <c r="A155" s="163"/>
      <c r="B155" s="163"/>
      <c r="C155" s="163"/>
      <c r="D155" s="163"/>
      <c r="E155" s="163"/>
      <c r="F155" s="163"/>
      <c r="G155" s="163"/>
      <c r="H155" s="163"/>
      <c r="I155" s="163"/>
      <c r="J155" s="163"/>
      <c r="K155" s="163"/>
      <c r="L155" s="165"/>
      <c r="M155" s="163"/>
      <c r="N155" s="163"/>
      <c r="O155" s="163"/>
      <c r="P155" s="163"/>
      <c r="Q155" s="163"/>
      <c r="R155" s="163"/>
      <c r="S155" s="163"/>
      <c r="T155" s="163"/>
      <c r="U155" s="163"/>
      <c r="V155" s="163"/>
      <c r="W155" s="163"/>
      <c r="X155" s="163"/>
      <c r="Y155" s="163"/>
      <c r="Z155" s="163"/>
      <c r="AA155" s="163"/>
    </row>
    <row r="156">
      <c r="A156" s="163"/>
      <c r="B156" s="163"/>
      <c r="C156" s="163"/>
      <c r="D156" s="163"/>
      <c r="E156" s="163"/>
      <c r="F156" s="163"/>
      <c r="G156" s="163"/>
      <c r="H156" s="163"/>
      <c r="I156" s="163"/>
      <c r="J156" s="163"/>
      <c r="K156" s="163"/>
      <c r="L156" s="165"/>
      <c r="M156" s="163"/>
      <c r="N156" s="163"/>
      <c r="O156" s="163"/>
      <c r="P156" s="163"/>
      <c r="Q156" s="163"/>
      <c r="R156" s="163"/>
      <c r="S156" s="163"/>
      <c r="T156" s="163"/>
      <c r="U156" s="163"/>
      <c r="V156" s="163"/>
      <c r="W156" s="163"/>
      <c r="X156" s="163"/>
      <c r="Y156" s="163"/>
      <c r="Z156" s="163"/>
      <c r="AA156" s="163"/>
    </row>
    <row r="157">
      <c r="A157" s="163"/>
      <c r="B157" s="163"/>
      <c r="C157" s="163"/>
      <c r="D157" s="163"/>
      <c r="E157" s="163"/>
      <c r="F157" s="163"/>
      <c r="G157" s="163"/>
      <c r="H157" s="163"/>
      <c r="I157" s="163"/>
      <c r="J157" s="163"/>
      <c r="K157" s="163"/>
      <c r="L157" s="165"/>
      <c r="M157" s="163"/>
      <c r="N157" s="163"/>
      <c r="O157" s="163"/>
      <c r="P157" s="163"/>
      <c r="Q157" s="163"/>
      <c r="R157" s="163"/>
      <c r="S157" s="163"/>
      <c r="T157" s="163"/>
      <c r="U157" s="163"/>
      <c r="V157" s="163"/>
      <c r="W157" s="163"/>
      <c r="X157" s="163"/>
      <c r="Y157" s="163"/>
      <c r="Z157" s="163"/>
      <c r="AA157" s="163"/>
    </row>
    <row r="158">
      <c r="A158" s="163"/>
      <c r="B158" s="163"/>
      <c r="C158" s="163"/>
      <c r="D158" s="163"/>
      <c r="E158" s="163"/>
      <c r="F158" s="163"/>
      <c r="G158" s="163"/>
      <c r="H158" s="163"/>
      <c r="I158" s="163"/>
      <c r="J158" s="163"/>
      <c r="K158" s="163"/>
      <c r="L158" s="165"/>
      <c r="M158" s="163"/>
      <c r="N158" s="163"/>
      <c r="O158" s="163"/>
      <c r="P158" s="163"/>
      <c r="Q158" s="163"/>
      <c r="R158" s="163"/>
      <c r="S158" s="163"/>
      <c r="T158" s="163"/>
      <c r="U158" s="163"/>
      <c r="V158" s="163"/>
      <c r="W158" s="163"/>
      <c r="X158" s="163"/>
      <c r="Y158" s="163"/>
      <c r="Z158" s="163"/>
      <c r="AA158" s="163"/>
    </row>
    <row r="159">
      <c r="A159" s="163"/>
      <c r="B159" s="163"/>
      <c r="C159" s="163"/>
      <c r="D159" s="163"/>
      <c r="E159" s="163"/>
      <c r="F159" s="163"/>
      <c r="G159" s="163"/>
      <c r="H159" s="163"/>
      <c r="I159" s="163"/>
      <c r="J159" s="163"/>
      <c r="K159" s="163"/>
      <c r="L159" s="165"/>
      <c r="M159" s="163"/>
      <c r="N159" s="163"/>
      <c r="O159" s="163"/>
      <c r="P159" s="163"/>
      <c r="Q159" s="163"/>
      <c r="R159" s="163"/>
      <c r="S159" s="163"/>
      <c r="T159" s="163"/>
      <c r="U159" s="163"/>
      <c r="V159" s="163"/>
      <c r="W159" s="163"/>
      <c r="X159" s="163"/>
      <c r="Y159" s="163"/>
      <c r="Z159" s="163"/>
      <c r="AA159" s="163"/>
    </row>
    <row r="160">
      <c r="A160" s="163"/>
      <c r="B160" s="163"/>
      <c r="C160" s="163"/>
      <c r="D160" s="163"/>
      <c r="E160" s="163"/>
      <c r="F160" s="163"/>
      <c r="G160" s="163"/>
      <c r="H160" s="163"/>
      <c r="I160" s="163"/>
      <c r="J160" s="163"/>
      <c r="K160" s="163"/>
      <c r="L160" s="165"/>
      <c r="M160" s="163"/>
      <c r="N160" s="163"/>
      <c r="O160" s="163"/>
      <c r="P160" s="163"/>
      <c r="Q160" s="163"/>
      <c r="R160" s="163"/>
      <c r="S160" s="163"/>
      <c r="T160" s="163"/>
      <c r="U160" s="163"/>
      <c r="V160" s="163"/>
      <c r="W160" s="163"/>
      <c r="X160" s="163"/>
      <c r="Y160" s="163"/>
      <c r="Z160" s="163"/>
      <c r="AA160" s="163"/>
    </row>
    <row r="161">
      <c r="A161" s="163"/>
      <c r="B161" s="163"/>
      <c r="C161" s="163"/>
      <c r="D161" s="163"/>
      <c r="E161" s="163"/>
      <c r="F161" s="163"/>
      <c r="G161" s="163"/>
      <c r="H161" s="163"/>
      <c r="I161" s="163"/>
      <c r="J161" s="163"/>
      <c r="K161" s="163"/>
      <c r="L161" s="165"/>
      <c r="M161" s="163"/>
      <c r="N161" s="163"/>
      <c r="O161" s="163"/>
      <c r="P161" s="163"/>
      <c r="Q161" s="163"/>
      <c r="R161" s="163"/>
      <c r="S161" s="163"/>
      <c r="T161" s="163"/>
      <c r="U161" s="163"/>
      <c r="V161" s="163"/>
      <c r="W161" s="163"/>
      <c r="X161" s="163"/>
      <c r="Y161" s="163"/>
      <c r="Z161" s="163"/>
      <c r="AA161" s="163"/>
    </row>
    <row r="162">
      <c r="A162" s="163"/>
      <c r="B162" s="163"/>
      <c r="C162" s="163"/>
      <c r="D162" s="163"/>
      <c r="E162" s="163"/>
      <c r="F162" s="163"/>
      <c r="G162" s="163"/>
      <c r="H162" s="163"/>
      <c r="I162" s="163"/>
      <c r="J162" s="163"/>
      <c r="K162" s="163"/>
      <c r="L162" s="165"/>
      <c r="M162" s="163"/>
      <c r="N162" s="163"/>
      <c r="O162" s="163"/>
      <c r="P162" s="163"/>
      <c r="Q162" s="163"/>
      <c r="R162" s="163"/>
      <c r="S162" s="163"/>
      <c r="T162" s="163"/>
      <c r="U162" s="163"/>
      <c r="V162" s="163"/>
      <c r="W162" s="163"/>
      <c r="X162" s="163"/>
      <c r="Y162" s="163"/>
      <c r="Z162" s="163"/>
      <c r="AA162" s="163"/>
    </row>
    <row r="163">
      <c r="A163" s="163"/>
      <c r="B163" s="163"/>
      <c r="C163" s="163"/>
      <c r="D163" s="163"/>
      <c r="E163" s="163"/>
      <c r="F163" s="163"/>
      <c r="G163" s="163"/>
      <c r="H163" s="163"/>
      <c r="I163" s="163"/>
      <c r="J163" s="163"/>
      <c r="K163" s="163"/>
      <c r="L163" s="165"/>
      <c r="M163" s="163"/>
      <c r="N163" s="163"/>
      <c r="O163" s="163"/>
      <c r="P163" s="163"/>
      <c r="Q163" s="163"/>
      <c r="R163" s="163"/>
      <c r="S163" s="163"/>
      <c r="T163" s="163"/>
      <c r="U163" s="163"/>
      <c r="V163" s="163"/>
      <c r="W163" s="163"/>
      <c r="X163" s="163"/>
      <c r="Y163" s="163"/>
      <c r="Z163" s="163"/>
      <c r="AA163" s="163"/>
    </row>
    <row r="164">
      <c r="A164" s="163"/>
      <c r="B164" s="163"/>
      <c r="C164" s="163"/>
      <c r="D164" s="163"/>
      <c r="E164" s="163"/>
      <c r="F164" s="163"/>
      <c r="G164" s="163"/>
      <c r="H164" s="163"/>
      <c r="I164" s="163"/>
      <c r="J164" s="163"/>
      <c r="K164" s="163"/>
      <c r="L164" s="165"/>
      <c r="M164" s="163"/>
      <c r="N164" s="163"/>
      <c r="O164" s="163"/>
      <c r="P164" s="163"/>
      <c r="Q164" s="163"/>
      <c r="R164" s="163"/>
      <c r="S164" s="163"/>
      <c r="T164" s="163"/>
      <c r="U164" s="163"/>
      <c r="V164" s="163"/>
      <c r="W164" s="163"/>
      <c r="X164" s="163"/>
      <c r="Y164" s="163"/>
      <c r="Z164" s="163"/>
      <c r="AA164" s="163"/>
    </row>
    <row r="165">
      <c r="A165" s="163"/>
      <c r="B165" s="163"/>
      <c r="C165" s="163"/>
      <c r="D165" s="163"/>
      <c r="E165" s="163"/>
      <c r="F165" s="163"/>
      <c r="G165" s="163"/>
      <c r="H165" s="163"/>
      <c r="I165" s="163"/>
      <c r="J165" s="163"/>
      <c r="K165" s="163"/>
      <c r="L165" s="165"/>
      <c r="M165" s="163"/>
      <c r="N165" s="163"/>
      <c r="O165" s="163"/>
      <c r="P165" s="163"/>
      <c r="Q165" s="163"/>
      <c r="R165" s="163"/>
      <c r="S165" s="163"/>
      <c r="T165" s="163"/>
      <c r="U165" s="163"/>
      <c r="V165" s="163"/>
      <c r="W165" s="163"/>
      <c r="X165" s="163"/>
      <c r="Y165" s="163"/>
      <c r="Z165" s="163"/>
      <c r="AA165" s="163"/>
    </row>
    <row r="166">
      <c r="A166" s="163"/>
      <c r="B166" s="163"/>
      <c r="C166" s="163"/>
      <c r="D166" s="163"/>
      <c r="E166" s="163"/>
      <c r="F166" s="163"/>
      <c r="G166" s="163"/>
      <c r="H166" s="163"/>
      <c r="I166" s="163"/>
      <c r="J166" s="163"/>
      <c r="K166" s="163"/>
      <c r="L166" s="165"/>
      <c r="M166" s="163"/>
      <c r="N166" s="163"/>
      <c r="O166" s="163"/>
      <c r="P166" s="163"/>
      <c r="Q166" s="163"/>
      <c r="R166" s="163"/>
      <c r="S166" s="163"/>
      <c r="T166" s="163"/>
      <c r="U166" s="163"/>
      <c r="V166" s="163"/>
      <c r="W166" s="163"/>
      <c r="X166" s="163"/>
      <c r="Y166" s="163"/>
      <c r="Z166" s="163"/>
      <c r="AA166" s="163"/>
    </row>
    <row r="167">
      <c r="A167" s="163"/>
      <c r="B167" s="163"/>
      <c r="C167" s="163"/>
      <c r="D167" s="163"/>
      <c r="E167" s="163"/>
      <c r="F167" s="163"/>
      <c r="G167" s="163"/>
      <c r="H167" s="163"/>
      <c r="I167" s="163"/>
      <c r="J167" s="163"/>
      <c r="K167" s="163"/>
      <c r="L167" s="165"/>
      <c r="M167" s="163"/>
      <c r="N167" s="163"/>
      <c r="O167" s="163"/>
      <c r="P167" s="163"/>
      <c r="Q167" s="163"/>
      <c r="R167" s="163"/>
      <c r="S167" s="163"/>
      <c r="T167" s="163"/>
      <c r="U167" s="163"/>
      <c r="V167" s="163"/>
      <c r="W167" s="163"/>
      <c r="X167" s="163"/>
      <c r="Y167" s="163"/>
      <c r="Z167" s="163"/>
      <c r="AA167" s="163"/>
    </row>
    <row r="168">
      <c r="A168" s="163"/>
      <c r="B168" s="163"/>
      <c r="C168" s="163"/>
      <c r="D168" s="163"/>
      <c r="E168" s="163"/>
      <c r="F168" s="163"/>
      <c r="G168" s="163"/>
      <c r="H168" s="163"/>
      <c r="I168" s="163"/>
      <c r="J168" s="163"/>
      <c r="K168" s="163"/>
      <c r="L168" s="165"/>
      <c r="M168" s="163"/>
      <c r="N168" s="163"/>
      <c r="O168" s="163"/>
      <c r="P168" s="163"/>
      <c r="Q168" s="163"/>
      <c r="R168" s="163"/>
      <c r="S168" s="163"/>
      <c r="T168" s="163"/>
      <c r="U168" s="163"/>
      <c r="V168" s="163"/>
      <c r="W168" s="163"/>
      <c r="X168" s="163"/>
      <c r="Y168" s="163"/>
      <c r="Z168" s="163"/>
      <c r="AA168" s="163"/>
    </row>
    <row r="169">
      <c r="A169" s="163"/>
      <c r="B169" s="163"/>
      <c r="C169" s="163"/>
      <c r="D169" s="163"/>
      <c r="E169" s="163"/>
      <c r="F169" s="163"/>
      <c r="G169" s="163"/>
      <c r="H169" s="163"/>
      <c r="I169" s="163"/>
      <c r="J169" s="163"/>
      <c r="K169" s="163"/>
      <c r="L169" s="165"/>
      <c r="M169" s="163"/>
      <c r="N169" s="163"/>
      <c r="O169" s="163"/>
      <c r="P169" s="163"/>
      <c r="Q169" s="163"/>
      <c r="R169" s="163"/>
      <c r="S169" s="163"/>
      <c r="T169" s="163"/>
      <c r="U169" s="163"/>
      <c r="V169" s="163"/>
      <c r="W169" s="163"/>
      <c r="X169" s="163"/>
      <c r="Y169" s="163"/>
      <c r="Z169" s="163"/>
      <c r="AA169" s="163"/>
    </row>
    <row r="170">
      <c r="A170" s="163"/>
      <c r="B170" s="163"/>
      <c r="C170" s="163"/>
      <c r="D170" s="163"/>
      <c r="E170" s="163"/>
      <c r="F170" s="163"/>
      <c r="G170" s="163"/>
      <c r="H170" s="163"/>
      <c r="I170" s="163"/>
      <c r="J170" s="163"/>
      <c r="K170" s="163"/>
      <c r="L170" s="165"/>
      <c r="M170" s="163"/>
      <c r="N170" s="163"/>
      <c r="O170" s="163"/>
      <c r="P170" s="163"/>
      <c r="Q170" s="163"/>
      <c r="R170" s="163"/>
      <c r="S170" s="163"/>
      <c r="T170" s="163"/>
      <c r="U170" s="163"/>
      <c r="V170" s="163"/>
      <c r="W170" s="163"/>
      <c r="X170" s="163"/>
      <c r="Y170" s="163"/>
      <c r="Z170" s="163"/>
      <c r="AA170" s="163"/>
    </row>
    <row r="171">
      <c r="A171" s="163"/>
      <c r="B171" s="163"/>
      <c r="C171" s="163"/>
      <c r="D171" s="163"/>
      <c r="E171" s="163"/>
      <c r="F171" s="163"/>
      <c r="G171" s="163"/>
      <c r="H171" s="163"/>
      <c r="I171" s="163"/>
      <c r="J171" s="163"/>
      <c r="K171" s="163"/>
      <c r="L171" s="165"/>
      <c r="M171" s="163"/>
      <c r="N171" s="163"/>
      <c r="O171" s="163"/>
      <c r="P171" s="163"/>
      <c r="Q171" s="163"/>
      <c r="R171" s="163"/>
      <c r="S171" s="163"/>
      <c r="T171" s="163"/>
      <c r="U171" s="163"/>
      <c r="V171" s="163"/>
      <c r="W171" s="163"/>
      <c r="X171" s="163"/>
      <c r="Y171" s="163"/>
      <c r="Z171" s="163"/>
      <c r="AA171" s="163"/>
    </row>
    <row r="172">
      <c r="A172" s="163"/>
      <c r="B172" s="163"/>
      <c r="C172" s="163"/>
      <c r="D172" s="163"/>
      <c r="E172" s="163"/>
      <c r="F172" s="163"/>
      <c r="G172" s="163"/>
      <c r="H172" s="163"/>
      <c r="I172" s="163"/>
      <c r="J172" s="163"/>
      <c r="K172" s="163"/>
      <c r="L172" s="165"/>
      <c r="M172" s="163"/>
      <c r="N172" s="163"/>
      <c r="O172" s="163"/>
      <c r="P172" s="163"/>
      <c r="Q172" s="163"/>
      <c r="R172" s="163"/>
      <c r="S172" s="163"/>
      <c r="T172" s="163"/>
      <c r="U172" s="163"/>
      <c r="V172" s="163"/>
      <c r="W172" s="163"/>
      <c r="X172" s="163"/>
      <c r="Y172" s="163"/>
      <c r="Z172" s="163"/>
      <c r="AA172" s="163"/>
    </row>
    <row r="173">
      <c r="A173" s="163"/>
      <c r="B173" s="163"/>
      <c r="C173" s="163"/>
      <c r="D173" s="163"/>
      <c r="E173" s="163"/>
      <c r="F173" s="163"/>
      <c r="G173" s="163"/>
      <c r="H173" s="163"/>
      <c r="I173" s="163"/>
      <c r="J173" s="163"/>
      <c r="K173" s="163"/>
      <c r="L173" s="165"/>
      <c r="M173" s="163"/>
      <c r="N173" s="163"/>
      <c r="O173" s="163"/>
      <c r="P173" s="163"/>
      <c r="Q173" s="163"/>
      <c r="R173" s="163"/>
      <c r="S173" s="163"/>
      <c r="T173" s="163"/>
      <c r="U173" s="163"/>
      <c r="V173" s="163"/>
      <c r="W173" s="163"/>
      <c r="X173" s="163"/>
      <c r="Y173" s="163"/>
      <c r="Z173" s="163"/>
      <c r="AA173" s="163"/>
    </row>
    <row r="174">
      <c r="A174" s="163"/>
      <c r="B174" s="163"/>
      <c r="C174" s="163"/>
      <c r="D174" s="163"/>
      <c r="E174" s="163"/>
      <c r="F174" s="163"/>
      <c r="G174" s="163"/>
      <c r="H174" s="163"/>
      <c r="I174" s="163"/>
      <c r="J174" s="163"/>
      <c r="K174" s="163"/>
      <c r="L174" s="165"/>
      <c r="M174" s="163"/>
      <c r="N174" s="163"/>
      <c r="O174" s="163"/>
      <c r="P174" s="163"/>
      <c r="Q174" s="163"/>
      <c r="R174" s="163"/>
      <c r="S174" s="163"/>
      <c r="T174" s="163"/>
      <c r="U174" s="163"/>
      <c r="V174" s="163"/>
      <c r="W174" s="163"/>
      <c r="X174" s="163"/>
      <c r="Y174" s="163"/>
      <c r="Z174" s="163"/>
      <c r="AA174" s="163"/>
    </row>
    <row r="175">
      <c r="A175" s="163"/>
      <c r="B175" s="163"/>
      <c r="C175" s="163"/>
      <c r="D175" s="163"/>
      <c r="E175" s="163"/>
      <c r="F175" s="163"/>
      <c r="G175" s="163"/>
      <c r="H175" s="163"/>
      <c r="I175" s="163"/>
      <c r="J175" s="163"/>
      <c r="K175" s="163"/>
      <c r="L175" s="165"/>
      <c r="M175" s="163"/>
      <c r="N175" s="163"/>
      <c r="O175" s="163"/>
      <c r="P175" s="163"/>
      <c r="Q175" s="163"/>
      <c r="R175" s="163"/>
      <c r="S175" s="163"/>
      <c r="T175" s="163"/>
      <c r="U175" s="163"/>
      <c r="V175" s="163"/>
      <c r="W175" s="163"/>
      <c r="X175" s="163"/>
      <c r="Y175" s="163"/>
      <c r="Z175" s="163"/>
      <c r="AA175" s="163"/>
    </row>
    <row r="176">
      <c r="A176" s="163"/>
      <c r="B176" s="163"/>
      <c r="C176" s="163"/>
      <c r="D176" s="163"/>
      <c r="E176" s="163"/>
      <c r="F176" s="163"/>
      <c r="G176" s="163"/>
      <c r="H176" s="163"/>
      <c r="I176" s="163"/>
      <c r="J176" s="163"/>
      <c r="K176" s="163"/>
      <c r="L176" s="165"/>
      <c r="M176" s="163"/>
      <c r="N176" s="163"/>
      <c r="O176" s="163"/>
      <c r="P176" s="163"/>
      <c r="Q176" s="163"/>
      <c r="R176" s="163"/>
      <c r="S176" s="163"/>
      <c r="T176" s="163"/>
      <c r="U176" s="163"/>
      <c r="V176" s="163"/>
      <c r="W176" s="163"/>
      <c r="X176" s="163"/>
      <c r="Y176" s="163"/>
      <c r="Z176" s="163"/>
      <c r="AA176" s="163"/>
    </row>
    <row r="177">
      <c r="A177" s="163"/>
      <c r="B177" s="163"/>
      <c r="C177" s="163"/>
      <c r="D177" s="163"/>
      <c r="E177" s="163"/>
      <c r="F177" s="163"/>
      <c r="G177" s="163"/>
      <c r="H177" s="163"/>
      <c r="I177" s="163"/>
      <c r="J177" s="163"/>
      <c r="K177" s="163"/>
      <c r="L177" s="165"/>
      <c r="M177" s="163"/>
      <c r="N177" s="163"/>
      <c r="O177" s="163"/>
      <c r="P177" s="163"/>
      <c r="Q177" s="163"/>
      <c r="R177" s="163"/>
      <c r="S177" s="163"/>
      <c r="T177" s="163"/>
      <c r="U177" s="163"/>
      <c r="V177" s="163"/>
      <c r="W177" s="163"/>
      <c r="X177" s="163"/>
      <c r="Y177" s="163"/>
      <c r="Z177" s="163"/>
      <c r="AA177" s="163"/>
    </row>
    <row r="178">
      <c r="A178" s="163"/>
      <c r="B178" s="163"/>
      <c r="C178" s="163"/>
      <c r="D178" s="163"/>
      <c r="E178" s="163"/>
      <c r="F178" s="163"/>
      <c r="G178" s="163"/>
      <c r="H178" s="163"/>
      <c r="I178" s="163"/>
      <c r="J178" s="163"/>
      <c r="K178" s="163"/>
      <c r="L178" s="165"/>
      <c r="M178" s="163"/>
      <c r="N178" s="163"/>
      <c r="O178" s="163"/>
      <c r="P178" s="163"/>
      <c r="Q178" s="163"/>
      <c r="R178" s="163"/>
      <c r="S178" s="163"/>
      <c r="T178" s="163"/>
      <c r="U178" s="163"/>
      <c r="V178" s="163"/>
      <c r="W178" s="163"/>
      <c r="X178" s="163"/>
      <c r="Y178" s="163"/>
      <c r="Z178" s="163"/>
      <c r="AA178" s="163"/>
    </row>
    <row r="179">
      <c r="A179" s="163"/>
      <c r="B179" s="163"/>
      <c r="C179" s="163"/>
      <c r="D179" s="163"/>
      <c r="E179" s="163"/>
      <c r="F179" s="163"/>
      <c r="G179" s="163"/>
      <c r="H179" s="163"/>
      <c r="I179" s="163"/>
      <c r="J179" s="163"/>
      <c r="K179" s="163"/>
      <c r="L179" s="165"/>
      <c r="M179" s="163"/>
      <c r="N179" s="163"/>
      <c r="O179" s="163"/>
      <c r="P179" s="163"/>
      <c r="Q179" s="163"/>
      <c r="R179" s="163"/>
      <c r="S179" s="163"/>
      <c r="T179" s="163"/>
      <c r="U179" s="163"/>
      <c r="V179" s="163"/>
      <c r="W179" s="163"/>
      <c r="X179" s="163"/>
      <c r="Y179" s="163"/>
      <c r="Z179" s="163"/>
      <c r="AA179" s="163"/>
    </row>
    <row r="180">
      <c r="A180" s="163"/>
      <c r="B180" s="163"/>
      <c r="C180" s="163"/>
      <c r="D180" s="163"/>
      <c r="E180" s="163"/>
      <c r="F180" s="163"/>
      <c r="G180" s="163"/>
      <c r="H180" s="163"/>
      <c r="I180" s="163"/>
      <c r="J180" s="163"/>
      <c r="K180" s="163"/>
      <c r="L180" s="165"/>
      <c r="M180" s="163"/>
      <c r="N180" s="163"/>
      <c r="O180" s="163"/>
      <c r="P180" s="163"/>
      <c r="Q180" s="163"/>
      <c r="R180" s="163"/>
      <c r="S180" s="163"/>
      <c r="T180" s="163"/>
      <c r="U180" s="163"/>
      <c r="V180" s="163"/>
      <c r="W180" s="163"/>
      <c r="X180" s="163"/>
      <c r="Y180" s="163"/>
      <c r="Z180" s="163"/>
      <c r="AA180" s="163"/>
    </row>
    <row r="181">
      <c r="A181" s="163"/>
      <c r="B181" s="163"/>
      <c r="C181" s="163"/>
      <c r="D181" s="163"/>
      <c r="E181" s="163"/>
      <c r="F181" s="163"/>
      <c r="G181" s="163"/>
      <c r="H181" s="163"/>
      <c r="I181" s="163"/>
      <c r="J181" s="163"/>
      <c r="K181" s="163"/>
      <c r="L181" s="165"/>
      <c r="M181" s="163"/>
      <c r="N181" s="163"/>
      <c r="O181" s="163"/>
      <c r="P181" s="163"/>
      <c r="Q181" s="163"/>
      <c r="R181" s="163"/>
      <c r="S181" s="163"/>
      <c r="T181" s="163"/>
      <c r="U181" s="163"/>
      <c r="V181" s="163"/>
      <c r="W181" s="163"/>
      <c r="X181" s="163"/>
      <c r="Y181" s="163"/>
      <c r="Z181" s="163"/>
      <c r="AA181" s="163"/>
    </row>
    <row r="182">
      <c r="A182" s="163"/>
      <c r="B182" s="163"/>
      <c r="C182" s="163"/>
      <c r="D182" s="163"/>
      <c r="E182" s="163"/>
      <c r="F182" s="163"/>
      <c r="G182" s="163"/>
      <c r="H182" s="163"/>
      <c r="I182" s="163"/>
      <c r="J182" s="163"/>
      <c r="K182" s="163"/>
      <c r="L182" s="165"/>
      <c r="M182" s="163"/>
      <c r="N182" s="163"/>
      <c r="O182" s="163"/>
      <c r="P182" s="163"/>
      <c r="Q182" s="163"/>
      <c r="R182" s="163"/>
      <c r="S182" s="163"/>
      <c r="T182" s="163"/>
      <c r="U182" s="163"/>
      <c r="V182" s="163"/>
      <c r="W182" s="163"/>
      <c r="X182" s="163"/>
      <c r="Y182" s="163"/>
      <c r="Z182" s="163"/>
      <c r="AA182" s="163"/>
    </row>
    <row r="183">
      <c r="A183" s="163"/>
      <c r="B183" s="163"/>
      <c r="C183" s="163"/>
      <c r="D183" s="163"/>
      <c r="E183" s="163"/>
      <c r="F183" s="163"/>
      <c r="G183" s="163"/>
      <c r="H183" s="163"/>
      <c r="I183" s="163"/>
      <c r="J183" s="163"/>
      <c r="K183" s="163"/>
      <c r="L183" s="165"/>
      <c r="M183" s="163"/>
      <c r="N183" s="163"/>
      <c r="O183" s="163"/>
      <c r="P183" s="163"/>
      <c r="Q183" s="163"/>
      <c r="R183" s="163"/>
      <c r="S183" s="163"/>
      <c r="T183" s="163"/>
      <c r="U183" s="163"/>
      <c r="V183" s="163"/>
      <c r="W183" s="163"/>
      <c r="X183" s="163"/>
      <c r="Y183" s="163"/>
      <c r="Z183" s="163"/>
      <c r="AA183" s="163"/>
    </row>
    <row r="184">
      <c r="A184" s="163"/>
      <c r="B184" s="163"/>
      <c r="C184" s="163"/>
      <c r="D184" s="163"/>
      <c r="E184" s="163"/>
      <c r="F184" s="163"/>
      <c r="G184" s="163"/>
      <c r="H184" s="163"/>
      <c r="I184" s="163"/>
      <c r="J184" s="163"/>
      <c r="K184" s="163"/>
      <c r="L184" s="165"/>
      <c r="M184" s="163"/>
      <c r="N184" s="163"/>
      <c r="O184" s="163"/>
      <c r="P184" s="163"/>
      <c r="Q184" s="163"/>
      <c r="R184" s="163"/>
      <c r="S184" s="163"/>
      <c r="T184" s="163"/>
      <c r="U184" s="163"/>
      <c r="V184" s="163"/>
      <c r="W184" s="163"/>
      <c r="X184" s="163"/>
      <c r="Y184" s="163"/>
      <c r="Z184" s="163"/>
      <c r="AA184" s="163"/>
    </row>
    <row r="185">
      <c r="A185" s="163"/>
      <c r="B185" s="163"/>
      <c r="C185" s="163"/>
      <c r="D185" s="163"/>
      <c r="E185" s="163"/>
      <c r="F185" s="163"/>
      <c r="G185" s="163"/>
      <c r="H185" s="163"/>
      <c r="I185" s="163"/>
      <c r="J185" s="163"/>
      <c r="K185" s="163"/>
      <c r="L185" s="165"/>
      <c r="M185" s="163"/>
      <c r="N185" s="163"/>
      <c r="O185" s="163"/>
      <c r="P185" s="163"/>
      <c r="Q185" s="163"/>
      <c r="R185" s="163"/>
      <c r="S185" s="163"/>
      <c r="T185" s="163"/>
      <c r="U185" s="163"/>
      <c r="V185" s="163"/>
      <c r="W185" s="163"/>
      <c r="X185" s="163"/>
      <c r="Y185" s="163"/>
      <c r="Z185" s="163"/>
      <c r="AA185" s="163"/>
    </row>
    <row r="186">
      <c r="A186" s="163"/>
      <c r="B186" s="163"/>
      <c r="C186" s="163"/>
      <c r="D186" s="163"/>
      <c r="E186" s="163"/>
      <c r="F186" s="163"/>
      <c r="G186" s="163"/>
      <c r="H186" s="163"/>
      <c r="I186" s="163"/>
      <c r="J186" s="163"/>
      <c r="K186" s="163"/>
      <c r="L186" s="165"/>
      <c r="M186" s="163"/>
      <c r="N186" s="163"/>
      <c r="O186" s="163"/>
      <c r="P186" s="163"/>
      <c r="Q186" s="163"/>
      <c r="R186" s="163"/>
      <c r="S186" s="163"/>
      <c r="T186" s="163"/>
      <c r="U186" s="163"/>
      <c r="V186" s="163"/>
      <c r="W186" s="163"/>
      <c r="X186" s="163"/>
      <c r="Y186" s="163"/>
      <c r="Z186" s="163"/>
      <c r="AA186" s="163"/>
    </row>
    <row r="187">
      <c r="A187" s="163"/>
      <c r="B187" s="163"/>
      <c r="C187" s="163"/>
      <c r="D187" s="163"/>
      <c r="E187" s="163"/>
      <c r="F187" s="163"/>
      <c r="G187" s="163"/>
      <c r="H187" s="163"/>
      <c r="I187" s="163"/>
      <c r="J187" s="163"/>
      <c r="K187" s="163"/>
      <c r="L187" s="165"/>
      <c r="M187" s="163"/>
      <c r="N187" s="163"/>
      <c r="O187" s="163"/>
      <c r="P187" s="163"/>
      <c r="Q187" s="163"/>
      <c r="R187" s="163"/>
      <c r="S187" s="163"/>
      <c r="T187" s="163"/>
      <c r="U187" s="163"/>
      <c r="V187" s="163"/>
      <c r="W187" s="163"/>
      <c r="X187" s="163"/>
      <c r="Y187" s="163"/>
      <c r="Z187" s="163"/>
      <c r="AA187" s="163"/>
    </row>
    <row r="188">
      <c r="A188" s="163"/>
      <c r="B188" s="163"/>
      <c r="C188" s="163"/>
      <c r="D188" s="163"/>
      <c r="E188" s="163"/>
      <c r="F188" s="163"/>
      <c r="G188" s="163"/>
      <c r="H188" s="163"/>
      <c r="I188" s="163"/>
      <c r="J188" s="163"/>
      <c r="K188" s="163"/>
      <c r="L188" s="165"/>
      <c r="M188" s="163"/>
      <c r="N188" s="163"/>
      <c r="O188" s="163"/>
      <c r="P188" s="163"/>
      <c r="Q188" s="163"/>
      <c r="R188" s="163"/>
      <c r="S188" s="163"/>
      <c r="T188" s="163"/>
      <c r="U188" s="163"/>
      <c r="V188" s="163"/>
      <c r="W188" s="163"/>
      <c r="X188" s="163"/>
      <c r="Y188" s="163"/>
      <c r="Z188" s="163"/>
      <c r="AA188" s="163"/>
    </row>
    <row r="189">
      <c r="A189" s="163"/>
      <c r="B189" s="163"/>
      <c r="C189" s="163"/>
      <c r="D189" s="163"/>
      <c r="E189" s="163"/>
      <c r="F189" s="163"/>
      <c r="G189" s="163"/>
      <c r="H189" s="163"/>
      <c r="I189" s="163"/>
      <c r="J189" s="163"/>
      <c r="K189" s="163"/>
      <c r="L189" s="165"/>
      <c r="M189" s="163"/>
      <c r="N189" s="163"/>
      <c r="O189" s="163"/>
      <c r="P189" s="163"/>
      <c r="Q189" s="163"/>
      <c r="R189" s="163"/>
      <c r="S189" s="163"/>
      <c r="T189" s="163"/>
      <c r="U189" s="163"/>
      <c r="V189" s="163"/>
      <c r="W189" s="163"/>
      <c r="X189" s="163"/>
      <c r="Y189" s="163"/>
      <c r="Z189" s="163"/>
      <c r="AA189" s="163"/>
    </row>
    <row r="190">
      <c r="A190" s="163"/>
      <c r="B190" s="163"/>
      <c r="C190" s="163"/>
      <c r="D190" s="163"/>
      <c r="E190" s="163"/>
      <c r="F190" s="163"/>
      <c r="G190" s="163"/>
      <c r="H190" s="163"/>
      <c r="I190" s="163"/>
      <c r="J190" s="163"/>
      <c r="K190" s="163"/>
      <c r="L190" s="165"/>
      <c r="M190" s="163"/>
      <c r="N190" s="163"/>
      <c r="O190" s="163"/>
      <c r="P190" s="163"/>
      <c r="Q190" s="163"/>
      <c r="R190" s="163"/>
      <c r="S190" s="163"/>
      <c r="T190" s="163"/>
      <c r="U190" s="163"/>
      <c r="V190" s="163"/>
      <c r="W190" s="163"/>
      <c r="X190" s="163"/>
      <c r="Y190" s="163"/>
      <c r="Z190" s="163"/>
      <c r="AA190" s="163"/>
    </row>
    <row r="191">
      <c r="A191" s="163"/>
      <c r="B191" s="163"/>
      <c r="C191" s="163"/>
      <c r="D191" s="163"/>
      <c r="E191" s="163"/>
      <c r="F191" s="163"/>
      <c r="G191" s="163"/>
      <c r="H191" s="163"/>
      <c r="I191" s="163"/>
      <c r="J191" s="163"/>
      <c r="K191" s="163"/>
      <c r="L191" s="165"/>
      <c r="M191" s="163"/>
      <c r="N191" s="163"/>
      <c r="O191" s="163"/>
      <c r="P191" s="163"/>
      <c r="Q191" s="163"/>
      <c r="R191" s="163"/>
      <c r="S191" s="163"/>
      <c r="T191" s="163"/>
      <c r="U191" s="163"/>
      <c r="V191" s="163"/>
      <c r="W191" s="163"/>
      <c r="X191" s="163"/>
      <c r="Y191" s="163"/>
      <c r="Z191" s="163"/>
      <c r="AA191" s="163"/>
    </row>
    <row r="192">
      <c r="A192" s="163"/>
      <c r="B192" s="163"/>
      <c r="C192" s="163"/>
      <c r="D192" s="163"/>
      <c r="E192" s="163"/>
      <c r="F192" s="163"/>
      <c r="G192" s="163"/>
      <c r="H192" s="163"/>
      <c r="I192" s="163"/>
      <c r="J192" s="163"/>
      <c r="K192" s="163"/>
      <c r="L192" s="165"/>
      <c r="M192" s="163"/>
      <c r="N192" s="163"/>
      <c r="O192" s="163"/>
      <c r="P192" s="163"/>
      <c r="Q192" s="163"/>
      <c r="R192" s="163"/>
      <c r="S192" s="163"/>
      <c r="T192" s="163"/>
      <c r="U192" s="163"/>
      <c r="V192" s="163"/>
      <c r="W192" s="163"/>
      <c r="X192" s="163"/>
      <c r="Y192" s="163"/>
      <c r="Z192" s="163"/>
      <c r="AA192" s="163"/>
    </row>
    <row r="193">
      <c r="A193" s="163"/>
      <c r="B193" s="163"/>
      <c r="C193" s="163"/>
      <c r="D193" s="163"/>
      <c r="E193" s="163"/>
      <c r="F193" s="163"/>
      <c r="G193" s="163"/>
      <c r="H193" s="163"/>
      <c r="I193" s="163"/>
      <c r="J193" s="163"/>
      <c r="K193" s="163"/>
      <c r="L193" s="165"/>
      <c r="M193" s="163"/>
      <c r="N193" s="163"/>
      <c r="O193" s="163"/>
      <c r="P193" s="163"/>
      <c r="Q193" s="163"/>
      <c r="R193" s="163"/>
      <c r="S193" s="163"/>
      <c r="T193" s="163"/>
      <c r="U193" s="163"/>
      <c r="V193" s="163"/>
      <c r="W193" s="163"/>
      <c r="X193" s="163"/>
      <c r="Y193" s="163"/>
      <c r="Z193" s="163"/>
      <c r="AA193" s="163"/>
    </row>
    <row r="194">
      <c r="A194" s="163"/>
      <c r="B194" s="163"/>
      <c r="C194" s="163"/>
      <c r="D194" s="163"/>
      <c r="E194" s="163"/>
      <c r="F194" s="163"/>
      <c r="G194" s="163"/>
      <c r="H194" s="163"/>
      <c r="I194" s="163"/>
      <c r="J194" s="163"/>
      <c r="K194" s="163"/>
      <c r="L194" s="165"/>
      <c r="M194" s="163"/>
      <c r="N194" s="163"/>
      <c r="O194" s="163"/>
      <c r="P194" s="163"/>
      <c r="Q194" s="163"/>
      <c r="R194" s="163"/>
      <c r="S194" s="163"/>
      <c r="T194" s="163"/>
      <c r="U194" s="163"/>
      <c r="V194" s="163"/>
      <c r="W194" s="163"/>
      <c r="X194" s="163"/>
      <c r="Y194" s="163"/>
      <c r="Z194" s="163"/>
      <c r="AA194" s="163"/>
    </row>
    <row r="195">
      <c r="A195" s="163"/>
      <c r="B195" s="163"/>
      <c r="C195" s="163"/>
      <c r="D195" s="163"/>
      <c r="E195" s="163"/>
      <c r="F195" s="163"/>
      <c r="G195" s="163"/>
      <c r="H195" s="163"/>
      <c r="I195" s="163"/>
      <c r="J195" s="163"/>
      <c r="K195" s="163"/>
      <c r="L195" s="165"/>
      <c r="M195" s="163"/>
      <c r="N195" s="163"/>
      <c r="O195" s="163"/>
      <c r="P195" s="163"/>
      <c r="Q195" s="163"/>
      <c r="R195" s="163"/>
      <c r="S195" s="163"/>
      <c r="T195" s="163"/>
      <c r="U195" s="163"/>
      <c r="V195" s="163"/>
      <c r="W195" s="163"/>
      <c r="X195" s="163"/>
      <c r="Y195" s="163"/>
      <c r="Z195" s="163"/>
      <c r="AA195" s="163"/>
    </row>
    <row r="196">
      <c r="A196" s="163"/>
      <c r="B196" s="163"/>
      <c r="C196" s="163"/>
      <c r="D196" s="163"/>
      <c r="E196" s="163"/>
      <c r="F196" s="163"/>
      <c r="G196" s="163"/>
      <c r="H196" s="163"/>
      <c r="I196" s="163"/>
      <c r="J196" s="163"/>
      <c r="K196" s="163"/>
      <c r="L196" s="165"/>
      <c r="M196" s="163"/>
      <c r="N196" s="163"/>
      <c r="O196" s="163"/>
      <c r="P196" s="163"/>
      <c r="Q196" s="163"/>
      <c r="R196" s="163"/>
      <c r="S196" s="163"/>
      <c r="T196" s="163"/>
      <c r="U196" s="163"/>
      <c r="V196" s="163"/>
      <c r="W196" s="163"/>
      <c r="X196" s="163"/>
      <c r="Y196" s="163"/>
      <c r="Z196" s="163"/>
      <c r="AA196" s="163"/>
    </row>
    <row r="197">
      <c r="A197" s="163"/>
      <c r="B197" s="163"/>
      <c r="C197" s="163"/>
      <c r="D197" s="163"/>
      <c r="E197" s="163"/>
      <c r="F197" s="163"/>
      <c r="G197" s="163"/>
      <c r="H197" s="163"/>
      <c r="I197" s="163"/>
      <c r="J197" s="163"/>
      <c r="K197" s="163"/>
      <c r="L197" s="165"/>
      <c r="M197" s="163"/>
      <c r="N197" s="163"/>
      <c r="O197" s="163"/>
      <c r="P197" s="163"/>
      <c r="Q197" s="163"/>
      <c r="R197" s="163"/>
      <c r="S197" s="163"/>
      <c r="T197" s="163"/>
      <c r="U197" s="163"/>
      <c r="V197" s="163"/>
      <c r="W197" s="163"/>
      <c r="X197" s="163"/>
      <c r="Y197" s="163"/>
      <c r="Z197" s="163"/>
      <c r="AA197" s="163"/>
    </row>
    <row r="198">
      <c r="A198" s="163"/>
      <c r="B198" s="163"/>
      <c r="C198" s="163"/>
      <c r="D198" s="163"/>
      <c r="E198" s="163"/>
      <c r="F198" s="163"/>
      <c r="G198" s="163"/>
      <c r="H198" s="163"/>
      <c r="I198" s="163"/>
      <c r="J198" s="163"/>
      <c r="K198" s="163"/>
      <c r="L198" s="165"/>
      <c r="M198" s="163"/>
      <c r="N198" s="163"/>
      <c r="O198" s="163"/>
      <c r="P198" s="163"/>
      <c r="Q198" s="163"/>
      <c r="R198" s="163"/>
      <c r="S198" s="163"/>
      <c r="T198" s="163"/>
      <c r="U198" s="163"/>
      <c r="V198" s="163"/>
      <c r="W198" s="163"/>
      <c r="X198" s="163"/>
      <c r="Y198" s="163"/>
      <c r="Z198" s="163"/>
      <c r="AA198" s="163"/>
    </row>
    <row r="199">
      <c r="A199" s="163"/>
      <c r="B199" s="163"/>
      <c r="C199" s="163"/>
      <c r="D199" s="163"/>
      <c r="E199" s="163"/>
      <c r="F199" s="163"/>
      <c r="G199" s="163"/>
      <c r="H199" s="163"/>
      <c r="I199" s="163"/>
      <c r="J199" s="163"/>
      <c r="K199" s="163"/>
      <c r="L199" s="165"/>
      <c r="M199" s="163"/>
      <c r="N199" s="163"/>
      <c r="O199" s="163"/>
      <c r="P199" s="163"/>
      <c r="Q199" s="163"/>
      <c r="R199" s="163"/>
      <c r="S199" s="163"/>
      <c r="T199" s="163"/>
      <c r="U199" s="163"/>
      <c r="V199" s="163"/>
      <c r="W199" s="163"/>
      <c r="X199" s="163"/>
      <c r="Y199" s="163"/>
      <c r="Z199" s="163"/>
      <c r="AA199" s="163"/>
    </row>
    <row r="200">
      <c r="A200" s="163"/>
      <c r="B200" s="163"/>
      <c r="C200" s="163"/>
      <c r="D200" s="163"/>
      <c r="E200" s="163"/>
      <c r="F200" s="163"/>
      <c r="G200" s="163"/>
      <c r="H200" s="163"/>
      <c r="I200" s="163"/>
      <c r="J200" s="163"/>
      <c r="K200" s="163"/>
      <c r="L200" s="165"/>
      <c r="M200" s="163"/>
      <c r="N200" s="163"/>
      <c r="O200" s="163"/>
      <c r="P200" s="163"/>
      <c r="Q200" s="163"/>
      <c r="R200" s="163"/>
      <c r="S200" s="163"/>
      <c r="T200" s="163"/>
      <c r="U200" s="163"/>
      <c r="V200" s="163"/>
      <c r="W200" s="163"/>
      <c r="X200" s="163"/>
      <c r="Y200" s="163"/>
      <c r="Z200" s="163"/>
      <c r="AA200" s="163"/>
    </row>
    <row r="201">
      <c r="A201" s="163"/>
      <c r="B201" s="163"/>
      <c r="C201" s="163"/>
      <c r="D201" s="163"/>
      <c r="E201" s="163"/>
      <c r="F201" s="163"/>
      <c r="G201" s="163"/>
      <c r="H201" s="163"/>
      <c r="I201" s="163"/>
      <c r="J201" s="163"/>
      <c r="K201" s="163"/>
      <c r="L201" s="165"/>
      <c r="M201" s="163"/>
      <c r="N201" s="163"/>
      <c r="O201" s="163"/>
      <c r="P201" s="163"/>
      <c r="Q201" s="163"/>
      <c r="R201" s="163"/>
      <c r="S201" s="163"/>
      <c r="T201" s="163"/>
      <c r="U201" s="163"/>
      <c r="V201" s="163"/>
      <c r="W201" s="163"/>
      <c r="X201" s="163"/>
      <c r="Y201" s="163"/>
      <c r="Z201" s="163"/>
      <c r="AA201" s="163"/>
    </row>
    <row r="202">
      <c r="A202" s="163"/>
      <c r="B202" s="163"/>
      <c r="C202" s="163"/>
      <c r="D202" s="163"/>
      <c r="E202" s="163"/>
      <c r="F202" s="163"/>
      <c r="G202" s="163"/>
      <c r="H202" s="163"/>
      <c r="I202" s="163"/>
      <c r="J202" s="163"/>
      <c r="K202" s="163"/>
      <c r="L202" s="165"/>
      <c r="M202" s="163"/>
      <c r="N202" s="163"/>
      <c r="O202" s="163"/>
      <c r="P202" s="163"/>
      <c r="Q202" s="163"/>
      <c r="R202" s="163"/>
      <c r="S202" s="163"/>
      <c r="T202" s="163"/>
      <c r="U202" s="163"/>
      <c r="V202" s="163"/>
      <c r="W202" s="163"/>
      <c r="X202" s="163"/>
      <c r="Y202" s="163"/>
      <c r="Z202" s="163"/>
      <c r="AA202" s="163"/>
    </row>
    <row r="203">
      <c r="A203" s="163"/>
      <c r="B203" s="163"/>
      <c r="C203" s="163"/>
      <c r="D203" s="163"/>
      <c r="E203" s="163"/>
      <c r="F203" s="163"/>
      <c r="G203" s="163"/>
      <c r="H203" s="163"/>
      <c r="I203" s="163"/>
      <c r="J203" s="163"/>
      <c r="K203" s="163"/>
      <c r="L203" s="165"/>
      <c r="M203" s="163"/>
      <c r="N203" s="163"/>
      <c r="O203" s="163"/>
      <c r="P203" s="163"/>
      <c r="Q203" s="163"/>
      <c r="R203" s="163"/>
      <c r="S203" s="163"/>
      <c r="T203" s="163"/>
      <c r="U203" s="163"/>
      <c r="V203" s="163"/>
      <c r="W203" s="163"/>
      <c r="X203" s="163"/>
      <c r="Y203" s="163"/>
      <c r="Z203" s="163"/>
      <c r="AA203" s="163"/>
    </row>
    <row r="204">
      <c r="A204" s="163"/>
      <c r="B204" s="163"/>
      <c r="C204" s="163"/>
      <c r="D204" s="163"/>
      <c r="E204" s="163"/>
      <c r="F204" s="163"/>
      <c r="G204" s="163"/>
      <c r="H204" s="163"/>
      <c r="I204" s="163"/>
      <c r="J204" s="163"/>
      <c r="K204" s="163"/>
      <c r="L204" s="165"/>
      <c r="M204" s="163"/>
      <c r="N204" s="163"/>
      <c r="O204" s="163"/>
      <c r="P204" s="163"/>
      <c r="Q204" s="163"/>
      <c r="R204" s="163"/>
      <c r="S204" s="163"/>
      <c r="T204" s="163"/>
      <c r="U204" s="163"/>
      <c r="V204" s="163"/>
      <c r="W204" s="163"/>
      <c r="X204" s="163"/>
      <c r="Y204" s="163"/>
      <c r="Z204" s="163"/>
      <c r="AA204" s="163"/>
    </row>
    <row r="205">
      <c r="A205" s="163"/>
      <c r="B205" s="163"/>
      <c r="C205" s="163"/>
      <c r="D205" s="163"/>
      <c r="E205" s="163"/>
      <c r="F205" s="163"/>
      <c r="G205" s="163"/>
      <c r="H205" s="163"/>
      <c r="I205" s="163"/>
      <c r="J205" s="163"/>
      <c r="K205" s="163"/>
      <c r="L205" s="165"/>
      <c r="M205" s="163"/>
      <c r="N205" s="163"/>
      <c r="O205" s="163"/>
      <c r="P205" s="163"/>
      <c r="Q205" s="163"/>
      <c r="R205" s="163"/>
      <c r="S205" s="163"/>
      <c r="T205" s="163"/>
      <c r="U205" s="163"/>
      <c r="V205" s="163"/>
      <c r="W205" s="163"/>
      <c r="X205" s="163"/>
      <c r="Y205" s="163"/>
      <c r="Z205" s="163"/>
      <c r="AA205" s="163"/>
    </row>
    <row r="206">
      <c r="A206" s="163"/>
      <c r="B206" s="163"/>
      <c r="C206" s="163"/>
      <c r="D206" s="163"/>
      <c r="E206" s="163"/>
      <c r="F206" s="163"/>
      <c r="G206" s="163"/>
      <c r="H206" s="163"/>
      <c r="I206" s="163"/>
      <c r="J206" s="163"/>
      <c r="K206" s="163"/>
      <c r="L206" s="165"/>
      <c r="M206" s="163"/>
      <c r="N206" s="163"/>
      <c r="O206" s="163"/>
      <c r="P206" s="163"/>
      <c r="Q206" s="163"/>
      <c r="R206" s="163"/>
      <c r="S206" s="163"/>
      <c r="T206" s="163"/>
      <c r="U206" s="163"/>
      <c r="V206" s="163"/>
      <c r="W206" s="163"/>
      <c r="X206" s="163"/>
      <c r="Y206" s="163"/>
      <c r="Z206" s="163"/>
      <c r="AA206" s="163"/>
    </row>
    <row r="207">
      <c r="A207" s="163"/>
      <c r="B207" s="163"/>
      <c r="C207" s="163"/>
      <c r="D207" s="163"/>
      <c r="E207" s="163"/>
      <c r="F207" s="163"/>
      <c r="G207" s="163"/>
      <c r="H207" s="163"/>
      <c r="I207" s="163"/>
      <c r="J207" s="163"/>
      <c r="K207" s="163"/>
      <c r="L207" s="165"/>
      <c r="M207" s="163"/>
      <c r="N207" s="163"/>
      <c r="O207" s="163"/>
      <c r="P207" s="163"/>
      <c r="Q207" s="163"/>
      <c r="R207" s="163"/>
      <c r="S207" s="163"/>
      <c r="T207" s="163"/>
      <c r="U207" s="163"/>
      <c r="V207" s="163"/>
      <c r="W207" s="163"/>
      <c r="X207" s="163"/>
      <c r="Y207" s="163"/>
      <c r="Z207" s="163"/>
      <c r="AA207" s="163"/>
    </row>
    <row r="208">
      <c r="A208" s="163"/>
      <c r="B208" s="163"/>
      <c r="C208" s="163"/>
      <c r="D208" s="163"/>
      <c r="E208" s="163"/>
      <c r="F208" s="163"/>
      <c r="G208" s="163"/>
      <c r="H208" s="163"/>
      <c r="I208" s="163"/>
      <c r="J208" s="163"/>
      <c r="K208" s="163"/>
      <c r="L208" s="165"/>
      <c r="M208" s="163"/>
      <c r="N208" s="163"/>
      <c r="O208" s="163"/>
      <c r="P208" s="163"/>
      <c r="Q208" s="163"/>
      <c r="R208" s="163"/>
      <c r="S208" s="163"/>
      <c r="T208" s="163"/>
      <c r="U208" s="163"/>
      <c r="V208" s="163"/>
      <c r="W208" s="163"/>
      <c r="X208" s="163"/>
      <c r="Y208" s="163"/>
      <c r="Z208" s="163"/>
      <c r="AA208" s="163"/>
    </row>
    <row r="209">
      <c r="A209" s="163"/>
      <c r="B209" s="163"/>
      <c r="C209" s="163"/>
      <c r="D209" s="163"/>
      <c r="E209" s="163"/>
      <c r="F209" s="163"/>
      <c r="G209" s="163"/>
      <c r="H209" s="163"/>
      <c r="I209" s="163"/>
      <c r="J209" s="163"/>
      <c r="K209" s="163"/>
      <c r="L209" s="165"/>
      <c r="M209" s="163"/>
      <c r="N209" s="163"/>
      <c r="O209" s="163"/>
      <c r="P209" s="163"/>
      <c r="Q209" s="163"/>
      <c r="R209" s="163"/>
      <c r="S209" s="163"/>
      <c r="T209" s="163"/>
      <c r="U209" s="163"/>
      <c r="V209" s="163"/>
      <c r="W209" s="163"/>
      <c r="X209" s="163"/>
      <c r="Y209" s="163"/>
      <c r="Z209" s="163"/>
      <c r="AA209" s="163"/>
    </row>
    <row r="210">
      <c r="A210" s="163"/>
      <c r="B210" s="163"/>
      <c r="C210" s="163"/>
      <c r="D210" s="163"/>
      <c r="E210" s="163"/>
      <c r="F210" s="163"/>
      <c r="G210" s="163"/>
      <c r="H210" s="163"/>
      <c r="I210" s="163"/>
      <c r="J210" s="163"/>
      <c r="K210" s="163"/>
      <c r="L210" s="165"/>
      <c r="M210" s="163"/>
      <c r="N210" s="163"/>
      <c r="O210" s="163"/>
      <c r="P210" s="163"/>
      <c r="Q210" s="163"/>
      <c r="R210" s="163"/>
      <c r="S210" s="163"/>
      <c r="T210" s="163"/>
      <c r="U210" s="163"/>
      <c r="V210" s="163"/>
      <c r="W210" s="163"/>
      <c r="X210" s="163"/>
      <c r="Y210" s="163"/>
      <c r="Z210" s="163"/>
      <c r="AA210" s="163"/>
    </row>
    <row r="211">
      <c r="A211" s="163"/>
      <c r="B211" s="163"/>
      <c r="C211" s="163"/>
      <c r="D211" s="163"/>
      <c r="E211" s="163"/>
      <c r="F211" s="163"/>
      <c r="G211" s="163"/>
      <c r="H211" s="163"/>
      <c r="I211" s="163"/>
      <c r="J211" s="163"/>
      <c r="K211" s="163"/>
      <c r="L211" s="165"/>
      <c r="M211" s="163"/>
      <c r="N211" s="163"/>
      <c r="O211" s="163"/>
      <c r="P211" s="163"/>
      <c r="Q211" s="163"/>
      <c r="R211" s="163"/>
      <c r="S211" s="163"/>
      <c r="T211" s="163"/>
      <c r="U211" s="163"/>
      <c r="V211" s="163"/>
      <c r="W211" s="163"/>
      <c r="X211" s="163"/>
      <c r="Y211" s="163"/>
      <c r="Z211" s="163"/>
      <c r="AA211" s="163"/>
    </row>
    <row r="212">
      <c r="A212" s="163"/>
      <c r="B212" s="163"/>
      <c r="C212" s="163"/>
      <c r="D212" s="163"/>
      <c r="E212" s="163"/>
      <c r="F212" s="163"/>
      <c r="G212" s="163"/>
      <c r="H212" s="163"/>
      <c r="I212" s="163"/>
      <c r="J212" s="163"/>
      <c r="K212" s="163"/>
      <c r="L212" s="165"/>
      <c r="M212" s="163"/>
      <c r="N212" s="163"/>
      <c r="O212" s="163"/>
      <c r="P212" s="163"/>
      <c r="Q212" s="163"/>
      <c r="R212" s="163"/>
      <c r="S212" s="163"/>
      <c r="T212" s="163"/>
      <c r="U212" s="163"/>
      <c r="V212" s="163"/>
      <c r="W212" s="163"/>
      <c r="X212" s="163"/>
      <c r="Y212" s="163"/>
      <c r="Z212" s="163"/>
      <c r="AA212" s="163"/>
    </row>
    <row r="213">
      <c r="A213" s="163"/>
      <c r="B213" s="163"/>
      <c r="C213" s="163"/>
      <c r="D213" s="163"/>
      <c r="E213" s="163"/>
      <c r="F213" s="163"/>
      <c r="G213" s="163"/>
      <c r="H213" s="163"/>
      <c r="I213" s="163"/>
      <c r="J213" s="163"/>
      <c r="K213" s="163"/>
      <c r="L213" s="165"/>
      <c r="M213" s="163"/>
      <c r="N213" s="163"/>
      <c r="O213" s="163"/>
      <c r="P213" s="163"/>
      <c r="Q213" s="163"/>
      <c r="R213" s="163"/>
      <c r="S213" s="163"/>
      <c r="T213" s="163"/>
      <c r="U213" s="163"/>
      <c r="V213" s="163"/>
      <c r="W213" s="163"/>
      <c r="X213" s="163"/>
      <c r="Y213" s="163"/>
      <c r="Z213" s="163"/>
      <c r="AA213" s="163"/>
    </row>
    <row r="214">
      <c r="A214" s="163"/>
      <c r="B214" s="163"/>
      <c r="C214" s="163"/>
      <c r="D214" s="163"/>
      <c r="E214" s="163"/>
      <c r="F214" s="163"/>
      <c r="G214" s="163"/>
      <c r="H214" s="163"/>
      <c r="I214" s="163"/>
      <c r="J214" s="163"/>
      <c r="K214" s="163"/>
      <c r="L214" s="165"/>
      <c r="M214" s="163"/>
      <c r="N214" s="163"/>
      <c r="O214" s="163"/>
      <c r="P214" s="163"/>
      <c r="Q214" s="163"/>
      <c r="R214" s="163"/>
      <c r="S214" s="163"/>
      <c r="T214" s="163"/>
      <c r="U214" s="163"/>
      <c r="V214" s="163"/>
      <c r="W214" s="163"/>
      <c r="X214" s="163"/>
      <c r="Y214" s="163"/>
      <c r="Z214" s="163"/>
      <c r="AA214" s="163"/>
    </row>
    <row r="215">
      <c r="A215" s="163"/>
      <c r="B215" s="163"/>
      <c r="C215" s="163"/>
      <c r="D215" s="163"/>
      <c r="E215" s="163"/>
      <c r="F215" s="163"/>
      <c r="G215" s="163"/>
      <c r="H215" s="163"/>
      <c r="I215" s="163"/>
      <c r="J215" s="163"/>
      <c r="K215" s="163"/>
      <c r="L215" s="165"/>
      <c r="M215" s="163"/>
      <c r="N215" s="163"/>
      <c r="O215" s="163"/>
      <c r="P215" s="163"/>
      <c r="Q215" s="163"/>
      <c r="R215" s="163"/>
      <c r="S215" s="163"/>
      <c r="T215" s="163"/>
      <c r="U215" s="163"/>
      <c r="V215" s="163"/>
      <c r="W215" s="163"/>
      <c r="X215" s="163"/>
      <c r="Y215" s="163"/>
      <c r="Z215" s="163"/>
      <c r="AA215" s="163"/>
    </row>
    <row r="216">
      <c r="A216" s="163"/>
      <c r="B216" s="163"/>
      <c r="C216" s="163"/>
      <c r="D216" s="163"/>
      <c r="E216" s="163"/>
      <c r="F216" s="163"/>
      <c r="G216" s="163"/>
      <c r="H216" s="163"/>
      <c r="I216" s="163"/>
      <c r="J216" s="163"/>
      <c r="K216" s="163"/>
      <c r="L216" s="165"/>
      <c r="M216" s="163"/>
      <c r="N216" s="163"/>
      <c r="O216" s="163"/>
      <c r="P216" s="163"/>
      <c r="Q216" s="163"/>
      <c r="R216" s="163"/>
      <c r="S216" s="163"/>
      <c r="T216" s="163"/>
      <c r="U216" s="163"/>
      <c r="V216" s="163"/>
      <c r="W216" s="163"/>
      <c r="X216" s="163"/>
      <c r="Y216" s="163"/>
      <c r="Z216" s="163"/>
      <c r="AA216" s="163"/>
    </row>
    <row r="217">
      <c r="A217" s="163"/>
      <c r="B217" s="163"/>
      <c r="C217" s="163"/>
      <c r="D217" s="163"/>
      <c r="E217" s="163"/>
      <c r="F217" s="163"/>
      <c r="G217" s="163"/>
      <c r="H217" s="163"/>
      <c r="I217" s="163"/>
      <c r="J217" s="163"/>
      <c r="K217" s="163"/>
      <c r="L217" s="165"/>
      <c r="M217" s="163"/>
      <c r="N217" s="163"/>
      <c r="O217" s="163"/>
      <c r="P217" s="163"/>
      <c r="Q217" s="163"/>
      <c r="R217" s="163"/>
      <c r="S217" s="163"/>
      <c r="T217" s="163"/>
      <c r="U217" s="163"/>
      <c r="V217" s="163"/>
      <c r="W217" s="163"/>
      <c r="X217" s="163"/>
      <c r="Y217" s="163"/>
      <c r="Z217" s="163"/>
      <c r="AA217" s="163"/>
    </row>
    <row r="218">
      <c r="A218" s="163"/>
      <c r="B218" s="163"/>
      <c r="C218" s="163"/>
      <c r="D218" s="163"/>
      <c r="E218" s="163"/>
      <c r="F218" s="163"/>
      <c r="G218" s="163"/>
      <c r="H218" s="163"/>
      <c r="I218" s="163"/>
      <c r="J218" s="163"/>
      <c r="K218" s="163"/>
      <c r="L218" s="165"/>
      <c r="M218" s="163"/>
      <c r="N218" s="163"/>
      <c r="O218" s="163"/>
      <c r="P218" s="163"/>
      <c r="Q218" s="163"/>
      <c r="R218" s="163"/>
      <c r="S218" s="163"/>
      <c r="T218" s="163"/>
      <c r="U218" s="163"/>
      <c r="V218" s="163"/>
      <c r="W218" s="163"/>
      <c r="X218" s="163"/>
      <c r="Y218" s="163"/>
      <c r="Z218" s="163"/>
      <c r="AA218" s="163"/>
    </row>
    <row r="219">
      <c r="A219" s="163"/>
      <c r="B219" s="163"/>
      <c r="C219" s="163"/>
      <c r="D219" s="163"/>
      <c r="E219" s="163"/>
      <c r="F219" s="163"/>
      <c r="G219" s="163"/>
      <c r="H219" s="163"/>
      <c r="I219" s="163"/>
      <c r="J219" s="163"/>
      <c r="K219" s="163"/>
      <c r="L219" s="165"/>
      <c r="M219" s="163"/>
      <c r="N219" s="163"/>
      <c r="O219" s="163"/>
      <c r="P219" s="163"/>
      <c r="Q219" s="163"/>
      <c r="R219" s="163"/>
      <c r="S219" s="163"/>
      <c r="T219" s="163"/>
      <c r="U219" s="163"/>
      <c r="V219" s="163"/>
      <c r="W219" s="163"/>
      <c r="X219" s="163"/>
      <c r="Y219" s="163"/>
      <c r="Z219" s="163"/>
      <c r="AA219" s="163"/>
    </row>
    <row r="220">
      <c r="A220" s="163"/>
      <c r="B220" s="163"/>
      <c r="C220" s="163"/>
      <c r="D220" s="163"/>
      <c r="E220" s="163"/>
      <c r="F220" s="163"/>
      <c r="G220" s="163"/>
      <c r="H220" s="163"/>
      <c r="I220" s="163"/>
      <c r="J220" s="163"/>
      <c r="K220" s="163"/>
      <c r="L220" s="165"/>
      <c r="M220" s="163"/>
      <c r="N220" s="163"/>
      <c r="O220" s="163"/>
      <c r="P220" s="163"/>
      <c r="Q220" s="163"/>
      <c r="R220" s="163"/>
      <c r="S220" s="163"/>
      <c r="T220" s="163"/>
      <c r="U220" s="163"/>
      <c r="V220" s="163"/>
      <c r="W220" s="163"/>
      <c r="X220" s="163"/>
      <c r="Y220" s="163"/>
      <c r="Z220" s="163"/>
      <c r="AA220" s="163"/>
    </row>
    <row r="221">
      <c r="A221" s="163"/>
      <c r="B221" s="163"/>
      <c r="C221" s="163"/>
      <c r="D221" s="163"/>
      <c r="E221" s="163"/>
      <c r="F221" s="163"/>
      <c r="G221" s="163"/>
      <c r="H221" s="163"/>
      <c r="I221" s="163"/>
      <c r="J221" s="163"/>
      <c r="K221" s="163"/>
      <c r="L221" s="165"/>
      <c r="M221" s="163"/>
      <c r="N221" s="163"/>
      <c r="O221" s="163"/>
      <c r="P221" s="163"/>
      <c r="Q221" s="163"/>
      <c r="R221" s="163"/>
      <c r="S221" s="163"/>
      <c r="T221" s="163"/>
      <c r="U221" s="163"/>
      <c r="V221" s="163"/>
      <c r="W221" s="163"/>
      <c r="X221" s="163"/>
      <c r="Y221" s="163"/>
      <c r="Z221" s="163"/>
      <c r="AA221" s="163"/>
    </row>
    <row r="222">
      <c r="A222" s="163"/>
      <c r="B222" s="163"/>
      <c r="C222" s="163"/>
      <c r="D222" s="163"/>
      <c r="E222" s="163"/>
      <c r="F222" s="163"/>
      <c r="G222" s="163"/>
      <c r="H222" s="163"/>
      <c r="I222" s="163"/>
      <c r="J222" s="163"/>
      <c r="K222" s="163"/>
      <c r="L222" s="165"/>
      <c r="M222" s="163"/>
      <c r="N222" s="163"/>
      <c r="O222" s="163"/>
      <c r="P222" s="163"/>
      <c r="Q222" s="163"/>
      <c r="R222" s="163"/>
      <c r="S222" s="163"/>
      <c r="T222" s="163"/>
      <c r="U222" s="163"/>
      <c r="V222" s="163"/>
      <c r="W222" s="163"/>
      <c r="X222" s="163"/>
      <c r="Y222" s="163"/>
      <c r="Z222" s="163"/>
      <c r="AA222" s="163"/>
    </row>
    <row r="223">
      <c r="A223" s="163"/>
      <c r="B223" s="163"/>
      <c r="C223" s="163"/>
      <c r="D223" s="163"/>
      <c r="E223" s="163"/>
      <c r="F223" s="163"/>
      <c r="G223" s="163"/>
      <c r="H223" s="163"/>
      <c r="I223" s="163"/>
      <c r="J223" s="163"/>
      <c r="K223" s="163"/>
      <c r="L223" s="165"/>
      <c r="M223" s="163"/>
      <c r="N223" s="163"/>
      <c r="O223" s="163"/>
      <c r="P223" s="163"/>
      <c r="Q223" s="163"/>
      <c r="R223" s="163"/>
      <c r="S223" s="163"/>
      <c r="T223" s="163"/>
      <c r="U223" s="163"/>
      <c r="V223" s="163"/>
      <c r="W223" s="163"/>
      <c r="X223" s="163"/>
      <c r="Y223" s="163"/>
      <c r="Z223" s="163"/>
      <c r="AA223" s="163"/>
    </row>
    <row r="224">
      <c r="A224" s="163"/>
      <c r="B224" s="163"/>
      <c r="C224" s="163"/>
      <c r="D224" s="163"/>
      <c r="E224" s="163"/>
      <c r="F224" s="163"/>
      <c r="G224" s="163"/>
      <c r="H224" s="163"/>
      <c r="I224" s="163"/>
      <c r="J224" s="163"/>
      <c r="K224" s="163"/>
      <c r="L224" s="165"/>
      <c r="M224" s="163"/>
      <c r="N224" s="163"/>
      <c r="O224" s="163"/>
      <c r="P224" s="163"/>
      <c r="Q224" s="163"/>
      <c r="R224" s="163"/>
      <c r="S224" s="163"/>
      <c r="T224" s="163"/>
      <c r="U224" s="163"/>
      <c r="V224" s="163"/>
      <c r="W224" s="163"/>
      <c r="X224" s="163"/>
      <c r="Y224" s="163"/>
      <c r="Z224" s="163"/>
      <c r="AA224" s="163"/>
    </row>
    <row r="225">
      <c r="A225" s="163"/>
      <c r="B225" s="163"/>
      <c r="C225" s="163"/>
      <c r="D225" s="163"/>
      <c r="E225" s="163"/>
      <c r="F225" s="163"/>
      <c r="G225" s="163"/>
      <c r="H225" s="163"/>
      <c r="I225" s="163"/>
      <c r="J225" s="163"/>
      <c r="K225" s="163"/>
      <c r="L225" s="165"/>
      <c r="M225" s="163"/>
      <c r="N225" s="163"/>
      <c r="O225" s="163"/>
      <c r="P225" s="163"/>
      <c r="Q225" s="163"/>
      <c r="R225" s="163"/>
      <c r="S225" s="163"/>
      <c r="T225" s="163"/>
      <c r="U225" s="163"/>
      <c r="V225" s="163"/>
      <c r="W225" s="163"/>
      <c r="X225" s="163"/>
      <c r="Y225" s="163"/>
      <c r="Z225" s="163"/>
      <c r="AA225" s="163"/>
    </row>
    <row r="226">
      <c r="A226" s="163"/>
      <c r="B226" s="163"/>
      <c r="C226" s="163"/>
      <c r="D226" s="163"/>
      <c r="E226" s="163"/>
      <c r="F226" s="163"/>
      <c r="G226" s="163"/>
      <c r="H226" s="163"/>
      <c r="I226" s="163"/>
      <c r="J226" s="163"/>
      <c r="K226" s="163"/>
      <c r="L226" s="165"/>
      <c r="M226" s="163"/>
      <c r="N226" s="163"/>
      <c r="O226" s="163"/>
      <c r="P226" s="163"/>
      <c r="Q226" s="163"/>
      <c r="R226" s="163"/>
      <c r="S226" s="163"/>
      <c r="T226" s="163"/>
      <c r="U226" s="163"/>
      <c r="V226" s="163"/>
      <c r="W226" s="163"/>
      <c r="X226" s="163"/>
      <c r="Y226" s="163"/>
      <c r="Z226" s="163"/>
      <c r="AA226" s="163"/>
    </row>
    <row r="227">
      <c r="A227" s="163"/>
      <c r="B227" s="163"/>
      <c r="C227" s="163"/>
      <c r="D227" s="163"/>
      <c r="E227" s="163"/>
      <c r="F227" s="163"/>
      <c r="G227" s="163"/>
      <c r="H227" s="163"/>
      <c r="I227" s="163"/>
      <c r="J227" s="163"/>
      <c r="K227" s="163"/>
      <c r="L227" s="165"/>
      <c r="M227" s="163"/>
      <c r="N227" s="163"/>
      <c r="O227" s="163"/>
      <c r="P227" s="163"/>
      <c r="Q227" s="163"/>
      <c r="R227" s="163"/>
      <c r="S227" s="163"/>
      <c r="T227" s="163"/>
      <c r="U227" s="163"/>
      <c r="V227" s="163"/>
      <c r="W227" s="163"/>
      <c r="X227" s="163"/>
      <c r="Y227" s="163"/>
      <c r="Z227" s="163"/>
      <c r="AA227" s="163"/>
    </row>
    <row r="228">
      <c r="A228" s="163"/>
      <c r="B228" s="163"/>
      <c r="C228" s="163"/>
      <c r="D228" s="163"/>
      <c r="E228" s="163"/>
      <c r="F228" s="163"/>
      <c r="G228" s="163"/>
      <c r="H228" s="163"/>
      <c r="I228" s="163"/>
      <c r="J228" s="163"/>
      <c r="K228" s="163"/>
      <c r="L228" s="165"/>
      <c r="M228" s="163"/>
      <c r="N228" s="163"/>
      <c r="O228" s="163"/>
      <c r="P228" s="163"/>
      <c r="Q228" s="163"/>
      <c r="R228" s="163"/>
      <c r="S228" s="163"/>
      <c r="T228" s="163"/>
      <c r="U228" s="163"/>
      <c r="V228" s="163"/>
      <c r="W228" s="163"/>
      <c r="X228" s="163"/>
      <c r="Y228" s="163"/>
      <c r="Z228" s="163"/>
      <c r="AA228" s="163"/>
    </row>
    <row r="229">
      <c r="A229" s="163"/>
      <c r="B229" s="163"/>
      <c r="C229" s="163"/>
      <c r="D229" s="163"/>
      <c r="E229" s="163"/>
      <c r="F229" s="163"/>
      <c r="G229" s="163"/>
      <c r="H229" s="163"/>
      <c r="I229" s="163"/>
      <c r="J229" s="163"/>
      <c r="K229" s="163"/>
      <c r="L229" s="165"/>
      <c r="M229" s="163"/>
      <c r="N229" s="163"/>
      <c r="O229" s="163"/>
      <c r="P229" s="163"/>
      <c r="Q229" s="163"/>
      <c r="R229" s="163"/>
      <c r="S229" s="163"/>
      <c r="T229" s="163"/>
      <c r="U229" s="163"/>
      <c r="V229" s="163"/>
      <c r="W229" s="163"/>
      <c r="X229" s="163"/>
      <c r="Y229" s="163"/>
      <c r="Z229" s="163"/>
      <c r="AA229" s="163"/>
    </row>
    <row r="230">
      <c r="A230" s="163"/>
      <c r="B230" s="163"/>
      <c r="C230" s="163"/>
      <c r="D230" s="163"/>
      <c r="E230" s="163"/>
      <c r="F230" s="163"/>
      <c r="G230" s="163"/>
      <c r="H230" s="163"/>
      <c r="I230" s="163"/>
      <c r="J230" s="163"/>
      <c r="K230" s="163"/>
      <c r="L230" s="165"/>
      <c r="M230" s="163"/>
      <c r="N230" s="163"/>
      <c r="O230" s="163"/>
      <c r="P230" s="163"/>
      <c r="Q230" s="163"/>
      <c r="R230" s="163"/>
      <c r="S230" s="163"/>
      <c r="T230" s="163"/>
      <c r="U230" s="163"/>
      <c r="V230" s="163"/>
      <c r="W230" s="163"/>
      <c r="X230" s="163"/>
      <c r="Y230" s="163"/>
      <c r="Z230" s="163"/>
      <c r="AA230" s="163"/>
    </row>
    <row r="231">
      <c r="A231" s="163"/>
      <c r="B231" s="163"/>
      <c r="C231" s="163"/>
      <c r="D231" s="163"/>
      <c r="E231" s="163"/>
      <c r="F231" s="163"/>
      <c r="G231" s="163"/>
      <c r="H231" s="163"/>
      <c r="I231" s="163"/>
      <c r="J231" s="163"/>
      <c r="K231" s="163"/>
      <c r="L231" s="165"/>
      <c r="M231" s="163"/>
      <c r="N231" s="163"/>
      <c r="O231" s="163"/>
      <c r="P231" s="163"/>
      <c r="Q231" s="163"/>
      <c r="R231" s="163"/>
      <c r="S231" s="163"/>
      <c r="T231" s="163"/>
      <c r="U231" s="163"/>
      <c r="V231" s="163"/>
      <c r="W231" s="163"/>
      <c r="X231" s="163"/>
      <c r="Y231" s="163"/>
      <c r="Z231" s="163"/>
      <c r="AA231" s="163"/>
    </row>
    <row r="232">
      <c r="A232" s="163"/>
      <c r="B232" s="163"/>
      <c r="C232" s="163"/>
      <c r="D232" s="163"/>
      <c r="E232" s="163"/>
      <c r="F232" s="163"/>
      <c r="G232" s="163"/>
      <c r="H232" s="163"/>
      <c r="I232" s="163"/>
      <c r="J232" s="163"/>
      <c r="K232" s="163"/>
      <c r="L232" s="165"/>
      <c r="M232" s="163"/>
      <c r="N232" s="163"/>
      <c r="O232" s="163"/>
      <c r="P232" s="163"/>
      <c r="Q232" s="163"/>
      <c r="R232" s="163"/>
      <c r="S232" s="163"/>
      <c r="T232" s="163"/>
      <c r="U232" s="163"/>
      <c r="V232" s="163"/>
      <c r="W232" s="163"/>
      <c r="X232" s="163"/>
      <c r="Y232" s="163"/>
      <c r="Z232" s="163"/>
      <c r="AA232" s="163"/>
    </row>
    <row r="233">
      <c r="A233" s="163"/>
      <c r="B233" s="163"/>
      <c r="C233" s="163"/>
      <c r="D233" s="163"/>
      <c r="E233" s="163"/>
      <c r="F233" s="163"/>
      <c r="G233" s="163"/>
      <c r="H233" s="163"/>
      <c r="I233" s="163"/>
      <c r="J233" s="163"/>
      <c r="K233" s="163"/>
      <c r="L233" s="165"/>
      <c r="M233" s="163"/>
      <c r="N233" s="163"/>
      <c r="O233" s="163"/>
      <c r="P233" s="163"/>
      <c r="Q233" s="163"/>
      <c r="R233" s="163"/>
      <c r="S233" s="163"/>
      <c r="T233" s="163"/>
      <c r="U233" s="163"/>
      <c r="V233" s="163"/>
      <c r="W233" s="163"/>
      <c r="X233" s="163"/>
      <c r="Y233" s="163"/>
      <c r="Z233" s="163"/>
      <c r="AA233" s="163"/>
    </row>
    <row r="234">
      <c r="A234" s="163"/>
      <c r="B234" s="163"/>
      <c r="C234" s="163"/>
      <c r="D234" s="163"/>
      <c r="E234" s="163"/>
      <c r="F234" s="163"/>
      <c r="G234" s="163"/>
      <c r="H234" s="163"/>
      <c r="I234" s="163"/>
      <c r="J234" s="163"/>
      <c r="K234" s="163"/>
      <c r="L234" s="165"/>
      <c r="M234" s="163"/>
      <c r="N234" s="163"/>
      <c r="O234" s="163"/>
      <c r="P234" s="163"/>
      <c r="Q234" s="163"/>
      <c r="R234" s="163"/>
      <c r="S234" s="163"/>
      <c r="T234" s="163"/>
      <c r="U234" s="163"/>
      <c r="V234" s="163"/>
      <c r="W234" s="163"/>
      <c r="X234" s="163"/>
      <c r="Y234" s="163"/>
      <c r="Z234" s="163"/>
      <c r="AA234" s="163"/>
    </row>
    <row r="235">
      <c r="A235" s="163"/>
      <c r="B235" s="163"/>
      <c r="C235" s="163"/>
      <c r="D235" s="163"/>
      <c r="E235" s="163"/>
      <c r="F235" s="163"/>
      <c r="G235" s="163"/>
      <c r="H235" s="163"/>
      <c r="I235" s="163"/>
      <c r="J235" s="163"/>
      <c r="K235" s="163"/>
      <c r="L235" s="165"/>
      <c r="M235" s="163"/>
      <c r="N235" s="163"/>
      <c r="O235" s="163"/>
      <c r="P235" s="163"/>
      <c r="Q235" s="163"/>
      <c r="R235" s="163"/>
      <c r="S235" s="163"/>
      <c r="T235" s="163"/>
      <c r="U235" s="163"/>
      <c r="V235" s="163"/>
      <c r="W235" s="163"/>
      <c r="X235" s="163"/>
      <c r="Y235" s="163"/>
      <c r="Z235" s="163"/>
      <c r="AA235" s="163"/>
    </row>
    <row r="236">
      <c r="A236" s="163"/>
      <c r="B236" s="163"/>
      <c r="C236" s="163"/>
      <c r="D236" s="163"/>
      <c r="E236" s="163"/>
      <c r="F236" s="163"/>
      <c r="G236" s="163"/>
      <c r="H236" s="163"/>
      <c r="I236" s="163"/>
      <c r="J236" s="163"/>
      <c r="K236" s="163"/>
      <c r="L236" s="165"/>
      <c r="M236" s="163"/>
      <c r="N236" s="163"/>
      <c r="O236" s="163"/>
      <c r="P236" s="163"/>
      <c r="Q236" s="163"/>
      <c r="R236" s="163"/>
      <c r="S236" s="163"/>
      <c r="T236" s="163"/>
      <c r="U236" s="163"/>
      <c r="V236" s="163"/>
      <c r="W236" s="163"/>
      <c r="X236" s="163"/>
      <c r="Y236" s="163"/>
      <c r="Z236" s="163"/>
      <c r="AA236" s="163"/>
    </row>
    <row r="237">
      <c r="A237" s="163"/>
      <c r="B237" s="163"/>
      <c r="C237" s="163"/>
      <c r="D237" s="163"/>
      <c r="E237" s="163"/>
      <c r="F237" s="163"/>
      <c r="G237" s="163"/>
      <c r="H237" s="163"/>
      <c r="I237" s="163"/>
      <c r="J237" s="163"/>
      <c r="K237" s="163"/>
      <c r="L237" s="165"/>
      <c r="M237" s="163"/>
      <c r="N237" s="163"/>
      <c r="O237" s="163"/>
      <c r="P237" s="163"/>
      <c r="Q237" s="163"/>
      <c r="R237" s="163"/>
      <c r="S237" s="163"/>
      <c r="T237" s="163"/>
      <c r="U237" s="163"/>
      <c r="V237" s="163"/>
      <c r="W237" s="163"/>
      <c r="X237" s="163"/>
      <c r="Y237" s="163"/>
      <c r="Z237" s="163"/>
      <c r="AA237" s="163"/>
    </row>
    <row r="238">
      <c r="A238" s="163"/>
      <c r="B238" s="163"/>
      <c r="C238" s="163"/>
      <c r="D238" s="163"/>
      <c r="E238" s="163"/>
      <c r="F238" s="163"/>
      <c r="G238" s="163"/>
      <c r="H238" s="163"/>
      <c r="I238" s="163"/>
      <c r="J238" s="163"/>
      <c r="K238" s="163"/>
      <c r="L238" s="165"/>
      <c r="M238" s="163"/>
      <c r="N238" s="163"/>
      <c r="O238" s="163"/>
      <c r="P238" s="163"/>
      <c r="Q238" s="163"/>
      <c r="R238" s="163"/>
      <c r="S238" s="163"/>
      <c r="T238" s="163"/>
      <c r="U238" s="163"/>
      <c r="V238" s="163"/>
      <c r="W238" s="163"/>
      <c r="X238" s="163"/>
      <c r="Y238" s="163"/>
      <c r="Z238" s="163"/>
      <c r="AA238" s="163"/>
    </row>
    <row r="239">
      <c r="A239" s="163"/>
      <c r="B239" s="163"/>
      <c r="C239" s="163"/>
      <c r="D239" s="163"/>
      <c r="E239" s="163"/>
      <c r="F239" s="163"/>
      <c r="G239" s="163"/>
      <c r="H239" s="163"/>
      <c r="I239" s="163"/>
      <c r="J239" s="163"/>
      <c r="K239" s="163"/>
      <c r="L239" s="165"/>
      <c r="M239" s="163"/>
      <c r="N239" s="163"/>
      <c r="O239" s="163"/>
      <c r="P239" s="163"/>
      <c r="Q239" s="163"/>
      <c r="R239" s="163"/>
      <c r="S239" s="163"/>
      <c r="T239" s="163"/>
      <c r="U239" s="163"/>
      <c r="V239" s="163"/>
      <c r="W239" s="163"/>
      <c r="X239" s="163"/>
      <c r="Y239" s="163"/>
      <c r="Z239" s="163"/>
      <c r="AA239" s="163"/>
    </row>
    <row r="240">
      <c r="A240" s="163"/>
      <c r="B240" s="163"/>
      <c r="C240" s="163"/>
      <c r="D240" s="163"/>
      <c r="E240" s="163"/>
      <c r="F240" s="163"/>
      <c r="G240" s="163"/>
      <c r="H240" s="163"/>
      <c r="I240" s="163"/>
      <c r="J240" s="163"/>
      <c r="K240" s="163"/>
      <c r="L240" s="165"/>
      <c r="M240" s="163"/>
      <c r="N240" s="163"/>
      <c r="O240" s="163"/>
      <c r="P240" s="163"/>
      <c r="Q240" s="163"/>
      <c r="R240" s="163"/>
      <c r="S240" s="163"/>
      <c r="T240" s="163"/>
      <c r="U240" s="163"/>
      <c r="V240" s="163"/>
      <c r="W240" s="163"/>
      <c r="X240" s="163"/>
      <c r="Y240" s="163"/>
      <c r="Z240" s="163"/>
      <c r="AA240" s="163"/>
    </row>
    <row r="241">
      <c r="A241" s="163"/>
      <c r="B241" s="163"/>
      <c r="C241" s="163"/>
      <c r="D241" s="163"/>
      <c r="E241" s="163"/>
      <c r="F241" s="163"/>
      <c r="G241" s="163"/>
      <c r="H241" s="163"/>
      <c r="I241" s="163"/>
      <c r="J241" s="163"/>
      <c r="K241" s="163"/>
      <c r="L241" s="165"/>
      <c r="M241" s="163"/>
      <c r="N241" s="163"/>
      <c r="O241" s="163"/>
      <c r="P241" s="163"/>
      <c r="Q241" s="163"/>
      <c r="R241" s="163"/>
      <c r="S241" s="163"/>
      <c r="T241" s="163"/>
      <c r="U241" s="163"/>
      <c r="V241" s="163"/>
      <c r="W241" s="163"/>
      <c r="X241" s="163"/>
      <c r="Y241" s="163"/>
      <c r="Z241" s="163"/>
      <c r="AA241" s="163"/>
    </row>
    <row r="242">
      <c r="A242" s="163"/>
      <c r="B242" s="163"/>
      <c r="C242" s="163"/>
      <c r="D242" s="163"/>
      <c r="E242" s="163"/>
      <c r="F242" s="163"/>
      <c r="G242" s="163"/>
      <c r="H242" s="163"/>
      <c r="I242" s="163"/>
      <c r="J242" s="163"/>
      <c r="K242" s="163"/>
      <c r="L242" s="165"/>
      <c r="M242" s="163"/>
      <c r="N242" s="163"/>
      <c r="O242" s="163"/>
      <c r="P242" s="163"/>
      <c r="Q242" s="163"/>
      <c r="R242" s="163"/>
      <c r="S242" s="163"/>
      <c r="T242" s="163"/>
      <c r="U242" s="163"/>
      <c r="V242" s="163"/>
      <c r="W242" s="163"/>
      <c r="X242" s="163"/>
      <c r="Y242" s="163"/>
      <c r="Z242" s="163"/>
      <c r="AA242" s="163"/>
    </row>
    <row r="243">
      <c r="A243" s="163"/>
      <c r="B243" s="163"/>
      <c r="C243" s="163"/>
      <c r="D243" s="163"/>
      <c r="E243" s="163"/>
      <c r="F243" s="163"/>
      <c r="G243" s="163"/>
      <c r="H243" s="163"/>
      <c r="I243" s="163"/>
      <c r="J243" s="163"/>
      <c r="K243" s="163"/>
      <c r="L243" s="165"/>
      <c r="M243" s="163"/>
      <c r="N243" s="163"/>
      <c r="O243" s="163"/>
      <c r="P243" s="163"/>
      <c r="Q243" s="163"/>
      <c r="R243" s="163"/>
      <c r="S243" s="163"/>
      <c r="T243" s="163"/>
      <c r="U243" s="163"/>
      <c r="V243" s="163"/>
      <c r="W243" s="163"/>
      <c r="X243" s="163"/>
      <c r="Y243" s="163"/>
      <c r="Z243" s="163"/>
      <c r="AA243" s="163"/>
    </row>
    <row r="244">
      <c r="A244" s="163"/>
      <c r="B244" s="163"/>
      <c r="C244" s="163"/>
      <c r="D244" s="163"/>
      <c r="E244" s="163"/>
      <c r="F244" s="163"/>
      <c r="G244" s="163"/>
      <c r="H244" s="163"/>
      <c r="I244" s="163"/>
      <c r="J244" s="163"/>
      <c r="K244" s="163"/>
      <c r="L244" s="165"/>
      <c r="M244" s="163"/>
      <c r="N244" s="163"/>
      <c r="O244" s="163"/>
      <c r="P244" s="163"/>
      <c r="Q244" s="163"/>
      <c r="R244" s="163"/>
      <c r="S244" s="163"/>
      <c r="T244" s="163"/>
      <c r="U244" s="163"/>
      <c r="V244" s="163"/>
      <c r="W244" s="163"/>
      <c r="X244" s="163"/>
      <c r="Y244" s="163"/>
      <c r="Z244" s="163"/>
      <c r="AA244" s="163"/>
    </row>
    <row r="245">
      <c r="A245" s="163"/>
      <c r="B245" s="163"/>
      <c r="C245" s="163"/>
      <c r="D245" s="163"/>
      <c r="E245" s="163"/>
      <c r="F245" s="163"/>
      <c r="G245" s="163"/>
      <c r="H245" s="163"/>
      <c r="I245" s="163"/>
      <c r="J245" s="163"/>
      <c r="K245" s="163"/>
      <c r="L245" s="165"/>
      <c r="M245" s="163"/>
      <c r="N245" s="163"/>
      <c r="O245" s="163"/>
      <c r="P245" s="163"/>
      <c r="Q245" s="163"/>
      <c r="R245" s="163"/>
      <c r="S245" s="163"/>
      <c r="T245" s="163"/>
      <c r="U245" s="163"/>
      <c r="V245" s="163"/>
      <c r="W245" s="163"/>
      <c r="X245" s="163"/>
      <c r="Y245" s="163"/>
      <c r="Z245" s="163"/>
      <c r="AA245" s="163"/>
    </row>
    <row r="246">
      <c r="A246" s="163"/>
      <c r="B246" s="163"/>
      <c r="C246" s="163"/>
      <c r="D246" s="163"/>
      <c r="E246" s="163"/>
      <c r="F246" s="163"/>
      <c r="G246" s="163"/>
      <c r="H246" s="163"/>
      <c r="I246" s="163"/>
      <c r="J246" s="163"/>
      <c r="K246" s="163"/>
      <c r="L246" s="165"/>
      <c r="M246" s="163"/>
      <c r="N246" s="163"/>
      <c r="O246" s="163"/>
      <c r="P246" s="163"/>
      <c r="Q246" s="163"/>
      <c r="R246" s="163"/>
      <c r="S246" s="163"/>
      <c r="T246" s="163"/>
      <c r="U246" s="163"/>
      <c r="V246" s="163"/>
      <c r="W246" s="163"/>
      <c r="X246" s="163"/>
      <c r="Y246" s="163"/>
      <c r="Z246" s="163"/>
      <c r="AA246" s="163"/>
    </row>
    <row r="247">
      <c r="A247" s="163"/>
      <c r="B247" s="163"/>
      <c r="C247" s="163"/>
      <c r="D247" s="163"/>
      <c r="E247" s="163"/>
      <c r="F247" s="163"/>
      <c r="G247" s="163"/>
      <c r="H247" s="163"/>
      <c r="I247" s="163"/>
      <c r="J247" s="163"/>
      <c r="K247" s="163"/>
      <c r="L247" s="165"/>
      <c r="M247" s="163"/>
      <c r="N247" s="163"/>
      <c r="O247" s="163"/>
      <c r="P247" s="163"/>
      <c r="Q247" s="163"/>
      <c r="R247" s="163"/>
      <c r="S247" s="163"/>
      <c r="T247" s="163"/>
      <c r="U247" s="163"/>
      <c r="V247" s="163"/>
      <c r="W247" s="163"/>
      <c r="X247" s="163"/>
      <c r="Y247" s="163"/>
      <c r="Z247" s="163"/>
      <c r="AA247" s="163"/>
    </row>
    <row r="248">
      <c r="A248" s="163"/>
      <c r="B248" s="163"/>
      <c r="C248" s="163"/>
      <c r="D248" s="163"/>
      <c r="E248" s="163"/>
      <c r="F248" s="163"/>
      <c r="G248" s="163"/>
      <c r="H248" s="163"/>
      <c r="I248" s="163"/>
      <c r="J248" s="163"/>
      <c r="K248" s="163"/>
      <c r="L248" s="165"/>
      <c r="M248" s="163"/>
      <c r="N248" s="163"/>
      <c r="O248" s="163"/>
      <c r="P248" s="163"/>
      <c r="Q248" s="163"/>
      <c r="R248" s="163"/>
      <c r="S248" s="163"/>
      <c r="T248" s="163"/>
      <c r="U248" s="163"/>
      <c r="V248" s="163"/>
      <c r="W248" s="163"/>
      <c r="X248" s="163"/>
      <c r="Y248" s="163"/>
      <c r="Z248" s="163"/>
      <c r="AA248" s="163"/>
    </row>
    <row r="249">
      <c r="A249" s="163"/>
      <c r="B249" s="163"/>
      <c r="C249" s="163"/>
      <c r="D249" s="163"/>
      <c r="E249" s="163"/>
      <c r="F249" s="163"/>
      <c r="G249" s="163"/>
      <c r="H249" s="163"/>
      <c r="I249" s="163"/>
      <c r="J249" s="163"/>
      <c r="K249" s="163"/>
      <c r="L249" s="165"/>
      <c r="M249" s="163"/>
      <c r="N249" s="163"/>
      <c r="O249" s="163"/>
      <c r="P249" s="163"/>
      <c r="Q249" s="163"/>
      <c r="R249" s="163"/>
      <c r="S249" s="163"/>
      <c r="T249" s="163"/>
      <c r="U249" s="163"/>
      <c r="V249" s="163"/>
      <c r="W249" s="163"/>
      <c r="X249" s="163"/>
      <c r="Y249" s="163"/>
      <c r="Z249" s="163"/>
      <c r="AA249" s="163"/>
    </row>
    <row r="250">
      <c r="A250" s="163"/>
      <c r="B250" s="163"/>
      <c r="C250" s="163"/>
      <c r="D250" s="163"/>
      <c r="E250" s="163"/>
      <c r="F250" s="163"/>
      <c r="G250" s="163"/>
      <c r="H250" s="163"/>
      <c r="I250" s="163"/>
      <c r="J250" s="163"/>
      <c r="K250" s="163"/>
      <c r="L250" s="165"/>
      <c r="M250" s="163"/>
      <c r="N250" s="163"/>
      <c r="O250" s="163"/>
      <c r="P250" s="163"/>
      <c r="Q250" s="163"/>
      <c r="R250" s="163"/>
      <c r="S250" s="163"/>
      <c r="T250" s="163"/>
      <c r="U250" s="163"/>
      <c r="V250" s="163"/>
      <c r="W250" s="163"/>
      <c r="X250" s="163"/>
      <c r="Y250" s="163"/>
      <c r="Z250" s="163"/>
      <c r="AA250" s="163"/>
    </row>
    <row r="251">
      <c r="A251" s="163"/>
      <c r="B251" s="163"/>
      <c r="C251" s="163"/>
      <c r="D251" s="163"/>
      <c r="E251" s="163"/>
      <c r="F251" s="163"/>
      <c r="G251" s="163"/>
      <c r="H251" s="163"/>
      <c r="I251" s="163"/>
      <c r="J251" s="163"/>
      <c r="K251" s="163"/>
      <c r="L251" s="165"/>
      <c r="M251" s="163"/>
      <c r="N251" s="163"/>
      <c r="O251" s="163"/>
      <c r="P251" s="163"/>
      <c r="Q251" s="163"/>
      <c r="R251" s="163"/>
      <c r="S251" s="163"/>
      <c r="T251" s="163"/>
      <c r="U251" s="163"/>
      <c r="V251" s="163"/>
      <c r="W251" s="163"/>
      <c r="X251" s="163"/>
      <c r="Y251" s="163"/>
      <c r="Z251" s="163"/>
      <c r="AA251" s="163"/>
    </row>
    <row r="252">
      <c r="A252" s="163"/>
      <c r="B252" s="163"/>
      <c r="C252" s="163"/>
      <c r="D252" s="163"/>
      <c r="E252" s="163"/>
      <c r="F252" s="163"/>
      <c r="G252" s="163"/>
      <c r="H252" s="163"/>
      <c r="I252" s="163"/>
      <c r="J252" s="163"/>
      <c r="K252" s="163"/>
      <c r="L252" s="165"/>
      <c r="M252" s="163"/>
      <c r="N252" s="163"/>
      <c r="O252" s="163"/>
      <c r="P252" s="163"/>
      <c r="Q252" s="163"/>
      <c r="R252" s="163"/>
      <c r="S252" s="163"/>
      <c r="T252" s="163"/>
      <c r="U252" s="163"/>
      <c r="V252" s="163"/>
      <c r="W252" s="163"/>
      <c r="X252" s="163"/>
      <c r="Y252" s="163"/>
      <c r="Z252" s="163"/>
      <c r="AA252" s="163"/>
    </row>
    <row r="253">
      <c r="A253" s="163"/>
      <c r="B253" s="163"/>
      <c r="C253" s="163"/>
      <c r="D253" s="163"/>
      <c r="E253" s="163"/>
      <c r="F253" s="163"/>
      <c r="G253" s="163"/>
      <c r="H253" s="163"/>
      <c r="I253" s="163"/>
      <c r="J253" s="163"/>
      <c r="K253" s="163"/>
      <c r="L253" s="165"/>
      <c r="M253" s="163"/>
      <c r="N253" s="163"/>
      <c r="O253" s="163"/>
      <c r="P253" s="163"/>
      <c r="Q253" s="163"/>
      <c r="R253" s="163"/>
      <c r="S253" s="163"/>
      <c r="T253" s="163"/>
      <c r="U253" s="163"/>
      <c r="V253" s="163"/>
      <c r="W253" s="163"/>
      <c r="X253" s="163"/>
      <c r="Y253" s="163"/>
      <c r="Z253" s="163"/>
      <c r="AA253" s="163"/>
    </row>
    <row r="254">
      <c r="A254" s="163"/>
      <c r="B254" s="163"/>
      <c r="C254" s="163"/>
      <c r="D254" s="163"/>
      <c r="E254" s="163"/>
      <c r="F254" s="163"/>
      <c r="G254" s="163"/>
      <c r="H254" s="163"/>
      <c r="I254" s="163"/>
      <c r="J254" s="163"/>
      <c r="K254" s="163"/>
      <c r="L254" s="165"/>
      <c r="M254" s="163"/>
      <c r="N254" s="163"/>
      <c r="O254" s="163"/>
      <c r="P254" s="163"/>
      <c r="Q254" s="163"/>
      <c r="R254" s="163"/>
      <c r="S254" s="163"/>
      <c r="T254" s="163"/>
      <c r="U254" s="163"/>
      <c r="V254" s="163"/>
      <c r="W254" s="163"/>
      <c r="X254" s="163"/>
      <c r="Y254" s="163"/>
      <c r="Z254" s="163"/>
      <c r="AA254" s="163"/>
    </row>
    <row r="255">
      <c r="A255" s="163"/>
      <c r="B255" s="163"/>
      <c r="C255" s="163"/>
      <c r="D255" s="163"/>
      <c r="E255" s="163"/>
      <c r="F255" s="163"/>
      <c r="G255" s="163"/>
      <c r="H255" s="163"/>
      <c r="I255" s="163"/>
      <c r="J255" s="163"/>
      <c r="K255" s="163"/>
      <c r="L255" s="165"/>
      <c r="M255" s="163"/>
      <c r="N255" s="163"/>
      <c r="O255" s="163"/>
      <c r="P255" s="163"/>
      <c r="Q255" s="163"/>
      <c r="R255" s="163"/>
      <c r="S255" s="163"/>
      <c r="T255" s="163"/>
      <c r="U255" s="163"/>
      <c r="V255" s="163"/>
      <c r="W255" s="163"/>
      <c r="X255" s="163"/>
      <c r="Y255" s="163"/>
      <c r="Z255" s="163"/>
      <c r="AA255" s="163"/>
    </row>
    <row r="256">
      <c r="A256" s="163"/>
      <c r="B256" s="163"/>
      <c r="C256" s="163"/>
      <c r="D256" s="163"/>
      <c r="E256" s="163"/>
      <c r="F256" s="163"/>
      <c r="G256" s="163"/>
      <c r="H256" s="163"/>
      <c r="I256" s="163"/>
      <c r="J256" s="163"/>
      <c r="K256" s="163"/>
      <c r="L256" s="165"/>
      <c r="M256" s="163"/>
      <c r="N256" s="163"/>
      <c r="O256" s="163"/>
      <c r="P256" s="163"/>
      <c r="Q256" s="163"/>
      <c r="R256" s="163"/>
      <c r="S256" s="163"/>
      <c r="T256" s="163"/>
      <c r="U256" s="163"/>
      <c r="V256" s="163"/>
      <c r="W256" s="163"/>
      <c r="X256" s="163"/>
      <c r="Y256" s="163"/>
      <c r="Z256" s="163"/>
      <c r="AA256" s="163"/>
    </row>
    <row r="257">
      <c r="A257" s="163"/>
      <c r="B257" s="163"/>
      <c r="C257" s="163"/>
      <c r="D257" s="163"/>
      <c r="E257" s="163"/>
      <c r="F257" s="163"/>
      <c r="G257" s="163"/>
      <c r="H257" s="163"/>
      <c r="I257" s="163"/>
      <c r="J257" s="163"/>
      <c r="K257" s="163"/>
      <c r="L257" s="165"/>
      <c r="M257" s="163"/>
      <c r="N257" s="163"/>
      <c r="O257" s="163"/>
      <c r="P257" s="163"/>
      <c r="Q257" s="163"/>
      <c r="R257" s="163"/>
      <c r="S257" s="163"/>
      <c r="T257" s="163"/>
      <c r="U257" s="163"/>
      <c r="V257" s="163"/>
      <c r="W257" s="163"/>
      <c r="X257" s="163"/>
      <c r="Y257" s="163"/>
      <c r="Z257" s="163"/>
      <c r="AA257" s="163"/>
    </row>
    <row r="258">
      <c r="A258" s="163"/>
      <c r="B258" s="163"/>
      <c r="C258" s="163"/>
      <c r="D258" s="163"/>
      <c r="E258" s="163"/>
      <c r="F258" s="163"/>
      <c r="G258" s="163"/>
      <c r="H258" s="163"/>
      <c r="I258" s="163"/>
      <c r="J258" s="163"/>
      <c r="K258" s="163"/>
      <c r="L258" s="165"/>
      <c r="M258" s="163"/>
      <c r="N258" s="163"/>
      <c r="O258" s="163"/>
      <c r="P258" s="163"/>
      <c r="Q258" s="163"/>
      <c r="R258" s="163"/>
      <c r="S258" s="163"/>
      <c r="T258" s="163"/>
      <c r="U258" s="163"/>
      <c r="V258" s="163"/>
      <c r="W258" s="163"/>
      <c r="X258" s="163"/>
      <c r="Y258" s="163"/>
      <c r="Z258" s="163"/>
      <c r="AA258" s="163"/>
    </row>
    <row r="259">
      <c r="A259" s="163"/>
      <c r="B259" s="163"/>
      <c r="C259" s="163"/>
      <c r="D259" s="163"/>
      <c r="E259" s="163"/>
      <c r="F259" s="163"/>
      <c r="G259" s="163"/>
      <c r="H259" s="163"/>
      <c r="I259" s="163"/>
      <c r="J259" s="163"/>
      <c r="K259" s="163"/>
      <c r="L259" s="165"/>
      <c r="M259" s="163"/>
      <c r="N259" s="163"/>
      <c r="O259" s="163"/>
      <c r="P259" s="163"/>
      <c r="Q259" s="163"/>
      <c r="R259" s="163"/>
      <c r="S259" s="163"/>
      <c r="T259" s="163"/>
      <c r="U259" s="163"/>
      <c r="V259" s="163"/>
      <c r="W259" s="163"/>
      <c r="X259" s="163"/>
      <c r="Y259" s="163"/>
      <c r="Z259" s="163"/>
      <c r="AA259" s="163"/>
    </row>
    <row r="260">
      <c r="A260" s="163"/>
      <c r="B260" s="163"/>
      <c r="C260" s="163"/>
      <c r="D260" s="163"/>
      <c r="E260" s="163"/>
      <c r="F260" s="163"/>
      <c r="G260" s="163"/>
      <c r="H260" s="163"/>
      <c r="I260" s="163"/>
      <c r="J260" s="163"/>
      <c r="K260" s="163"/>
      <c r="L260" s="165"/>
      <c r="M260" s="163"/>
      <c r="N260" s="163"/>
      <c r="O260" s="163"/>
      <c r="P260" s="163"/>
      <c r="Q260" s="163"/>
      <c r="R260" s="163"/>
      <c r="S260" s="163"/>
      <c r="T260" s="163"/>
      <c r="U260" s="163"/>
      <c r="V260" s="163"/>
      <c r="W260" s="163"/>
      <c r="X260" s="163"/>
      <c r="Y260" s="163"/>
      <c r="Z260" s="163"/>
      <c r="AA260" s="163"/>
    </row>
    <row r="261">
      <c r="A261" s="163"/>
      <c r="B261" s="163"/>
      <c r="C261" s="163"/>
      <c r="D261" s="163"/>
      <c r="E261" s="163"/>
      <c r="F261" s="163"/>
      <c r="G261" s="163"/>
      <c r="H261" s="163"/>
      <c r="I261" s="163"/>
      <c r="J261" s="163"/>
      <c r="K261" s="163"/>
      <c r="L261" s="165"/>
      <c r="M261" s="163"/>
      <c r="N261" s="163"/>
      <c r="O261" s="163"/>
      <c r="P261" s="163"/>
      <c r="Q261" s="163"/>
      <c r="R261" s="163"/>
      <c r="S261" s="163"/>
      <c r="T261" s="163"/>
      <c r="U261" s="163"/>
      <c r="V261" s="163"/>
      <c r="W261" s="163"/>
      <c r="X261" s="163"/>
      <c r="Y261" s="163"/>
      <c r="Z261" s="163"/>
      <c r="AA261" s="163"/>
    </row>
    <row r="262">
      <c r="A262" s="163"/>
      <c r="B262" s="163"/>
      <c r="C262" s="163"/>
      <c r="D262" s="163"/>
      <c r="E262" s="163"/>
      <c r="F262" s="163"/>
      <c r="G262" s="163"/>
      <c r="H262" s="163"/>
      <c r="I262" s="163"/>
      <c r="J262" s="163"/>
      <c r="K262" s="163"/>
      <c r="L262" s="165"/>
      <c r="M262" s="163"/>
      <c r="N262" s="163"/>
      <c r="O262" s="163"/>
      <c r="P262" s="163"/>
      <c r="Q262" s="163"/>
      <c r="R262" s="163"/>
      <c r="S262" s="163"/>
      <c r="T262" s="163"/>
      <c r="U262" s="163"/>
      <c r="V262" s="163"/>
      <c r="W262" s="163"/>
      <c r="X262" s="163"/>
      <c r="Y262" s="163"/>
      <c r="Z262" s="163"/>
      <c r="AA262" s="163"/>
    </row>
    <row r="263">
      <c r="A263" s="163"/>
      <c r="B263" s="163"/>
      <c r="C263" s="163"/>
      <c r="D263" s="163"/>
      <c r="E263" s="163"/>
      <c r="F263" s="163"/>
      <c r="G263" s="163"/>
      <c r="H263" s="163"/>
      <c r="I263" s="163"/>
      <c r="J263" s="163"/>
      <c r="K263" s="163"/>
      <c r="L263" s="165"/>
      <c r="M263" s="163"/>
      <c r="N263" s="163"/>
      <c r="O263" s="163"/>
      <c r="P263" s="163"/>
      <c r="Q263" s="163"/>
      <c r="R263" s="163"/>
      <c r="S263" s="163"/>
      <c r="T263" s="163"/>
      <c r="U263" s="163"/>
      <c r="V263" s="163"/>
      <c r="W263" s="163"/>
      <c r="X263" s="163"/>
      <c r="Y263" s="163"/>
      <c r="Z263" s="163"/>
      <c r="AA263" s="163"/>
    </row>
    <row r="264">
      <c r="A264" s="163"/>
      <c r="B264" s="163"/>
      <c r="C264" s="163"/>
      <c r="D264" s="163"/>
      <c r="E264" s="163"/>
      <c r="F264" s="163"/>
      <c r="G264" s="163"/>
      <c r="H264" s="163"/>
      <c r="I264" s="163"/>
      <c r="J264" s="163"/>
      <c r="K264" s="163"/>
      <c r="L264" s="165"/>
      <c r="M264" s="163"/>
      <c r="N264" s="163"/>
      <c r="O264" s="163"/>
      <c r="P264" s="163"/>
      <c r="Q264" s="163"/>
      <c r="R264" s="163"/>
      <c r="S264" s="163"/>
      <c r="T264" s="163"/>
      <c r="U264" s="163"/>
      <c r="V264" s="163"/>
      <c r="W264" s="163"/>
      <c r="X264" s="163"/>
      <c r="Y264" s="163"/>
      <c r="Z264" s="163"/>
      <c r="AA264" s="163"/>
    </row>
    <row r="265">
      <c r="A265" s="163"/>
      <c r="B265" s="163"/>
      <c r="C265" s="163"/>
      <c r="D265" s="163"/>
      <c r="E265" s="163"/>
      <c r="F265" s="163"/>
      <c r="G265" s="163"/>
      <c r="H265" s="163"/>
      <c r="I265" s="163"/>
      <c r="J265" s="163"/>
      <c r="K265" s="163"/>
      <c r="L265" s="165"/>
      <c r="M265" s="163"/>
      <c r="N265" s="163"/>
      <c r="O265" s="163"/>
      <c r="P265" s="163"/>
      <c r="Q265" s="163"/>
      <c r="R265" s="163"/>
      <c r="S265" s="163"/>
      <c r="T265" s="163"/>
      <c r="U265" s="163"/>
      <c r="V265" s="163"/>
      <c r="W265" s="163"/>
      <c r="X265" s="163"/>
      <c r="Y265" s="163"/>
      <c r="Z265" s="163"/>
      <c r="AA265" s="163"/>
    </row>
    <row r="266">
      <c r="A266" s="163"/>
      <c r="B266" s="163"/>
      <c r="C266" s="163"/>
      <c r="D266" s="163"/>
      <c r="E266" s="163"/>
      <c r="F266" s="163"/>
      <c r="G266" s="163"/>
      <c r="H266" s="163"/>
      <c r="I266" s="163"/>
      <c r="J266" s="163"/>
      <c r="K266" s="163"/>
      <c r="L266" s="165"/>
      <c r="M266" s="163"/>
      <c r="N266" s="163"/>
      <c r="O266" s="163"/>
      <c r="P266" s="163"/>
      <c r="Q266" s="163"/>
      <c r="R266" s="163"/>
      <c r="S266" s="163"/>
      <c r="T266" s="163"/>
      <c r="U266" s="163"/>
      <c r="V266" s="163"/>
      <c r="W266" s="163"/>
      <c r="X266" s="163"/>
      <c r="Y266" s="163"/>
      <c r="Z266" s="163"/>
      <c r="AA266" s="163"/>
    </row>
    <row r="267">
      <c r="A267" s="163"/>
      <c r="B267" s="163"/>
      <c r="C267" s="163"/>
      <c r="D267" s="163"/>
      <c r="E267" s="163"/>
      <c r="F267" s="163"/>
      <c r="G267" s="163"/>
      <c r="H267" s="163"/>
      <c r="I267" s="163"/>
      <c r="J267" s="163"/>
      <c r="K267" s="163"/>
      <c r="L267" s="165"/>
      <c r="M267" s="163"/>
      <c r="N267" s="163"/>
      <c r="O267" s="163"/>
      <c r="P267" s="163"/>
      <c r="Q267" s="163"/>
      <c r="R267" s="163"/>
      <c r="S267" s="163"/>
      <c r="T267" s="163"/>
      <c r="U267" s="163"/>
      <c r="V267" s="163"/>
      <c r="W267" s="163"/>
      <c r="X267" s="163"/>
      <c r="Y267" s="163"/>
      <c r="Z267" s="163"/>
      <c r="AA267" s="163"/>
    </row>
    <row r="268">
      <c r="A268" s="163"/>
      <c r="B268" s="163"/>
      <c r="C268" s="163"/>
      <c r="D268" s="163"/>
      <c r="E268" s="163"/>
      <c r="F268" s="163"/>
      <c r="G268" s="163"/>
      <c r="H268" s="163"/>
      <c r="I268" s="163"/>
      <c r="J268" s="163"/>
      <c r="K268" s="163"/>
      <c r="L268" s="165"/>
      <c r="M268" s="163"/>
      <c r="N268" s="163"/>
      <c r="O268" s="163"/>
      <c r="P268" s="163"/>
      <c r="Q268" s="163"/>
      <c r="R268" s="163"/>
      <c r="S268" s="163"/>
      <c r="T268" s="163"/>
      <c r="U268" s="163"/>
      <c r="V268" s="163"/>
      <c r="W268" s="163"/>
      <c r="X268" s="163"/>
      <c r="Y268" s="163"/>
      <c r="Z268" s="163"/>
      <c r="AA268" s="163"/>
    </row>
    <row r="269">
      <c r="A269" s="163"/>
      <c r="B269" s="163"/>
      <c r="C269" s="163"/>
      <c r="D269" s="163"/>
      <c r="E269" s="163"/>
      <c r="F269" s="163"/>
      <c r="G269" s="163"/>
      <c r="H269" s="163"/>
      <c r="I269" s="163"/>
      <c r="J269" s="163"/>
      <c r="K269" s="163"/>
      <c r="L269" s="165"/>
      <c r="M269" s="163"/>
      <c r="N269" s="163"/>
      <c r="O269" s="163"/>
      <c r="P269" s="163"/>
      <c r="Q269" s="163"/>
      <c r="R269" s="163"/>
      <c r="S269" s="163"/>
      <c r="T269" s="163"/>
      <c r="U269" s="163"/>
      <c r="V269" s="163"/>
      <c r="W269" s="163"/>
      <c r="X269" s="163"/>
      <c r="Y269" s="163"/>
      <c r="Z269" s="163"/>
      <c r="AA269" s="163"/>
    </row>
    <row r="270">
      <c r="A270" s="163"/>
      <c r="B270" s="163"/>
      <c r="C270" s="163"/>
      <c r="D270" s="163"/>
      <c r="E270" s="163"/>
      <c r="F270" s="163"/>
      <c r="G270" s="163"/>
      <c r="H270" s="163"/>
      <c r="I270" s="163"/>
      <c r="J270" s="163"/>
      <c r="K270" s="163"/>
      <c r="L270" s="165"/>
      <c r="M270" s="163"/>
      <c r="N270" s="163"/>
      <c r="O270" s="163"/>
      <c r="P270" s="163"/>
      <c r="Q270" s="163"/>
      <c r="R270" s="163"/>
      <c r="S270" s="163"/>
      <c r="T270" s="163"/>
      <c r="U270" s="163"/>
      <c r="V270" s="163"/>
      <c r="W270" s="163"/>
      <c r="X270" s="163"/>
      <c r="Y270" s="163"/>
      <c r="Z270" s="163"/>
      <c r="AA270" s="163"/>
    </row>
    <row r="271">
      <c r="A271" s="163"/>
      <c r="B271" s="163"/>
      <c r="C271" s="163"/>
      <c r="D271" s="163"/>
      <c r="E271" s="163"/>
      <c r="F271" s="163"/>
      <c r="G271" s="163"/>
      <c r="H271" s="163"/>
      <c r="I271" s="163"/>
      <c r="J271" s="163"/>
      <c r="K271" s="163"/>
      <c r="L271" s="165"/>
      <c r="M271" s="163"/>
      <c r="N271" s="163"/>
      <c r="O271" s="163"/>
      <c r="P271" s="163"/>
      <c r="Q271" s="163"/>
      <c r="R271" s="163"/>
      <c r="S271" s="163"/>
      <c r="T271" s="163"/>
      <c r="U271" s="163"/>
      <c r="V271" s="163"/>
      <c r="W271" s="163"/>
      <c r="X271" s="163"/>
      <c r="Y271" s="163"/>
      <c r="Z271" s="163"/>
      <c r="AA271" s="163"/>
    </row>
    <row r="272">
      <c r="A272" s="163"/>
      <c r="B272" s="163"/>
      <c r="C272" s="163"/>
      <c r="D272" s="163"/>
      <c r="E272" s="163"/>
      <c r="F272" s="163"/>
      <c r="G272" s="163"/>
      <c r="H272" s="163"/>
      <c r="I272" s="163"/>
      <c r="J272" s="163"/>
      <c r="K272" s="163"/>
      <c r="L272" s="165"/>
      <c r="M272" s="163"/>
      <c r="N272" s="163"/>
      <c r="O272" s="163"/>
      <c r="P272" s="163"/>
      <c r="Q272" s="163"/>
      <c r="R272" s="163"/>
      <c r="S272" s="163"/>
      <c r="T272" s="163"/>
      <c r="U272" s="163"/>
      <c r="V272" s="163"/>
      <c r="W272" s="163"/>
      <c r="X272" s="163"/>
      <c r="Y272" s="163"/>
      <c r="Z272" s="163"/>
      <c r="AA272" s="163"/>
    </row>
    <row r="273">
      <c r="A273" s="163"/>
      <c r="B273" s="163"/>
      <c r="C273" s="163"/>
      <c r="D273" s="163"/>
      <c r="E273" s="163"/>
      <c r="F273" s="163"/>
      <c r="G273" s="163"/>
      <c r="H273" s="163"/>
      <c r="I273" s="163"/>
      <c r="J273" s="163"/>
      <c r="K273" s="163"/>
      <c r="L273" s="165"/>
      <c r="M273" s="163"/>
      <c r="N273" s="163"/>
      <c r="O273" s="163"/>
      <c r="P273" s="163"/>
      <c r="Q273" s="163"/>
      <c r="R273" s="163"/>
      <c r="S273" s="163"/>
      <c r="T273" s="163"/>
      <c r="U273" s="163"/>
      <c r="V273" s="163"/>
      <c r="W273" s="163"/>
      <c r="X273" s="163"/>
      <c r="Y273" s="163"/>
      <c r="Z273" s="163"/>
      <c r="AA273" s="163"/>
    </row>
    <row r="274">
      <c r="A274" s="163"/>
      <c r="B274" s="163"/>
      <c r="C274" s="163"/>
      <c r="D274" s="163"/>
      <c r="E274" s="163"/>
      <c r="F274" s="163"/>
      <c r="G274" s="163"/>
      <c r="H274" s="163"/>
      <c r="I274" s="163"/>
      <c r="J274" s="163"/>
      <c r="K274" s="163"/>
      <c r="L274" s="165"/>
      <c r="M274" s="163"/>
      <c r="N274" s="163"/>
      <c r="O274" s="163"/>
      <c r="P274" s="163"/>
      <c r="Q274" s="163"/>
      <c r="R274" s="163"/>
      <c r="S274" s="163"/>
      <c r="T274" s="163"/>
      <c r="U274" s="163"/>
      <c r="V274" s="163"/>
      <c r="W274" s="163"/>
      <c r="X274" s="163"/>
      <c r="Y274" s="163"/>
      <c r="Z274" s="163"/>
      <c r="AA274" s="163"/>
    </row>
    <row r="275">
      <c r="A275" s="163"/>
      <c r="B275" s="163"/>
      <c r="C275" s="163"/>
      <c r="D275" s="163"/>
      <c r="E275" s="163"/>
      <c r="F275" s="163"/>
      <c r="G275" s="163"/>
      <c r="H275" s="163"/>
      <c r="I275" s="163"/>
      <c r="J275" s="163"/>
      <c r="K275" s="163"/>
      <c r="L275" s="165"/>
      <c r="M275" s="163"/>
      <c r="N275" s="163"/>
      <c r="O275" s="163"/>
      <c r="P275" s="163"/>
      <c r="Q275" s="163"/>
      <c r="R275" s="163"/>
      <c r="S275" s="163"/>
      <c r="T275" s="163"/>
      <c r="U275" s="163"/>
      <c r="V275" s="163"/>
      <c r="W275" s="163"/>
      <c r="X275" s="163"/>
      <c r="Y275" s="163"/>
      <c r="Z275" s="163"/>
      <c r="AA275" s="163"/>
    </row>
    <row r="276">
      <c r="A276" s="163"/>
      <c r="B276" s="163"/>
      <c r="C276" s="163"/>
      <c r="D276" s="163"/>
      <c r="E276" s="163"/>
      <c r="F276" s="163"/>
      <c r="G276" s="163"/>
      <c r="H276" s="163"/>
      <c r="I276" s="163"/>
      <c r="J276" s="163"/>
      <c r="K276" s="163"/>
      <c r="L276" s="165"/>
      <c r="M276" s="163"/>
      <c r="N276" s="163"/>
      <c r="O276" s="163"/>
      <c r="P276" s="163"/>
      <c r="Q276" s="163"/>
      <c r="R276" s="163"/>
      <c r="S276" s="163"/>
      <c r="T276" s="163"/>
      <c r="U276" s="163"/>
      <c r="V276" s="163"/>
      <c r="W276" s="163"/>
      <c r="X276" s="163"/>
      <c r="Y276" s="163"/>
      <c r="Z276" s="163"/>
      <c r="AA276" s="163"/>
    </row>
    <row r="277">
      <c r="A277" s="163"/>
      <c r="B277" s="163"/>
      <c r="C277" s="163"/>
      <c r="D277" s="163"/>
      <c r="E277" s="163"/>
      <c r="F277" s="163"/>
      <c r="G277" s="163"/>
      <c r="H277" s="163"/>
      <c r="I277" s="163"/>
      <c r="J277" s="163"/>
      <c r="K277" s="163"/>
      <c r="L277" s="165"/>
      <c r="M277" s="163"/>
      <c r="N277" s="163"/>
      <c r="O277" s="163"/>
      <c r="P277" s="163"/>
      <c r="Q277" s="163"/>
      <c r="R277" s="163"/>
      <c r="S277" s="163"/>
      <c r="T277" s="163"/>
      <c r="U277" s="163"/>
      <c r="V277" s="163"/>
      <c r="W277" s="163"/>
      <c r="X277" s="163"/>
      <c r="Y277" s="163"/>
      <c r="Z277" s="163"/>
      <c r="AA277" s="163"/>
    </row>
    <row r="278">
      <c r="A278" s="163"/>
      <c r="B278" s="163"/>
      <c r="C278" s="163"/>
      <c r="D278" s="163"/>
      <c r="E278" s="163"/>
      <c r="F278" s="163"/>
      <c r="G278" s="163"/>
      <c r="H278" s="163"/>
      <c r="I278" s="163"/>
      <c r="J278" s="163"/>
      <c r="K278" s="163"/>
      <c r="L278" s="165"/>
      <c r="M278" s="163"/>
      <c r="N278" s="163"/>
      <c r="O278" s="163"/>
      <c r="P278" s="163"/>
      <c r="Q278" s="163"/>
      <c r="R278" s="163"/>
      <c r="S278" s="163"/>
      <c r="T278" s="163"/>
      <c r="U278" s="163"/>
      <c r="V278" s="163"/>
      <c r="W278" s="163"/>
      <c r="X278" s="163"/>
      <c r="Y278" s="163"/>
      <c r="Z278" s="163"/>
      <c r="AA278" s="163"/>
    </row>
    <row r="279">
      <c r="A279" s="163"/>
      <c r="B279" s="163"/>
      <c r="C279" s="163"/>
      <c r="D279" s="163"/>
      <c r="E279" s="163"/>
      <c r="F279" s="163"/>
      <c r="G279" s="163"/>
      <c r="H279" s="163"/>
      <c r="I279" s="163"/>
      <c r="J279" s="163"/>
      <c r="K279" s="163"/>
      <c r="L279" s="165"/>
      <c r="M279" s="163"/>
      <c r="N279" s="163"/>
      <c r="O279" s="163"/>
      <c r="P279" s="163"/>
      <c r="Q279" s="163"/>
      <c r="R279" s="163"/>
      <c r="S279" s="163"/>
      <c r="T279" s="163"/>
      <c r="U279" s="163"/>
      <c r="V279" s="163"/>
      <c r="W279" s="163"/>
      <c r="X279" s="163"/>
      <c r="Y279" s="163"/>
      <c r="Z279" s="163"/>
      <c r="AA279" s="163"/>
    </row>
    <row r="280">
      <c r="A280" s="163"/>
      <c r="B280" s="163"/>
      <c r="C280" s="163"/>
      <c r="D280" s="163"/>
      <c r="E280" s="163"/>
      <c r="F280" s="163"/>
      <c r="G280" s="163"/>
      <c r="H280" s="163"/>
      <c r="I280" s="163"/>
      <c r="J280" s="163"/>
      <c r="K280" s="163"/>
      <c r="L280" s="165"/>
      <c r="M280" s="163"/>
      <c r="N280" s="163"/>
      <c r="O280" s="163"/>
      <c r="P280" s="163"/>
      <c r="Q280" s="163"/>
      <c r="R280" s="163"/>
      <c r="S280" s="163"/>
      <c r="T280" s="163"/>
      <c r="U280" s="163"/>
      <c r="V280" s="163"/>
      <c r="W280" s="163"/>
      <c r="X280" s="163"/>
      <c r="Y280" s="163"/>
      <c r="Z280" s="163"/>
      <c r="AA280" s="163"/>
    </row>
    <row r="281">
      <c r="A281" s="163"/>
      <c r="B281" s="163"/>
      <c r="C281" s="163"/>
      <c r="D281" s="163"/>
      <c r="E281" s="163"/>
      <c r="F281" s="163"/>
      <c r="G281" s="163"/>
      <c r="H281" s="163"/>
      <c r="I281" s="163"/>
      <c r="J281" s="163"/>
      <c r="K281" s="163"/>
      <c r="L281" s="165"/>
      <c r="M281" s="163"/>
      <c r="N281" s="163"/>
      <c r="O281" s="163"/>
      <c r="P281" s="163"/>
      <c r="Q281" s="163"/>
      <c r="R281" s="163"/>
      <c r="S281" s="163"/>
      <c r="T281" s="163"/>
      <c r="U281" s="163"/>
      <c r="V281" s="163"/>
      <c r="W281" s="163"/>
      <c r="X281" s="163"/>
      <c r="Y281" s="163"/>
      <c r="Z281" s="163"/>
      <c r="AA281" s="163"/>
    </row>
    <row r="282">
      <c r="A282" s="163"/>
      <c r="B282" s="163"/>
      <c r="C282" s="163"/>
      <c r="D282" s="163"/>
      <c r="E282" s="163"/>
      <c r="F282" s="163"/>
      <c r="G282" s="163"/>
      <c r="H282" s="163"/>
      <c r="I282" s="163"/>
      <c r="J282" s="163"/>
      <c r="K282" s="163"/>
      <c r="L282" s="165"/>
      <c r="M282" s="163"/>
      <c r="N282" s="163"/>
      <c r="O282" s="163"/>
      <c r="P282" s="163"/>
      <c r="Q282" s="163"/>
      <c r="R282" s="163"/>
      <c r="S282" s="163"/>
      <c r="T282" s="163"/>
      <c r="U282" s="163"/>
      <c r="V282" s="163"/>
      <c r="W282" s="163"/>
      <c r="X282" s="163"/>
      <c r="Y282" s="163"/>
      <c r="Z282" s="163"/>
      <c r="AA282" s="163"/>
    </row>
    <row r="283">
      <c r="A283" s="163"/>
      <c r="B283" s="163"/>
      <c r="C283" s="163"/>
      <c r="D283" s="163"/>
      <c r="E283" s="163"/>
      <c r="F283" s="163"/>
      <c r="G283" s="163"/>
      <c r="H283" s="163"/>
      <c r="I283" s="163"/>
      <c r="J283" s="163"/>
      <c r="K283" s="163"/>
      <c r="L283" s="165"/>
      <c r="M283" s="163"/>
      <c r="N283" s="163"/>
      <c r="O283" s="163"/>
      <c r="P283" s="163"/>
      <c r="Q283" s="163"/>
      <c r="R283" s="163"/>
      <c r="S283" s="163"/>
      <c r="T283" s="163"/>
      <c r="U283" s="163"/>
      <c r="V283" s="163"/>
      <c r="W283" s="163"/>
      <c r="X283" s="163"/>
      <c r="Y283" s="163"/>
      <c r="Z283" s="163"/>
      <c r="AA283" s="163"/>
    </row>
    <row r="284">
      <c r="A284" s="163"/>
      <c r="B284" s="163"/>
      <c r="C284" s="163"/>
      <c r="D284" s="163"/>
      <c r="E284" s="163"/>
      <c r="F284" s="163"/>
      <c r="G284" s="163"/>
      <c r="H284" s="163"/>
      <c r="I284" s="163"/>
      <c r="J284" s="163"/>
      <c r="K284" s="163"/>
      <c r="L284" s="165"/>
      <c r="M284" s="163"/>
      <c r="N284" s="163"/>
      <c r="O284" s="163"/>
      <c r="P284" s="163"/>
      <c r="Q284" s="163"/>
      <c r="R284" s="163"/>
      <c r="S284" s="163"/>
      <c r="T284" s="163"/>
      <c r="U284" s="163"/>
      <c r="V284" s="163"/>
      <c r="W284" s="163"/>
      <c r="X284" s="163"/>
      <c r="Y284" s="163"/>
      <c r="Z284" s="163"/>
      <c r="AA284" s="163"/>
    </row>
    <row r="285">
      <c r="A285" s="163"/>
      <c r="B285" s="163"/>
      <c r="C285" s="163"/>
      <c r="D285" s="163"/>
      <c r="E285" s="163"/>
      <c r="F285" s="163"/>
      <c r="G285" s="163"/>
      <c r="H285" s="163"/>
      <c r="I285" s="163"/>
      <c r="J285" s="163"/>
      <c r="K285" s="163"/>
      <c r="L285" s="165"/>
      <c r="M285" s="163"/>
      <c r="N285" s="163"/>
      <c r="O285" s="163"/>
      <c r="P285" s="163"/>
      <c r="Q285" s="163"/>
      <c r="R285" s="163"/>
      <c r="S285" s="163"/>
      <c r="T285" s="163"/>
      <c r="U285" s="163"/>
      <c r="V285" s="163"/>
      <c r="W285" s="163"/>
      <c r="X285" s="163"/>
      <c r="Y285" s="163"/>
      <c r="Z285" s="163"/>
      <c r="AA285" s="163"/>
    </row>
    <row r="286">
      <c r="A286" s="163"/>
      <c r="B286" s="163"/>
      <c r="C286" s="163"/>
      <c r="D286" s="163"/>
      <c r="E286" s="163"/>
      <c r="F286" s="163"/>
      <c r="G286" s="163"/>
      <c r="H286" s="163"/>
      <c r="I286" s="163"/>
      <c r="J286" s="163"/>
      <c r="K286" s="163"/>
      <c r="L286" s="165"/>
      <c r="M286" s="163"/>
      <c r="N286" s="163"/>
      <c r="O286" s="163"/>
      <c r="P286" s="163"/>
      <c r="Q286" s="163"/>
      <c r="R286" s="163"/>
      <c r="S286" s="163"/>
      <c r="T286" s="163"/>
      <c r="U286" s="163"/>
      <c r="V286" s="163"/>
      <c r="W286" s="163"/>
      <c r="X286" s="163"/>
      <c r="Y286" s="163"/>
      <c r="Z286" s="163"/>
      <c r="AA286" s="163"/>
    </row>
    <row r="287">
      <c r="A287" s="163"/>
      <c r="B287" s="163"/>
      <c r="C287" s="163"/>
      <c r="D287" s="163"/>
      <c r="E287" s="163"/>
      <c r="F287" s="163"/>
      <c r="G287" s="163"/>
      <c r="H287" s="163"/>
      <c r="I287" s="163"/>
      <c r="J287" s="163"/>
      <c r="K287" s="163"/>
      <c r="L287" s="165"/>
      <c r="M287" s="163"/>
      <c r="N287" s="163"/>
      <c r="O287" s="163"/>
      <c r="P287" s="163"/>
      <c r="Q287" s="163"/>
      <c r="R287" s="163"/>
      <c r="S287" s="163"/>
      <c r="T287" s="163"/>
      <c r="U287" s="163"/>
      <c r="V287" s="163"/>
      <c r="W287" s="163"/>
      <c r="X287" s="163"/>
      <c r="Y287" s="163"/>
      <c r="Z287" s="163"/>
      <c r="AA287" s="163"/>
    </row>
    <row r="288">
      <c r="A288" s="163"/>
      <c r="B288" s="163"/>
      <c r="C288" s="163"/>
      <c r="D288" s="163"/>
      <c r="E288" s="163"/>
      <c r="F288" s="163"/>
      <c r="G288" s="163"/>
      <c r="H288" s="163"/>
      <c r="I288" s="163"/>
      <c r="J288" s="163"/>
      <c r="K288" s="163"/>
      <c r="L288" s="165"/>
      <c r="M288" s="163"/>
      <c r="N288" s="163"/>
      <c r="O288" s="163"/>
      <c r="P288" s="163"/>
      <c r="Q288" s="163"/>
      <c r="R288" s="163"/>
      <c r="S288" s="163"/>
      <c r="T288" s="163"/>
      <c r="U288" s="163"/>
      <c r="V288" s="163"/>
      <c r="W288" s="163"/>
      <c r="X288" s="163"/>
      <c r="Y288" s="163"/>
      <c r="Z288" s="163"/>
      <c r="AA288" s="163"/>
    </row>
    <row r="289">
      <c r="A289" s="163"/>
      <c r="B289" s="163"/>
      <c r="C289" s="163"/>
      <c r="D289" s="163"/>
      <c r="E289" s="163"/>
      <c r="F289" s="163"/>
      <c r="G289" s="163"/>
      <c r="H289" s="163"/>
      <c r="I289" s="163"/>
      <c r="J289" s="163"/>
      <c r="K289" s="163"/>
      <c r="L289" s="165"/>
      <c r="M289" s="163"/>
      <c r="N289" s="163"/>
      <c r="O289" s="163"/>
      <c r="P289" s="163"/>
      <c r="Q289" s="163"/>
      <c r="R289" s="163"/>
      <c r="S289" s="163"/>
      <c r="T289" s="163"/>
      <c r="U289" s="163"/>
      <c r="V289" s="163"/>
      <c r="W289" s="163"/>
      <c r="X289" s="163"/>
      <c r="Y289" s="163"/>
      <c r="Z289" s="163"/>
      <c r="AA289" s="163"/>
    </row>
    <row r="290">
      <c r="A290" s="163"/>
      <c r="B290" s="163"/>
      <c r="C290" s="163"/>
      <c r="D290" s="163"/>
      <c r="E290" s="163"/>
      <c r="F290" s="163"/>
      <c r="G290" s="163"/>
      <c r="H290" s="163"/>
      <c r="I290" s="163"/>
      <c r="J290" s="163"/>
      <c r="K290" s="163"/>
      <c r="L290" s="165"/>
      <c r="M290" s="163"/>
      <c r="N290" s="163"/>
      <c r="O290" s="163"/>
      <c r="P290" s="163"/>
      <c r="Q290" s="163"/>
      <c r="R290" s="163"/>
      <c r="S290" s="163"/>
      <c r="T290" s="163"/>
      <c r="U290" s="163"/>
      <c r="V290" s="163"/>
      <c r="W290" s="163"/>
      <c r="X290" s="163"/>
      <c r="Y290" s="163"/>
      <c r="Z290" s="163"/>
      <c r="AA290" s="163"/>
    </row>
    <row r="291">
      <c r="A291" s="163"/>
      <c r="B291" s="163"/>
      <c r="C291" s="163"/>
      <c r="D291" s="163"/>
      <c r="E291" s="163"/>
      <c r="F291" s="163"/>
      <c r="G291" s="163"/>
      <c r="H291" s="163"/>
      <c r="I291" s="163"/>
      <c r="J291" s="163"/>
      <c r="K291" s="163"/>
      <c r="L291" s="165"/>
      <c r="M291" s="163"/>
      <c r="N291" s="163"/>
      <c r="O291" s="163"/>
      <c r="P291" s="163"/>
      <c r="Q291" s="163"/>
      <c r="R291" s="163"/>
      <c r="S291" s="163"/>
      <c r="T291" s="163"/>
      <c r="U291" s="163"/>
      <c r="V291" s="163"/>
      <c r="W291" s="163"/>
      <c r="X291" s="163"/>
      <c r="Y291" s="163"/>
      <c r="Z291" s="163"/>
      <c r="AA291" s="163"/>
    </row>
    <row r="292">
      <c r="A292" s="163"/>
      <c r="B292" s="163"/>
      <c r="C292" s="163"/>
      <c r="D292" s="163"/>
      <c r="E292" s="163"/>
      <c r="F292" s="163"/>
      <c r="G292" s="163"/>
      <c r="H292" s="163"/>
      <c r="I292" s="163"/>
      <c r="J292" s="163"/>
      <c r="K292" s="163"/>
      <c r="L292" s="165"/>
      <c r="M292" s="163"/>
      <c r="N292" s="163"/>
      <c r="O292" s="163"/>
      <c r="P292" s="163"/>
      <c r="Q292" s="163"/>
      <c r="R292" s="163"/>
      <c r="S292" s="163"/>
      <c r="T292" s="163"/>
      <c r="U292" s="163"/>
      <c r="V292" s="163"/>
      <c r="W292" s="163"/>
      <c r="X292" s="163"/>
      <c r="Y292" s="163"/>
      <c r="Z292" s="163"/>
      <c r="AA292" s="163"/>
    </row>
    <row r="293">
      <c r="A293" s="163"/>
      <c r="B293" s="163"/>
      <c r="C293" s="163"/>
      <c r="D293" s="163"/>
      <c r="E293" s="163"/>
      <c r="F293" s="163"/>
      <c r="G293" s="163"/>
      <c r="H293" s="163"/>
      <c r="I293" s="163"/>
      <c r="J293" s="163"/>
      <c r="K293" s="163"/>
      <c r="L293" s="165"/>
      <c r="M293" s="163"/>
      <c r="N293" s="163"/>
      <c r="O293" s="163"/>
      <c r="P293" s="163"/>
      <c r="Q293" s="163"/>
      <c r="R293" s="163"/>
      <c r="S293" s="163"/>
      <c r="T293" s="163"/>
      <c r="U293" s="163"/>
      <c r="V293" s="163"/>
      <c r="W293" s="163"/>
      <c r="X293" s="163"/>
      <c r="Y293" s="163"/>
      <c r="Z293" s="163"/>
      <c r="AA293" s="163"/>
    </row>
    <row r="294">
      <c r="A294" s="163"/>
      <c r="B294" s="163"/>
      <c r="C294" s="163"/>
      <c r="D294" s="163"/>
      <c r="E294" s="163"/>
      <c r="F294" s="163"/>
      <c r="G294" s="163"/>
      <c r="H294" s="163"/>
      <c r="I294" s="163"/>
      <c r="J294" s="163"/>
      <c r="K294" s="163"/>
      <c r="L294" s="165"/>
      <c r="M294" s="163"/>
      <c r="N294" s="163"/>
      <c r="O294" s="163"/>
      <c r="P294" s="163"/>
      <c r="Q294" s="163"/>
      <c r="R294" s="163"/>
      <c r="S294" s="163"/>
      <c r="T294" s="163"/>
      <c r="U294" s="163"/>
      <c r="V294" s="163"/>
      <c r="W294" s="163"/>
      <c r="X294" s="163"/>
      <c r="Y294" s="163"/>
      <c r="Z294" s="163"/>
      <c r="AA294" s="163"/>
    </row>
    <row r="295">
      <c r="A295" s="163"/>
      <c r="B295" s="163"/>
      <c r="C295" s="163"/>
      <c r="D295" s="163"/>
      <c r="E295" s="163"/>
      <c r="F295" s="163"/>
      <c r="G295" s="163"/>
      <c r="H295" s="163"/>
      <c r="I295" s="163"/>
      <c r="J295" s="163"/>
      <c r="K295" s="163"/>
      <c r="L295" s="165"/>
      <c r="M295" s="163"/>
      <c r="N295" s="163"/>
      <c r="O295" s="163"/>
      <c r="P295" s="163"/>
      <c r="Q295" s="163"/>
      <c r="R295" s="163"/>
      <c r="S295" s="163"/>
      <c r="T295" s="163"/>
      <c r="U295" s="163"/>
      <c r="V295" s="163"/>
      <c r="W295" s="163"/>
      <c r="X295" s="163"/>
      <c r="Y295" s="163"/>
      <c r="Z295" s="163"/>
      <c r="AA295" s="163"/>
    </row>
    <row r="296">
      <c r="A296" s="163"/>
      <c r="B296" s="163"/>
      <c r="C296" s="163"/>
      <c r="D296" s="163"/>
      <c r="E296" s="163"/>
      <c r="F296" s="163"/>
      <c r="G296" s="163"/>
      <c r="H296" s="163"/>
      <c r="I296" s="163"/>
      <c r="J296" s="163"/>
      <c r="K296" s="163"/>
      <c r="L296" s="165"/>
      <c r="M296" s="163"/>
      <c r="N296" s="163"/>
      <c r="O296" s="163"/>
      <c r="P296" s="163"/>
      <c r="Q296" s="163"/>
      <c r="R296" s="163"/>
      <c r="S296" s="163"/>
      <c r="T296" s="163"/>
      <c r="U296" s="163"/>
      <c r="V296" s="163"/>
      <c r="W296" s="163"/>
      <c r="X296" s="163"/>
      <c r="Y296" s="163"/>
      <c r="Z296" s="163"/>
      <c r="AA296" s="163"/>
    </row>
    <row r="297">
      <c r="A297" s="163"/>
      <c r="B297" s="163"/>
      <c r="C297" s="163"/>
      <c r="D297" s="163"/>
      <c r="E297" s="163"/>
      <c r="F297" s="163"/>
      <c r="G297" s="163"/>
      <c r="H297" s="163"/>
      <c r="I297" s="163"/>
      <c r="J297" s="163"/>
      <c r="K297" s="163"/>
      <c r="L297" s="165"/>
      <c r="M297" s="163"/>
      <c r="N297" s="163"/>
      <c r="O297" s="163"/>
      <c r="P297" s="163"/>
      <c r="Q297" s="163"/>
      <c r="R297" s="163"/>
      <c r="S297" s="163"/>
      <c r="T297" s="163"/>
      <c r="U297" s="163"/>
      <c r="V297" s="163"/>
      <c r="W297" s="163"/>
      <c r="X297" s="163"/>
      <c r="Y297" s="163"/>
      <c r="Z297" s="163"/>
      <c r="AA297" s="163"/>
    </row>
    <row r="298">
      <c r="A298" s="163"/>
      <c r="B298" s="163"/>
      <c r="C298" s="163"/>
      <c r="D298" s="163"/>
      <c r="E298" s="163"/>
      <c r="F298" s="163"/>
      <c r="G298" s="163"/>
      <c r="H298" s="163"/>
      <c r="I298" s="163"/>
      <c r="J298" s="163"/>
      <c r="K298" s="163"/>
      <c r="L298" s="165"/>
      <c r="M298" s="163"/>
      <c r="N298" s="163"/>
      <c r="O298" s="163"/>
      <c r="P298" s="163"/>
      <c r="Q298" s="163"/>
      <c r="R298" s="163"/>
      <c r="S298" s="163"/>
      <c r="T298" s="163"/>
      <c r="U298" s="163"/>
      <c r="V298" s="163"/>
      <c r="W298" s="163"/>
      <c r="X298" s="163"/>
      <c r="Y298" s="163"/>
      <c r="Z298" s="163"/>
      <c r="AA298" s="163"/>
    </row>
    <row r="299">
      <c r="A299" s="163"/>
      <c r="B299" s="163"/>
      <c r="C299" s="163"/>
      <c r="D299" s="163"/>
      <c r="E299" s="163"/>
      <c r="F299" s="163"/>
      <c r="G299" s="163"/>
      <c r="H299" s="163"/>
      <c r="I299" s="163"/>
      <c r="J299" s="163"/>
      <c r="K299" s="163"/>
      <c r="L299" s="165"/>
      <c r="M299" s="163"/>
      <c r="N299" s="163"/>
      <c r="O299" s="163"/>
      <c r="P299" s="163"/>
      <c r="Q299" s="163"/>
      <c r="R299" s="163"/>
      <c r="S299" s="163"/>
      <c r="T299" s="163"/>
      <c r="U299" s="163"/>
      <c r="V299" s="163"/>
      <c r="W299" s="163"/>
      <c r="X299" s="163"/>
      <c r="Y299" s="163"/>
      <c r="Z299" s="163"/>
      <c r="AA299" s="163"/>
    </row>
    <row r="300">
      <c r="A300" s="163"/>
      <c r="B300" s="163"/>
      <c r="C300" s="163"/>
      <c r="D300" s="163"/>
      <c r="E300" s="163"/>
      <c r="F300" s="163"/>
      <c r="G300" s="163"/>
      <c r="H300" s="163"/>
      <c r="I300" s="163"/>
      <c r="J300" s="163"/>
      <c r="K300" s="163"/>
      <c r="L300" s="165"/>
      <c r="M300" s="163"/>
      <c r="N300" s="163"/>
      <c r="O300" s="163"/>
      <c r="P300" s="163"/>
      <c r="Q300" s="163"/>
      <c r="R300" s="163"/>
      <c r="S300" s="163"/>
      <c r="T300" s="163"/>
      <c r="U300" s="163"/>
      <c r="V300" s="163"/>
      <c r="W300" s="163"/>
      <c r="X300" s="163"/>
      <c r="Y300" s="163"/>
      <c r="Z300" s="163"/>
      <c r="AA300" s="163"/>
    </row>
    <row r="301">
      <c r="A301" s="163"/>
      <c r="B301" s="163"/>
      <c r="C301" s="163"/>
      <c r="D301" s="163"/>
      <c r="E301" s="163"/>
      <c r="F301" s="163"/>
      <c r="G301" s="163"/>
      <c r="H301" s="163"/>
      <c r="I301" s="163"/>
      <c r="J301" s="163"/>
      <c r="K301" s="163"/>
      <c r="L301" s="165"/>
      <c r="M301" s="163"/>
      <c r="N301" s="163"/>
      <c r="O301" s="163"/>
      <c r="P301" s="163"/>
      <c r="Q301" s="163"/>
      <c r="R301" s="163"/>
      <c r="S301" s="163"/>
      <c r="T301" s="163"/>
      <c r="U301" s="163"/>
      <c r="V301" s="163"/>
      <c r="W301" s="163"/>
      <c r="X301" s="163"/>
      <c r="Y301" s="163"/>
      <c r="Z301" s="163"/>
      <c r="AA301" s="163"/>
    </row>
    <row r="302">
      <c r="A302" s="163"/>
      <c r="B302" s="163"/>
      <c r="C302" s="163"/>
      <c r="D302" s="163"/>
      <c r="E302" s="163"/>
      <c r="F302" s="163"/>
      <c r="G302" s="163"/>
      <c r="H302" s="163"/>
      <c r="I302" s="163"/>
      <c r="J302" s="163"/>
      <c r="K302" s="163"/>
      <c r="L302" s="165"/>
      <c r="M302" s="163"/>
      <c r="N302" s="163"/>
      <c r="O302" s="163"/>
      <c r="P302" s="163"/>
      <c r="Q302" s="163"/>
      <c r="R302" s="163"/>
      <c r="S302" s="163"/>
      <c r="T302" s="163"/>
      <c r="U302" s="163"/>
      <c r="V302" s="163"/>
      <c r="W302" s="163"/>
      <c r="X302" s="163"/>
      <c r="Y302" s="163"/>
      <c r="Z302" s="163"/>
      <c r="AA302" s="163"/>
    </row>
    <row r="303">
      <c r="A303" s="163"/>
      <c r="B303" s="163"/>
      <c r="C303" s="163"/>
      <c r="D303" s="163"/>
      <c r="E303" s="163"/>
      <c r="F303" s="163"/>
      <c r="G303" s="163"/>
      <c r="H303" s="163"/>
      <c r="I303" s="163"/>
      <c r="J303" s="163"/>
      <c r="K303" s="163"/>
      <c r="L303" s="165"/>
      <c r="M303" s="163"/>
      <c r="N303" s="163"/>
      <c r="O303" s="163"/>
      <c r="P303" s="163"/>
      <c r="Q303" s="163"/>
      <c r="R303" s="163"/>
      <c r="S303" s="163"/>
      <c r="T303" s="163"/>
      <c r="U303" s="163"/>
      <c r="V303" s="163"/>
      <c r="W303" s="163"/>
      <c r="X303" s="163"/>
      <c r="Y303" s="163"/>
      <c r="Z303" s="163"/>
      <c r="AA303" s="163"/>
    </row>
    <row r="304">
      <c r="A304" s="163"/>
      <c r="B304" s="163"/>
      <c r="C304" s="163"/>
      <c r="D304" s="163"/>
      <c r="E304" s="163"/>
      <c r="F304" s="163"/>
      <c r="G304" s="163"/>
      <c r="H304" s="163"/>
      <c r="I304" s="163"/>
      <c r="J304" s="163"/>
      <c r="K304" s="163"/>
      <c r="L304" s="165"/>
      <c r="M304" s="163"/>
      <c r="N304" s="163"/>
      <c r="O304" s="163"/>
      <c r="P304" s="163"/>
      <c r="Q304" s="163"/>
      <c r="R304" s="163"/>
      <c r="S304" s="163"/>
      <c r="T304" s="163"/>
      <c r="U304" s="163"/>
      <c r="V304" s="163"/>
      <c r="W304" s="163"/>
      <c r="X304" s="163"/>
      <c r="Y304" s="163"/>
      <c r="Z304" s="163"/>
      <c r="AA304" s="163"/>
    </row>
    <row r="305">
      <c r="A305" s="163"/>
      <c r="B305" s="163"/>
      <c r="C305" s="163"/>
      <c r="D305" s="163"/>
      <c r="E305" s="163"/>
      <c r="F305" s="163"/>
      <c r="G305" s="163"/>
      <c r="H305" s="163"/>
      <c r="I305" s="163"/>
      <c r="J305" s="163"/>
      <c r="K305" s="163"/>
      <c r="L305" s="165"/>
      <c r="M305" s="163"/>
      <c r="N305" s="163"/>
      <c r="O305" s="163"/>
      <c r="P305" s="163"/>
      <c r="Q305" s="163"/>
      <c r="R305" s="163"/>
      <c r="S305" s="163"/>
      <c r="T305" s="163"/>
      <c r="U305" s="163"/>
      <c r="V305" s="163"/>
      <c r="W305" s="163"/>
      <c r="X305" s="163"/>
      <c r="Y305" s="163"/>
      <c r="Z305" s="163"/>
      <c r="AA305" s="163"/>
    </row>
    <row r="306">
      <c r="A306" s="163"/>
      <c r="B306" s="163"/>
      <c r="C306" s="163"/>
      <c r="D306" s="163"/>
      <c r="E306" s="163"/>
      <c r="F306" s="163"/>
      <c r="G306" s="163"/>
      <c r="H306" s="163"/>
      <c r="I306" s="163"/>
      <c r="J306" s="163"/>
      <c r="K306" s="163"/>
      <c r="L306" s="165"/>
      <c r="M306" s="163"/>
      <c r="N306" s="163"/>
      <c r="O306" s="163"/>
      <c r="P306" s="163"/>
      <c r="Q306" s="163"/>
      <c r="R306" s="163"/>
      <c r="S306" s="163"/>
      <c r="T306" s="163"/>
      <c r="U306" s="163"/>
      <c r="V306" s="163"/>
      <c r="W306" s="163"/>
      <c r="X306" s="163"/>
      <c r="Y306" s="163"/>
      <c r="Z306" s="163"/>
      <c r="AA306" s="163"/>
    </row>
    <row r="307">
      <c r="A307" s="163"/>
      <c r="B307" s="163"/>
      <c r="C307" s="163"/>
      <c r="D307" s="163"/>
      <c r="E307" s="163"/>
      <c r="F307" s="163"/>
      <c r="G307" s="163"/>
      <c r="H307" s="163"/>
      <c r="I307" s="163"/>
      <c r="J307" s="163"/>
      <c r="K307" s="163"/>
      <c r="L307" s="165"/>
      <c r="M307" s="163"/>
      <c r="N307" s="163"/>
      <c r="O307" s="163"/>
      <c r="P307" s="163"/>
      <c r="Q307" s="163"/>
      <c r="R307" s="163"/>
      <c r="S307" s="163"/>
      <c r="T307" s="163"/>
      <c r="U307" s="163"/>
      <c r="V307" s="163"/>
      <c r="W307" s="163"/>
      <c r="X307" s="163"/>
      <c r="Y307" s="163"/>
      <c r="Z307" s="163"/>
      <c r="AA307" s="163"/>
    </row>
    <row r="308">
      <c r="A308" s="163"/>
      <c r="B308" s="163"/>
      <c r="C308" s="163"/>
      <c r="D308" s="163"/>
      <c r="E308" s="163"/>
      <c r="F308" s="163"/>
      <c r="G308" s="163"/>
      <c r="H308" s="163"/>
      <c r="I308" s="163"/>
      <c r="J308" s="163"/>
      <c r="K308" s="163"/>
      <c r="L308" s="165"/>
      <c r="M308" s="163"/>
      <c r="N308" s="163"/>
      <c r="O308" s="163"/>
      <c r="P308" s="163"/>
      <c r="Q308" s="163"/>
      <c r="R308" s="163"/>
      <c r="S308" s="163"/>
      <c r="T308" s="163"/>
      <c r="U308" s="163"/>
      <c r="V308" s="163"/>
      <c r="W308" s="163"/>
      <c r="X308" s="163"/>
      <c r="Y308" s="163"/>
      <c r="Z308" s="163"/>
      <c r="AA308" s="163"/>
    </row>
    <row r="309">
      <c r="A309" s="163"/>
      <c r="B309" s="163"/>
      <c r="C309" s="163"/>
      <c r="D309" s="163"/>
      <c r="E309" s="163"/>
      <c r="F309" s="163"/>
      <c r="G309" s="163"/>
      <c r="H309" s="163"/>
      <c r="I309" s="163"/>
      <c r="J309" s="163"/>
      <c r="K309" s="163"/>
      <c r="L309" s="165"/>
      <c r="M309" s="163"/>
      <c r="N309" s="163"/>
      <c r="O309" s="163"/>
      <c r="P309" s="163"/>
      <c r="Q309" s="163"/>
      <c r="R309" s="163"/>
      <c r="S309" s="163"/>
      <c r="T309" s="163"/>
      <c r="U309" s="163"/>
      <c r="V309" s="163"/>
      <c r="W309" s="163"/>
      <c r="X309" s="163"/>
      <c r="Y309" s="163"/>
      <c r="Z309" s="163"/>
      <c r="AA309" s="163"/>
    </row>
    <row r="310">
      <c r="A310" s="163"/>
      <c r="B310" s="163"/>
      <c r="C310" s="163"/>
      <c r="D310" s="163"/>
      <c r="E310" s="163"/>
      <c r="F310" s="163"/>
      <c r="G310" s="163"/>
      <c r="H310" s="163"/>
      <c r="I310" s="163"/>
      <c r="J310" s="163"/>
      <c r="K310" s="163"/>
      <c r="L310" s="165"/>
      <c r="M310" s="163"/>
      <c r="N310" s="163"/>
      <c r="O310" s="163"/>
      <c r="P310" s="163"/>
      <c r="Q310" s="163"/>
      <c r="R310" s="163"/>
      <c r="S310" s="163"/>
      <c r="T310" s="163"/>
      <c r="U310" s="163"/>
      <c r="V310" s="163"/>
      <c r="W310" s="163"/>
      <c r="X310" s="163"/>
      <c r="Y310" s="163"/>
      <c r="Z310" s="163"/>
      <c r="AA310" s="163"/>
    </row>
    <row r="311">
      <c r="A311" s="163"/>
      <c r="B311" s="163"/>
      <c r="C311" s="163"/>
      <c r="D311" s="163"/>
      <c r="E311" s="163"/>
      <c r="F311" s="163"/>
      <c r="G311" s="163"/>
      <c r="H311" s="163"/>
      <c r="I311" s="163"/>
      <c r="J311" s="163"/>
      <c r="K311" s="163"/>
      <c r="L311" s="165"/>
      <c r="M311" s="163"/>
      <c r="N311" s="163"/>
      <c r="O311" s="163"/>
      <c r="P311" s="163"/>
      <c r="Q311" s="163"/>
      <c r="R311" s="163"/>
      <c r="S311" s="163"/>
      <c r="T311" s="163"/>
      <c r="U311" s="163"/>
      <c r="V311" s="163"/>
      <c r="W311" s="163"/>
      <c r="X311" s="163"/>
      <c r="Y311" s="163"/>
      <c r="Z311" s="163"/>
      <c r="AA311" s="163"/>
    </row>
    <row r="312">
      <c r="A312" s="163"/>
      <c r="B312" s="163"/>
      <c r="C312" s="163"/>
      <c r="D312" s="163"/>
      <c r="E312" s="163"/>
      <c r="F312" s="163"/>
      <c r="G312" s="163"/>
      <c r="H312" s="163"/>
      <c r="I312" s="163"/>
      <c r="J312" s="163"/>
      <c r="K312" s="163"/>
      <c r="L312" s="165"/>
      <c r="M312" s="163"/>
      <c r="N312" s="163"/>
      <c r="O312" s="163"/>
      <c r="P312" s="163"/>
      <c r="Q312" s="163"/>
      <c r="R312" s="163"/>
      <c r="S312" s="163"/>
      <c r="T312" s="163"/>
      <c r="U312" s="163"/>
      <c r="V312" s="163"/>
      <c r="W312" s="163"/>
      <c r="X312" s="163"/>
      <c r="Y312" s="163"/>
      <c r="Z312" s="163"/>
      <c r="AA312" s="163"/>
    </row>
    <row r="313">
      <c r="A313" s="163"/>
      <c r="B313" s="163"/>
      <c r="C313" s="163"/>
      <c r="D313" s="163"/>
      <c r="E313" s="163"/>
      <c r="F313" s="163"/>
      <c r="G313" s="163"/>
      <c r="H313" s="163"/>
      <c r="I313" s="163"/>
      <c r="J313" s="163"/>
      <c r="K313" s="163"/>
      <c r="L313" s="165"/>
      <c r="M313" s="163"/>
      <c r="N313" s="163"/>
      <c r="O313" s="163"/>
      <c r="P313" s="163"/>
      <c r="Q313" s="163"/>
      <c r="R313" s="163"/>
      <c r="S313" s="163"/>
      <c r="T313" s="163"/>
      <c r="U313" s="163"/>
      <c r="V313" s="163"/>
      <c r="W313" s="163"/>
      <c r="X313" s="163"/>
      <c r="Y313" s="163"/>
      <c r="Z313" s="163"/>
      <c r="AA313" s="163"/>
    </row>
    <row r="314">
      <c r="A314" s="163"/>
      <c r="B314" s="163"/>
      <c r="C314" s="163"/>
      <c r="D314" s="163"/>
      <c r="E314" s="163"/>
      <c r="F314" s="163"/>
      <c r="G314" s="163"/>
      <c r="H314" s="163"/>
      <c r="I314" s="163"/>
      <c r="J314" s="163"/>
      <c r="K314" s="163"/>
      <c r="L314" s="165"/>
      <c r="M314" s="163"/>
      <c r="N314" s="163"/>
      <c r="O314" s="163"/>
      <c r="P314" s="163"/>
      <c r="Q314" s="163"/>
      <c r="R314" s="163"/>
      <c r="S314" s="163"/>
      <c r="T314" s="163"/>
      <c r="U314" s="163"/>
      <c r="V314" s="163"/>
      <c r="W314" s="163"/>
      <c r="X314" s="163"/>
      <c r="Y314" s="163"/>
      <c r="Z314" s="163"/>
      <c r="AA314" s="163"/>
    </row>
    <row r="315">
      <c r="A315" s="163"/>
      <c r="B315" s="163"/>
      <c r="C315" s="163"/>
      <c r="D315" s="163"/>
      <c r="E315" s="163"/>
      <c r="F315" s="163"/>
      <c r="G315" s="163"/>
      <c r="H315" s="163"/>
      <c r="I315" s="163"/>
      <c r="J315" s="163"/>
      <c r="K315" s="163"/>
      <c r="L315" s="165"/>
      <c r="M315" s="163"/>
      <c r="N315" s="163"/>
      <c r="O315" s="163"/>
      <c r="P315" s="163"/>
      <c r="Q315" s="163"/>
      <c r="R315" s="163"/>
      <c r="S315" s="163"/>
      <c r="T315" s="163"/>
      <c r="U315" s="163"/>
      <c r="V315" s="163"/>
      <c r="W315" s="163"/>
      <c r="X315" s="163"/>
      <c r="Y315" s="163"/>
      <c r="Z315" s="163"/>
      <c r="AA315" s="163"/>
    </row>
    <row r="316">
      <c r="A316" s="163"/>
      <c r="B316" s="163"/>
      <c r="C316" s="163"/>
      <c r="D316" s="163"/>
      <c r="E316" s="163"/>
      <c r="F316" s="163"/>
      <c r="G316" s="163"/>
      <c r="H316" s="163"/>
      <c r="I316" s="163"/>
      <c r="J316" s="163"/>
      <c r="K316" s="163"/>
      <c r="L316" s="165"/>
      <c r="M316" s="163"/>
      <c r="N316" s="163"/>
      <c r="O316" s="163"/>
      <c r="P316" s="163"/>
      <c r="Q316" s="163"/>
      <c r="R316" s="163"/>
      <c r="S316" s="163"/>
      <c r="T316" s="163"/>
      <c r="U316" s="163"/>
      <c r="V316" s="163"/>
      <c r="W316" s="163"/>
      <c r="X316" s="163"/>
      <c r="Y316" s="163"/>
      <c r="Z316" s="163"/>
      <c r="AA316" s="163"/>
    </row>
    <row r="317">
      <c r="A317" s="163"/>
      <c r="B317" s="163"/>
      <c r="C317" s="163"/>
      <c r="D317" s="163"/>
      <c r="E317" s="163"/>
      <c r="F317" s="163"/>
      <c r="G317" s="163"/>
      <c r="H317" s="163"/>
      <c r="I317" s="163"/>
      <c r="J317" s="163"/>
      <c r="K317" s="163"/>
      <c r="L317" s="165"/>
      <c r="M317" s="163"/>
      <c r="N317" s="163"/>
      <c r="O317" s="163"/>
      <c r="P317" s="163"/>
      <c r="Q317" s="163"/>
      <c r="R317" s="163"/>
      <c r="S317" s="163"/>
      <c r="T317" s="163"/>
      <c r="U317" s="163"/>
      <c r="V317" s="163"/>
      <c r="W317" s="163"/>
      <c r="X317" s="163"/>
      <c r="Y317" s="163"/>
      <c r="Z317" s="163"/>
      <c r="AA317" s="163"/>
    </row>
    <row r="318">
      <c r="A318" s="163"/>
      <c r="B318" s="163"/>
      <c r="C318" s="163"/>
      <c r="D318" s="163"/>
      <c r="E318" s="163"/>
      <c r="F318" s="163"/>
      <c r="G318" s="163"/>
      <c r="H318" s="163"/>
      <c r="I318" s="163"/>
      <c r="J318" s="163"/>
      <c r="K318" s="163"/>
      <c r="L318" s="165"/>
      <c r="M318" s="163"/>
      <c r="N318" s="163"/>
      <c r="O318" s="163"/>
      <c r="P318" s="163"/>
      <c r="Q318" s="163"/>
      <c r="R318" s="163"/>
      <c r="S318" s="163"/>
      <c r="T318" s="163"/>
      <c r="U318" s="163"/>
      <c r="V318" s="163"/>
      <c r="W318" s="163"/>
      <c r="X318" s="163"/>
      <c r="Y318" s="163"/>
      <c r="Z318" s="163"/>
      <c r="AA318" s="163"/>
    </row>
    <row r="319">
      <c r="A319" s="163"/>
      <c r="B319" s="163"/>
      <c r="C319" s="163"/>
      <c r="D319" s="163"/>
      <c r="E319" s="163"/>
      <c r="F319" s="163"/>
      <c r="G319" s="163"/>
      <c r="H319" s="163"/>
      <c r="I319" s="163"/>
      <c r="J319" s="163"/>
      <c r="K319" s="163"/>
      <c r="L319" s="165"/>
      <c r="M319" s="163"/>
      <c r="N319" s="163"/>
      <c r="O319" s="163"/>
      <c r="P319" s="163"/>
      <c r="Q319" s="163"/>
      <c r="R319" s="163"/>
      <c r="S319" s="163"/>
      <c r="T319" s="163"/>
      <c r="U319" s="163"/>
      <c r="V319" s="163"/>
      <c r="W319" s="163"/>
      <c r="X319" s="163"/>
      <c r="Y319" s="163"/>
      <c r="Z319" s="163"/>
      <c r="AA319" s="163"/>
    </row>
    <row r="320">
      <c r="A320" s="163"/>
      <c r="B320" s="163"/>
      <c r="C320" s="163"/>
      <c r="D320" s="163"/>
      <c r="E320" s="163"/>
      <c r="F320" s="163"/>
      <c r="G320" s="163"/>
      <c r="H320" s="163"/>
      <c r="I320" s="163"/>
      <c r="J320" s="163"/>
      <c r="K320" s="163"/>
      <c r="L320" s="165"/>
      <c r="M320" s="163"/>
      <c r="N320" s="163"/>
      <c r="O320" s="163"/>
      <c r="P320" s="163"/>
      <c r="Q320" s="163"/>
      <c r="R320" s="163"/>
      <c r="S320" s="163"/>
      <c r="T320" s="163"/>
      <c r="U320" s="163"/>
      <c r="V320" s="163"/>
      <c r="W320" s="163"/>
      <c r="X320" s="163"/>
      <c r="Y320" s="163"/>
      <c r="Z320" s="163"/>
      <c r="AA320" s="163"/>
    </row>
    <row r="321">
      <c r="A321" s="163"/>
      <c r="B321" s="163"/>
      <c r="C321" s="163"/>
      <c r="D321" s="163"/>
      <c r="E321" s="163"/>
      <c r="F321" s="163"/>
      <c r="G321" s="163"/>
      <c r="H321" s="163"/>
      <c r="I321" s="163"/>
      <c r="J321" s="163"/>
      <c r="K321" s="163"/>
      <c r="L321" s="165"/>
      <c r="M321" s="163"/>
      <c r="N321" s="163"/>
      <c r="O321" s="163"/>
      <c r="P321" s="163"/>
      <c r="Q321" s="163"/>
      <c r="R321" s="163"/>
      <c r="S321" s="163"/>
      <c r="T321" s="163"/>
      <c r="U321" s="163"/>
      <c r="V321" s="163"/>
      <c r="W321" s="163"/>
      <c r="X321" s="163"/>
      <c r="Y321" s="163"/>
      <c r="Z321" s="163"/>
      <c r="AA321" s="163"/>
    </row>
    <row r="322">
      <c r="A322" s="163"/>
      <c r="B322" s="163"/>
      <c r="C322" s="163"/>
      <c r="D322" s="163"/>
      <c r="E322" s="163"/>
      <c r="F322" s="163"/>
      <c r="G322" s="163"/>
      <c r="H322" s="163"/>
      <c r="I322" s="163"/>
      <c r="J322" s="163"/>
      <c r="K322" s="163"/>
      <c r="L322" s="165"/>
      <c r="M322" s="163"/>
      <c r="N322" s="163"/>
      <c r="O322" s="163"/>
      <c r="P322" s="163"/>
      <c r="Q322" s="163"/>
      <c r="R322" s="163"/>
      <c r="S322" s="163"/>
      <c r="T322" s="163"/>
      <c r="U322" s="163"/>
      <c r="V322" s="163"/>
      <c r="W322" s="163"/>
      <c r="X322" s="163"/>
      <c r="Y322" s="163"/>
      <c r="Z322" s="163"/>
      <c r="AA322" s="163"/>
    </row>
    <row r="323">
      <c r="A323" s="163"/>
      <c r="B323" s="163"/>
      <c r="C323" s="163"/>
      <c r="D323" s="163"/>
      <c r="E323" s="163"/>
      <c r="F323" s="163"/>
      <c r="G323" s="163"/>
      <c r="H323" s="163"/>
      <c r="I323" s="163"/>
      <c r="J323" s="163"/>
      <c r="K323" s="163"/>
      <c r="L323" s="165"/>
      <c r="M323" s="163"/>
      <c r="N323" s="163"/>
      <c r="O323" s="163"/>
      <c r="P323" s="163"/>
      <c r="Q323" s="163"/>
      <c r="R323" s="163"/>
      <c r="S323" s="163"/>
      <c r="T323" s="163"/>
      <c r="U323" s="163"/>
      <c r="V323" s="163"/>
      <c r="W323" s="163"/>
      <c r="X323" s="163"/>
      <c r="Y323" s="163"/>
      <c r="Z323" s="163"/>
      <c r="AA323" s="163"/>
    </row>
    <row r="324">
      <c r="A324" s="163"/>
      <c r="B324" s="163"/>
      <c r="C324" s="163"/>
      <c r="D324" s="163"/>
      <c r="E324" s="163"/>
      <c r="F324" s="163"/>
      <c r="G324" s="163"/>
      <c r="H324" s="163"/>
      <c r="I324" s="163"/>
      <c r="J324" s="163"/>
      <c r="K324" s="163"/>
      <c r="L324" s="165"/>
      <c r="M324" s="163"/>
      <c r="N324" s="163"/>
      <c r="O324" s="163"/>
      <c r="P324" s="163"/>
      <c r="Q324" s="163"/>
      <c r="R324" s="163"/>
      <c r="S324" s="163"/>
      <c r="T324" s="163"/>
      <c r="U324" s="163"/>
      <c r="V324" s="163"/>
      <c r="W324" s="163"/>
      <c r="X324" s="163"/>
      <c r="Y324" s="163"/>
      <c r="Z324" s="163"/>
      <c r="AA324" s="163"/>
    </row>
    <row r="325">
      <c r="A325" s="163"/>
      <c r="B325" s="163"/>
      <c r="C325" s="163"/>
      <c r="D325" s="163"/>
      <c r="E325" s="163"/>
      <c r="F325" s="163"/>
      <c r="G325" s="163"/>
      <c r="H325" s="163"/>
      <c r="I325" s="163"/>
      <c r="J325" s="163"/>
      <c r="K325" s="163"/>
      <c r="L325" s="165"/>
      <c r="M325" s="163"/>
      <c r="N325" s="163"/>
      <c r="O325" s="163"/>
      <c r="P325" s="163"/>
      <c r="Q325" s="163"/>
      <c r="R325" s="163"/>
      <c r="S325" s="163"/>
      <c r="T325" s="163"/>
      <c r="U325" s="163"/>
      <c r="V325" s="163"/>
      <c r="W325" s="163"/>
      <c r="X325" s="163"/>
      <c r="Y325" s="163"/>
      <c r="Z325" s="163"/>
      <c r="AA325" s="163"/>
    </row>
    <row r="326">
      <c r="A326" s="163"/>
      <c r="B326" s="163"/>
      <c r="C326" s="163"/>
      <c r="D326" s="163"/>
      <c r="E326" s="163"/>
      <c r="F326" s="163"/>
      <c r="G326" s="163"/>
      <c r="H326" s="163"/>
      <c r="I326" s="163"/>
      <c r="J326" s="163"/>
      <c r="K326" s="163"/>
      <c r="L326" s="165"/>
      <c r="M326" s="163"/>
      <c r="N326" s="163"/>
      <c r="O326" s="163"/>
      <c r="P326" s="163"/>
      <c r="Q326" s="163"/>
      <c r="R326" s="163"/>
      <c r="S326" s="163"/>
      <c r="T326" s="163"/>
      <c r="U326" s="163"/>
      <c r="V326" s="163"/>
      <c r="W326" s="163"/>
      <c r="X326" s="163"/>
      <c r="Y326" s="163"/>
      <c r="Z326" s="163"/>
      <c r="AA326" s="163"/>
    </row>
    <row r="327">
      <c r="A327" s="163"/>
      <c r="B327" s="163"/>
      <c r="C327" s="163"/>
      <c r="D327" s="163"/>
      <c r="E327" s="163"/>
      <c r="F327" s="163"/>
      <c r="G327" s="163"/>
      <c r="H327" s="163"/>
      <c r="I327" s="163"/>
      <c r="J327" s="163"/>
      <c r="K327" s="163"/>
      <c r="L327" s="165"/>
      <c r="M327" s="163"/>
      <c r="N327" s="163"/>
      <c r="O327" s="163"/>
      <c r="P327" s="163"/>
      <c r="Q327" s="163"/>
      <c r="R327" s="163"/>
      <c r="S327" s="163"/>
      <c r="T327" s="163"/>
      <c r="U327" s="163"/>
      <c r="V327" s="163"/>
      <c r="W327" s="163"/>
      <c r="X327" s="163"/>
      <c r="Y327" s="163"/>
      <c r="Z327" s="163"/>
      <c r="AA327" s="163"/>
    </row>
    <row r="328">
      <c r="A328" s="163"/>
      <c r="B328" s="163"/>
      <c r="C328" s="163"/>
      <c r="D328" s="163"/>
      <c r="E328" s="163"/>
      <c r="F328" s="163"/>
      <c r="G328" s="163"/>
      <c r="H328" s="163"/>
      <c r="I328" s="163"/>
      <c r="J328" s="163"/>
      <c r="K328" s="163"/>
      <c r="L328" s="165"/>
      <c r="M328" s="163"/>
      <c r="N328" s="163"/>
      <c r="O328" s="163"/>
      <c r="P328" s="163"/>
      <c r="Q328" s="163"/>
      <c r="R328" s="163"/>
      <c r="S328" s="163"/>
      <c r="T328" s="163"/>
      <c r="U328" s="163"/>
      <c r="V328" s="163"/>
      <c r="W328" s="163"/>
      <c r="X328" s="163"/>
      <c r="Y328" s="163"/>
      <c r="Z328" s="163"/>
      <c r="AA328" s="163"/>
    </row>
    <row r="329">
      <c r="A329" s="163"/>
      <c r="B329" s="163"/>
      <c r="C329" s="163"/>
      <c r="D329" s="163"/>
      <c r="E329" s="163"/>
      <c r="F329" s="163"/>
      <c r="G329" s="163"/>
      <c r="H329" s="163"/>
      <c r="I329" s="163"/>
      <c r="J329" s="163"/>
      <c r="K329" s="163"/>
      <c r="L329" s="165"/>
      <c r="M329" s="163"/>
      <c r="N329" s="163"/>
      <c r="O329" s="163"/>
      <c r="P329" s="163"/>
      <c r="Q329" s="163"/>
      <c r="R329" s="163"/>
      <c r="S329" s="163"/>
      <c r="T329" s="163"/>
      <c r="U329" s="163"/>
      <c r="V329" s="163"/>
      <c r="W329" s="163"/>
      <c r="X329" s="163"/>
      <c r="Y329" s="163"/>
      <c r="Z329" s="163"/>
      <c r="AA329" s="163"/>
    </row>
    <row r="330">
      <c r="A330" s="163"/>
      <c r="B330" s="163"/>
      <c r="C330" s="163"/>
      <c r="D330" s="163"/>
      <c r="E330" s="163"/>
      <c r="F330" s="163"/>
      <c r="G330" s="163"/>
      <c r="H330" s="163"/>
      <c r="I330" s="163"/>
      <c r="J330" s="163"/>
      <c r="K330" s="163"/>
      <c r="L330" s="165"/>
      <c r="M330" s="163"/>
      <c r="N330" s="163"/>
      <c r="O330" s="163"/>
      <c r="P330" s="163"/>
      <c r="Q330" s="163"/>
      <c r="R330" s="163"/>
      <c r="S330" s="163"/>
      <c r="T330" s="163"/>
      <c r="U330" s="163"/>
      <c r="V330" s="163"/>
      <c r="W330" s="163"/>
      <c r="X330" s="163"/>
      <c r="Y330" s="163"/>
      <c r="Z330" s="163"/>
      <c r="AA330" s="163"/>
    </row>
    <row r="331">
      <c r="A331" s="163"/>
      <c r="B331" s="163"/>
      <c r="C331" s="163"/>
      <c r="D331" s="163"/>
      <c r="E331" s="163"/>
      <c r="F331" s="163"/>
      <c r="G331" s="163"/>
      <c r="H331" s="163"/>
      <c r="I331" s="163"/>
      <c r="J331" s="163"/>
      <c r="K331" s="163"/>
      <c r="L331" s="165"/>
      <c r="M331" s="163"/>
      <c r="N331" s="163"/>
      <c r="O331" s="163"/>
      <c r="P331" s="163"/>
      <c r="Q331" s="163"/>
      <c r="R331" s="163"/>
      <c r="S331" s="163"/>
      <c r="T331" s="163"/>
      <c r="U331" s="163"/>
      <c r="V331" s="163"/>
      <c r="W331" s="163"/>
      <c r="X331" s="163"/>
      <c r="Y331" s="163"/>
      <c r="Z331" s="163"/>
      <c r="AA331" s="163"/>
    </row>
    <row r="332">
      <c r="A332" s="163"/>
      <c r="B332" s="163"/>
      <c r="C332" s="163"/>
      <c r="D332" s="163"/>
      <c r="E332" s="163"/>
      <c r="F332" s="163"/>
      <c r="G332" s="163"/>
      <c r="H332" s="163"/>
      <c r="I332" s="163"/>
      <c r="J332" s="163"/>
      <c r="K332" s="163"/>
      <c r="L332" s="165"/>
      <c r="M332" s="163"/>
      <c r="N332" s="163"/>
      <c r="O332" s="163"/>
      <c r="P332" s="163"/>
      <c r="Q332" s="163"/>
      <c r="R332" s="163"/>
      <c r="S332" s="163"/>
      <c r="T332" s="163"/>
      <c r="U332" s="163"/>
      <c r="V332" s="163"/>
      <c r="W332" s="163"/>
      <c r="X332" s="163"/>
      <c r="Y332" s="163"/>
      <c r="Z332" s="163"/>
      <c r="AA332" s="163"/>
    </row>
    <row r="333">
      <c r="A333" s="163"/>
      <c r="B333" s="163"/>
      <c r="C333" s="163"/>
      <c r="D333" s="163"/>
      <c r="E333" s="163"/>
      <c r="F333" s="163"/>
      <c r="G333" s="163"/>
      <c r="H333" s="163"/>
      <c r="I333" s="163"/>
      <c r="J333" s="163"/>
      <c r="K333" s="163"/>
      <c r="L333" s="165"/>
      <c r="M333" s="163"/>
      <c r="N333" s="163"/>
      <c r="O333" s="163"/>
      <c r="P333" s="163"/>
      <c r="Q333" s="163"/>
      <c r="R333" s="163"/>
      <c r="S333" s="163"/>
      <c r="T333" s="163"/>
      <c r="U333" s="163"/>
      <c r="V333" s="163"/>
      <c r="W333" s="163"/>
      <c r="X333" s="163"/>
      <c r="Y333" s="163"/>
      <c r="Z333" s="163"/>
      <c r="AA333" s="163"/>
    </row>
    <row r="334">
      <c r="A334" s="163"/>
      <c r="B334" s="163"/>
      <c r="C334" s="163"/>
      <c r="D334" s="163"/>
      <c r="E334" s="163"/>
      <c r="F334" s="163"/>
      <c r="G334" s="163"/>
      <c r="H334" s="163"/>
      <c r="I334" s="163"/>
      <c r="J334" s="163"/>
      <c r="K334" s="163"/>
      <c r="L334" s="165"/>
      <c r="M334" s="163"/>
      <c r="N334" s="163"/>
      <c r="O334" s="163"/>
      <c r="P334" s="163"/>
      <c r="Q334" s="163"/>
      <c r="R334" s="163"/>
      <c r="S334" s="163"/>
      <c r="T334" s="163"/>
      <c r="U334" s="163"/>
      <c r="V334" s="163"/>
      <c r="W334" s="163"/>
      <c r="X334" s="163"/>
      <c r="Y334" s="163"/>
      <c r="Z334" s="163"/>
      <c r="AA334" s="163"/>
    </row>
    <row r="335">
      <c r="A335" s="163"/>
      <c r="B335" s="163"/>
      <c r="C335" s="163"/>
      <c r="D335" s="163"/>
      <c r="E335" s="163"/>
      <c r="F335" s="163"/>
      <c r="G335" s="163"/>
      <c r="H335" s="163"/>
      <c r="I335" s="163"/>
      <c r="J335" s="163"/>
      <c r="K335" s="163"/>
      <c r="L335" s="165"/>
      <c r="M335" s="163"/>
      <c r="N335" s="163"/>
      <c r="O335" s="163"/>
      <c r="P335" s="163"/>
      <c r="Q335" s="163"/>
      <c r="R335" s="163"/>
      <c r="S335" s="163"/>
      <c r="T335" s="163"/>
      <c r="U335" s="163"/>
      <c r="V335" s="163"/>
      <c r="W335" s="163"/>
      <c r="X335" s="163"/>
      <c r="Y335" s="163"/>
      <c r="Z335" s="163"/>
      <c r="AA335" s="163"/>
    </row>
    <row r="336">
      <c r="A336" s="163"/>
      <c r="B336" s="163"/>
      <c r="C336" s="163"/>
      <c r="D336" s="163"/>
      <c r="E336" s="163"/>
      <c r="F336" s="163"/>
      <c r="G336" s="163"/>
      <c r="H336" s="163"/>
      <c r="I336" s="163"/>
      <c r="J336" s="163"/>
      <c r="K336" s="163"/>
      <c r="L336" s="165"/>
      <c r="M336" s="163"/>
      <c r="N336" s="163"/>
      <c r="O336" s="163"/>
      <c r="P336" s="163"/>
      <c r="Q336" s="163"/>
      <c r="R336" s="163"/>
      <c r="S336" s="163"/>
      <c r="T336" s="163"/>
      <c r="U336" s="163"/>
      <c r="V336" s="163"/>
      <c r="W336" s="163"/>
      <c r="X336" s="163"/>
      <c r="Y336" s="163"/>
      <c r="Z336" s="163"/>
      <c r="AA336" s="163"/>
    </row>
    <row r="337">
      <c r="A337" s="163"/>
      <c r="B337" s="163"/>
      <c r="C337" s="163"/>
      <c r="D337" s="163"/>
      <c r="E337" s="163"/>
      <c r="F337" s="163"/>
      <c r="G337" s="163"/>
      <c r="H337" s="163"/>
      <c r="I337" s="163"/>
      <c r="J337" s="163"/>
      <c r="K337" s="163"/>
      <c r="L337" s="165"/>
      <c r="M337" s="163"/>
      <c r="N337" s="163"/>
      <c r="O337" s="163"/>
      <c r="P337" s="163"/>
      <c r="Q337" s="163"/>
      <c r="R337" s="163"/>
      <c r="S337" s="163"/>
      <c r="T337" s="163"/>
      <c r="U337" s="163"/>
      <c r="V337" s="163"/>
      <c r="W337" s="163"/>
      <c r="X337" s="163"/>
      <c r="Y337" s="163"/>
      <c r="Z337" s="163"/>
      <c r="AA337" s="163"/>
    </row>
    <row r="338">
      <c r="A338" s="163"/>
      <c r="B338" s="163"/>
      <c r="C338" s="163"/>
      <c r="D338" s="163"/>
      <c r="E338" s="163"/>
      <c r="F338" s="163"/>
      <c r="G338" s="163"/>
      <c r="H338" s="163"/>
      <c r="I338" s="163"/>
      <c r="J338" s="163"/>
      <c r="K338" s="163"/>
      <c r="L338" s="165"/>
      <c r="M338" s="163"/>
      <c r="N338" s="163"/>
      <c r="O338" s="163"/>
      <c r="P338" s="163"/>
      <c r="Q338" s="163"/>
      <c r="R338" s="163"/>
      <c r="S338" s="163"/>
      <c r="T338" s="163"/>
      <c r="U338" s="163"/>
      <c r="V338" s="163"/>
      <c r="W338" s="163"/>
      <c r="X338" s="163"/>
      <c r="Y338" s="163"/>
      <c r="Z338" s="163"/>
      <c r="AA338" s="163"/>
    </row>
    <row r="339">
      <c r="A339" s="163"/>
      <c r="B339" s="163"/>
      <c r="C339" s="163"/>
      <c r="D339" s="163"/>
      <c r="E339" s="163"/>
      <c r="F339" s="163"/>
      <c r="G339" s="163"/>
      <c r="H339" s="163"/>
      <c r="I339" s="163"/>
      <c r="J339" s="163"/>
      <c r="K339" s="163"/>
      <c r="L339" s="165"/>
      <c r="M339" s="163"/>
      <c r="N339" s="163"/>
      <c r="O339" s="163"/>
      <c r="P339" s="163"/>
      <c r="Q339" s="163"/>
      <c r="R339" s="163"/>
      <c r="S339" s="163"/>
      <c r="T339" s="163"/>
      <c r="U339" s="163"/>
      <c r="V339" s="163"/>
      <c r="W339" s="163"/>
      <c r="X339" s="163"/>
      <c r="Y339" s="163"/>
      <c r="Z339" s="163"/>
      <c r="AA339" s="163"/>
    </row>
    <row r="340">
      <c r="A340" s="163"/>
      <c r="B340" s="163"/>
      <c r="C340" s="163"/>
      <c r="D340" s="163"/>
      <c r="E340" s="163"/>
      <c r="F340" s="163"/>
      <c r="G340" s="163"/>
      <c r="H340" s="163"/>
      <c r="I340" s="163"/>
      <c r="J340" s="163"/>
      <c r="K340" s="163"/>
      <c r="L340" s="165"/>
      <c r="M340" s="163"/>
      <c r="N340" s="163"/>
      <c r="O340" s="163"/>
      <c r="P340" s="163"/>
      <c r="Q340" s="163"/>
      <c r="R340" s="163"/>
      <c r="S340" s="163"/>
      <c r="T340" s="163"/>
      <c r="U340" s="163"/>
      <c r="V340" s="163"/>
      <c r="W340" s="163"/>
      <c r="X340" s="163"/>
      <c r="Y340" s="163"/>
      <c r="Z340" s="163"/>
      <c r="AA340" s="163"/>
    </row>
    <row r="341">
      <c r="A341" s="163"/>
      <c r="B341" s="163"/>
      <c r="C341" s="163"/>
      <c r="D341" s="163"/>
      <c r="E341" s="163"/>
      <c r="F341" s="163"/>
      <c r="G341" s="163"/>
      <c r="H341" s="163"/>
      <c r="I341" s="163"/>
      <c r="J341" s="163"/>
      <c r="K341" s="163"/>
      <c r="L341" s="165"/>
      <c r="M341" s="163"/>
      <c r="N341" s="163"/>
      <c r="O341" s="163"/>
      <c r="P341" s="163"/>
      <c r="Q341" s="163"/>
      <c r="R341" s="163"/>
      <c r="S341" s="163"/>
      <c r="T341" s="163"/>
      <c r="U341" s="163"/>
      <c r="V341" s="163"/>
      <c r="W341" s="163"/>
      <c r="X341" s="163"/>
      <c r="Y341" s="163"/>
      <c r="Z341" s="163"/>
      <c r="AA341" s="163"/>
    </row>
    <row r="342">
      <c r="A342" s="163"/>
      <c r="B342" s="163"/>
      <c r="C342" s="163"/>
      <c r="D342" s="163"/>
      <c r="E342" s="163"/>
      <c r="F342" s="163"/>
      <c r="G342" s="163"/>
      <c r="H342" s="163"/>
      <c r="I342" s="163"/>
      <c r="J342" s="163"/>
      <c r="K342" s="163"/>
      <c r="L342" s="165"/>
      <c r="M342" s="163"/>
      <c r="N342" s="163"/>
      <c r="O342" s="163"/>
      <c r="P342" s="163"/>
      <c r="Q342" s="163"/>
      <c r="R342" s="163"/>
      <c r="S342" s="163"/>
      <c r="T342" s="163"/>
      <c r="U342" s="163"/>
      <c r="V342" s="163"/>
      <c r="W342" s="163"/>
      <c r="X342" s="163"/>
      <c r="Y342" s="163"/>
      <c r="Z342" s="163"/>
      <c r="AA342" s="163"/>
    </row>
    <row r="343">
      <c r="A343" s="163"/>
      <c r="B343" s="163"/>
      <c r="C343" s="163"/>
      <c r="D343" s="163"/>
      <c r="E343" s="163"/>
      <c r="F343" s="163"/>
      <c r="G343" s="163"/>
      <c r="H343" s="163"/>
      <c r="I343" s="163"/>
      <c r="J343" s="163"/>
      <c r="K343" s="163"/>
      <c r="L343" s="165"/>
      <c r="M343" s="163"/>
      <c r="N343" s="163"/>
      <c r="O343" s="163"/>
      <c r="P343" s="163"/>
      <c r="Q343" s="163"/>
      <c r="R343" s="163"/>
      <c r="S343" s="163"/>
      <c r="T343" s="163"/>
      <c r="U343" s="163"/>
      <c r="V343" s="163"/>
      <c r="W343" s="163"/>
      <c r="X343" s="163"/>
      <c r="Y343" s="163"/>
      <c r="Z343" s="163"/>
      <c r="AA343" s="163"/>
    </row>
    <row r="344">
      <c r="A344" s="163"/>
      <c r="B344" s="163"/>
      <c r="C344" s="163"/>
      <c r="D344" s="163"/>
      <c r="E344" s="163"/>
      <c r="F344" s="163"/>
      <c r="G344" s="163"/>
      <c r="H344" s="163"/>
      <c r="I344" s="163"/>
      <c r="J344" s="163"/>
      <c r="K344" s="163"/>
      <c r="L344" s="165"/>
      <c r="M344" s="163"/>
      <c r="N344" s="163"/>
      <c r="O344" s="163"/>
      <c r="P344" s="163"/>
      <c r="Q344" s="163"/>
      <c r="R344" s="163"/>
      <c r="S344" s="163"/>
      <c r="T344" s="163"/>
      <c r="U344" s="163"/>
      <c r="V344" s="163"/>
      <c r="W344" s="163"/>
      <c r="X344" s="163"/>
      <c r="Y344" s="163"/>
      <c r="Z344" s="163"/>
      <c r="AA344" s="163"/>
    </row>
    <row r="345">
      <c r="A345" s="163"/>
      <c r="B345" s="163"/>
      <c r="C345" s="163"/>
      <c r="D345" s="163"/>
      <c r="E345" s="163"/>
      <c r="F345" s="163"/>
      <c r="G345" s="163"/>
      <c r="H345" s="163"/>
      <c r="I345" s="163"/>
      <c r="J345" s="163"/>
      <c r="K345" s="163"/>
      <c r="L345" s="165"/>
      <c r="M345" s="163"/>
      <c r="N345" s="163"/>
      <c r="O345" s="163"/>
      <c r="P345" s="163"/>
      <c r="Q345" s="163"/>
      <c r="R345" s="163"/>
      <c r="S345" s="163"/>
      <c r="T345" s="163"/>
      <c r="U345" s="163"/>
      <c r="V345" s="163"/>
      <c r="W345" s="163"/>
      <c r="X345" s="163"/>
      <c r="Y345" s="163"/>
      <c r="Z345" s="163"/>
      <c r="AA345" s="163"/>
    </row>
    <row r="346">
      <c r="A346" s="163"/>
      <c r="B346" s="163"/>
      <c r="C346" s="163"/>
      <c r="D346" s="163"/>
      <c r="E346" s="163"/>
      <c r="F346" s="163"/>
      <c r="G346" s="163"/>
      <c r="H346" s="163"/>
      <c r="I346" s="163"/>
      <c r="J346" s="163"/>
      <c r="K346" s="163"/>
      <c r="L346" s="165"/>
      <c r="M346" s="163"/>
      <c r="N346" s="163"/>
      <c r="O346" s="163"/>
      <c r="P346" s="163"/>
      <c r="Q346" s="163"/>
      <c r="R346" s="163"/>
      <c r="S346" s="163"/>
      <c r="T346" s="163"/>
      <c r="U346" s="163"/>
      <c r="V346" s="163"/>
      <c r="W346" s="163"/>
      <c r="X346" s="163"/>
      <c r="Y346" s="163"/>
      <c r="Z346" s="163"/>
      <c r="AA346" s="163"/>
    </row>
    <row r="347">
      <c r="A347" s="163"/>
      <c r="B347" s="163"/>
      <c r="C347" s="163"/>
      <c r="D347" s="163"/>
      <c r="E347" s="163"/>
      <c r="F347" s="163"/>
      <c r="G347" s="163"/>
      <c r="H347" s="163"/>
      <c r="I347" s="163"/>
      <c r="J347" s="163"/>
      <c r="K347" s="163"/>
      <c r="L347" s="165"/>
      <c r="M347" s="163"/>
      <c r="N347" s="163"/>
      <c r="O347" s="163"/>
      <c r="P347" s="163"/>
      <c r="Q347" s="163"/>
      <c r="R347" s="163"/>
      <c r="S347" s="163"/>
      <c r="T347" s="163"/>
      <c r="U347" s="163"/>
      <c r="V347" s="163"/>
      <c r="W347" s="163"/>
      <c r="X347" s="163"/>
      <c r="Y347" s="163"/>
      <c r="Z347" s="163"/>
      <c r="AA347" s="163"/>
    </row>
    <row r="348">
      <c r="A348" s="163"/>
      <c r="B348" s="163"/>
      <c r="C348" s="163"/>
      <c r="D348" s="163"/>
      <c r="E348" s="163"/>
      <c r="F348" s="163"/>
      <c r="G348" s="163"/>
      <c r="H348" s="163"/>
      <c r="I348" s="163"/>
      <c r="J348" s="163"/>
      <c r="K348" s="163"/>
      <c r="L348" s="165"/>
      <c r="M348" s="163"/>
      <c r="N348" s="163"/>
      <c r="O348" s="163"/>
      <c r="P348" s="163"/>
      <c r="Q348" s="163"/>
      <c r="R348" s="163"/>
      <c r="S348" s="163"/>
      <c r="T348" s="163"/>
      <c r="U348" s="163"/>
      <c r="V348" s="163"/>
      <c r="W348" s="163"/>
      <c r="X348" s="163"/>
      <c r="Y348" s="163"/>
      <c r="Z348" s="163"/>
      <c r="AA348" s="163"/>
    </row>
    <row r="349">
      <c r="A349" s="163"/>
      <c r="B349" s="163"/>
      <c r="C349" s="163"/>
      <c r="D349" s="163"/>
      <c r="E349" s="163"/>
      <c r="F349" s="163"/>
      <c r="G349" s="163"/>
      <c r="H349" s="163"/>
      <c r="I349" s="163"/>
      <c r="J349" s="163"/>
      <c r="K349" s="163"/>
      <c r="L349" s="165"/>
      <c r="M349" s="163"/>
      <c r="N349" s="163"/>
      <c r="O349" s="163"/>
      <c r="P349" s="163"/>
      <c r="Q349" s="163"/>
      <c r="R349" s="163"/>
      <c r="S349" s="163"/>
      <c r="T349" s="163"/>
      <c r="U349" s="163"/>
      <c r="V349" s="163"/>
      <c r="W349" s="163"/>
      <c r="X349" s="163"/>
      <c r="Y349" s="163"/>
      <c r="Z349" s="163"/>
      <c r="AA349" s="163"/>
    </row>
    <row r="350">
      <c r="A350" s="163"/>
      <c r="B350" s="163"/>
      <c r="C350" s="163"/>
      <c r="D350" s="163"/>
      <c r="E350" s="163"/>
      <c r="F350" s="163"/>
      <c r="G350" s="163"/>
      <c r="H350" s="163"/>
      <c r="I350" s="163"/>
      <c r="J350" s="163"/>
      <c r="K350" s="163"/>
      <c r="L350" s="165"/>
      <c r="M350" s="163"/>
      <c r="N350" s="163"/>
      <c r="O350" s="163"/>
      <c r="P350" s="163"/>
      <c r="Q350" s="163"/>
      <c r="R350" s="163"/>
      <c r="S350" s="163"/>
      <c r="T350" s="163"/>
      <c r="U350" s="163"/>
      <c r="V350" s="163"/>
      <c r="W350" s="163"/>
      <c r="X350" s="163"/>
      <c r="Y350" s="163"/>
      <c r="Z350" s="163"/>
      <c r="AA350" s="163"/>
    </row>
    <row r="351">
      <c r="A351" s="163"/>
      <c r="B351" s="163"/>
      <c r="C351" s="163"/>
      <c r="D351" s="163"/>
      <c r="E351" s="163"/>
      <c r="F351" s="163"/>
      <c r="G351" s="163"/>
      <c r="H351" s="163"/>
      <c r="I351" s="163"/>
      <c r="J351" s="163"/>
      <c r="K351" s="163"/>
      <c r="L351" s="165"/>
      <c r="M351" s="163"/>
      <c r="N351" s="163"/>
      <c r="O351" s="163"/>
      <c r="P351" s="163"/>
      <c r="Q351" s="163"/>
      <c r="R351" s="163"/>
      <c r="S351" s="163"/>
      <c r="T351" s="163"/>
      <c r="U351" s="163"/>
      <c r="V351" s="163"/>
      <c r="W351" s="163"/>
      <c r="X351" s="163"/>
      <c r="Y351" s="163"/>
      <c r="Z351" s="163"/>
      <c r="AA351" s="163"/>
    </row>
    <row r="352">
      <c r="A352" s="163"/>
      <c r="B352" s="163"/>
      <c r="C352" s="163"/>
      <c r="D352" s="163"/>
      <c r="E352" s="163"/>
      <c r="F352" s="163"/>
      <c r="G352" s="163"/>
      <c r="H352" s="163"/>
      <c r="I352" s="163"/>
      <c r="J352" s="163"/>
      <c r="K352" s="163"/>
      <c r="L352" s="165"/>
      <c r="M352" s="163"/>
      <c r="N352" s="163"/>
      <c r="O352" s="163"/>
      <c r="P352" s="163"/>
      <c r="Q352" s="163"/>
      <c r="R352" s="163"/>
      <c r="S352" s="163"/>
      <c r="T352" s="163"/>
      <c r="U352" s="163"/>
      <c r="V352" s="163"/>
      <c r="W352" s="163"/>
      <c r="X352" s="163"/>
      <c r="Y352" s="163"/>
      <c r="Z352" s="163"/>
      <c r="AA352" s="163"/>
    </row>
    <row r="353">
      <c r="A353" s="163"/>
      <c r="B353" s="163"/>
      <c r="C353" s="163"/>
      <c r="D353" s="163"/>
      <c r="E353" s="163"/>
      <c r="F353" s="163"/>
      <c r="G353" s="163"/>
      <c r="H353" s="163"/>
      <c r="I353" s="163"/>
      <c r="J353" s="163"/>
      <c r="K353" s="163"/>
      <c r="L353" s="165"/>
      <c r="M353" s="163"/>
      <c r="N353" s="163"/>
      <c r="O353" s="163"/>
      <c r="P353" s="163"/>
      <c r="Q353" s="163"/>
      <c r="R353" s="163"/>
      <c r="S353" s="163"/>
      <c r="T353" s="163"/>
      <c r="U353" s="163"/>
      <c r="V353" s="163"/>
      <c r="W353" s="163"/>
      <c r="X353" s="163"/>
      <c r="Y353" s="163"/>
      <c r="Z353" s="163"/>
      <c r="AA353" s="163"/>
    </row>
    <row r="354">
      <c r="A354" s="163"/>
      <c r="B354" s="163"/>
      <c r="C354" s="163"/>
      <c r="D354" s="163"/>
      <c r="E354" s="163"/>
      <c r="F354" s="163"/>
      <c r="G354" s="163"/>
      <c r="H354" s="163"/>
      <c r="I354" s="163"/>
      <c r="J354" s="163"/>
      <c r="K354" s="163"/>
      <c r="L354" s="165"/>
      <c r="M354" s="163"/>
      <c r="N354" s="163"/>
      <c r="O354" s="163"/>
      <c r="P354" s="163"/>
      <c r="Q354" s="163"/>
      <c r="R354" s="163"/>
      <c r="S354" s="163"/>
      <c r="T354" s="163"/>
      <c r="U354" s="163"/>
      <c r="V354" s="163"/>
      <c r="W354" s="163"/>
      <c r="X354" s="163"/>
      <c r="Y354" s="163"/>
      <c r="Z354" s="163"/>
      <c r="AA354" s="163"/>
    </row>
    <row r="355">
      <c r="A355" s="163"/>
      <c r="B355" s="163"/>
      <c r="C355" s="163"/>
      <c r="D355" s="163"/>
      <c r="E355" s="163"/>
      <c r="F355" s="163"/>
      <c r="G355" s="163"/>
      <c r="H355" s="163"/>
      <c r="I355" s="163"/>
      <c r="J355" s="163"/>
      <c r="K355" s="163"/>
      <c r="L355" s="165"/>
      <c r="M355" s="163"/>
      <c r="N355" s="163"/>
      <c r="O355" s="163"/>
      <c r="P355" s="163"/>
      <c r="Q355" s="163"/>
      <c r="R355" s="163"/>
      <c r="S355" s="163"/>
      <c r="T355" s="163"/>
      <c r="U355" s="163"/>
      <c r="V355" s="163"/>
      <c r="W355" s="163"/>
      <c r="X355" s="163"/>
      <c r="Y355" s="163"/>
      <c r="Z355" s="163"/>
      <c r="AA355" s="163"/>
    </row>
    <row r="356">
      <c r="A356" s="163"/>
      <c r="B356" s="163"/>
      <c r="C356" s="163"/>
      <c r="D356" s="163"/>
      <c r="E356" s="163"/>
      <c r="F356" s="163"/>
      <c r="G356" s="163"/>
      <c r="H356" s="163"/>
      <c r="I356" s="163"/>
      <c r="J356" s="163"/>
      <c r="K356" s="163"/>
      <c r="L356" s="165"/>
      <c r="M356" s="163"/>
      <c r="N356" s="163"/>
      <c r="O356" s="163"/>
      <c r="P356" s="163"/>
      <c r="Q356" s="163"/>
      <c r="R356" s="163"/>
      <c r="S356" s="163"/>
      <c r="T356" s="163"/>
      <c r="U356" s="163"/>
      <c r="V356" s="163"/>
      <c r="W356" s="163"/>
      <c r="X356" s="163"/>
      <c r="Y356" s="163"/>
      <c r="Z356" s="163"/>
      <c r="AA356" s="163"/>
    </row>
    <row r="357">
      <c r="A357" s="163"/>
      <c r="B357" s="163"/>
      <c r="C357" s="163"/>
      <c r="D357" s="163"/>
      <c r="E357" s="163"/>
      <c r="F357" s="163"/>
      <c r="G357" s="163"/>
      <c r="H357" s="163"/>
      <c r="I357" s="163"/>
      <c r="J357" s="163"/>
      <c r="K357" s="163"/>
      <c r="L357" s="165"/>
      <c r="M357" s="163"/>
      <c r="N357" s="163"/>
      <c r="O357" s="163"/>
      <c r="P357" s="163"/>
      <c r="Q357" s="163"/>
      <c r="R357" s="163"/>
      <c r="S357" s="163"/>
      <c r="T357" s="163"/>
      <c r="U357" s="163"/>
      <c r="V357" s="163"/>
      <c r="W357" s="163"/>
      <c r="X357" s="163"/>
      <c r="Y357" s="163"/>
      <c r="Z357" s="163"/>
      <c r="AA357" s="163"/>
    </row>
    <row r="358">
      <c r="A358" s="163"/>
      <c r="B358" s="163"/>
      <c r="C358" s="163"/>
      <c r="D358" s="163"/>
      <c r="E358" s="163"/>
      <c r="F358" s="163"/>
      <c r="G358" s="163"/>
      <c r="H358" s="163"/>
      <c r="I358" s="163"/>
      <c r="J358" s="163"/>
      <c r="K358" s="163"/>
      <c r="L358" s="165"/>
      <c r="M358" s="163"/>
      <c r="N358" s="163"/>
      <c r="O358" s="163"/>
      <c r="P358" s="163"/>
      <c r="Q358" s="163"/>
      <c r="R358" s="163"/>
      <c r="S358" s="163"/>
      <c r="T358" s="163"/>
      <c r="U358" s="163"/>
      <c r="V358" s="163"/>
      <c r="W358" s="163"/>
      <c r="X358" s="163"/>
      <c r="Y358" s="163"/>
      <c r="Z358" s="163"/>
      <c r="AA358" s="163"/>
    </row>
    <row r="359">
      <c r="A359" s="163"/>
      <c r="B359" s="163"/>
      <c r="C359" s="163"/>
      <c r="D359" s="163"/>
      <c r="E359" s="163"/>
      <c r="F359" s="163"/>
      <c r="G359" s="163"/>
      <c r="H359" s="163"/>
      <c r="I359" s="163"/>
      <c r="J359" s="163"/>
      <c r="K359" s="163"/>
      <c r="L359" s="165"/>
      <c r="M359" s="163"/>
      <c r="N359" s="163"/>
      <c r="O359" s="163"/>
      <c r="P359" s="163"/>
      <c r="Q359" s="163"/>
      <c r="R359" s="163"/>
      <c r="S359" s="163"/>
      <c r="T359" s="163"/>
      <c r="U359" s="163"/>
      <c r="V359" s="163"/>
      <c r="W359" s="163"/>
      <c r="X359" s="163"/>
      <c r="Y359" s="163"/>
      <c r="Z359" s="163"/>
      <c r="AA359" s="163"/>
    </row>
    <row r="360">
      <c r="A360" s="163"/>
      <c r="B360" s="163"/>
      <c r="C360" s="163"/>
      <c r="D360" s="163"/>
      <c r="E360" s="163"/>
      <c r="F360" s="163"/>
      <c r="G360" s="163"/>
      <c r="H360" s="163"/>
      <c r="I360" s="163"/>
      <c r="J360" s="163"/>
      <c r="K360" s="163"/>
      <c r="L360" s="165"/>
      <c r="M360" s="163"/>
      <c r="N360" s="163"/>
      <c r="O360" s="163"/>
      <c r="P360" s="163"/>
      <c r="Q360" s="163"/>
      <c r="R360" s="163"/>
      <c r="S360" s="163"/>
      <c r="T360" s="163"/>
      <c r="U360" s="163"/>
      <c r="V360" s="163"/>
      <c r="W360" s="163"/>
      <c r="X360" s="163"/>
      <c r="Y360" s="163"/>
      <c r="Z360" s="163"/>
      <c r="AA360" s="163"/>
    </row>
    <row r="361">
      <c r="A361" s="163"/>
      <c r="B361" s="163"/>
      <c r="C361" s="163"/>
      <c r="D361" s="163"/>
      <c r="E361" s="163"/>
      <c r="F361" s="163"/>
      <c r="G361" s="163"/>
      <c r="H361" s="163"/>
      <c r="I361" s="163"/>
      <c r="J361" s="163"/>
      <c r="K361" s="163"/>
      <c r="L361" s="165"/>
      <c r="M361" s="163"/>
      <c r="N361" s="163"/>
      <c r="O361" s="163"/>
      <c r="P361" s="163"/>
      <c r="Q361" s="163"/>
      <c r="R361" s="163"/>
      <c r="S361" s="163"/>
      <c r="T361" s="163"/>
      <c r="U361" s="163"/>
      <c r="V361" s="163"/>
      <c r="W361" s="163"/>
      <c r="X361" s="163"/>
      <c r="Y361" s="163"/>
      <c r="Z361" s="163"/>
      <c r="AA361" s="163"/>
    </row>
    <row r="362">
      <c r="A362" s="163"/>
      <c r="B362" s="163"/>
      <c r="C362" s="163"/>
      <c r="D362" s="163"/>
      <c r="E362" s="163"/>
      <c r="F362" s="163"/>
      <c r="G362" s="163"/>
      <c r="H362" s="163"/>
      <c r="I362" s="163"/>
      <c r="J362" s="163"/>
      <c r="K362" s="163"/>
      <c r="L362" s="165"/>
      <c r="M362" s="163"/>
      <c r="N362" s="163"/>
      <c r="O362" s="163"/>
      <c r="P362" s="163"/>
      <c r="Q362" s="163"/>
      <c r="R362" s="163"/>
      <c r="S362" s="163"/>
      <c r="T362" s="163"/>
      <c r="U362" s="163"/>
      <c r="V362" s="163"/>
      <c r="W362" s="163"/>
      <c r="X362" s="163"/>
      <c r="Y362" s="163"/>
      <c r="Z362" s="163"/>
      <c r="AA362" s="163"/>
    </row>
    <row r="363">
      <c r="A363" s="163"/>
      <c r="B363" s="163"/>
      <c r="C363" s="163"/>
      <c r="D363" s="163"/>
      <c r="E363" s="163"/>
      <c r="F363" s="163"/>
      <c r="G363" s="163"/>
      <c r="H363" s="163"/>
      <c r="I363" s="163"/>
      <c r="J363" s="163"/>
      <c r="K363" s="163"/>
      <c r="L363" s="165"/>
      <c r="M363" s="163"/>
      <c r="N363" s="163"/>
      <c r="O363" s="163"/>
      <c r="P363" s="163"/>
      <c r="Q363" s="163"/>
      <c r="R363" s="163"/>
      <c r="S363" s="163"/>
      <c r="T363" s="163"/>
      <c r="U363" s="163"/>
      <c r="V363" s="163"/>
      <c r="W363" s="163"/>
      <c r="X363" s="163"/>
      <c r="Y363" s="163"/>
      <c r="Z363" s="163"/>
      <c r="AA363" s="163"/>
    </row>
    <row r="364">
      <c r="A364" s="163"/>
      <c r="B364" s="163"/>
      <c r="C364" s="163"/>
      <c r="D364" s="163"/>
      <c r="E364" s="163"/>
      <c r="F364" s="163"/>
      <c r="G364" s="163"/>
      <c r="H364" s="163"/>
      <c r="I364" s="163"/>
      <c r="J364" s="163"/>
      <c r="K364" s="163"/>
      <c r="L364" s="165"/>
      <c r="M364" s="163"/>
      <c r="N364" s="163"/>
      <c r="O364" s="163"/>
      <c r="P364" s="163"/>
      <c r="Q364" s="163"/>
      <c r="R364" s="163"/>
      <c r="S364" s="163"/>
      <c r="T364" s="163"/>
      <c r="U364" s="163"/>
      <c r="V364" s="163"/>
      <c r="W364" s="163"/>
      <c r="X364" s="163"/>
      <c r="Y364" s="163"/>
      <c r="Z364" s="163"/>
      <c r="AA364" s="163"/>
    </row>
    <row r="365">
      <c r="A365" s="163"/>
      <c r="B365" s="163"/>
      <c r="C365" s="163"/>
      <c r="D365" s="163"/>
      <c r="E365" s="163"/>
      <c r="F365" s="163"/>
      <c r="G365" s="163"/>
      <c r="H365" s="163"/>
      <c r="I365" s="163"/>
      <c r="J365" s="163"/>
      <c r="K365" s="163"/>
      <c r="L365" s="165"/>
      <c r="M365" s="163"/>
      <c r="N365" s="163"/>
      <c r="O365" s="163"/>
      <c r="P365" s="163"/>
      <c r="Q365" s="163"/>
      <c r="R365" s="163"/>
      <c r="S365" s="163"/>
      <c r="T365" s="163"/>
      <c r="U365" s="163"/>
      <c r="V365" s="163"/>
      <c r="W365" s="163"/>
      <c r="X365" s="163"/>
      <c r="Y365" s="163"/>
      <c r="Z365" s="163"/>
      <c r="AA365" s="163"/>
    </row>
    <row r="366">
      <c r="A366" s="163"/>
      <c r="B366" s="163"/>
      <c r="C366" s="163"/>
      <c r="D366" s="163"/>
      <c r="E366" s="163"/>
      <c r="F366" s="163"/>
      <c r="G366" s="163"/>
      <c r="H366" s="163"/>
      <c r="I366" s="163"/>
      <c r="J366" s="163"/>
      <c r="K366" s="163"/>
      <c r="L366" s="165"/>
      <c r="M366" s="163"/>
      <c r="N366" s="163"/>
      <c r="O366" s="163"/>
      <c r="P366" s="163"/>
      <c r="Q366" s="163"/>
      <c r="R366" s="163"/>
      <c r="S366" s="163"/>
      <c r="T366" s="163"/>
      <c r="U366" s="163"/>
      <c r="V366" s="163"/>
      <c r="W366" s="163"/>
      <c r="X366" s="163"/>
      <c r="Y366" s="163"/>
      <c r="Z366" s="163"/>
      <c r="AA366" s="163"/>
    </row>
    <row r="367">
      <c r="A367" s="163"/>
      <c r="B367" s="163"/>
      <c r="C367" s="163"/>
      <c r="D367" s="163"/>
      <c r="E367" s="163"/>
      <c r="F367" s="163"/>
      <c r="G367" s="163"/>
      <c r="H367" s="163"/>
      <c r="I367" s="163"/>
      <c r="J367" s="163"/>
      <c r="K367" s="163"/>
      <c r="L367" s="165"/>
      <c r="M367" s="163"/>
      <c r="N367" s="163"/>
      <c r="O367" s="163"/>
      <c r="P367" s="163"/>
      <c r="Q367" s="163"/>
      <c r="R367" s="163"/>
      <c r="S367" s="163"/>
      <c r="T367" s="163"/>
      <c r="U367" s="163"/>
      <c r="V367" s="163"/>
      <c r="W367" s="163"/>
      <c r="X367" s="163"/>
      <c r="Y367" s="163"/>
      <c r="Z367" s="163"/>
      <c r="AA367" s="163"/>
    </row>
    <row r="368">
      <c r="A368" s="163"/>
      <c r="B368" s="163"/>
      <c r="C368" s="163"/>
      <c r="D368" s="163"/>
      <c r="E368" s="163"/>
      <c r="F368" s="163"/>
      <c r="G368" s="163"/>
      <c r="H368" s="163"/>
      <c r="I368" s="163"/>
      <c r="J368" s="163"/>
      <c r="K368" s="163"/>
      <c r="L368" s="165"/>
      <c r="M368" s="163"/>
      <c r="N368" s="163"/>
      <c r="O368" s="163"/>
      <c r="P368" s="163"/>
      <c r="Q368" s="163"/>
      <c r="R368" s="163"/>
      <c r="S368" s="163"/>
      <c r="T368" s="163"/>
      <c r="U368" s="163"/>
      <c r="V368" s="163"/>
      <c r="W368" s="163"/>
      <c r="X368" s="163"/>
      <c r="Y368" s="163"/>
      <c r="Z368" s="163"/>
      <c r="AA368" s="163"/>
    </row>
    <row r="369">
      <c r="A369" s="163"/>
      <c r="B369" s="163"/>
      <c r="C369" s="163"/>
      <c r="D369" s="163"/>
      <c r="E369" s="163"/>
      <c r="F369" s="163"/>
      <c r="G369" s="163"/>
      <c r="H369" s="163"/>
      <c r="I369" s="163"/>
      <c r="J369" s="163"/>
      <c r="K369" s="163"/>
      <c r="L369" s="165"/>
      <c r="M369" s="163"/>
      <c r="N369" s="163"/>
      <c r="O369" s="163"/>
      <c r="P369" s="163"/>
      <c r="Q369" s="163"/>
      <c r="R369" s="163"/>
      <c r="S369" s="163"/>
      <c r="T369" s="163"/>
      <c r="U369" s="163"/>
      <c r="V369" s="163"/>
      <c r="W369" s="163"/>
      <c r="X369" s="163"/>
      <c r="Y369" s="163"/>
      <c r="Z369" s="163"/>
      <c r="AA369" s="163"/>
    </row>
    <row r="370">
      <c r="A370" s="163"/>
      <c r="B370" s="163"/>
      <c r="C370" s="163"/>
      <c r="D370" s="163"/>
      <c r="E370" s="163"/>
      <c r="F370" s="163"/>
      <c r="G370" s="163"/>
      <c r="H370" s="163"/>
      <c r="I370" s="163"/>
      <c r="J370" s="163"/>
      <c r="K370" s="163"/>
      <c r="L370" s="165"/>
      <c r="M370" s="163"/>
      <c r="N370" s="163"/>
      <c r="O370" s="163"/>
      <c r="P370" s="163"/>
      <c r="Q370" s="163"/>
      <c r="R370" s="163"/>
      <c r="S370" s="163"/>
      <c r="T370" s="163"/>
      <c r="U370" s="163"/>
      <c r="V370" s="163"/>
      <c r="W370" s="163"/>
      <c r="X370" s="163"/>
      <c r="Y370" s="163"/>
      <c r="Z370" s="163"/>
      <c r="AA370" s="163"/>
    </row>
    <row r="371">
      <c r="A371" s="163"/>
      <c r="B371" s="163"/>
      <c r="C371" s="163"/>
      <c r="D371" s="163"/>
      <c r="E371" s="163"/>
      <c r="F371" s="163"/>
      <c r="G371" s="163"/>
      <c r="H371" s="163"/>
      <c r="I371" s="163"/>
      <c r="J371" s="163"/>
      <c r="K371" s="163"/>
      <c r="L371" s="165"/>
      <c r="M371" s="163"/>
      <c r="N371" s="163"/>
      <c r="O371" s="163"/>
      <c r="P371" s="163"/>
      <c r="Q371" s="163"/>
      <c r="R371" s="163"/>
      <c r="S371" s="163"/>
      <c r="T371" s="163"/>
      <c r="U371" s="163"/>
      <c r="V371" s="163"/>
      <c r="W371" s="163"/>
      <c r="X371" s="163"/>
      <c r="Y371" s="163"/>
      <c r="Z371" s="163"/>
      <c r="AA371" s="163"/>
    </row>
    <row r="372">
      <c r="A372" s="163"/>
      <c r="B372" s="163"/>
      <c r="C372" s="163"/>
      <c r="D372" s="163"/>
      <c r="E372" s="163"/>
      <c r="F372" s="163"/>
      <c r="G372" s="163"/>
      <c r="H372" s="163"/>
      <c r="I372" s="163"/>
      <c r="J372" s="163"/>
      <c r="K372" s="163"/>
      <c r="L372" s="165"/>
      <c r="M372" s="163"/>
      <c r="N372" s="163"/>
      <c r="O372" s="163"/>
      <c r="P372" s="163"/>
      <c r="Q372" s="163"/>
      <c r="R372" s="163"/>
      <c r="S372" s="163"/>
      <c r="T372" s="163"/>
      <c r="U372" s="163"/>
      <c r="V372" s="163"/>
      <c r="W372" s="163"/>
      <c r="X372" s="163"/>
      <c r="Y372" s="163"/>
      <c r="Z372" s="163"/>
      <c r="AA372" s="163"/>
    </row>
    <row r="373">
      <c r="A373" s="163"/>
      <c r="B373" s="163"/>
      <c r="C373" s="163"/>
      <c r="D373" s="163"/>
      <c r="E373" s="163"/>
      <c r="F373" s="163"/>
      <c r="G373" s="163"/>
      <c r="H373" s="163"/>
      <c r="I373" s="163"/>
      <c r="J373" s="163"/>
      <c r="K373" s="163"/>
      <c r="L373" s="165"/>
      <c r="M373" s="163"/>
      <c r="N373" s="163"/>
      <c r="O373" s="163"/>
      <c r="P373" s="163"/>
      <c r="Q373" s="163"/>
      <c r="R373" s="163"/>
      <c r="S373" s="163"/>
      <c r="T373" s="163"/>
      <c r="U373" s="163"/>
      <c r="V373" s="163"/>
      <c r="W373" s="163"/>
      <c r="X373" s="163"/>
      <c r="Y373" s="163"/>
      <c r="Z373" s="163"/>
      <c r="AA373" s="163"/>
    </row>
    <row r="374">
      <c r="A374" s="163"/>
      <c r="B374" s="163"/>
      <c r="C374" s="163"/>
      <c r="D374" s="163"/>
      <c r="E374" s="163"/>
      <c r="F374" s="163"/>
      <c r="G374" s="163"/>
      <c r="H374" s="163"/>
      <c r="I374" s="163"/>
      <c r="J374" s="163"/>
      <c r="K374" s="163"/>
      <c r="L374" s="165"/>
      <c r="M374" s="163"/>
      <c r="N374" s="163"/>
      <c r="O374" s="163"/>
      <c r="P374" s="163"/>
      <c r="Q374" s="163"/>
      <c r="R374" s="163"/>
      <c r="S374" s="163"/>
      <c r="T374" s="163"/>
      <c r="U374" s="163"/>
      <c r="V374" s="163"/>
      <c r="W374" s="163"/>
      <c r="X374" s="163"/>
      <c r="Y374" s="163"/>
      <c r="Z374" s="163"/>
      <c r="AA374" s="163"/>
    </row>
    <row r="375">
      <c r="A375" s="163"/>
      <c r="B375" s="163"/>
      <c r="C375" s="163"/>
      <c r="D375" s="163"/>
      <c r="E375" s="163"/>
      <c r="F375" s="163"/>
      <c r="G375" s="163"/>
      <c r="H375" s="163"/>
      <c r="I375" s="163"/>
      <c r="J375" s="163"/>
      <c r="K375" s="163"/>
      <c r="L375" s="165"/>
      <c r="M375" s="163"/>
      <c r="N375" s="163"/>
      <c r="O375" s="163"/>
      <c r="P375" s="163"/>
      <c r="Q375" s="163"/>
      <c r="R375" s="163"/>
      <c r="S375" s="163"/>
      <c r="T375" s="163"/>
      <c r="U375" s="163"/>
      <c r="V375" s="163"/>
      <c r="W375" s="163"/>
      <c r="X375" s="163"/>
      <c r="Y375" s="163"/>
      <c r="Z375" s="163"/>
      <c r="AA375" s="163"/>
    </row>
    <row r="376">
      <c r="A376" s="163"/>
      <c r="B376" s="163"/>
      <c r="C376" s="163"/>
      <c r="D376" s="163"/>
      <c r="E376" s="163"/>
      <c r="F376" s="163"/>
      <c r="G376" s="163"/>
      <c r="H376" s="163"/>
      <c r="I376" s="163"/>
      <c r="J376" s="163"/>
      <c r="K376" s="163"/>
      <c r="L376" s="165"/>
      <c r="M376" s="163"/>
      <c r="N376" s="163"/>
      <c r="O376" s="163"/>
      <c r="P376" s="163"/>
      <c r="Q376" s="163"/>
      <c r="R376" s="163"/>
      <c r="S376" s="163"/>
      <c r="T376" s="163"/>
      <c r="U376" s="163"/>
      <c r="V376" s="163"/>
      <c r="W376" s="163"/>
      <c r="X376" s="163"/>
      <c r="Y376" s="163"/>
      <c r="Z376" s="163"/>
      <c r="AA376" s="163"/>
    </row>
    <row r="377">
      <c r="A377" s="163"/>
      <c r="B377" s="163"/>
      <c r="C377" s="163"/>
      <c r="D377" s="163"/>
      <c r="E377" s="163"/>
      <c r="F377" s="163"/>
      <c r="G377" s="163"/>
      <c r="H377" s="163"/>
      <c r="I377" s="163"/>
      <c r="J377" s="163"/>
      <c r="K377" s="163"/>
      <c r="L377" s="165"/>
      <c r="M377" s="163"/>
      <c r="N377" s="163"/>
      <c r="O377" s="163"/>
      <c r="P377" s="163"/>
      <c r="Q377" s="163"/>
      <c r="R377" s="163"/>
      <c r="S377" s="163"/>
      <c r="T377" s="163"/>
      <c r="U377" s="163"/>
      <c r="V377" s="163"/>
      <c r="W377" s="163"/>
      <c r="X377" s="163"/>
      <c r="Y377" s="163"/>
      <c r="Z377" s="163"/>
      <c r="AA377" s="163"/>
    </row>
    <row r="378">
      <c r="A378" s="163"/>
      <c r="B378" s="163"/>
      <c r="C378" s="163"/>
      <c r="D378" s="163"/>
      <c r="E378" s="163"/>
      <c r="F378" s="163"/>
      <c r="G378" s="163"/>
      <c r="H378" s="163"/>
      <c r="I378" s="163"/>
      <c r="J378" s="163"/>
      <c r="K378" s="163"/>
      <c r="L378" s="165"/>
      <c r="M378" s="163"/>
      <c r="N378" s="163"/>
      <c r="O378" s="163"/>
      <c r="P378" s="163"/>
      <c r="Q378" s="163"/>
      <c r="R378" s="163"/>
      <c r="S378" s="163"/>
      <c r="T378" s="163"/>
      <c r="U378" s="163"/>
      <c r="V378" s="163"/>
      <c r="W378" s="163"/>
      <c r="X378" s="163"/>
      <c r="Y378" s="163"/>
      <c r="Z378" s="163"/>
      <c r="AA378" s="163"/>
    </row>
    <row r="379">
      <c r="A379" s="163"/>
      <c r="B379" s="163"/>
      <c r="C379" s="163"/>
      <c r="D379" s="163"/>
      <c r="E379" s="163"/>
      <c r="F379" s="163"/>
      <c r="G379" s="163"/>
      <c r="H379" s="163"/>
      <c r="I379" s="163"/>
      <c r="J379" s="163"/>
      <c r="K379" s="163"/>
      <c r="L379" s="165"/>
      <c r="M379" s="163"/>
      <c r="N379" s="163"/>
      <c r="O379" s="163"/>
      <c r="P379" s="163"/>
      <c r="Q379" s="163"/>
      <c r="R379" s="163"/>
      <c r="S379" s="163"/>
      <c r="T379" s="163"/>
      <c r="U379" s="163"/>
      <c r="V379" s="163"/>
      <c r="W379" s="163"/>
      <c r="X379" s="163"/>
      <c r="Y379" s="163"/>
      <c r="Z379" s="163"/>
      <c r="AA379" s="163"/>
    </row>
    <row r="380">
      <c r="A380" s="163"/>
      <c r="B380" s="163"/>
      <c r="C380" s="163"/>
      <c r="D380" s="163"/>
      <c r="E380" s="163"/>
      <c r="F380" s="163"/>
      <c r="G380" s="163"/>
      <c r="H380" s="163"/>
      <c r="I380" s="163"/>
      <c r="J380" s="163"/>
      <c r="K380" s="163"/>
      <c r="L380" s="165"/>
      <c r="M380" s="163"/>
      <c r="N380" s="163"/>
      <c r="O380" s="163"/>
      <c r="P380" s="163"/>
      <c r="Q380" s="163"/>
      <c r="R380" s="163"/>
      <c r="S380" s="163"/>
      <c r="T380" s="163"/>
      <c r="U380" s="163"/>
      <c r="V380" s="163"/>
      <c r="W380" s="163"/>
      <c r="X380" s="163"/>
      <c r="Y380" s="163"/>
      <c r="Z380" s="163"/>
      <c r="AA380" s="163"/>
    </row>
    <row r="381">
      <c r="A381" s="163"/>
      <c r="B381" s="163"/>
      <c r="C381" s="163"/>
      <c r="D381" s="163"/>
      <c r="E381" s="163"/>
      <c r="F381" s="163"/>
      <c r="G381" s="163"/>
      <c r="H381" s="163"/>
      <c r="I381" s="163"/>
      <c r="J381" s="163"/>
      <c r="K381" s="163"/>
      <c r="L381" s="165"/>
      <c r="M381" s="163"/>
      <c r="N381" s="163"/>
      <c r="O381" s="163"/>
      <c r="P381" s="163"/>
      <c r="Q381" s="163"/>
      <c r="R381" s="163"/>
      <c r="S381" s="163"/>
      <c r="T381" s="163"/>
      <c r="U381" s="163"/>
      <c r="V381" s="163"/>
      <c r="W381" s="163"/>
      <c r="X381" s="163"/>
      <c r="Y381" s="163"/>
      <c r="Z381" s="163"/>
      <c r="AA381" s="163"/>
    </row>
    <row r="382">
      <c r="A382" s="163"/>
      <c r="B382" s="163"/>
      <c r="C382" s="163"/>
      <c r="D382" s="163"/>
      <c r="E382" s="163"/>
      <c r="F382" s="163"/>
      <c r="G382" s="163"/>
      <c r="H382" s="163"/>
      <c r="I382" s="163"/>
      <c r="J382" s="163"/>
      <c r="K382" s="163"/>
      <c r="L382" s="165"/>
      <c r="M382" s="163"/>
      <c r="N382" s="163"/>
      <c r="O382" s="163"/>
      <c r="P382" s="163"/>
      <c r="Q382" s="163"/>
      <c r="R382" s="163"/>
      <c r="S382" s="163"/>
      <c r="T382" s="163"/>
      <c r="U382" s="163"/>
      <c r="V382" s="163"/>
      <c r="W382" s="163"/>
      <c r="X382" s="163"/>
      <c r="Y382" s="163"/>
      <c r="Z382" s="163"/>
      <c r="AA382" s="163"/>
    </row>
    <row r="383">
      <c r="A383" s="163"/>
      <c r="B383" s="163"/>
      <c r="C383" s="163"/>
      <c r="D383" s="163"/>
      <c r="E383" s="163"/>
      <c r="F383" s="163"/>
      <c r="G383" s="163"/>
      <c r="H383" s="163"/>
      <c r="I383" s="163"/>
      <c r="J383" s="163"/>
      <c r="K383" s="163"/>
      <c r="L383" s="165"/>
      <c r="M383" s="163"/>
      <c r="N383" s="163"/>
      <c r="O383" s="163"/>
      <c r="P383" s="163"/>
      <c r="Q383" s="163"/>
      <c r="R383" s="163"/>
      <c r="S383" s="163"/>
      <c r="T383" s="163"/>
      <c r="U383" s="163"/>
      <c r="V383" s="163"/>
      <c r="W383" s="163"/>
      <c r="X383" s="163"/>
      <c r="Y383" s="163"/>
      <c r="Z383" s="163"/>
      <c r="AA383" s="163"/>
    </row>
    <row r="384">
      <c r="A384" s="163"/>
      <c r="B384" s="163"/>
      <c r="C384" s="163"/>
      <c r="D384" s="163"/>
      <c r="E384" s="163"/>
      <c r="F384" s="163"/>
      <c r="G384" s="163"/>
      <c r="H384" s="163"/>
      <c r="I384" s="163"/>
      <c r="J384" s="163"/>
      <c r="K384" s="163"/>
      <c r="L384" s="165"/>
      <c r="M384" s="163"/>
      <c r="N384" s="163"/>
      <c r="O384" s="163"/>
      <c r="P384" s="163"/>
      <c r="Q384" s="163"/>
      <c r="R384" s="163"/>
      <c r="S384" s="163"/>
      <c r="T384" s="163"/>
      <c r="U384" s="163"/>
      <c r="V384" s="163"/>
      <c r="W384" s="163"/>
      <c r="X384" s="163"/>
      <c r="Y384" s="163"/>
      <c r="Z384" s="163"/>
      <c r="AA384" s="163"/>
    </row>
    <row r="385">
      <c r="A385" s="163"/>
      <c r="B385" s="163"/>
      <c r="C385" s="163"/>
      <c r="D385" s="163"/>
      <c r="E385" s="163"/>
      <c r="F385" s="163"/>
      <c r="G385" s="163"/>
      <c r="H385" s="163"/>
      <c r="I385" s="163"/>
      <c r="J385" s="163"/>
      <c r="K385" s="163"/>
      <c r="L385" s="165"/>
      <c r="M385" s="163"/>
      <c r="N385" s="163"/>
      <c r="O385" s="163"/>
      <c r="P385" s="163"/>
      <c r="Q385" s="163"/>
      <c r="R385" s="163"/>
      <c r="S385" s="163"/>
      <c r="T385" s="163"/>
      <c r="U385" s="163"/>
      <c r="V385" s="163"/>
      <c r="W385" s="163"/>
      <c r="X385" s="163"/>
      <c r="Y385" s="163"/>
      <c r="Z385" s="163"/>
      <c r="AA385" s="163"/>
    </row>
    <row r="386">
      <c r="A386" s="163"/>
      <c r="B386" s="163"/>
      <c r="C386" s="163"/>
      <c r="D386" s="163"/>
      <c r="E386" s="163"/>
      <c r="F386" s="163"/>
      <c r="G386" s="163"/>
      <c r="H386" s="163"/>
      <c r="I386" s="163"/>
      <c r="J386" s="163"/>
      <c r="K386" s="163"/>
      <c r="L386" s="165"/>
      <c r="M386" s="163"/>
      <c r="N386" s="163"/>
      <c r="O386" s="163"/>
      <c r="P386" s="163"/>
      <c r="Q386" s="163"/>
      <c r="R386" s="163"/>
      <c r="S386" s="163"/>
      <c r="T386" s="163"/>
      <c r="U386" s="163"/>
      <c r="V386" s="163"/>
      <c r="W386" s="163"/>
      <c r="X386" s="163"/>
      <c r="Y386" s="163"/>
      <c r="Z386" s="163"/>
      <c r="AA386" s="163"/>
    </row>
    <row r="387">
      <c r="A387" s="163"/>
      <c r="B387" s="163"/>
      <c r="C387" s="163"/>
      <c r="D387" s="163"/>
      <c r="E387" s="163"/>
      <c r="F387" s="163"/>
      <c r="G387" s="163"/>
      <c r="H387" s="163"/>
      <c r="I387" s="163"/>
      <c r="J387" s="163"/>
      <c r="K387" s="163"/>
      <c r="L387" s="165"/>
      <c r="M387" s="163"/>
      <c r="N387" s="163"/>
      <c r="O387" s="163"/>
      <c r="P387" s="163"/>
      <c r="Q387" s="163"/>
      <c r="R387" s="163"/>
      <c r="S387" s="163"/>
      <c r="T387" s="163"/>
      <c r="U387" s="163"/>
      <c r="V387" s="163"/>
      <c r="W387" s="163"/>
      <c r="X387" s="163"/>
      <c r="Y387" s="163"/>
      <c r="Z387" s="163"/>
      <c r="AA387" s="163"/>
    </row>
    <row r="388">
      <c r="A388" s="163"/>
      <c r="B388" s="163"/>
      <c r="C388" s="163"/>
      <c r="D388" s="163"/>
      <c r="E388" s="163"/>
      <c r="F388" s="163"/>
      <c r="G388" s="163"/>
      <c r="H388" s="163"/>
      <c r="I388" s="163"/>
      <c r="J388" s="163"/>
      <c r="K388" s="163"/>
      <c r="L388" s="165"/>
      <c r="M388" s="163"/>
      <c r="N388" s="163"/>
      <c r="O388" s="163"/>
      <c r="P388" s="163"/>
      <c r="Q388" s="163"/>
      <c r="R388" s="163"/>
      <c r="S388" s="163"/>
      <c r="T388" s="163"/>
      <c r="U388" s="163"/>
      <c r="V388" s="163"/>
      <c r="W388" s="163"/>
      <c r="X388" s="163"/>
      <c r="Y388" s="163"/>
      <c r="Z388" s="163"/>
      <c r="AA388" s="163"/>
    </row>
    <row r="389">
      <c r="A389" s="163"/>
      <c r="B389" s="163"/>
      <c r="C389" s="163"/>
      <c r="D389" s="163"/>
      <c r="E389" s="163"/>
      <c r="F389" s="163"/>
      <c r="G389" s="163"/>
      <c r="H389" s="163"/>
      <c r="I389" s="163"/>
      <c r="J389" s="163"/>
      <c r="K389" s="163"/>
      <c r="L389" s="165"/>
      <c r="M389" s="163"/>
      <c r="N389" s="163"/>
      <c r="O389" s="163"/>
      <c r="P389" s="163"/>
      <c r="Q389" s="163"/>
      <c r="R389" s="163"/>
      <c r="S389" s="163"/>
      <c r="T389" s="163"/>
      <c r="U389" s="163"/>
      <c r="V389" s="163"/>
      <c r="W389" s="163"/>
      <c r="X389" s="163"/>
      <c r="Y389" s="163"/>
      <c r="Z389" s="163"/>
      <c r="AA389" s="163"/>
    </row>
    <row r="390">
      <c r="A390" s="163"/>
      <c r="B390" s="163"/>
      <c r="C390" s="163"/>
      <c r="D390" s="163"/>
      <c r="E390" s="163"/>
      <c r="F390" s="163"/>
      <c r="G390" s="163"/>
      <c r="H390" s="163"/>
      <c r="I390" s="163"/>
      <c r="J390" s="163"/>
      <c r="K390" s="163"/>
      <c r="L390" s="165"/>
      <c r="M390" s="163"/>
      <c r="N390" s="163"/>
      <c r="O390" s="163"/>
      <c r="P390" s="163"/>
      <c r="Q390" s="163"/>
      <c r="R390" s="163"/>
      <c r="S390" s="163"/>
      <c r="T390" s="163"/>
      <c r="U390" s="163"/>
      <c r="V390" s="163"/>
      <c r="W390" s="163"/>
      <c r="X390" s="163"/>
      <c r="Y390" s="163"/>
      <c r="Z390" s="163"/>
      <c r="AA390" s="163"/>
    </row>
    <row r="391">
      <c r="A391" s="163"/>
      <c r="B391" s="163"/>
      <c r="C391" s="163"/>
      <c r="D391" s="163"/>
      <c r="E391" s="163"/>
      <c r="F391" s="163"/>
      <c r="G391" s="163"/>
      <c r="H391" s="163"/>
      <c r="I391" s="163"/>
      <c r="J391" s="163"/>
      <c r="K391" s="163"/>
      <c r="L391" s="165"/>
      <c r="M391" s="163"/>
      <c r="N391" s="163"/>
      <c r="O391" s="163"/>
      <c r="P391" s="163"/>
      <c r="Q391" s="163"/>
      <c r="R391" s="163"/>
      <c r="S391" s="163"/>
      <c r="T391" s="163"/>
      <c r="U391" s="163"/>
      <c r="V391" s="163"/>
      <c r="W391" s="163"/>
      <c r="X391" s="163"/>
      <c r="Y391" s="163"/>
      <c r="Z391" s="163"/>
      <c r="AA391" s="163"/>
    </row>
    <row r="392">
      <c r="A392" s="163"/>
      <c r="B392" s="163"/>
      <c r="C392" s="163"/>
      <c r="D392" s="163"/>
      <c r="E392" s="163"/>
      <c r="F392" s="163"/>
      <c r="G392" s="163"/>
      <c r="H392" s="163"/>
      <c r="I392" s="163"/>
      <c r="J392" s="163"/>
      <c r="K392" s="163"/>
      <c r="L392" s="165"/>
      <c r="M392" s="163"/>
      <c r="N392" s="163"/>
      <c r="O392" s="163"/>
      <c r="P392" s="163"/>
      <c r="Q392" s="163"/>
      <c r="R392" s="163"/>
      <c r="S392" s="163"/>
      <c r="T392" s="163"/>
      <c r="U392" s="163"/>
      <c r="V392" s="163"/>
      <c r="W392" s="163"/>
      <c r="X392" s="163"/>
      <c r="Y392" s="163"/>
      <c r="Z392" s="163"/>
      <c r="AA392" s="163"/>
    </row>
    <row r="393">
      <c r="A393" s="163"/>
      <c r="B393" s="163"/>
      <c r="C393" s="163"/>
      <c r="D393" s="163"/>
      <c r="E393" s="163"/>
      <c r="F393" s="163"/>
      <c r="G393" s="163"/>
      <c r="H393" s="163"/>
      <c r="I393" s="163"/>
      <c r="J393" s="163"/>
      <c r="K393" s="163"/>
      <c r="L393" s="165"/>
      <c r="M393" s="163"/>
      <c r="N393" s="163"/>
      <c r="O393" s="163"/>
      <c r="P393" s="163"/>
      <c r="Q393" s="163"/>
      <c r="R393" s="163"/>
      <c r="S393" s="163"/>
      <c r="T393" s="163"/>
      <c r="U393" s="163"/>
      <c r="V393" s="163"/>
      <c r="W393" s="163"/>
      <c r="X393" s="163"/>
      <c r="Y393" s="163"/>
      <c r="Z393" s="163"/>
      <c r="AA393" s="163"/>
    </row>
    <row r="394">
      <c r="A394" s="163"/>
      <c r="B394" s="163"/>
      <c r="C394" s="163"/>
      <c r="D394" s="163"/>
      <c r="E394" s="163"/>
      <c r="F394" s="163"/>
      <c r="G394" s="163"/>
      <c r="H394" s="163"/>
      <c r="I394" s="163"/>
      <c r="J394" s="163"/>
      <c r="K394" s="163"/>
      <c r="L394" s="165"/>
      <c r="M394" s="163"/>
      <c r="N394" s="163"/>
      <c r="O394" s="163"/>
      <c r="P394" s="163"/>
      <c r="Q394" s="163"/>
      <c r="R394" s="163"/>
      <c r="S394" s="163"/>
      <c r="T394" s="163"/>
      <c r="U394" s="163"/>
      <c r="V394" s="163"/>
      <c r="W394" s="163"/>
      <c r="X394" s="163"/>
      <c r="Y394" s="163"/>
      <c r="Z394" s="163"/>
      <c r="AA394" s="163"/>
    </row>
    <row r="395">
      <c r="A395" s="163"/>
      <c r="B395" s="163"/>
      <c r="C395" s="163"/>
      <c r="D395" s="163"/>
      <c r="E395" s="163"/>
      <c r="F395" s="163"/>
      <c r="G395" s="163"/>
      <c r="H395" s="163"/>
      <c r="I395" s="163"/>
      <c r="J395" s="163"/>
      <c r="K395" s="163"/>
      <c r="L395" s="165"/>
      <c r="M395" s="163"/>
      <c r="N395" s="163"/>
      <c r="O395" s="163"/>
      <c r="P395" s="163"/>
      <c r="Q395" s="163"/>
      <c r="R395" s="163"/>
      <c r="S395" s="163"/>
      <c r="T395" s="163"/>
      <c r="U395" s="163"/>
      <c r="V395" s="163"/>
      <c r="W395" s="163"/>
      <c r="X395" s="163"/>
      <c r="Y395" s="163"/>
      <c r="Z395" s="163"/>
      <c r="AA395" s="163"/>
    </row>
    <row r="396">
      <c r="A396" s="163"/>
      <c r="B396" s="163"/>
      <c r="C396" s="163"/>
      <c r="D396" s="163"/>
      <c r="E396" s="163"/>
      <c r="F396" s="163"/>
      <c r="G396" s="163"/>
      <c r="H396" s="163"/>
      <c r="I396" s="163"/>
      <c r="J396" s="163"/>
      <c r="K396" s="163"/>
      <c r="L396" s="165"/>
      <c r="M396" s="163"/>
      <c r="N396" s="163"/>
      <c r="O396" s="163"/>
      <c r="P396" s="163"/>
      <c r="Q396" s="163"/>
      <c r="R396" s="163"/>
      <c r="S396" s="163"/>
      <c r="T396" s="163"/>
      <c r="U396" s="163"/>
      <c r="V396" s="163"/>
      <c r="W396" s="163"/>
      <c r="X396" s="163"/>
      <c r="Y396" s="163"/>
      <c r="Z396" s="163"/>
      <c r="AA396" s="163"/>
    </row>
    <row r="397">
      <c r="A397" s="163"/>
      <c r="B397" s="163"/>
      <c r="C397" s="163"/>
      <c r="D397" s="163"/>
      <c r="E397" s="163"/>
      <c r="F397" s="163"/>
      <c r="G397" s="163"/>
      <c r="H397" s="163"/>
      <c r="I397" s="163"/>
      <c r="J397" s="163"/>
      <c r="K397" s="163"/>
      <c r="L397" s="165"/>
      <c r="M397" s="163"/>
      <c r="N397" s="163"/>
      <c r="O397" s="163"/>
      <c r="P397" s="163"/>
      <c r="Q397" s="163"/>
      <c r="R397" s="163"/>
      <c r="S397" s="163"/>
      <c r="T397" s="163"/>
      <c r="U397" s="163"/>
      <c r="V397" s="163"/>
      <c r="W397" s="163"/>
      <c r="X397" s="163"/>
      <c r="Y397" s="163"/>
      <c r="Z397" s="163"/>
      <c r="AA397" s="163"/>
    </row>
    <row r="398">
      <c r="A398" s="163"/>
      <c r="B398" s="163"/>
      <c r="C398" s="163"/>
      <c r="D398" s="163"/>
      <c r="E398" s="163"/>
      <c r="F398" s="163"/>
      <c r="G398" s="163"/>
      <c r="H398" s="163"/>
      <c r="I398" s="163"/>
      <c r="J398" s="163"/>
      <c r="K398" s="163"/>
      <c r="L398" s="165"/>
      <c r="M398" s="163"/>
      <c r="N398" s="163"/>
      <c r="O398" s="163"/>
      <c r="P398" s="163"/>
      <c r="Q398" s="163"/>
      <c r="R398" s="163"/>
      <c r="S398" s="163"/>
      <c r="T398" s="163"/>
      <c r="U398" s="163"/>
      <c r="V398" s="163"/>
      <c r="W398" s="163"/>
      <c r="X398" s="163"/>
      <c r="Y398" s="163"/>
      <c r="Z398" s="163"/>
      <c r="AA398" s="163"/>
    </row>
    <row r="399">
      <c r="A399" s="163"/>
      <c r="B399" s="163"/>
      <c r="C399" s="163"/>
      <c r="D399" s="163"/>
      <c r="E399" s="163"/>
      <c r="F399" s="163"/>
      <c r="G399" s="163"/>
      <c r="H399" s="163"/>
      <c r="I399" s="163"/>
      <c r="J399" s="163"/>
      <c r="K399" s="163"/>
      <c r="L399" s="165"/>
      <c r="M399" s="163"/>
      <c r="N399" s="163"/>
      <c r="O399" s="163"/>
      <c r="P399" s="163"/>
      <c r="Q399" s="163"/>
      <c r="R399" s="163"/>
      <c r="S399" s="163"/>
      <c r="T399" s="163"/>
      <c r="U399" s="163"/>
      <c r="V399" s="163"/>
      <c r="W399" s="163"/>
      <c r="X399" s="163"/>
      <c r="Y399" s="163"/>
      <c r="Z399" s="163"/>
      <c r="AA399" s="163"/>
    </row>
    <row r="400">
      <c r="A400" s="163"/>
      <c r="B400" s="163"/>
      <c r="C400" s="163"/>
      <c r="D400" s="163"/>
      <c r="E400" s="163"/>
      <c r="F400" s="163"/>
      <c r="G400" s="163"/>
      <c r="H400" s="163"/>
      <c r="I400" s="163"/>
      <c r="J400" s="163"/>
      <c r="K400" s="163"/>
      <c r="L400" s="165"/>
      <c r="M400" s="163"/>
      <c r="N400" s="163"/>
      <c r="O400" s="163"/>
      <c r="P400" s="163"/>
      <c r="Q400" s="163"/>
      <c r="R400" s="163"/>
      <c r="S400" s="163"/>
      <c r="T400" s="163"/>
      <c r="U400" s="163"/>
      <c r="V400" s="163"/>
      <c r="W400" s="163"/>
      <c r="X400" s="163"/>
      <c r="Y400" s="163"/>
      <c r="Z400" s="163"/>
      <c r="AA400" s="163"/>
    </row>
    <row r="401">
      <c r="A401" s="163"/>
      <c r="B401" s="163"/>
      <c r="C401" s="163"/>
      <c r="D401" s="163"/>
      <c r="E401" s="163"/>
      <c r="F401" s="163"/>
      <c r="G401" s="163"/>
      <c r="H401" s="163"/>
      <c r="I401" s="163"/>
      <c r="J401" s="163"/>
      <c r="K401" s="163"/>
      <c r="L401" s="165"/>
      <c r="M401" s="163"/>
      <c r="N401" s="163"/>
      <c r="O401" s="163"/>
      <c r="P401" s="163"/>
      <c r="Q401" s="163"/>
      <c r="R401" s="163"/>
      <c r="S401" s="163"/>
      <c r="T401" s="163"/>
      <c r="U401" s="163"/>
      <c r="V401" s="163"/>
      <c r="W401" s="163"/>
      <c r="X401" s="163"/>
      <c r="Y401" s="163"/>
      <c r="Z401" s="163"/>
      <c r="AA401" s="163"/>
    </row>
    <row r="402">
      <c r="A402" s="163"/>
      <c r="B402" s="163"/>
      <c r="C402" s="163"/>
      <c r="D402" s="163"/>
      <c r="E402" s="163"/>
      <c r="F402" s="163"/>
      <c r="G402" s="163"/>
      <c r="H402" s="163"/>
      <c r="I402" s="163"/>
      <c r="J402" s="163"/>
      <c r="K402" s="163"/>
      <c r="L402" s="165"/>
      <c r="M402" s="163"/>
      <c r="N402" s="163"/>
      <c r="O402" s="163"/>
      <c r="P402" s="163"/>
      <c r="Q402" s="163"/>
      <c r="R402" s="163"/>
      <c r="S402" s="163"/>
      <c r="T402" s="163"/>
      <c r="U402" s="163"/>
      <c r="V402" s="163"/>
      <c r="W402" s="163"/>
      <c r="X402" s="163"/>
      <c r="Y402" s="163"/>
      <c r="Z402" s="163"/>
      <c r="AA402" s="163"/>
    </row>
    <row r="403">
      <c r="A403" s="163"/>
      <c r="B403" s="163"/>
      <c r="C403" s="163"/>
      <c r="D403" s="163"/>
      <c r="E403" s="163"/>
      <c r="F403" s="163"/>
      <c r="G403" s="163"/>
      <c r="H403" s="163"/>
      <c r="I403" s="163"/>
      <c r="J403" s="163"/>
      <c r="K403" s="163"/>
      <c r="L403" s="165"/>
      <c r="M403" s="163"/>
      <c r="N403" s="163"/>
      <c r="O403" s="163"/>
      <c r="P403" s="163"/>
      <c r="Q403" s="163"/>
      <c r="R403" s="163"/>
      <c r="S403" s="163"/>
      <c r="T403" s="163"/>
      <c r="U403" s="163"/>
      <c r="V403" s="163"/>
      <c r="W403" s="163"/>
      <c r="X403" s="163"/>
      <c r="Y403" s="163"/>
      <c r="Z403" s="163"/>
      <c r="AA403" s="163"/>
    </row>
    <row r="404">
      <c r="A404" s="163"/>
      <c r="B404" s="163"/>
      <c r="C404" s="163"/>
      <c r="D404" s="163"/>
      <c r="E404" s="163"/>
      <c r="F404" s="163"/>
      <c r="G404" s="163"/>
      <c r="H404" s="163"/>
      <c r="I404" s="163"/>
      <c r="J404" s="163"/>
      <c r="K404" s="163"/>
      <c r="L404" s="165"/>
      <c r="M404" s="163"/>
      <c r="N404" s="163"/>
      <c r="O404" s="163"/>
      <c r="P404" s="163"/>
      <c r="Q404" s="163"/>
      <c r="R404" s="163"/>
      <c r="S404" s="163"/>
      <c r="T404" s="163"/>
      <c r="U404" s="163"/>
      <c r="V404" s="163"/>
      <c r="W404" s="163"/>
      <c r="X404" s="163"/>
      <c r="Y404" s="163"/>
      <c r="Z404" s="163"/>
      <c r="AA404" s="163"/>
    </row>
    <row r="405">
      <c r="A405" s="163"/>
      <c r="B405" s="163"/>
      <c r="C405" s="163"/>
      <c r="D405" s="163"/>
      <c r="E405" s="163"/>
      <c r="F405" s="163"/>
      <c r="G405" s="163"/>
      <c r="H405" s="163"/>
      <c r="I405" s="163"/>
      <c r="J405" s="163"/>
      <c r="K405" s="163"/>
      <c r="L405" s="165"/>
      <c r="M405" s="163"/>
      <c r="N405" s="163"/>
      <c r="O405" s="163"/>
      <c r="P405" s="163"/>
      <c r="Q405" s="163"/>
      <c r="R405" s="163"/>
      <c r="S405" s="163"/>
      <c r="T405" s="163"/>
      <c r="U405" s="163"/>
      <c r="V405" s="163"/>
      <c r="W405" s="163"/>
      <c r="X405" s="163"/>
      <c r="Y405" s="163"/>
      <c r="Z405" s="163"/>
      <c r="AA405" s="163"/>
    </row>
    <row r="406">
      <c r="A406" s="163"/>
      <c r="B406" s="163"/>
      <c r="C406" s="163"/>
      <c r="D406" s="163"/>
      <c r="E406" s="163"/>
      <c r="F406" s="163"/>
      <c r="G406" s="163"/>
      <c r="H406" s="163"/>
      <c r="I406" s="163"/>
      <c r="J406" s="163"/>
      <c r="K406" s="163"/>
      <c r="L406" s="165"/>
      <c r="M406" s="163"/>
      <c r="N406" s="163"/>
      <c r="O406" s="163"/>
      <c r="P406" s="163"/>
      <c r="Q406" s="163"/>
      <c r="R406" s="163"/>
      <c r="S406" s="163"/>
      <c r="T406" s="163"/>
      <c r="U406" s="163"/>
      <c r="V406" s="163"/>
      <c r="W406" s="163"/>
      <c r="X406" s="163"/>
      <c r="Y406" s="163"/>
      <c r="Z406" s="163"/>
      <c r="AA406" s="163"/>
    </row>
    <row r="407">
      <c r="A407" s="163"/>
      <c r="B407" s="163"/>
      <c r="C407" s="163"/>
      <c r="D407" s="163"/>
      <c r="E407" s="163"/>
      <c r="F407" s="163"/>
      <c r="G407" s="163"/>
      <c r="H407" s="163"/>
      <c r="I407" s="163"/>
      <c r="J407" s="163"/>
      <c r="K407" s="163"/>
      <c r="L407" s="165"/>
      <c r="M407" s="163"/>
      <c r="N407" s="163"/>
      <c r="O407" s="163"/>
      <c r="P407" s="163"/>
      <c r="Q407" s="163"/>
      <c r="R407" s="163"/>
      <c r="S407" s="163"/>
      <c r="T407" s="163"/>
      <c r="U407" s="163"/>
      <c r="V407" s="163"/>
      <c r="W407" s="163"/>
      <c r="X407" s="163"/>
      <c r="Y407" s="163"/>
      <c r="Z407" s="163"/>
      <c r="AA407" s="163"/>
    </row>
    <row r="408">
      <c r="A408" s="163"/>
      <c r="B408" s="163"/>
      <c r="C408" s="163"/>
      <c r="D408" s="163"/>
      <c r="E408" s="163"/>
      <c r="F408" s="163"/>
      <c r="G408" s="163"/>
      <c r="H408" s="163"/>
      <c r="I408" s="163"/>
      <c r="J408" s="163"/>
      <c r="K408" s="163"/>
      <c r="L408" s="165"/>
      <c r="M408" s="163"/>
      <c r="N408" s="163"/>
      <c r="O408" s="163"/>
      <c r="P408" s="163"/>
      <c r="Q408" s="163"/>
      <c r="R408" s="163"/>
      <c r="S408" s="163"/>
      <c r="T408" s="163"/>
      <c r="U408" s="163"/>
      <c r="V408" s="163"/>
      <c r="W408" s="163"/>
      <c r="X408" s="163"/>
      <c r="Y408" s="163"/>
      <c r="Z408" s="163"/>
      <c r="AA408" s="163"/>
    </row>
    <row r="409">
      <c r="A409" s="163"/>
      <c r="B409" s="163"/>
      <c r="C409" s="163"/>
      <c r="D409" s="163"/>
      <c r="E409" s="163"/>
      <c r="F409" s="163"/>
      <c r="G409" s="163"/>
      <c r="H409" s="163"/>
      <c r="I409" s="163"/>
      <c r="J409" s="163"/>
      <c r="K409" s="163"/>
      <c r="L409" s="165"/>
      <c r="M409" s="163"/>
      <c r="N409" s="163"/>
      <c r="O409" s="163"/>
      <c r="P409" s="163"/>
      <c r="Q409" s="163"/>
      <c r="R409" s="163"/>
      <c r="S409" s="163"/>
      <c r="T409" s="163"/>
      <c r="U409" s="163"/>
      <c r="V409" s="163"/>
      <c r="W409" s="163"/>
      <c r="X409" s="163"/>
      <c r="Y409" s="163"/>
      <c r="Z409" s="163"/>
      <c r="AA409" s="163"/>
    </row>
    <row r="410">
      <c r="A410" s="163"/>
      <c r="B410" s="163"/>
      <c r="C410" s="163"/>
      <c r="D410" s="163"/>
      <c r="E410" s="163"/>
      <c r="F410" s="163"/>
      <c r="G410" s="163"/>
      <c r="H410" s="163"/>
      <c r="I410" s="163"/>
      <c r="J410" s="163"/>
      <c r="K410" s="163"/>
      <c r="L410" s="165"/>
      <c r="M410" s="163"/>
      <c r="N410" s="163"/>
      <c r="O410" s="163"/>
      <c r="P410" s="163"/>
      <c r="Q410" s="163"/>
      <c r="R410" s="163"/>
      <c r="S410" s="163"/>
      <c r="T410" s="163"/>
      <c r="U410" s="163"/>
      <c r="V410" s="163"/>
      <c r="W410" s="163"/>
      <c r="X410" s="163"/>
      <c r="Y410" s="163"/>
      <c r="Z410" s="163"/>
      <c r="AA410" s="163"/>
    </row>
    <row r="411">
      <c r="A411" s="163"/>
      <c r="B411" s="163"/>
      <c r="C411" s="163"/>
      <c r="D411" s="163"/>
      <c r="E411" s="163"/>
      <c r="F411" s="163"/>
      <c r="G411" s="163"/>
      <c r="H411" s="163"/>
      <c r="I411" s="163"/>
      <c r="J411" s="163"/>
      <c r="K411" s="163"/>
      <c r="L411" s="165"/>
      <c r="M411" s="163"/>
      <c r="N411" s="163"/>
      <c r="O411" s="163"/>
      <c r="P411" s="163"/>
      <c r="Q411" s="163"/>
      <c r="R411" s="163"/>
      <c r="S411" s="163"/>
      <c r="T411" s="163"/>
      <c r="U411" s="163"/>
      <c r="V411" s="163"/>
      <c r="W411" s="163"/>
      <c r="X411" s="163"/>
      <c r="Y411" s="163"/>
      <c r="Z411" s="163"/>
      <c r="AA411" s="163"/>
    </row>
    <row r="412">
      <c r="A412" s="163"/>
      <c r="B412" s="163"/>
      <c r="C412" s="163"/>
      <c r="D412" s="163"/>
      <c r="E412" s="163"/>
      <c r="F412" s="163"/>
      <c r="G412" s="163"/>
      <c r="H412" s="163"/>
      <c r="I412" s="163"/>
      <c r="J412" s="163"/>
      <c r="K412" s="163"/>
      <c r="L412" s="165"/>
      <c r="M412" s="163"/>
      <c r="N412" s="163"/>
      <c r="O412" s="163"/>
      <c r="P412" s="163"/>
      <c r="Q412" s="163"/>
      <c r="R412" s="163"/>
      <c r="S412" s="163"/>
      <c r="T412" s="163"/>
      <c r="U412" s="163"/>
      <c r="V412" s="163"/>
      <c r="W412" s="163"/>
      <c r="X412" s="163"/>
      <c r="Y412" s="163"/>
      <c r="Z412" s="163"/>
      <c r="AA412" s="163"/>
    </row>
    <row r="413">
      <c r="A413" s="163"/>
      <c r="B413" s="163"/>
      <c r="C413" s="163"/>
      <c r="D413" s="163"/>
      <c r="E413" s="163"/>
      <c r="F413" s="163"/>
      <c r="G413" s="163"/>
      <c r="H413" s="163"/>
      <c r="I413" s="163"/>
      <c r="J413" s="163"/>
      <c r="K413" s="163"/>
      <c r="L413" s="165"/>
      <c r="M413" s="163"/>
      <c r="N413" s="163"/>
      <c r="O413" s="163"/>
      <c r="P413" s="163"/>
      <c r="Q413" s="163"/>
      <c r="R413" s="163"/>
      <c r="S413" s="163"/>
      <c r="T413" s="163"/>
      <c r="U413" s="163"/>
      <c r="V413" s="163"/>
      <c r="W413" s="163"/>
      <c r="X413" s="163"/>
      <c r="Y413" s="163"/>
      <c r="Z413" s="163"/>
      <c r="AA413" s="163"/>
    </row>
    <row r="414">
      <c r="A414" s="163"/>
      <c r="B414" s="163"/>
      <c r="C414" s="163"/>
      <c r="D414" s="163"/>
      <c r="E414" s="163"/>
      <c r="F414" s="163"/>
      <c r="G414" s="163"/>
      <c r="H414" s="163"/>
      <c r="I414" s="163"/>
      <c r="J414" s="163"/>
      <c r="K414" s="163"/>
      <c r="L414" s="165"/>
      <c r="M414" s="163"/>
      <c r="N414" s="163"/>
      <c r="O414" s="163"/>
      <c r="P414" s="163"/>
      <c r="Q414" s="163"/>
      <c r="R414" s="163"/>
      <c r="S414" s="163"/>
      <c r="T414" s="163"/>
      <c r="U414" s="163"/>
      <c r="V414" s="163"/>
      <c r="W414" s="163"/>
      <c r="X414" s="163"/>
      <c r="Y414" s="163"/>
      <c r="Z414" s="163"/>
      <c r="AA414" s="163"/>
    </row>
    <row r="415">
      <c r="A415" s="163"/>
      <c r="B415" s="163"/>
      <c r="C415" s="163"/>
      <c r="D415" s="163"/>
      <c r="E415" s="163"/>
      <c r="F415" s="163"/>
      <c r="G415" s="163"/>
      <c r="H415" s="163"/>
      <c r="I415" s="163"/>
      <c r="J415" s="163"/>
      <c r="K415" s="163"/>
      <c r="L415" s="165"/>
      <c r="M415" s="163"/>
      <c r="N415" s="163"/>
      <c r="O415" s="163"/>
      <c r="P415" s="163"/>
      <c r="Q415" s="163"/>
      <c r="R415" s="163"/>
      <c r="S415" s="163"/>
      <c r="T415" s="163"/>
      <c r="U415" s="163"/>
      <c r="V415" s="163"/>
      <c r="W415" s="163"/>
      <c r="X415" s="163"/>
      <c r="Y415" s="163"/>
      <c r="Z415" s="163"/>
      <c r="AA415" s="163"/>
    </row>
    <row r="416">
      <c r="A416" s="163"/>
      <c r="B416" s="163"/>
      <c r="C416" s="163"/>
      <c r="D416" s="163"/>
      <c r="E416" s="163"/>
      <c r="F416" s="163"/>
      <c r="G416" s="163"/>
      <c r="H416" s="163"/>
      <c r="I416" s="163"/>
      <c r="J416" s="163"/>
      <c r="K416" s="163"/>
      <c r="L416" s="165"/>
      <c r="M416" s="163"/>
      <c r="N416" s="163"/>
      <c r="O416" s="163"/>
      <c r="P416" s="163"/>
      <c r="Q416" s="163"/>
      <c r="R416" s="163"/>
      <c r="S416" s="163"/>
      <c r="T416" s="163"/>
      <c r="U416" s="163"/>
      <c r="V416" s="163"/>
      <c r="W416" s="163"/>
      <c r="X416" s="163"/>
      <c r="Y416" s="163"/>
      <c r="Z416" s="163"/>
      <c r="AA416" s="163"/>
    </row>
    <row r="417">
      <c r="A417" s="163"/>
      <c r="B417" s="163"/>
      <c r="C417" s="163"/>
      <c r="D417" s="163"/>
      <c r="E417" s="163"/>
      <c r="F417" s="163"/>
      <c r="G417" s="163"/>
      <c r="H417" s="163"/>
      <c r="I417" s="163"/>
      <c r="J417" s="163"/>
      <c r="K417" s="163"/>
      <c r="L417" s="165"/>
      <c r="M417" s="163"/>
      <c r="N417" s="163"/>
      <c r="O417" s="163"/>
      <c r="P417" s="163"/>
      <c r="Q417" s="163"/>
      <c r="R417" s="163"/>
      <c r="S417" s="163"/>
      <c r="T417" s="163"/>
      <c r="U417" s="163"/>
      <c r="V417" s="163"/>
      <c r="W417" s="163"/>
      <c r="X417" s="163"/>
      <c r="Y417" s="163"/>
      <c r="Z417" s="163"/>
      <c r="AA417" s="163"/>
    </row>
    <row r="418">
      <c r="A418" s="163"/>
      <c r="B418" s="163"/>
      <c r="C418" s="163"/>
      <c r="D418" s="163"/>
      <c r="E418" s="163"/>
      <c r="F418" s="163"/>
      <c r="G418" s="163"/>
      <c r="H418" s="163"/>
      <c r="I418" s="163"/>
      <c r="J418" s="163"/>
      <c r="K418" s="163"/>
      <c r="L418" s="165"/>
      <c r="M418" s="163"/>
      <c r="N418" s="163"/>
      <c r="O418" s="163"/>
      <c r="P418" s="163"/>
      <c r="Q418" s="163"/>
      <c r="R418" s="163"/>
      <c r="S418" s="163"/>
      <c r="T418" s="163"/>
      <c r="U418" s="163"/>
      <c r="V418" s="163"/>
      <c r="W418" s="163"/>
      <c r="X418" s="163"/>
      <c r="Y418" s="163"/>
      <c r="Z418" s="163"/>
      <c r="AA418" s="163"/>
    </row>
    <row r="419">
      <c r="A419" s="163"/>
      <c r="B419" s="163"/>
      <c r="C419" s="163"/>
      <c r="D419" s="163"/>
      <c r="E419" s="163"/>
      <c r="F419" s="163"/>
      <c r="G419" s="163"/>
      <c r="H419" s="163"/>
      <c r="I419" s="163"/>
      <c r="J419" s="163"/>
      <c r="K419" s="163"/>
      <c r="L419" s="165"/>
      <c r="M419" s="163"/>
      <c r="N419" s="163"/>
      <c r="O419" s="163"/>
      <c r="P419" s="163"/>
      <c r="Q419" s="163"/>
      <c r="R419" s="163"/>
      <c r="S419" s="163"/>
      <c r="T419" s="163"/>
      <c r="U419" s="163"/>
      <c r="V419" s="163"/>
      <c r="W419" s="163"/>
      <c r="X419" s="163"/>
      <c r="Y419" s="163"/>
      <c r="Z419" s="163"/>
      <c r="AA419" s="163"/>
    </row>
    <row r="420">
      <c r="A420" s="163"/>
      <c r="B420" s="163"/>
      <c r="C420" s="163"/>
      <c r="D420" s="163"/>
      <c r="E420" s="163"/>
      <c r="F420" s="163"/>
      <c r="G420" s="163"/>
      <c r="H420" s="163"/>
      <c r="I420" s="163"/>
      <c r="J420" s="163"/>
      <c r="K420" s="163"/>
      <c r="L420" s="165"/>
      <c r="M420" s="163"/>
      <c r="N420" s="163"/>
      <c r="O420" s="163"/>
      <c r="P420" s="163"/>
      <c r="Q420" s="163"/>
      <c r="R420" s="163"/>
      <c r="S420" s="163"/>
      <c r="T420" s="163"/>
      <c r="U420" s="163"/>
      <c r="V420" s="163"/>
      <c r="W420" s="163"/>
      <c r="X420" s="163"/>
      <c r="Y420" s="163"/>
      <c r="Z420" s="163"/>
      <c r="AA420" s="163"/>
    </row>
    <row r="421">
      <c r="A421" s="163"/>
      <c r="B421" s="163"/>
      <c r="C421" s="163"/>
      <c r="D421" s="163"/>
      <c r="E421" s="163"/>
      <c r="F421" s="163"/>
      <c r="G421" s="163"/>
      <c r="H421" s="163"/>
      <c r="I421" s="163"/>
      <c r="J421" s="163"/>
      <c r="K421" s="163"/>
      <c r="L421" s="165"/>
      <c r="M421" s="163"/>
      <c r="N421" s="163"/>
      <c r="O421" s="163"/>
      <c r="P421" s="163"/>
      <c r="Q421" s="163"/>
      <c r="R421" s="163"/>
      <c r="S421" s="163"/>
      <c r="T421" s="163"/>
      <c r="U421" s="163"/>
      <c r="V421" s="163"/>
      <c r="W421" s="163"/>
      <c r="X421" s="163"/>
      <c r="Y421" s="163"/>
      <c r="Z421" s="163"/>
      <c r="AA421" s="163"/>
    </row>
    <row r="422">
      <c r="A422" s="163"/>
      <c r="B422" s="163"/>
      <c r="C422" s="163"/>
      <c r="D422" s="163"/>
      <c r="E422" s="163"/>
      <c r="F422" s="163"/>
      <c r="G422" s="163"/>
      <c r="H422" s="163"/>
      <c r="I422" s="163"/>
      <c r="J422" s="163"/>
      <c r="K422" s="163"/>
      <c r="L422" s="165"/>
      <c r="M422" s="163"/>
      <c r="N422" s="163"/>
      <c r="O422" s="163"/>
      <c r="P422" s="163"/>
      <c r="Q422" s="163"/>
      <c r="R422" s="163"/>
      <c r="S422" s="163"/>
      <c r="T422" s="163"/>
      <c r="U422" s="163"/>
      <c r="V422" s="163"/>
      <c r="W422" s="163"/>
      <c r="X422" s="163"/>
      <c r="Y422" s="163"/>
      <c r="Z422" s="163"/>
      <c r="AA422" s="163"/>
    </row>
    <row r="423">
      <c r="A423" s="163"/>
      <c r="B423" s="163"/>
      <c r="C423" s="163"/>
      <c r="D423" s="163"/>
      <c r="E423" s="163"/>
      <c r="F423" s="163"/>
      <c r="G423" s="163"/>
      <c r="H423" s="163"/>
      <c r="I423" s="163"/>
      <c r="J423" s="163"/>
      <c r="K423" s="163"/>
      <c r="L423" s="165"/>
      <c r="M423" s="163"/>
      <c r="N423" s="163"/>
      <c r="O423" s="163"/>
      <c r="P423" s="163"/>
      <c r="Q423" s="163"/>
      <c r="R423" s="163"/>
      <c r="S423" s="163"/>
      <c r="T423" s="163"/>
      <c r="U423" s="163"/>
      <c r="V423" s="163"/>
      <c r="W423" s="163"/>
      <c r="X423" s="163"/>
      <c r="Y423" s="163"/>
      <c r="Z423" s="163"/>
      <c r="AA423" s="163"/>
    </row>
    <row r="424">
      <c r="A424" s="163"/>
      <c r="B424" s="163"/>
      <c r="C424" s="163"/>
      <c r="D424" s="163"/>
      <c r="E424" s="163"/>
      <c r="F424" s="163"/>
      <c r="G424" s="163"/>
      <c r="H424" s="163"/>
      <c r="I424" s="163"/>
      <c r="J424" s="163"/>
      <c r="K424" s="163"/>
      <c r="L424" s="165"/>
      <c r="M424" s="163"/>
      <c r="N424" s="163"/>
      <c r="O424" s="163"/>
      <c r="P424" s="163"/>
      <c r="Q424" s="163"/>
      <c r="R424" s="163"/>
      <c r="S424" s="163"/>
      <c r="T424" s="163"/>
      <c r="U424" s="163"/>
      <c r="V424" s="163"/>
      <c r="W424" s="163"/>
      <c r="X424" s="163"/>
      <c r="Y424" s="163"/>
      <c r="Z424" s="163"/>
      <c r="AA424" s="163"/>
    </row>
    <row r="425">
      <c r="A425" s="163"/>
      <c r="B425" s="163"/>
      <c r="C425" s="163"/>
      <c r="D425" s="163"/>
      <c r="E425" s="163"/>
      <c r="F425" s="163"/>
      <c r="G425" s="163"/>
      <c r="H425" s="163"/>
      <c r="I425" s="163"/>
      <c r="J425" s="163"/>
      <c r="K425" s="163"/>
      <c r="L425" s="165"/>
      <c r="M425" s="163"/>
      <c r="N425" s="163"/>
      <c r="O425" s="163"/>
      <c r="P425" s="163"/>
      <c r="Q425" s="163"/>
      <c r="R425" s="163"/>
      <c r="S425" s="163"/>
      <c r="T425" s="163"/>
      <c r="U425" s="163"/>
      <c r="V425" s="163"/>
      <c r="W425" s="163"/>
      <c r="X425" s="163"/>
      <c r="Y425" s="163"/>
      <c r="Z425" s="163"/>
      <c r="AA425" s="163"/>
    </row>
    <row r="426">
      <c r="A426" s="163"/>
      <c r="B426" s="163"/>
      <c r="C426" s="163"/>
      <c r="D426" s="163"/>
      <c r="E426" s="163"/>
      <c r="F426" s="163"/>
      <c r="G426" s="163"/>
      <c r="H426" s="163"/>
      <c r="I426" s="163"/>
      <c r="J426" s="163"/>
      <c r="K426" s="163"/>
      <c r="L426" s="165"/>
      <c r="M426" s="163"/>
      <c r="N426" s="163"/>
      <c r="O426" s="163"/>
      <c r="P426" s="163"/>
      <c r="Q426" s="163"/>
      <c r="R426" s="163"/>
      <c r="S426" s="163"/>
      <c r="T426" s="163"/>
      <c r="U426" s="163"/>
      <c r="V426" s="163"/>
      <c r="W426" s="163"/>
      <c r="X426" s="163"/>
      <c r="Y426" s="163"/>
      <c r="Z426" s="163"/>
      <c r="AA426" s="163"/>
    </row>
    <row r="427">
      <c r="A427" s="163"/>
      <c r="B427" s="163"/>
      <c r="C427" s="163"/>
      <c r="D427" s="163"/>
      <c r="E427" s="163"/>
      <c r="F427" s="163"/>
      <c r="G427" s="163"/>
      <c r="H427" s="163"/>
      <c r="I427" s="163"/>
      <c r="J427" s="163"/>
      <c r="K427" s="163"/>
      <c r="L427" s="165"/>
      <c r="M427" s="163"/>
      <c r="N427" s="163"/>
      <c r="O427" s="163"/>
      <c r="P427" s="163"/>
      <c r="Q427" s="163"/>
      <c r="R427" s="163"/>
      <c r="S427" s="163"/>
      <c r="T427" s="163"/>
      <c r="U427" s="163"/>
      <c r="V427" s="163"/>
      <c r="W427" s="163"/>
      <c r="X427" s="163"/>
      <c r="Y427" s="163"/>
      <c r="Z427" s="163"/>
      <c r="AA427" s="163"/>
    </row>
    <row r="428">
      <c r="A428" s="163"/>
      <c r="B428" s="163"/>
      <c r="C428" s="163"/>
      <c r="D428" s="163"/>
      <c r="E428" s="163"/>
      <c r="F428" s="163"/>
      <c r="G428" s="163"/>
      <c r="H428" s="163"/>
      <c r="I428" s="163"/>
      <c r="J428" s="163"/>
      <c r="K428" s="163"/>
      <c r="L428" s="165"/>
      <c r="M428" s="163"/>
      <c r="N428" s="163"/>
      <c r="O428" s="163"/>
      <c r="P428" s="163"/>
      <c r="Q428" s="163"/>
      <c r="R428" s="163"/>
      <c r="S428" s="163"/>
      <c r="T428" s="163"/>
      <c r="U428" s="163"/>
      <c r="V428" s="163"/>
      <c r="W428" s="163"/>
      <c r="X428" s="163"/>
      <c r="Y428" s="163"/>
      <c r="Z428" s="163"/>
      <c r="AA428" s="163"/>
    </row>
    <row r="429">
      <c r="A429" s="163"/>
      <c r="B429" s="163"/>
      <c r="C429" s="163"/>
      <c r="D429" s="163"/>
      <c r="E429" s="163"/>
      <c r="F429" s="163"/>
      <c r="G429" s="163"/>
      <c r="H429" s="163"/>
      <c r="I429" s="163"/>
      <c r="J429" s="163"/>
      <c r="K429" s="163"/>
      <c r="L429" s="165"/>
      <c r="M429" s="163"/>
      <c r="N429" s="163"/>
      <c r="O429" s="163"/>
      <c r="P429" s="163"/>
      <c r="Q429" s="163"/>
      <c r="R429" s="163"/>
      <c r="S429" s="163"/>
      <c r="T429" s="163"/>
      <c r="U429" s="163"/>
      <c r="V429" s="163"/>
      <c r="W429" s="163"/>
      <c r="X429" s="163"/>
      <c r="Y429" s="163"/>
      <c r="Z429" s="163"/>
      <c r="AA429" s="163"/>
    </row>
    <row r="430">
      <c r="A430" s="163"/>
      <c r="B430" s="163"/>
      <c r="C430" s="163"/>
      <c r="D430" s="163"/>
      <c r="E430" s="163"/>
      <c r="F430" s="163"/>
      <c r="G430" s="163"/>
      <c r="H430" s="163"/>
      <c r="I430" s="163"/>
      <c r="J430" s="163"/>
      <c r="K430" s="163"/>
      <c r="L430" s="165"/>
      <c r="M430" s="163"/>
      <c r="N430" s="163"/>
      <c r="O430" s="163"/>
      <c r="P430" s="163"/>
      <c r="Q430" s="163"/>
      <c r="R430" s="163"/>
      <c r="S430" s="163"/>
      <c r="T430" s="163"/>
      <c r="U430" s="163"/>
      <c r="V430" s="163"/>
      <c r="W430" s="163"/>
      <c r="X430" s="163"/>
      <c r="Y430" s="163"/>
      <c r="Z430" s="163"/>
      <c r="AA430" s="163"/>
    </row>
    <row r="431">
      <c r="A431" s="163"/>
      <c r="B431" s="163"/>
      <c r="C431" s="163"/>
      <c r="D431" s="163"/>
      <c r="E431" s="163"/>
      <c r="F431" s="163"/>
      <c r="G431" s="163"/>
      <c r="H431" s="163"/>
      <c r="I431" s="163"/>
      <c r="J431" s="163"/>
      <c r="K431" s="163"/>
      <c r="L431" s="165"/>
      <c r="M431" s="163"/>
      <c r="N431" s="163"/>
      <c r="O431" s="163"/>
      <c r="P431" s="163"/>
      <c r="Q431" s="163"/>
      <c r="R431" s="163"/>
      <c r="S431" s="163"/>
      <c r="T431" s="163"/>
      <c r="U431" s="163"/>
      <c r="V431" s="163"/>
      <c r="W431" s="163"/>
      <c r="X431" s="163"/>
      <c r="Y431" s="163"/>
      <c r="Z431" s="163"/>
      <c r="AA431" s="163"/>
    </row>
    <row r="432">
      <c r="A432" s="163"/>
      <c r="B432" s="163"/>
      <c r="C432" s="163"/>
      <c r="D432" s="163"/>
      <c r="E432" s="163"/>
      <c r="F432" s="163"/>
      <c r="G432" s="163"/>
      <c r="H432" s="163"/>
      <c r="I432" s="163"/>
      <c r="J432" s="163"/>
      <c r="K432" s="163"/>
      <c r="L432" s="165"/>
      <c r="M432" s="163"/>
      <c r="N432" s="163"/>
      <c r="O432" s="163"/>
      <c r="P432" s="163"/>
      <c r="Q432" s="163"/>
      <c r="R432" s="163"/>
      <c r="S432" s="163"/>
      <c r="T432" s="163"/>
      <c r="U432" s="163"/>
      <c r="V432" s="163"/>
      <c r="W432" s="163"/>
      <c r="X432" s="163"/>
      <c r="Y432" s="163"/>
      <c r="Z432" s="163"/>
      <c r="AA432" s="163"/>
    </row>
    <row r="433">
      <c r="A433" s="163"/>
      <c r="B433" s="163"/>
      <c r="C433" s="163"/>
      <c r="D433" s="163"/>
      <c r="E433" s="163"/>
      <c r="F433" s="163"/>
      <c r="G433" s="163"/>
      <c r="H433" s="163"/>
      <c r="I433" s="163"/>
      <c r="J433" s="163"/>
      <c r="K433" s="163"/>
      <c r="L433" s="165"/>
      <c r="M433" s="163"/>
      <c r="N433" s="163"/>
      <c r="O433" s="163"/>
      <c r="P433" s="163"/>
      <c r="Q433" s="163"/>
      <c r="R433" s="163"/>
      <c r="S433" s="163"/>
      <c r="T433" s="163"/>
      <c r="U433" s="163"/>
      <c r="V433" s="163"/>
      <c r="W433" s="163"/>
      <c r="X433" s="163"/>
      <c r="Y433" s="163"/>
      <c r="Z433" s="163"/>
      <c r="AA433" s="163"/>
    </row>
    <row r="434">
      <c r="A434" s="163"/>
      <c r="B434" s="163"/>
      <c r="C434" s="163"/>
      <c r="D434" s="163"/>
      <c r="E434" s="163"/>
      <c r="F434" s="163"/>
      <c r="G434" s="163"/>
      <c r="H434" s="163"/>
      <c r="I434" s="163"/>
      <c r="J434" s="163"/>
      <c r="K434" s="163"/>
      <c r="L434" s="165"/>
      <c r="M434" s="163"/>
      <c r="N434" s="163"/>
      <c r="O434" s="163"/>
      <c r="P434" s="163"/>
      <c r="Q434" s="163"/>
      <c r="R434" s="163"/>
      <c r="S434" s="163"/>
      <c r="T434" s="163"/>
      <c r="U434" s="163"/>
      <c r="V434" s="163"/>
      <c r="W434" s="163"/>
      <c r="X434" s="163"/>
      <c r="Y434" s="163"/>
      <c r="Z434" s="163"/>
      <c r="AA434" s="163"/>
    </row>
    <row r="435">
      <c r="A435" s="163"/>
      <c r="B435" s="163"/>
      <c r="C435" s="163"/>
      <c r="D435" s="163"/>
      <c r="E435" s="163"/>
      <c r="F435" s="163"/>
      <c r="G435" s="163"/>
      <c r="H435" s="163"/>
      <c r="I435" s="163"/>
      <c r="J435" s="163"/>
      <c r="K435" s="163"/>
      <c r="L435" s="165"/>
      <c r="M435" s="163"/>
      <c r="N435" s="163"/>
      <c r="O435" s="163"/>
      <c r="P435" s="163"/>
      <c r="Q435" s="163"/>
      <c r="R435" s="163"/>
      <c r="S435" s="163"/>
      <c r="T435" s="163"/>
      <c r="U435" s="163"/>
      <c r="V435" s="163"/>
      <c r="W435" s="163"/>
      <c r="X435" s="163"/>
      <c r="Y435" s="163"/>
      <c r="Z435" s="163"/>
      <c r="AA435" s="163"/>
    </row>
    <row r="436">
      <c r="A436" s="163"/>
      <c r="B436" s="163"/>
      <c r="C436" s="163"/>
      <c r="D436" s="163"/>
      <c r="E436" s="163"/>
      <c r="F436" s="163"/>
      <c r="G436" s="163"/>
      <c r="H436" s="163"/>
      <c r="I436" s="163"/>
      <c r="J436" s="163"/>
      <c r="K436" s="163"/>
      <c r="L436" s="165"/>
      <c r="M436" s="163"/>
      <c r="N436" s="163"/>
      <c r="O436" s="163"/>
      <c r="P436" s="163"/>
      <c r="Q436" s="163"/>
      <c r="R436" s="163"/>
      <c r="S436" s="163"/>
      <c r="T436" s="163"/>
      <c r="U436" s="163"/>
      <c r="V436" s="163"/>
      <c r="W436" s="163"/>
      <c r="X436" s="163"/>
      <c r="Y436" s="163"/>
      <c r="Z436" s="163"/>
      <c r="AA436" s="163"/>
    </row>
    <row r="437">
      <c r="A437" s="163"/>
      <c r="B437" s="163"/>
      <c r="C437" s="163"/>
      <c r="D437" s="163"/>
      <c r="E437" s="163"/>
      <c r="F437" s="163"/>
      <c r="G437" s="163"/>
      <c r="H437" s="163"/>
      <c r="I437" s="163"/>
      <c r="J437" s="163"/>
      <c r="K437" s="163"/>
      <c r="L437" s="165"/>
      <c r="M437" s="163"/>
      <c r="N437" s="163"/>
      <c r="O437" s="163"/>
      <c r="P437" s="163"/>
      <c r="Q437" s="163"/>
      <c r="R437" s="163"/>
      <c r="S437" s="163"/>
      <c r="T437" s="163"/>
      <c r="U437" s="163"/>
      <c r="V437" s="163"/>
      <c r="W437" s="163"/>
      <c r="X437" s="163"/>
      <c r="Y437" s="163"/>
      <c r="Z437" s="163"/>
      <c r="AA437" s="163"/>
    </row>
    <row r="438">
      <c r="A438" s="163"/>
      <c r="B438" s="163"/>
      <c r="C438" s="163"/>
      <c r="D438" s="163"/>
      <c r="E438" s="163"/>
      <c r="F438" s="163"/>
      <c r="G438" s="163"/>
      <c r="H438" s="163"/>
      <c r="I438" s="163"/>
      <c r="J438" s="163"/>
      <c r="K438" s="163"/>
      <c r="L438" s="165"/>
      <c r="M438" s="163"/>
      <c r="N438" s="163"/>
      <c r="O438" s="163"/>
      <c r="P438" s="163"/>
      <c r="Q438" s="163"/>
      <c r="R438" s="163"/>
      <c r="S438" s="163"/>
      <c r="T438" s="163"/>
      <c r="U438" s="163"/>
      <c r="V438" s="163"/>
      <c r="W438" s="163"/>
      <c r="X438" s="163"/>
      <c r="Y438" s="163"/>
      <c r="Z438" s="163"/>
      <c r="AA438" s="163"/>
    </row>
    <row r="439">
      <c r="A439" s="163"/>
      <c r="B439" s="163"/>
      <c r="C439" s="163"/>
      <c r="D439" s="163"/>
      <c r="E439" s="163"/>
      <c r="F439" s="163"/>
      <c r="G439" s="163"/>
      <c r="H439" s="163"/>
      <c r="I439" s="163"/>
      <c r="J439" s="163"/>
      <c r="K439" s="163"/>
      <c r="L439" s="165"/>
      <c r="M439" s="163"/>
      <c r="N439" s="163"/>
      <c r="O439" s="163"/>
      <c r="P439" s="163"/>
      <c r="Q439" s="163"/>
      <c r="R439" s="163"/>
      <c r="S439" s="163"/>
      <c r="T439" s="163"/>
      <c r="U439" s="163"/>
      <c r="V439" s="163"/>
      <c r="W439" s="163"/>
      <c r="X439" s="163"/>
      <c r="Y439" s="163"/>
      <c r="Z439" s="163"/>
      <c r="AA439" s="163"/>
    </row>
    <row r="440">
      <c r="A440" s="163"/>
      <c r="B440" s="163"/>
      <c r="C440" s="163"/>
      <c r="D440" s="163"/>
      <c r="E440" s="163"/>
      <c r="F440" s="163"/>
      <c r="G440" s="163"/>
      <c r="H440" s="163"/>
      <c r="I440" s="163"/>
      <c r="J440" s="163"/>
      <c r="K440" s="163"/>
      <c r="L440" s="165"/>
      <c r="M440" s="163"/>
      <c r="N440" s="163"/>
      <c r="O440" s="163"/>
      <c r="P440" s="163"/>
      <c r="Q440" s="163"/>
      <c r="R440" s="163"/>
      <c r="S440" s="163"/>
      <c r="T440" s="163"/>
      <c r="U440" s="163"/>
      <c r="V440" s="163"/>
      <c r="W440" s="163"/>
      <c r="X440" s="163"/>
      <c r="Y440" s="163"/>
      <c r="Z440" s="163"/>
      <c r="AA440" s="163"/>
    </row>
    <row r="441">
      <c r="A441" s="163"/>
      <c r="B441" s="163"/>
      <c r="C441" s="163"/>
      <c r="D441" s="163"/>
      <c r="E441" s="163"/>
      <c r="F441" s="163"/>
      <c r="G441" s="163"/>
      <c r="H441" s="163"/>
      <c r="I441" s="163"/>
      <c r="J441" s="163"/>
      <c r="K441" s="163"/>
      <c r="L441" s="165"/>
      <c r="M441" s="163"/>
      <c r="N441" s="163"/>
      <c r="O441" s="163"/>
      <c r="P441" s="163"/>
      <c r="Q441" s="163"/>
      <c r="R441" s="163"/>
      <c r="S441" s="163"/>
      <c r="T441" s="163"/>
      <c r="U441" s="163"/>
      <c r="V441" s="163"/>
      <c r="W441" s="163"/>
      <c r="X441" s="163"/>
      <c r="Y441" s="163"/>
      <c r="Z441" s="163"/>
      <c r="AA441" s="163"/>
    </row>
    <row r="442">
      <c r="A442" s="163"/>
      <c r="B442" s="163"/>
      <c r="C442" s="163"/>
      <c r="D442" s="163"/>
      <c r="E442" s="163"/>
      <c r="F442" s="163"/>
      <c r="G442" s="163"/>
      <c r="H442" s="163"/>
      <c r="I442" s="163"/>
      <c r="J442" s="163"/>
      <c r="K442" s="163"/>
      <c r="L442" s="165"/>
      <c r="M442" s="163"/>
      <c r="N442" s="163"/>
      <c r="O442" s="163"/>
      <c r="P442" s="163"/>
      <c r="Q442" s="163"/>
      <c r="R442" s="163"/>
      <c r="S442" s="163"/>
      <c r="T442" s="163"/>
      <c r="U442" s="163"/>
      <c r="V442" s="163"/>
      <c r="W442" s="163"/>
      <c r="X442" s="163"/>
      <c r="Y442" s="163"/>
      <c r="Z442" s="163"/>
      <c r="AA442" s="163"/>
    </row>
    <row r="443">
      <c r="A443" s="163"/>
      <c r="B443" s="163"/>
      <c r="C443" s="163"/>
      <c r="D443" s="163"/>
      <c r="E443" s="163"/>
      <c r="F443" s="163"/>
      <c r="G443" s="163"/>
      <c r="H443" s="163"/>
      <c r="I443" s="163"/>
      <c r="J443" s="163"/>
      <c r="K443" s="163"/>
      <c r="L443" s="165"/>
      <c r="M443" s="163"/>
      <c r="N443" s="163"/>
      <c r="O443" s="163"/>
      <c r="P443" s="163"/>
      <c r="Q443" s="163"/>
      <c r="R443" s="163"/>
      <c r="S443" s="163"/>
      <c r="T443" s="163"/>
      <c r="U443" s="163"/>
      <c r="V443" s="163"/>
      <c r="W443" s="163"/>
      <c r="X443" s="163"/>
      <c r="Y443" s="163"/>
      <c r="Z443" s="163"/>
      <c r="AA443" s="163"/>
    </row>
    <row r="444">
      <c r="A444" s="163"/>
      <c r="B444" s="163"/>
      <c r="C444" s="163"/>
      <c r="D444" s="163"/>
      <c r="E444" s="163"/>
      <c r="F444" s="163"/>
      <c r="G444" s="163"/>
      <c r="H444" s="163"/>
      <c r="I444" s="163"/>
      <c r="J444" s="163"/>
      <c r="K444" s="163"/>
      <c r="L444" s="165"/>
      <c r="M444" s="163"/>
      <c r="N444" s="163"/>
      <c r="O444" s="163"/>
      <c r="P444" s="163"/>
      <c r="Q444" s="163"/>
      <c r="R444" s="163"/>
      <c r="S444" s="163"/>
      <c r="T444" s="163"/>
      <c r="U444" s="163"/>
      <c r="V444" s="163"/>
      <c r="W444" s="163"/>
      <c r="X444" s="163"/>
      <c r="Y444" s="163"/>
      <c r="Z444" s="163"/>
      <c r="AA444" s="163"/>
    </row>
    <row r="445">
      <c r="A445" s="163"/>
      <c r="B445" s="163"/>
      <c r="C445" s="163"/>
      <c r="D445" s="163"/>
      <c r="E445" s="163"/>
      <c r="F445" s="163"/>
      <c r="G445" s="163"/>
      <c r="H445" s="163"/>
      <c r="I445" s="163"/>
      <c r="J445" s="163"/>
      <c r="K445" s="163"/>
      <c r="L445" s="165"/>
      <c r="M445" s="163"/>
      <c r="N445" s="163"/>
      <c r="O445" s="163"/>
      <c r="P445" s="163"/>
      <c r="Q445" s="163"/>
      <c r="R445" s="163"/>
      <c r="S445" s="163"/>
      <c r="T445" s="163"/>
      <c r="U445" s="163"/>
      <c r="V445" s="163"/>
      <c r="W445" s="163"/>
      <c r="X445" s="163"/>
      <c r="Y445" s="163"/>
      <c r="Z445" s="163"/>
      <c r="AA445" s="163"/>
    </row>
    <row r="446">
      <c r="A446" s="163"/>
      <c r="B446" s="163"/>
      <c r="C446" s="163"/>
      <c r="D446" s="163"/>
      <c r="E446" s="163"/>
      <c r="F446" s="163"/>
      <c r="G446" s="163"/>
      <c r="H446" s="163"/>
      <c r="I446" s="163"/>
      <c r="J446" s="163"/>
      <c r="K446" s="163"/>
      <c r="L446" s="165"/>
      <c r="M446" s="163"/>
      <c r="N446" s="163"/>
      <c r="O446" s="163"/>
      <c r="P446" s="163"/>
      <c r="Q446" s="163"/>
      <c r="R446" s="163"/>
      <c r="S446" s="163"/>
      <c r="T446" s="163"/>
      <c r="U446" s="163"/>
      <c r="V446" s="163"/>
      <c r="W446" s="163"/>
      <c r="X446" s="163"/>
      <c r="Y446" s="163"/>
      <c r="Z446" s="163"/>
      <c r="AA446" s="163"/>
    </row>
    <row r="447">
      <c r="A447" s="163"/>
      <c r="B447" s="163"/>
      <c r="C447" s="163"/>
      <c r="D447" s="163"/>
      <c r="E447" s="163"/>
      <c r="F447" s="163"/>
      <c r="G447" s="163"/>
      <c r="H447" s="163"/>
      <c r="I447" s="163"/>
      <c r="J447" s="163"/>
      <c r="K447" s="163"/>
      <c r="L447" s="165"/>
      <c r="M447" s="163"/>
      <c r="N447" s="163"/>
      <c r="O447" s="163"/>
      <c r="P447" s="163"/>
      <c r="Q447" s="163"/>
      <c r="R447" s="163"/>
      <c r="S447" s="163"/>
      <c r="T447" s="163"/>
      <c r="U447" s="163"/>
      <c r="V447" s="163"/>
      <c r="W447" s="163"/>
      <c r="X447" s="163"/>
      <c r="Y447" s="163"/>
      <c r="Z447" s="163"/>
      <c r="AA447" s="163"/>
    </row>
    <row r="448">
      <c r="A448" s="163"/>
      <c r="B448" s="163"/>
      <c r="C448" s="163"/>
      <c r="D448" s="163"/>
      <c r="E448" s="163"/>
      <c r="F448" s="163"/>
      <c r="G448" s="163"/>
      <c r="H448" s="163"/>
      <c r="I448" s="163"/>
      <c r="J448" s="163"/>
      <c r="K448" s="163"/>
      <c r="L448" s="165"/>
      <c r="M448" s="163"/>
      <c r="N448" s="163"/>
      <c r="O448" s="163"/>
      <c r="P448" s="163"/>
      <c r="Q448" s="163"/>
      <c r="R448" s="163"/>
      <c r="S448" s="163"/>
      <c r="T448" s="163"/>
      <c r="U448" s="163"/>
      <c r="V448" s="163"/>
      <c r="W448" s="163"/>
      <c r="X448" s="163"/>
      <c r="Y448" s="163"/>
      <c r="Z448" s="163"/>
      <c r="AA448" s="163"/>
    </row>
    <row r="449">
      <c r="A449" s="163"/>
      <c r="B449" s="163"/>
      <c r="C449" s="163"/>
      <c r="D449" s="163"/>
      <c r="E449" s="163"/>
      <c r="F449" s="163"/>
      <c r="G449" s="163"/>
      <c r="H449" s="163"/>
      <c r="I449" s="163"/>
      <c r="J449" s="163"/>
      <c r="K449" s="163"/>
      <c r="L449" s="165"/>
      <c r="M449" s="163"/>
      <c r="N449" s="163"/>
      <c r="O449" s="163"/>
      <c r="P449" s="163"/>
      <c r="Q449" s="163"/>
      <c r="R449" s="163"/>
      <c r="S449" s="163"/>
      <c r="T449" s="163"/>
      <c r="U449" s="163"/>
      <c r="V449" s="163"/>
      <c r="W449" s="163"/>
      <c r="X449" s="163"/>
      <c r="Y449" s="163"/>
      <c r="Z449" s="163"/>
      <c r="AA449" s="163"/>
    </row>
    <row r="450">
      <c r="A450" s="163"/>
      <c r="B450" s="163"/>
      <c r="C450" s="163"/>
      <c r="D450" s="163"/>
      <c r="E450" s="163"/>
      <c r="F450" s="163"/>
      <c r="G450" s="163"/>
      <c r="H450" s="163"/>
      <c r="I450" s="163"/>
      <c r="J450" s="163"/>
      <c r="K450" s="163"/>
      <c r="L450" s="165"/>
      <c r="M450" s="163"/>
      <c r="N450" s="163"/>
      <c r="O450" s="163"/>
      <c r="P450" s="163"/>
      <c r="Q450" s="163"/>
      <c r="R450" s="163"/>
      <c r="S450" s="163"/>
      <c r="T450" s="163"/>
      <c r="U450" s="163"/>
      <c r="V450" s="163"/>
      <c r="W450" s="163"/>
      <c r="X450" s="163"/>
      <c r="Y450" s="163"/>
      <c r="Z450" s="163"/>
      <c r="AA450" s="163"/>
    </row>
    <row r="451">
      <c r="A451" s="163"/>
      <c r="B451" s="163"/>
      <c r="C451" s="163"/>
      <c r="D451" s="163"/>
      <c r="E451" s="163"/>
      <c r="F451" s="163"/>
      <c r="G451" s="163"/>
      <c r="H451" s="163"/>
      <c r="I451" s="163"/>
      <c r="J451" s="163"/>
      <c r="K451" s="163"/>
      <c r="L451" s="165"/>
      <c r="M451" s="163"/>
      <c r="N451" s="163"/>
      <c r="O451" s="163"/>
      <c r="P451" s="163"/>
      <c r="Q451" s="163"/>
      <c r="R451" s="163"/>
      <c r="S451" s="163"/>
      <c r="T451" s="163"/>
      <c r="U451" s="163"/>
      <c r="V451" s="163"/>
      <c r="W451" s="163"/>
      <c r="X451" s="163"/>
      <c r="Y451" s="163"/>
      <c r="Z451" s="163"/>
      <c r="AA451" s="163"/>
    </row>
    <row r="452">
      <c r="A452" s="163"/>
      <c r="B452" s="163"/>
      <c r="C452" s="163"/>
      <c r="D452" s="163"/>
      <c r="E452" s="163"/>
      <c r="F452" s="163"/>
      <c r="G452" s="163"/>
      <c r="H452" s="163"/>
      <c r="I452" s="163"/>
      <c r="J452" s="163"/>
      <c r="K452" s="163"/>
      <c r="L452" s="165"/>
      <c r="M452" s="163"/>
      <c r="N452" s="163"/>
      <c r="O452" s="163"/>
      <c r="P452" s="163"/>
      <c r="Q452" s="163"/>
      <c r="R452" s="163"/>
      <c r="S452" s="163"/>
      <c r="T452" s="163"/>
      <c r="U452" s="163"/>
      <c r="V452" s="163"/>
      <c r="W452" s="163"/>
      <c r="X452" s="163"/>
      <c r="Y452" s="163"/>
      <c r="Z452" s="163"/>
      <c r="AA452" s="163"/>
    </row>
    <row r="453">
      <c r="A453" s="163"/>
      <c r="B453" s="163"/>
      <c r="C453" s="163"/>
      <c r="D453" s="163"/>
      <c r="E453" s="163"/>
      <c r="F453" s="163"/>
      <c r="G453" s="163"/>
      <c r="H453" s="163"/>
      <c r="I453" s="163"/>
      <c r="J453" s="163"/>
      <c r="K453" s="163"/>
      <c r="L453" s="165"/>
      <c r="M453" s="163"/>
      <c r="N453" s="163"/>
      <c r="O453" s="163"/>
      <c r="P453" s="163"/>
      <c r="Q453" s="163"/>
      <c r="R453" s="163"/>
      <c r="S453" s="163"/>
      <c r="T453" s="163"/>
      <c r="U453" s="163"/>
      <c r="V453" s="163"/>
      <c r="W453" s="163"/>
      <c r="X453" s="163"/>
      <c r="Y453" s="163"/>
      <c r="Z453" s="163"/>
      <c r="AA453" s="163"/>
    </row>
    <row r="454">
      <c r="A454" s="163"/>
      <c r="B454" s="163"/>
      <c r="C454" s="163"/>
      <c r="D454" s="163"/>
      <c r="E454" s="163"/>
      <c r="F454" s="163"/>
      <c r="G454" s="163"/>
      <c r="H454" s="163"/>
      <c r="I454" s="163"/>
      <c r="J454" s="163"/>
      <c r="K454" s="163"/>
      <c r="L454" s="165"/>
      <c r="M454" s="163"/>
      <c r="N454" s="163"/>
      <c r="O454" s="163"/>
      <c r="P454" s="163"/>
      <c r="Q454" s="163"/>
      <c r="R454" s="163"/>
      <c r="S454" s="163"/>
      <c r="T454" s="163"/>
      <c r="U454" s="163"/>
      <c r="V454" s="163"/>
      <c r="W454" s="163"/>
      <c r="X454" s="163"/>
      <c r="Y454" s="163"/>
      <c r="Z454" s="163"/>
      <c r="AA454" s="163"/>
    </row>
    <row r="455">
      <c r="A455" s="163"/>
      <c r="B455" s="163"/>
      <c r="C455" s="163"/>
      <c r="D455" s="163"/>
      <c r="E455" s="163"/>
      <c r="F455" s="163"/>
      <c r="G455" s="163"/>
      <c r="H455" s="163"/>
      <c r="I455" s="163"/>
      <c r="J455" s="163"/>
      <c r="K455" s="163"/>
      <c r="L455" s="165"/>
      <c r="M455" s="163"/>
      <c r="N455" s="163"/>
      <c r="O455" s="163"/>
      <c r="P455" s="163"/>
      <c r="Q455" s="163"/>
      <c r="R455" s="163"/>
      <c r="S455" s="163"/>
      <c r="T455" s="163"/>
      <c r="U455" s="163"/>
      <c r="V455" s="163"/>
      <c r="W455" s="163"/>
      <c r="X455" s="163"/>
      <c r="Y455" s="163"/>
      <c r="Z455" s="163"/>
      <c r="AA455" s="163"/>
    </row>
    <row r="456">
      <c r="A456" s="163"/>
      <c r="B456" s="163"/>
      <c r="C456" s="163"/>
      <c r="D456" s="163"/>
      <c r="E456" s="163"/>
      <c r="F456" s="163"/>
      <c r="G456" s="163"/>
      <c r="H456" s="163"/>
      <c r="I456" s="163"/>
      <c r="J456" s="163"/>
      <c r="K456" s="163"/>
      <c r="L456" s="165"/>
      <c r="M456" s="163"/>
      <c r="N456" s="163"/>
      <c r="O456" s="163"/>
      <c r="P456" s="163"/>
      <c r="Q456" s="163"/>
      <c r="R456" s="163"/>
      <c r="S456" s="163"/>
      <c r="T456" s="163"/>
      <c r="U456" s="163"/>
      <c r="V456" s="163"/>
      <c r="W456" s="163"/>
      <c r="X456" s="163"/>
      <c r="Y456" s="163"/>
      <c r="Z456" s="163"/>
      <c r="AA456" s="163"/>
    </row>
    <row r="457">
      <c r="A457" s="163"/>
      <c r="B457" s="163"/>
      <c r="C457" s="163"/>
      <c r="D457" s="163"/>
      <c r="E457" s="163"/>
      <c r="F457" s="163"/>
      <c r="G457" s="163"/>
      <c r="H457" s="163"/>
      <c r="I457" s="163"/>
      <c r="J457" s="163"/>
      <c r="K457" s="163"/>
      <c r="L457" s="165"/>
      <c r="M457" s="163"/>
      <c r="N457" s="163"/>
      <c r="O457" s="163"/>
      <c r="P457" s="163"/>
      <c r="Q457" s="163"/>
      <c r="R457" s="163"/>
      <c r="S457" s="163"/>
      <c r="T457" s="163"/>
      <c r="U457" s="163"/>
      <c r="V457" s="163"/>
      <c r="W457" s="163"/>
      <c r="X457" s="163"/>
      <c r="Y457" s="163"/>
      <c r="Z457" s="163"/>
      <c r="AA457" s="163"/>
    </row>
    <row r="458">
      <c r="A458" s="163"/>
      <c r="B458" s="163"/>
      <c r="C458" s="163"/>
      <c r="D458" s="163"/>
      <c r="E458" s="163"/>
      <c r="F458" s="163"/>
      <c r="G458" s="163"/>
      <c r="H458" s="163"/>
      <c r="I458" s="163"/>
      <c r="J458" s="163"/>
      <c r="K458" s="163"/>
      <c r="L458" s="165"/>
      <c r="M458" s="163"/>
      <c r="N458" s="163"/>
      <c r="O458" s="163"/>
      <c r="P458" s="163"/>
      <c r="Q458" s="163"/>
      <c r="R458" s="163"/>
      <c r="S458" s="163"/>
      <c r="T458" s="163"/>
      <c r="U458" s="163"/>
      <c r="V458" s="163"/>
      <c r="W458" s="163"/>
      <c r="X458" s="163"/>
      <c r="Y458" s="163"/>
      <c r="Z458" s="163"/>
      <c r="AA458" s="163"/>
    </row>
    <row r="459">
      <c r="A459" s="163"/>
      <c r="B459" s="163"/>
      <c r="C459" s="163"/>
      <c r="D459" s="163"/>
      <c r="E459" s="163"/>
      <c r="F459" s="163"/>
      <c r="G459" s="163"/>
      <c r="H459" s="163"/>
      <c r="I459" s="163"/>
      <c r="J459" s="163"/>
      <c r="K459" s="163"/>
      <c r="L459" s="165"/>
      <c r="M459" s="163"/>
      <c r="N459" s="163"/>
      <c r="O459" s="163"/>
      <c r="P459" s="163"/>
      <c r="Q459" s="163"/>
      <c r="R459" s="163"/>
      <c r="S459" s="163"/>
      <c r="T459" s="163"/>
      <c r="U459" s="163"/>
      <c r="V459" s="163"/>
      <c r="W459" s="163"/>
      <c r="X459" s="163"/>
      <c r="Y459" s="163"/>
      <c r="Z459" s="163"/>
      <c r="AA459" s="163"/>
    </row>
    <row r="460">
      <c r="A460" s="163"/>
      <c r="B460" s="163"/>
      <c r="C460" s="163"/>
      <c r="D460" s="163"/>
      <c r="E460" s="163"/>
      <c r="F460" s="163"/>
      <c r="G460" s="163"/>
      <c r="H460" s="163"/>
      <c r="I460" s="163"/>
      <c r="J460" s="163"/>
      <c r="K460" s="163"/>
      <c r="L460" s="165"/>
      <c r="M460" s="163"/>
      <c r="N460" s="163"/>
      <c r="O460" s="163"/>
      <c r="P460" s="163"/>
      <c r="Q460" s="163"/>
      <c r="R460" s="163"/>
      <c r="S460" s="163"/>
      <c r="T460" s="163"/>
      <c r="U460" s="163"/>
      <c r="V460" s="163"/>
      <c r="W460" s="163"/>
      <c r="X460" s="163"/>
      <c r="Y460" s="163"/>
      <c r="Z460" s="163"/>
      <c r="AA460" s="163"/>
    </row>
    <row r="461">
      <c r="A461" s="163"/>
      <c r="B461" s="163"/>
      <c r="C461" s="163"/>
      <c r="D461" s="163"/>
      <c r="E461" s="163"/>
      <c r="F461" s="163"/>
      <c r="G461" s="163"/>
      <c r="H461" s="163"/>
      <c r="I461" s="163"/>
      <c r="J461" s="163"/>
      <c r="K461" s="163"/>
      <c r="L461" s="165"/>
      <c r="M461" s="163"/>
      <c r="N461" s="163"/>
      <c r="O461" s="163"/>
      <c r="P461" s="163"/>
      <c r="Q461" s="163"/>
      <c r="R461" s="163"/>
      <c r="S461" s="163"/>
      <c r="T461" s="163"/>
      <c r="U461" s="163"/>
      <c r="V461" s="163"/>
      <c r="W461" s="163"/>
      <c r="X461" s="163"/>
      <c r="Y461" s="163"/>
      <c r="Z461" s="163"/>
      <c r="AA461" s="163"/>
    </row>
    <row r="462">
      <c r="A462" s="163"/>
      <c r="B462" s="163"/>
      <c r="C462" s="163"/>
      <c r="D462" s="163"/>
      <c r="E462" s="163"/>
      <c r="F462" s="163"/>
      <c r="G462" s="163"/>
      <c r="H462" s="163"/>
      <c r="I462" s="163"/>
      <c r="J462" s="163"/>
      <c r="K462" s="163"/>
      <c r="L462" s="165"/>
      <c r="M462" s="163"/>
      <c r="N462" s="163"/>
      <c r="O462" s="163"/>
      <c r="P462" s="163"/>
      <c r="Q462" s="163"/>
      <c r="R462" s="163"/>
      <c r="S462" s="163"/>
      <c r="T462" s="163"/>
      <c r="U462" s="163"/>
      <c r="V462" s="163"/>
      <c r="W462" s="163"/>
      <c r="X462" s="163"/>
      <c r="Y462" s="163"/>
      <c r="Z462" s="163"/>
      <c r="AA462" s="163"/>
    </row>
    <row r="463">
      <c r="A463" s="163"/>
      <c r="B463" s="163"/>
      <c r="C463" s="163"/>
      <c r="D463" s="163"/>
      <c r="E463" s="163"/>
      <c r="F463" s="163"/>
      <c r="G463" s="163"/>
      <c r="H463" s="163"/>
      <c r="I463" s="163"/>
      <c r="J463" s="163"/>
      <c r="K463" s="163"/>
      <c r="L463" s="165"/>
      <c r="M463" s="163"/>
      <c r="N463" s="163"/>
      <c r="O463" s="163"/>
      <c r="P463" s="163"/>
      <c r="Q463" s="163"/>
      <c r="R463" s="163"/>
      <c r="S463" s="163"/>
      <c r="T463" s="163"/>
      <c r="U463" s="163"/>
      <c r="V463" s="163"/>
      <c r="W463" s="163"/>
      <c r="X463" s="163"/>
      <c r="Y463" s="163"/>
      <c r="Z463" s="163"/>
      <c r="AA463" s="163"/>
    </row>
    <row r="464">
      <c r="A464" s="163"/>
      <c r="B464" s="163"/>
      <c r="C464" s="163"/>
      <c r="D464" s="163"/>
      <c r="E464" s="163"/>
      <c r="F464" s="163"/>
      <c r="G464" s="163"/>
      <c r="H464" s="163"/>
      <c r="I464" s="163"/>
      <c r="J464" s="163"/>
      <c r="K464" s="163"/>
      <c r="L464" s="165"/>
      <c r="M464" s="163"/>
      <c r="N464" s="163"/>
      <c r="O464" s="163"/>
      <c r="P464" s="163"/>
      <c r="Q464" s="163"/>
      <c r="R464" s="163"/>
      <c r="S464" s="163"/>
      <c r="T464" s="163"/>
      <c r="U464" s="163"/>
      <c r="V464" s="163"/>
      <c r="W464" s="163"/>
      <c r="X464" s="163"/>
      <c r="Y464" s="163"/>
      <c r="Z464" s="163"/>
      <c r="AA464" s="163"/>
    </row>
    <row r="465">
      <c r="A465" s="163"/>
      <c r="B465" s="163"/>
      <c r="C465" s="163"/>
      <c r="D465" s="163"/>
      <c r="E465" s="163"/>
      <c r="F465" s="163"/>
      <c r="G465" s="163"/>
      <c r="H465" s="163"/>
      <c r="I465" s="163"/>
      <c r="J465" s="163"/>
      <c r="K465" s="163"/>
      <c r="L465" s="165"/>
      <c r="M465" s="163"/>
      <c r="N465" s="163"/>
      <c r="O465" s="163"/>
      <c r="P465" s="163"/>
      <c r="Q465" s="163"/>
      <c r="R465" s="163"/>
      <c r="S465" s="163"/>
      <c r="T465" s="163"/>
      <c r="U465" s="163"/>
      <c r="V465" s="163"/>
      <c r="W465" s="163"/>
      <c r="X465" s="163"/>
      <c r="Y465" s="163"/>
      <c r="Z465" s="163"/>
      <c r="AA465" s="163"/>
    </row>
    <row r="466">
      <c r="A466" s="163"/>
      <c r="B466" s="163"/>
      <c r="C466" s="163"/>
      <c r="D466" s="163"/>
      <c r="E466" s="163"/>
      <c r="F466" s="163"/>
      <c r="G466" s="163"/>
      <c r="H466" s="163"/>
      <c r="I466" s="163"/>
      <c r="J466" s="163"/>
      <c r="K466" s="163"/>
      <c r="L466" s="165"/>
      <c r="M466" s="163"/>
      <c r="N466" s="163"/>
      <c r="O466" s="163"/>
      <c r="P466" s="163"/>
      <c r="Q466" s="163"/>
      <c r="R466" s="163"/>
      <c r="S466" s="163"/>
      <c r="T466" s="163"/>
      <c r="U466" s="163"/>
      <c r="V466" s="163"/>
      <c r="W466" s="163"/>
      <c r="X466" s="163"/>
      <c r="Y466" s="163"/>
      <c r="Z466" s="163"/>
      <c r="AA466" s="163"/>
    </row>
    <row r="467">
      <c r="A467" s="163"/>
      <c r="B467" s="163"/>
      <c r="C467" s="163"/>
      <c r="D467" s="163"/>
      <c r="E467" s="163"/>
      <c r="F467" s="163"/>
      <c r="G467" s="163"/>
      <c r="H467" s="163"/>
      <c r="I467" s="163"/>
      <c r="J467" s="163"/>
      <c r="K467" s="163"/>
      <c r="L467" s="165"/>
      <c r="M467" s="163"/>
      <c r="N467" s="163"/>
      <c r="O467" s="163"/>
      <c r="P467" s="163"/>
      <c r="Q467" s="163"/>
      <c r="R467" s="163"/>
      <c r="S467" s="163"/>
      <c r="T467" s="163"/>
      <c r="U467" s="163"/>
      <c r="V467" s="163"/>
      <c r="W467" s="163"/>
      <c r="X467" s="163"/>
      <c r="Y467" s="163"/>
      <c r="Z467" s="163"/>
      <c r="AA467" s="163"/>
    </row>
    <row r="468">
      <c r="A468" s="163"/>
      <c r="B468" s="163"/>
      <c r="C468" s="163"/>
      <c r="D468" s="163"/>
      <c r="E468" s="163"/>
      <c r="F468" s="163"/>
      <c r="G468" s="163"/>
      <c r="H468" s="163"/>
      <c r="I468" s="163"/>
      <c r="J468" s="163"/>
      <c r="K468" s="163"/>
      <c r="L468" s="165"/>
      <c r="M468" s="163"/>
      <c r="N468" s="163"/>
      <c r="O468" s="163"/>
      <c r="P468" s="163"/>
      <c r="Q468" s="163"/>
      <c r="R468" s="163"/>
      <c r="S468" s="163"/>
      <c r="T468" s="163"/>
      <c r="U468" s="163"/>
      <c r="V468" s="163"/>
      <c r="W468" s="163"/>
      <c r="X468" s="163"/>
      <c r="Y468" s="163"/>
      <c r="Z468" s="163"/>
      <c r="AA468" s="163"/>
    </row>
    <row r="469">
      <c r="A469" s="163"/>
      <c r="B469" s="163"/>
      <c r="C469" s="163"/>
      <c r="D469" s="163"/>
      <c r="E469" s="163"/>
      <c r="F469" s="163"/>
      <c r="G469" s="163"/>
      <c r="H469" s="163"/>
      <c r="I469" s="163"/>
      <c r="J469" s="163"/>
      <c r="K469" s="163"/>
      <c r="L469" s="165"/>
      <c r="M469" s="163"/>
      <c r="N469" s="163"/>
      <c r="O469" s="163"/>
      <c r="P469" s="163"/>
      <c r="Q469" s="163"/>
      <c r="R469" s="163"/>
      <c r="S469" s="163"/>
      <c r="T469" s="163"/>
      <c r="U469" s="163"/>
      <c r="V469" s="163"/>
      <c r="W469" s="163"/>
      <c r="X469" s="163"/>
      <c r="Y469" s="163"/>
      <c r="Z469" s="163"/>
      <c r="AA469" s="163"/>
    </row>
    <row r="470">
      <c r="A470" s="163"/>
      <c r="B470" s="163"/>
      <c r="C470" s="163"/>
      <c r="D470" s="163"/>
      <c r="E470" s="163"/>
      <c r="F470" s="163"/>
      <c r="G470" s="163"/>
      <c r="H470" s="163"/>
      <c r="I470" s="163"/>
      <c r="J470" s="163"/>
      <c r="K470" s="163"/>
      <c r="L470" s="165"/>
      <c r="M470" s="163"/>
      <c r="N470" s="163"/>
      <c r="O470" s="163"/>
      <c r="P470" s="163"/>
      <c r="Q470" s="163"/>
      <c r="R470" s="163"/>
      <c r="S470" s="163"/>
      <c r="T470" s="163"/>
      <c r="U470" s="163"/>
      <c r="V470" s="163"/>
      <c r="W470" s="163"/>
      <c r="X470" s="163"/>
      <c r="Y470" s="163"/>
      <c r="Z470" s="163"/>
      <c r="AA470" s="163"/>
    </row>
    <row r="471">
      <c r="A471" s="163"/>
      <c r="B471" s="163"/>
      <c r="C471" s="163"/>
      <c r="D471" s="163"/>
      <c r="E471" s="163"/>
      <c r="F471" s="163"/>
      <c r="G471" s="163"/>
      <c r="H471" s="163"/>
      <c r="I471" s="163"/>
      <c r="J471" s="163"/>
      <c r="K471" s="163"/>
      <c r="L471" s="165"/>
      <c r="M471" s="163"/>
      <c r="N471" s="163"/>
      <c r="O471" s="163"/>
      <c r="P471" s="163"/>
      <c r="Q471" s="163"/>
      <c r="R471" s="163"/>
      <c r="S471" s="163"/>
      <c r="T471" s="163"/>
      <c r="U471" s="163"/>
      <c r="V471" s="163"/>
      <c r="W471" s="163"/>
      <c r="X471" s="163"/>
      <c r="Y471" s="163"/>
      <c r="Z471" s="163"/>
      <c r="AA471" s="163"/>
    </row>
    <row r="472">
      <c r="A472" s="163"/>
      <c r="B472" s="163"/>
      <c r="C472" s="163"/>
      <c r="D472" s="163"/>
      <c r="E472" s="163"/>
      <c r="F472" s="163"/>
      <c r="G472" s="163"/>
      <c r="H472" s="163"/>
      <c r="I472" s="163"/>
      <c r="J472" s="163"/>
      <c r="K472" s="163"/>
      <c r="L472" s="165"/>
      <c r="M472" s="163"/>
      <c r="N472" s="163"/>
      <c r="O472" s="163"/>
      <c r="P472" s="163"/>
      <c r="Q472" s="163"/>
      <c r="R472" s="163"/>
      <c r="S472" s="163"/>
      <c r="T472" s="163"/>
      <c r="U472" s="163"/>
      <c r="V472" s="163"/>
      <c r="W472" s="163"/>
      <c r="X472" s="163"/>
      <c r="Y472" s="163"/>
      <c r="Z472" s="163"/>
      <c r="AA472" s="163"/>
    </row>
    <row r="473">
      <c r="A473" s="163"/>
      <c r="B473" s="163"/>
      <c r="C473" s="163"/>
      <c r="D473" s="163"/>
      <c r="E473" s="163"/>
      <c r="F473" s="163"/>
      <c r="G473" s="163"/>
      <c r="H473" s="163"/>
      <c r="I473" s="163"/>
      <c r="J473" s="163"/>
      <c r="K473" s="163"/>
      <c r="L473" s="165"/>
      <c r="M473" s="163"/>
      <c r="N473" s="163"/>
      <c r="O473" s="163"/>
      <c r="P473" s="163"/>
      <c r="Q473" s="163"/>
      <c r="R473" s="163"/>
      <c r="S473" s="163"/>
      <c r="T473" s="163"/>
      <c r="U473" s="163"/>
      <c r="V473" s="163"/>
      <c r="W473" s="163"/>
      <c r="X473" s="163"/>
      <c r="Y473" s="163"/>
      <c r="Z473" s="163"/>
      <c r="AA473" s="163"/>
    </row>
    <row r="474">
      <c r="A474" s="163"/>
      <c r="B474" s="163"/>
      <c r="C474" s="163"/>
      <c r="D474" s="163"/>
      <c r="E474" s="163"/>
      <c r="F474" s="163"/>
      <c r="G474" s="163"/>
      <c r="H474" s="163"/>
      <c r="I474" s="163"/>
      <c r="J474" s="163"/>
      <c r="K474" s="163"/>
      <c r="L474" s="165"/>
      <c r="M474" s="163"/>
      <c r="N474" s="163"/>
      <c r="O474" s="163"/>
      <c r="P474" s="163"/>
      <c r="Q474" s="163"/>
      <c r="R474" s="163"/>
      <c r="S474" s="163"/>
      <c r="T474" s="163"/>
      <c r="U474" s="163"/>
      <c r="V474" s="163"/>
      <c r="W474" s="163"/>
      <c r="X474" s="163"/>
      <c r="Y474" s="163"/>
      <c r="Z474" s="163"/>
      <c r="AA474" s="163"/>
    </row>
    <row r="475">
      <c r="A475" s="163"/>
      <c r="B475" s="163"/>
      <c r="C475" s="163"/>
      <c r="D475" s="163"/>
      <c r="E475" s="163"/>
      <c r="F475" s="163"/>
      <c r="G475" s="163"/>
      <c r="H475" s="163"/>
      <c r="I475" s="163"/>
      <c r="J475" s="163"/>
      <c r="K475" s="163"/>
      <c r="L475" s="165"/>
      <c r="M475" s="163"/>
      <c r="N475" s="163"/>
      <c r="O475" s="163"/>
      <c r="P475" s="163"/>
      <c r="Q475" s="163"/>
      <c r="R475" s="163"/>
      <c r="S475" s="163"/>
      <c r="T475" s="163"/>
      <c r="U475" s="163"/>
      <c r="V475" s="163"/>
      <c r="W475" s="163"/>
      <c r="X475" s="163"/>
      <c r="Y475" s="163"/>
      <c r="Z475" s="163"/>
      <c r="AA475" s="163"/>
    </row>
    <row r="476">
      <c r="A476" s="163"/>
      <c r="B476" s="163"/>
      <c r="C476" s="163"/>
      <c r="D476" s="163"/>
      <c r="E476" s="163"/>
      <c r="F476" s="163"/>
      <c r="G476" s="163"/>
      <c r="H476" s="163"/>
      <c r="I476" s="163"/>
      <c r="J476" s="163"/>
      <c r="K476" s="163"/>
      <c r="L476" s="165"/>
      <c r="M476" s="163"/>
      <c r="N476" s="163"/>
      <c r="O476" s="163"/>
      <c r="P476" s="163"/>
      <c r="Q476" s="163"/>
      <c r="R476" s="163"/>
      <c r="S476" s="163"/>
      <c r="T476" s="163"/>
      <c r="U476" s="163"/>
      <c r="V476" s="163"/>
      <c r="W476" s="163"/>
      <c r="X476" s="163"/>
      <c r="Y476" s="163"/>
      <c r="Z476" s="163"/>
      <c r="AA476" s="163"/>
    </row>
    <row r="477">
      <c r="A477" s="163"/>
      <c r="B477" s="163"/>
      <c r="C477" s="163"/>
      <c r="D477" s="163"/>
      <c r="E477" s="163"/>
      <c r="F477" s="163"/>
      <c r="G477" s="163"/>
      <c r="H477" s="163"/>
      <c r="I477" s="163"/>
      <c r="J477" s="163"/>
      <c r="K477" s="163"/>
      <c r="L477" s="165"/>
      <c r="M477" s="163"/>
      <c r="N477" s="163"/>
      <c r="O477" s="163"/>
      <c r="P477" s="163"/>
      <c r="Q477" s="163"/>
      <c r="R477" s="163"/>
      <c r="S477" s="163"/>
      <c r="T477" s="163"/>
      <c r="U477" s="163"/>
      <c r="V477" s="163"/>
      <c r="W477" s="163"/>
      <c r="X477" s="163"/>
      <c r="Y477" s="163"/>
      <c r="Z477" s="163"/>
      <c r="AA477" s="163"/>
    </row>
    <row r="478">
      <c r="A478" s="163"/>
      <c r="B478" s="163"/>
      <c r="C478" s="163"/>
      <c r="D478" s="163"/>
      <c r="E478" s="163"/>
      <c r="F478" s="163"/>
      <c r="G478" s="163"/>
      <c r="H478" s="163"/>
      <c r="I478" s="163"/>
      <c r="J478" s="163"/>
      <c r="K478" s="163"/>
      <c r="L478" s="165"/>
      <c r="M478" s="163"/>
      <c r="N478" s="163"/>
      <c r="O478" s="163"/>
      <c r="P478" s="163"/>
      <c r="Q478" s="163"/>
      <c r="R478" s="163"/>
      <c r="S478" s="163"/>
      <c r="T478" s="163"/>
      <c r="U478" s="163"/>
      <c r="V478" s="163"/>
      <c r="W478" s="163"/>
      <c r="X478" s="163"/>
      <c r="Y478" s="163"/>
      <c r="Z478" s="163"/>
      <c r="AA478" s="163"/>
    </row>
    <row r="479">
      <c r="A479" s="163"/>
      <c r="B479" s="163"/>
      <c r="C479" s="163"/>
      <c r="D479" s="163"/>
      <c r="E479" s="163"/>
      <c r="F479" s="163"/>
      <c r="G479" s="163"/>
      <c r="H479" s="163"/>
      <c r="I479" s="163"/>
      <c r="J479" s="163"/>
      <c r="K479" s="163"/>
      <c r="L479" s="165"/>
      <c r="M479" s="163"/>
      <c r="N479" s="163"/>
      <c r="O479" s="163"/>
      <c r="P479" s="163"/>
      <c r="Q479" s="163"/>
      <c r="R479" s="163"/>
      <c r="S479" s="163"/>
      <c r="T479" s="163"/>
      <c r="U479" s="163"/>
      <c r="V479" s="163"/>
      <c r="W479" s="163"/>
      <c r="X479" s="163"/>
      <c r="Y479" s="163"/>
      <c r="Z479" s="163"/>
      <c r="AA479" s="163"/>
    </row>
    <row r="480">
      <c r="A480" s="163"/>
      <c r="B480" s="163"/>
      <c r="C480" s="163"/>
      <c r="D480" s="163"/>
      <c r="E480" s="163"/>
      <c r="F480" s="163"/>
      <c r="G480" s="163"/>
      <c r="H480" s="163"/>
      <c r="I480" s="163"/>
      <c r="J480" s="163"/>
      <c r="K480" s="163"/>
      <c r="L480" s="165"/>
      <c r="M480" s="163"/>
      <c r="N480" s="163"/>
      <c r="O480" s="163"/>
      <c r="P480" s="163"/>
      <c r="Q480" s="163"/>
      <c r="R480" s="163"/>
      <c r="S480" s="163"/>
      <c r="T480" s="163"/>
      <c r="U480" s="163"/>
      <c r="V480" s="163"/>
      <c r="W480" s="163"/>
      <c r="X480" s="163"/>
      <c r="Y480" s="163"/>
      <c r="Z480" s="163"/>
      <c r="AA480" s="163"/>
    </row>
    <row r="481">
      <c r="A481" s="163"/>
      <c r="B481" s="163"/>
      <c r="C481" s="163"/>
      <c r="D481" s="163"/>
      <c r="E481" s="163"/>
      <c r="F481" s="163"/>
      <c r="G481" s="163"/>
      <c r="H481" s="163"/>
      <c r="I481" s="163"/>
      <c r="J481" s="163"/>
      <c r="K481" s="163"/>
      <c r="L481" s="165"/>
      <c r="M481" s="163"/>
      <c r="N481" s="163"/>
      <c r="O481" s="163"/>
      <c r="P481" s="163"/>
      <c r="Q481" s="163"/>
      <c r="R481" s="163"/>
      <c r="S481" s="163"/>
      <c r="T481" s="163"/>
      <c r="U481" s="163"/>
      <c r="V481" s="163"/>
      <c r="W481" s="163"/>
      <c r="X481" s="163"/>
      <c r="Y481" s="163"/>
      <c r="Z481" s="163"/>
      <c r="AA481" s="163"/>
    </row>
    <row r="482">
      <c r="A482" s="163"/>
      <c r="B482" s="163"/>
      <c r="C482" s="163"/>
      <c r="D482" s="163"/>
      <c r="E482" s="163"/>
      <c r="F482" s="163"/>
      <c r="G482" s="163"/>
      <c r="H482" s="163"/>
      <c r="I482" s="163"/>
      <c r="J482" s="163"/>
      <c r="K482" s="163"/>
      <c r="L482" s="165"/>
      <c r="M482" s="163"/>
      <c r="N482" s="163"/>
      <c r="O482" s="163"/>
      <c r="P482" s="163"/>
      <c r="Q482" s="163"/>
      <c r="R482" s="163"/>
      <c r="S482" s="163"/>
      <c r="T482" s="163"/>
      <c r="U482" s="163"/>
      <c r="V482" s="163"/>
      <c r="W482" s="163"/>
      <c r="X482" s="163"/>
      <c r="Y482" s="163"/>
      <c r="Z482" s="163"/>
      <c r="AA482" s="163"/>
    </row>
    <row r="483">
      <c r="A483" s="163"/>
      <c r="B483" s="163"/>
      <c r="C483" s="163"/>
      <c r="D483" s="163"/>
      <c r="E483" s="163"/>
      <c r="F483" s="163"/>
      <c r="G483" s="163"/>
      <c r="H483" s="163"/>
      <c r="I483" s="163"/>
      <c r="J483" s="163"/>
      <c r="K483" s="163"/>
      <c r="L483" s="165"/>
      <c r="M483" s="163"/>
      <c r="N483" s="163"/>
      <c r="O483" s="163"/>
      <c r="P483" s="163"/>
      <c r="Q483" s="163"/>
      <c r="R483" s="163"/>
      <c r="S483" s="163"/>
      <c r="T483" s="163"/>
      <c r="U483" s="163"/>
      <c r="V483" s="163"/>
      <c r="W483" s="163"/>
      <c r="X483" s="163"/>
      <c r="Y483" s="163"/>
      <c r="Z483" s="163"/>
      <c r="AA483" s="163"/>
    </row>
    <row r="484">
      <c r="A484" s="163"/>
      <c r="B484" s="163"/>
      <c r="C484" s="163"/>
      <c r="D484" s="163"/>
      <c r="E484" s="163"/>
      <c r="F484" s="163"/>
      <c r="G484" s="163"/>
      <c r="H484" s="163"/>
      <c r="I484" s="163"/>
      <c r="J484" s="163"/>
      <c r="K484" s="163"/>
      <c r="L484" s="165"/>
      <c r="M484" s="163"/>
      <c r="N484" s="163"/>
      <c r="O484" s="163"/>
      <c r="P484" s="163"/>
      <c r="Q484" s="163"/>
      <c r="R484" s="163"/>
      <c r="S484" s="163"/>
      <c r="T484" s="163"/>
      <c r="U484" s="163"/>
      <c r="V484" s="163"/>
      <c r="W484" s="163"/>
      <c r="X484" s="163"/>
      <c r="Y484" s="163"/>
      <c r="Z484" s="163"/>
      <c r="AA484" s="163"/>
    </row>
    <row r="485">
      <c r="A485" s="163"/>
      <c r="B485" s="163"/>
      <c r="C485" s="163"/>
      <c r="D485" s="163"/>
      <c r="E485" s="163"/>
      <c r="F485" s="163"/>
      <c r="G485" s="163"/>
      <c r="H485" s="163"/>
      <c r="I485" s="163"/>
      <c r="J485" s="163"/>
      <c r="K485" s="163"/>
      <c r="L485" s="165"/>
      <c r="M485" s="163"/>
      <c r="N485" s="163"/>
      <c r="O485" s="163"/>
      <c r="P485" s="163"/>
      <c r="Q485" s="163"/>
      <c r="R485" s="163"/>
      <c r="S485" s="163"/>
      <c r="T485" s="163"/>
      <c r="U485" s="163"/>
      <c r="V485" s="163"/>
      <c r="W485" s="163"/>
      <c r="X485" s="163"/>
      <c r="Y485" s="163"/>
      <c r="Z485" s="163"/>
      <c r="AA485" s="163"/>
    </row>
    <row r="486">
      <c r="A486" s="163"/>
      <c r="B486" s="163"/>
      <c r="C486" s="163"/>
      <c r="D486" s="163"/>
      <c r="E486" s="163"/>
      <c r="F486" s="163"/>
      <c r="G486" s="163"/>
      <c r="H486" s="163"/>
      <c r="I486" s="163"/>
      <c r="J486" s="163"/>
      <c r="K486" s="163"/>
      <c r="L486" s="165"/>
      <c r="M486" s="163"/>
      <c r="N486" s="163"/>
      <c r="O486" s="163"/>
      <c r="P486" s="163"/>
      <c r="Q486" s="163"/>
      <c r="R486" s="163"/>
      <c r="S486" s="163"/>
      <c r="T486" s="163"/>
      <c r="U486" s="163"/>
      <c r="V486" s="163"/>
      <c r="W486" s="163"/>
      <c r="X486" s="163"/>
      <c r="Y486" s="163"/>
      <c r="Z486" s="163"/>
      <c r="AA486" s="163"/>
    </row>
    <row r="487">
      <c r="A487" s="163"/>
      <c r="B487" s="163"/>
      <c r="C487" s="163"/>
      <c r="D487" s="163"/>
      <c r="E487" s="163"/>
      <c r="F487" s="163"/>
      <c r="G487" s="163"/>
      <c r="H487" s="163"/>
      <c r="I487" s="163"/>
      <c r="J487" s="163"/>
      <c r="K487" s="163"/>
      <c r="L487" s="165"/>
      <c r="M487" s="163"/>
      <c r="N487" s="163"/>
      <c r="O487" s="163"/>
      <c r="P487" s="163"/>
      <c r="Q487" s="163"/>
      <c r="R487" s="163"/>
      <c r="S487" s="163"/>
      <c r="T487" s="163"/>
      <c r="U487" s="163"/>
      <c r="V487" s="163"/>
      <c r="W487" s="163"/>
      <c r="X487" s="163"/>
      <c r="Y487" s="163"/>
      <c r="Z487" s="163"/>
      <c r="AA487" s="163"/>
    </row>
    <row r="488">
      <c r="A488" s="163"/>
      <c r="B488" s="163"/>
      <c r="C488" s="163"/>
      <c r="D488" s="163"/>
      <c r="E488" s="163"/>
      <c r="F488" s="163"/>
      <c r="G488" s="163"/>
      <c r="H488" s="163"/>
      <c r="I488" s="163"/>
      <c r="J488" s="163"/>
      <c r="K488" s="163"/>
      <c r="L488" s="165"/>
      <c r="M488" s="163"/>
      <c r="N488" s="163"/>
      <c r="O488" s="163"/>
      <c r="P488" s="163"/>
      <c r="Q488" s="163"/>
      <c r="R488" s="163"/>
      <c r="S488" s="163"/>
      <c r="T488" s="163"/>
      <c r="U488" s="163"/>
      <c r="V488" s="163"/>
      <c r="W488" s="163"/>
      <c r="X488" s="163"/>
      <c r="Y488" s="163"/>
      <c r="Z488" s="163"/>
      <c r="AA488" s="163"/>
    </row>
    <row r="489">
      <c r="A489" s="163"/>
      <c r="B489" s="163"/>
      <c r="C489" s="163"/>
      <c r="D489" s="163"/>
      <c r="E489" s="163"/>
      <c r="F489" s="163"/>
      <c r="G489" s="163"/>
      <c r="H489" s="163"/>
      <c r="I489" s="163"/>
      <c r="J489" s="163"/>
      <c r="K489" s="163"/>
      <c r="L489" s="165"/>
      <c r="M489" s="163"/>
      <c r="N489" s="163"/>
      <c r="O489" s="163"/>
      <c r="P489" s="163"/>
      <c r="Q489" s="163"/>
      <c r="R489" s="163"/>
      <c r="S489" s="163"/>
      <c r="T489" s="163"/>
      <c r="U489" s="163"/>
      <c r="V489" s="163"/>
      <c r="W489" s="163"/>
      <c r="X489" s="163"/>
      <c r="Y489" s="163"/>
      <c r="Z489" s="163"/>
      <c r="AA489" s="163"/>
    </row>
    <row r="490">
      <c r="A490" s="163"/>
      <c r="B490" s="163"/>
      <c r="C490" s="163"/>
      <c r="D490" s="163"/>
      <c r="E490" s="163"/>
      <c r="F490" s="163"/>
      <c r="G490" s="163"/>
      <c r="H490" s="163"/>
      <c r="I490" s="163"/>
      <c r="J490" s="163"/>
      <c r="K490" s="163"/>
      <c r="L490" s="165"/>
      <c r="M490" s="163"/>
      <c r="N490" s="163"/>
      <c r="O490" s="163"/>
      <c r="P490" s="163"/>
      <c r="Q490" s="163"/>
      <c r="R490" s="163"/>
      <c r="S490" s="163"/>
      <c r="T490" s="163"/>
      <c r="U490" s="163"/>
      <c r="V490" s="163"/>
      <c r="W490" s="163"/>
      <c r="X490" s="163"/>
      <c r="Y490" s="163"/>
      <c r="Z490" s="163"/>
      <c r="AA490" s="163"/>
    </row>
    <row r="491">
      <c r="A491" s="163"/>
      <c r="B491" s="163"/>
      <c r="C491" s="163"/>
      <c r="D491" s="163"/>
      <c r="E491" s="163"/>
      <c r="F491" s="163"/>
      <c r="G491" s="163"/>
      <c r="H491" s="163"/>
      <c r="I491" s="163"/>
      <c r="J491" s="163"/>
      <c r="K491" s="163"/>
      <c r="L491" s="165"/>
      <c r="M491" s="163"/>
      <c r="N491" s="163"/>
      <c r="O491" s="163"/>
      <c r="P491" s="163"/>
      <c r="Q491" s="163"/>
      <c r="R491" s="163"/>
      <c r="S491" s="163"/>
      <c r="T491" s="163"/>
      <c r="U491" s="163"/>
      <c r="V491" s="163"/>
      <c r="W491" s="163"/>
      <c r="X491" s="163"/>
      <c r="Y491" s="163"/>
      <c r="Z491" s="163"/>
      <c r="AA491" s="163"/>
    </row>
    <row r="492">
      <c r="A492" s="163"/>
      <c r="B492" s="163"/>
      <c r="C492" s="163"/>
      <c r="D492" s="163"/>
      <c r="E492" s="163"/>
      <c r="F492" s="163"/>
      <c r="G492" s="163"/>
      <c r="H492" s="163"/>
      <c r="I492" s="163"/>
      <c r="J492" s="163"/>
      <c r="K492" s="163"/>
      <c r="L492" s="165"/>
      <c r="M492" s="163"/>
      <c r="N492" s="163"/>
      <c r="O492" s="163"/>
      <c r="P492" s="163"/>
      <c r="Q492" s="163"/>
      <c r="R492" s="163"/>
      <c r="S492" s="163"/>
      <c r="T492" s="163"/>
      <c r="U492" s="163"/>
      <c r="V492" s="163"/>
      <c r="W492" s="163"/>
      <c r="X492" s="163"/>
      <c r="Y492" s="163"/>
      <c r="Z492" s="163"/>
      <c r="AA492" s="163"/>
    </row>
    <row r="493">
      <c r="A493" s="163"/>
      <c r="B493" s="163"/>
      <c r="C493" s="163"/>
      <c r="D493" s="163"/>
      <c r="E493" s="163"/>
      <c r="F493" s="163"/>
      <c r="G493" s="163"/>
      <c r="H493" s="163"/>
      <c r="I493" s="163"/>
      <c r="J493" s="163"/>
      <c r="K493" s="163"/>
      <c r="L493" s="165"/>
      <c r="M493" s="163"/>
      <c r="N493" s="163"/>
      <c r="O493" s="163"/>
      <c r="P493" s="163"/>
      <c r="Q493" s="163"/>
      <c r="R493" s="163"/>
      <c r="S493" s="163"/>
      <c r="T493" s="163"/>
      <c r="U493" s="163"/>
      <c r="V493" s="163"/>
      <c r="W493" s="163"/>
      <c r="X493" s="163"/>
      <c r="Y493" s="163"/>
      <c r="Z493" s="163"/>
      <c r="AA493" s="163"/>
    </row>
    <row r="494">
      <c r="A494" s="163"/>
      <c r="B494" s="163"/>
      <c r="C494" s="163"/>
      <c r="D494" s="163"/>
      <c r="E494" s="163"/>
      <c r="F494" s="163"/>
      <c r="G494" s="163"/>
      <c r="H494" s="163"/>
      <c r="I494" s="163"/>
      <c r="J494" s="163"/>
      <c r="K494" s="163"/>
      <c r="L494" s="165"/>
      <c r="M494" s="163"/>
      <c r="N494" s="163"/>
      <c r="O494" s="163"/>
      <c r="P494" s="163"/>
      <c r="Q494" s="163"/>
      <c r="R494" s="163"/>
      <c r="S494" s="163"/>
      <c r="T494" s="163"/>
      <c r="U494" s="163"/>
      <c r="V494" s="163"/>
      <c r="W494" s="163"/>
      <c r="X494" s="163"/>
      <c r="Y494" s="163"/>
      <c r="Z494" s="163"/>
      <c r="AA494" s="163"/>
    </row>
    <row r="495">
      <c r="A495" s="163"/>
      <c r="B495" s="163"/>
      <c r="C495" s="163"/>
      <c r="D495" s="163"/>
      <c r="E495" s="163"/>
      <c r="F495" s="163"/>
      <c r="G495" s="163"/>
      <c r="H495" s="163"/>
      <c r="I495" s="163"/>
      <c r="J495" s="163"/>
      <c r="K495" s="163"/>
      <c r="L495" s="165"/>
      <c r="M495" s="163"/>
      <c r="N495" s="163"/>
      <c r="O495" s="163"/>
      <c r="P495" s="163"/>
      <c r="Q495" s="163"/>
      <c r="R495" s="163"/>
      <c r="S495" s="163"/>
      <c r="T495" s="163"/>
      <c r="U495" s="163"/>
      <c r="V495" s="163"/>
      <c r="W495" s="163"/>
      <c r="X495" s="163"/>
      <c r="Y495" s="163"/>
      <c r="Z495" s="163"/>
      <c r="AA495" s="163"/>
    </row>
    <row r="496">
      <c r="A496" s="163"/>
      <c r="B496" s="163"/>
      <c r="C496" s="163"/>
      <c r="D496" s="163"/>
      <c r="E496" s="163"/>
      <c r="F496" s="163"/>
      <c r="G496" s="163"/>
      <c r="H496" s="163"/>
      <c r="I496" s="163"/>
      <c r="J496" s="163"/>
      <c r="K496" s="163"/>
      <c r="L496" s="165"/>
      <c r="M496" s="163"/>
      <c r="N496" s="163"/>
      <c r="O496" s="163"/>
      <c r="P496" s="163"/>
      <c r="Q496" s="163"/>
      <c r="R496" s="163"/>
      <c r="S496" s="163"/>
      <c r="T496" s="163"/>
      <c r="U496" s="163"/>
      <c r="V496" s="163"/>
      <c r="W496" s="163"/>
      <c r="X496" s="163"/>
      <c r="Y496" s="163"/>
      <c r="Z496" s="163"/>
      <c r="AA496" s="163"/>
    </row>
    <row r="497">
      <c r="A497" s="163"/>
      <c r="B497" s="163"/>
      <c r="C497" s="163"/>
      <c r="D497" s="163"/>
      <c r="E497" s="163"/>
      <c r="F497" s="163"/>
      <c r="G497" s="163"/>
      <c r="H497" s="163"/>
      <c r="I497" s="163"/>
      <c r="J497" s="163"/>
      <c r="K497" s="163"/>
      <c r="L497" s="165"/>
      <c r="M497" s="163"/>
      <c r="N497" s="163"/>
      <c r="O497" s="163"/>
      <c r="P497" s="163"/>
      <c r="Q497" s="163"/>
      <c r="R497" s="163"/>
      <c r="S497" s="163"/>
      <c r="T497" s="163"/>
      <c r="U497" s="163"/>
      <c r="V497" s="163"/>
      <c r="W497" s="163"/>
      <c r="X497" s="163"/>
      <c r="Y497" s="163"/>
      <c r="Z497" s="163"/>
      <c r="AA497" s="163"/>
    </row>
    <row r="498">
      <c r="A498" s="163"/>
      <c r="B498" s="163"/>
      <c r="C498" s="163"/>
      <c r="D498" s="163"/>
      <c r="E498" s="163"/>
      <c r="F498" s="163"/>
      <c r="G498" s="163"/>
      <c r="H498" s="163"/>
      <c r="I498" s="163"/>
      <c r="J498" s="163"/>
      <c r="K498" s="163"/>
      <c r="L498" s="165"/>
      <c r="M498" s="163"/>
      <c r="N498" s="163"/>
      <c r="O498" s="163"/>
      <c r="P498" s="163"/>
      <c r="Q498" s="163"/>
      <c r="R498" s="163"/>
      <c r="S498" s="163"/>
      <c r="T498" s="163"/>
      <c r="U498" s="163"/>
      <c r="V498" s="163"/>
      <c r="W498" s="163"/>
      <c r="X498" s="163"/>
      <c r="Y498" s="163"/>
      <c r="Z498" s="163"/>
      <c r="AA498" s="163"/>
    </row>
    <row r="499">
      <c r="A499" s="163"/>
      <c r="B499" s="163"/>
      <c r="C499" s="163"/>
      <c r="D499" s="163"/>
      <c r="E499" s="163"/>
      <c r="F499" s="163"/>
      <c r="G499" s="163"/>
      <c r="H499" s="163"/>
      <c r="I499" s="163"/>
      <c r="J499" s="163"/>
      <c r="K499" s="163"/>
      <c r="L499" s="165"/>
      <c r="M499" s="163"/>
      <c r="N499" s="163"/>
      <c r="O499" s="163"/>
      <c r="P499" s="163"/>
      <c r="Q499" s="163"/>
      <c r="R499" s="163"/>
      <c r="S499" s="163"/>
      <c r="T499" s="163"/>
      <c r="U499" s="163"/>
      <c r="V499" s="163"/>
      <c r="W499" s="163"/>
      <c r="X499" s="163"/>
      <c r="Y499" s="163"/>
      <c r="Z499" s="163"/>
      <c r="AA499" s="163"/>
    </row>
    <row r="500">
      <c r="A500" s="163"/>
      <c r="B500" s="163"/>
      <c r="C500" s="163"/>
      <c r="D500" s="163"/>
      <c r="E500" s="163"/>
      <c r="F500" s="163"/>
      <c r="G500" s="163"/>
      <c r="H500" s="163"/>
      <c r="I500" s="163"/>
      <c r="J500" s="163"/>
      <c r="K500" s="163"/>
      <c r="L500" s="165"/>
      <c r="M500" s="163"/>
      <c r="N500" s="163"/>
      <c r="O500" s="163"/>
      <c r="P500" s="163"/>
      <c r="Q500" s="163"/>
      <c r="R500" s="163"/>
      <c r="S500" s="163"/>
      <c r="T500" s="163"/>
      <c r="U500" s="163"/>
      <c r="V500" s="163"/>
      <c r="W500" s="163"/>
      <c r="X500" s="163"/>
      <c r="Y500" s="163"/>
      <c r="Z500" s="163"/>
      <c r="AA500" s="163"/>
    </row>
    <row r="501">
      <c r="A501" s="163"/>
      <c r="B501" s="163"/>
      <c r="C501" s="163"/>
      <c r="D501" s="163"/>
      <c r="E501" s="163"/>
      <c r="F501" s="163"/>
      <c r="G501" s="163"/>
      <c r="H501" s="163"/>
      <c r="I501" s="163"/>
      <c r="J501" s="163"/>
      <c r="K501" s="163"/>
      <c r="L501" s="165"/>
      <c r="M501" s="163"/>
      <c r="N501" s="163"/>
      <c r="O501" s="163"/>
      <c r="P501" s="163"/>
      <c r="Q501" s="163"/>
      <c r="R501" s="163"/>
      <c r="S501" s="163"/>
      <c r="T501" s="163"/>
      <c r="U501" s="163"/>
      <c r="V501" s="163"/>
      <c r="W501" s="163"/>
      <c r="X501" s="163"/>
      <c r="Y501" s="163"/>
      <c r="Z501" s="163"/>
      <c r="AA501" s="163"/>
    </row>
    <row r="502">
      <c r="A502" s="163"/>
      <c r="B502" s="163"/>
      <c r="C502" s="163"/>
      <c r="D502" s="163"/>
      <c r="E502" s="163"/>
      <c r="F502" s="163"/>
      <c r="G502" s="163"/>
      <c r="H502" s="163"/>
      <c r="I502" s="163"/>
      <c r="J502" s="163"/>
      <c r="K502" s="163"/>
      <c r="L502" s="165"/>
      <c r="M502" s="163"/>
      <c r="N502" s="163"/>
      <c r="O502" s="163"/>
      <c r="P502" s="163"/>
      <c r="Q502" s="163"/>
      <c r="R502" s="163"/>
      <c r="S502" s="163"/>
      <c r="T502" s="163"/>
      <c r="U502" s="163"/>
      <c r="V502" s="163"/>
      <c r="W502" s="163"/>
      <c r="X502" s="163"/>
      <c r="Y502" s="163"/>
      <c r="Z502" s="163"/>
      <c r="AA502" s="163"/>
    </row>
    <row r="503">
      <c r="A503" s="163"/>
      <c r="B503" s="163"/>
      <c r="C503" s="163"/>
      <c r="D503" s="163"/>
      <c r="E503" s="163"/>
      <c r="F503" s="163"/>
      <c r="G503" s="163"/>
      <c r="H503" s="163"/>
      <c r="I503" s="163"/>
      <c r="J503" s="163"/>
      <c r="K503" s="163"/>
      <c r="L503" s="165"/>
      <c r="M503" s="163"/>
      <c r="N503" s="163"/>
      <c r="O503" s="163"/>
      <c r="P503" s="163"/>
      <c r="Q503" s="163"/>
      <c r="R503" s="163"/>
      <c r="S503" s="163"/>
      <c r="T503" s="163"/>
      <c r="U503" s="163"/>
      <c r="V503" s="163"/>
      <c r="W503" s="163"/>
      <c r="X503" s="163"/>
      <c r="Y503" s="163"/>
      <c r="Z503" s="163"/>
      <c r="AA503" s="163"/>
    </row>
    <row r="504">
      <c r="A504" s="163"/>
      <c r="B504" s="163"/>
      <c r="C504" s="163"/>
      <c r="D504" s="163"/>
      <c r="E504" s="163"/>
      <c r="F504" s="163"/>
      <c r="G504" s="163"/>
      <c r="H504" s="163"/>
      <c r="I504" s="163"/>
      <c r="J504" s="163"/>
      <c r="K504" s="163"/>
      <c r="L504" s="165"/>
      <c r="M504" s="163"/>
      <c r="N504" s="163"/>
      <c r="O504" s="163"/>
      <c r="P504" s="163"/>
      <c r="Q504" s="163"/>
      <c r="R504" s="163"/>
      <c r="S504" s="163"/>
      <c r="T504" s="163"/>
      <c r="U504" s="163"/>
      <c r="V504" s="163"/>
      <c r="W504" s="163"/>
      <c r="X504" s="163"/>
      <c r="Y504" s="163"/>
      <c r="Z504" s="163"/>
      <c r="AA504" s="163"/>
    </row>
    <row r="505">
      <c r="A505" s="163"/>
      <c r="B505" s="163"/>
      <c r="C505" s="163"/>
      <c r="D505" s="163"/>
      <c r="E505" s="163"/>
      <c r="F505" s="163"/>
      <c r="G505" s="163"/>
      <c r="H505" s="163"/>
      <c r="I505" s="163"/>
      <c r="J505" s="163"/>
      <c r="K505" s="163"/>
      <c r="L505" s="165"/>
      <c r="M505" s="163"/>
      <c r="N505" s="163"/>
      <c r="O505" s="163"/>
      <c r="P505" s="163"/>
      <c r="Q505" s="163"/>
      <c r="R505" s="163"/>
      <c r="S505" s="163"/>
      <c r="T505" s="163"/>
      <c r="U505" s="163"/>
      <c r="V505" s="163"/>
      <c r="W505" s="163"/>
      <c r="X505" s="163"/>
      <c r="Y505" s="163"/>
      <c r="Z505" s="163"/>
      <c r="AA505" s="163"/>
    </row>
    <row r="506">
      <c r="A506" s="163"/>
      <c r="B506" s="163"/>
      <c r="C506" s="163"/>
      <c r="D506" s="163"/>
      <c r="E506" s="163"/>
      <c r="F506" s="163"/>
      <c r="G506" s="163"/>
      <c r="H506" s="163"/>
      <c r="I506" s="163"/>
      <c r="J506" s="163"/>
      <c r="K506" s="163"/>
      <c r="L506" s="165"/>
      <c r="M506" s="163"/>
      <c r="N506" s="163"/>
      <c r="O506" s="163"/>
      <c r="P506" s="163"/>
      <c r="Q506" s="163"/>
      <c r="R506" s="163"/>
      <c r="S506" s="163"/>
      <c r="T506" s="163"/>
      <c r="U506" s="163"/>
      <c r="V506" s="163"/>
      <c r="W506" s="163"/>
      <c r="X506" s="163"/>
      <c r="Y506" s="163"/>
      <c r="Z506" s="163"/>
      <c r="AA506" s="163"/>
    </row>
    <row r="507">
      <c r="A507" s="163"/>
      <c r="B507" s="163"/>
      <c r="C507" s="163"/>
      <c r="D507" s="163"/>
      <c r="E507" s="163"/>
      <c r="F507" s="163"/>
      <c r="G507" s="163"/>
      <c r="H507" s="163"/>
      <c r="I507" s="163"/>
      <c r="J507" s="163"/>
      <c r="K507" s="163"/>
      <c r="L507" s="165"/>
      <c r="M507" s="163"/>
      <c r="N507" s="163"/>
      <c r="O507" s="163"/>
      <c r="P507" s="163"/>
      <c r="Q507" s="163"/>
      <c r="R507" s="163"/>
      <c r="S507" s="163"/>
      <c r="T507" s="163"/>
      <c r="U507" s="163"/>
      <c r="V507" s="163"/>
      <c r="W507" s="163"/>
      <c r="X507" s="163"/>
      <c r="Y507" s="163"/>
      <c r="Z507" s="163"/>
      <c r="AA507" s="163"/>
    </row>
    <row r="508">
      <c r="A508" s="163"/>
      <c r="B508" s="163"/>
      <c r="C508" s="163"/>
      <c r="D508" s="163"/>
      <c r="E508" s="163"/>
      <c r="F508" s="163"/>
      <c r="G508" s="163"/>
      <c r="H508" s="163"/>
      <c r="I508" s="163"/>
      <c r="J508" s="163"/>
      <c r="K508" s="163"/>
      <c r="L508" s="165"/>
      <c r="M508" s="163"/>
      <c r="N508" s="163"/>
      <c r="O508" s="163"/>
      <c r="P508" s="163"/>
      <c r="Q508" s="163"/>
      <c r="R508" s="163"/>
      <c r="S508" s="163"/>
      <c r="T508" s="163"/>
      <c r="U508" s="163"/>
      <c r="V508" s="163"/>
      <c r="W508" s="163"/>
      <c r="X508" s="163"/>
      <c r="Y508" s="163"/>
      <c r="Z508" s="163"/>
      <c r="AA508" s="163"/>
    </row>
    <row r="509">
      <c r="A509" s="163"/>
      <c r="B509" s="163"/>
      <c r="C509" s="163"/>
      <c r="D509" s="163"/>
      <c r="E509" s="163"/>
      <c r="F509" s="163"/>
      <c r="G509" s="163"/>
      <c r="H509" s="163"/>
      <c r="I509" s="163"/>
      <c r="J509" s="163"/>
      <c r="K509" s="163"/>
      <c r="L509" s="165"/>
      <c r="M509" s="163"/>
      <c r="N509" s="163"/>
      <c r="O509" s="163"/>
      <c r="P509" s="163"/>
      <c r="Q509" s="163"/>
      <c r="R509" s="163"/>
      <c r="S509" s="163"/>
      <c r="T509" s="163"/>
      <c r="U509" s="163"/>
      <c r="V509" s="163"/>
      <c r="W509" s="163"/>
      <c r="X509" s="163"/>
      <c r="Y509" s="163"/>
      <c r="Z509" s="163"/>
      <c r="AA509" s="163"/>
    </row>
    <row r="510">
      <c r="A510" s="163"/>
      <c r="B510" s="163"/>
      <c r="C510" s="163"/>
      <c r="D510" s="163"/>
      <c r="E510" s="163"/>
      <c r="F510" s="163"/>
      <c r="G510" s="163"/>
      <c r="H510" s="163"/>
      <c r="I510" s="163"/>
      <c r="J510" s="163"/>
      <c r="K510" s="163"/>
      <c r="L510" s="165"/>
      <c r="M510" s="163"/>
      <c r="N510" s="163"/>
      <c r="O510" s="163"/>
      <c r="P510" s="163"/>
      <c r="Q510" s="163"/>
      <c r="R510" s="163"/>
      <c r="S510" s="163"/>
      <c r="T510" s="163"/>
      <c r="U510" s="163"/>
      <c r="V510" s="163"/>
      <c r="W510" s="163"/>
      <c r="X510" s="163"/>
      <c r="Y510" s="163"/>
      <c r="Z510" s="163"/>
      <c r="AA510" s="163"/>
    </row>
    <row r="511">
      <c r="A511" s="163"/>
      <c r="B511" s="163"/>
      <c r="C511" s="163"/>
      <c r="D511" s="163"/>
      <c r="E511" s="163"/>
      <c r="F511" s="163"/>
      <c r="G511" s="163"/>
      <c r="H511" s="163"/>
      <c r="I511" s="163"/>
      <c r="J511" s="163"/>
      <c r="K511" s="163"/>
      <c r="L511" s="165"/>
      <c r="M511" s="163"/>
      <c r="N511" s="163"/>
      <c r="O511" s="163"/>
      <c r="P511" s="163"/>
      <c r="Q511" s="163"/>
      <c r="R511" s="163"/>
      <c r="S511" s="163"/>
      <c r="T511" s="163"/>
      <c r="U511" s="163"/>
      <c r="V511" s="163"/>
      <c r="W511" s="163"/>
      <c r="X511" s="163"/>
      <c r="Y511" s="163"/>
      <c r="Z511" s="163"/>
      <c r="AA511" s="163"/>
    </row>
    <row r="512">
      <c r="A512" s="163"/>
      <c r="B512" s="163"/>
      <c r="C512" s="163"/>
      <c r="D512" s="163"/>
      <c r="E512" s="163"/>
      <c r="F512" s="163"/>
      <c r="G512" s="163"/>
      <c r="H512" s="163"/>
      <c r="I512" s="163"/>
      <c r="J512" s="163"/>
      <c r="K512" s="163"/>
      <c r="L512" s="165"/>
      <c r="M512" s="163"/>
      <c r="N512" s="163"/>
      <c r="O512" s="163"/>
      <c r="P512" s="163"/>
      <c r="Q512" s="163"/>
      <c r="R512" s="163"/>
      <c r="S512" s="163"/>
      <c r="T512" s="163"/>
      <c r="U512" s="163"/>
      <c r="V512" s="163"/>
      <c r="W512" s="163"/>
      <c r="X512" s="163"/>
      <c r="Y512" s="163"/>
      <c r="Z512" s="163"/>
      <c r="AA512" s="163"/>
    </row>
    <row r="513">
      <c r="A513" s="163"/>
      <c r="B513" s="163"/>
      <c r="C513" s="163"/>
      <c r="D513" s="163"/>
      <c r="E513" s="163"/>
      <c r="F513" s="163"/>
      <c r="G513" s="163"/>
      <c r="H513" s="163"/>
      <c r="I513" s="163"/>
      <c r="J513" s="163"/>
      <c r="K513" s="163"/>
      <c r="L513" s="165"/>
      <c r="M513" s="163"/>
      <c r="N513" s="163"/>
      <c r="O513" s="163"/>
      <c r="P513" s="163"/>
      <c r="Q513" s="163"/>
      <c r="R513" s="163"/>
      <c r="S513" s="163"/>
      <c r="T513" s="163"/>
      <c r="U513" s="163"/>
      <c r="V513" s="163"/>
      <c r="W513" s="163"/>
      <c r="X513" s="163"/>
      <c r="Y513" s="163"/>
      <c r="Z513" s="163"/>
      <c r="AA513" s="163"/>
    </row>
    <row r="514">
      <c r="A514" s="163"/>
      <c r="B514" s="163"/>
      <c r="C514" s="163"/>
      <c r="D514" s="163"/>
      <c r="E514" s="163"/>
      <c r="F514" s="163"/>
      <c r="G514" s="163"/>
      <c r="H514" s="163"/>
      <c r="I514" s="163"/>
      <c r="J514" s="163"/>
      <c r="K514" s="163"/>
      <c r="L514" s="165"/>
      <c r="M514" s="163"/>
      <c r="N514" s="163"/>
      <c r="O514" s="163"/>
      <c r="P514" s="163"/>
      <c r="Q514" s="163"/>
      <c r="R514" s="163"/>
      <c r="S514" s="163"/>
      <c r="T514" s="163"/>
      <c r="U514" s="163"/>
      <c r="V514" s="163"/>
      <c r="W514" s="163"/>
      <c r="X514" s="163"/>
      <c r="Y514" s="163"/>
      <c r="Z514" s="163"/>
      <c r="AA514" s="163"/>
    </row>
    <row r="515">
      <c r="A515" s="163"/>
      <c r="B515" s="163"/>
      <c r="C515" s="163"/>
      <c r="D515" s="163"/>
      <c r="E515" s="163"/>
      <c r="F515" s="163"/>
      <c r="G515" s="163"/>
      <c r="H515" s="163"/>
      <c r="I515" s="163"/>
      <c r="J515" s="163"/>
      <c r="K515" s="163"/>
      <c r="L515" s="165"/>
      <c r="M515" s="163"/>
      <c r="N515" s="163"/>
      <c r="O515" s="163"/>
      <c r="P515" s="163"/>
      <c r="Q515" s="163"/>
      <c r="R515" s="163"/>
      <c r="S515" s="163"/>
      <c r="T515" s="163"/>
      <c r="U515" s="163"/>
      <c r="V515" s="163"/>
      <c r="W515" s="163"/>
      <c r="X515" s="163"/>
      <c r="Y515" s="163"/>
      <c r="Z515" s="163"/>
      <c r="AA515" s="163"/>
    </row>
    <row r="516">
      <c r="A516" s="163"/>
      <c r="B516" s="163"/>
      <c r="C516" s="163"/>
      <c r="D516" s="163"/>
      <c r="E516" s="163"/>
      <c r="F516" s="163"/>
      <c r="G516" s="163"/>
      <c r="H516" s="163"/>
      <c r="I516" s="163"/>
      <c r="J516" s="163"/>
      <c r="K516" s="163"/>
      <c r="L516" s="165"/>
      <c r="M516" s="163"/>
      <c r="N516" s="163"/>
      <c r="O516" s="163"/>
      <c r="P516" s="163"/>
      <c r="Q516" s="163"/>
      <c r="R516" s="163"/>
      <c r="S516" s="163"/>
      <c r="T516" s="163"/>
      <c r="U516" s="163"/>
      <c r="V516" s="163"/>
      <c r="W516" s="163"/>
      <c r="X516" s="163"/>
      <c r="Y516" s="163"/>
      <c r="Z516" s="163"/>
      <c r="AA516" s="163"/>
    </row>
    <row r="517">
      <c r="A517" s="163"/>
      <c r="B517" s="163"/>
      <c r="C517" s="163"/>
      <c r="D517" s="163"/>
      <c r="E517" s="163"/>
      <c r="F517" s="163"/>
      <c r="G517" s="163"/>
      <c r="H517" s="163"/>
      <c r="I517" s="163"/>
      <c r="J517" s="163"/>
      <c r="K517" s="163"/>
      <c r="L517" s="165"/>
      <c r="M517" s="163"/>
      <c r="N517" s="163"/>
      <c r="O517" s="163"/>
      <c r="P517" s="163"/>
      <c r="Q517" s="163"/>
      <c r="R517" s="163"/>
      <c r="S517" s="163"/>
      <c r="T517" s="163"/>
      <c r="U517" s="163"/>
      <c r="V517" s="163"/>
      <c r="W517" s="163"/>
      <c r="X517" s="163"/>
      <c r="Y517" s="163"/>
      <c r="Z517" s="163"/>
      <c r="AA517" s="163"/>
    </row>
    <row r="518">
      <c r="A518" s="163"/>
      <c r="B518" s="163"/>
      <c r="C518" s="163"/>
      <c r="D518" s="163"/>
      <c r="E518" s="163"/>
      <c r="F518" s="163"/>
      <c r="G518" s="163"/>
      <c r="H518" s="163"/>
      <c r="I518" s="163"/>
      <c r="J518" s="163"/>
      <c r="K518" s="163"/>
      <c r="L518" s="165"/>
      <c r="M518" s="163"/>
      <c r="N518" s="163"/>
      <c r="O518" s="163"/>
      <c r="P518" s="163"/>
      <c r="Q518" s="163"/>
      <c r="R518" s="163"/>
      <c r="S518" s="163"/>
      <c r="T518" s="163"/>
      <c r="U518" s="163"/>
      <c r="V518" s="163"/>
      <c r="W518" s="163"/>
      <c r="X518" s="163"/>
      <c r="Y518" s="163"/>
      <c r="Z518" s="163"/>
      <c r="AA518" s="163"/>
    </row>
    <row r="519">
      <c r="A519" s="163"/>
      <c r="B519" s="163"/>
      <c r="C519" s="163"/>
      <c r="D519" s="163"/>
      <c r="E519" s="163"/>
      <c r="F519" s="163"/>
      <c r="G519" s="163"/>
      <c r="H519" s="163"/>
      <c r="I519" s="163"/>
      <c r="J519" s="163"/>
      <c r="K519" s="163"/>
      <c r="L519" s="165"/>
      <c r="M519" s="163"/>
      <c r="N519" s="163"/>
      <c r="O519" s="163"/>
      <c r="P519" s="163"/>
      <c r="Q519" s="163"/>
      <c r="R519" s="163"/>
      <c r="S519" s="163"/>
      <c r="T519" s="163"/>
      <c r="U519" s="163"/>
      <c r="V519" s="163"/>
      <c r="W519" s="163"/>
      <c r="X519" s="163"/>
      <c r="Y519" s="163"/>
      <c r="Z519" s="163"/>
      <c r="AA519" s="163"/>
    </row>
    <row r="520">
      <c r="A520" s="163"/>
      <c r="B520" s="163"/>
      <c r="C520" s="163"/>
      <c r="D520" s="163"/>
      <c r="E520" s="163"/>
      <c r="F520" s="163"/>
      <c r="G520" s="163"/>
      <c r="H520" s="163"/>
      <c r="I520" s="163"/>
      <c r="J520" s="163"/>
      <c r="K520" s="163"/>
      <c r="L520" s="165"/>
      <c r="M520" s="163"/>
      <c r="N520" s="163"/>
      <c r="O520" s="163"/>
      <c r="P520" s="163"/>
      <c r="Q520" s="163"/>
      <c r="R520" s="163"/>
      <c r="S520" s="163"/>
      <c r="T520" s="163"/>
      <c r="U520" s="163"/>
      <c r="V520" s="163"/>
      <c r="W520" s="163"/>
      <c r="X520" s="163"/>
      <c r="Y520" s="163"/>
      <c r="Z520" s="163"/>
      <c r="AA520" s="163"/>
    </row>
    <row r="521">
      <c r="A521" s="163"/>
      <c r="B521" s="163"/>
      <c r="C521" s="163"/>
      <c r="D521" s="163"/>
      <c r="E521" s="163"/>
      <c r="F521" s="163"/>
      <c r="G521" s="163"/>
      <c r="H521" s="163"/>
      <c r="I521" s="163"/>
      <c r="J521" s="163"/>
      <c r="K521" s="163"/>
      <c r="L521" s="165"/>
      <c r="M521" s="163"/>
      <c r="N521" s="163"/>
      <c r="O521" s="163"/>
      <c r="P521" s="163"/>
      <c r="Q521" s="163"/>
      <c r="R521" s="163"/>
      <c r="S521" s="163"/>
      <c r="T521" s="163"/>
      <c r="U521" s="163"/>
      <c r="V521" s="163"/>
      <c r="W521" s="163"/>
      <c r="X521" s="163"/>
      <c r="Y521" s="163"/>
      <c r="Z521" s="163"/>
      <c r="AA521" s="163"/>
    </row>
    <row r="522">
      <c r="A522" s="163"/>
      <c r="B522" s="163"/>
      <c r="C522" s="163"/>
      <c r="D522" s="163"/>
      <c r="E522" s="163"/>
      <c r="F522" s="163"/>
      <c r="G522" s="163"/>
      <c r="H522" s="163"/>
      <c r="I522" s="163"/>
      <c r="J522" s="163"/>
      <c r="K522" s="163"/>
      <c r="L522" s="165"/>
      <c r="M522" s="163"/>
      <c r="N522" s="163"/>
      <c r="O522" s="163"/>
      <c r="P522" s="163"/>
      <c r="Q522" s="163"/>
      <c r="R522" s="163"/>
      <c r="S522" s="163"/>
      <c r="T522" s="163"/>
      <c r="U522" s="163"/>
      <c r="V522" s="163"/>
      <c r="W522" s="163"/>
      <c r="X522" s="163"/>
      <c r="Y522" s="163"/>
      <c r="Z522" s="163"/>
      <c r="AA522" s="163"/>
    </row>
    <row r="523">
      <c r="A523" s="163"/>
      <c r="B523" s="163"/>
      <c r="C523" s="163"/>
      <c r="D523" s="163"/>
      <c r="E523" s="163"/>
      <c r="F523" s="163"/>
      <c r="G523" s="163"/>
      <c r="H523" s="163"/>
      <c r="I523" s="163"/>
      <c r="J523" s="163"/>
      <c r="K523" s="163"/>
      <c r="L523" s="165"/>
      <c r="M523" s="163"/>
      <c r="N523" s="163"/>
      <c r="O523" s="163"/>
      <c r="P523" s="163"/>
      <c r="Q523" s="163"/>
      <c r="R523" s="163"/>
      <c r="S523" s="163"/>
      <c r="T523" s="163"/>
      <c r="U523" s="163"/>
      <c r="V523" s="163"/>
      <c r="W523" s="163"/>
      <c r="X523" s="163"/>
      <c r="Y523" s="163"/>
      <c r="Z523" s="163"/>
      <c r="AA523" s="163"/>
    </row>
    <row r="524">
      <c r="A524" s="163"/>
      <c r="B524" s="163"/>
      <c r="C524" s="163"/>
      <c r="D524" s="163"/>
      <c r="E524" s="163"/>
      <c r="F524" s="163"/>
      <c r="G524" s="163"/>
      <c r="H524" s="163"/>
      <c r="I524" s="163"/>
      <c r="J524" s="163"/>
      <c r="K524" s="163"/>
      <c r="L524" s="165"/>
      <c r="M524" s="163"/>
      <c r="N524" s="163"/>
      <c r="O524" s="163"/>
      <c r="P524" s="163"/>
      <c r="Q524" s="163"/>
      <c r="R524" s="163"/>
      <c r="S524" s="163"/>
      <c r="T524" s="163"/>
      <c r="U524" s="163"/>
      <c r="V524" s="163"/>
      <c r="W524" s="163"/>
      <c r="X524" s="163"/>
      <c r="Y524" s="163"/>
      <c r="Z524" s="163"/>
      <c r="AA524" s="163"/>
    </row>
    <row r="525">
      <c r="A525" s="163"/>
      <c r="B525" s="163"/>
      <c r="C525" s="163"/>
      <c r="D525" s="163"/>
      <c r="E525" s="163"/>
      <c r="F525" s="163"/>
      <c r="G525" s="163"/>
      <c r="H525" s="163"/>
      <c r="I525" s="163"/>
      <c r="J525" s="163"/>
      <c r="K525" s="163"/>
      <c r="L525" s="165"/>
      <c r="M525" s="163"/>
      <c r="N525" s="163"/>
      <c r="O525" s="163"/>
      <c r="P525" s="163"/>
      <c r="Q525" s="163"/>
      <c r="R525" s="163"/>
      <c r="S525" s="163"/>
      <c r="T525" s="163"/>
      <c r="U525" s="163"/>
      <c r="V525" s="163"/>
      <c r="W525" s="163"/>
      <c r="X525" s="163"/>
      <c r="Y525" s="163"/>
      <c r="Z525" s="163"/>
      <c r="AA525" s="163"/>
    </row>
    <row r="526">
      <c r="A526" s="163"/>
      <c r="B526" s="163"/>
      <c r="C526" s="163"/>
      <c r="D526" s="163"/>
      <c r="E526" s="163"/>
      <c r="F526" s="163"/>
      <c r="G526" s="163"/>
      <c r="H526" s="163"/>
      <c r="I526" s="163"/>
      <c r="J526" s="163"/>
      <c r="K526" s="163"/>
      <c r="L526" s="165"/>
      <c r="M526" s="163"/>
      <c r="N526" s="163"/>
      <c r="O526" s="163"/>
      <c r="P526" s="163"/>
      <c r="Q526" s="163"/>
      <c r="R526" s="163"/>
      <c r="S526" s="163"/>
      <c r="T526" s="163"/>
      <c r="U526" s="163"/>
      <c r="V526" s="163"/>
      <c r="W526" s="163"/>
      <c r="X526" s="163"/>
      <c r="Y526" s="163"/>
      <c r="Z526" s="163"/>
      <c r="AA526" s="163"/>
    </row>
    <row r="527">
      <c r="A527" s="163"/>
      <c r="B527" s="163"/>
      <c r="C527" s="163"/>
      <c r="D527" s="163"/>
      <c r="E527" s="163"/>
      <c r="F527" s="163"/>
      <c r="G527" s="163"/>
      <c r="H527" s="163"/>
      <c r="I527" s="163"/>
      <c r="J527" s="163"/>
      <c r="K527" s="163"/>
      <c r="L527" s="165"/>
      <c r="M527" s="163"/>
      <c r="N527" s="163"/>
      <c r="O527" s="163"/>
      <c r="P527" s="163"/>
      <c r="Q527" s="163"/>
      <c r="R527" s="163"/>
      <c r="S527" s="163"/>
      <c r="T527" s="163"/>
      <c r="U527" s="163"/>
      <c r="V527" s="163"/>
      <c r="W527" s="163"/>
      <c r="X527" s="163"/>
      <c r="Y527" s="163"/>
      <c r="Z527" s="163"/>
      <c r="AA527" s="163"/>
    </row>
    <row r="528">
      <c r="A528" s="163"/>
      <c r="B528" s="163"/>
      <c r="C528" s="163"/>
      <c r="D528" s="163"/>
      <c r="E528" s="163"/>
      <c r="F528" s="163"/>
      <c r="G528" s="163"/>
      <c r="H528" s="163"/>
      <c r="I528" s="163"/>
      <c r="J528" s="163"/>
      <c r="K528" s="163"/>
      <c r="L528" s="165"/>
      <c r="M528" s="163"/>
      <c r="N528" s="163"/>
      <c r="O528" s="163"/>
      <c r="P528" s="163"/>
      <c r="Q528" s="163"/>
      <c r="R528" s="163"/>
      <c r="S528" s="163"/>
      <c r="T528" s="163"/>
      <c r="U528" s="163"/>
      <c r="V528" s="163"/>
      <c r="W528" s="163"/>
      <c r="X528" s="163"/>
      <c r="Y528" s="163"/>
      <c r="Z528" s="163"/>
      <c r="AA528" s="163"/>
    </row>
    <row r="529">
      <c r="A529" s="163"/>
      <c r="B529" s="163"/>
      <c r="C529" s="163"/>
      <c r="D529" s="163"/>
      <c r="E529" s="163"/>
      <c r="F529" s="163"/>
      <c r="G529" s="163"/>
      <c r="H529" s="163"/>
      <c r="I529" s="163"/>
      <c r="J529" s="163"/>
      <c r="K529" s="163"/>
      <c r="L529" s="165"/>
      <c r="M529" s="163"/>
      <c r="N529" s="163"/>
      <c r="O529" s="163"/>
      <c r="P529" s="163"/>
      <c r="Q529" s="163"/>
      <c r="R529" s="163"/>
      <c r="S529" s="163"/>
      <c r="T529" s="163"/>
      <c r="U529" s="163"/>
      <c r="V529" s="163"/>
      <c r="W529" s="163"/>
      <c r="X529" s="163"/>
      <c r="Y529" s="163"/>
      <c r="Z529" s="163"/>
      <c r="AA529" s="163"/>
    </row>
    <row r="530">
      <c r="A530" s="163"/>
      <c r="B530" s="163"/>
      <c r="C530" s="163"/>
      <c r="D530" s="163"/>
      <c r="E530" s="163"/>
      <c r="F530" s="163"/>
      <c r="G530" s="163"/>
      <c r="H530" s="163"/>
      <c r="I530" s="163"/>
      <c r="J530" s="163"/>
      <c r="K530" s="163"/>
      <c r="L530" s="165"/>
      <c r="M530" s="163"/>
      <c r="N530" s="163"/>
      <c r="O530" s="163"/>
      <c r="P530" s="163"/>
      <c r="Q530" s="163"/>
      <c r="R530" s="163"/>
      <c r="S530" s="163"/>
      <c r="T530" s="163"/>
      <c r="U530" s="163"/>
      <c r="V530" s="163"/>
      <c r="W530" s="163"/>
      <c r="X530" s="163"/>
      <c r="Y530" s="163"/>
      <c r="Z530" s="163"/>
      <c r="AA530" s="163"/>
    </row>
    <row r="531">
      <c r="A531" s="163"/>
      <c r="B531" s="163"/>
      <c r="C531" s="163"/>
      <c r="D531" s="163"/>
      <c r="E531" s="163"/>
      <c r="F531" s="163"/>
      <c r="G531" s="163"/>
      <c r="H531" s="163"/>
      <c r="I531" s="163"/>
      <c r="J531" s="163"/>
      <c r="K531" s="163"/>
      <c r="L531" s="165"/>
      <c r="M531" s="163"/>
      <c r="N531" s="163"/>
      <c r="O531" s="163"/>
      <c r="P531" s="163"/>
      <c r="Q531" s="163"/>
      <c r="R531" s="163"/>
      <c r="S531" s="163"/>
      <c r="T531" s="163"/>
      <c r="U531" s="163"/>
      <c r="V531" s="163"/>
      <c r="W531" s="163"/>
      <c r="X531" s="163"/>
      <c r="Y531" s="163"/>
      <c r="Z531" s="163"/>
      <c r="AA531" s="163"/>
    </row>
    <row r="532">
      <c r="A532" s="163"/>
      <c r="B532" s="163"/>
      <c r="C532" s="163"/>
      <c r="D532" s="163"/>
      <c r="E532" s="163"/>
      <c r="F532" s="163"/>
      <c r="G532" s="163"/>
      <c r="H532" s="163"/>
      <c r="I532" s="163"/>
      <c r="J532" s="163"/>
      <c r="K532" s="163"/>
      <c r="L532" s="165"/>
      <c r="M532" s="163"/>
      <c r="N532" s="163"/>
      <c r="O532" s="163"/>
      <c r="P532" s="163"/>
      <c r="Q532" s="163"/>
      <c r="R532" s="163"/>
      <c r="S532" s="163"/>
      <c r="T532" s="163"/>
      <c r="U532" s="163"/>
      <c r="V532" s="163"/>
      <c r="W532" s="163"/>
      <c r="X532" s="163"/>
      <c r="Y532" s="163"/>
      <c r="Z532" s="163"/>
      <c r="AA532" s="163"/>
    </row>
    <row r="533">
      <c r="A533" s="163"/>
      <c r="B533" s="163"/>
      <c r="C533" s="163"/>
      <c r="D533" s="163"/>
      <c r="E533" s="163"/>
      <c r="F533" s="163"/>
      <c r="G533" s="163"/>
      <c r="H533" s="163"/>
      <c r="I533" s="163"/>
      <c r="J533" s="163"/>
      <c r="K533" s="163"/>
      <c r="L533" s="165"/>
      <c r="M533" s="163"/>
      <c r="N533" s="163"/>
      <c r="O533" s="163"/>
      <c r="P533" s="163"/>
      <c r="Q533" s="163"/>
      <c r="R533" s="163"/>
      <c r="S533" s="163"/>
      <c r="T533" s="163"/>
      <c r="U533" s="163"/>
      <c r="V533" s="163"/>
      <c r="W533" s="163"/>
      <c r="X533" s="163"/>
      <c r="Y533" s="163"/>
      <c r="Z533" s="163"/>
      <c r="AA533" s="163"/>
    </row>
    <row r="534">
      <c r="A534" s="163"/>
      <c r="B534" s="163"/>
      <c r="C534" s="163"/>
      <c r="D534" s="163"/>
      <c r="E534" s="163"/>
      <c r="F534" s="163"/>
      <c r="G534" s="163"/>
      <c r="H534" s="163"/>
      <c r="I534" s="163"/>
      <c r="J534" s="163"/>
      <c r="K534" s="163"/>
      <c r="L534" s="165"/>
      <c r="M534" s="163"/>
      <c r="N534" s="163"/>
      <c r="O534" s="163"/>
      <c r="P534" s="163"/>
      <c r="Q534" s="163"/>
      <c r="R534" s="163"/>
      <c r="S534" s="163"/>
      <c r="T534" s="163"/>
      <c r="U534" s="163"/>
      <c r="V534" s="163"/>
      <c r="W534" s="163"/>
      <c r="X534" s="163"/>
      <c r="Y534" s="163"/>
      <c r="Z534" s="163"/>
      <c r="AA534" s="163"/>
    </row>
    <row r="535">
      <c r="A535" s="163"/>
      <c r="B535" s="163"/>
      <c r="C535" s="163"/>
      <c r="D535" s="163"/>
      <c r="E535" s="163"/>
      <c r="F535" s="163"/>
      <c r="G535" s="163"/>
      <c r="H535" s="163"/>
      <c r="I535" s="163"/>
      <c r="J535" s="163"/>
      <c r="K535" s="163"/>
      <c r="L535" s="165"/>
      <c r="M535" s="163"/>
      <c r="N535" s="163"/>
      <c r="O535" s="163"/>
      <c r="P535" s="163"/>
      <c r="Q535" s="163"/>
      <c r="R535" s="163"/>
      <c r="S535" s="163"/>
      <c r="T535" s="163"/>
      <c r="U535" s="163"/>
      <c r="V535" s="163"/>
      <c r="W535" s="163"/>
      <c r="X535" s="163"/>
      <c r="Y535" s="163"/>
      <c r="Z535" s="163"/>
      <c r="AA535" s="163"/>
    </row>
    <row r="536">
      <c r="A536" s="163"/>
      <c r="B536" s="163"/>
      <c r="C536" s="163"/>
      <c r="D536" s="163"/>
      <c r="E536" s="163"/>
      <c r="F536" s="163"/>
      <c r="G536" s="163"/>
      <c r="H536" s="163"/>
      <c r="I536" s="163"/>
      <c r="J536" s="163"/>
      <c r="K536" s="163"/>
      <c r="L536" s="165"/>
      <c r="M536" s="163"/>
      <c r="N536" s="163"/>
      <c r="O536" s="163"/>
      <c r="P536" s="163"/>
      <c r="Q536" s="163"/>
      <c r="R536" s="163"/>
      <c r="S536" s="163"/>
      <c r="T536" s="163"/>
      <c r="U536" s="163"/>
      <c r="V536" s="163"/>
      <c r="W536" s="163"/>
      <c r="X536" s="163"/>
      <c r="Y536" s="163"/>
      <c r="Z536" s="163"/>
      <c r="AA536" s="163"/>
    </row>
    <row r="537">
      <c r="A537" s="163"/>
      <c r="B537" s="163"/>
      <c r="C537" s="163"/>
      <c r="D537" s="163"/>
      <c r="E537" s="163"/>
      <c r="F537" s="163"/>
      <c r="G537" s="163"/>
      <c r="H537" s="163"/>
      <c r="I537" s="163"/>
      <c r="J537" s="163"/>
      <c r="K537" s="163"/>
      <c r="L537" s="165"/>
      <c r="M537" s="163"/>
      <c r="N537" s="163"/>
      <c r="O537" s="163"/>
      <c r="P537" s="163"/>
      <c r="Q537" s="163"/>
      <c r="R537" s="163"/>
      <c r="S537" s="163"/>
      <c r="T537" s="163"/>
      <c r="U537" s="163"/>
      <c r="V537" s="163"/>
      <c r="W537" s="163"/>
      <c r="X537" s="163"/>
      <c r="Y537" s="163"/>
      <c r="Z537" s="163"/>
      <c r="AA537" s="163"/>
    </row>
    <row r="538">
      <c r="A538" s="163"/>
      <c r="B538" s="163"/>
      <c r="C538" s="163"/>
      <c r="D538" s="163"/>
      <c r="E538" s="163"/>
      <c r="F538" s="163"/>
      <c r="G538" s="163"/>
      <c r="H538" s="163"/>
      <c r="I538" s="163"/>
      <c r="J538" s="163"/>
      <c r="K538" s="163"/>
      <c r="L538" s="165"/>
      <c r="M538" s="163"/>
      <c r="N538" s="163"/>
      <c r="O538" s="163"/>
      <c r="P538" s="163"/>
      <c r="Q538" s="163"/>
      <c r="R538" s="163"/>
      <c r="S538" s="163"/>
      <c r="T538" s="163"/>
      <c r="U538" s="163"/>
      <c r="V538" s="163"/>
      <c r="W538" s="163"/>
      <c r="X538" s="163"/>
      <c r="Y538" s="163"/>
      <c r="Z538" s="163"/>
      <c r="AA538" s="163"/>
    </row>
    <row r="539">
      <c r="A539" s="163"/>
      <c r="B539" s="163"/>
      <c r="C539" s="163"/>
      <c r="D539" s="163"/>
      <c r="E539" s="163"/>
      <c r="F539" s="163"/>
      <c r="G539" s="163"/>
      <c r="H539" s="163"/>
      <c r="I539" s="163"/>
      <c r="J539" s="163"/>
      <c r="K539" s="163"/>
      <c r="L539" s="165"/>
      <c r="M539" s="163"/>
      <c r="N539" s="163"/>
      <c r="O539" s="163"/>
      <c r="P539" s="163"/>
      <c r="Q539" s="163"/>
      <c r="R539" s="163"/>
      <c r="S539" s="163"/>
      <c r="T539" s="163"/>
      <c r="U539" s="163"/>
      <c r="V539" s="163"/>
      <c r="W539" s="163"/>
      <c r="X539" s="163"/>
      <c r="Y539" s="163"/>
      <c r="Z539" s="163"/>
      <c r="AA539" s="163"/>
    </row>
    <row r="540">
      <c r="A540" s="163"/>
      <c r="B540" s="163"/>
      <c r="C540" s="163"/>
      <c r="D540" s="163"/>
      <c r="E540" s="163"/>
      <c r="F540" s="163"/>
      <c r="G540" s="163"/>
      <c r="H540" s="163"/>
      <c r="I540" s="163"/>
      <c r="J540" s="163"/>
      <c r="K540" s="163"/>
      <c r="L540" s="165"/>
      <c r="M540" s="163"/>
      <c r="N540" s="163"/>
      <c r="O540" s="163"/>
      <c r="P540" s="163"/>
      <c r="Q540" s="163"/>
      <c r="R540" s="163"/>
      <c r="S540" s="163"/>
      <c r="T540" s="163"/>
      <c r="U540" s="163"/>
      <c r="V540" s="163"/>
      <c r="W540" s="163"/>
      <c r="X540" s="163"/>
      <c r="Y540" s="163"/>
      <c r="Z540" s="163"/>
      <c r="AA540" s="163"/>
    </row>
    <row r="541">
      <c r="A541" s="163"/>
      <c r="B541" s="163"/>
      <c r="C541" s="163"/>
      <c r="D541" s="163"/>
      <c r="E541" s="163"/>
      <c r="F541" s="163"/>
      <c r="G541" s="163"/>
      <c r="H541" s="163"/>
      <c r="I541" s="163"/>
      <c r="J541" s="163"/>
      <c r="K541" s="163"/>
      <c r="L541" s="165"/>
      <c r="M541" s="163"/>
      <c r="N541" s="163"/>
      <c r="O541" s="163"/>
      <c r="P541" s="163"/>
      <c r="Q541" s="163"/>
      <c r="R541" s="163"/>
      <c r="S541" s="163"/>
      <c r="T541" s="163"/>
      <c r="U541" s="163"/>
      <c r="V541" s="163"/>
      <c r="W541" s="163"/>
      <c r="X541" s="163"/>
      <c r="Y541" s="163"/>
      <c r="Z541" s="163"/>
      <c r="AA541" s="163"/>
    </row>
    <row r="542">
      <c r="A542" s="163"/>
      <c r="B542" s="163"/>
      <c r="C542" s="163"/>
      <c r="D542" s="163"/>
      <c r="E542" s="163"/>
      <c r="F542" s="163"/>
      <c r="G542" s="163"/>
      <c r="H542" s="163"/>
      <c r="I542" s="163"/>
      <c r="J542" s="163"/>
      <c r="K542" s="163"/>
      <c r="L542" s="165"/>
      <c r="M542" s="163"/>
      <c r="N542" s="163"/>
      <c r="O542" s="163"/>
      <c r="P542" s="163"/>
      <c r="Q542" s="163"/>
      <c r="R542" s="163"/>
      <c r="S542" s="163"/>
      <c r="T542" s="163"/>
      <c r="U542" s="163"/>
      <c r="V542" s="163"/>
      <c r="W542" s="163"/>
      <c r="X542" s="163"/>
      <c r="Y542" s="163"/>
      <c r="Z542" s="163"/>
      <c r="AA542" s="163"/>
    </row>
    <row r="543">
      <c r="A543" s="163"/>
      <c r="B543" s="163"/>
      <c r="C543" s="163"/>
      <c r="D543" s="163"/>
      <c r="E543" s="163"/>
      <c r="F543" s="163"/>
      <c r="G543" s="163"/>
      <c r="H543" s="163"/>
      <c r="I543" s="163"/>
      <c r="J543" s="163"/>
      <c r="K543" s="163"/>
      <c r="L543" s="165"/>
      <c r="M543" s="163"/>
      <c r="N543" s="163"/>
      <c r="O543" s="163"/>
      <c r="P543" s="163"/>
      <c r="Q543" s="163"/>
      <c r="R543" s="163"/>
      <c r="S543" s="163"/>
      <c r="T543" s="163"/>
      <c r="U543" s="163"/>
      <c r="V543" s="163"/>
      <c r="W543" s="163"/>
      <c r="X543" s="163"/>
      <c r="Y543" s="163"/>
      <c r="Z543" s="163"/>
      <c r="AA543" s="163"/>
    </row>
    <row r="544">
      <c r="A544" s="163"/>
      <c r="B544" s="163"/>
      <c r="C544" s="163"/>
      <c r="D544" s="163"/>
      <c r="E544" s="163"/>
      <c r="F544" s="163"/>
      <c r="G544" s="163"/>
      <c r="H544" s="163"/>
      <c r="I544" s="163"/>
      <c r="J544" s="163"/>
      <c r="K544" s="163"/>
      <c r="L544" s="165"/>
      <c r="M544" s="163"/>
      <c r="N544" s="163"/>
      <c r="O544" s="163"/>
      <c r="P544" s="163"/>
      <c r="Q544" s="163"/>
      <c r="R544" s="163"/>
      <c r="S544" s="163"/>
      <c r="T544" s="163"/>
      <c r="U544" s="163"/>
      <c r="V544" s="163"/>
      <c r="W544" s="163"/>
      <c r="X544" s="163"/>
      <c r="Y544" s="163"/>
      <c r="Z544" s="163"/>
      <c r="AA544" s="163"/>
    </row>
    <row r="545">
      <c r="A545" s="163"/>
      <c r="B545" s="163"/>
      <c r="C545" s="163"/>
      <c r="D545" s="163"/>
      <c r="E545" s="163"/>
      <c r="F545" s="163"/>
      <c r="G545" s="163"/>
      <c r="H545" s="163"/>
      <c r="I545" s="163"/>
      <c r="J545" s="163"/>
      <c r="K545" s="163"/>
      <c r="L545" s="165"/>
      <c r="M545" s="163"/>
      <c r="N545" s="163"/>
      <c r="O545" s="163"/>
      <c r="P545" s="163"/>
      <c r="Q545" s="163"/>
      <c r="R545" s="163"/>
      <c r="S545" s="163"/>
      <c r="T545" s="163"/>
      <c r="U545" s="163"/>
      <c r="V545" s="163"/>
      <c r="W545" s="163"/>
      <c r="X545" s="163"/>
      <c r="Y545" s="163"/>
      <c r="Z545" s="163"/>
      <c r="AA545" s="163"/>
    </row>
    <row r="546">
      <c r="A546" s="163"/>
      <c r="B546" s="163"/>
      <c r="C546" s="163"/>
      <c r="D546" s="163"/>
      <c r="E546" s="163"/>
      <c r="F546" s="163"/>
      <c r="G546" s="163"/>
      <c r="H546" s="163"/>
      <c r="I546" s="163"/>
      <c r="J546" s="163"/>
      <c r="K546" s="163"/>
      <c r="L546" s="165"/>
      <c r="M546" s="163"/>
      <c r="N546" s="163"/>
      <c r="O546" s="163"/>
      <c r="P546" s="163"/>
      <c r="Q546" s="163"/>
      <c r="R546" s="163"/>
      <c r="S546" s="163"/>
      <c r="T546" s="163"/>
      <c r="U546" s="163"/>
      <c r="V546" s="163"/>
      <c r="W546" s="163"/>
      <c r="X546" s="163"/>
      <c r="Y546" s="163"/>
      <c r="Z546" s="163"/>
      <c r="AA546" s="163"/>
    </row>
    <row r="547">
      <c r="A547" s="163"/>
      <c r="B547" s="163"/>
      <c r="C547" s="163"/>
      <c r="D547" s="163"/>
      <c r="E547" s="163"/>
      <c r="F547" s="163"/>
      <c r="G547" s="163"/>
      <c r="H547" s="163"/>
      <c r="I547" s="163"/>
      <c r="J547" s="163"/>
      <c r="K547" s="163"/>
      <c r="L547" s="165"/>
      <c r="M547" s="163"/>
      <c r="N547" s="163"/>
      <c r="O547" s="163"/>
      <c r="P547" s="163"/>
      <c r="Q547" s="163"/>
      <c r="R547" s="163"/>
      <c r="S547" s="163"/>
      <c r="T547" s="163"/>
      <c r="U547" s="163"/>
      <c r="V547" s="163"/>
      <c r="W547" s="163"/>
      <c r="X547" s="163"/>
      <c r="Y547" s="163"/>
      <c r="Z547" s="163"/>
      <c r="AA547" s="163"/>
    </row>
    <row r="548">
      <c r="A548" s="163"/>
      <c r="B548" s="163"/>
      <c r="C548" s="163"/>
      <c r="D548" s="163"/>
      <c r="E548" s="163"/>
      <c r="F548" s="163"/>
      <c r="G548" s="163"/>
      <c r="H548" s="163"/>
      <c r="I548" s="163"/>
      <c r="J548" s="163"/>
      <c r="K548" s="163"/>
      <c r="L548" s="165"/>
      <c r="M548" s="163"/>
      <c r="N548" s="163"/>
      <c r="O548" s="163"/>
      <c r="P548" s="163"/>
      <c r="Q548" s="163"/>
      <c r="R548" s="163"/>
      <c r="S548" s="163"/>
      <c r="T548" s="163"/>
      <c r="U548" s="163"/>
      <c r="V548" s="163"/>
      <c r="W548" s="163"/>
      <c r="X548" s="163"/>
      <c r="Y548" s="163"/>
      <c r="Z548" s="163"/>
      <c r="AA548" s="163"/>
    </row>
    <row r="549">
      <c r="A549" s="163"/>
      <c r="B549" s="163"/>
      <c r="C549" s="163"/>
      <c r="D549" s="163"/>
      <c r="E549" s="163"/>
      <c r="F549" s="163"/>
      <c r="G549" s="163"/>
      <c r="H549" s="163"/>
      <c r="I549" s="163"/>
      <c r="J549" s="163"/>
      <c r="K549" s="163"/>
      <c r="L549" s="165"/>
      <c r="M549" s="163"/>
      <c r="N549" s="163"/>
      <c r="O549" s="163"/>
      <c r="P549" s="163"/>
      <c r="Q549" s="163"/>
      <c r="R549" s="163"/>
      <c r="S549" s="163"/>
      <c r="T549" s="163"/>
      <c r="U549" s="163"/>
      <c r="V549" s="163"/>
      <c r="W549" s="163"/>
      <c r="X549" s="163"/>
      <c r="Y549" s="163"/>
      <c r="Z549" s="163"/>
      <c r="AA549" s="163"/>
    </row>
    <row r="550">
      <c r="A550" s="163"/>
      <c r="B550" s="163"/>
      <c r="C550" s="163"/>
      <c r="D550" s="163"/>
      <c r="E550" s="163"/>
      <c r="F550" s="163"/>
      <c r="G550" s="163"/>
      <c r="H550" s="163"/>
      <c r="I550" s="163"/>
      <c r="J550" s="163"/>
      <c r="K550" s="163"/>
      <c r="L550" s="165"/>
      <c r="M550" s="163"/>
      <c r="N550" s="163"/>
      <c r="O550" s="163"/>
      <c r="P550" s="163"/>
      <c r="Q550" s="163"/>
      <c r="R550" s="163"/>
      <c r="S550" s="163"/>
      <c r="T550" s="163"/>
      <c r="U550" s="163"/>
      <c r="V550" s="163"/>
      <c r="W550" s="163"/>
      <c r="X550" s="163"/>
      <c r="Y550" s="163"/>
      <c r="Z550" s="163"/>
      <c r="AA550" s="163"/>
    </row>
    <row r="551">
      <c r="A551" s="163"/>
      <c r="B551" s="163"/>
      <c r="C551" s="163"/>
      <c r="D551" s="163"/>
      <c r="E551" s="163"/>
      <c r="F551" s="163"/>
      <c r="G551" s="163"/>
      <c r="H551" s="163"/>
      <c r="I551" s="163"/>
      <c r="J551" s="163"/>
      <c r="K551" s="163"/>
      <c r="L551" s="165"/>
      <c r="M551" s="163"/>
      <c r="N551" s="163"/>
      <c r="O551" s="163"/>
      <c r="P551" s="163"/>
      <c r="Q551" s="163"/>
      <c r="R551" s="163"/>
      <c r="S551" s="163"/>
      <c r="T551" s="163"/>
      <c r="U551" s="163"/>
      <c r="V551" s="163"/>
      <c r="W551" s="163"/>
      <c r="X551" s="163"/>
      <c r="Y551" s="163"/>
      <c r="Z551" s="163"/>
      <c r="AA551" s="163"/>
    </row>
    <row r="552">
      <c r="A552" s="163"/>
      <c r="B552" s="163"/>
      <c r="C552" s="163"/>
      <c r="D552" s="163"/>
      <c r="E552" s="163"/>
      <c r="F552" s="163"/>
      <c r="G552" s="163"/>
      <c r="H552" s="163"/>
      <c r="I552" s="163"/>
      <c r="J552" s="163"/>
      <c r="K552" s="163"/>
      <c r="L552" s="165"/>
      <c r="M552" s="163"/>
      <c r="N552" s="163"/>
      <c r="O552" s="163"/>
      <c r="P552" s="163"/>
      <c r="Q552" s="163"/>
      <c r="R552" s="163"/>
      <c r="S552" s="163"/>
      <c r="T552" s="163"/>
      <c r="U552" s="163"/>
      <c r="V552" s="163"/>
      <c r="W552" s="163"/>
      <c r="X552" s="163"/>
      <c r="Y552" s="163"/>
      <c r="Z552" s="163"/>
      <c r="AA552" s="163"/>
    </row>
    <row r="553">
      <c r="A553" s="163"/>
      <c r="B553" s="163"/>
      <c r="C553" s="163"/>
      <c r="D553" s="163"/>
      <c r="E553" s="163"/>
      <c r="F553" s="163"/>
      <c r="G553" s="163"/>
      <c r="H553" s="163"/>
      <c r="I553" s="163"/>
      <c r="J553" s="163"/>
      <c r="K553" s="163"/>
      <c r="L553" s="165"/>
      <c r="M553" s="163"/>
      <c r="N553" s="163"/>
      <c r="O553" s="163"/>
      <c r="P553" s="163"/>
      <c r="Q553" s="163"/>
      <c r="R553" s="163"/>
      <c r="S553" s="163"/>
      <c r="T553" s="163"/>
      <c r="U553" s="163"/>
      <c r="V553" s="163"/>
      <c r="W553" s="163"/>
      <c r="X553" s="163"/>
      <c r="Y553" s="163"/>
      <c r="Z553" s="163"/>
      <c r="AA553" s="163"/>
    </row>
    <row r="554">
      <c r="A554" s="163"/>
      <c r="B554" s="163"/>
      <c r="C554" s="163"/>
      <c r="D554" s="163"/>
      <c r="E554" s="163"/>
      <c r="F554" s="163"/>
      <c r="G554" s="163"/>
      <c r="H554" s="163"/>
      <c r="I554" s="163"/>
      <c r="J554" s="163"/>
      <c r="K554" s="163"/>
      <c r="L554" s="165"/>
      <c r="M554" s="163"/>
      <c r="N554" s="163"/>
      <c r="O554" s="163"/>
      <c r="P554" s="163"/>
      <c r="Q554" s="163"/>
      <c r="R554" s="163"/>
      <c r="S554" s="163"/>
      <c r="T554" s="163"/>
      <c r="U554" s="163"/>
      <c r="V554" s="163"/>
      <c r="W554" s="163"/>
      <c r="X554" s="163"/>
      <c r="Y554" s="163"/>
      <c r="Z554" s="163"/>
      <c r="AA554" s="163"/>
    </row>
    <row r="555">
      <c r="A555" s="163"/>
      <c r="B555" s="163"/>
      <c r="C555" s="163"/>
      <c r="D555" s="163"/>
      <c r="E555" s="163"/>
      <c r="F555" s="163"/>
      <c r="G555" s="163"/>
      <c r="H555" s="163"/>
      <c r="I555" s="163"/>
      <c r="J555" s="163"/>
      <c r="K555" s="163"/>
      <c r="L555" s="165"/>
      <c r="M555" s="163"/>
      <c r="N555" s="163"/>
      <c r="O555" s="163"/>
      <c r="P555" s="163"/>
      <c r="Q555" s="163"/>
      <c r="R555" s="163"/>
      <c r="S555" s="163"/>
      <c r="T555" s="163"/>
      <c r="U555" s="163"/>
      <c r="V555" s="163"/>
      <c r="W555" s="163"/>
      <c r="X555" s="163"/>
      <c r="Y555" s="163"/>
      <c r="Z555" s="163"/>
      <c r="AA555" s="163"/>
    </row>
    <row r="556">
      <c r="A556" s="163"/>
      <c r="B556" s="163"/>
      <c r="C556" s="163"/>
      <c r="D556" s="163"/>
      <c r="E556" s="163"/>
      <c r="F556" s="163"/>
      <c r="G556" s="163"/>
      <c r="H556" s="163"/>
      <c r="I556" s="163"/>
      <c r="J556" s="163"/>
      <c r="K556" s="163"/>
      <c r="L556" s="165"/>
      <c r="M556" s="163"/>
      <c r="N556" s="163"/>
      <c r="O556" s="163"/>
      <c r="P556" s="163"/>
      <c r="Q556" s="163"/>
      <c r="R556" s="163"/>
      <c r="S556" s="163"/>
      <c r="T556" s="163"/>
      <c r="U556" s="163"/>
      <c r="V556" s="163"/>
      <c r="W556" s="163"/>
      <c r="X556" s="163"/>
      <c r="Y556" s="163"/>
      <c r="Z556" s="163"/>
      <c r="AA556" s="163"/>
    </row>
    <row r="557">
      <c r="A557" s="163"/>
      <c r="B557" s="163"/>
      <c r="C557" s="163"/>
      <c r="D557" s="163"/>
      <c r="E557" s="163"/>
      <c r="F557" s="163"/>
      <c r="G557" s="163"/>
      <c r="H557" s="163"/>
      <c r="I557" s="163"/>
      <c r="J557" s="163"/>
      <c r="K557" s="163"/>
      <c r="L557" s="165"/>
      <c r="M557" s="163"/>
      <c r="N557" s="163"/>
      <c r="O557" s="163"/>
      <c r="P557" s="163"/>
      <c r="Q557" s="163"/>
      <c r="R557" s="163"/>
      <c r="S557" s="163"/>
      <c r="T557" s="163"/>
      <c r="U557" s="163"/>
      <c r="V557" s="163"/>
      <c r="W557" s="163"/>
      <c r="X557" s="163"/>
      <c r="Y557" s="163"/>
      <c r="Z557" s="163"/>
      <c r="AA557" s="163"/>
    </row>
    <row r="558">
      <c r="A558" s="163"/>
      <c r="B558" s="163"/>
      <c r="C558" s="163"/>
      <c r="D558" s="163"/>
      <c r="E558" s="163"/>
      <c r="F558" s="163"/>
      <c r="G558" s="163"/>
      <c r="H558" s="163"/>
      <c r="I558" s="163"/>
      <c r="J558" s="163"/>
      <c r="K558" s="163"/>
      <c r="L558" s="165"/>
      <c r="M558" s="163"/>
      <c r="N558" s="163"/>
      <c r="O558" s="163"/>
      <c r="P558" s="163"/>
      <c r="Q558" s="163"/>
      <c r="R558" s="163"/>
      <c r="S558" s="163"/>
      <c r="T558" s="163"/>
      <c r="U558" s="163"/>
      <c r="V558" s="163"/>
      <c r="W558" s="163"/>
      <c r="X558" s="163"/>
      <c r="Y558" s="163"/>
      <c r="Z558" s="163"/>
      <c r="AA558" s="163"/>
    </row>
    <row r="559">
      <c r="A559" s="163"/>
      <c r="B559" s="163"/>
      <c r="C559" s="163"/>
      <c r="D559" s="163"/>
      <c r="E559" s="163"/>
      <c r="F559" s="163"/>
      <c r="G559" s="163"/>
      <c r="H559" s="163"/>
      <c r="I559" s="163"/>
      <c r="J559" s="163"/>
      <c r="K559" s="163"/>
      <c r="L559" s="165"/>
      <c r="M559" s="163"/>
      <c r="N559" s="163"/>
      <c r="O559" s="163"/>
      <c r="P559" s="163"/>
      <c r="Q559" s="163"/>
      <c r="R559" s="163"/>
      <c r="S559" s="163"/>
      <c r="T559" s="163"/>
      <c r="U559" s="163"/>
      <c r="V559" s="163"/>
      <c r="W559" s="163"/>
      <c r="X559" s="163"/>
      <c r="Y559" s="163"/>
      <c r="Z559" s="163"/>
      <c r="AA559" s="163"/>
    </row>
    <row r="560">
      <c r="A560" s="163"/>
      <c r="B560" s="163"/>
      <c r="C560" s="163"/>
      <c r="D560" s="163"/>
      <c r="E560" s="163"/>
      <c r="F560" s="163"/>
      <c r="G560" s="163"/>
      <c r="H560" s="163"/>
      <c r="I560" s="163"/>
      <c r="J560" s="163"/>
      <c r="K560" s="163"/>
      <c r="L560" s="165"/>
      <c r="M560" s="163"/>
      <c r="N560" s="163"/>
      <c r="O560" s="163"/>
      <c r="P560" s="163"/>
      <c r="Q560" s="163"/>
      <c r="R560" s="163"/>
      <c r="S560" s="163"/>
      <c r="T560" s="163"/>
      <c r="U560" s="163"/>
      <c r="V560" s="163"/>
      <c r="W560" s="163"/>
      <c r="X560" s="163"/>
      <c r="Y560" s="163"/>
      <c r="Z560" s="163"/>
      <c r="AA560" s="163"/>
    </row>
    <row r="561">
      <c r="A561" s="163"/>
      <c r="B561" s="163"/>
      <c r="C561" s="163"/>
      <c r="D561" s="163"/>
      <c r="E561" s="163"/>
      <c r="F561" s="163"/>
      <c r="G561" s="163"/>
      <c r="H561" s="163"/>
      <c r="I561" s="163"/>
      <c r="J561" s="163"/>
      <c r="K561" s="163"/>
      <c r="L561" s="165"/>
      <c r="M561" s="163"/>
      <c r="N561" s="163"/>
      <c r="O561" s="163"/>
      <c r="P561" s="163"/>
      <c r="Q561" s="163"/>
      <c r="R561" s="163"/>
      <c r="S561" s="163"/>
      <c r="T561" s="163"/>
      <c r="U561" s="163"/>
      <c r="V561" s="163"/>
      <c r="W561" s="163"/>
      <c r="X561" s="163"/>
      <c r="Y561" s="163"/>
      <c r="Z561" s="163"/>
      <c r="AA561" s="163"/>
    </row>
    <row r="562">
      <c r="A562" s="163"/>
      <c r="B562" s="163"/>
      <c r="C562" s="163"/>
      <c r="D562" s="163"/>
      <c r="E562" s="163"/>
      <c r="F562" s="163"/>
      <c r="G562" s="163"/>
      <c r="H562" s="163"/>
      <c r="I562" s="163"/>
      <c r="J562" s="163"/>
      <c r="K562" s="163"/>
      <c r="L562" s="165"/>
      <c r="M562" s="163"/>
      <c r="N562" s="163"/>
      <c r="O562" s="163"/>
      <c r="P562" s="163"/>
      <c r="Q562" s="163"/>
      <c r="R562" s="163"/>
      <c r="S562" s="163"/>
      <c r="T562" s="163"/>
      <c r="U562" s="163"/>
      <c r="V562" s="163"/>
      <c r="W562" s="163"/>
      <c r="X562" s="163"/>
      <c r="Y562" s="163"/>
      <c r="Z562" s="163"/>
      <c r="AA562" s="163"/>
    </row>
    <row r="563">
      <c r="A563" s="163"/>
      <c r="B563" s="163"/>
      <c r="C563" s="163"/>
      <c r="D563" s="163"/>
      <c r="E563" s="163"/>
      <c r="F563" s="163"/>
      <c r="G563" s="163"/>
      <c r="H563" s="163"/>
      <c r="I563" s="163"/>
      <c r="J563" s="163"/>
      <c r="K563" s="163"/>
      <c r="L563" s="165"/>
      <c r="M563" s="163"/>
      <c r="N563" s="163"/>
      <c r="O563" s="163"/>
      <c r="P563" s="163"/>
      <c r="Q563" s="163"/>
      <c r="R563" s="163"/>
      <c r="S563" s="163"/>
      <c r="T563" s="163"/>
      <c r="U563" s="163"/>
      <c r="V563" s="163"/>
      <c r="W563" s="163"/>
      <c r="X563" s="163"/>
      <c r="Y563" s="163"/>
      <c r="Z563" s="163"/>
      <c r="AA563" s="163"/>
    </row>
    <row r="564">
      <c r="A564" s="163"/>
      <c r="B564" s="163"/>
      <c r="C564" s="163"/>
      <c r="D564" s="163"/>
      <c r="E564" s="163"/>
      <c r="F564" s="163"/>
      <c r="G564" s="163"/>
      <c r="H564" s="163"/>
      <c r="I564" s="163"/>
      <c r="J564" s="163"/>
      <c r="K564" s="163"/>
      <c r="L564" s="165"/>
      <c r="M564" s="163"/>
      <c r="N564" s="163"/>
      <c r="O564" s="163"/>
      <c r="P564" s="163"/>
      <c r="Q564" s="163"/>
      <c r="R564" s="163"/>
      <c r="S564" s="163"/>
      <c r="T564" s="163"/>
      <c r="U564" s="163"/>
      <c r="V564" s="163"/>
      <c r="W564" s="163"/>
      <c r="X564" s="163"/>
      <c r="Y564" s="163"/>
      <c r="Z564" s="163"/>
      <c r="AA564" s="163"/>
    </row>
    <row r="565">
      <c r="A565" s="163"/>
      <c r="B565" s="163"/>
      <c r="C565" s="163"/>
      <c r="D565" s="163"/>
      <c r="E565" s="163"/>
      <c r="F565" s="163"/>
      <c r="G565" s="163"/>
      <c r="H565" s="163"/>
      <c r="I565" s="163"/>
      <c r="J565" s="163"/>
      <c r="K565" s="163"/>
      <c r="L565" s="165"/>
      <c r="M565" s="163"/>
      <c r="N565" s="163"/>
      <c r="O565" s="163"/>
      <c r="P565" s="163"/>
      <c r="Q565" s="163"/>
      <c r="R565" s="163"/>
      <c r="S565" s="163"/>
      <c r="T565" s="163"/>
      <c r="U565" s="163"/>
      <c r="V565" s="163"/>
      <c r="W565" s="163"/>
      <c r="X565" s="163"/>
      <c r="Y565" s="163"/>
      <c r="Z565" s="163"/>
      <c r="AA565" s="163"/>
    </row>
    <row r="566">
      <c r="A566" s="163"/>
      <c r="B566" s="163"/>
      <c r="C566" s="163"/>
      <c r="D566" s="163"/>
      <c r="E566" s="163"/>
      <c r="F566" s="163"/>
      <c r="G566" s="163"/>
      <c r="H566" s="163"/>
      <c r="I566" s="163"/>
      <c r="J566" s="163"/>
      <c r="K566" s="163"/>
      <c r="L566" s="165"/>
      <c r="M566" s="163"/>
      <c r="N566" s="163"/>
      <c r="O566" s="163"/>
      <c r="P566" s="163"/>
      <c r="Q566" s="163"/>
      <c r="R566" s="163"/>
      <c r="S566" s="163"/>
      <c r="T566" s="163"/>
      <c r="U566" s="163"/>
      <c r="V566" s="163"/>
      <c r="W566" s="163"/>
      <c r="X566" s="163"/>
      <c r="Y566" s="163"/>
      <c r="Z566" s="163"/>
      <c r="AA566" s="163"/>
    </row>
    <row r="567">
      <c r="A567" s="163"/>
      <c r="B567" s="163"/>
      <c r="C567" s="163"/>
      <c r="D567" s="163"/>
      <c r="E567" s="163"/>
      <c r="F567" s="163"/>
      <c r="G567" s="163"/>
      <c r="H567" s="163"/>
      <c r="I567" s="163"/>
      <c r="J567" s="163"/>
      <c r="K567" s="163"/>
      <c r="L567" s="165"/>
      <c r="M567" s="163"/>
      <c r="N567" s="163"/>
      <c r="O567" s="163"/>
      <c r="P567" s="163"/>
      <c r="Q567" s="163"/>
      <c r="R567" s="163"/>
      <c r="S567" s="163"/>
      <c r="T567" s="163"/>
      <c r="U567" s="163"/>
      <c r="V567" s="163"/>
      <c r="W567" s="163"/>
      <c r="X567" s="163"/>
      <c r="Y567" s="163"/>
      <c r="Z567" s="163"/>
      <c r="AA567" s="163"/>
    </row>
    <row r="568">
      <c r="A568" s="163"/>
      <c r="B568" s="163"/>
      <c r="C568" s="163"/>
      <c r="D568" s="163"/>
      <c r="E568" s="163"/>
      <c r="F568" s="163"/>
      <c r="G568" s="163"/>
      <c r="H568" s="163"/>
      <c r="I568" s="163"/>
      <c r="J568" s="163"/>
      <c r="K568" s="163"/>
      <c r="L568" s="165"/>
      <c r="M568" s="163"/>
      <c r="N568" s="163"/>
      <c r="O568" s="163"/>
      <c r="P568" s="163"/>
      <c r="Q568" s="163"/>
      <c r="R568" s="163"/>
      <c r="S568" s="163"/>
      <c r="T568" s="163"/>
      <c r="U568" s="163"/>
      <c r="V568" s="163"/>
      <c r="W568" s="163"/>
      <c r="X568" s="163"/>
      <c r="Y568" s="163"/>
      <c r="Z568" s="163"/>
      <c r="AA568" s="163"/>
    </row>
    <row r="569">
      <c r="A569" s="163"/>
      <c r="B569" s="163"/>
      <c r="C569" s="163"/>
      <c r="D569" s="163"/>
      <c r="E569" s="163"/>
      <c r="F569" s="163"/>
      <c r="G569" s="163"/>
      <c r="H569" s="163"/>
      <c r="I569" s="163"/>
      <c r="J569" s="163"/>
      <c r="K569" s="163"/>
      <c r="L569" s="165"/>
      <c r="M569" s="163"/>
      <c r="N569" s="163"/>
      <c r="O569" s="163"/>
      <c r="P569" s="163"/>
      <c r="Q569" s="163"/>
      <c r="R569" s="163"/>
      <c r="S569" s="163"/>
      <c r="T569" s="163"/>
      <c r="U569" s="163"/>
      <c r="V569" s="163"/>
      <c r="W569" s="163"/>
      <c r="X569" s="163"/>
      <c r="Y569" s="163"/>
      <c r="Z569" s="163"/>
      <c r="AA569" s="163"/>
    </row>
    <row r="570">
      <c r="A570" s="163"/>
      <c r="B570" s="163"/>
      <c r="C570" s="163"/>
      <c r="D570" s="163"/>
      <c r="E570" s="163"/>
      <c r="F570" s="163"/>
      <c r="G570" s="163"/>
      <c r="H570" s="163"/>
      <c r="I570" s="163"/>
      <c r="J570" s="163"/>
      <c r="K570" s="163"/>
      <c r="L570" s="165"/>
      <c r="M570" s="163"/>
      <c r="N570" s="163"/>
      <c r="O570" s="163"/>
      <c r="P570" s="163"/>
      <c r="Q570" s="163"/>
      <c r="R570" s="163"/>
      <c r="S570" s="163"/>
      <c r="T570" s="163"/>
      <c r="U570" s="163"/>
      <c r="V570" s="163"/>
      <c r="W570" s="163"/>
      <c r="X570" s="163"/>
      <c r="Y570" s="163"/>
      <c r="Z570" s="163"/>
      <c r="AA570" s="163"/>
    </row>
    <row r="571">
      <c r="A571" s="163"/>
      <c r="B571" s="163"/>
      <c r="C571" s="163"/>
      <c r="D571" s="163"/>
      <c r="E571" s="163"/>
      <c r="F571" s="163"/>
      <c r="G571" s="163"/>
      <c r="H571" s="163"/>
      <c r="I571" s="163"/>
      <c r="J571" s="163"/>
      <c r="K571" s="163"/>
      <c r="L571" s="165"/>
      <c r="M571" s="163"/>
      <c r="N571" s="163"/>
      <c r="O571" s="163"/>
      <c r="P571" s="163"/>
      <c r="Q571" s="163"/>
      <c r="R571" s="163"/>
      <c r="S571" s="163"/>
      <c r="T571" s="163"/>
      <c r="U571" s="163"/>
      <c r="V571" s="163"/>
      <c r="W571" s="163"/>
      <c r="X571" s="163"/>
      <c r="Y571" s="163"/>
      <c r="Z571" s="163"/>
      <c r="AA571" s="163"/>
    </row>
    <row r="572">
      <c r="A572" s="163"/>
      <c r="B572" s="163"/>
      <c r="C572" s="163"/>
      <c r="D572" s="163"/>
      <c r="E572" s="163"/>
      <c r="F572" s="163"/>
      <c r="G572" s="163"/>
      <c r="H572" s="163"/>
      <c r="I572" s="163"/>
      <c r="J572" s="163"/>
      <c r="K572" s="163"/>
      <c r="L572" s="165"/>
      <c r="M572" s="163"/>
      <c r="N572" s="163"/>
      <c r="O572" s="163"/>
      <c r="P572" s="163"/>
      <c r="Q572" s="163"/>
      <c r="R572" s="163"/>
      <c r="S572" s="163"/>
      <c r="T572" s="163"/>
      <c r="U572" s="163"/>
      <c r="V572" s="163"/>
      <c r="W572" s="163"/>
      <c r="X572" s="163"/>
      <c r="Y572" s="163"/>
      <c r="Z572" s="163"/>
      <c r="AA572" s="163"/>
    </row>
    <row r="573">
      <c r="A573" s="163"/>
      <c r="B573" s="163"/>
      <c r="C573" s="163"/>
      <c r="D573" s="163"/>
      <c r="E573" s="163"/>
      <c r="F573" s="163"/>
      <c r="G573" s="163"/>
      <c r="H573" s="163"/>
      <c r="I573" s="163"/>
      <c r="J573" s="163"/>
      <c r="K573" s="163"/>
      <c r="L573" s="165"/>
      <c r="M573" s="163"/>
      <c r="N573" s="163"/>
      <c r="O573" s="163"/>
      <c r="P573" s="163"/>
      <c r="Q573" s="163"/>
      <c r="R573" s="163"/>
      <c r="S573" s="163"/>
      <c r="T573" s="163"/>
      <c r="U573" s="163"/>
      <c r="V573" s="163"/>
      <c r="W573" s="163"/>
      <c r="X573" s="163"/>
      <c r="Y573" s="163"/>
      <c r="Z573" s="163"/>
      <c r="AA573" s="163"/>
    </row>
    <row r="574">
      <c r="A574" s="163"/>
      <c r="B574" s="163"/>
      <c r="C574" s="163"/>
      <c r="D574" s="163"/>
      <c r="E574" s="163"/>
      <c r="F574" s="163"/>
      <c r="G574" s="163"/>
      <c r="H574" s="163"/>
      <c r="I574" s="163"/>
      <c r="J574" s="163"/>
      <c r="K574" s="163"/>
      <c r="L574" s="165"/>
      <c r="M574" s="163"/>
      <c r="N574" s="163"/>
      <c r="O574" s="163"/>
      <c r="P574" s="163"/>
      <c r="Q574" s="163"/>
      <c r="R574" s="163"/>
      <c r="S574" s="163"/>
      <c r="T574" s="163"/>
      <c r="U574" s="163"/>
      <c r="V574" s="163"/>
      <c r="W574" s="163"/>
      <c r="X574" s="163"/>
      <c r="Y574" s="163"/>
      <c r="Z574" s="163"/>
      <c r="AA574" s="163"/>
    </row>
    <row r="575">
      <c r="A575" s="163"/>
      <c r="B575" s="163"/>
      <c r="C575" s="163"/>
      <c r="D575" s="163"/>
      <c r="E575" s="163"/>
      <c r="F575" s="163"/>
      <c r="G575" s="163"/>
      <c r="H575" s="163"/>
      <c r="I575" s="163"/>
      <c r="J575" s="163"/>
      <c r="K575" s="163"/>
      <c r="L575" s="165"/>
      <c r="M575" s="163"/>
      <c r="N575" s="163"/>
      <c r="O575" s="163"/>
      <c r="P575" s="163"/>
      <c r="Q575" s="163"/>
      <c r="R575" s="163"/>
      <c r="S575" s="163"/>
      <c r="T575" s="163"/>
      <c r="U575" s="163"/>
      <c r="V575" s="163"/>
      <c r="W575" s="163"/>
      <c r="X575" s="163"/>
      <c r="Y575" s="163"/>
      <c r="Z575" s="163"/>
      <c r="AA575" s="163"/>
    </row>
    <row r="576">
      <c r="A576" s="163"/>
      <c r="B576" s="163"/>
      <c r="C576" s="163"/>
      <c r="D576" s="163"/>
      <c r="E576" s="163"/>
      <c r="F576" s="163"/>
      <c r="G576" s="163"/>
      <c r="H576" s="163"/>
      <c r="I576" s="163"/>
      <c r="J576" s="163"/>
      <c r="K576" s="163"/>
      <c r="L576" s="165"/>
      <c r="M576" s="163"/>
      <c r="N576" s="163"/>
      <c r="O576" s="163"/>
      <c r="P576" s="163"/>
      <c r="Q576" s="163"/>
      <c r="R576" s="163"/>
      <c r="S576" s="163"/>
      <c r="T576" s="163"/>
      <c r="U576" s="163"/>
      <c r="V576" s="163"/>
      <c r="W576" s="163"/>
      <c r="X576" s="163"/>
      <c r="Y576" s="163"/>
      <c r="Z576" s="163"/>
      <c r="AA576" s="163"/>
    </row>
    <row r="577">
      <c r="A577" s="163"/>
      <c r="B577" s="163"/>
      <c r="C577" s="163"/>
      <c r="D577" s="163"/>
      <c r="E577" s="163"/>
      <c r="F577" s="163"/>
      <c r="G577" s="163"/>
      <c r="H577" s="163"/>
      <c r="I577" s="163"/>
      <c r="J577" s="163"/>
      <c r="K577" s="163"/>
      <c r="L577" s="165"/>
      <c r="M577" s="163"/>
      <c r="N577" s="163"/>
      <c r="O577" s="163"/>
      <c r="P577" s="163"/>
      <c r="Q577" s="163"/>
      <c r="R577" s="163"/>
      <c r="S577" s="163"/>
      <c r="T577" s="163"/>
      <c r="U577" s="163"/>
      <c r="V577" s="163"/>
      <c r="W577" s="163"/>
      <c r="X577" s="163"/>
      <c r="Y577" s="163"/>
      <c r="Z577" s="163"/>
      <c r="AA577" s="163"/>
    </row>
    <row r="578">
      <c r="A578" s="163"/>
      <c r="B578" s="163"/>
      <c r="C578" s="163"/>
      <c r="D578" s="163"/>
      <c r="E578" s="163"/>
      <c r="F578" s="163"/>
      <c r="G578" s="163"/>
      <c r="H578" s="163"/>
      <c r="I578" s="163"/>
      <c r="J578" s="163"/>
      <c r="K578" s="163"/>
      <c r="L578" s="165"/>
      <c r="M578" s="163"/>
      <c r="N578" s="163"/>
      <c r="O578" s="163"/>
      <c r="P578" s="163"/>
      <c r="Q578" s="163"/>
      <c r="R578" s="163"/>
      <c r="S578" s="163"/>
      <c r="T578" s="163"/>
      <c r="U578" s="163"/>
      <c r="V578" s="163"/>
      <c r="W578" s="163"/>
      <c r="X578" s="163"/>
      <c r="Y578" s="163"/>
      <c r="Z578" s="163"/>
      <c r="AA578" s="163"/>
    </row>
    <row r="579">
      <c r="A579" s="163"/>
      <c r="B579" s="163"/>
      <c r="C579" s="163"/>
      <c r="D579" s="163"/>
      <c r="E579" s="163"/>
      <c r="F579" s="163"/>
      <c r="G579" s="163"/>
      <c r="H579" s="163"/>
      <c r="I579" s="163"/>
      <c r="J579" s="163"/>
      <c r="K579" s="163"/>
      <c r="L579" s="165"/>
      <c r="M579" s="163"/>
      <c r="N579" s="163"/>
      <c r="O579" s="163"/>
      <c r="P579" s="163"/>
      <c r="Q579" s="163"/>
      <c r="R579" s="163"/>
      <c r="S579" s="163"/>
      <c r="T579" s="163"/>
      <c r="U579" s="163"/>
      <c r="V579" s="163"/>
      <c r="W579" s="163"/>
      <c r="X579" s="163"/>
      <c r="Y579" s="163"/>
      <c r="Z579" s="163"/>
      <c r="AA579" s="163"/>
    </row>
    <row r="580">
      <c r="A580" s="163"/>
      <c r="B580" s="163"/>
      <c r="C580" s="163"/>
      <c r="D580" s="163"/>
      <c r="E580" s="163"/>
      <c r="F580" s="163"/>
      <c r="G580" s="163"/>
      <c r="H580" s="163"/>
      <c r="I580" s="163"/>
      <c r="J580" s="163"/>
      <c r="K580" s="163"/>
      <c r="L580" s="165"/>
      <c r="M580" s="163"/>
      <c r="N580" s="163"/>
      <c r="O580" s="163"/>
      <c r="P580" s="163"/>
      <c r="Q580" s="163"/>
      <c r="R580" s="163"/>
      <c r="S580" s="163"/>
      <c r="T580" s="163"/>
      <c r="U580" s="163"/>
      <c r="V580" s="163"/>
      <c r="W580" s="163"/>
      <c r="X580" s="163"/>
      <c r="Y580" s="163"/>
      <c r="Z580" s="163"/>
      <c r="AA580" s="163"/>
    </row>
    <row r="581">
      <c r="A581" s="163"/>
      <c r="B581" s="163"/>
      <c r="C581" s="163"/>
      <c r="D581" s="163"/>
      <c r="E581" s="163"/>
      <c r="F581" s="163"/>
      <c r="G581" s="163"/>
      <c r="H581" s="163"/>
      <c r="I581" s="163"/>
      <c r="J581" s="163"/>
      <c r="K581" s="163"/>
      <c r="L581" s="165"/>
      <c r="M581" s="163"/>
      <c r="N581" s="163"/>
      <c r="O581" s="163"/>
      <c r="P581" s="163"/>
      <c r="Q581" s="163"/>
      <c r="R581" s="163"/>
      <c r="S581" s="163"/>
      <c r="T581" s="163"/>
      <c r="U581" s="163"/>
      <c r="V581" s="163"/>
      <c r="W581" s="163"/>
      <c r="X581" s="163"/>
      <c r="Y581" s="163"/>
      <c r="Z581" s="163"/>
      <c r="AA581" s="163"/>
    </row>
    <row r="582">
      <c r="A582" s="163"/>
      <c r="B582" s="163"/>
      <c r="C582" s="163"/>
      <c r="D582" s="163"/>
      <c r="E582" s="163"/>
      <c r="F582" s="163"/>
      <c r="G582" s="163"/>
      <c r="H582" s="163"/>
      <c r="I582" s="163"/>
      <c r="J582" s="163"/>
      <c r="K582" s="163"/>
      <c r="L582" s="165"/>
      <c r="M582" s="163"/>
      <c r="N582" s="163"/>
      <c r="O582" s="163"/>
      <c r="P582" s="163"/>
      <c r="Q582" s="163"/>
      <c r="R582" s="163"/>
      <c r="S582" s="163"/>
      <c r="T582" s="163"/>
      <c r="U582" s="163"/>
      <c r="V582" s="163"/>
      <c r="W582" s="163"/>
      <c r="X582" s="163"/>
      <c r="Y582" s="163"/>
      <c r="Z582" s="163"/>
      <c r="AA582" s="163"/>
    </row>
    <row r="583">
      <c r="A583" s="163"/>
      <c r="B583" s="163"/>
      <c r="C583" s="163"/>
      <c r="D583" s="163"/>
      <c r="E583" s="163"/>
      <c r="F583" s="163"/>
      <c r="G583" s="163"/>
      <c r="H583" s="163"/>
      <c r="I583" s="163"/>
      <c r="J583" s="163"/>
      <c r="K583" s="163"/>
      <c r="L583" s="165"/>
      <c r="M583" s="163"/>
      <c r="N583" s="163"/>
      <c r="O583" s="163"/>
      <c r="P583" s="163"/>
      <c r="Q583" s="163"/>
      <c r="R583" s="163"/>
      <c r="S583" s="163"/>
      <c r="T583" s="163"/>
      <c r="U583" s="163"/>
      <c r="V583" s="163"/>
      <c r="W583" s="163"/>
      <c r="X583" s="163"/>
      <c r="Y583" s="163"/>
      <c r="Z583" s="163"/>
      <c r="AA583" s="163"/>
    </row>
    <row r="584">
      <c r="A584" s="163"/>
      <c r="B584" s="163"/>
      <c r="C584" s="163"/>
      <c r="D584" s="163"/>
      <c r="E584" s="163"/>
      <c r="F584" s="163"/>
      <c r="G584" s="163"/>
      <c r="H584" s="163"/>
      <c r="I584" s="163"/>
      <c r="J584" s="163"/>
      <c r="K584" s="163"/>
      <c r="L584" s="165"/>
      <c r="M584" s="163"/>
      <c r="N584" s="163"/>
      <c r="O584" s="163"/>
      <c r="P584" s="163"/>
      <c r="Q584" s="163"/>
      <c r="R584" s="163"/>
      <c r="S584" s="163"/>
      <c r="T584" s="163"/>
      <c r="U584" s="163"/>
      <c r="V584" s="163"/>
      <c r="W584" s="163"/>
      <c r="X584" s="163"/>
      <c r="Y584" s="163"/>
      <c r="Z584" s="163"/>
      <c r="AA584" s="163"/>
    </row>
    <row r="585">
      <c r="A585" s="163"/>
      <c r="B585" s="163"/>
      <c r="C585" s="163"/>
      <c r="D585" s="163"/>
      <c r="E585" s="163"/>
      <c r="F585" s="163"/>
      <c r="G585" s="163"/>
      <c r="H585" s="163"/>
      <c r="I585" s="163"/>
      <c r="J585" s="163"/>
      <c r="K585" s="163"/>
      <c r="L585" s="165"/>
      <c r="M585" s="163"/>
      <c r="N585" s="163"/>
      <c r="O585" s="163"/>
      <c r="P585" s="163"/>
      <c r="Q585" s="163"/>
      <c r="R585" s="163"/>
      <c r="S585" s="163"/>
      <c r="T585" s="163"/>
      <c r="U585" s="163"/>
      <c r="V585" s="163"/>
      <c r="W585" s="163"/>
      <c r="X585" s="163"/>
      <c r="Y585" s="163"/>
      <c r="Z585" s="163"/>
      <c r="AA585" s="163"/>
    </row>
    <row r="586">
      <c r="A586" s="163"/>
      <c r="B586" s="163"/>
      <c r="C586" s="163"/>
      <c r="D586" s="163"/>
      <c r="E586" s="163"/>
      <c r="F586" s="163"/>
      <c r="G586" s="163"/>
      <c r="H586" s="163"/>
      <c r="I586" s="163"/>
      <c r="J586" s="163"/>
      <c r="K586" s="163"/>
      <c r="L586" s="165"/>
      <c r="M586" s="163"/>
      <c r="N586" s="163"/>
      <c r="O586" s="163"/>
      <c r="P586" s="163"/>
      <c r="Q586" s="163"/>
      <c r="R586" s="163"/>
      <c r="S586" s="163"/>
      <c r="T586" s="163"/>
      <c r="U586" s="163"/>
      <c r="V586" s="163"/>
      <c r="W586" s="163"/>
      <c r="X586" s="163"/>
      <c r="Y586" s="163"/>
      <c r="Z586" s="163"/>
      <c r="AA586" s="163"/>
    </row>
    <row r="587">
      <c r="A587" s="163"/>
      <c r="B587" s="163"/>
      <c r="C587" s="163"/>
      <c r="D587" s="163"/>
      <c r="E587" s="163"/>
      <c r="F587" s="163"/>
      <c r="G587" s="163"/>
      <c r="H587" s="163"/>
      <c r="I587" s="163"/>
      <c r="J587" s="163"/>
      <c r="K587" s="163"/>
      <c r="L587" s="165"/>
      <c r="M587" s="163"/>
      <c r="N587" s="163"/>
      <c r="O587" s="163"/>
      <c r="P587" s="163"/>
      <c r="Q587" s="163"/>
      <c r="R587" s="163"/>
      <c r="S587" s="163"/>
      <c r="T587" s="163"/>
      <c r="U587" s="163"/>
      <c r="V587" s="163"/>
      <c r="W587" s="163"/>
      <c r="X587" s="163"/>
      <c r="Y587" s="163"/>
      <c r="Z587" s="163"/>
      <c r="AA587" s="163"/>
    </row>
    <row r="588">
      <c r="A588" s="163"/>
      <c r="B588" s="163"/>
      <c r="C588" s="163"/>
      <c r="D588" s="163"/>
      <c r="E588" s="163"/>
      <c r="F588" s="163"/>
      <c r="G588" s="163"/>
      <c r="H588" s="163"/>
      <c r="I588" s="163"/>
      <c r="J588" s="163"/>
      <c r="K588" s="163"/>
      <c r="L588" s="165"/>
      <c r="M588" s="163"/>
      <c r="N588" s="163"/>
      <c r="O588" s="163"/>
      <c r="P588" s="163"/>
      <c r="Q588" s="163"/>
      <c r="R588" s="163"/>
      <c r="S588" s="163"/>
      <c r="T588" s="163"/>
      <c r="U588" s="163"/>
      <c r="V588" s="163"/>
      <c r="W588" s="163"/>
      <c r="X588" s="163"/>
      <c r="Y588" s="163"/>
      <c r="Z588" s="163"/>
      <c r="AA588" s="163"/>
    </row>
    <row r="589">
      <c r="A589" s="163"/>
      <c r="B589" s="163"/>
      <c r="C589" s="163"/>
      <c r="D589" s="163"/>
      <c r="E589" s="163"/>
      <c r="F589" s="163"/>
      <c r="G589" s="163"/>
      <c r="H589" s="163"/>
      <c r="I589" s="163"/>
      <c r="J589" s="163"/>
      <c r="K589" s="163"/>
      <c r="L589" s="165"/>
      <c r="M589" s="163"/>
      <c r="N589" s="163"/>
      <c r="O589" s="163"/>
      <c r="P589" s="163"/>
      <c r="Q589" s="163"/>
      <c r="R589" s="163"/>
      <c r="S589" s="163"/>
      <c r="T589" s="163"/>
      <c r="U589" s="163"/>
      <c r="V589" s="163"/>
      <c r="W589" s="163"/>
      <c r="X589" s="163"/>
      <c r="Y589" s="163"/>
      <c r="Z589" s="163"/>
      <c r="AA589" s="163"/>
    </row>
    <row r="590">
      <c r="A590" s="163"/>
      <c r="B590" s="163"/>
      <c r="C590" s="163"/>
      <c r="D590" s="163"/>
      <c r="E590" s="163"/>
      <c r="F590" s="163"/>
      <c r="G590" s="163"/>
      <c r="H590" s="163"/>
      <c r="I590" s="163"/>
      <c r="J590" s="163"/>
      <c r="K590" s="163"/>
      <c r="L590" s="165"/>
      <c r="M590" s="163"/>
      <c r="N590" s="163"/>
      <c r="O590" s="163"/>
      <c r="P590" s="163"/>
      <c r="Q590" s="163"/>
      <c r="R590" s="163"/>
      <c r="S590" s="163"/>
      <c r="T590" s="163"/>
      <c r="U590" s="163"/>
      <c r="V590" s="163"/>
      <c r="W590" s="163"/>
      <c r="X590" s="163"/>
      <c r="Y590" s="163"/>
      <c r="Z590" s="163"/>
      <c r="AA590" s="163"/>
    </row>
    <row r="591">
      <c r="A591" s="163"/>
      <c r="B591" s="163"/>
      <c r="C591" s="163"/>
      <c r="D591" s="163"/>
      <c r="E591" s="163"/>
      <c r="F591" s="163"/>
      <c r="G591" s="163"/>
      <c r="H591" s="163"/>
      <c r="I591" s="163"/>
      <c r="J591" s="163"/>
      <c r="K591" s="163"/>
      <c r="L591" s="165"/>
      <c r="M591" s="163"/>
      <c r="N591" s="163"/>
      <c r="O591" s="163"/>
      <c r="P591" s="163"/>
      <c r="Q591" s="163"/>
      <c r="R591" s="163"/>
      <c r="S591" s="163"/>
      <c r="T591" s="163"/>
      <c r="U591" s="163"/>
      <c r="V591" s="163"/>
      <c r="W591" s="163"/>
      <c r="X591" s="163"/>
      <c r="Y591" s="163"/>
      <c r="Z591" s="163"/>
      <c r="AA591" s="163"/>
    </row>
    <row r="592">
      <c r="A592" s="163"/>
      <c r="B592" s="163"/>
      <c r="C592" s="163"/>
      <c r="D592" s="163"/>
      <c r="E592" s="163"/>
      <c r="F592" s="163"/>
      <c r="G592" s="163"/>
      <c r="H592" s="163"/>
      <c r="I592" s="163"/>
      <c r="J592" s="163"/>
      <c r="K592" s="163"/>
      <c r="L592" s="165"/>
      <c r="M592" s="163"/>
      <c r="N592" s="163"/>
      <c r="O592" s="163"/>
      <c r="P592" s="163"/>
      <c r="Q592" s="163"/>
      <c r="R592" s="163"/>
      <c r="S592" s="163"/>
      <c r="T592" s="163"/>
      <c r="U592" s="163"/>
      <c r="V592" s="163"/>
      <c r="W592" s="163"/>
      <c r="X592" s="163"/>
      <c r="Y592" s="163"/>
      <c r="Z592" s="163"/>
      <c r="AA592" s="163"/>
    </row>
    <row r="593">
      <c r="A593" s="163"/>
      <c r="B593" s="163"/>
      <c r="C593" s="163"/>
      <c r="D593" s="163"/>
      <c r="E593" s="163"/>
      <c r="F593" s="163"/>
      <c r="G593" s="163"/>
      <c r="H593" s="163"/>
      <c r="I593" s="163"/>
      <c r="J593" s="163"/>
      <c r="K593" s="163"/>
      <c r="L593" s="165"/>
      <c r="M593" s="163"/>
      <c r="N593" s="163"/>
      <c r="O593" s="163"/>
      <c r="P593" s="163"/>
      <c r="Q593" s="163"/>
      <c r="R593" s="163"/>
      <c r="S593" s="163"/>
      <c r="T593" s="163"/>
      <c r="U593" s="163"/>
      <c r="V593" s="163"/>
      <c r="W593" s="163"/>
      <c r="X593" s="163"/>
      <c r="Y593" s="163"/>
      <c r="Z593" s="163"/>
      <c r="AA593" s="163"/>
    </row>
    <row r="594">
      <c r="A594" s="163"/>
      <c r="B594" s="163"/>
      <c r="C594" s="163"/>
      <c r="D594" s="163"/>
      <c r="E594" s="163"/>
      <c r="F594" s="163"/>
      <c r="G594" s="163"/>
      <c r="H594" s="163"/>
      <c r="I594" s="163"/>
      <c r="J594" s="163"/>
      <c r="K594" s="163"/>
      <c r="L594" s="165"/>
      <c r="M594" s="163"/>
      <c r="N594" s="163"/>
      <c r="O594" s="163"/>
      <c r="P594" s="163"/>
      <c r="Q594" s="163"/>
      <c r="R594" s="163"/>
      <c r="S594" s="163"/>
      <c r="T594" s="163"/>
      <c r="U594" s="163"/>
      <c r="V594" s="163"/>
      <c r="W594" s="163"/>
      <c r="X594" s="163"/>
      <c r="Y594" s="163"/>
      <c r="Z594" s="163"/>
      <c r="AA594" s="163"/>
    </row>
    <row r="595">
      <c r="A595" s="163"/>
      <c r="B595" s="163"/>
      <c r="C595" s="163"/>
      <c r="D595" s="163"/>
      <c r="E595" s="163"/>
      <c r="F595" s="163"/>
      <c r="G595" s="163"/>
      <c r="H595" s="163"/>
      <c r="I595" s="163"/>
      <c r="J595" s="163"/>
      <c r="K595" s="163"/>
      <c r="L595" s="165"/>
      <c r="M595" s="163"/>
      <c r="N595" s="163"/>
      <c r="O595" s="163"/>
      <c r="P595" s="163"/>
      <c r="Q595" s="163"/>
      <c r="R595" s="163"/>
      <c r="S595" s="163"/>
      <c r="T595" s="163"/>
      <c r="U595" s="163"/>
      <c r="V595" s="163"/>
      <c r="W595" s="163"/>
      <c r="X595" s="163"/>
      <c r="Y595" s="163"/>
      <c r="Z595" s="163"/>
      <c r="AA595" s="163"/>
    </row>
    <row r="596">
      <c r="A596" s="163"/>
      <c r="B596" s="163"/>
      <c r="C596" s="163"/>
      <c r="D596" s="163"/>
      <c r="E596" s="163"/>
      <c r="F596" s="163"/>
      <c r="G596" s="163"/>
      <c r="H596" s="163"/>
      <c r="I596" s="163"/>
      <c r="J596" s="163"/>
      <c r="K596" s="163"/>
      <c r="L596" s="165"/>
      <c r="M596" s="163"/>
      <c r="N596" s="163"/>
      <c r="O596" s="163"/>
      <c r="P596" s="163"/>
      <c r="Q596" s="163"/>
      <c r="R596" s="163"/>
      <c r="S596" s="163"/>
      <c r="T596" s="163"/>
      <c r="U596" s="163"/>
      <c r="V596" s="163"/>
      <c r="W596" s="163"/>
      <c r="X596" s="163"/>
      <c r="Y596" s="163"/>
      <c r="Z596" s="163"/>
      <c r="AA596" s="163"/>
    </row>
    <row r="597">
      <c r="A597" s="163"/>
      <c r="B597" s="163"/>
      <c r="C597" s="163"/>
      <c r="D597" s="163"/>
      <c r="E597" s="163"/>
      <c r="F597" s="163"/>
      <c r="G597" s="163"/>
      <c r="H597" s="163"/>
      <c r="I597" s="163"/>
      <c r="J597" s="163"/>
      <c r="K597" s="163"/>
      <c r="L597" s="165"/>
      <c r="M597" s="163"/>
      <c r="N597" s="163"/>
      <c r="O597" s="163"/>
      <c r="P597" s="163"/>
      <c r="Q597" s="163"/>
      <c r="R597" s="163"/>
      <c r="S597" s="163"/>
      <c r="T597" s="163"/>
      <c r="U597" s="163"/>
      <c r="V597" s="163"/>
      <c r="W597" s="163"/>
      <c r="X597" s="163"/>
      <c r="Y597" s="163"/>
      <c r="Z597" s="163"/>
      <c r="AA597" s="163"/>
    </row>
    <row r="598">
      <c r="A598" s="163"/>
      <c r="B598" s="163"/>
      <c r="C598" s="163"/>
      <c r="D598" s="163"/>
      <c r="E598" s="163"/>
      <c r="F598" s="163"/>
      <c r="G598" s="163"/>
      <c r="H598" s="163"/>
      <c r="I598" s="163"/>
      <c r="J598" s="163"/>
      <c r="K598" s="163"/>
      <c r="L598" s="165"/>
      <c r="M598" s="163"/>
      <c r="N598" s="163"/>
      <c r="O598" s="163"/>
      <c r="P598" s="163"/>
      <c r="Q598" s="163"/>
      <c r="R598" s="163"/>
      <c r="S598" s="163"/>
      <c r="T598" s="163"/>
      <c r="U598" s="163"/>
      <c r="V598" s="163"/>
      <c r="W598" s="163"/>
      <c r="X598" s="163"/>
      <c r="Y598" s="163"/>
      <c r="Z598" s="163"/>
      <c r="AA598" s="163"/>
    </row>
    <row r="599">
      <c r="A599" s="163"/>
      <c r="B599" s="163"/>
      <c r="C599" s="163"/>
      <c r="D599" s="163"/>
      <c r="E599" s="163"/>
      <c r="F599" s="163"/>
      <c r="G599" s="163"/>
      <c r="H599" s="163"/>
      <c r="I599" s="163"/>
      <c r="J599" s="163"/>
      <c r="K599" s="163"/>
      <c r="L599" s="165"/>
      <c r="M599" s="163"/>
      <c r="N599" s="163"/>
      <c r="O599" s="163"/>
      <c r="P599" s="163"/>
      <c r="Q599" s="163"/>
      <c r="R599" s="163"/>
      <c r="S599" s="163"/>
      <c r="T599" s="163"/>
      <c r="U599" s="163"/>
      <c r="V599" s="163"/>
      <c r="W599" s="163"/>
      <c r="X599" s="163"/>
      <c r="Y599" s="163"/>
      <c r="Z599" s="163"/>
      <c r="AA599" s="163"/>
    </row>
    <row r="600">
      <c r="A600" s="163"/>
      <c r="B600" s="163"/>
      <c r="C600" s="163"/>
      <c r="D600" s="163"/>
      <c r="E600" s="163"/>
      <c r="F600" s="163"/>
      <c r="G600" s="163"/>
      <c r="H600" s="163"/>
      <c r="I600" s="163"/>
      <c r="J600" s="163"/>
      <c r="K600" s="163"/>
      <c r="L600" s="165"/>
      <c r="M600" s="163"/>
      <c r="N600" s="163"/>
      <c r="O600" s="163"/>
      <c r="P600" s="163"/>
      <c r="Q600" s="163"/>
      <c r="R600" s="163"/>
      <c r="S600" s="163"/>
      <c r="T600" s="163"/>
      <c r="U600" s="163"/>
      <c r="V600" s="163"/>
      <c r="W600" s="163"/>
      <c r="X600" s="163"/>
      <c r="Y600" s="163"/>
      <c r="Z600" s="163"/>
      <c r="AA600" s="163"/>
    </row>
    <row r="601">
      <c r="A601" s="163"/>
      <c r="B601" s="163"/>
      <c r="C601" s="163"/>
      <c r="D601" s="163"/>
      <c r="E601" s="163"/>
      <c r="F601" s="163"/>
      <c r="G601" s="163"/>
      <c r="H601" s="163"/>
      <c r="I601" s="163"/>
      <c r="J601" s="163"/>
      <c r="K601" s="163"/>
      <c r="L601" s="165"/>
      <c r="M601" s="163"/>
      <c r="N601" s="163"/>
      <c r="O601" s="163"/>
      <c r="P601" s="163"/>
      <c r="Q601" s="163"/>
      <c r="R601" s="163"/>
      <c r="S601" s="163"/>
      <c r="T601" s="163"/>
      <c r="U601" s="163"/>
      <c r="V601" s="163"/>
      <c r="W601" s="163"/>
      <c r="X601" s="163"/>
      <c r="Y601" s="163"/>
      <c r="Z601" s="163"/>
      <c r="AA601" s="163"/>
    </row>
    <row r="602">
      <c r="A602" s="163"/>
      <c r="B602" s="163"/>
      <c r="C602" s="163"/>
      <c r="D602" s="163"/>
      <c r="E602" s="163"/>
      <c r="F602" s="163"/>
      <c r="G602" s="163"/>
      <c r="H602" s="163"/>
      <c r="I602" s="163"/>
      <c r="J602" s="163"/>
      <c r="K602" s="163"/>
      <c r="L602" s="165"/>
      <c r="M602" s="163"/>
      <c r="N602" s="163"/>
      <c r="O602" s="163"/>
      <c r="P602" s="163"/>
      <c r="Q602" s="163"/>
      <c r="R602" s="163"/>
      <c r="S602" s="163"/>
      <c r="T602" s="163"/>
      <c r="U602" s="163"/>
      <c r="V602" s="163"/>
      <c r="W602" s="163"/>
      <c r="X602" s="163"/>
      <c r="Y602" s="163"/>
      <c r="Z602" s="163"/>
      <c r="AA602" s="163"/>
    </row>
    <row r="603">
      <c r="A603" s="163"/>
      <c r="B603" s="163"/>
      <c r="C603" s="163"/>
      <c r="D603" s="163"/>
      <c r="E603" s="163"/>
      <c r="F603" s="163"/>
      <c r="G603" s="163"/>
      <c r="H603" s="163"/>
      <c r="I603" s="163"/>
      <c r="J603" s="163"/>
      <c r="K603" s="163"/>
      <c r="L603" s="165"/>
      <c r="M603" s="163"/>
      <c r="N603" s="163"/>
      <c r="O603" s="163"/>
      <c r="P603" s="163"/>
      <c r="Q603" s="163"/>
      <c r="R603" s="163"/>
      <c r="S603" s="163"/>
      <c r="T603" s="163"/>
      <c r="U603" s="163"/>
      <c r="V603" s="163"/>
      <c r="W603" s="163"/>
      <c r="X603" s="163"/>
      <c r="Y603" s="163"/>
      <c r="Z603" s="163"/>
      <c r="AA603" s="163"/>
    </row>
    <row r="604">
      <c r="A604" s="163"/>
      <c r="B604" s="163"/>
      <c r="C604" s="163"/>
      <c r="D604" s="163"/>
      <c r="E604" s="163"/>
      <c r="F604" s="163"/>
      <c r="G604" s="163"/>
      <c r="H604" s="163"/>
      <c r="I604" s="163"/>
      <c r="J604" s="163"/>
      <c r="K604" s="163"/>
      <c r="L604" s="165"/>
      <c r="M604" s="163"/>
      <c r="N604" s="163"/>
      <c r="O604" s="163"/>
      <c r="P604" s="163"/>
      <c r="Q604" s="163"/>
      <c r="R604" s="163"/>
      <c r="S604" s="163"/>
      <c r="T604" s="163"/>
      <c r="U604" s="163"/>
      <c r="V604" s="163"/>
      <c r="W604" s="163"/>
      <c r="X604" s="163"/>
      <c r="Y604" s="163"/>
      <c r="Z604" s="163"/>
      <c r="AA604" s="163"/>
    </row>
    <row r="605">
      <c r="A605" s="163"/>
      <c r="B605" s="163"/>
      <c r="C605" s="163"/>
      <c r="D605" s="163"/>
      <c r="E605" s="163"/>
      <c r="F605" s="163"/>
      <c r="G605" s="163"/>
      <c r="H605" s="163"/>
      <c r="I605" s="163"/>
      <c r="J605" s="163"/>
      <c r="K605" s="163"/>
      <c r="L605" s="165"/>
      <c r="M605" s="163"/>
      <c r="N605" s="163"/>
      <c r="O605" s="163"/>
      <c r="P605" s="163"/>
      <c r="Q605" s="163"/>
      <c r="R605" s="163"/>
      <c r="S605" s="163"/>
      <c r="T605" s="163"/>
      <c r="U605" s="163"/>
      <c r="V605" s="163"/>
      <c r="W605" s="163"/>
      <c r="X605" s="163"/>
      <c r="Y605" s="163"/>
      <c r="Z605" s="163"/>
      <c r="AA605" s="163"/>
    </row>
    <row r="606">
      <c r="A606" s="163"/>
      <c r="B606" s="163"/>
      <c r="C606" s="163"/>
      <c r="D606" s="163"/>
      <c r="E606" s="163"/>
      <c r="F606" s="163"/>
      <c r="G606" s="163"/>
      <c r="H606" s="163"/>
      <c r="I606" s="163"/>
      <c r="J606" s="163"/>
      <c r="K606" s="163"/>
      <c r="L606" s="165"/>
      <c r="M606" s="163"/>
      <c r="N606" s="163"/>
      <c r="O606" s="163"/>
      <c r="P606" s="163"/>
      <c r="Q606" s="163"/>
      <c r="R606" s="163"/>
      <c r="S606" s="163"/>
      <c r="T606" s="163"/>
      <c r="U606" s="163"/>
      <c r="V606" s="163"/>
      <c r="W606" s="163"/>
      <c r="X606" s="163"/>
      <c r="Y606" s="163"/>
      <c r="Z606" s="163"/>
      <c r="AA606" s="163"/>
    </row>
    <row r="607">
      <c r="A607" s="163"/>
      <c r="B607" s="163"/>
      <c r="C607" s="163"/>
      <c r="D607" s="163"/>
      <c r="E607" s="163"/>
      <c r="F607" s="163"/>
      <c r="G607" s="163"/>
      <c r="H607" s="163"/>
      <c r="I607" s="163"/>
      <c r="J607" s="163"/>
      <c r="K607" s="163"/>
      <c r="L607" s="165"/>
      <c r="M607" s="163"/>
      <c r="N607" s="163"/>
      <c r="O607" s="163"/>
      <c r="P607" s="163"/>
      <c r="Q607" s="163"/>
      <c r="R607" s="163"/>
      <c r="S607" s="163"/>
      <c r="T607" s="163"/>
      <c r="U607" s="163"/>
      <c r="V607" s="163"/>
      <c r="W607" s="163"/>
      <c r="X607" s="163"/>
      <c r="Y607" s="163"/>
      <c r="Z607" s="163"/>
      <c r="AA607" s="163"/>
    </row>
    <row r="608">
      <c r="A608" s="163"/>
      <c r="B608" s="163"/>
      <c r="C608" s="163"/>
      <c r="D608" s="163"/>
      <c r="E608" s="163"/>
      <c r="F608" s="163"/>
      <c r="G608" s="163"/>
      <c r="H608" s="163"/>
      <c r="I608" s="163"/>
      <c r="J608" s="163"/>
      <c r="K608" s="163"/>
      <c r="L608" s="165"/>
      <c r="M608" s="163"/>
      <c r="N608" s="163"/>
      <c r="O608" s="163"/>
      <c r="P608" s="163"/>
      <c r="Q608" s="163"/>
      <c r="R608" s="163"/>
      <c r="S608" s="163"/>
      <c r="T608" s="163"/>
      <c r="U608" s="163"/>
      <c r="V608" s="163"/>
      <c r="W608" s="163"/>
      <c r="X608" s="163"/>
      <c r="Y608" s="163"/>
      <c r="Z608" s="163"/>
      <c r="AA608" s="163"/>
    </row>
    <row r="609">
      <c r="A609" s="163"/>
      <c r="B609" s="163"/>
      <c r="C609" s="163"/>
      <c r="D609" s="163"/>
      <c r="E609" s="163"/>
      <c r="F609" s="163"/>
      <c r="G609" s="163"/>
      <c r="H609" s="163"/>
      <c r="I609" s="163"/>
      <c r="J609" s="163"/>
      <c r="K609" s="163"/>
      <c r="L609" s="165"/>
      <c r="M609" s="163"/>
      <c r="N609" s="163"/>
      <c r="O609" s="163"/>
      <c r="P609" s="163"/>
      <c r="Q609" s="163"/>
      <c r="R609" s="163"/>
      <c r="S609" s="163"/>
      <c r="T609" s="163"/>
      <c r="U609" s="163"/>
      <c r="V609" s="163"/>
      <c r="W609" s="163"/>
      <c r="X609" s="163"/>
      <c r="Y609" s="163"/>
      <c r="Z609" s="163"/>
      <c r="AA609" s="163"/>
    </row>
    <row r="610">
      <c r="A610" s="163"/>
      <c r="B610" s="163"/>
      <c r="C610" s="163"/>
      <c r="D610" s="163"/>
      <c r="E610" s="163"/>
      <c r="F610" s="163"/>
      <c r="G610" s="163"/>
      <c r="H610" s="163"/>
      <c r="I610" s="163"/>
      <c r="J610" s="163"/>
      <c r="K610" s="163"/>
      <c r="L610" s="165"/>
      <c r="M610" s="163"/>
      <c r="N610" s="163"/>
      <c r="O610" s="163"/>
      <c r="P610" s="163"/>
      <c r="Q610" s="163"/>
      <c r="R610" s="163"/>
      <c r="S610" s="163"/>
      <c r="T610" s="163"/>
      <c r="U610" s="163"/>
      <c r="V610" s="163"/>
      <c r="W610" s="163"/>
      <c r="X610" s="163"/>
      <c r="Y610" s="163"/>
      <c r="Z610" s="163"/>
      <c r="AA610" s="163"/>
    </row>
    <row r="611">
      <c r="A611" s="163"/>
      <c r="B611" s="163"/>
      <c r="C611" s="163"/>
      <c r="D611" s="163"/>
      <c r="E611" s="163"/>
      <c r="F611" s="163"/>
      <c r="G611" s="163"/>
      <c r="H611" s="163"/>
      <c r="I611" s="163"/>
      <c r="J611" s="163"/>
      <c r="K611" s="163"/>
      <c r="L611" s="165"/>
      <c r="M611" s="163"/>
      <c r="N611" s="163"/>
      <c r="O611" s="163"/>
      <c r="P611" s="163"/>
      <c r="Q611" s="163"/>
      <c r="R611" s="163"/>
      <c r="S611" s="163"/>
      <c r="T611" s="163"/>
      <c r="U611" s="163"/>
      <c r="V611" s="163"/>
      <c r="W611" s="163"/>
      <c r="X611" s="163"/>
      <c r="Y611" s="163"/>
      <c r="Z611" s="163"/>
      <c r="AA611" s="163"/>
    </row>
    <row r="612">
      <c r="A612" s="163"/>
      <c r="B612" s="163"/>
      <c r="C612" s="163"/>
      <c r="D612" s="163"/>
      <c r="E612" s="163"/>
      <c r="F612" s="163"/>
      <c r="G612" s="163"/>
      <c r="H612" s="163"/>
      <c r="I612" s="163"/>
      <c r="J612" s="163"/>
      <c r="K612" s="163"/>
      <c r="L612" s="165"/>
      <c r="M612" s="163"/>
      <c r="N612" s="163"/>
      <c r="O612" s="163"/>
      <c r="P612" s="163"/>
      <c r="Q612" s="163"/>
      <c r="R612" s="163"/>
      <c r="S612" s="163"/>
      <c r="T612" s="163"/>
      <c r="U612" s="163"/>
      <c r="V612" s="163"/>
      <c r="W612" s="163"/>
      <c r="X612" s="163"/>
      <c r="Y612" s="163"/>
      <c r="Z612" s="163"/>
      <c r="AA612" s="163"/>
    </row>
    <row r="613">
      <c r="A613" s="163"/>
      <c r="B613" s="163"/>
      <c r="C613" s="163"/>
      <c r="D613" s="163"/>
      <c r="E613" s="163"/>
      <c r="F613" s="163"/>
      <c r="G613" s="163"/>
      <c r="H613" s="163"/>
      <c r="I613" s="163"/>
      <c r="J613" s="163"/>
      <c r="K613" s="163"/>
      <c r="L613" s="165"/>
      <c r="M613" s="163"/>
      <c r="N613" s="163"/>
      <c r="O613" s="163"/>
      <c r="P613" s="163"/>
      <c r="Q613" s="163"/>
      <c r="R613" s="163"/>
      <c r="S613" s="163"/>
      <c r="T613" s="163"/>
      <c r="U613" s="163"/>
      <c r="V613" s="163"/>
      <c r="W613" s="163"/>
      <c r="X613" s="163"/>
      <c r="Y613" s="163"/>
      <c r="Z613" s="163"/>
      <c r="AA613" s="163"/>
    </row>
    <row r="614">
      <c r="A614" s="163"/>
      <c r="B614" s="163"/>
      <c r="C614" s="163"/>
      <c r="D614" s="163"/>
      <c r="E614" s="163"/>
      <c r="F614" s="163"/>
      <c r="G614" s="163"/>
      <c r="H614" s="163"/>
      <c r="I614" s="163"/>
      <c r="J614" s="163"/>
      <c r="K614" s="163"/>
      <c r="L614" s="165"/>
      <c r="M614" s="163"/>
      <c r="N614" s="163"/>
      <c r="O614" s="163"/>
      <c r="P614" s="163"/>
      <c r="Q614" s="163"/>
      <c r="R614" s="163"/>
      <c r="S614" s="163"/>
      <c r="T614" s="163"/>
      <c r="U614" s="163"/>
      <c r="V614" s="163"/>
      <c r="W614" s="163"/>
      <c r="X614" s="163"/>
      <c r="Y614" s="163"/>
      <c r="Z614" s="163"/>
      <c r="AA614" s="163"/>
    </row>
    <row r="615">
      <c r="A615" s="163"/>
      <c r="B615" s="163"/>
      <c r="C615" s="163"/>
      <c r="D615" s="163"/>
      <c r="E615" s="163"/>
      <c r="F615" s="163"/>
      <c r="G615" s="163"/>
      <c r="H615" s="163"/>
      <c r="I615" s="163"/>
      <c r="J615" s="163"/>
      <c r="K615" s="163"/>
      <c r="L615" s="165"/>
      <c r="M615" s="163"/>
      <c r="N615" s="163"/>
      <c r="O615" s="163"/>
      <c r="P615" s="163"/>
      <c r="Q615" s="163"/>
      <c r="R615" s="163"/>
      <c r="S615" s="163"/>
      <c r="T615" s="163"/>
      <c r="U615" s="163"/>
      <c r="V615" s="163"/>
      <c r="W615" s="163"/>
      <c r="X615" s="163"/>
      <c r="Y615" s="163"/>
      <c r="Z615" s="163"/>
      <c r="AA615" s="163"/>
    </row>
    <row r="616">
      <c r="A616" s="163"/>
      <c r="B616" s="163"/>
      <c r="C616" s="163"/>
      <c r="D616" s="163"/>
      <c r="E616" s="163"/>
      <c r="F616" s="163"/>
      <c r="G616" s="163"/>
      <c r="H616" s="163"/>
      <c r="I616" s="163"/>
      <c r="J616" s="163"/>
      <c r="K616" s="163"/>
      <c r="L616" s="165"/>
      <c r="M616" s="163"/>
      <c r="N616" s="163"/>
      <c r="O616" s="163"/>
      <c r="P616" s="163"/>
      <c r="Q616" s="163"/>
      <c r="R616" s="163"/>
      <c r="S616" s="163"/>
      <c r="T616" s="163"/>
      <c r="U616" s="163"/>
      <c r="V616" s="163"/>
      <c r="W616" s="163"/>
      <c r="X616" s="163"/>
      <c r="Y616" s="163"/>
      <c r="Z616" s="163"/>
      <c r="AA616" s="163"/>
    </row>
    <row r="617">
      <c r="A617" s="163"/>
      <c r="B617" s="163"/>
      <c r="C617" s="163"/>
      <c r="D617" s="163"/>
      <c r="E617" s="163"/>
      <c r="F617" s="163"/>
      <c r="G617" s="163"/>
      <c r="H617" s="163"/>
      <c r="I617" s="163"/>
      <c r="J617" s="163"/>
      <c r="K617" s="163"/>
      <c r="L617" s="165"/>
      <c r="M617" s="163"/>
      <c r="N617" s="163"/>
      <c r="O617" s="163"/>
      <c r="P617" s="163"/>
      <c r="Q617" s="163"/>
      <c r="R617" s="163"/>
      <c r="S617" s="163"/>
      <c r="T617" s="163"/>
      <c r="U617" s="163"/>
      <c r="V617" s="163"/>
      <c r="W617" s="163"/>
      <c r="X617" s="163"/>
      <c r="Y617" s="163"/>
      <c r="Z617" s="163"/>
      <c r="AA617" s="163"/>
    </row>
    <row r="618">
      <c r="A618" s="163"/>
      <c r="B618" s="163"/>
      <c r="C618" s="163"/>
      <c r="D618" s="163"/>
      <c r="E618" s="163"/>
      <c r="F618" s="163"/>
      <c r="G618" s="163"/>
      <c r="H618" s="163"/>
      <c r="I618" s="163"/>
      <c r="J618" s="163"/>
      <c r="K618" s="163"/>
      <c r="L618" s="165"/>
      <c r="M618" s="163"/>
      <c r="N618" s="163"/>
      <c r="O618" s="163"/>
      <c r="P618" s="163"/>
      <c r="Q618" s="163"/>
      <c r="R618" s="163"/>
      <c r="S618" s="163"/>
      <c r="T618" s="163"/>
      <c r="U618" s="163"/>
      <c r="V618" s="163"/>
      <c r="W618" s="163"/>
      <c r="X618" s="163"/>
      <c r="Y618" s="163"/>
      <c r="Z618" s="163"/>
      <c r="AA618" s="163"/>
    </row>
    <row r="619">
      <c r="A619" s="163"/>
      <c r="B619" s="163"/>
      <c r="C619" s="163"/>
      <c r="D619" s="163"/>
      <c r="E619" s="163"/>
      <c r="F619" s="163"/>
      <c r="G619" s="163"/>
      <c r="H619" s="163"/>
      <c r="I619" s="163"/>
      <c r="J619" s="163"/>
      <c r="K619" s="163"/>
      <c r="L619" s="165"/>
      <c r="M619" s="163"/>
      <c r="N619" s="163"/>
      <c r="O619" s="163"/>
      <c r="P619" s="163"/>
      <c r="Q619" s="163"/>
      <c r="R619" s="163"/>
      <c r="S619" s="163"/>
      <c r="T619" s="163"/>
      <c r="U619" s="163"/>
      <c r="V619" s="163"/>
      <c r="W619" s="163"/>
      <c r="X619" s="163"/>
      <c r="Y619" s="163"/>
      <c r="Z619" s="163"/>
      <c r="AA619" s="163"/>
    </row>
    <row r="620">
      <c r="A620" s="163"/>
      <c r="B620" s="163"/>
      <c r="C620" s="163"/>
      <c r="D620" s="163"/>
      <c r="E620" s="163"/>
      <c r="F620" s="163"/>
      <c r="G620" s="163"/>
      <c r="H620" s="163"/>
      <c r="I620" s="163"/>
      <c r="J620" s="163"/>
      <c r="K620" s="163"/>
      <c r="L620" s="165"/>
      <c r="M620" s="163"/>
      <c r="N620" s="163"/>
      <c r="O620" s="163"/>
      <c r="P620" s="163"/>
      <c r="Q620" s="163"/>
      <c r="R620" s="163"/>
      <c r="S620" s="163"/>
      <c r="T620" s="163"/>
      <c r="U620" s="163"/>
      <c r="V620" s="163"/>
      <c r="W620" s="163"/>
      <c r="X620" s="163"/>
      <c r="Y620" s="163"/>
      <c r="Z620" s="163"/>
      <c r="AA620" s="163"/>
    </row>
    <row r="621">
      <c r="A621" s="163"/>
      <c r="B621" s="163"/>
      <c r="C621" s="163"/>
      <c r="D621" s="163"/>
      <c r="E621" s="163"/>
      <c r="F621" s="163"/>
      <c r="G621" s="163"/>
      <c r="H621" s="163"/>
      <c r="I621" s="163"/>
      <c r="J621" s="163"/>
      <c r="K621" s="163"/>
      <c r="L621" s="165"/>
      <c r="M621" s="163"/>
      <c r="N621" s="163"/>
      <c r="O621" s="163"/>
      <c r="P621" s="163"/>
      <c r="Q621" s="163"/>
      <c r="R621" s="163"/>
      <c r="S621" s="163"/>
      <c r="T621" s="163"/>
      <c r="U621" s="163"/>
      <c r="V621" s="163"/>
      <c r="W621" s="163"/>
      <c r="X621" s="163"/>
      <c r="Y621" s="163"/>
      <c r="Z621" s="163"/>
      <c r="AA621" s="163"/>
    </row>
    <row r="622">
      <c r="A622" s="163"/>
      <c r="B622" s="163"/>
      <c r="C622" s="163"/>
      <c r="D622" s="163"/>
      <c r="E622" s="163"/>
      <c r="F622" s="163"/>
      <c r="G622" s="163"/>
      <c r="H622" s="163"/>
      <c r="I622" s="163"/>
      <c r="J622" s="163"/>
      <c r="K622" s="163"/>
      <c r="L622" s="165"/>
      <c r="M622" s="163"/>
      <c r="N622" s="163"/>
      <c r="O622" s="163"/>
      <c r="P622" s="163"/>
      <c r="Q622" s="163"/>
      <c r="R622" s="163"/>
      <c r="S622" s="163"/>
      <c r="T622" s="163"/>
      <c r="U622" s="163"/>
      <c r="V622" s="163"/>
      <c r="W622" s="163"/>
      <c r="X622" s="163"/>
      <c r="Y622" s="163"/>
      <c r="Z622" s="163"/>
      <c r="AA622" s="163"/>
    </row>
    <row r="623">
      <c r="A623" s="163"/>
      <c r="B623" s="163"/>
      <c r="C623" s="163"/>
      <c r="D623" s="163"/>
      <c r="E623" s="163"/>
      <c r="F623" s="163"/>
      <c r="G623" s="163"/>
      <c r="H623" s="163"/>
      <c r="I623" s="163"/>
      <c r="J623" s="163"/>
      <c r="K623" s="163"/>
      <c r="L623" s="165"/>
      <c r="M623" s="163"/>
      <c r="N623" s="163"/>
      <c r="O623" s="163"/>
      <c r="P623" s="163"/>
      <c r="Q623" s="163"/>
      <c r="R623" s="163"/>
      <c r="S623" s="163"/>
      <c r="T623" s="163"/>
      <c r="U623" s="163"/>
      <c r="V623" s="163"/>
      <c r="W623" s="163"/>
      <c r="X623" s="163"/>
      <c r="Y623" s="163"/>
      <c r="Z623" s="163"/>
      <c r="AA623" s="163"/>
    </row>
    <row r="624">
      <c r="A624" s="163"/>
      <c r="B624" s="163"/>
      <c r="C624" s="163"/>
      <c r="D624" s="163"/>
      <c r="E624" s="163"/>
      <c r="F624" s="163"/>
      <c r="G624" s="163"/>
      <c r="H624" s="163"/>
      <c r="I624" s="163"/>
      <c r="J624" s="163"/>
      <c r="K624" s="163"/>
      <c r="L624" s="165"/>
      <c r="M624" s="163"/>
      <c r="N624" s="163"/>
      <c r="O624" s="163"/>
      <c r="P624" s="163"/>
      <c r="Q624" s="163"/>
      <c r="R624" s="163"/>
      <c r="S624" s="163"/>
      <c r="T624" s="163"/>
      <c r="U624" s="163"/>
      <c r="V624" s="163"/>
      <c r="W624" s="163"/>
      <c r="X624" s="163"/>
      <c r="Y624" s="163"/>
      <c r="Z624" s="163"/>
      <c r="AA624" s="163"/>
    </row>
    <row r="625">
      <c r="A625" s="163"/>
      <c r="B625" s="163"/>
      <c r="C625" s="163"/>
      <c r="D625" s="163"/>
      <c r="E625" s="163"/>
      <c r="F625" s="163"/>
      <c r="G625" s="163"/>
      <c r="H625" s="163"/>
      <c r="I625" s="163"/>
      <c r="J625" s="163"/>
      <c r="K625" s="163"/>
      <c r="L625" s="165"/>
      <c r="M625" s="163"/>
      <c r="N625" s="163"/>
      <c r="O625" s="163"/>
      <c r="P625" s="163"/>
      <c r="Q625" s="163"/>
      <c r="R625" s="163"/>
      <c r="S625" s="163"/>
      <c r="T625" s="163"/>
      <c r="U625" s="163"/>
      <c r="V625" s="163"/>
      <c r="W625" s="163"/>
      <c r="X625" s="163"/>
      <c r="Y625" s="163"/>
      <c r="Z625" s="163"/>
      <c r="AA625" s="163"/>
    </row>
    <row r="626">
      <c r="A626" s="163"/>
      <c r="B626" s="163"/>
      <c r="C626" s="163"/>
      <c r="D626" s="163"/>
      <c r="E626" s="163"/>
      <c r="F626" s="163"/>
      <c r="G626" s="163"/>
      <c r="H626" s="163"/>
      <c r="I626" s="163"/>
      <c r="J626" s="163"/>
      <c r="K626" s="163"/>
      <c r="L626" s="165"/>
      <c r="M626" s="163"/>
      <c r="N626" s="163"/>
      <c r="O626" s="163"/>
      <c r="P626" s="163"/>
      <c r="Q626" s="163"/>
      <c r="R626" s="163"/>
      <c r="S626" s="163"/>
      <c r="T626" s="163"/>
      <c r="U626" s="163"/>
      <c r="V626" s="163"/>
      <c r="W626" s="163"/>
      <c r="X626" s="163"/>
      <c r="Y626" s="163"/>
      <c r="Z626" s="163"/>
      <c r="AA626" s="163"/>
    </row>
    <row r="627">
      <c r="A627" s="163"/>
      <c r="B627" s="163"/>
      <c r="C627" s="163"/>
      <c r="D627" s="163"/>
      <c r="E627" s="163"/>
      <c r="F627" s="163"/>
      <c r="G627" s="163"/>
      <c r="H627" s="163"/>
      <c r="I627" s="163"/>
      <c r="J627" s="163"/>
      <c r="K627" s="163"/>
      <c r="L627" s="165"/>
      <c r="M627" s="163"/>
      <c r="N627" s="163"/>
      <c r="O627" s="163"/>
      <c r="P627" s="163"/>
      <c r="Q627" s="163"/>
      <c r="R627" s="163"/>
      <c r="S627" s="163"/>
      <c r="T627" s="163"/>
      <c r="U627" s="163"/>
      <c r="V627" s="163"/>
      <c r="W627" s="163"/>
      <c r="X627" s="163"/>
      <c r="Y627" s="163"/>
      <c r="Z627" s="163"/>
      <c r="AA627" s="163"/>
    </row>
    <row r="628">
      <c r="A628" s="163"/>
      <c r="B628" s="163"/>
      <c r="C628" s="163"/>
      <c r="D628" s="163"/>
      <c r="E628" s="163"/>
      <c r="F628" s="163"/>
      <c r="G628" s="163"/>
      <c r="H628" s="163"/>
      <c r="I628" s="163"/>
      <c r="J628" s="163"/>
      <c r="K628" s="163"/>
      <c r="L628" s="165"/>
      <c r="M628" s="163"/>
      <c r="N628" s="163"/>
      <c r="O628" s="163"/>
      <c r="P628" s="163"/>
      <c r="Q628" s="163"/>
      <c r="R628" s="163"/>
      <c r="S628" s="163"/>
      <c r="T628" s="163"/>
      <c r="U628" s="163"/>
      <c r="V628" s="163"/>
      <c r="W628" s="163"/>
      <c r="X628" s="163"/>
      <c r="Y628" s="163"/>
      <c r="Z628" s="163"/>
      <c r="AA628" s="163"/>
    </row>
    <row r="629">
      <c r="A629" s="163"/>
      <c r="B629" s="163"/>
      <c r="C629" s="163"/>
      <c r="D629" s="163"/>
      <c r="E629" s="163"/>
      <c r="F629" s="163"/>
      <c r="G629" s="163"/>
      <c r="H629" s="163"/>
      <c r="I629" s="163"/>
      <c r="J629" s="163"/>
      <c r="K629" s="163"/>
      <c r="L629" s="165"/>
      <c r="M629" s="163"/>
      <c r="N629" s="163"/>
      <c r="O629" s="163"/>
      <c r="P629" s="163"/>
      <c r="Q629" s="163"/>
      <c r="R629" s="163"/>
      <c r="S629" s="163"/>
      <c r="T629" s="163"/>
      <c r="U629" s="163"/>
      <c r="V629" s="163"/>
      <c r="W629" s="163"/>
      <c r="X629" s="163"/>
      <c r="Y629" s="163"/>
      <c r="Z629" s="163"/>
      <c r="AA629" s="163"/>
    </row>
    <row r="630">
      <c r="A630" s="163"/>
      <c r="B630" s="163"/>
      <c r="C630" s="163"/>
      <c r="D630" s="163"/>
      <c r="E630" s="163"/>
      <c r="F630" s="163"/>
      <c r="G630" s="163"/>
      <c r="H630" s="163"/>
      <c r="I630" s="163"/>
      <c r="J630" s="163"/>
      <c r="K630" s="163"/>
      <c r="L630" s="165"/>
      <c r="M630" s="163"/>
      <c r="N630" s="163"/>
      <c r="O630" s="163"/>
      <c r="P630" s="163"/>
      <c r="Q630" s="163"/>
      <c r="R630" s="163"/>
      <c r="S630" s="163"/>
      <c r="T630" s="163"/>
      <c r="U630" s="163"/>
      <c r="V630" s="163"/>
      <c r="W630" s="163"/>
      <c r="X630" s="163"/>
      <c r="Y630" s="163"/>
      <c r="Z630" s="163"/>
      <c r="AA630" s="163"/>
    </row>
    <row r="631">
      <c r="A631" s="163"/>
      <c r="B631" s="163"/>
      <c r="C631" s="163"/>
      <c r="D631" s="163"/>
      <c r="E631" s="163"/>
      <c r="F631" s="163"/>
      <c r="G631" s="163"/>
      <c r="H631" s="163"/>
      <c r="I631" s="163"/>
      <c r="J631" s="163"/>
      <c r="K631" s="163"/>
      <c r="L631" s="165"/>
      <c r="M631" s="163"/>
      <c r="N631" s="163"/>
      <c r="O631" s="163"/>
      <c r="P631" s="163"/>
      <c r="Q631" s="163"/>
      <c r="R631" s="163"/>
      <c r="S631" s="163"/>
      <c r="T631" s="163"/>
      <c r="U631" s="163"/>
      <c r="V631" s="163"/>
      <c r="W631" s="163"/>
      <c r="X631" s="163"/>
      <c r="Y631" s="163"/>
      <c r="Z631" s="163"/>
      <c r="AA631" s="163"/>
    </row>
    <row r="632">
      <c r="A632" s="163"/>
      <c r="B632" s="163"/>
      <c r="C632" s="163"/>
      <c r="D632" s="163"/>
      <c r="E632" s="163"/>
      <c r="F632" s="163"/>
      <c r="G632" s="163"/>
      <c r="H632" s="163"/>
      <c r="I632" s="163"/>
      <c r="J632" s="163"/>
      <c r="K632" s="163"/>
      <c r="L632" s="165"/>
      <c r="M632" s="163"/>
      <c r="N632" s="163"/>
      <c r="O632" s="163"/>
      <c r="P632" s="163"/>
      <c r="Q632" s="163"/>
      <c r="R632" s="163"/>
      <c r="S632" s="163"/>
      <c r="T632" s="163"/>
      <c r="U632" s="163"/>
      <c r="V632" s="163"/>
      <c r="W632" s="163"/>
      <c r="X632" s="163"/>
      <c r="Y632" s="163"/>
      <c r="Z632" s="163"/>
      <c r="AA632" s="163"/>
    </row>
    <row r="633">
      <c r="A633" s="163"/>
      <c r="B633" s="163"/>
      <c r="C633" s="163"/>
      <c r="D633" s="163"/>
      <c r="E633" s="163"/>
      <c r="F633" s="163"/>
      <c r="G633" s="163"/>
      <c r="H633" s="163"/>
      <c r="I633" s="163"/>
      <c r="J633" s="163"/>
      <c r="K633" s="163"/>
      <c r="L633" s="165"/>
      <c r="M633" s="163"/>
      <c r="N633" s="163"/>
      <c r="O633" s="163"/>
      <c r="P633" s="163"/>
      <c r="Q633" s="163"/>
      <c r="R633" s="163"/>
      <c r="S633" s="163"/>
      <c r="T633" s="163"/>
      <c r="U633" s="163"/>
      <c r="V633" s="163"/>
      <c r="W633" s="163"/>
      <c r="X633" s="163"/>
      <c r="Y633" s="163"/>
      <c r="Z633" s="163"/>
      <c r="AA633" s="163"/>
    </row>
    <row r="634">
      <c r="A634" s="163"/>
      <c r="B634" s="163"/>
      <c r="C634" s="163"/>
      <c r="D634" s="163"/>
      <c r="E634" s="163"/>
      <c r="F634" s="163"/>
      <c r="G634" s="163"/>
      <c r="H634" s="163"/>
      <c r="I634" s="163"/>
      <c r="J634" s="163"/>
      <c r="K634" s="163"/>
      <c r="L634" s="165"/>
      <c r="M634" s="163"/>
      <c r="N634" s="163"/>
      <c r="O634" s="163"/>
      <c r="P634" s="163"/>
      <c r="Q634" s="163"/>
      <c r="R634" s="163"/>
      <c r="S634" s="163"/>
      <c r="T634" s="163"/>
      <c r="U634" s="163"/>
      <c r="V634" s="163"/>
      <c r="W634" s="163"/>
      <c r="X634" s="163"/>
      <c r="Y634" s="163"/>
      <c r="Z634" s="163"/>
      <c r="AA634" s="163"/>
    </row>
    <row r="635">
      <c r="A635" s="163"/>
      <c r="B635" s="163"/>
      <c r="C635" s="163"/>
      <c r="D635" s="163"/>
      <c r="E635" s="163"/>
      <c r="F635" s="163"/>
      <c r="G635" s="163"/>
      <c r="H635" s="163"/>
      <c r="I635" s="163"/>
      <c r="J635" s="163"/>
      <c r="K635" s="163"/>
      <c r="L635" s="165"/>
      <c r="M635" s="163"/>
      <c r="N635" s="163"/>
      <c r="O635" s="163"/>
      <c r="P635" s="163"/>
      <c r="Q635" s="163"/>
      <c r="R635" s="163"/>
      <c r="S635" s="163"/>
      <c r="T635" s="163"/>
      <c r="U635" s="163"/>
      <c r="V635" s="163"/>
      <c r="W635" s="163"/>
      <c r="X635" s="163"/>
      <c r="Y635" s="163"/>
      <c r="Z635" s="163"/>
      <c r="AA635" s="163"/>
    </row>
    <row r="636">
      <c r="A636" s="163"/>
      <c r="B636" s="163"/>
      <c r="C636" s="163"/>
      <c r="D636" s="163"/>
      <c r="E636" s="163"/>
      <c r="F636" s="163"/>
      <c r="G636" s="163"/>
      <c r="H636" s="163"/>
      <c r="I636" s="163"/>
      <c r="J636" s="163"/>
      <c r="K636" s="163"/>
      <c r="L636" s="165"/>
      <c r="M636" s="163"/>
      <c r="N636" s="163"/>
      <c r="O636" s="163"/>
      <c r="P636" s="163"/>
      <c r="Q636" s="163"/>
      <c r="R636" s="163"/>
      <c r="S636" s="163"/>
      <c r="T636" s="163"/>
      <c r="U636" s="163"/>
      <c r="V636" s="163"/>
      <c r="W636" s="163"/>
      <c r="X636" s="163"/>
      <c r="Y636" s="163"/>
      <c r="Z636" s="163"/>
      <c r="AA636" s="163"/>
    </row>
    <row r="637">
      <c r="A637" s="163"/>
      <c r="B637" s="163"/>
      <c r="C637" s="163"/>
      <c r="D637" s="163"/>
      <c r="E637" s="163"/>
      <c r="F637" s="163"/>
      <c r="G637" s="163"/>
      <c r="H637" s="163"/>
      <c r="I637" s="163"/>
      <c r="J637" s="163"/>
      <c r="K637" s="163"/>
      <c r="L637" s="165"/>
      <c r="M637" s="163"/>
      <c r="N637" s="163"/>
      <c r="O637" s="163"/>
      <c r="P637" s="163"/>
      <c r="Q637" s="163"/>
      <c r="R637" s="163"/>
      <c r="S637" s="163"/>
      <c r="T637" s="163"/>
      <c r="U637" s="163"/>
      <c r="V637" s="163"/>
      <c r="W637" s="163"/>
      <c r="X637" s="163"/>
      <c r="Y637" s="163"/>
      <c r="Z637" s="163"/>
      <c r="AA637" s="163"/>
    </row>
    <row r="638">
      <c r="A638" s="163"/>
      <c r="B638" s="163"/>
      <c r="C638" s="163"/>
      <c r="D638" s="163"/>
      <c r="E638" s="163"/>
      <c r="F638" s="163"/>
      <c r="G638" s="163"/>
      <c r="H638" s="163"/>
      <c r="I638" s="163"/>
      <c r="J638" s="163"/>
      <c r="K638" s="163"/>
      <c r="L638" s="165"/>
      <c r="M638" s="163"/>
      <c r="N638" s="163"/>
      <c r="O638" s="163"/>
      <c r="P638" s="163"/>
      <c r="Q638" s="163"/>
      <c r="R638" s="163"/>
      <c r="S638" s="163"/>
      <c r="T638" s="163"/>
      <c r="U638" s="163"/>
      <c r="V638" s="163"/>
      <c r="W638" s="163"/>
      <c r="X638" s="163"/>
      <c r="Y638" s="163"/>
      <c r="Z638" s="163"/>
      <c r="AA638" s="163"/>
    </row>
    <row r="639">
      <c r="A639" s="163"/>
      <c r="B639" s="163"/>
      <c r="C639" s="163"/>
      <c r="D639" s="163"/>
      <c r="E639" s="163"/>
      <c r="F639" s="163"/>
      <c r="G639" s="163"/>
      <c r="H639" s="163"/>
      <c r="I639" s="163"/>
      <c r="J639" s="163"/>
      <c r="K639" s="163"/>
      <c r="L639" s="165"/>
      <c r="M639" s="163"/>
      <c r="N639" s="163"/>
      <c r="O639" s="163"/>
      <c r="P639" s="163"/>
      <c r="Q639" s="163"/>
      <c r="R639" s="163"/>
      <c r="S639" s="163"/>
      <c r="T639" s="163"/>
      <c r="U639" s="163"/>
      <c r="V639" s="163"/>
      <c r="W639" s="163"/>
      <c r="X639" s="163"/>
      <c r="Y639" s="163"/>
      <c r="Z639" s="163"/>
      <c r="AA639" s="163"/>
    </row>
    <row r="640">
      <c r="A640" s="163"/>
      <c r="B640" s="163"/>
      <c r="C640" s="163"/>
      <c r="D640" s="163"/>
      <c r="E640" s="163"/>
      <c r="F640" s="163"/>
      <c r="G640" s="163"/>
      <c r="H640" s="163"/>
      <c r="I640" s="163"/>
      <c r="J640" s="163"/>
      <c r="K640" s="163"/>
      <c r="L640" s="165"/>
      <c r="M640" s="163"/>
      <c r="N640" s="163"/>
      <c r="O640" s="163"/>
      <c r="P640" s="163"/>
      <c r="Q640" s="163"/>
      <c r="R640" s="163"/>
      <c r="S640" s="163"/>
      <c r="T640" s="163"/>
      <c r="U640" s="163"/>
      <c r="V640" s="163"/>
      <c r="W640" s="163"/>
      <c r="X640" s="163"/>
      <c r="Y640" s="163"/>
      <c r="Z640" s="163"/>
      <c r="AA640" s="163"/>
    </row>
    <row r="641">
      <c r="A641" s="163"/>
      <c r="B641" s="163"/>
      <c r="C641" s="163"/>
      <c r="D641" s="163"/>
      <c r="E641" s="163"/>
      <c r="F641" s="163"/>
      <c r="G641" s="163"/>
      <c r="H641" s="163"/>
      <c r="I641" s="163"/>
      <c r="J641" s="163"/>
      <c r="K641" s="163"/>
      <c r="L641" s="165"/>
      <c r="M641" s="163"/>
      <c r="N641" s="163"/>
      <c r="O641" s="163"/>
      <c r="P641" s="163"/>
      <c r="Q641" s="163"/>
      <c r="R641" s="163"/>
      <c r="S641" s="163"/>
      <c r="T641" s="163"/>
      <c r="U641" s="163"/>
      <c r="V641" s="163"/>
      <c r="W641" s="163"/>
      <c r="X641" s="163"/>
      <c r="Y641" s="163"/>
      <c r="Z641" s="163"/>
      <c r="AA641" s="163"/>
    </row>
    <row r="642">
      <c r="A642" s="163"/>
      <c r="B642" s="163"/>
      <c r="C642" s="163"/>
      <c r="D642" s="163"/>
      <c r="E642" s="163"/>
      <c r="F642" s="163"/>
      <c r="G642" s="163"/>
      <c r="H642" s="163"/>
      <c r="I642" s="163"/>
      <c r="J642" s="163"/>
      <c r="K642" s="163"/>
      <c r="L642" s="165"/>
      <c r="M642" s="163"/>
      <c r="N642" s="163"/>
      <c r="O642" s="163"/>
      <c r="P642" s="163"/>
      <c r="Q642" s="163"/>
      <c r="R642" s="163"/>
      <c r="S642" s="163"/>
      <c r="T642" s="163"/>
      <c r="U642" s="163"/>
      <c r="V642" s="163"/>
      <c r="W642" s="163"/>
      <c r="X642" s="163"/>
      <c r="Y642" s="163"/>
      <c r="Z642" s="163"/>
      <c r="AA642" s="163"/>
    </row>
    <row r="643">
      <c r="A643" s="163"/>
      <c r="B643" s="163"/>
      <c r="C643" s="163"/>
      <c r="D643" s="163"/>
      <c r="E643" s="163"/>
      <c r="F643" s="163"/>
      <c r="G643" s="163"/>
      <c r="H643" s="163"/>
      <c r="I643" s="163"/>
      <c r="J643" s="163"/>
      <c r="K643" s="163"/>
      <c r="L643" s="165"/>
      <c r="M643" s="163"/>
      <c r="N643" s="163"/>
      <c r="O643" s="163"/>
      <c r="P643" s="163"/>
      <c r="Q643" s="163"/>
      <c r="R643" s="163"/>
      <c r="S643" s="163"/>
      <c r="T643" s="163"/>
      <c r="U643" s="163"/>
      <c r="V643" s="163"/>
      <c r="W643" s="163"/>
      <c r="X643" s="163"/>
      <c r="Y643" s="163"/>
      <c r="Z643" s="163"/>
      <c r="AA643" s="163"/>
    </row>
    <row r="644">
      <c r="A644" s="163"/>
      <c r="B644" s="163"/>
      <c r="C644" s="163"/>
      <c r="D644" s="163"/>
      <c r="E644" s="163"/>
      <c r="F644" s="163"/>
      <c r="G644" s="163"/>
      <c r="H644" s="163"/>
      <c r="I644" s="163"/>
      <c r="J644" s="163"/>
      <c r="K644" s="163"/>
      <c r="L644" s="165"/>
      <c r="M644" s="163"/>
      <c r="N644" s="163"/>
      <c r="O644" s="163"/>
      <c r="P644" s="163"/>
      <c r="Q644" s="163"/>
      <c r="R644" s="163"/>
      <c r="S644" s="163"/>
      <c r="T644" s="163"/>
      <c r="U644" s="163"/>
      <c r="V644" s="163"/>
      <c r="W644" s="163"/>
      <c r="X644" s="163"/>
      <c r="Y644" s="163"/>
      <c r="Z644" s="163"/>
      <c r="AA644" s="163"/>
    </row>
    <row r="645">
      <c r="A645" s="163"/>
      <c r="B645" s="163"/>
      <c r="C645" s="163"/>
      <c r="D645" s="163"/>
      <c r="E645" s="163"/>
      <c r="F645" s="163"/>
      <c r="G645" s="163"/>
      <c r="H645" s="163"/>
      <c r="I645" s="163"/>
      <c r="J645" s="163"/>
      <c r="K645" s="163"/>
      <c r="L645" s="165"/>
      <c r="M645" s="163"/>
      <c r="N645" s="163"/>
      <c r="O645" s="163"/>
      <c r="P645" s="163"/>
      <c r="Q645" s="163"/>
      <c r="R645" s="163"/>
      <c r="S645" s="163"/>
      <c r="T645" s="163"/>
      <c r="U645" s="163"/>
      <c r="V645" s="163"/>
      <c r="W645" s="163"/>
      <c r="X645" s="163"/>
      <c r="Y645" s="163"/>
      <c r="Z645" s="163"/>
      <c r="AA645" s="163"/>
    </row>
    <row r="646">
      <c r="A646" s="163"/>
      <c r="B646" s="163"/>
      <c r="C646" s="163"/>
      <c r="D646" s="163"/>
      <c r="E646" s="163"/>
      <c r="F646" s="163"/>
      <c r="G646" s="163"/>
      <c r="H646" s="163"/>
      <c r="I646" s="163"/>
      <c r="J646" s="163"/>
      <c r="K646" s="163"/>
      <c r="L646" s="165"/>
      <c r="M646" s="163"/>
      <c r="N646" s="163"/>
      <c r="O646" s="163"/>
      <c r="P646" s="163"/>
      <c r="Q646" s="163"/>
      <c r="R646" s="163"/>
      <c r="S646" s="163"/>
      <c r="T646" s="163"/>
      <c r="U646" s="163"/>
      <c r="V646" s="163"/>
      <c r="W646" s="163"/>
      <c r="X646" s="163"/>
      <c r="Y646" s="163"/>
      <c r="Z646" s="163"/>
      <c r="AA646" s="163"/>
    </row>
    <row r="647">
      <c r="A647" s="163"/>
      <c r="B647" s="163"/>
      <c r="C647" s="163"/>
      <c r="D647" s="163"/>
      <c r="E647" s="163"/>
      <c r="F647" s="163"/>
      <c r="G647" s="163"/>
      <c r="H647" s="163"/>
      <c r="I647" s="163"/>
      <c r="J647" s="163"/>
      <c r="K647" s="163"/>
      <c r="L647" s="165"/>
      <c r="M647" s="163"/>
      <c r="N647" s="163"/>
      <c r="O647" s="163"/>
      <c r="P647" s="163"/>
      <c r="Q647" s="163"/>
      <c r="R647" s="163"/>
      <c r="S647" s="163"/>
      <c r="T647" s="163"/>
      <c r="U647" s="163"/>
      <c r="V647" s="163"/>
      <c r="W647" s="163"/>
      <c r="X647" s="163"/>
      <c r="Y647" s="163"/>
      <c r="Z647" s="163"/>
      <c r="AA647" s="163"/>
    </row>
    <row r="648">
      <c r="A648" s="163"/>
      <c r="B648" s="163"/>
      <c r="C648" s="163"/>
      <c r="D648" s="163"/>
      <c r="E648" s="163"/>
      <c r="F648" s="163"/>
      <c r="G648" s="163"/>
      <c r="H648" s="163"/>
      <c r="I648" s="163"/>
      <c r="J648" s="163"/>
      <c r="K648" s="163"/>
      <c r="L648" s="165"/>
      <c r="M648" s="163"/>
      <c r="N648" s="163"/>
      <c r="O648" s="163"/>
      <c r="P648" s="163"/>
      <c r="Q648" s="163"/>
      <c r="R648" s="163"/>
      <c r="S648" s="163"/>
      <c r="T648" s="163"/>
      <c r="U648" s="163"/>
      <c r="V648" s="163"/>
      <c r="W648" s="163"/>
      <c r="X648" s="163"/>
      <c r="Y648" s="163"/>
      <c r="Z648" s="163"/>
      <c r="AA648" s="163"/>
    </row>
    <row r="649">
      <c r="A649" s="163"/>
      <c r="B649" s="163"/>
      <c r="C649" s="163"/>
      <c r="D649" s="163"/>
      <c r="E649" s="163"/>
      <c r="F649" s="163"/>
      <c r="G649" s="163"/>
      <c r="H649" s="163"/>
      <c r="I649" s="163"/>
      <c r="J649" s="163"/>
      <c r="K649" s="163"/>
      <c r="L649" s="165"/>
      <c r="M649" s="163"/>
      <c r="N649" s="163"/>
      <c r="O649" s="163"/>
      <c r="P649" s="163"/>
      <c r="Q649" s="163"/>
      <c r="R649" s="163"/>
      <c r="S649" s="163"/>
      <c r="T649" s="163"/>
      <c r="U649" s="163"/>
      <c r="V649" s="163"/>
      <c r="W649" s="163"/>
      <c r="X649" s="163"/>
      <c r="Y649" s="163"/>
      <c r="Z649" s="163"/>
      <c r="AA649" s="163"/>
    </row>
    <row r="650">
      <c r="A650" s="163"/>
      <c r="B650" s="163"/>
      <c r="C650" s="163"/>
      <c r="D650" s="163"/>
      <c r="E650" s="163"/>
      <c r="F650" s="163"/>
      <c r="G650" s="163"/>
      <c r="H650" s="163"/>
      <c r="I650" s="163"/>
      <c r="J650" s="163"/>
      <c r="K650" s="163"/>
      <c r="L650" s="165"/>
      <c r="M650" s="163"/>
      <c r="N650" s="163"/>
      <c r="O650" s="163"/>
      <c r="P650" s="163"/>
      <c r="Q650" s="163"/>
      <c r="R650" s="163"/>
      <c r="S650" s="163"/>
      <c r="T650" s="163"/>
      <c r="U650" s="163"/>
      <c r="V650" s="163"/>
      <c r="W650" s="163"/>
      <c r="X650" s="163"/>
      <c r="Y650" s="163"/>
      <c r="Z650" s="163"/>
      <c r="AA650" s="163"/>
    </row>
    <row r="651">
      <c r="A651" s="163"/>
      <c r="B651" s="163"/>
      <c r="C651" s="163"/>
      <c r="D651" s="163"/>
      <c r="E651" s="163"/>
      <c r="F651" s="163"/>
      <c r="G651" s="163"/>
      <c r="H651" s="163"/>
      <c r="I651" s="163"/>
      <c r="J651" s="163"/>
      <c r="K651" s="163"/>
      <c r="L651" s="165"/>
      <c r="M651" s="163"/>
      <c r="N651" s="163"/>
      <c r="O651" s="163"/>
      <c r="P651" s="163"/>
      <c r="Q651" s="163"/>
      <c r="R651" s="163"/>
      <c r="S651" s="163"/>
      <c r="T651" s="163"/>
      <c r="U651" s="163"/>
      <c r="V651" s="163"/>
      <c r="W651" s="163"/>
      <c r="X651" s="163"/>
      <c r="Y651" s="163"/>
      <c r="Z651" s="163"/>
      <c r="AA651" s="163"/>
    </row>
    <row r="652">
      <c r="A652" s="163"/>
      <c r="B652" s="163"/>
      <c r="C652" s="163"/>
      <c r="D652" s="163"/>
      <c r="E652" s="163"/>
      <c r="F652" s="163"/>
      <c r="G652" s="163"/>
      <c r="H652" s="163"/>
      <c r="I652" s="163"/>
      <c r="J652" s="163"/>
      <c r="K652" s="163"/>
      <c r="L652" s="165"/>
      <c r="M652" s="163"/>
      <c r="N652" s="163"/>
      <c r="O652" s="163"/>
      <c r="P652" s="163"/>
      <c r="Q652" s="163"/>
      <c r="R652" s="163"/>
      <c r="S652" s="163"/>
      <c r="T652" s="163"/>
      <c r="U652" s="163"/>
      <c r="V652" s="163"/>
      <c r="W652" s="163"/>
      <c r="X652" s="163"/>
      <c r="Y652" s="163"/>
      <c r="Z652" s="163"/>
      <c r="AA652" s="163"/>
    </row>
    <row r="653">
      <c r="A653" s="163"/>
      <c r="B653" s="163"/>
      <c r="C653" s="163"/>
      <c r="D653" s="163"/>
      <c r="E653" s="163"/>
      <c r="F653" s="163"/>
      <c r="G653" s="163"/>
      <c r="H653" s="163"/>
      <c r="I653" s="163"/>
      <c r="J653" s="163"/>
      <c r="K653" s="163"/>
      <c r="L653" s="165"/>
      <c r="M653" s="163"/>
      <c r="N653" s="163"/>
      <c r="O653" s="163"/>
      <c r="P653" s="163"/>
      <c r="Q653" s="163"/>
      <c r="R653" s="163"/>
      <c r="S653" s="163"/>
      <c r="T653" s="163"/>
      <c r="U653" s="163"/>
      <c r="V653" s="163"/>
      <c r="W653" s="163"/>
      <c r="X653" s="163"/>
      <c r="Y653" s="163"/>
      <c r="Z653" s="163"/>
      <c r="AA653" s="163"/>
    </row>
    <row r="654">
      <c r="A654" s="163"/>
      <c r="B654" s="163"/>
      <c r="C654" s="163"/>
      <c r="D654" s="163"/>
      <c r="E654" s="163"/>
      <c r="F654" s="163"/>
      <c r="G654" s="163"/>
      <c r="H654" s="163"/>
      <c r="I654" s="163"/>
      <c r="J654" s="163"/>
      <c r="K654" s="163"/>
      <c r="L654" s="165"/>
      <c r="M654" s="163"/>
      <c r="N654" s="163"/>
      <c r="O654" s="163"/>
      <c r="P654" s="163"/>
      <c r="Q654" s="163"/>
      <c r="R654" s="163"/>
      <c r="S654" s="163"/>
      <c r="T654" s="163"/>
      <c r="U654" s="163"/>
      <c r="V654" s="163"/>
      <c r="W654" s="163"/>
      <c r="X654" s="163"/>
      <c r="Y654" s="163"/>
      <c r="Z654" s="163"/>
      <c r="AA654" s="163"/>
    </row>
    <row r="655">
      <c r="A655" s="163"/>
      <c r="B655" s="163"/>
      <c r="C655" s="163"/>
      <c r="D655" s="163"/>
      <c r="E655" s="163"/>
      <c r="F655" s="163"/>
      <c r="G655" s="163"/>
      <c r="H655" s="163"/>
      <c r="I655" s="163"/>
      <c r="J655" s="163"/>
      <c r="K655" s="163"/>
      <c r="L655" s="165"/>
      <c r="M655" s="163"/>
      <c r="N655" s="163"/>
      <c r="O655" s="163"/>
      <c r="P655" s="163"/>
      <c r="Q655" s="163"/>
      <c r="R655" s="163"/>
      <c r="S655" s="163"/>
      <c r="T655" s="163"/>
      <c r="U655" s="163"/>
      <c r="V655" s="163"/>
      <c r="W655" s="163"/>
      <c r="X655" s="163"/>
      <c r="Y655" s="163"/>
      <c r="Z655" s="163"/>
      <c r="AA655" s="163"/>
    </row>
    <row r="656">
      <c r="A656" s="163"/>
      <c r="B656" s="163"/>
      <c r="C656" s="163"/>
      <c r="D656" s="163"/>
      <c r="E656" s="163"/>
      <c r="F656" s="163"/>
      <c r="G656" s="163"/>
      <c r="H656" s="163"/>
      <c r="I656" s="163"/>
      <c r="J656" s="163"/>
      <c r="K656" s="163"/>
      <c r="L656" s="165"/>
      <c r="M656" s="163"/>
      <c r="N656" s="163"/>
      <c r="O656" s="163"/>
      <c r="P656" s="163"/>
      <c r="Q656" s="163"/>
      <c r="R656" s="163"/>
      <c r="S656" s="163"/>
      <c r="T656" s="163"/>
      <c r="U656" s="163"/>
      <c r="V656" s="163"/>
      <c r="W656" s="163"/>
      <c r="X656" s="163"/>
      <c r="Y656" s="163"/>
      <c r="Z656" s="163"/>
      <c r="AA656" s="163"/>
    </row>
    <row r="657">
      <c r="A657" s="163"/>
      <c r="B657" s="163"/>
      <c r="C657" s="163"/>
      <c r="D657" s="163"/>
      <c r="E657" s="163"/>
      <c r="F657" s="163"/>
      <c r="G657" s="163"/>
      <c r="H657" s="163"/>
      <c r="I657" s="163"/>
      <c r="J657" s="163"/>
      <c r="K657" s="163"/>
      <c r="L657" s="165"/>
      <c r="M657" s="163"/>
      <c r="N657" s="163"/>
      <c r="O657" s="163"/>
      <c r="P657" s="163"/>
      <c r="Q657" s="163"/>
      <c r="R657" s="163"/>
      <c r="S657" s="163"/>
      <c r="T657" s="163"/>
      <c r="U657" s="163"/>
      <c r="V657" s="163"/>
      <c r="W657" s="163"/>
      <c r="X657" s="163"/>
      <c r="Y657" s="163"/>
      <c r="Z657" s="163"/>
      <c r="AA657" s="163"/>
    </row>
    <row r="658">
      <c r="A658" s="163"/>
      <c r="B658" s="163"/>
      <c r="C658" s="163"/>
      <c r="D658" s="163"/>
      <c r="E658" s="163"/>
      <c r="F658" s="163"/>
      <c r="G658" s="163"/>
      <c r="H658" s="163"/>
      <c r="I658" s="163"/>
      <c r="J658" s="163"/>
      <c r="K658" s="163"/>
      <c r="L658" s="165"/>
      <c r="M658" s="163"/>
      <c r="N658" s="163"/>
      <c r="O658" s="163"/>
      <c r="P658" s="163"/>
      <c r="Q658" s="163"/>
      <c r="R658" s="163"/>
      <c r="S658" s="163"/>
      <c r="T658" s="163"/>
      <c r="U658" s="163"/>
      <c r="V658" s="163"/>
      <c r="W658" s="163"/>
      <c r="X658" s="163"/>
      <c r="Y658" s="163"/>
      <c r="Z658" s="163"/>
      <c r="AA658" s="163"/>
    </row>
    <row r="659">
      <c r="A659" s="163"/>
      <c r="B659" s="163"/>
      <c r="C659" s="163"/>
      <c r="D659" s="163"/>
      <c r="E659" s="163"/>
      <c r="F659" s="163"/>
      <c r="G659" s="163"/>
      <c r="H659" s="163"/>
      <c r="I659" s="163"/>
      <c r="J659" s="163"/>
      <c r="K659" s="163"/>
      <c r="L659" s="165"/>
      <c r="M659" s="163"/>
      <c r="N659" s="163"/>
      <c r="O659" s="163"/>
      <c r="P659" s="163"/>
      <c r="Q659" s="163"/>
      <c r="R659" s="163"/>
      <c r="S659" s="163"/>
      <c r="T659" s="163"/>
      <c r="U659" s="163"/>
      <c r="V659" s="163"/>
      <c r="W659" s="163"/>
      <c r="X659" s="163"/>
      <c r="Y659" s="163"/>
      <c r="Z659" s="163"/>
      <c r="AA659" s="163"/>
    </row>
    <row r="660">
      <c r="A660" s="163"/>
      <c r="B660" s="163"/>
      <c r="C660" s="163"/>
      <c r="D660" s="163"/>
      <c r="E660" s="163"/>
      <c r="F660" s="163"/>
      <c r="G660" s="163"/>
      <c r="H660" s="163"/>
      <c r="I660" s="163"/>
      <c r="J660" s="163"/>
      <c r="K660" s="163"/>
      <c r="L660" s="165"/>
      <c r="M660" s="163"/>
      <c r="N660" s="163"/>
      <c r="O660" s="163"/>
      <c r="P660" s="163"/>
      <c r="Q660" s="163"/>
      <c r="R660" s="163"/>
      <c r="S660" s="163"/>
      <c r="T660" s="163"/>
      <c r="U660" s="163"/>
      <c r="V660" s="163"/>
      <c r="W660" s="163"/>
      <c r="X660" s="163"/>
      <c r="Y660" s="163"/>
      <c r="Z660" s="163"/>
      <c r="AA660" s="163"/>
    </row>
    <row r="661">
      <c r="A661" s="163"/>
      <c r="B661" s="163"/>
      <c r="C661" s="163"/>
      <c r="D661" s="163"/>
      <c r="E661" s="163"/>
      <c r="F661" s="163"/>
      <c r="G661" s="163"/>
      <c r="H661" s="163"/>
      <c r="I661" s="163"/>
      <c r="J661" s="163"/>
      <c r="K661" s="163"/>
      <c r="L661" s="165"/>
      <c r="M661" s="163"/>
      <c r="N661" s="163"/>
      <c r="O661" s="163"/>
      <c r="P661" s="163"/>
      <c r="Q661" s="163"/>
      <c r="R661" s="163"/>
      <c r="S661" s="163"/>
      <c r="T661" s="163"/>
      <c r="U661" s="163"/>
      <c r="V661" s="163"/>
      <c r="W661" s="163"/>
      <c r="X661" s="163"/>
      <c r="Y661" s="163"/>
      <c r="Z661" s="163"/>
      <c r="AA661" s="163"/>
    </row>
    <row r="662">
      <c r="A662" s="163"/>
      <c r="B662" s="163"/>
      <c r="C662" s="163"/>
      <c r="D662" s="163"/>
      <c r="E662" s="163"/>
      <c r="F662" s="163"/>
      <c r="G662" s="163"/>
      <c r="H662" s="163"/>
      <c r="I662" s="163"/>
      <c r="J662" s="163"/>
      <c r="K662" s="163"/>
      <c r="L662" s="165"/>
      <c r="M662" s="163"/>
      <c r="N662" s="163"/>
      <c r="O662" s="163"/>
      <c r="P662" s="163"/>
      <c r="Q662" s="163"/>
      <c r="R662" s="163"/>
      <c r="S662" s="163"/>
      <c r="T662" s="163"/>
      <c r="U662" s="163"/>
      <c r="V662" s="163"/>
      <c r="W662" s="163"/>
      <c r="X662" s="163"/>
      <c r="Y662" s="163"/>
      <c r="Z662" s="163"/>
      <c r="AA662" s="163"/>
    </row>
    <row r="663">
      <c r="A663" s="163"/>
      <c r="B663" s="163"/>
      <c r="C663" s="163"/>
      <c r="D663" s="163"/>
      <c r="E663" s="163"/>
      <c r="F663" s="163"/>
      <c r="G663" s="163"/>
      <c r="H663" s="163"/>
      <c r="I663" s="163"/>
      <c r="J663" s="163"/>
      <c r="K663" s="163"/>
      <c r="L663" s="165"/>
      <c r="M663" s="163"/>
      <c r="N663" s="163"/>
      <c r="O663" s="163"/>
      <c r="P663" s="163"/>
      <c r="Q663" s="163"/>
      <c r="R663" s="163"/>
      <c r="S663" s="163"/>
      <c r="T663" s="163"/>
      <c r="U663" s="163"/>
      <c r="V663" s="163"/>
      <c r="W663" s="163"/>
      <c r="X663" s="163"/>
      <c r="Y663" s="163"/>
      <c r="Z663" s="163"/>
      <c r="AA663" s="163"/>
    </row>
    <row r="664">
      <c r="A664" s="163"/>
      <c r="B664" s="163"/>
      <c r="C664" s="163"/>
      <c r="D664" s="163"/>
      <c r="E664" s="163"/>
      <c r="F664" s="163"/>
      <c r="G664" s="163"/>
      <c r="H664" s="163"/>
      <c r="I664" s="163"/>
      <c r="J664" s="163"/>
      <c r="K664" s="163"/>
      <c r="L664" s="165"/>
      <c r="M664" s="163"/>
      <c r="N664" s="163"/>
      <c r="O664" s="163"/>
      <c r="P664" s="163"/>
      <c r="Q664" s="163"/>
      <c r="R664" s="163"/>
      <c r="S664" s="163"/>
      <c r="T664" s="163"/>
      <c r="U664" s="163"/>
      <c r="V664" s="163"/>
      <c r="W664" s="163"/>
      <c r="X664" s="163"/>
      <c r="Y664" s="163"/>
      <c r="Z664" s="163"/>
      <c r="AA664" s="163"/>
    </row>
    <row r="665">
      <c r="A665" s="163"/>
      <c r="B665" s="163"/>
      <c r="C665" s="163"/>
      <c r="D665" s="163"/>
      <c r="E665" s="163"/>
      <c r="F665" s="163"/>
      <c r="G665" s="163"/>
      <c r="H665" s="163"/>
      <c r="I665" s="163"/>
      <c r="J665" s="163"/>
      <c r="K665" s="163"/>
      <c r="L665" s="165"/>
      <c r="M665" s="163"/>
      <c r="N665" s="163"/>
      <c r="O665" s="163"/>
      <c r="P665" s="163"/>
      <c r="Q665" s="163"/>
      <c r="R665" s="163"/>
      <c r="S665" s="163"/>
      <c r="T665" s="163"/>
      <c r="U665" s="163"/>
      <c r="V665" s="163"/>
      <c r="W665" s="163"/>
      <c r="X665" s="163"/>
      <c r="Y665" s="163"/>
      <c r="Z665" s="163"/>
      <c r="AA665" s="163"/>
    </row>
    <row r="666">
      <c r="A666" s="163"/>
      <c r="B666" s="163"/>
      <c r="C666" s="163"/>
      <c r="D666" s="163"/>
      <c r="E666" s="163"/>
      <c r="F666" s="163"/>
      <c r="G666" s="163"/>
      <c r="H666" s="163"/>
      <c r="I666" s="163"/>
      <c r="J666" s="163"/>
      <c r="K666" s="163"/>
      <c r="L666" s="165"/>
      <c r="M666" s="163"/>
      <c r="N666" s="163"/>
      <c r="O666" s="163"/>
      <c r="P666" s="163"/>
      <c r="Q666" s="163"/>
      <c r="R666" s="163"/>
      <c r="S666" s="163"/>
      <c r="T666" s="163"/>
      <c r="U666" s="163"/>
      <c r="V666" s="163"/>
      <c r="W666" s="163"/>
      <c r="X666" s="163"/>
      <c r="Y666" s="163"/>
      <c r="Z666" s="163"/>
      <c r="AA666" s="163"/>
    </row>
    <row r="667">
      <c r="A667" s="163"/>
      <c r="B667" s="163"/>
      <c r="C667" s="163"/>
      <c r="D667" s="163"/>
      <c r="E667" s="163"/>
      <c r="F667" s="163"/>
      <c r="G667" s="163"/>
      <c r="H667" s="163"/>
      <c r="I667" s="163"/>
      <c r="J667" s="163"/>
      <c r="K667" s="163"/>
      <c r="L667" s="165"/>
      <c r="M667" s="163"/>
      <c r="N667" s="163"/>
      <c r="O667" s="163"/>
      <c r="P667" s="163"/>
      <c r="Q667" s="163"/>
      <c r="R667" s="163"/>
      <c r="S667" s="163"/>
      <c r="T667" s="163"/>
      <c r="U667" s="163"/>
      <c r="V667" s="163"/>
      <c r="W667" s="163"/>
      <c r="X667" s="163"/>
      <c r="Y667" s="163"/>
      <c r="Z667" s="163"/>
      <c r="AA667" s="163"/>
    </row>
    <row r="668">
      <c r="A668" s="163"/>
      <c r="B668" s="163"/>
      <c r="C668" s="163"/>
      <c r="D668" s="163"/>
      <c r="E668" s="163"/>
      <c r="F668" s="163"/>
      <c r="G668" s="163"/>
      <c r="H668" s="163"/>
      <c r="I668" s="163"/>
      <c r="J668" s="163"/>
      <c r="K668" s="163"/>
      <c r="L668" s="165"/>
      <c r="M668" s="163"/>
      <c r="N668" s="163"/>
      <c r="O668" s="163"/>
      <c r="P668" s="163"/>
      <c r="Q668" s="163"/>
      <c r="R668" s="163"/>
      <c r="S668" s="163"/>
      <c r="T668" s="163"/>
      <c r="U668" s="163"/>
      <c r="V668" s="163"/>
      <c r="W668" s="163"/>
      <c r="X668" s="163"/>
      <c r="Y668" s="163"/>
      <c r="Z668" s="163"/>
      <c r="AA668" s="163"/>
    </row>
    <row r="669">
      <c r="A669" s="163"/>
      <c r="B669" s="163"/>
      <c r="C669" s="163"/>
      <c r="D669" s="163"/>
      <c r="E669" s="163"/>
      <c r="F669" s="163"/>
      <c r="G669" s="163"/>
      <c r="H669" s="163"/>
      <c r="I669" s="163"/>
      <c r="J669" s="163"/>
      <c r="K669" s="163"/>
      <c r="L669" s="165"/>
      <c r="M669" s="163"/>
      <c r="N669" s="163"/>
      <c r="O669" s="163"/>
      <c r="P669" s="163"/>
      <c r="Q669" s="163"/>
      <c r="R669" s="163"/>
      <c r="S669" s="163"/>
      <c r="T669" s="163"/>
      <c r="U669" s="163"/>
      <c r="V669" s="163"/>
      <c r="W669" s="163"/>
      <c r="X669" s="163"/>
      <c r="Y669" s="163"/>
      <c r="Z669" s="163"/>
      <c r="AA669" s="163"/>
    </row>
    <row r="670">
      <c r="A670" s="163"/>
      <c r="B670" s="163"/>
      <c r="C670" s="163"/>
      <c r="D670" s="163"/>
      <c r="E670" s="163"/>
      <c r="F670" s="163"/>
      <c r="G670" s="163"/>
      <c r="H670" s="163"/>
      <c r="I670" s="163"/>
      <c r="J670" s="163"/>
      <c r="K670" s="163"/>
      <c r="L670" s="165"/>
      <c r="M670" s="163"/>
      <c r="N670" s="163"/>
      <c r="O670" s="163"/>
      <c r="P670" s="163"/>
      <c r="Q670" s="163"/>
      <c r="R670" s="163"/>
      <c r="S670" s="163"/>
      <c r="T670" s="163"/>
      <c r="U670" s="163"/>
      <c r="V670" s="163"/>
      <c r="W670" s="163"/>
      <c r="X670" s="163"/>
      <c r="Y670" s="163"/>
      <c r="Z670" s="163"/>
      <c r="AA670" s="163"/>
    </row>
    <row r="671">
      <c r="A671" s="163"/>
      <c r="B671" s="163"/>
      <c r="C671" s="163"/>
      <c r="D671" s="163"/>
      <c r="E671" s="163"/>
      <c r="F671" s="163"/>
      <c r="G671" s="163"/>
      <c r="H671" s="163"/>
      <c r="I671" s="163"/>
      <c r="J671" s="163"/>
      <c r="K671" s="163"/>
      <c r="L671" s="165"/>
      <c r="M671" s="163"/>
      <c r="N671" s="163"/>
      <c r="O671" s="163"/>
      <c r="P671" s="163"/>
      <c r="Q671" s="163"/>
      <c r="R671" s="163"/>
      <c r="S671" s="163"/>
      <c r="T671" s="163"/>
      <c r="U671" s="163"/>
      <c r="V671" s="163"/>
      <c r="W671" s="163"/>
      <c r="X671" s="163"/>
      <c r="Y671" s="163"/>
      <c r="Z671" s="163"/>
      <c r="AA671" s="163"/>
    </row>
    <row r="672">
      <c r="A672" s="163"/>
      <c r="B672" s="163"/>
      <c r="C672" s="163"/>
      <c r="D672" s="163"/>
      <c r="E672" s="163"/>
      <c r="F672" s="163"/>
      <c r="G672" s="163"/>
      <c r="H672" s="163"/>
      <c r="I672" s="163"/>
      <c r="J672" s="163"/>
      <c r="K672" s="163"/>
      <c r="L672" s="165"/>
      <c r="M672" s="163"/>
      <c r="N672" s="163"/>
      <c r="O672" s="163"/>
      <c r="P672" s="163"/>
      <c r="Q672" s="163"/>
      <c r="R672" s="163"/>
      <c r="S672" s="163"/>
      <c r="T672" s="163"/>
      <c r="U672" s="163"/>
      <c r="V672" s="163"/>
      <c r="W672" s="163"/>
      <c r="X672" s="163"/>
      <c r="Y672" s="163"/>
      <c r="Z672" s="163"/>
      <c r="AA672" s="163"/>
    </row>
    <row r="673">
      <c r="A673" s="163"/>
      <c r="B673" s="163"/>
      <c r="C673" s="163"/>
      <c r="D673" s="163"/>
      <c r="E673" s="163"/>
      <c r="F673" s="163"/>
      <c r="G673" s="163"/>
      <c r="H673" s="163"/>
      <c r="I673" s="163"/>
      <c r="J673" s="163"/>
      <c r="K673" s="163"/>
      <c r="L673" s="165"/>
      <c r="M673" s="163"/>
      <c r="N673" s="163"/>
      <c r="O673" s="163"/>
      <c r="P673" s="163"/>
      <c r="Q673" s="163"/>
      <c r="R673" s="163"/>
      <c r="S673" s="163"/>
      <c r="T673" s="163"/>
      <c r="U673" s="163"/>
      <c r="V673" s="163"/>
      <c r="W673" s="163"/>
      <c r="X673" s="163"/>
      <c r="Y673" s="163"/>
      <c r="Z673" s="163"/>
      <c r="AA673" s="163"/>
    </row>
    <row r="674">
      <c r="A674" s="163"/>
      <c r="B674" s="163"/>
      <c r="C674" s="163"/>
      <c r="D674" s="163"/>
      <c r="E674" s="163"/>
      <c r="F674" s="163"/>
      <c r="G674" s="163"/>
      <c r="H674" s="163"/>
      <c r="I674" s="163"/>
      <c r="J674" s="163"/>
      <c r="K674" s="163"/>
      <c r="L674" s="165"/>
      <c r="M674" s="163"/>
      <c r="N674" s="163"/>
      <c r="O674" s="163"/>
      <c r="P674" s="163"/>
      <c r="Q674" s="163"/>
      <c r="R674" s="163"/>
      <c r="S674" s="163"/>
      <c r="T674" s="163"/>
      <c r="U674" s="163"/>
      <c r="V674" s="163"/>
      <c r="W674" s="163"/>
      <c r="X674" s="163"/>
      <c r="Y674" s="163"/>
      <c r="Z674" s="163"/>
      <c r="AA674" s="163"/>
    </row>
    <row r="675">
      <c r="A675" s="163"/>
      <c r="B675" s="163"/>
      <c r="C675" s="163"/>
      <c r="D675" s="163"/>
      <c r="E675" s="163"/>
      <c r="F675" s="163"/>
      <c r="G675" s="163"/>
      <c r="H675" s="163"/>
      <c r="I675" s="163"/>
      <c r="J675" s="163"/>
      <c r="K675" s="163"/>
      <c r="L675" s="165"/>
      <c r="M675" s="163"/>
      <c r="N675" s="163"/>
      <c r="O675" s="163"/>
      <c r="P675" s="163"/>
      <c r="Q675" s="163"/>
      <c r="R675" s="163"/>
      <c r="S675" s="163"/>
      <c r="T675" s="163"/>
      <c r="U675" s="163"/>
      <c r="V675" s="163"/>
      <c r="W675" s="163"/>
      <c r="X675" s="163"/>
      <c r="Y675" s="163"/>
      <c r="Z675" s="163"/>
      <c r="AA675" s="163"/>
    </row>
    <row r="676">
      <c r="A676" s="163"/>
      <c r="B676" s="163"/>
      <c r="C676" s="163"/>
      <c r="D676" s="163"/>
      <c r="E676" s="163"/>
      <c r="F676" s="163"/>
      <c r="G676" s="163"/>
      <c r="H676" s="163"/>
      <c r="I676" s="163"/>
      <c r="J676" s="163"/>
      <c r="K676" s="163"/>
      <c r="L676" s="165"/>
      <c r="M676" s="163"/>
      <c r="N676" s="163"/>
      <c r="O676" s="163"/>
      <c r="P676" s="163"/>
      <c r="Q676" s="163"/>
      <c r="R676" s="163"/>
      <c r="S676" s="163"/>
      <c r="T676" s="163"/>
      <c r="U676" s="163"/>
      <c r="V676" s="163"/>
      <c r="W676" s="163"/>
      <c r="X676" s="163"/>
      <c r="Y676" s="163"/>
      <c r="Z676" s="163"/>
      <c r="AA676" s="163"/>
    </row>
    <row r="677">
      <c r="A677" s="163"/>
      <c r="B677" s="163"/>
      <c r="C677" s="163"/>
      <c r="D677" s="163"/>
      <c r="E677" s="163"/>
      <c r="F677" s="163"/>
      <c r="G677" s="163"/>
      <c r="H677" s="163"/>
      <c r="I677" s="163"/>
      <c r="J677" s="163"/>
      <c r="K677" s="163"/>
      <c r="L677" s="165"/>
      <c r="M677" s="163"/>
      <c r="N677" s="163"/>
      <c r="O677" s="163"/>
      <c r="P677" s="163"/>
      <c r="Q677" s="163"/>
      <c r="R677" s="163"/>
      <c r="S677" s="163"/>
      <c r="T677" s="163"/>
      <c r="U677" s="163"/>
      <c r="V677" s="163"/>
      <c r="W677" s="163"/>
      <c r="X677" s="163"/>
      <c r="Y677" s="163"/>
      <c r="Z677" s="163"/>
      <c r="AA677" s="163"/>
    </row>
    <row r="678">
      <c r="A678" s="163"/>
      <c r="B678" s="163"/>
      <c r="C678" s="163"/>
      <c r="D678" s="163"/>
      <c r="E678" s="163"/>
      <c r="F678" s="163"/>
      <c r="G678" s="163"/>
      <c r="H678" s="163"/>
      <c r="I678" s="163"/>
      <c r="J678" s="163"/>
      <c r="K678" s="163"/>
      <c r="L678" s="165"/>
      <c r="M678" s="163"/>
      <c r="N678" s="163"/>
      <c r="O678" s="163"/>
      <c r="P678" s="163"/>
      <c r="Q678" s="163"/>
      <c r="R678" s="163"/>
      <c r="S678" s="163"/>
      <c r="T678" s="163"/>
      <c r="U678" s="163"/>
      <c r="V678" s="163"/>
      <c r="W678" s="163"/>
      <c r="X678" s="163"/>
      <c r="Y678" s="163"/>
      <c r="Z678" s="163"/>
      <c r="AA678" s="163"/>
    </row>
    <row r="679">
      <c r="A679" s="163"/>
      <c r="B679" s="163"/>
      <c r="C679" s="163"/>
      <c r="D679" s="163"/>
      <c r="E679" s="163"/>
      <c r="F679" s="163"/>
      <c r="G679" s="163"/>
      <c r="H679" s="163"/>
      <c r="I679" s="163"/>
      <c r="J679" s="163"/>
      <c r="K679" s="163"/>
      <c r="L679" s="165"/>
      <c r="M679" s="163"/>
      <c r="N679" s="163"/>
      <c r="O679" s="163"/>
      <c r="P679" s="163"/>
      <c r="Q679" s="163"/>
      <c r="R679" s="163"/>
      <c r="S679" s="163"/>
      <c r="T679" s="163"/>
      <c r="U679" s="163"/>
      <c r="V679" s="163"/>
      <c r="W679" s="163"/>
      <c r="X679" s="163"/>
      <c r="Y679" s="163"/>
      <c r="Z679" s="163"/>
      <c r="AA679" s="163"/>
    </row>
    <row r="680">
      <c r="A680" s="163"/>
      <c r="B680" s="163"/>
      <c r="C680" s="163"/>
      <c r="D680" s="163"/>
      <c r="E680" s="163"/>
      <c r="F680" s="163"/>
      <c r="G680" s="163"/>
      <c r="H680" s="163"/>
      <c r="I680" s="163"/>
      <c r="J680" s="163"/>
      <c r="K680" s="163"/>
      <c r="L680" s="165"/>
      <c r="M680" s="163"/>
      <c r="N680" s="163"/>
      <c r="O680" s="163"/>
      <c r="P680" s="163"/>
      <c r="Q680" s="163"/>
      <c r="R680" s="163"/>
      <c r="S680" s="163"/>
      <c r="T680" s="163"/>
      <c r="U680" s="163"/>
      <c r="V680" s="163"/>
      <c r="W680" s="163"/>
      <c r="X680" s="163"/>
      <c r="Y680" s="163"/>
      <c r="Z680" s="163"/>
      <c r="AA680" s="163"/>
    </row>
    <row r="681">
      <c r="A681" s="163"/>
      <c r="B681" s="163"/>
      <c r="C681" s="163"/>
      <c r="D681" s="163"/>
      <c r="E681" s="163"/>
      <c r="F681" s="163"/>
      <c r="G681" s="163"/>
      <c r="H681" s="163"/>
      <c r="I681" s="163"/>
      <c r="J681" s="163"/>
      <c r="K681" s="163"/>
      <c r="L681" s="165"/>
      <c r="M681" s="163"/>
      <c r="N681" s="163"/>
      <c r="O681" s="163"/>
      <c r="P681" s="163"/>
      <c r="Q681" s="163"/>
      <c r="R681" s="163"/>
      <c r="S681" s="163"/>
      <c r="T681" s="163"/>
      <c r="U681" s="163"/>
      <c r="V681" s="163"/>
      <c r="W681" s="163"/>
      <c r="X681" s="163"/>
      <c r="Y681" s="163"/>
      <c r="Z681" s="163"/>
      <c r="AA681" s="163"/>
    </row>
    <row r="682">
      <c r="A682" s="163"/>
      <c r="B682" s="163"/>
      <c r="C682" s="163"/>
      <c r="D682" s="163"/>
      <c r="E682" s="163"/>
      <c r="F682" s="163"/>
      <c r="G682" s="163"/>
      <c r="H682" s="163"/>
      <c r="I682" s="163"/>
      <c r="J682" s="163"/>
      <c r="K682" s="163"/>
      <c r="L682" s="165"/>
      <c r="M682" s="163"/>
      <c r="N682" s="163"/>
      <c r="O682" s="163"/>
      <c r="P682" s="163"/>
      <c r="Q682" s="163"/>
      <c r="R682" s="163"/>
      <c r="S682" s="163"/>
      <c r="T682" s="163"/>
      <c r="U682" s="163"/>
      <c r="V682" s="163"/>
      <c r="W682" s="163"/>
      <c r="X682" s="163"/>
      <c r="Y682" s="163"/>
      <c r="Z682" s="163"/>
      <c r="AA682" s="163"/>
    </row>
    <row r="683">
      <c r="A683" s="163"/>
      <c r="B683" s="163"/>
      <c r="C683" s="163"/>
      <c r="D683" s="163"/>
      <c r="E683" s="163"/>
      <c r="F683" s="163"/>
      <c r="G683" s="163"/>
      <c r="H683" s="163"/>
      <c r="I683" s="163"/>
      <c r="J683" s="163"/>
      <c r="K683" s="163"/>
      <c r="L683" s="165"/>
      <c r="M683" s="163"/>
      <c r="N683" s="163"/>
      <c r="O683" s="163"/>
      <c r="P683" s="163"/>
      <c r="Q683" s="163"/>
      <c r="R683" s="163"/>
      <c r="S683" s="163"/>
      <c r="T683" s="163"/>
      <c r="U683" s="163"/>
      <c r="V683" s="163"/>
      <c r="W683" s="163"/>
      <c r="X683" s="163"/>
      <c r="Y683" s="163"/>
      <c r="Z683" s="163"/>
      <c r="AA683" s="163"/>
    </row>
    <row r="684">
      <c r="A684" s="163"/>
      <c r="B684" s="163"/>
      <c r="C684" s="163"/>
      <c r="D684" s="163"/>
      <c r="E684" s="163"/>
      <c r="F684" s="163"/>
      <c r="G684" s="163"/>
      <c r="H684" s="163"/>
      <c r="I684" s="163"/>
      <c r="J684" s="163"/>
      <c r="K684" s="163"/>
      <c r="L684" s="165"/>
      <c r="M684" s="163"/>
      <c r="N684" s="163"/>
      <c r="O684" s="163"/>
      <c r="P684" s="163"/>
      <c r="Q684" s="163"/>
      <c r="R684" s="163"/>
      <c r="S684" s="163"/>
      <c r="T684" s="163"/>
      <c r="U684" s="163"/>
      <c r="V684" s="163"/>
      <c r="W684" s="163"/>
      <c r="X684" s="163"/>
      <c r="Y684" s="163"/>
      <c r="Z684" s="163"/>
      <c r="AA684" s="163"/>
    </row>
    <row r="685">
      <c r="A685" s="163"/>
      <c r="B685" s="163"/>
      <c r="C685" s="163"/>
      <c r="D685" s="163"/>
      <c r="E685" s="163"/>
      <c r="F685" s="163"/>
      <c r="G685" s="163"/>
      <c r="H685" s="163"/>
      <c r="I685" s="163"/>
      <c r="J685" s="163"/>
      <c r="K685" s="163"/>
      <c r="L685" s="165"/>
      <c r="M685" s="163"/>
      <c r="N685" s="163"/>
      <c r="O685" s="163"/>
      <c r="P685" s="163"/>
      <c r="Q685" s="163"/>
      <c r="R685" s="163"/>
      <c r="S685" s="163"/>
      <c r="T685" s="163"/>
      <c r="U685" s="163"/>
      <c r="V685" s="163"/>
      <c r="W685" s="163"/>
      <c r="X685" s="163"/>
      <c r="Y685" s="163"/>
      <c r="Z685" s="163"/>
      <c r="AA685" s="163"/>
    </row>
    <row r="686">
      <c r="A686" s="163"/>
      <c r="B686" s="163"/>
      <c r="C686" s="163"/>
      <c r="D686" s="163"/>
      <c r="E686" s="163"/>
      <c r="F686" s="163"/>
      <c r="G686" s="163"/>
      <c r="H686" s="163"/>
      <c r="I686" s="163"/>
      <c r="J686" s="163"/>
      <c r="K686" s="163"/>
      <c r="L686" s="165"/>
      <c r="M686" s="163"/>
      <c r="N686" s="163"/>
      <c r="O686" s="163"/>
      <c r="P686" s="163"/>
      <c r="Q686" s="163"/>
      <c r="R686" s="163"/>
      <c r="S686" s="163"/>
      <c r="T686" s="163"/>
      <c r="U686" s="163"/>
      <c r="V686" s="163"/>
      <c r="W686" s="163"/>
      <c r="X686" s="163"/>
      <c r="Y686" s="163"/>
      <c r="Z686" s="163"/>
      <c r="AA686" s="163"/>
    </row>
    <row r="687">
      <c r="A687" s="163"/>
      <c r="B687" s="163"/>
      <c r="C687" s="163"/>
      <c r="D687" s="163"/>
      <c r="E687" s="163"/>
      <c r="F687" s="163"/>
      <c r="G687" s="163"/>
      <c r="H687" s="163"/>
      <c r="I687" s="163"/>
      <c r="J687" s="163"/>
      <c r="K687" s="163"/>
      <c r="L687" s="165"/>
      <c r="M687" s="163"/>
      <c r="N687" s="163"/>
      <c r="O687" s="163"/>
      <c r="P687" s="163"/>
      <c r="Q687" s="163"/>
      <c r="R687" s="163"/>
      <c r="S687" s="163"/>
      <c r="T687" s="163"/>
      <c r="U687" s="163"/>
      <c r="V687" s="163"/>
      <c r="W687" s="163"/>
      <c r="X687" s="163"/>
      <c r="Y687" s="163"/>
      <c r="Z687" s="163"/>
      <c r="AA687" s="163"/>
    </row>
    <row r="688">
      <c r="A688" s="163"/>
      <c r="B688" s="163"/>
      <c r="C688" s="163"/>
      <c r="D688" s="163"/>
      <c r="E688" s="163"/>
      <c r="F688" s="163"/>
      <c r="G688" s="163"/>
      <c r="H688" s="163"/>
      <c r="I688" s="163"/>
      <c r="J688" s="163"/>
      <c r="K688" s="163"/>
      <c r="L688" s="165"/>
      <c r="M688" s="163"/>
      <c r="N688" s="163"/>
      <c r="O688" s="163"/>
      <c r="P688" s="163"/>
      <c r="Q688" s="163"/>
      <c r="R688" s="163"/>
      <c r="S688" s="163"/>
      <c r="T688" s="163"/>
      <c r="U688" s="163"/>
      <c r="V688" s="163"/>
      <c r="W688" s="163"/>
      <c r="X688" s="163"/>
      <c r="Y688" s="163"/>
      <c r="Z688" s="163"/>
      <c r="AA688" s="163"/>
    </row>
    <row r="689">
      <c r="A689" s="163"/>
      <c r="B689" s="163"/>
      <c r="C689" s="163"/>
      <c r="D689" s="163"/>
      <c r="E689" s="163"/>
      <c r="F689" s="163"/>
      <c r="G689" s="163"/>
      <c r="H689" s="163"/>
      <c r="I689" s="163"/>
      <c r="J689" s="163"/>
      <c r="K689" s="163"/>
      <c r="L689" s="165"/>
      <c r="M689" s="163"/>
      <c r="N689" s="163"/>
      <c r="O689" s="163"/>
      <c r="P689" s="163"/>
      <c r="Q689" s="163"/>
      <c r="R689" s="163"/>
      <c r="S689" s="163"/>
      <c r="T689" s="163"/>
      <c r="U689" s="163"/>
      <c r="V689" s="163"/>
      <c r="W689" s="163"/>
      <c r="X689" s="163"/>
      <c r="Y689" s="163"/>
      <c r="Z689" s="163"/>
      <c r="AA689" s="163"/>
    </row>
    <row r="690">
      <c r="A690" s="163"/>
      <c r="B690" s="163"/>
      <c r="C690" s="163"/>
      <c r="D690" s="163"/>
      <c r="E690" s="163"/>
      <c r="F690" s="163"/>
      <c r="G690" s="163"/>
      <c r="H690" s="163"/>
      <c r="I690" s="163"/>
      <c r="J690" s="163"/>
      <c r="K690" s="163"/>
      <c r="L690" s="165"/>
      <c r="M690" s="163"/>
      <c r="N690" s="163"/>
      <c r="O690" s="163"/>
      <c r="P690" s="163"/>
      <c r="Q690" s="163"/>
      <c r="R690" s="163"/>
      <c r="S690" s="163"/>
      <c r="T690" s="163"/>
      <c r="U690" s="163"/>
      <c r="V690" s="163"/>
      <c r="W690" s="163"/>
      <c r="X690" s="163"/>
      <c r="Y690" s="163"/>
      <c r="Z690" s="163"/>
      <c r="AA690" s="163"/>
    </row>
    <row r="691">
      <c r="A691" s="163"/>
      <c r="B691" s="163"/>
      <c r="C691" s="163"/>
      <c r="D691" s="163"/>
      <c r="E691" s="163"/>
      <c r="F691" s="163"/>
      <c r="G691" s="163"/>
      <c r="H691" s="163"/>
      <c r="I691" s="163"/>
      <c r="J691" s="163"/>
      <c r="K691" s="163"/>
      <c r="L691" s="165"/>
      <c r="M691" s="163"/>
      <c r="N691" s="163"/>
      <c r="O691" s="163"/>
      <c r="P691" s="163"/>
      <c r="Q691" s="163"/>
      <c r="R691" s="163"/>
      <c r="S691" s="163"/>
      <c r="T691" s="163"/>
      <c r="U691" s="163"/>
      <c r="V691" s="163"/>
      <c r="W691" s="163"/>
      <c r="X691" s="163"/>
      <c r="Y691" s="163"/>
      <c r="Z691" s="163"/>
      <c r="AA691" s="163"/>
    </row>
    <row r="692">
      <c r="A692" s="163"/>
      <c r="B692" s="163"/>
      <c r="C692" s="163"/>
      <c r="D692" s="163"/>
      <c r="E692" s="163"/>
      <c r="F692" s="163"/>
      <c r="G692" s="163"/>
      <c r="H692" s="163"/>
      <c r="I692" s="163"/>
      <c r="J692" s="163"/>
      <c r="K692" s="163"/>
      <c r="L692" s="165"/>
      <c r="M692" s="163"/>
      <c r="N692" s="163"/>
      <c r="O692" s="163"/>
      <c r="P692" s="163"/>
      <c r="Q692" s="163"/>
      <c r="R692" s="163"/>
      <c r="S692" s="163"/>
      <c r="T692" s="163"/>
      <c r="U692" s="163"/>
      <c r="V692" s="163"/>
      <c r="W692" s="163"/>
      <c r="X692" s="163"/>
      <c r="Y692" s="163"/>
      <c r="Z692" s="163"/>
      <c r="AA692" s="163"/>
    </row>
    <row r="693">
      <c r="A693" s="163"/>
      <c r="B693" s="163"/>
      <c r="C693" s="163"/>
      <c r="D693" s="163"/>
      <c r="E693" s="163"/>
      <c r="F693" s="163"/>
      <c r="G693" s="163"/>
      <c r="H693" s="163"/>
      <c r="I693" s="163"/>
      <c r="J693" s="163"/>
      <c r="K693" s="163"/>
      <c r="L693" s="165"/>
      <c r="M693" s="163"/>
      <c r="N693" s="163"/>
      <c r="O693" s="163"/>
      <c r="P693" s="163"/>
      <c r="Q693" s="163"/>
      <c r="R693" s="163"/>
      <c r="S693" s="163"/>
      <c r="T693" s="163"/>
      <c r="U693" s="163"/>
      <c r="V693" s="163"/>
      <c r="W693" s="163"/>
      <c r="X693" s="163"/>
      <c r="Y693" s="163"/>
      <c r="Z693" s="163"/>
      <c r="AA693" s="163"/>
    </row>
    <row r="694">
      <c r="A694" s="163"/>
      <c r="B694" s="163"/>
      <c r="C694" s="163"/>
      <c r="D694" s="163"/>
      <c r="E694" s="163"/>
      <c r="F694" s="163"/>
      <c r="G694" s="163"/>
      <c r="H694" s="163"/>
      <c r="I694" s="163"/>
      <c r="J694" s="163"/>
      <c r="K694" s="163"/>
      <c r="L694" s="165"/>
      <c r="M694" s="163"/>
      <c r="N694" s="163"/>
      <c r="O694" s="163"/>
      <c r="P694" s="163"/>
      <c r="Q694" s="163"/>
      <c r="R694" s="163"/>
      <c r="S694" s="163"/>
      <c r="T694" s="163"/>
      <c r="U694" s="163"/>
      <c r="V694" s="163"/>
      <c r="W694" s="163"/>
      <c r="X694" s="163"/>
      <c r="Y694" s="163"/>
      <c r="Z694" s="163"/>
      <c r="AA694" s="163"/>
    </row>
    <row r="695">
      <c r="A695" s="163"/>
      <c r="B695" s="163"/>
      <c r="C695" s="163"/>
      <c r="D695" s="163"/>
      <c r="E695" s="163"/>
      <c r="F695" s="163"/>
      <c r="G695" s="163"/>
      <c r="H695" s="163"/>
      <c r="I695" s="163"/>
      <c r="J695" s="163"/>
      <c r="K695" s="163"/>
      <c r="L695" s="165"/>
      <c r="M695" s="163"/>
      <c r="N695" s="163"/>
      <c r="O695" s="163"/>
      <c r="P695" s="163"/>
      <c r="Q695" s="163"/>
      <c r="R695" s="163"/>
      <c r="S695" s="163"/>
      <c r="T695" s="163"/>
      <c r="U695" s="163"/>
      <c r="V695" s="163"/>
      <c r="W695" s="163"/>
      <c r="X695" s="163"/>
      <c r="Y695" s="163"/>
      <c r="Z695" s="163"/>
      <c r="AA695" s="163"/>
    </row>
    <row r="696">
      <c r="A696" s="163"/>
      <c r="B696" s="163"/>
      <c r="C696" s="163"/>
      <c r="D696" s="163"/>
      <c r="E696" s="163"/>
      <c r="F696" s="163"/>
      <c r="G696" s="163"/>
      <c r="H696" s="163"/>
      <c r="I696" s="163"/>
      <c r="J696" s="163"/>
      <c r="K696" s="163"/>
      <c r="L696" s="165"/>
      <c r="M696" s="163"/>
      <c r="N696" s="163"/>
      <c r="O696" s="163"/>
      <c r="P696" s="163"/>
      <c r="Q696" s="163"/>
      <c r="R696" s="163"/>
      <c r="S696" s="163"/>
      <c r="T696" s="163"/>
      <c r="U696" s="163"/>
      <c r="V696" s="163"/>
      <c r="W696" s="163"/>
      <c r="X696" s="163"/>
      <c r="Y696" s="163"/>
      <c r="Z696" s="163"/>
      <c r="AA696" s="163"/>
    </row>
    <row r="697">
      <c r="A697" s="163"/>
      <c r="B697" s="163"/>
      <c r="C697" s="163"/>
      <c r="D697" s="163"/>
      <c r="E697" s="163"/>
      <c r="F697" s="163"/>
      <c r="G697" s="163"/>
      <c r="H697" s="163"/>
      <c r="I697" s="163"/>
      <c r="J697" s="163"/>
      <c r="K697" s="163"/>
      <c r="L697" s="165"/>
      <c r="M697" s="163"/>
      <c r="N697" s="163"/>
      <c r="O697" s="163"/>
      <c r="P697" s="163"/>
      <c r="Q697" s="163"/>
      <c r="R697" s="163"/>
      <c r="S697" s="163"/>
      <c r="T697" s="163"/>
      <c r="U697" s="163"/>
      <c r="V697" s="163"/>
      <c r="W697" s="163"/>
      <c r="X697" s="163"/>
      <c r="Y697" s="163"/>
      <c r="Z697" s="163"/>
      <c r="AA697" s="163"/>
    </row>
    <row r="698">
      <c r="A698" s="163"/>
      <c r="B698" s="163"/>
      <c r="C698" s="163"/>
      <c r="D698" s="163"/>
      <c r="E698" s="163"/>
      <c r="F698" s="163"/>
      <c r="G698" s="163"/>
      <c r="H698" s="163"/>
      <c r="I698" s="163"/>
      <c r="J698" s="163"/>
      <c r="K698" s="163"/>
      <c r="L698" s="165"/>
      <c r="M698" s="163"/>
      <c r="N698" s="163"/>
      <c r="O698" s="163"/>
      <c r="P698" s="163"/>
      <c r="Q698" s="163"/>
      <c r="R698" s="163"/>
      <c r="S698" s="163"/>
      <c r="T698" s="163"/>
      <c r="U698" s="163"/>
      <c r="V698" s="163"/>
      <c r="W698" s="163"/>
      <c r="X698" s="163"/>
      <c r="Y698" s="163"/>
      <c r="Z698" s="163"/>
      <c r="AA698" s="163"/>
    </row>
    <row r="699">
      <c r="A699" s="163"/>
      <c r="B699" s="163"/>
      <c r="C699" s="163"/>
      <c r="D699" s="163"/>
      <c r="E699" s="163"/>
      <c r="F699" s="163"/>
      <c r="G699" s="163"/>
      <c r="H699" s="163"/>
      <c r="I699" s="163"/>
      <c r="J699" s="163"/>
      <c r="K699" s="163"/>
      <c r="L699" s="165"/>
      <c r="M699" s="163"/>
      <c r="N699" s="163"/>
      <c r="O699" s="163"/>
      <c r="P699" s="163"/>
      <c r="Q699" s="163"/>
      <c r="R699" s="163"/>
      <c r="S699" s="163"/>
      <c r="T699" s="163"/>
      <c r="U699" s="163"/>
      <c r="V699" s="163"/>
      <c r="W699" s="163"/>
      <c r="X699" s="163"/>
      <c r="Y699" s="163"/>
      <c r="Z699" s="163"/>
      <c r="AA699" s="163"/>
    </row>
    <row r="700">
      <c r="A700" s="163"/>
      <c r="B700" s="163"/>
      <c r="C700" s="163"/>
      <c r="D700" s="163"/>
      <c r="E700" s="163"/>
      <c r="F700" s="163"/>
      <c r="G700" s="163"/>
      <c r="H700" s="163"/>
      <c r="I700" s="163"/>
      <c r="J700" s="163"/>
      <c r="K700" s="163"/>
      <c r="L700" s="165"/>
      <c r="M700" s="163"/>
      <c r="N700" s="163"/>
      <c r="O700" s="163"/>
      <c r="P700" s="163"/>
      <c r="Q700" s="163"/>
      <c r="R700" s="163"/>
      <c r="S700" s="163"/>
      <c r="T700" s="163"/>
      <c r="U700" s="163"/>
      <c r="V700" s="163"/>
      <c r="W700" s="163"/>
      <c r="X700" s="163"/>
      <c r="Y700" s="163"/>
      <c r="Z700" s="163"/>
      <c r="AA700" s="163"/>
    </row>
    <row r="701">
      <c r="A701" s="163"/>
      <c r="B701" s="163"/>
      <c r="C701" s="163"/>
      <c r="D701" s="163"/>
      <c r="E701" s="163"/>
      <c r="F701" s="163"/>
      <c r="G701" s="163"/>
      <c r="H701" s="163"/>
      <c r="I701" s="163"/>
      <c r="J701" s="163"/>
      <c r="K701" s="163"/>
      <c r="L701" s="165"/>
      <c r="M701" s="163"/>
      <c r="N701" s="163"/>
      <c r="O701" s="163"/>
      <c r="P701" s="163"/>
      <c r="Q701" s="163"/>
      <c r="R701" s="163"/>
      <c r="S701" s="163"/>
      <c r="T701" s="163"/>
      <c r="U701" s="163"/>
      <c r="V701" s="163"/>
      <c r="W701" s="163"/>
      <c r="X701" s="163"/>
      <c r="Y701" s="163"/>
      <c r="Z701" s="163"/>
      <c r="AA701" s="163"/>
    </row>
    <row r="702">
      <c r="A702" s="163"/>
      <c r="B702" s="163"/>
      <c r="C702" s="163"/>
      <c r="D702" s="163"/>
      <c r="E702" s="163"/>
      <c r="F702" s="163"/>
      <c r="G702" s="163"/>
      <c r="H702" s="163"/>
      <c r="I702" s="163"/>
      <c r="J702" s="163"/>
      <c r="K702" s="163"/>
      <c r="L702" s="165"/>
      <c r="M702" s="163"/>
      <c r="N702" s="163"/>
      <c r="O702" s="163"/>
      <c r="P702" s="163"/>
      <c r="Q702" s="163"/>
      <c r="R702" s="163"/>
      <c r="S702" s="163"/>
      <c r="T702" s="163"/>
      <c r="U702" s="163"/>
      <c r="V702" s="163"/>
      <c r="W702" s="163"/>
      <c r="X702" s="163"/>
      <c r="Y702" s="163"/>
      <c r="Z702" s="163"/>
      <c r="AA702" s="163"/>
    </row>
    <row r="703">
      <c r="A703" s="163"/>
      <c r="B703" s="163"/>
      <c r="C703" s="163"/>
      <c r="D703" s="163"/>
      <c r="E703" s="163"/>
      <c r="F703" s="163"/>
      <c r="G703" s="163"/>
      <c r="H703" s="163"/>
      <c r="I703" s="163"/>
      <c r="J703" s="163"/>
      <c r="K703" s="163"/>
      <c r="L703" s="165"/>
      <c r="M703" s="163"/>
      <c r="N703" s="163"/>
      <c r="O703" s="163"/>
      <c r="P703" s="163"/>
      <c r="Q703" s="163"/>
      <c r="R703" s="163"/>
      <c r="S703" s="163"/>
      <c r="T703" s="163"/>
      <c r="U703" s="163"/>
      <c r="V703" s="163"/>
      <c r="W703" s="163"/>
      <c r="X703" s="163"/>
      <c r="Y703" s="163"/>
      <c r="Z703" s="163"/>
      <c r="AA703" s="163"/>
    </row>
    <row r="704">
      <c r="A704" s="163"/>
      <c r="B704" s="163"/>
      <c r="C704" s="163"/>
      <c r="D704" s="163"/>
      <c r="E704" s="163"/>
      <c r="F704" s="163"/>
      <c r="G704" s="163"/>
      <c r="H704" s="163"/>
      <c r="I704" s="163"/>
      <c r="J704" s="163"/>
      <c r="K704" s="163"/>
      <c r="L704" s="165"/>
      <c r="M704" s="163"/>
      <c r="N704" s="163"/>
      <c r="O704" s="163"/>
      <c r="P704" s="163"/>
      <c r="Q704" s="163"/>
      <c r="R704" s="163"/>
      <c r="S704" s="163"/>
      <c r="T704" s="163"/>
      <c r="U704" s="163"/>
      <c r="V704" s="163"/>
      <c r="W704" s="163"/>
      <c r="X704" s="163"/>
      <c r="Y704" s="163"/>
      <c r="Z704" s="163"/>
      <c r="AA704" s="163"/>
    </row>
    <row r="705">
      <c r="A705" s="163"/>
      <c r="B705" s="163"/>
      <c r="C705" s="163"/>
      <c r="D705" s="163"/>
      <c r="E705" s="163"/>
      <c r="F705" s="163"/>
      <c r="G705" s="163"/>
      <c r="H705" s="163"/>
      <c r="I705" s="163"/>
      <c r="J705" s="163"/>
      <c r="K705" s="163"/>
      <c r="L705" s="165"/>
      <c r="M705" s="163"/>
      <c r="N705" s="163"/>
      <c r="O705" s="163"/>
      <c r="P705" s="163"/>
      <c r="Q705" s="163"/>
      <c r="R705" s="163"/>
      <c r="S705" s="163"/>
      <c r="T705" s="163"/>
      <c r="U705" s="163"/>
      <c r="V705" s="163"/>
      <c r="W705" s="163"/>
      <c r="X705" s="163"/>
      <c r="Y705" s="163"/>
      <c r="Z705" s="163"/>
      <c r="AA705" s="163"/>
    </row>
    <row r="706">
      <c r="A706" s="163"/>
      <c r="B706" s="163"/>
      <c r="C706" s="163"/>
      <c r="D706" s="163"/>
      <c r="E706" s="163"/>
      <c r="F706" s="163"/>
      <c r="G706" s="163"/>
      <c r="H706" s="163"/>
      <c r="I706" s="163"/>
      <c r="J706" s="163"/>
      <c r="K706" s="163"/>
      <c r="L706" s="165"/>
      <c r="M706" s="163"/>
      <c r="N706" s="163"/>
      <c r="O706" s="163"/>
      <c r="P706" s="163"/>
      <c r="Q706" s="163"/>
      <c r="R706" s="163"/>
      <c r="S706" s="163"/>
      <c r="T706" s="163"/>
      <c r="U706" s="163"/>
      <c r="V706" s="163"/>
      <c r="W706" s="163"/>
      <c r="X706" s="163"/>
      <c r="Y706" s="163"/>
      <c r="Z706" s="163"/>
      <c r="AA706" s="163"/>
    </row>
    <row r="707">
      <c r="A707" s="163"/>
      <c r="B707" s="163"/>
      <c r="C707" s="163"/>
      <c r="D707" s="163"/>
      <c r="E707" s="163"/>
      <c r="F707" s="163"/>
      <c r="G707" s="163"/>
      <c r="H707" s="163"/>
      <c r="I707" s="163"/>
      <c r="J707" s="163"/>
      <c r="K707" s="163"/>
      <c r="L707" s="165"/>
      <c r="M707" s="163"/>
      <c r="N707" s="163"/>
      <c r="O707" s="163"/>
      <c r="P707" s="163"/>
      <c r="Q707" s="163"/>
      <c r="R707" s="163"/>
      <c r="S707" s="163"/>
      <c r="T707" s="163"/>
      <c r="U707" s="163"/>
      <c r="V707" s="163"/>
      <c r="W707" s="163"/>
      <c r="X707" s="163"/>
      <c r="Y707" s="163"/>
      <c r="Z707" s="163"/>
      <c r="AA707" s="163"/>
    </row>
    <row r="708">
      <c r="A708" s="163"/>
      <c r="B708" s="163"/>
      <c r="C708" s="163"/>
      <c r="D708" s="163"/>
      <c r="E708" s="163"/>
      <c r="F708" s="163"/>
      <c r="G708" s="163"/>
      <c r="H708" s="163"/>
      <c r="I708" s="163"/>
      <c r="J708" s="163"/>
      <c r="K708" s="163"/>
      <c r="L708" s="165"/>
      <c r="M708" s="163"/>
      <c r="N708" s="163"/>
      <c r="O708" s="163"/>
      <c r="P708" s="163"/>
      <c r="Q708" s="163"/>
      <c r="R708" s="163"/>
      <c r="S708" s="163"/>
      <c r="T708" s="163"/>
      <c r="U708" s="163"/>
      <c r="V708" s="163"/>
      <c r="W708" s="163"/>
      <c r="X708" s="163"/>
      <c r="Y708" s="163"/>
      <c r="Z708" s="163"/>
      <c r="AA708" s="163"/>
    </row>
    <row r="709">
      <c r="A709" s="163"/>
      <c r="B709" s="163"/>
      <c r="C709" s="163"/>
      <c r="D709" s="163"/>
      <c r="E709" s="163"/>
      <c r="F709" s="163"/>
      <c r="G709" s="163"/>
      <c r="H709" s="163"/>
      <c r="I709" s="163"/>
      <c r="J709" s="163"/>
      <c r="K709" s="163"/>
      <c r="L709" s="165"/>
      <c r="M709" s="163"/>
      <c r="N709" s="163"/>
      <c r="O709" s="163"/>
      <c r="P709" s="163"/>
      <c r="Q709" s="163"/>
      <c r="R709" s="163"/>
      <c r="S709" s="163"/>
      <c r="T709" s="163"/>
      <c r="U709" s="163"/>
      <c r="V709" s="163"/>
      <c r="W709" s="163"/>
      <c r="X709" s="163"/>
      <c r="Y709" s="163"/>
      <c r="Z709" s="163"/>
      <c r="AA709" s="163"/>
    </row>
    <row r="710">
      <c r="A710" s="163"/>
      <c r="B710" s="163"/>
      <c r="C710" s="163"/>
      <c r="D710" s="163"/>
      <c r="E710" s="163"/>
      <c r="F710" s="163"/>
      <c r="G710" s="163"/>
      <c r="H710" s="163"/>
      <c r="I710" s="163"/>
      <c r="J710" s="163"/>
      <c r="K710" s="163"/>
      <c r="L710" s="165"/>
      <c r="M710" s="163"/>
      <c r="N710" s="163"/>
      <c r="O710" s="163"/>
      <c r="P710" s="163"/>
      <c r="Q710" s="163"/>
      <c r="R710" s="163"/>
      <c r="S710" s="163"/>
      <c r="T710" s="163"/>
      <c r="U710" s="163"/>
      <c r="V710" s="163"/>
      <c r="W710" s="163"/>
      <c r="X710" s="163"/>
      <c r="Y710" s="163"/>
      <c r="Z710" s="163"/>
      <c r="AA710" s="163"/>
    </row>
    <row r="711">
      <c r="A711" s="163"/>
      <c r="B711" s="163"/>
      <c r="C711" s="163"/>
      <c r="D711" s="163"/>
      <c r="E711" s="163"/>
      <c r="F711" s="163"/>
      <c r="G711" s="163"/>
      <c r="H711" s="163"/>
      <c r="I711" s="163"/>
      <c r="J711" s="163"/>
      <c r="K711" s="163"/>
      <c r="L711" s="165"/>
      <c r="M711" s="163"/>
      <c r="N711" s="163"/>
      <c r="O711" s="163"/>
      <c r="P711" s="163"/>
      <c r="Q711" s="163"/>
      <c r="R711" s="163"/>
      <c r="S711" s="163"/>
      <c r="T711" s="163"/>
      <c r="U711" s="163"/>
      <c r="V711" s="163"/>
      <c r="W711" s="163"/>
      <c r="X711" s="163"/>
      <c r="Y711" s="163"/>
      <c r="Z711" s="163"/>
      <c r="AA711" s="163"/>
    </row>
    <row r="712">
      <c r="A712" s="163"/>
      <c r="B712" s="163"/>
      <c r="C712" s="163"/>
      <c r="D712" s="163"/>
      <c r="E712" s="163"/>
      <c r="F712" s="163"/>
      <c r="G712" s="163"/>
      <c r="H712" s="163"/>
      <c r="I712" s="163"/>
      <c r="J712" s="163"/>
      <c r="K712" s="163"/>
      <c r="L712" s="165"/>
      <c r="M712" s="163"/>
      <c r="N712" s="163"/>
      <c r="O712" s="163"/>
      <c r="P712" s="163"/>
      <c r="Q712" s="163"/>
      <c r="R712" s="163"/>
      <c r="S712" s="163"/>
      <c r="T712" s="163"/>
      <c r="U712" s="163"/>
      <c r="V712" s="163"/>
      <c r="W712" s="163"/>
      <c r="X712" s="163"/>
      <c r="Y712" s="163"/>
      <c r="Z712" s="163"/>
      <c r="AA712" s="163"/>
    </row>
    <row r="713">
      <c r="A713" s="163"/>
      <c r="B713" s="163"/>
      <c r="C713" s="163"/>
      <c r="D713" s="163"/>
      <c r="E713" s="163"/>
      <c r="F713" s="163"/>
      <c r="G713" s="163"/>
      <c r="H713" s="163"/>
      <c r="I713" s="163"/>
      <c r="J713" s="163"/>
      <c r="K713" s="163"/>
      <c r="L713" s="165"/>
      <c r="M713" s="163"/>
      <c r="N713" s="163"/>
      <c r="O713" s="163"/>
      <c r="P713" s="163"/>
      <c r="Q713" s="163"/>
      <c r="R713" s="163"/>
      <c r="S713" s="163"/>
      <c r="T713" s="163"/>
      <c r="U713" s="163"/>
      <c r="V713" s="163"/>
      <c r="W713" s="163"/>
      <c r="X713" s="163"/>
      <c r="Y713" s="163"/>
      <c r="Z713" s="163"/>
      <c r="AA713" s="163"/>
    </row>
    <row r="714">
      <c r="A714" s="163"/>
      <c r="B714" s="163"/>
      <c r="C714" s="163"/>
      <c r="D714" s="163"/>
      <c r="E714" s="163"/>
      <c r="F714" s="163"/>
      <c r="G714" s="163"/>
      <c r="H714" s="163"/>
      <c r="I714" s="163"/>
      <c r="J714" s="163"/>
      <c r="K714" s="163"/>
      <c r="L714" s="165"/>
      <c r="M714" s="163"/>
      <c r="N714" s="163"/>
      <c r="O714" s="163"/>
      <c r="P714" s="163"/>
      <c r="Q714" s="163"/>
      <c r="R714" s="163"/>
      <c r="S714" s="163"/>
      <c r="T714" s="163"/>
      <c r="U714" s="163"/>
      <c r="V714" s="163"/>
      <c r="W714" s="163"/>
      <c r="X714" s="163"/>
      <c r="Y714" s="163"/>
      <c r="Z714" s="163"/>
      <c r="AA714" s="163"/>
    </row>
    <row r="715">
      <c r="A715" s="163"/>
      <c r="B715" s="163"/>
      <c r="C715" s="163"/>
      <c r="D715" s="163"/>
      <c r="E715" s="163"/>
      <c r="F715" s="163"/>
      <c r="G715" s="163"/>
      <c r="H715" s="163"/>
      <c r="I715" s="163"/>
      <c r="J715" s="163"/>
      <c r="K715" s="163"/>
      <c r="L715" s="165"/>
      <c r="M715" s="163"/>
      <c r="N715" s="163"/>
      <c r="O715" s="163"/>
      <c r="P715" s="163"/>
      <c r="Q715" s="163"/>
      <c r="R715" s="163"/>
      <c r="S715" s="163"/>
      <c r="T715" s="163"/>
      <c r="U715" s="163"/>
      <c r="V715" s="163"/>
      <c r="W715" s="163"/>
      <c r="X715" s="163"/>
      <c r="Y715" s="163"/>
      <c r="Z715" s="163"/>
      <c r="AA715" s="163"/>
    </row>
    <row r="716">
      <c r="A716" s="163"/>
      <c r="B716" s="163"/>
      <c r="C716" s="163"/>
      <c r="D716" s="163"/>
      <c r="E716" s="163"/>
      <c r="F716" s="163"/>
      <c r="G716" s="163"/>
      <c r="H716" s="163"/>
      <c r="I716" s="163"/>
      <c r="J716" s="163"/>
      <c r="K716" s="163"/>
      <c r="L716" s="165"/>
      <c r="M716" s="163"/>
      <c r="N716" s="163"/>
      <c r="O716" s="163"/>
      <c r="P716" s="163"/>
      <c r="Q716" s="163"/>
      <c r="R716" s="163"/>
      <c r="S716" s="163"/>
      <c r="T716" s="163"/>
      <c r="U716" s="163"/>
      <c r="V716" s="163"/>
      <c r="W716" s="163"/>
      <c r="X716" s="163"/>
      <c r="Y716" s="163"/>
      <c r="Z716" s="163"/>
      <c r="AA716" s="163"/>
    </row>
    <row r="717">
      <c r="A717" s="163"/>
      <c r="B717" s="163"/>
      <c r="C717" s="163"/>
      <c r="D717" s="163"/>
      <c r="E717" s="163"/>
      <c r="F717" s="163"/>
      <c r="G717" s="163"/>
      <c r="H717" s="163"/>
      <c r="I717" s="163"/>
      <c r="J717" s="163"/>
      <c r="K717" s="163"/>
      <c r="L717" s="165"/>
      <c r="M717" s="163"/>
      <c r="N717" s="163"/>
      <c r="O717" s="163"/>
      <c r="P717" s="163"/>
      <c r="Q717" s="163"/>
      <c r="R717" s="163"/>
      <c r="S717" s="163"/>
      <c r="T717" s="163"/>
      <c r="U717" s="163"/>
      <c r="V717" s="163"/>
      <c r="W717" s="163"/>
      <c r="X717" s="163"/>
      <c r="Y717" s="163"/>
      <c r="Z717" s="163"/>
      <c r="AA717" s="163"/>
    </row>
    <row r="718">
      <c r="A718" s="163"/>
      <c r="B718" s="163"/>
      <c r="C718" s="163"/>
      <c r="D718" s="163"/>
      <c r="E718" s="163"/>
      <c r="F718" s="163"/>
      <c r="G718" s="163"/>
      <c r="H718" s="163"/>
      <c r="I718" s="163"/>
      <c r="J718" s="163"/>
      <c r="K718" s="163"/>
      <c r="L718" s="165"/>
      <c r="M718" s="163"/>
      <c r="N718" s="163"/>
      <c r="O718" s="163"/>
      <c r="P718" s="163"/>
      <c r="Q718" s="163"/>
      <c r="R718" s="163"/>
      <c r="S718" s="163"/>
      <c r="T718" s="163"/>
      <c r="U718" s="163"/>
      <c r="V718" s="163"/>
      <c r="W718" s="163"/>
      <c r="X718" s="163"/>
      <c r="Y718" s="163"/>
      <c r="Z718" s="163"/>
      <c r="AA718" s="163"/>
    </row>
    <row r="719">
      <c r="A719" s="163"/>
      <c r="B719" s="163"/>
      <c r="C719" s="163"/>
      <c r="D719" s="163"/>
      <c r="E719" s="163"/>
      <c r="F719" s="163"/>
      <c r="G719" s="163"/>
      <c r="H719" s="163"/>
      <c r="I719" s="163"/>
      <c r="J719" s="163"/>
      <c r="K719" s="163"/>
      <c r="L719" s="165"/>
      <c r="M719" s="163"/>
      <c r="N719" s="163"/>
      <c r="O719" s="163"/>
      <c r="P719" s="163"/>
      <c r="Q719" s="163"/>
      <c r="R719" s="163"/>
      <c r="S719" s="163"/>
      <c r="T719" s="163"/>
      <c r="U719" s="163"/>
      <c r="V719" s="163"/>
      <c r="W719" s="163"/>
      <c r="X719" s="163"/>
      <c r="Y719" s="163"/>
      <c r="Z719" s="163"/>
      <c r="AA719" s="163"/>
    </row>
    <row r="720">
      <c r="A720" s="163"/>
      <c r="B720" s="163"/>
      <c r="C720" s="163"/>
      <c r="D720" s="163"/>
      <c r="E720" s="163"/>
      <c r="F720" s="163"/>
      <c r="G720" s="163"/>
      <c r="H720" s="163"/>
      <c r="I720" s="163"/>
      <c r="J720" s="163"/>
      <c r="K720" s="163"/>
      <c r="L720" s="165"/>
      <c r="M720" s="163"/>
      <c r="N720" s="163"/>
      <c r="O720" s="163"/>
      <c r="P720" s="163"/>
      <c r="Q720" s="163"/>
      <c r="R720" s="163"/>
      <c r="S720" s="163"/>
      <c r="T720" s="163"/>
      <c r="U720" s="163"/>
      <c r="V720" s="163"/>
      <c r="W720" s="163"/>
      <c r="X720" s="163"/>
      <c r="Y720" s="163"/>
      <c r="Z720" s="163"/>
      <c r="AA720" s="163"/>
    </row>
    <row r="721">
      <c r="A721" s="163"/>
      <c r="B721" s="163"/>
      <c r="C721" s="163"/>
      <c r="D721" s="163"/>
      <c r="E721" s="163"/>
      <c r="F721" s="163"/>
      <c r="G721" s="163"/>
      <c r="H721" s="163"/>
      <c r="I721" s="163"/>
      <c r="J721" s="163"/>
      <c r="K721" s="163"/>
      <c r="L721" s="165"/>
      <c r="M721" s="163"/>
      <c r="N721" s="163"/>
      <c r="O721" s="163"/>
      <c r="P721" s="163"/>
      <c r="Q721" s="163"/>
      <c r="R721" s="163"/>
      <c r="S721" s="163"/>
      <c r="T721" s="163"/>
      <c r="U721" s="163"/>
      <c r="V721" s="163"/>
      <c r="W721" s="163"/>
      <c r="X721" s="163"/>
      <c r="Y721" s="163"/>
      <c r="Z721" s="163"/>
      <c r="AA721" s="163"/>
    </row>
    <row r="722">
      <c r="A722" s="163"/>
      <c r="B722" s="163"/>
      <c r="C722" s="163"/>
      <c r="D722" s="163"/>
      <c r="E722" s="163"/>
      <c r="F722" s="163"/>
      <c r="G722" s="163"/>
      <c r="H722" s="163"/>
      <c r="I722" s="163"/>
      <c r="J722" s="163"/>
      <c r="K722" s="163"/>
      <c r="L722" s="165"/>
      <c r="M722" s="163"/>
      <c r="N722" s="163"/>
      <c r="O722" s="163"/>
      <c r="P722" s="163"/>
      <c r="Q722" s="163"/>
      <c r="R722" s="163"/>
      <c r="S722" s="163"/>
      <c r="T722" s="163"/>
      <c r="U722" s="163"/>
      <c r="V722" s="163"/>
      <c r="W722" s="163"/>
      <c r="X722" s="163"/>
      <c r="Y722" s="163"/>
      <c r="Z722" s="163"/>
      <c r="AA722" s="163"/>
    </row>
    <row r="723">
      <c r="A723" s="163"/>
      <c r="B723" s="163"/>
      <c r="C723" s="163"/>
      <c r="D723" s="163"/>
      <c r="E723" s="163"/>
      <c r="F723" s="163"/>
      <c r="G723" s="163"/>
      <c r="H723" s="163"/>
      <c r="I723" s="163"/>
      <c r="J723" s="163"/>
      <c r="K723" s="163"/>
      <c r="L723" s="165"/>
      <c r="M723" s="163"/>
      <c r="N723" s="163"/>
      <c r="O723" s="163"/>
      <c r="P723" s="163"/>
      <c r="Q723" s="163"/>
      <c r="R723" s="163"/>
      <c r="S723" s="163"/>
      <c r="T723" s="163"/>
      <c r="U723" s="163"/>
      <c r="V723" s="163"/>
      <c r="W723" s="163"/>
      <c r="X723" s="163"/>
      <c r="Y723" s="163"/>
      <c r="Z723" s="163"/>
      <c r="AA723" s="163"/>
    </row>
    <row r="724">
      <c r="A724" s="163"/>
      <c r="B724" s="163"/>
      <c r="C724" s="163"/>
      <c r="D724" s="163"/>
      <c r="E724" s="163"/>
      <c r="F724" s="163"/>
      <c r="G724" s="163"/>
      <c r="H724" s="163"/>
      <c r="I724" s="163"/>
      <c r="J724" s="163"/>
      <c r="K724" s="163"/>
      <c r="L724" s="165"/>
      <c r="M724" s="163"/>
      <c r="N724" s="163"/>
      <c r="O724" s="163"/>
      <c r="P724" s="163"/>
      <c r="Q724" s="163"/>
      <c r="R724" s="163"/>
      <c r="S724" s="163"/>
      <c r="T724" s="163"/>
      <c r="U724" s="163"/>
      <c r="V724" s="163"/>
      <c r="W724" s="163"/>
      <c r="X724" s="163"/>
      <c r="Y724" s="163"/>
      <c r="Z724" s="163"/>
      <c r="AA724" s="163"/>
    </row>
    <row r="725">
      <c r="A725" s="163"/>
      <c r="B725" s="163"/>
      <c r="C725" s="163"/>
      <c r="D725" s="163"/>
      <c r="E725" s="163"/>
      <c r="F725" s="163"/>
      <c r="G725" s="163"/>
      <c r="H725" s="163"/>
      <c r="I725" s="163"/>
      <c r="J725" s="163"/>
      <c r="K725" s="163"/>
      <c r="L725" s="165"/>
      <c r="M725" s="163"/>
      <c r="N725" s="163"/>
      <c r="O725" s="163"/>
      <c r="P725" s="163"/>
      <c r="Q725" s="163"/>
      <c r="R725" s="163"/>
      <c r="S725" s="163"/>
      <c r="T725" s="163"/>
      <c r="U725" s="163"/>
      <c r="V725" s="163"/>
      <c r="W725" s="163"/>
      <c r="X725" s="163"/>
      <c r="Y725" s="163"/>
      <c r="Z725" s="163"/>
      <c r="AA725" s="163"/>
    </row>
    <row r="726">
      <c r="A726" s="163"/>
      <c r="B726" s="163"/>
      <c r="C726" s="163"/>
      <c r="D726" s="163"/>
      <c r="E726" s="163"/>
      <c r="F726" s="163"/>
      <c r="G726" s="163"/>
      <c r="H726" s="163"/>
      <c r="I726" s="163"/>
      <c r="J726" s="163"/>
      <c r="K726" s="163"/>
      <c r="L726" s="165"/>
      <c r="M726" s="163"/>
      <c r="N726" s="163"/>
      <c r="O726" s="163"/>
      <c r="P726" s="163"/>
      <c r="Q726" s="163"/>
      <c r="R726" s="163"/>
      <c r="S726" s="163"/>
      <c r="T726" s="163"/>
      <c r="U726" s="163"/>
      <c r="V726" s="163"/>
      <c r="W726" s="163"/>
      <c r="X726" s="163"/>
      <c r="Y726" s="163"/>
      <c r="Z726" s="163"/>
      <c r="AA726" s="163"/>
    </row>
    <row r="727">
      <c r="A727" s="163"/>
      <c r="B727" s="163"/>
      <c r="C727" s="163"/>
      <c r="D727" s="163"/>
      <c r="E727" s="163"/>
      <c r="F727" s="163"/>
      <c r="G727" s="163"/>
      <c r="H727" s="163"/>
      <c r="I727" s="163"/>
      <c r="J727" s="163"/>
      <c r="K727" s="163"/>
      <c r="L727" s="165"/>
      <c r="M727" s="163"/>
      <c r="N727" s="163"/>
      <c r="O727" s="163"/>
      <c r="P727" s="163"/>
      <c r="Q727" s="163"/>
      <c r="R727" s="163"/>
      <c r="S727" s="163"/>
      <c r="T727" s="163"/>
      <c r="U727" s="163"/>
      <c r="V727" s="163"/>
      <c r="W727" s="163"/>
      <c r="X727" s="163"/>
      <c r="Y727" s="163"/>
      <c r="Z727" s="163"/>
      <c r="AA727" s="163"/>
    </row>
    <row r="728">
      <c r="A728" s="163"/>
      <c r="B728" s="163"/>
      <c r="C728" s="163"/>
      <c r="D728" s="163"/>
      <c r="E728" s="163"/>
      <c r="F728" s="163"/>
      <c r="G728" s="163"/>
      <c r="H728" s="163"/>
      <c r="I728" s="163"/>
      <c r="J728" s="163"/>
      <c r="K728" s="163"/>
      <c r="L728" s="165"/>
      <c r="M728" s="163"/>
      <c r="N728" s="163"/>
      <c r="O728" s="163"/>
      <c r="P728" s="163"/>
      <c r="Q728" s="163"/>
      <c r="R728" s="163"/>
      <c r="S728" s="163"/>
      <c r="T728" s="163"/>
      <c r="U728" s="163"/>
      <c r="V728" s="163"/>
      <c r="W728" s="163"/>
      <c r="X728" s="163"/>
      <c r="Y728" s="163"/>
      <c r="Z728" s="163"/>
      <c r="AA728" s="163"/>
    </row>
    <row r="729">
      <c r="A729" s="163"/>
      <c r="B729" s="163"/>
      <c r="C729" s="163"/>
      <c r="D729" s="163"/>
      <c r="E729" s="163"/>
      <c r="F729" s="163"/>
      <c r="G729" s="163"/>
      <c r="H729" s="163"/>
      <c r="I729" s="163"/>
      <c r="J729" s="163"/>
      <c r="K729" s="163"/>
      <c r="L729" s="165"/>
      <c r="M729" s="163"/>
      <c r="N729" s="163"/>
      <c r="O729" s="163"/>
      <c r="P729" s="163"/>
      <c r="Q729" s="163"/>
      <c r="R729" s="163"/>
      <c r="S729" s="163"/>
      <c r="T729" s="163"/>
      <c r="U729" s="163"/>
      <c r="V729" s="163"/>
      <c r="W729" s="163"/>
      <c r="X729" s="163"/>
      <c r="Y729" s="163"/>
      <c r="Z729" s="163"/>
      <c r="AA729" s="163"/>
    </row>
    <row r="730">
      <c r="A730" s="163"/>
      <c r="B730" s="163"/>
      <c r="C730" s="163"/>
      <c r="D730" s="163"/>
      <c r="E730" s="163"/>
      <c r="F730" s="163"/>
      <c r="G730" s="163"/>
      <c r="H730" s="163"/>
      <c r="I730" s="163"/>
      <c r="J730" s="163"/>
      <c r="K730" s="163"/>
      <c r="L730" s="165"/>
      <c r="M730" s="163"/>
      <c r="N730" s="163"/>
      <c r="O730" s="163"/>
      <c r="P730" s="163"/>
      <c r="Q730" s="163"/>
      <c r="R730" s="163"/>
      <c r="S730" s="163"/>
      <c r="T730" s="163"/>
      <c r="U730" s="163"/>
      <c r="V730" s="163"/>
      <c r="W730" s="163"/>
      <c r="X730" s="163"/>
      <c r="Y730" s="163"/>
      <c r="Z730" s="163"/>
      <c r="AA730" s="163"/>
    </row>
    <row r="731">
      <c r="A731" s="163"/>
      <c r="B731" s="163"/>
      <c r="C731" s="163"/>
      <c r="D731" s="163"/>
      <c r="E731" s="163"/>
      <c r="F731" s="163"/>
      <c r="G731" s="163"/>
      <c r="H731" s="163"/>
      <c r="I731" s="163"/>
      <c r="J731" s="163"/>
      <c r="K731" s="163"/>
      <c r="L731" s="165"/>
      <c r="M731" s="163"/>
      <c r="N731" s="163"/>
      <c r="O731" s="163"/>
      <c r="P731" s="163"/>
      <c r="Q731" s="163"/>
      <c r="R731" s="163"/>
      <c r="S731" s="163"/>
      <c r="T731" s="163"/>
      <c r="U731" s="163"/>
      <c r="V731" s="163"/>
      <c r="W731" s="163"/>
      <c r="X731" s="163"/>
      <c r="Y731" s="163"/>
      <c r="Z731" s="163"/>
      <c r="AA731" s="163"/>
    </row>
    <row r="732">
      <c r="A732" s="163"/>
      <c r="B732" s="163"/>
      <c r="C732" s="163"/>
      <c r="D732" s="163"/>
      <c r="E732" s="163"/>
      <c r="F732" s="163"/>
      <c r="G732" s="163"/>
      <c r="H732" s="163"/>
      <c r="I732" s="163"/>
      <c r="J732" s="163"/>
      <c r="K732" s="163"/>
      <c r="L732" s="165"/>
      <c r="M732" s="163"/>
      <c r="N732" s="163"/>
      <c r="O732" s="163"/>
      <c r="P732" s="163"/>
      <c r="Q732" s="163"/>
      <c r="R732" s="163"/>
      <c r="S732" s="163"/>
      <c r="T732" s="163"/>
      <c r="U732" s="163"/>
      <c r="V732" s="163"/>
      <c r="W732" s="163"/>
      <c r="X732" s="163"/>
      <c r="Y732" s="163"/>
      <c r="Z732" s="163"/>
      <c r="AA732" s="163"/>
    </row>
    <row r="733">
      <c r="A733" s="163"/>
      <c r="B733" s="163"/>
      <c r="C733" s="163"/>
      <c r="D733" s="163"/>
      <c r="E733" s="163"/>
      <c r="F733" s="163"/>
      <c r="G733" s="163"/>
      <c r="H733" s="163"/>
      <c r="I733" s="163"/>
      <c r="J733" s="163"/>
      <c r="K733" s="163"/>
      <c r="L733" s="165"/>
      <c r="M733" s="163"/>
      <c r="N733" s="163"/>
      <c r="O733" s="163"/>
      <c r="P733" s="163"/>
      <c r="Q733" s="163"/>
      <c r="R733" s="163"/>
      <c r="S733" s="163"/>
      <c r="T733" s="163"/>
      <c r="U733" s="163"/>
      <c r="V733" s="163"/>
      <c r="W733" s="163"/>
      <c r="X733" s="163"/>
      <c r="Y733" s="163"/>
      <c r="Z733" s="163"/>
      <c r="AA733" s="163"/>
    </row>
    <row r="734">
      <c r="A734" s="163"/>
      <c r="B734" s="163"/>
      <c r="C734" s="163"/>
      <c r="D734" s="163"/>
      <c r="E734" s="163"/>
      <c r="F734" s="163"/>
      <c r="G734" s="163"/>
      <c r="H734" s="163"/>
      <c r="I734" s="163"/>
      <c r="J734" s="163"/>
      <c r="K734" s="163"/>
      <c r="L734" s="165"/>
      <c r="M734" s="163"/>
      <c r="N734" s="163"/>
      <c r="O734" s="163"/>
      <c r="P734" s="163"/>
      <c r="Q734" s="163"/>
      <c r="R734" s="163"/>
      <c r="S734" s="163"/>
      <c r="T734" s="163"/>
      <c r="U734" s="163"/>
      <c r="V734" s="163"/>
      <c r="W734" s="163"/>
      <c r="X734" s="163"/>
      <c r="Y734" s="163"/>
      <c r="Z734" s="163"/>
      <c r="AA734" s="163"/>
    </row>
    <row r="735">
      <c r="A735" s="163"/>
      <c r="B735" s="163"/>
      <c r="C735" s="163"/>
      <c r="D735" s="163"/>
      <c r="E735" s="163"/>
      <c r="F735" s="163"/>
      <c r="G735" s="163"/>
      <c r="H735" s="163"/>
      <c r="I735" s="163"/>
      <c r="J735" s="163"/>
      <c r="K735" s="163"/>
      <c r="L735" s="165"/>
      <c r="M735" s="163"/>
      <c r="N735" s="163"/>
      <c r="O735" s="163"/>
      <c r="P735" s="163"/>
      <c r="Q735" s="163"/>
      <c r="R735" s="163"/>
      <c r="S735" s="163"/>
      <c r="T735" s="163"/>
      <c r="U735" s="163"/>
      <c r="V735" s="163"/>
      <c r="W735" s="163"/>
      <c r="X735" s="163"/>
      <c r="Y735" s="163"/>
      <c r="Z735" s="163"/>
      <c r="AA735" s="163"/>
    </row>
    <row r="736">
      <c r="A736" s="163"/>
      <c r="B736" s="163"/>
      <c r="C736" s="163"/>
      <c r="D736" s="163"/>
      <c r="E736" s="163"/>
      <c r="F736" s="163"/>
      <c r="G736" s="163"/>
      <c r="H736" s="163"/>
      <c r="I736" s="163"/>
      <c r="J736" s="163"/>
      <c r="K736" s="163"/>
      <c r="L736" s="165"/>
      <c r="M736" s="163"/>
      <c r="N736" s="163"/>
      <c r="O736" s="163"/>
      <c r="P736" s="163"/>
      <c r="Q736" s="163"/>
      <c r="R736" s="163"/>
      <c r="S736" s="163"/>
      <c r="T736" s="163"/>
      <c r="U736" s="163"/>
      <c r="V736" s="163"/>
      <c r="W736" s="163"/>
      <c r="X736" s="163"/>
      <c r="Y736" s="163"/>
      <c r="Z736" s="163"/>
      <c r="AA736" s="163"/>
    </row>
    <row r="737">
      <c r="A737" s="163"/>
      <c r="B737" s="163"/>
      <c r="C737" s="163"/>
      <c r="D737" s="163"/>
      <c r="E737" s="163"/>
      <c r="F737" s="163"/>
      <c r="G737" s="163"/>
      <c r="H737" s="163"/>
      <c r="I737" s="163"/>
      <c r="J737" s="163"/>
      <c r="K737" s="163"/>
      <c r="L737" s="165"/>
      <c r="M737" s="163"/>
      <c r="N737" s="163"/>
      <c r="O737" s="163"/>
      <c r="P737" s="163"/>
      <c r="Q737" s="163"/>
      <c r="R737" s="163"/>
      <c r="S737" s="163"/>
      <c r="T737" s="163"/>
      <c r="U737" s="163"/>
      <c r="V737" s="163"/>
      <c r="W737" s="163"/>
      <c r="X737" s="163"/>
      <c r="Y737" s="163"/>
      <c r="Z737" s="163"/>
      <c r="AA737" s="163"/>
    </row>
    <row r="738">
      <c r="A738" s="163"/>
      <c r="B738" s="163"/>
      <c r="C738" s="163"/>
      <c r="D738" s="163"/>
      <c r="E738" s="163"/>
      <c r="F738" s="163"/>
      <c r="G738" s="163"/>
      <c r="H738" s="163"/>
      <c r="I738" s="163"/>
      <c r="J738" s="163"/>
      <c r="K738" s="163"/>
      <c r="L738" s="165"/>
      <c r="M738" s="163"/>
      <c r="N738" s="163"/>
      <c r="O738" s="163"/>
      <c r="P738" s="163"/>
      <c r="Q738" s="163"/>
      <c r="R738" s="163"/>
      <c r="S738" s="163"/>
      <c r="T738" s="163"/>
      <c r="U738" s="163"/>
      <c r="V738" s="163"/>
      <c r="W738" s="163"/>
      <c r="X738" s="163"/>
      <c r="Y738" s="163"/>
      <c r="Z738" s="163"/>
      <c r="AA738" s="163"/>
    </row>
    <row r="739">
      <c r="A739" s="163"/>
      <c r="B739" s="163"/>
      <c r="C739" s="163"/>
      <c r="D739" s="163"/>
      <c r="E739" s="163"/>
      <c r="F739" s="163"/>
      <c r="G739" s="163"/>
      <c r="H739" s="163"/>
      <c r="I739" s="163"/>
      <c r="J739" s="163"/>
      <c r="K739" s="163"/>
      <c r="L739" s="165"/>
      <c r="M739" s="163"/>
      <c r="N739" s="163"/>
      <c r="O739" s="163"/>
      <c r="P739" s="163"/>
      <c r="Q739" s="163"/>
      <c r="R739" s="163"/>
      <c r="S739" s="163"/>
      <c r="T739" s="163"/>
      <c r="U739" s="163"/>
      <c r="V739" s="163"/>
      <c r="W739" s="163"/>
      <c r="X739" s="163"/>
      <c r="Y739" s="163"/>
      <c r="Z739" s="163"/>
      <c r="AA739" s="163"/>
    </row>
    <row r="740">
      <c r="A740" s="163"/>
      <c r="B740" s="163"/>
      <c r="C740" s="163"/>
      <c r="D740" s="163"/>
      <c r="E740" s="163"/>
      <c r="F740" s="163"/>
      <c r="G740" s="163"/>
      <c r="H740" s="163"/>
      <c r="I740" s="163"/>
      <c r="J740" s="163"/>
      <c r="K740" s="163"/>
      <c r="L740" s="165"/>
      <c r="M740" s="163"/>
      <c r="N740" s="163"/>
      <c r="O740" s="163"/>
      <c r="P740" s="163"/>
      <c r="Q740" s="163"/>
      <c r="R740" s="163"/>
      <c r="S740" s="163"/>
      <c r="T740" s="163"/>
      <c r="U740" s="163"/>
      <c r="V740" s="163"/>
      <c r="W740" s="163"/>
      <c r="X740" s="163"/>
      <c r="Y740" s="163"/>
      <c r="Z740" s="163"/>
      <c r="AA740" s="163"/>
    </row>
    <row r="741">
      <c r="A741" s="163"/>
      <c r="B741" s="163"/>
      <c r="C741" s="163"/>
      <c r="D741" s="163"/>
      <c r="E741" s="163"/>
      <c r="F741" s="163"/>
      <c r="G741" s="163"/>
      <c r="H741" s="163"/>
      <c r="I741" s="163"/>
      <c r="J741" s="163"/>
      <c r="K741" s="163"/>
      <c r="L741" s="165"/>
      <c r="M741" s="163"/>
      <c r="N741" s="163"/>
      <c r="O741" s="163"/>
      <c r="P741" s="163"/>
      <c r="Q741" s="163"/>
      <c r="R741" s="163"/>
      <c r="S741" s="163"/>
      <c r="T741" s="163"/>
      <c r="U741" s="163"/>
      <c r="V741" s="163"/>
      <c r="W741" s="163"/>
      <c r="X741" s="163"/>
      <c r="Y741" s="163"/>
      <c r="Z741" s="163"/>
      <c r="AA741" s="163"/>
    </row>
    <row r="742">
      <c r="A742" s="163"/>
      <c r="B742" s="163"/>
      <c r="C742" s="163"/>
      <c r="D742" s="163"/>
      <c r="E742" s="163"/>
      <c r="F742" s="163"/>
      <c r="G742" s="163"/>
      <c r="H742" s="163"/>
      <c r="I742" s="163"/>
      <c r="J742" s="163"/>
      <c r="K742" s="163"/>
      <c r="L742" s="165"/>
      <c r="M742" s="163"/>
      <c r="N742" s="163"/>
      <c r="O742" s="163"/>
      <c r="P742" s="163"/>
      <c r="Q742" s="163"/>
      <c r="R742" s="163"/>
      <c r="S742" s="163"/>
      <c r="T742" s="163"/>
      <c r="U742" s="163"/>
      <c r="V742" s="163"/>
      <c r="W742" s="163"/>
      <c r="X742" s="163"/>
      <c r="Y742" s="163"/>
      <c r="Z742" s="163"/>
      <c r="AA742" s="163"/>
    </row>
    <row r="743">
      <c r="A743" s="163"/>
      <c r="B743" s="163"/>
      <c r="C743" s="163"/>
      <c r="D743" s="163"/>
      <c r="E743" s="163"/>
      <c r="F743" s="163"/>
      <c r="G743" s="163"/>
      <c r="H743" s="163"/>
      <c r="I743" s="163"/>
      <c r="J743" s="163"/>
      <c r="K743" s="163"/>
      <c r="L743" s="165"/>
      <c r="M743" s="163"/>
      <c r="N743" s="163"/>
      <c r="O743" s="163"/>
      <c r="P743" s="163"/>
      <c r="Q743" s="163"/>
      <c r="R743" s="163"/>
      <c r="S743" s="163"/>
      <c r="T743" s="163"/>
      <c r="U743" s="163"/>
      <c r="V743" s="163"/>
      <c r="W743" s="163"/>
      <c r="X743" s="163"/>
      <c r="Y743" s="163"/>
      <c r="Z743" s="163"/>
      <c r="AA743" s="163"/>
    </row>
    <row r="744">
      <c r="A744" s="163"/>
      <c r="B744" s="163"/>
      <c r="C744" s="163"/>
      <c r="D744" s="163"/>
      <c r="E744" s="163"/>
      <c r="F744" s="163"/>
      <c r="G744" s="163"/>
      <c r="H744" s="163"/>
      <c r="I744" s="163"/>
      <c r="J744" s="163"/>
      <c r="K744" s="163"/>
      <c r="L744" s="165"/>
      <c r="M744" s="163"/>
      <c r="N744" s="163"/>
      <c r="O744" s="163"/>
      <c r="P744" s="163"/>
      <c r="Q744" s="163"/>
      <c r="R744" s="163"/>
      <c r="S744" s="163"/>
      <c r="T744" s="163"/>
      <c r="U744" s="163"/>
      <c r="V744" s="163"/>
      <c r="W744" s="163"/>
      <c r="X744" s="163"/>
      <c r="Y744" s="163"/>
      <c r="Z744" s="163"/>
      <c r="AA744" s="163"/>
    </row>
    <row r="745">
      <c r="A745" s="163"/>
      <c r="B745" s="163"/>
      <c r="C745" s="163"/>
      <c r="D745" s="163"/>
      <c r="E745" s="163"/>
      <c r="F745" s="163"/>
      <c r="G745" s="163"/>
      <c r="H745" s="163"/>
      <c r="I745" s="163"/>
      <c r="J745" s="163"/>
      <c r="K745" s="163"/>
      <c r="L745" s="165"/>
      <c r="M745" s="163"/>
      <c r="N745" s="163"/>
      <c r="O745" s="163"/>
      <c r="P745" s="163"/>
      <c r="Q745" s="163"/>
      <c r="R745" s="163"/>
      <c r="S745" s="163"/>
      <c r="T745" s="163"/>
      <c r="U745" s="163"/>
      <c r="V745" s="163"/>
      <c r="W745" s="163"/>
      <c r="X745" s="163"/>
      <c r="Y745" s="163"/>
      <c r="Z745" s="163"/>
      <c r="AA745" s="163"/>
    </row>
    <row r="746">
      <c r="A746" s="163"/>
      <c r="B746" s="163"/>
      <c r="C746" s="163"/>
      <c r="D746" s="163"/>
      <c r="E746" s="163"/>
      <c r="F746" s="163"/>
      <c r="G746" s="163"/>
      <c r="H746" s="163"/>
      <c r="I746" s="163"/>
      <c r="J746" s="163"/>
      <c r="K746" s="163"/>
      <c r="L746" s="165"/>
      <c r="M746" s="163"/>
      <c r="N746" s="163"/>
      <c r="O746" s="163"/>
      <c r="P746" s="163"/>
      <c r="Q746" s="163"/>
      <c r="R746" s="163"/>
      <c r="S746" s="163"/>
      <c r="T746" s="163"/>
      <c r="U746" s="163"/>
      <c r="V746" s="163"/>
      <c r="W746" s="163"/>
      <c r="X746" s="163"/>
      <c r="Y746" s="163"/>
      <c r="Z746" s="163"/>
      <c r="AA746" s="163"/>
    </row>
    <row r="747">
      <c r="A747" s="163"/>
      <c r="B747" s="163"/>
      <c r="C747" s="163"/>
      <c r="D747" s="163"/>
      <c r="E747" s="163"/>
      <c r="F747" s="163"/>
      <c r="G747" s="163"/>
      <c r="H747" s="163"/>
      <c r="I747" s="163"/>
      <c r="J747" s="163"/>
      <c r="K747" s="163"/>
      <c r="L747" s="165"/>
      <c r="M747" s="163"/>
      <c r="N747" s="163"/>
      <c r="O747" s="163"/>
      <c r="P747" s="163"/>
      <c r="Q747" s="163"/>
      <c r="R747" s="163"/>
      <c r="S747" s="163"/>
      <c r="T747" s="163"/>
      <c r="U747" s="163"/>
      <c r="V747" s="163"/>
      <c r="W747" s="163"/>
      <c r="X747" s="163"/>
      <c r="Y747" s="163"/>
      <c r="Z747" s="163"/>
      <c r="AA747" s="163"/>
    </row>
    <row r="748">
      <c r="A748" s="163"/>
      <c r="B748" s="163"/>
      <c r="C748" s="163"/>
      <c r="D748" s="163"/>
      <c r="E748" s="163"/>
      <c r="F748" s="163"/>
      <c r="G748" s="163"/>
      <c r="H748" s="163"/>
      <c r="I748" s="163"/>
      <c r="J748" s="163"/>
      <c r="K748" s="163"/>
      <c r="L748" s="165"/>
      <c r="M748" s="163"/>
      <c r="N748" s="163"/>
      <c r="O748" s="163"/>
      <c r="P748" s="163"/>
      <c r="Q748" s="163"/>
      <c r="R748" s="163"/>
      <c r="S748" s="163"/>
      <c r="T748" s="163"/>
      <c r="U748" s="163"/>
      <c r="V748" s="163"/>
      <c r="W748" s="163"/>
      <c r="X748" s="163"/>
      <c r="Y748" s="163"/>
      <c r="Z748" s="163"/>
      <c r="AA748" s="163"/>
    </row>
    <row r="749">
      <c r="A749" s="163"/>
      <c r="B749" s="163"/>
      <c r="C749" s="163"/>
      <c r="D749" s="163"/>
      <c r="E749" s="163"/>
      <c r="F749" s="163"/>
      <c r="G749" s="163"/>
      <c r="H749" s="163"/>
      <c r="I749" s="163"/>
      <c r="J749" s="163"/>
      <c r="K749" s="163"/>
      <c r="L749" s="165"/>
      <c r="M749" s="163"/>
      <c r="N749" s="163"/>
      <c r="O749" s="163"/>
      <c r="P749" s="163"/>
      <c r="Q749" s="163"/>
      <c r="R749" s="163"/>
      <c r="S749" s="163"/>
      <c r="T749" s="163"/>
      <c r="U749" s="163"/>
      <c r="V749" s="163"/>
      <c r="W749" s="163"/>
      <c r="X749" s="163"/>
      <c r="Y749" s="163"/>
      <c r="Z749" s="163"/>
      <c r="AA749" s="163"/>
    </row>
    <row r="750">
      <c r="A750" s="163"/>
      <c r="B750" s="163"/>
      <c r="C750" s="163"/>
      <c r="D750" s="163"/>
      <c r="E750" s="163"/>
      <c r="F750" s="163"/>
      <c r="G750" s="163"/>
      <c r="H750" s="163"/>
      <c r="I750" s="163"/>
      <c r="J750" s="163"/>
      <c r="K750" s="163"/>
      <c r="L750" s="165"/>
      <c r="M750" s="163"/>
      <c r="N750" s="163"/>
      <c r="O750" s="163"/>
      <c r="P750" s="163"/>
      <c r="Q750" s="163"/>
      <c r="R750" s="163"/>
      <c r="S750" s="163"/>
      <c r="T750" s="163"/>
      <c r="U750" s="163"/>
      <c r="V750" s="163"/>
      <c r="W750" s="163"/>
      <c r="X750" s="163"/>
      <c r="Y750" s="163"/>
      <c r="Z750" s="163"/>
      <c r="AA750" s="163"/>
    </row>
    <row r="751">
      <c r="A751" s="163"/>
      <c r="B751" s="163"/>
      <c r="C751" s="163"/>
      <c r="D751" s="163"/>
      <c r="E751" s="163"/>
      <c r="F751" s="163"/>
      <c r="G751" s="163"/>
      <c r="H751" s="163"/>
      <c r="I751" s="163"/>
      <c r="J751" s="163"/>
      <c r="K751" s="163"/>
      <c r="L751" s="165"/>
      <c r="M751" s="163"/>
      <c r="N751" s="163"/>
      <c r="O751" s="163"/>
      <c r="P751" s="163"/>
      <c r="Q751" s="163"/>
      <c r="R751" s="163"/>
      <c r="S751" s="163"/>
      <c r="T751" s="163"/>
      <c r="U751" s="163"/>
      <c r="V751" s="163"/>
      <c r="W751" s="163"/>
      <c r="X751" s="163"/>
      <c r="Y751" s="163"/>
      <c r="Z751" s="163"/>
      <c r="AA751" s="163"/>
    </row>
    <row r="752">
      <c r="A752" s="163"/>
      <c r="B752" s="163"/>
      <c r="C752" s="163"/>
      <c r="D752" s="163"/>
      <c r="E752" s="163"/>
      <c r="F752" s="163"/>
      <c r="G752" s="163"/>
      <c r="H752" s="163"/>
      <c r="I752" s="163"/>
      <c r="J752" s="163"/>
      <c r="K752" s="163"/>
      <c r="L752" s="165"/>
      <c r="M752" s="163"/>
      <c r="N752" s="163"/>
      <c r="O752" s="163"/>
      <c r="P752" s="163"/>
      <c r="Q752" s="163"/>
      <c r="R752" s="163"/>
      <c r="S752" s="163"/>
      <c r="T752" s="163"/>
      <c r="U752" s="163"/>
      <c r="V752" s="163"/>
      <c r="W752" s="163"/>
      <c r="X752" s="163"/>
      <c r="Y752" s="163"/>
      <c r="Z752" s="163"/>
      <c r="AA752" s="163"/>
    </row>
    <row r="753">
      <c r="A753" s="163"/>
      <c r="B753" s="163"/>
      <c r="C753" s="163"/>
      <c r="D753" s="163"/>
      <c r="E753" s="163"/>
      <c r="F753" s="163"/>
      <c r="G753" s="163"/>
      <c r="H753" s="163"/>
      <c r="I753" s="163"/>
      <c r="J753" s="163"/>
      <c r="K753" s="163"/>
      <c r="L753" s="165"/>
      <c r="M753" s="163"/>
      <c r="N753" s="163"/>
      <c r="O753" s="163"/>
      <c r="P753" s="163"/>
      <c r="Q753" s="163"/>
      <c r="R753" s="163"/>
      <c r="S753" s="163"/>
      <c r="T753" s="163"/>
      <c r="U753" s="163"/>
      <c r="V753" s="163"/>
      <c r="W753" s="163"/>
      <c r="X753" s="163"/>
      <c r="Y753" s="163"/>
      <c r="Z753" s="163"/>
      <c r="AA753" s="163"/>
    </row>
    <row r="754">
      <c r="A754" s="163"/>
      <c r="B754" s="163"/>
      <c r="C754" s="163"/>
      <c r="D754" s="163"/>
      <c r="E754" s="163"/>
      <c r="F754" s="163"/>
      <c r="G754" s="163"/>
      <c r="H754" s="163"/>
      <c r="I754" s="163"/>
      <c r="J754" s="163"/>
      <c r="K754" s="163"/>
      <c r="L754" s="165"/>
      <c r="M754" s="163"/>
      <c r="N754" s="163"/>
      <c r="O754" s="163"/>
      <c r="P754" s="163"/>
      <c r="Q754" s="163"/>
      <c r="R754" s="163"/>
      <c r="S754" s="163"/>
      <c r="T754" s="163"/>
      <c r="U754" s="163"/>
      <c r="V754" s="163"/>
      <c r="W754" s="163"/>
      <c r="X754" s="163"/>
      <c r="Y754" s="163"/>
      <c r="Z754" s="163"/>
      <c r="AA754" s="163"/>
    </row>
    <row r="755">
      <c r="A755" s="163"/>
      <c r="B755" s="163"/>
      <c r="C755" s="163"/>
      <c r="D755" s="163"/>
      <c r="E755" s="163"/>
      <c r="F755" s="163"/>
      <c r="G755" s="163"/>
      <c r="H755" s="163"/>
      <c r="I755" s="163"/>
      <c r="J755" s="163"/>
      <c r="K755" s="163"/>
      <c r="L755" s="165"/>
      <c r="M755" s="163"/>
      <c r="N755" s="163"/>
      <c r="O755" s="163"/>
      <c r="P755" s="163"/>
      <c r="Q755" s="163"/>
      <c r="R755" s="163"/>
      <c r="S755" s="163"/>
      <c r="T755" s="163"/>
      <c r="U755" s="163"/>
      <c r="V755" s="163"/>
      <c r="W755" s="163"/>
      <c r="X755" s="163"/>
      <c r="Y755" s="163"/>
      <c r="Z755" s="163"/>
      <c r="AA755" s="163"/>
    </row>
    <row r="756">
      <c r="A756" s="163"/>
      <c r="B756" s="163"/>
      <c r="C756" s="163"/>
      <c r="D756" s="163"/>
      <c r="E756" s="163"/>
      <c r="F756" s="163"/>
      <c r="G756" s="163"/>
      <c r="H756" s="163"/>
      <c r="I756" s="163"/>
      <c r="J756" s="163"/>
      <c r="K756" s="163"/>
      <c r="L756" s="165"/>
      <c r="M756" s="163"/>
      <c r="N756" s="163"/>
      <c r="O756" s="163"/>
      <c r="P756" s="163"/>
      <c r="Q756" s="163"/>
      <c r="R756" s="163"/>
      <c r="S756" s="163"/>
      <c r="T756" s="163"/>
      <c r="U756" s="163"/>
      <c r="V756" s="163"/>
      <c r="W756" s="163"/>
      <c r="X756" s="163"/>
      <c r="Y756" s="163"/>
      <c r="Z756" s="163"/>
      <c r="AA756" s="163"/>
    </row>
    <row r="757">
      <c r="A757" s="163"/>
      <c r="B757" s="163"/>
      <c r="C757" s="163"/>
      <c r="D757" s="163"/>
      <c r="E757" s="163"/>
      <c r="F757" s="163"/>
      <c r="G757" s="163"/>
      <c r="H757" s="163"/>
      <c r="I757" s="163"/>
      <c r="J757" s="163"/>
      <c r="K757" s="163"/>
      <c r="L757" s="165"/>
      <c r="M757" s="163"/>
      <c r="N757" s="163"/>
      <c r="O757" s="163"/>
      <c r="P757" s="163"/>
      <c r="Q757" s="163"/>
      <c r="R757" s="163"/>
      <c r="S757" s="163"/>
      <c r="T757" s="163"/>
      <c r="U757" s="163"/>
      <c r="V757" s="163"/>
      <c r="W757" s="163"/>
      <c r="X757" s="163"/>
      <c r="Y757" s="163"/>
      <c r="Z757" s="163"/>
      <c r="AA757" s="163"/>
    </row>
    <row r="758">
      <c r="A758" s="163"/>
      <c r="B758" s="163"/>
      <c r="C758" s="163"/>
      <c r="D758" s="163"/>
      <c r="E758" s="163"/>
      <c r="F758" s="163"/>
      <c r="G758" s="163"/>
      <c r="H758" s="163"/>
      <c r="I758" s="163"/>
      <c r="J758" s="163"/>
      <c r="K758" s="163"/>
      <c r="L758" s="165"/>
      <c r="M758" s="163"/>
      <c r="N758" s="163"/>
      <c r="O758" s="163"/>
      <c r="P758" s="163"/>
      <c r="Q758" s="163"/>
      <c r="R758" s="163"/>
      <c r="S758" s="163"/>
      <c r="T758" s="163"/>
      <c r="U758" s="163"/>
      <c r="V758" s="163"/>
      <c r="W758" s="163"/>
      <c r="X758" s="163"/>
      <c r="Y758" s="163"/>
      <c r="Z758" s="163"/>
      <c r="AA758" s="163"/>
    </row>
    <row r="759">
      <c r="A759" s="163"/>
      <c r="B759" s="163"/>
      <c r="C759" s="163"/>
      <c r="D759" s="163"/>
      <c r="E759" s="163"/>
      <c r="F759" s="163"/>
      <c r="G759" s="163"/>
      <c r="H759" s="163"/>
      <c r="I759" s="163"/>
      <c r="J759" s="163"/>
      <c r="K759" s="163"/>
      <c r="L759" s="165"/>
      <c r="M759" s="163"/>
      <c r="N759" s="163"/>
      <c r="O759" s="163"/>
      <c r="P759" s="163"/>
      <c r="Q759" s="163"/>
      <c r="R759" s="163"/>
      <c r="S759" s="163"/>
      <c r="T759" s="163"/>
      <c r="U759" s="163"/>
      <c r="V759" s="163"/>
      <c r="W759" s="163"/>
      <c r="X759" s="163"/>
      <c r="Y759" s="163"/>
      <c r="Z759" s="163"/>
      <c r="AA759" s="163"/>
    </row>
    <row r="760">
      <c r="A760" s="163"/>
      <c r="B760" s="163"/>
      <c r="C760" s="163"/>
      <c r="D760" s="163"/>
      <c r="E760" s="163"/>
      <c r="F760" s="163"/>
      <c r="G760" s="163"/>
      <c r="H760" s="163"/>
      <c r="I760" s="163"/>
      <c r="J760" s="163"/>
      <c r="K760" s="163"/>
      <c r="L760" s="165"/>
      <c r="M760" s="163"/>
      <c r="N760" s="163"/>
      <c r="O760" s="163"/>
      <c r="P760" s="163"/>
      <c r="Q760" s="163"/>
      <c r="R760" s="163"/>
      <c r="S760" s="163"/>
      <c r="T760" s="163"/>
      <c r="U760" s="163"/>
      <c r="V760" s="163"/>
      <c r="W760" s="163"/>
      <c r="X760" s="163"/>
      <c r="Y760" s="163"/>
      <c r="Z760" s="163"/>
      <c r="AA760" s="163"/>
    </row>
    <row r="761">
      <c r="A761" s="163"/>
      <c r="B761" s="163"/>
      <c r="C761" s="163"/>
      <c r="D761" s="163"/>
      <c r="E761" s="163"/>
      <c r="F761" s="163"/>
      <c r="G761" s="163"/>
      <c r="H761" s="163"/>
      <c r="I761" s="163"/>
      <c r="J761" s="163"/>
      <c r="K761" s="163"/>
      <c r="L761" s="165"/>
      <c r="M761" s="163"/>
      <c r="N761" s="163"/>
      <c r="O761" s="163"/>
      <c r="P761" s="163"/>
      <c r="Q761" s="163"/>
      <c r="R761" s="163"/>
      <c r="S761" s="163"/>
      <c r="T761" s="163"/>
      <c r="U761" s="163"/>
      <c r="V761" s="163"/>
      <c r="W761" s="163"/>
      <c r="X761" s="163"/>
      <c r="Y761" s="163"/>
      <c r="Z761" s="163"/>
      <c r="AA761" s="163"/>
    </row>
    <row r="762">
      <c r="A762" s="163"/>
      <c r="B762" s="163"/>
      <c r="C762" s="163"/>
      <c r="D762" s="163"/>
      <c r="E762" s="163"/>
      <c r="F762" s="163"/>
      <c r="G762" s="163"/>
      <c r="H762" s="163"/>
      <c r="I762" s="163"/>
      <c r="J762" s="163"/>
      <c r="K762" s="163"/>
      <c r="L762" s="165"/>
      <c r="M762" s="163"/>
      <c r="N762" s="163"/>
      <c r="O762" s="163"/>
      <c r="P762" s="163"/>
      <c r="Q762" s="163"/>
      <c r="R762" s="163"/>
      <c r="S762" s="163"/>
      <c r="T762" s="163"/>
      <c r="U762" s="163"/>
      <c r="V762" s="163"/>
      <c r="W762" s="163"/>
      <c r="X762" s="163"/>
      <c r="Y762" s="163"/>
      <c r="Z762" s="163"/>
      <c r="AA762" s="163"/>
    </row>
    <row r="763">
      <c r="A763" s="163"/>
      <c r="B763" s="163"/>
      <c r="C763" s="163"/>
      <c r="D763" s="163"/>
      <c r="E763" s="163"/>
      <c r="F763" s="163"/>
      <c r="G763" s="163"/>
      <c r="H763" s="163"/>
      <c r="I763" s="163"/>
      <c r="J763" s="163"/>
      <c r="K763" s="163"/>
      <c r="L763" s="165"/>
      <c r="M763" s="163"/>
      <c r="N763" s="163"/>
      <c r="O763" s="163"/>
      <c r="P763" s="163"/>
      <c r="Q763" s="163"/>
      <c r="R763" s="163"/>
      <c r="S763" s="163"/>
      <c r="T763" s="163"/>
      <c r="U763" s="163"/>
      <c r="V763" s="163"/>
      <c r="W763" s="163"/>
      <c r="X763" s="163"/>
      <c r="Y763" s="163"/>
      <c r="Z763" s="163"/>
      <c r="AA763" s="163"/>
    </row>
    <row r="764">
      <c r="A764" s="163"/>
      <c r="B764" s="163"/>
      <c r="C764" s="163"/>
      <c r="D764" s="163"/>
      <c r="E764" s="163"/>
      <c r="F764" s="163"/>
      <c r="G764" s="163"/>
      <c r="H764" s="163"/>
      <c r="I764" s="163"/>
      <c r="J764" s="163"/>
      <c r="K764" s="163"/>
      <c r="L764" s="165"/>
      <c r="M764" s="163"/>
      <c r="N764" s="163"/>
      <c r="O764" s="163"/>
      <c r="P764" s="163"/>
      <c r="Q764" s="163"/>
      <c r="R764" s="163"/>
      <c r="S764" s="163"/>
      <c r="T764" s="163"/>
      <c r="U764" s="163"/>
      <c r="V764" s="163"/>
      <c r="W764" s="163"/>
      <c r="X764" s="163"/>
      <c r="Y764" s="163"/>
      <c r="Z764" s="163"/>
      <c r="AA764" s="163"/>
    </row>
    <row r="765">
      <c r="A765" s="163"/>
      <c r="B765" s="163"/>
      <c r="C765" s="163"/>
      <c r="D765" s="163"/>
      <c r="E765" s="163"/>
      <c r="F765" s="163"/>
      <c r="G765" s="163"/>
      <c r="H765" s="163"/>
      <c r="I765" s="163"/>
      <c r="J765" s="163"/>
      <c r="K765" s="163"/>
      <c r="L765" s="165"/>
      <c r="M765" s="163"/>
      <c r="N765" s="163"/>
      <c r="O765" s="163"/>
      <c r="P765" s="163"/>
      <c r="Q765" s="163"/>
      <c r="R765" s="163"/>
      <c r="S765" s="163"/>
      <c r="T765" s="163"/>
      <c r="U765" s="163"/>
      <c r="V765" s="163"/>
      <c r="W765" s="163"/>
      <c r="X765" s="163"/>
      <c r="Y765" s="163"/>
      <c r="Z765" s="163"/>
      <c r="AA765" s="163"/>
    </row>
    <row r="766">
      <c r="A766" s="163"/>
      <c r="B766" s="163"/>
      <c r="C766" s="163"/>
      <c r="D766" s="163"/>
      <c r="E766" s="163"/>
      <c r="F766" s="163"/>
      <c r="G766" s="163"/>
      <c r="H766" s="163"/>
      <c r="I766" s="163"/>
      <c r="J766" s="163"/>
      <c r="K766" s="163"/>
      <c r="L766" s="165"/>
      <c r="M766" s="163"/>
      <c r="N766" s="163"/>
      <c r="O766" s="163"/>
      <c r="P766" s="163"/>
      <c r="Q766" s="163"/>
      <c r="R766" s="163"/>
      <c r="S766" s="163"/>
      <c r="T766" s="163"/>
      <c r="U766" s="163"/>
      <c r="V766" s="163"/>
      <c r="W766" s="163"/>
      <c r="X766" s="163"/>
      <c r="Y766" s="163"/>
      <c r="Z766" s="163"/>
      <c r="AA766" s="163"/>
    </row>
    <row r="767">
      <c r="A767" s="163"/>
      <c r="B767" s="163"/>
      <c r="C767" s="163"/>
      <c r="D767" s="163"/>
      <c r="E767" s="163"/>
      <c r="F767" s="163"/>
      <c r="G767" s="163"/>
      <c r="H767" s="163"/>
      <c r="I767" s="163"/>
      <c r="J767" s="163"/>
      <c r="K767" s="163"/>
      <c r="L767" s="165"/>
      <c r="M767" s="163"/>
      <c r="N767" s="163"/>
      <c r="O767" s="163"/>
      <c r="P767" s="163"/>
      <c r="Q767" s="163"/>
      <c r="R767" s="163"/>
      <c r="S767" s="163"/>
      <c r="T767" s="163"/>
      <c r="U767" s="163"/>
      <c r="V767" s="163"/>
      <c r="W767" s="163"/>
      <c r="X767" s="163"/>
      <c r="Y767" s="163"/>
      <c r="Z767" s="163"/>
      <c r="AA767" s="163"/>
    </row>
    <row r="768">
      <c r="A768" s="163"/>
      <c r="B768" s="163"/>
      <c r="C768" s="163"/>
      <c r="D768" s="163"/>
      <c r="E768" s="163"/>
      <c r="F768" s="163"/>
      <c r="G768" s="163"/>
      <c r="H768" s="163"/>
      <c r="I768" s="163"/>
      <c r="J768" s="163"/>
      <c r="K768" s="163"/>
      <c r="L768" s="165"/>
      <c r="M768" s="163"/>
      <c r="N768" s="163"/>
      <c r="O768" s="163"/>
      <c r="P768" s="163"/>
      <c r="Q768" s="163"/>
      <c r="R768" s="163"/>
      <c r="S768" s="163"/>
      <c r="T768" s="163"/>
      <c r="U768" s="163"/>
      <c r="V768" s="163"/>
      <c r="W768" s="163"/>
      <c r="X768" s="163"/>
      <c r="Y768" s="163"/>
      <c r="Z768" s="163"/>
      <c r="AA768" s="163"/>
    </row>
    <row r="769">
      <c r="A769" s="163"/>
      <c r="B769" s="163"/>
      <c r="C769" s="163"/>
      <c r="D769" s="163"/>
      <c r="E769" s="163"/>
      <c r="F769" s="163"/>
      <c r="G769" s="163"/>
      <c r="H769" s="163"/>
      <c r="I769" s="163"/>
      <c r="J769" s="163"/>
      <c r="K769" s="163"/>
      <c r="L769" s="165"/>
      <c r="M769" s="163"/>
      <c r="N769" s="163"/>
      <c r="O769" s="163"/>
      <c r="P769" s="163"/>
      <c r="Q769" s="163"/>
      <c r="R769" s="163"/>
      <c r="S769" s="163"/>
      <c r="T769" s="163"/>
      <c r="U769" s="163"/>
      <c r="V769" s="163"/>
      <c r="W769" s="163"/>
      <c r="X769" s="163"/>
      <c r="Y769" s="163"/>
      <c r="Z769" s="163"/>
      <c r="AA769" s="163"/>
    </row>
    <row r="770">
      <c r="A770" s="163"/>
      <c r="B770" s="163"/>
      <c r="C770" s="163"/>
      <c r="D770" s="163"/>
      <c r="E770" s="163"/>
      <c r="F770" s="163"/>
      <c r="G770" s="163"/>
      <c r="H770" s="163"/>
      <c r="I770" s="163"/>
      <c r="J770" s="163"/>
      <c r="K770" s="163"/>
      <c r="L770" s="165"/>
      <c r="M770" s="163"/>
      <c r="N770" s="163"/>
      <c r="O770" s="163"/>
      <c r="P770" s="163"/>
      <c r="Q770" s="163"/>
      <c r="R770" s="163"/>
      <c r="S770" s="163"/>
      <c r="T770" s="163"/>
      <c r="U770" s="163"/>
      <c r="V770" s="163"/>
      <c r="W770" s="163"/>
      <c r="X770" s="163"/>
      <c r="Y770" s="163"/>
      <c r="Z770" s="163"/>
      <c r="AA770" s="163"/>
    </row>
    <row r="771">
      <c r="A771" s="163"/>
      <c r="B771" s="163"/>
      <c r="C771" s="163"/>
      <c r="D771" s="163"/>
      <c r="E771" s="163"/>
      <c r="F771" s="163"/>
      <c r="G771" s="163"/>
      <c r="H771" s="163"/>
      <c r="I771" s="163"/>
      <c r="J771" s="163"/>
      <c r="K771" s="163"/>
      <c r="L771" s="165"/>
      <c r="M771" s="163"/>
      <c r="N771" s="163"/>
      <c r="O771" s="163"/>
      <c r="P771" s="163"/>
      <c r="Q771" s="163"/>
      <c r="R771" s="163"/>
      <c r="S771" s="163"/>
      <c r="T771" s="163"/>
      <c r="U771" s="163"/>
      <c r="V771" s="163"/>
      <c r="W771" s="163"/>
      <c r="X771" s="163"/>
      <c r="Y771" s="163"/>
      <c r="Z771" s="163"/>
      <c r="AA771" s="163"/>
    </row>
    <row r="772">
      <c r="A772" s="163"/>
      <c r="B772" s="163"/>
      <c r="C772" s="163"/>
      <c r="D772" s="163"/>
      <c r="E772" s="163"/>
      <c r="F772" s="163"/>
      <c r="G772" s="163"/>
      <c r="H772" s="163"/>
      <c r="I772" s="163"/>
      <c r="J772" s="163"/>
      <c r="K772" s="163"/>
      <c r="L772" s="165"/>
      <c r="M772" s="163"/>
      <c r="N772" s="163"/>
      <c r="O772" s="163"/>
      <c r="P772" s="163"/>
      <c r="Q772" s="163"/>
      <c r="R772" s="163"/>
      <c r="S772" s="163"/>
      <c r="T772" s="163"/>
      <c r="U772" s="163"/>
      <c r="V772" s="163"/>
      <c r="W772" s="163"/>
      <c r="X772" s="163"/>
      <c r="Y772" s="163"/>
      <c r="Z772" s="163"/>
      <c r="AA772" s="163"/>
    </row>
    <row r="773">
      <c r="A773" s="163"/>
      <c r="B773" s="163"/>
      <c r="C773" s="163"/>
      <c r="D773" s="163"/>
      <c r="E773" s="163"/>
      <c r="F773" s="163"/>
      <c r="G773" s="163"/>
      <c r="H773" s="163"/>
      <c r="I773" s="163"/>
      <c r="J773" s="163"/>
      <c r="K773" s="163"/>
      <c r="L773" s="165"/>
      <c r="M773" s="163"/>
      <c r="N773" s="163"/>
      <c r="O773" s="163"/>
      <c r="P773" s="163"/>
      <c r="Q773" s="163"/>
      <c r="R773" s="163"/>
      <c r="S773" s="163"/>
      <c r="T773" s="163"/>
      <c r="U773" s="163"/>
      <c r="V773" s="163"/>
      <c r="W773" s="163"/>
      <c r="X773" s="163"/>
      <c r="Y773" s="163"/>
      <c r="Z773" s="163"/>
      <c r="AA773" s="163"/>
    </row>
    <row r="774">
      <c r="A774" s="163"/>
      <c r="B774" s="163"/>
      <c r="C774" s="163"/>
      <c r="D774" s="163"/>
      <c r="E774" s="163"/>
      <c r="F774" s="163"/>
      <c r="G774" s="163"/>
      <c r="H774" s="163"/>
      <c r="I774" s="163"/>
      <c r="J774" s="163"/>
      <c r="K774" s="163"/>
      <c r="L774" s="165"/>
      <c r="M774" s="163"/>
      <c r="N774" s="163"/>
      <c r="O774" s="163"/>
      <c r="P774" s="163"/>
      <c r="Q774" s="163"/>
      <c r="R774" s="163"/>
      <c r="S774" s="163"/>
      <c r="T774" s="163"/>
      <c r="U774" s="163"/>
      <c r="V774" s="163"/>
      <c r="W774" s="163"/>
      <c r="X774" s="163"/>
      <c r="Y774" s="163"/>
      <c r="Z774" s="163"/>
      <c r="AA774" s="163"/>
    </row>
    <row r="775">
      <c r="A775" s="163"/>
      <c r="B775" s="163"/>
      <c r="C775" s="163"/>
      <c r="D775" s="163"/>
      <c r="E775" s="163"/>
      <c r="F775" s="163"/>
      <c r="G775" s="163"/>
      <c r="H775" s="163"/>
      <c r="I775" s="163"/>
      <c r="J775" s="163"/>
      <c r="K775" s="163"/>
      <c r="L775" s="165"/>
      <c r="M775" s="163"/>
      <c r="N775" s="163"/>
      <c r="O775" s="163"/>
      <c r="P775" s="163"/>
      <c r="Q775" s="163"/>
      <c r="R775" s="163"/>
      <c r="S775" s="163"/>
      <c r="T775" s="163"/>
      <c r="U775" s="163"/>
      <c r="V775" s="163"/>
      <c r="W775" s="163"/>
      <c r="X775" s="163"/>
      <c r="Y775" s="163"/>
      <c r="Z775" s="163"/>
      <c r="AA775" s="163"/>
    </row>
    <row r="776">
      <c r="A776" s="163"/>
      <c r="B776" s="163"/>
      <c r="C776" s="163"/>
      <c r="D776" s="163"/>
      <c r="E776" s="163"/>
      <c r="F776" s="163"/>
      <c r="G776" s="163"/>
      <c r="H776" s="163"/>
      <c r="I776" s="163"/>
      <c r="J776" s="163"/>
      <c r="K776" s="163"/>
      <c r="L776" s="165"/>
      <c r="M776" s="163"/>
      <c r="N776" s="163"/>
      <c r="O776" s="163"/>
      <c r="P776" s="163"/>
      <c r="Q776" s="163"/>
      <c r="R776" s="163"/>
      <c r="S776" s="163"/>
      <c r="T776" s="163"/>
      <c r="U776" s="163"/>
      <c r="V776" s="163"/>
      <c r="W776" s="163"/>
      <c r="X776" s="163"/>
      <c r="Y776" s="163"/>
      <c r="Z776" s="163"/>
      <c r="AA776" s="163"/>
    </row>
    <row r="777">
      <c r="A777" s="163"/>
      <c r="B777" s="163"/>
      <c r="C777" s="163"/>
      <c r="D777" s="163"/>
      <c r="E777" s="163"/>
      <c r="F777" s="163"/>
      <c r="G777" s="163"/>
      <c r="H777" s="163"/>
      <c r="I777" s="163"/>
      <c r="J777" s="163"/>
      <c r="K777" s="163"/>
      <c r="L777" s="165"/>
      <c r="M777" s="163"/>
      <c r="N777" s="163"/>
      <c r="O777" s="163"/>
      <c r="P777" s="163"/>
      <c r="Q777" s="163"/>
      <c r="R777" s="163"/>
      <c r="S777" s="163"/>
      <c r="T777" s="163"/>
      <c r="U777" s="163"/>
      <c r="V777" s="163"/>
      <c r="W777" s="163"/>
      <c r="X777" s="163"/>
      <c r="Y777" s="163"/>
      <c r="Z777" s="163"/>
      <c r="AA777" s="163"/>
    </row>
    <row r="778">
      <c r="A778" s="163"/>
      <c r="B778" s="163"/>
      <c r="C778" s="163"/>
      <c r="D778" s="163"/>
      <c r="E778" s="163"/>
      <c r="F778" s="163"/>
      <c r="G778" s="163"/>
      <c r="H778" s="163"/>
      <c r="I778" s="163"/>
      <c r="J778" s="163"/>
      <c r="K778" s="163"/>
      <c r="L778" s="165"/>
      <c r="M778" s="163"/>
      <c r="N778" s="163"/>
      <c r="O778" s="163"/>
      <c r="P778" s="163"/>
      <c r="Q778" s="163"/>
      <c r="R778" s="163"/>
      <c r="S778" s="163"/>
      <c r="T778" s="163"/>
      <c r="U778" s="163"/>
      <c r="V778" s="163"/>
      <c r="W778" s="163"/>
      <c r="X778" s="163"/>
      <c r="Y778" s="163"/>
      <c r="Z778" s="163"/>
      <c r="AA778" s="163"/>
    </row>
    <row r="779">
      <c r="A779" s="163"/>
      <c r="B779" s="163"/>
      <c r="C779" s="163"/>
      <c r="D779" s="163"/>
      <c r="E779" s="163"/>
      <c r="F779" s="163"/>
      <c r="G779" s="163"/>
      <c r="H779" s="163"/>
      <c r="I779" s="163"/>
      <c r="J779" s="163"/>
      <c r="K779" s="163"/>
      <c r="L779" s="165"/>
      <c r="M779" s="163"/>
      <c r="N779" s="163"/>
      <c r="O779" s="163"/>
      <c r="P779" s="163"/>
      <c r="Q779" s="163"/>
      <c r="R779" s="163"/>
      <c r="S779" s="163"/>
      <c r="T779" s="163"/>
      <c r="U779" s="163"/>
      <c r="V779" s="163"/>
      <c r="W779" s="163"/>
      <c r="X779" s="163"/>
      <c r="Y779" s="163"/>
      <c r="Z779" s="163"/>
      <c r="AA779" s="163"/>
    </row>
    <row r="780">
      <c r="A780" s="163"/>
      <c r="B780" s="163"/>
      <c r="C780" s="163"/>
      <c r="D780" s="163"/>
      <c r="E780" s="163"/>
      <c r="F780" s="163"/>
      <c r="G780" s="163"/>
      <c r="H780" s="163"/>
      <c r="I780" s="163"/>
      <c r="J780" s="163"/>
      <c r="K780" s="163"/>
      <c r="L780" s="165"/>
      <c r="M780" s="163"/>
      <c r="N780" s="163"/>
      <c r="O780" s="163"/>
      <c r="P780" s="163"/>
      <c r="Q780" s="163"/>
      <c r="R780" s="163"/>
      <c r="S780" s="163"/>
      <c r="T780" s="163"/>
      <c r="U780" s="163"/>
      <c r="V780" s="163"/>
      <c r="W780" s="163"/>
      <c r="X780" s="163"/>
      <c r="Y780" s="163"/>
      <c r="Z780" s="163"/>
      <c r="AA780" s="163"/>
    </row>
    <row r="781">
      <c r="A781" s="163"/>
      <c r="B781" s="163"/>
      <c r="C781" s="163"/>
      <c r="D781" s="163"/>
      <c r="E781" s="163"/>
      <c r="F781" s="163"/>
      <c r="G781" s="163"/>
      <c r="H781" s="163"/>
      <c r="I781" s="163"/>
      <c r="J781" s="163"/>
      <c r="K781" s="163"/>
      <c r="L781" s="165"/>
      <c r="M781" s="163"/>
      <c r="N781" s="163"/>
      <c r="O781" s="163"/>
      <c r="P781" s="163"/>
      <c r="Q781" s="163"/>
      <c r="R781" s="163"/>
      <c r="S781" s="163"/>
      <c r="T781" s="163"/>
      <c r="U781" s="163"/>
      <c r="V781" s="163"/>
      <c r="W781" s="163"/>
      <c r="X781" s="163"/>
      <c r="Y781" s="163"/>
      <c r="Z781" s="163"/>
      <c r="AA781" s="163"/>
    </row>
    <row r="782">
      <c r="A782" s="163"/>
      <c r="B782" s="163"/>
      <c r="C782" s="163"/>
      <c r="D782" s="163"/>
      <c r="E782" s="163"/>
      <c r="F782" s="163"/>
      <c r="G782" s="163"/>
      <c r="H782" s="163"/>
      <c r="I782" s="163"/>
      <c r="J782" s="163"/>
      <c r="K782" s="163"/>
      <c r="L782" s="165"/>
      <c r="M782" s="163"/>
      <c r="N782" s="163"/>
      <c r="O782" s="163"/>
      <c r="P782" s="163"/>
      <c r="Q782" s="163"/>
      <c r="R782" s="163"/>
      <c r="S782" s="163"/>
      <c r="T782" s="163"/>
      <c r="U782" s="163"/>
      <c r="V782" s="163"/>
      <c r="W782" s="163"/>
      <c r="X782" s="163"/>
      <c r="Y782" s="163"/>
      <c r="Z782" s="163"/>
      <c r="AA782" s="163"/>
    </row>
    <row r="783">
      <c r="A783" s="163"/>
      <c r="B783" s="163"/>
      <c r="C783" s="163"/>
      <c r="D783" s="163"/>
      <c r="E783" s="163"/>
      <c r="F783" s="163"/>
      <c r="G783" s="163"/>
      <c r="H783" s="163"/>
      <c r="I783" s="163"/>
      <c r="J783" s="163"/>
      <c r="K783" s="163"/>
      <c r="L783" s="165"/>
      <c r="M783" s="163"/>
      <c r="N783" s="163"/>
      <c r="O783" s="163"/>
      <c r="P783" s="163"/>
      <c r="Q783" s="163"/>
      <c r="R783" s="163"/>
      <c r="S783" s="163"/>
      <c r="T783" s="163"/>
      <c r="U783" s="163"/>
      <c r="V783" s="163"/>
      <c r="W783" s="163"/>
      <c r="X783" s="163"/>
      <c r="Y783" s="163"/>
      <c r="Z783" s="163"/>
      <c r="AA783" s="163"/>
    </row>
    <row r="784">
      <c r="A784" s="163"/>
      <c r="B784" s="163"/>
      <c r="C784" s="163"/>
      <c r="D784" s="163"/>
      <c r="E784" s="163"/>
      <c r="F784" s="163"/>
      <c r="G784" s="163"/>
      <c r="H784" s="163"/>
      <c r="I784" s="163"/>
      <c r="J784" s="163"/>
      <c r="K784" s="163"/>
      <c r="L784" s="165"/>
      <c r="M784" s="163"/>
      <c r="N784" s="163"/>
      <c r="O784" s="163"/>
      <c r="P784" s="163"/>
      <c r="Q784" s="163"/>
      <c r="R784" s="163"/>
      <c r="S784" s="163"/>
      <c r="T784" s="163"/>
      <c r="U784" s="163"/>
      <c r="V784" s="163"/>
      <c r="W784" s="163"/>
      <c r="X784" s="163"/>
      <c r="Y784" s="163"/>
      <c r="Z784" s="163"/>
      <c r="AA784" s="163"/>
    </row>
    <row r="785">
      <c r="A785" s="163"/>
      <c r="B785" s="163"/>
      <c r="C785" s="163"/>
      <c r="D785" s="163"/>
      <c r="E785" s="163"/>
      <c r="F785" s="163"/>
      <c r="G785" s="163"/>
      <c r="H785" s="163"/>
      <c r="I785" s="163"/>
      <c r="J785" s="163"/>
      <c r="K785" s="163"/>
      <c r="L785" s="165"/>
      <c r="M785" s="163"/>
      <c r="N785" s="163"/>
      <c r="O785" s="163"/>
      <c r="P785" s="163"/>
      <c r="Q785" s="163"/>
      <c r="R785" s="163"/>
      <c r="S785" s="163"/>
      <c r="T785" s="163"/>
      <c r="U785" s="163"/>
      <c r="V785" s="163"/>
      <c r="W785" s="163"/>
      <c r="X785" s="163"/>
      <c r="Y785" s="163"/>
      <c r="Z785" s="163"/>
      <c r="AA785" s="163"/>
    </row>
    <row r="786">
      <c r="A786" s="163"/>
      <c r="B786" s="163"/>
      <c r="C786" s="163"/>
      <c r="D786" s="163"/>
      <c r="E786" s="163"/>
      <c r="F786" s="163"/>
      <c r="G786" s="163"/>
      <c r="H786" s="163"/>
      <c r="I786" s="163"/>
      <c r="J786" s="163"/>
      <c r="K786" s="163"/>
      <c r="L786" s="165"/>
      <c r="M786" s="163"/>
      <c r="N786" s="163"/>
      <c r="O786" s="163"/>
      <c r="P786" s="163"/>
      <c r="Q786" s="163"/>
      <c r="R786" s="163"/>
      <c r="S786" s="163"/>
      <c r="T786" s="163"/>
      <c r="U786" s="163"/>
      <c r="V786" s="163"/>
      <c r="W786" s="163"/>
      <c r="X786" s="163"/>
      <c r="Y786" s="163"/>
      <c r="Z786" s="163"/>
      <c r="AA786" s="163"/>
    </row>
    <row r="787">
      <c r="A787" s="163"/>
      <c r="B787" s="163"/>
      <c r="C787" s="163"/>
      <c r="D787" s="163"/>
      <c r="E787" s="163"/>
      <c r="F787" s="163"/>
      <c r="G787" s="163"/>
      <c r="H787" s="163"/>
      <c r="I787" s="163"/>
      <c r="J787" s="163"/>
      <c r="K787" s="163"/>
      <c r="L787" s="165"/>
      <c r="M787" s="163"/>
      <c r="N787" s="163"/>
      <c r="O787" s="163"/>
      <c r="P787" s="163"/>
      <c r="Q787" s="163"/>
      <c r="R787" s="163"/>
      <c r="S787" s="163"/>
      <c r="T787" s="163"/>
      <c r="U787" s="163"/>
      <c r="V787" s="163"/>
      <c r="W787" s="163"/>
      <c r="X787" s="163"/>
      <c r="Y787" s="163"/>
      <c r="Z787" s="163"/>
      <c r="AA787" s="163"/>
    </row>
    <row r="788">
      <c r="A788" s="163"/>
      <c r="B788" s="163"/>
      <c r="C788" s="163"/>
      <c r="D788" s="163"/>
      <c r="E788" s="163"/>
      <c r="F788" s="163"/>
      <c r="G788" s="163"/>
      <c r="H788" s="163"/>
      <c r="I788" s="163"/>
      <c r="J788" s="163"/>
      <c r="K788" s="163"/>
      <c r="L788" s="165"/>
      <c r="M788" s="163"/>
      <c r="N788" s="163"/>
      <c r="O788" s="163"/>
      <c r="P788" s="163"/>
      <c r="Q788" s="163"/>
      <c r="R788" s="163"/>
      <c r="S788" s="163"/>
      <c r="T788" s="163"/>
      <c r="U788" s="163"/>
      <c r="V788" s="163"/>
      <c r="W788" s="163"/>
      <c r="X788" s="163"/>
      <c r="Y788" s="163"/>
      <c r="Z788" s="163"/>
      <c r="AA788" s="163"/>
    </row>
    <row r="789">
      <c r="A789" s="163"/>
      <c r="B789" s="163"/>
      <c r="C789" s="163"/>
      <c r="D789" s="163"/>
      <c r="E789" s="163"/>
      <c r="F789" s="163"/>
      <c r="G789" s="163"/>
      <c r="H789" s="163"/>
      <c r="I789" s="163"/>
      <c r="J789" s="163"/>
      <c r="K789" s="163"/>
      <c r="L789" s="165"/>
      <c r="M789" s="163"/>
      <c r="N789" s="163"/>
      <c r="O789" s="163"/>
      <c r="P789" s="163"/>
      <c r="Q789" s="163"/>
      <c r="R789" s="163"/>
      <c r="S789" s="163"/>
      <c r="T789" s="163"/>
      <c r="U789" s="163"/>
      <c r="V789" s="163"/>
      <c r="W789" s="163"/>
      <c r="X789" s="163"/>
      <c r="Y789" s="163"/>
      <c r="Z789" s="163"/>
      <c r="AA789" s="163"/>
    </row>
    <row r="790">
      <c r="A790" s="163"/>
      <c r="B790" s="163"/>
      <c r="C790" s="163"/>
      <c r="D790" s="163"/>
      <c r="E790" s="163"/>
      <c r="F790" s="163"/>
      <c r="G790" s="163"/>
      <c r="H790" s="163"/>
      <c r="I790" s="163"/>
      <c r="J790" s="163"/>
      <c r="K790" s="163"/>
      <c r="L790" s="165"/>
      <c r="M790" s="163"/>
      <c r="N790" s="163"/>
      <c r="O790" s="163"/>
      <c r="P790" s="163"/>
      <c r="Q790" s="163"/>
      <c r="R790" s="163"/>
      <c r="S790" s="163"/>
      <c r="T790" s="163"/>
      <c r="U790" s="163"/>
      <c r="V790" s="163"/>
      <c r="W790" s="163"/>
      <c r="X790" s="163"/>
      <c r="Y790" s="163"/>
      <c r="Z790" s="163"/>
      <c r="AA790" s="163"/>
    </row>
    <row r="791">
      <c r="A791" s="163"/>
      <c r="B791" s="163"/>
      <c r="C791" s="163"/>
      <c r="D791" s="163"/>
      <c r="E791" s="163"/>
      <c r="F791" s="163"/>
      <c r="G791" s="163"/>
      <c r="H791" s="163"/>
      <c r="I791" s="163"/>
      <c r="J791" s="163"/>
      <c r="K791" s="163"/>
      <c r="L791" s="165"/>
      <c r="M791" s="163"/>
      <c r="N791" s="163"/>
      <c r="O791" s="163"/>
      <c r="P791" s="163"/>
      <c r="Q791" s="163"/>
      <c r="R791" s="163"/>
      <c r="S791" s="163"/>
      <c r="T791" s="163"/>
      <c r="U791" s="163"/>
      <c r="V791" s="163"/>
      <c r="W791" s="163"/>
      <c r="X791" s="163"/>
      <c r="Y791" s="163"/>
      <c r="Z791" s="163"/>
      <c r="AA791" s="163"/>
    </row>
    <row r="792">
      <c r="A792" s="163"/>
      <c r="B792" s="163"/>
      <c r="C792" s="163"/>
      <c r="D792" s="163"/>
      <c r="E792" s="163"/>
      <c r="F792" s="163"/>
      <c r="G792" s="163"/>
      <c r="H792" s="163"/>
      <c r="I792" s="163"/>
      <c r="J792" s="163"/>
      <c r="K792" s="163"/>
      <c r="L792" s="165"/>
      <c r="M792" s="163"/>
      <c r="N792" s="163"/>
      <c r="O792" s="163"/>
      <c r="P792" s="163"/>
      <c r="Q792" s="163"/>
      <c r="R792" s="163"/>
      <c r="S792" s="163"/>
      <c r="T792" s="163"/>
      <c r="U792" s="163"/>
      <c r="V792" s="163"/>
      <c r="W792" s="163"/>
      <c r="X792" s="163"/>
      <c r="Y792" s="163"/>
      <c r="Z792" s="163"/>
      <c r="AA792" s="163"/>
    </row>
    <row r="793">
      <c r="A793" s="163"/>
      <c r="B793" s="163"/>
      <c r="C793" s="163"/>
      <c r="D793" s="163"/>
      <c r="E793" s="163"/>
      <c r="F793" s="163"/>
      <c r="G793" s="163"/>
      <c r="H793" s="163"/>
      <c r="I793" s="163"/>
      <c r="J793" s="163"/>
      <c r="K793" s="163"/>
      <c r="L793" s="165"/>
      <c r="M793" s="163"/>
      <c r="N793" s="163"/>
      <c r="O793" s="163"/>
      <c r="P793" s="163"/>
      <c r="Q793" s="163"/>
      <c r="R793" s="163"/>
      <c r="S793" s="163"/>
      <c r="T793" s="163"/>
      <c r="U793" s="163"/>
      <c r="V793" s="163"/>
      <c r="W793" s="163"/>
      <c r="X793" s="163"/>
      <c r="Y793" s="163"/>
      <c r="Z793" s="163"/>
      <c r="AA793" s="163"/>
    </row>
    <row r="794">
      <c r="A794" s="163"/>
      <c r="B794" s="163"/>
      <c r="C794" s="163"/>
      <c r="D794" s="163"/>
      <c r="E794" s="163"/>
      <c r="F794" s="163"/>
      <c r="G794" s="163"/>
      <c r="H794" s="163"/>
      <c r="I794" s="163"/>
      <c r="J794" s="163"/>
      <c r="K794" s="163"/>
      <c r="L794" s="165"/>
      <c r="M794" s="163"/>
      <c r="N794" s="163"/>
      <c r="O794" s="163"/>
      <c r="P794" s="163"/>
      <c r="Q794" s="163"/>
      <c r="R794" s="163"/>
      <c r="S794" s="163"/>
      <c r="T794" s="163"/>
      <c r="U794" s="163"/>
      <c r="V794" s="163"/>
      <c r="W794" s="163"/>
      <c r="X794" s="163"/>
      <c r="Y794" s="163"/>
      <c r="Z794" s="163"/>
      <c r="AA794" s="163"/>
    </row>
    <row r="795">
      <c r="A795" s="163"/>
      <c r="B795" s="163"/>
      <c r="C795" s="163"/>
      <c r="D795" s="163"/>
      <c r="E795" s="163"/>
      <c r="F795" s="163"/>
      <c r="G795" s="163"/>
      <c r="H795" s="163"/>
      <c r="I795" s="163"/>
      <c r="J795" s="163"/>
      <c r="K795" s="163"/>
      <c r="L795" s="165"/>
      <c r="M795" s="163"/>
      <c r="N795" s="163"/>
      <c r="O795" s="163"/>
      <c r="P795" s="163"/>
      <c r="Q795" s="163"/>
      <c r="R795" s="163"/>
      <c r="S795" s="163"/>
      <c r="T795" s="163"/>
      <c r="U795" s="163"/>
      <c r="V795" s="163"/>
      <c r="W795" s="163"/>
      <c r="X795" s="163"/>
      <c r="Y795" s="163"/>
      <c r="Z795" s="163"/>
      <c r="AA795" s="163"/>
    </row>
    <row r="796">
      <c r="A796" s="163"/>
      <c r="B796" s="163"/>
      <c r="C796" s="163"/>
      <c r="D796" s="163"/>
      <c r="E796" s="163"/>
      <c r="F796" s="163"/>
      <c r="G796" s="163"/>
      <c r="H796" s="163"/>
      <c r="I796" s="163"/>
      <c r="J796" s="163"/>
      <c r="K796" s="163"/>
      <c r="L796" s="165"/>
      <c r="M796" s="163"/>
      <c r="N796" s="163"/>
      <c r="O796" s="163"/>
      <c r="P796" s="163"/>
      <c r="Q796" s="163"/>
      <c r="R796" s="163"/>
      <c r="S796" s="163"/>
      <c r="T796" s="163"/>
      <c r="U796" s="163"/>
      <c r="V796" s="163"/>
      <c r="W796" s="163"/>
      <c r="X796" s="163"/>
      <c r="Y796" s="163"/>
      <c r="Z796" s="163"/>
      <c r="AA796" s="163"/>
    </row>
    <row r="797">
      <c r="A797" s="163"/>
      <c r="B797" s="163"/>
      <c r="C797" s="163"/>
      <c r="D797" s="163"/>
      <c r="E797" s="163"/>
      <c r="F797" s="163"/>
      <c r="G797" s="163"/>
      <c r="H797" s="163"/>
      <c r="I797" s="163"/>
      <c r="J797" s="163"/>
      <c r="K797" s="163"/>
      <c r="L797" s="165"/>
      <c r="M797" s="163"/>
      <c r="N797" s="163"/>
      <c r="O797" s="163"/>
      <c r="P797" s="163"/>
      <c r="Q797" s="163"/>
      <c r="R797" s="163"/>
      <c r="S797" s="163"/>
      <c r="T797" s="163"/>
      <c r="U797" s="163"/>
      <c r="V797" s="163"/>
      <c r="W797" s="163"/>
      <c r="X797" s="163"/>
      <c r="Y797" s="163"/>
      <c r="Z797" s="163"/>
      <c r="AA797" s="163"/>
    </row>
    <row r="798">
      <c r="A798" s="163"/>
      <c r="B798" s="163"/>
      <c r="C798" s="163"/>
      <c r="D798" s="163"/>
      <c r="E798" s="163"/>
      <c r="F798" s="163"/>
      <c r="G798" s="163"/>
      <c r="H798" s="163"/>
      <c r="I798" s="163"/>
      <c r="J798" s="163"/>
      <c r="K798" s="163"/>
      <c r="L798" s="165"/>
      <c r="M798" s="163"/>
      <c r="N798" s="163"/>
      <c r="O798" s="163"/>
      <c r="P798" s="163"/>
      <c r="Q798" s="163"/>
      <c r="R798" s="163"/>
      <c r="S798" s="163"/>
      <c r="T798" s="163"/>
      <c r="U798" s="163"/>
      <c r="V798" s="163"/>
      <c r="W798" s="163"/>
      <c r="X798" s="163"/>
      <c r="Y798" s="163"/>
      <c r="Z798" s="163"/>
      <c r="AA798" s="163"/>
    </row>
    <row r="799">
      <c r="A799" s="163"/>
      <c r="B799" s="163"/>
      <c r="C799" s="163"/>
      <c r="D799" s="163"/>
      <c r="E799" s="163"/>
      <c r="F799" s="163"/>
      <c r="G799" s="163"/>
      <c r="H799" s="163"/>
      <c r="I799" s="163"/>
      <c r="J799" s="163"/>
      <c r="K799" s="163"/>
      <c r="L799" s="165"/>
      <c r="M799" s="163"/>
      <c r="N799" s="163"/>
      <c r="O799" s="163"/>
      <c r="P799" s="163"/>
      <c r="Q799" s="163"/>
      <c r="R799" s="163"/>
      <c r="S799" s="163"/>
      <c r="T799" s="163"/>
      <c r="U799" s="163"/>
      <c r="V799" s="163"/>
      <c r="W799" s="163"/>
      <c r="X799" s="163"/>
      <c r="Y799" s="163"/>
      <c r="Z799" s="163"/>
      <c r="AA799" s="163"/>
    </row>
    <row r="800">
      <c r="A800" s="163"/>
      <c r="B800" s="163"/>
      <c r="C800" s="163"/>
      <c r="D800" s="163"/>
      <c r="E800" s="163"/>
      <c r="F800" s="163"/>
      <c r="G800" s="163"/>
      <c r="H800" s="163"/>
      <c r="I800" s="163"/>
      <c r="J800" s="163"/>
      <c r="K800" s="163"/>
      <c r="L800" s="165"/>
      <c r="M800" s="163"/>
      <c r="N800" s="163"/>
      <c r="O800" s="163"/>
      <c r="P800" s="163"/>
      <c r="Q800" s="163"/>
      <c r="R800" s="163"/>
      <c r="S800" s="163"/>
      <c r="T800" s="163"/>
      <c r="U800" s="163"/>
      <c r="V800" s="163"/>
      <c r="W800" s="163"/>
      <c r="X800" s="163"/>
      <c r="Y800" s="163"/>
      <c r="Z800" s="163"/>
      <c r="AA800" s="163"/>
    </row>
    <row r="801">
      <c r="A801" s="163"/>
      <c r="B801" s="163"/>
      <c r="C801" s="163"/>
      <c r="D801" s="163"/>
      <c r="E801" s="163"/>
      <c r="F801" s="163"/>
      <c r="G801" s="163"/>
      <c r="H801" s="163"/>
      <c r="I801" s="163"/>
      <c r="J801" s="163"/>
      <c r="K801" s="163"/>
      <c r="L801" s="165"/>
      <c r="M801" s="163"/>
      <c r="N801" s="163"/>
      <c r="O801" s="163"/>
      <c r="P801" s="163"/>
      <c r="Q801" s="163"/>
      <c r="R801" s="163"/>
      <c r="S801" s="163"/>
      <c r="T801" s="163"/>
      <c r="U801" s="163"/>
      <c r="V801" s="163"/>
      <c r="W801" s="163"/>
      <c r="X801" s="163"/>
      <c r="Y801" s="163"/>
      <c r="Z801" s="163"/>
      <c r="AA801" s="163"/>
    </row>
    <row r="802">
      <c r="A802" s="163"/>
      <c r="B802" s="163"/>
      <c r="C802" s="163"/>
      <c r="D802" s="163"/>
      <c r="E802" s="163"/>
      <c r="F802" s="163"/>
      <c r="G802" s="163"/>
      <c r="H802" s="163"/>
      <c r="I802" s="163"/>
      <c r="J802" s="163"/>
      <c r="K802" s="163"/>
      <c r="L802" s="165"/>
      <c r="M802" s="163"/>
      <c r="N802" s="163"/>
      <c r="O802" s="163"/>
      <c r="P802" s="163"/>
      <c r="Q802" s="163"/>
      <c r="R802" s="163"/>
      <c r="S802" s="163"/>
      <c r="T802" s="163"/>
      <c r="U802" s="163"/>
      <c r="V802" s="163"/>
      <c r="W802" s="163"/>
      <c r="X802" s="163"/>
      <c r="Y802" s="163"/>
      <c r="Z802" s="163"/>
      <c r="AA802" s="163"/>
    </row>
    <row r="803">
      <c r="A803" s="163"/>
      <c r="B803" s="163"/>
      <c r="C803" s="163"/>
      <c r="D803" s="163"/>
      <c r="E803" s="163"/>
      <c r="F803" s="163"/>
      <c r="G803" s="163"/>
      <c r="H803" s="163"/>
      <c r="I803" s="163"/>
      <c r="J803" s="163"/>
      <c r="K803" s="163"/>
      <c r="L803" s="165"/>
      <c r="M803" s="163"/>
      <c r="N803" s="163"/>
      <c r="O803" s="163"/>
      <c r="P803" s="163"/>
      <c r="Q803" s="163"/>
      <c r="R803" s="163"/>
      <c r="S803" s="163"/>
      <c r="T803" s="163"/>
      <c r="U803" s="163"/>
      <c r="V803" s="163"/>
      <c r="W803" s="163"/>
      <c r="X803" s="163"/>
      <c r="Y803" s="163"/>
      <c r="Z803" s="163"/>
      <c r="AA803" s="163"/>
    </row>
    <row r="804">
      <c r="A804" s="163"/>
      <c r="B804" s="163"/>
      <c r="C804" s="163"/>
      <c r="D804" s="163"/>
      <c r="E804" s="163"/>
      <c r="F804" s="163"/>
      <c r="G804" s="163"/>
      <c r="H804" s="163"/>
      <c r="I804" s="163"/>
      <c r="J804" s="163"/>
      <c r="K804" s="163"/>
      <c r="L804" s="165"/>
      <c r="M804" s="163"/>
      <c r="N804" s="163"/>
      <c r="O804" s="163"/>
      <c r="P804" s="163"/>
      <c r="Q804" s="163"/>
      <c r="R804" s="163"/>
      <c r="S804" s="163"/>
      <c r="T804" s="163"/>
      <c r="U804" s="163"/>
      <c r="V804" s="163"/>
      <c r="W804" s="163"/>
      <c r="X804" s="163"/>
      <c r="Y804" s="163"/>
      <c r="Z804" s="163"/>
      <c r="AA804" s="163"/>
    </row>
    <row r="805">
      <c r="A805" s="163"/>
      <c r="B805" s="163"/>
      <c r="C805" s="163"/>
      <c r="D805" s="163"/>
      <c r="E805" s="163"/>
      <c r="F805" s="163"/>
      <c r="G805" s="163"/>
      <c r="H805" s="163"/>
      <c r="I805" s="163"/>
      <c r="J805" s="163"/>
      <c r="K805" s="163"/>
      <c r="L805" s="165"/>
      <c r="M805" s="163"/>
      <c r="N805" s="163"/>
      <c r="O805" s="163"/>
      <c r="P805" s="163"/>
      <c r="Q805" s="163"/>
      <c r="R805" s="163"/>
      <c r="S805" s="163"/>
      <c r="T805" s="163"/>
      <c r="U805" s="163"/>
      <c r="V805" s="163"/>
      <c r="W805" s="163"/>
      <c r="X805" s="163"/>
      <c r="Y805" s="163"/>
      <c r="Z805" s="163"/>
      <c r="AA805" s="163"/>
    </row>
    <row r="806">
      <c r="A806" s="163"/>
      <c r="B806" s="163"/>
      <c r="C806" s="163"/>
      <c r="D806" s="163"/>
      <c r="E806" s="163"/>
      <c r="F806" s="163"/>
      <c r="G806" s="163"/>
      <c r="H806" s="163"/>
      <c r="I806" s="163"/>
      <c r="J806" s="163"/>
      <c r="K806" s="163"/>
      <c r="L806" s="165"/>
      <c r="M806" s="163"/>
      <c r="N806" s="163"/>
      <c r="O806" s="163"/>
      <c r="P806" s="163"/>
      <c r="Q806" s="163"/>
      <c r="R806" s="163"/>
      <c r="S806" s="163"/>
      <c r="T806" s="163"/>
      <c r="U806" s="163"/>
      <c r="V806" s="163"/>
      <c r="W806" s="163"/>
      <c r="X806" s="163"/>
      <c r="Y806" s="163"/>
      <c r="Z806" s="163"/>
      <c r="AA806" s="163"/>
    </row>
    <row r="807">
      <c r="A807" s="163"/>
      <c r="B807" s="163"/>
      <c r="C807" s="163"/>
      <c r="D807" s="163"/>
      <c r="E807" s="163"/>
      <c r="F807" s="163"/>
      <c r="G807" s="163"/>
      <c r="H807" s="163"/>
      <c r="I807" s="163"/>
      <c r="J807" s="163"/>
      <c r="K807" s="163"/>
      <c r="L807" s="165"/>
      <c r="M807" s="163"/>
      <c r="N807" s="163"/>
      <c r="O807" s="163"/>
      <c r="P807" s="163"/>
      <c r="Q807" s="163"/>
      <c r="R807" s="163"/>
      <c r="S807" s="163"/>
      <c r="T807" s="163"/>
      <c r="U807" s="163"/>
      <c r="V807" s="163"/>
      <c r="W807" s="163"/>
      <c r="X807" s="163"/>
      <c r="Y807" s="163"/>
      <c r="Z807" s="163"/>
      <c r="AA807" s="163"/>
    </row>
    <row r="808">
      <c r="A808" s="163"/>
      <c r="B808" s="163"/>
      <c r="C808" s="163"/>
      <c r="D808" s="163"/>
      <c r="E808" s="163"/>
      <c r="F808" s="163"/>
      <c r="G808" s="163"/>
      <c r="H808" s="163"/>
      <c r="I808" s="163"/>
      <c r="J808" s="163"/>
      <c r="K808" s="163"/>
      <c r="L808" s="165"/>
      <c r="M808" s="163"/>
      <c r="N808" s="163"/>
      <c r="O808" s="163"/>
      <c r="P808" s="163"/>
      <c r="Q808" s="163"/>
      <c r="R808" s="163"/>
      <c r="S808" s="163"/>
      <c r="T808" s="163"/>
      <c r="U808" s="163"/>
      <c r="V808" s="163"/>
      <c r="W808" s="163"/>
      <c r="X808" s="163"/>
      <c r="Y808" s="163"/>
      <c r="Z808" s="163"/>
      <c r="AA808" s="163"/>
    </row>
    <row r="809">
      <c r="A809" s="163"/>
      <c r="B809" s="163"/>
      <c r="C809" s="163"/>
      <c r="D809" s="163"/>
      <c r="E809" s="163"/>
      <c r="F809" s="163"/>
      <c r="G809" s="163"/>
      <c r="H809" s="163"/>
      <c r="I809" s="163"/>
      <c r="J809" s="163"/>
      <c r="K809" s="163"/>
      <c r="L809" s="165"/>
      <c r="M809" s="163"/>
      <c r="N809" s="163"/>
      <c r="O809" s="163"/>
      <c r="P809" s="163"/>
      <c r="Q809" s="163"/>
      <c r="R809" s="163"/>
      <c r="S809" s="163"/>
      <c r="T809" s="163"/>
      <c r="U809" s="163"/>
      <c r="V809" s="163"/>
      <c r="W809" s="163"/>
      <c r="X809" s="163"/>
      <c r="Y809" s="163"/>
      <c r="Z809" s="163"/>
      <c r="AA809" s="163"/>
    </row>
    <row r="810">
      <c r="A810" s="163"/>
      <c r="B810" s="163"/>
      <c r="C810" s="163"/>
      <c r="D810" s="163"/>
      <c r="E810" s="163"/>
      <c r="F810" s="163"/>
      <c r="G810" s="163"/>
      <c r="H810" s="163"/>
      <c r="I810" s="163"/>
      <c r="J810" s="163"/>
      <c r="K810" s="163"/>
      <c r="L810" s="165"/>
      <c r="M810" s="163"/>
      <c r="N810" s="163"/>
      <c r="O810" s="163"/>
      <c r="P810" s="163"/>
      <c r="Q810" s="163"/>
      <c r="R810" s="163"/>
      <c r="S810" s="163"/>
      <c r="T810" s="163"/>
      <c r="U810" s="163"/>
      <c r="V810" s="163"/>
      <c r="W810" s="163"/>
      <c r="X810" s="163"/>
      <c r="Y810" s="163"/>
      <c r="Z810" s="163"/>
      <c r="AA810" s="163"/>
    </row>
    <row r="811">
      <c r="A811" s="163"/>
      <c r="B811" s="163"/>
      <c r="C811" s="163"/>
      <c r="D811" s="163"/>
      <c r="E811" s="163"/>
      <c r="F811" s="163"/>
      <c r="G811" s="163"/>
      <c r="H811" s="163"/>
      <c r="I811" s="163"/>
      <c r="J811" s="163"/>
      <c r="K811" s="163"/>
      <c r="L811" s="165"/>
      <c r="M811" s="163"/>
      <c r="N811" s="163"/>
      <c r="O811" s="163"/>
      <c r="P811" s="163"/>
      <c r="Q811" s="163"/>
      <c r="R811" s="163"/>
      <c r="S811" s="163"/>
      <c r="T811" s="163"/>
      <c r="U811" s="163"/>
      <c r="V811" s="163"/>
      <c r="W811" s="163"/>
      <c r="X811" s="163"/>
      <c r="Y811" s="163"/>
      <c r="Z811" s="163"/>
      <c r="AA811" s="163"/>
    </row>
    <row r="812">
      <c r="A812" s="163"/>
      <c r="B812" s="163"/>
      <c r="C812" s="163"/>
      <c r="D812" s="163"/>
      <c r="E812" s="163"/>
      <c r="F812" s="163"/>
      <c r="G812" s="163"/>
      <c r="H812" s="163"/>
      <c r="I812" s="163"/>
      <c r="J812" s="163"/>
      <c r="K812" s="163"/>
      <c r="L812" s="165"/>
      <c r="M812" s="163"/>
      <c r="N812" s="163"/>
      <c r="O812" s="163"/>
      <c r="P812" s="163"/>
      <c r="Q812" s="163"/>
      <c r="R812" s="163"/>
      <c r="S812" s="163"/>
      <c r="T812" s="163"/>
      <c r="U812" s="163"/>
      <c r="V812" s="163"/>
      <c r="W812" s="163"/>
      <c r="X812" s="163"/>
      <c r="Y812" s="163"/>
      <c r="Z812" s="163"/>
      <c r="AA812" s="163"/>
    </row>
    <row r="813">
      <c r="A813" s="163"/>
      <c r="B813" s="163"/>
      <c r="C813" s="163"/>
      <c r="D813" s="163"/>
      <c r="E813" s="163"/>
      <c r="F813" s="163"/>
      <c r="G813" s="163"/>
      <c r="H813" s="163"/>
      <c r="I813" s="163"/>
      <c r="J813" s="163"/>
      <c r="K813" s="163"/>
      <c r="L813" s="165"/>
      <c r="M813" s="163"/>
      <c r="N813" s="163"/>
      <c r="O813" s="163"/>
      <c r="P813" s="163"/>
      <c r="Q813" s="163"/>
      <c r="R813" s="163"/>
      <c r="S813" s="163"/>
      <c r="T813" s="163"/>
      <c r="U813" s="163"/>
      <c r="V813" s="163"/>
      <c r="W813" s="163"/>
      <c r="X813" s="163"/>
      <c r="Y813" s="163"/>
      <c r="Z813" s="163"/>
      <c r="AA813" s="163"/>
    </row>
    <row r="814">
      <c r="A814" s="163"/>
      <c r="B814" s="163"/>
      <c r="C814" s="163"/>
      <c r="D814" s="163"/>
      <c r="E814" s="163"/>
      <c r="F814" s="163"/>
      <c r="G814" s="163"/>
      <c r="H814" s="163"/>
      <c r="I814" s="163"/>
      <c r="J814" s="163"/>
      <c r="K814" s="163"/>
      <c r="L814" s="165"/>
      <c r="M814" s="163"/>
      <c r="N814" s="163"/>
      <c r="O814" s="163"/>
      <c r="P814" s="163"/>
      <c r="Q814" s="163"/>
      <c r="R814" s="163"/>
      <c r="S814" s="163"/>
      <c r="T814" s="163"/>
      <c r="U814" s="163"/>
      <c r="V814" s="163"/>
      <c r="W814" s="163"/>
      <c r="X814" s="163"/>
      <c r="Y814" s="163"/>
      <c r="Z814" s="163"/>
      <c r="AA814" s="163"/>
    </row>
    <row r="815">
      <c r="A815" s="163"/>
      <c r="B815" s="163"/>
      <c r="C815" s="163"/>
      <c r="D815" s="163"/>
      <c r="E815" s="163"/>
      <c r="F815" s="163"/>
      <c r="G815" s="163"/>
      <c r="H815" s="163"/>
      <c r="I815" s="163"/>
      <c r="J815" s="163"/>
      <c r="K815" s="163"/>
      <c r="L815" s="165"/>
      <c r="M815" s="163"/>
      <c r="N815" s="163"/>
      <c r="O815" s="163"/>
      <c r="P815" s="163"/>
      <c r="Q815" s="163"/>
      <c r="R815" s="163"/>
      <c r="S815" s="163"/>
      <c r="T815" s="163"/>
      <c r="U815" s="163"/>
      <c r="V815" s="163"/>
      <c r="W815" s="163"/>
      <c r="X815" s="163"/>
      <c r="Y815" s="163"/>
      <c r="Z815" s="163"/>
      <c r="AA815" s="163"/>
    </row>
    <row r="816">
      <c r="A816" s="163"/>
      <c r="B816" s="163"/>
      <c r="C816" s="163"/>
      <c r="D816" s="163"/>
      <c r="E816" s="163"/>
      <c r="F816" s="163"/>
      <c r="G816" s="163"/>
      <c r="H816" s="163"/>
      <c r="I816" s="163"/>
      <c r="J816" s="163"/>
      <c r="K816" s="163"/>
      <c r="L816" s="165"/>
      <c r="M816" s="163"/>
      <c r="N816" s="163"/>
      <c r="O816" s="163"/>
      <c r="P816" s="163"/>
      <c r="Q816" s="163"/>
      <c r="R816" s="163"/>
      <c r="S816" s="163"/>
      <c r="T816" s="163"/>
      <c r="U816" s="163"/>
      <c r="V816" s="163"/>
      <c r="W816" s="163"/>
      <c r="X816" s="163"/>
      <c r="Y816" s="163"/>
      <c r="Z816" s="163"/>
      <c r="AA816" s="163"/>
    </row>
    <row r="817">
      <c r="A817" s="163"/>
      <c r="B817" s="163"/>
      <c r="C817" s="163"/>
      <c r="D817" s="163"/>
      <c r="E817" s="163"/>
      <c r="F817" s="163"/>
      <c r="G817" s="163"/>
      <c r="H817" s="163"/>
      <c r="I817" s="163"/>
      <c r="J817" s="163"/>
      <c r="K817" s="163"/>
      <c r="L817" s="165"/>
      <c r="M817" s="163"/>
      <c r="N817" s="163"/>
      <c r="O817" s="163"/>
      <c r="P817" s="163"/>
      <c r="Q817" s="163"/>
      <c r="R817" s="163"/>
      <c r="S817" s="163"/>
      <c r="T817" s="163"/>
      <c r="U817" s="163"/>
      <c r="V817" s="163"/>
      <c r="W817" s="163"/>
      <c r="X817" s="163"/>
      <c r="Y817" s="163"/>
      <c r="Z817" s="163"/>
      <c r="AA817" s="163"/>
    </row>
    <row r="818">
      <c r="A818" s="163"/>
      <c r="B818" s="163"/>
      <c r="C818" s="163"/>
      <c r="D818" s="163"/>
      <c r="E818" s="163"/>
      <c r="F818" s="163"/>
      <c r="G818" s="163"/>
      <c r="H818" s="163"/>
      <c r="I818" s="163"/>
      <c r="J818" s="163"/>
      <c r="K818" s="163"/>
      <c r="L818" s="165"/>
      <c r="M818" s="163"/>
      <c r="N818" s="163"/>
      <c r="O818" s="163"/>
      <c r="P818" s="163"/>
      <c r="Q818" s="163"/>
      <c r="R818" s="163"/>
      <c r="S818" s="163"/>
      <c r="T818" s="163"/>
      <c r="U818" s="163"/>
      <c r="V818" s="163"/>
      <c r="W818" s="163"/>
      <c r="X818" s="163"/>
      <c r="Y818" s="163"/>
      <c r="Z818" s="163"/>
      <c r="AA818" s="163"/>
    </row>
    <row r="819">
      <c r="A819" s="163"/>
      <c r="B819" s="163"/>
      <c r="C819" s="163"/>
      <c r="D819" s="163"/>
      <c r="E819" s="163"/>
      <c r="F819" s="163"/>
      <c r="G819" s="163"/>
      <c r="H819" s="163"/>
      <c r="I819" s="163"/>
      <c r="J819" s="163"/>
      <c r="K819" s="163"/>
      <c r="L819" s="165"/>
      <c r="M819" s="163"/>
      <c r="N819" s="163"/>
      <c r="O819" s="163"/>
      <c r="P819" s="163"/>
      <c r="Q819" s="163"/>
      <c r="R819" s="163"/>
      <c r="S819" s="163"/>
      <c r="T819" s="163"/>
      <c r="U819" s="163"/>
      <c r="V819" s="163"/>
      <c r="W819" s="163"/>
      <c r="X819" s="163"/>
      <c r="Y819" s="163"/>
      <c r="Z819" s="163"/>
      <c r="AA819" s="163"/>
    </row>
    <row r="820">
      <c r="A820" s="163"/>
      <c r="B820" s="163"/>
      <c r="C820" s="163"/>
      <c r="D820" s="163"/>
      <c r="E820" s="163"/>
      <c r="F820" s="163"/>
      <c r="G820" s="163"/>
      <c r="H820" s="163"/>
      <c r="I820" s="163"/>
      <c r="J820" s="163"/>
      <c r="K820" s="163"/>
      <c r="L820" s="165"/>
      <c r="M820" s="163"/>
      <c r="N820" s="163"/>
      <c r="O820" s="163"/>
      <c r="P820" s="163"/>
      <c r="Q820" s="163"/>
      <c r="R820" s="163"/>
      <c r="S820" s="163"/>
      <c r="T820" s="163"/>
      <c r="U820" s="163"/>
      <c r="V820" s="163"/>
      <c r="W820" s="163"/>
      <c r="X820" s="163"/>
      <c r="Y820" s="163"/>
      <c r="Z820" s="163"/>
      <c r="AA820" s="163"/>
    </row>
    <row r="821">
      <c r="A821" s="163"/>
      <c r="B821" s="163"/>
      <c r="C821" s="163"/>
      <c r="D821" s="163"/>
      <c r="E821" s="163"/>
      <c r="F821" s="163"/>
      <c r="G821" s="163"/>
      <c r="H821" s="163"/>
      <c r="I821" s="163"/>
      <c r="J821" s="163"/>
      <c r="K821" s="163"/>
      <c r="L821" s="165"/>
      <c r="M821" s="163"/>
      <c r="N821" s="163"/>
      <c r="O821" s="163"/>
      <c r="P821" s="163"/>
      <c r="Q821" s="163"/>
      <c r="R821" s="163"/>
      <c r="S821" s="163"/>
      <c r="T821" s="163"/>
      <c r="U821" s="163"/>
      <c r="V821" s="163"/>
      <c r="W821" s="163"/>
      <c r="X821" s="163"/>
      <c r="Y821" s="163"/>
      <c r="Z821" s="163"/>
      <c r="AA821" s="163"/>
    </row>
    <row r="822">
      <c r="A822" s="163"/>
      <c r="B822" s="163"/>
      <c r="C822" s="163"/>
      <c r="D822" s="163"/>
      <c r="E822" s="163"/>
      <c r="F822" s="163"/>
      <c r="G822" s="163"/>
      <c r="H822" s="163"/>
      <c r="I822" s="163"/>
      <c r="J822" s="163"/>
      <c r="K822" s="163"/>
      <c r="L822" s="165"/>
      <c r="M822" s="163"/>
      <c r="N822" s="163"/>
      <c r="O822" s="163"/>
      <c r="P822" s="163"/>
      <c r="Q822" s="163"/>
      <c r="R822" s="163"/>
      <c r="S822" s="163"/>
      <c r="T822" s="163"/>
      <c r="U822" s="163"/>
      <c r="V822" s="163"/>
      <c r="W822" s="163"/>
      <c r="X822" s="163"/>
      <c r="Y822" s="163"/>
      <c r="Z822" s="163"/>
      <c r="AA822" s="163"/>
    </row>
    <row r="823">
      <c r="A823" s="163"/>
      <c r="B823" s="163"/>
      <c r="C823" s="163"/>
      <c r="D823" s="163"/>
      <c r="E823" s="163"/>
      <c r="F823" s="163"/>
      <c r="G823" s="163"/>
      <c r="H823" s="163"/>
      <c r="I823" s="163"/>
      <c r="J823" s="163"/>
      <c r="K823" s="163"/>
      <c r="L823" s="165"/>
      <c r="M823" s="163"/>
      <c r="N823" s="163"/>
      <c r="O823" s="163"/>
      <c r="P823" s="163"/>
      <c r="Q823" s="163"/>
      <c r="R823" s="163"/>
      <c r="S823" s="163"/>
      <c r="T823" s="163"/>
      <c r="U823" s="163"/>
      <c r="V823" s="163"/>
      <c r="W823" s="163"/>
      <c r="X823" s="163"/>
      <c r="Y823" s="163"/>
      <c r="Z823" s="163"/>
      <c r="AA823" s="163"/>
    </row>
    <row r="824">
      <c r="A824" s="163"/>
      <c r="B824" s="163"/>
      <c r="C824" s="163"/>
      <c r="D824" s="163"/>
      <c r="E824" s="163"/>
      <c r="F824" s="163"/>
      <c r="G824" s="163"/>
      <c r="H824" s="163"/>
      <c r="I824" s="163"/>
      <c r="J824" s="163"/>
      <c r="K824" s="163"/>
      <c r="L824" s="165"/>
      <c r="M824" s="163"/>
      <c r="N824" s="163"/>
      <c r="O824" s="163"/>
      <c r="P824" s="163"/>
      <c r="Q824" s="163"/>
      <c r="R824" s="163"/>
      <c r="S824" s="163"/>
      <c r="T824" s="163"/>
      <c r="U824" s="163"/>
      <c r="V824" s="163"/>
      <c r="W824" s="163"/>
      <c r="X824" s="163"/>
      <c r="Y824" s="163"/>
      <c r="Z824" s="163"/>
      <c r="AA824" s="163"/>
    </row>
    <row r="825">
      <c r="A825" s="163"/>
      <c r="B825" s="163"/>
      <c r="C825" s="163"/>
      <c r="D825" s="163"/>
      <c r="E825" s="163"/>
      <c r="F825" s="163"/>
      <c r="G825" s="163"/>
      <c r="H825" s="163"/>
      <c r="I825" s="163"/>
      <c r="J825" s="163"/>
      <c r="K825" s="163"/>
      <c r="L825" s="165"/>
      <c r="M825" s="163"/>
      <c r="N825" s="163"/>
      <c r="O825" s="163"/>
      <c r="P825" s="163"/>
      <c r="Q825" s="163"/>
      <c r="R825" s="163"/>
      <c r="S825" s="163"/>
      <c r="T825" s="163"/>
      <c r="U825" s="163"/>
      <c r="V825" s="163"/>
      <c r="W825" s="163"/>
      <c r="X825" s="163"/>
      <c r="Y825" s="163"/>
      <c r="Z825" s="163"/>
      <c r="AA825" s="163"/>
    </row>
    <row r="826">
      <c r="A826" s="163"/>
      <c r="B826" s="163"/>
      <c r="C826" s="163"/>
      <c r="D826" s="163"/>
      <c r="E826" s="163"/>
      <c r="F826" s="163"/>
      <c r="G826" s="163"/>
      <c r="H826" s="163"/>
      <c r="I826" s="163"/>
      <c r="J826" s="163"/>
      <c r="K826" s="163"/>
      <c r="L826" s="165"/>
      <c r="M826" s="163"/>
      <c r="N826" s="163"/>
      <c r="O826" s="163"/>
      <c r="P826" s="163"/>
      <c r="Q826" s="163"/>
      <c r="R826" s="163"/>
      <c r="S826" s="163"/>
      <c r="T826" s="163"/>
      <c r="U826" s="163"/>
      <c r="V826" s="163"/>
      <c r="W826" s="163"/>
      <c r="X826" s="163"/>
      <c r="Y826" s="163"/>
      <c r="Z826" s="163"/>
      <c r="AA826" s="163"/>
    </row>
    <row r="827">
      <c r="A827" s="163"/>
      <c r="B827" s="163"/>
      <c r="C827" s="163"/>
      <c r="D827" s="163"/>
      <c r="E827" s="163"/>
      <c r="F827" s="163"/>
      <c r="G827" s="163"/>
      <c r="H827" s="163"/>
      <c r="I827" s="163"/>
      <c r="J827" s="163"/>
      <c r="K827" s="163"/>
      <c r="L827" s="165"/>
      <c r="M827" s="163"/>
      <c r="N827" s="163"/>
      <c r="O827" s="163"/>
      <c r="P827" s="163"/>
      <c r="Q827" s="163"/>
      <c r="R827" s="163"/>
      <c r="S827" s="163"/>
      <c r="T827" s="163"/>
      <c r="U827" s="163"/>
      <c r="V827" s="163"/>
      <c r="W827" s="163"/>
      <c r="X827" s="163"/>
      <c r="Y827" s="163"/>
      <c r="Z827" s="163"/>
      <c r="AA827" s="163"/>
    </row>
    <row r="828">
      <c r="A828" s="163"/>
      <c r="B828" s="163"/>
      <c r="C828" s="163"/>
      <c r="D828" s="163"/>
      <c r="E828" s="163"/>
      <c r="F828" s="163"/>
      <c r="G828" s="163"/>
      <c r="H828" s="163"/>
      <c r="I828" s="163"/>
      <c r="J828" s="163"/>
      <c r="K828" s="163"/>
      <c r="L828" s="165"/>
      <c r="M828" s="163"/>
      <c r="N828" s="163"/>
      <c r="O828" s="163"/>
      <c r="P828" s="163"/>
      <c r="Q828" s="163"/>
      <c r="R828" s="163"/>
      <c r="S828" s="163"/>
      <c r="T828" s="163"/>
      <c r="U828" s="163"/>
      <c r="V828" s="163"/>
      <c r="W828" s="163"/>
      <c r="X828" s="163"/>
      <c r="Y828" s="163"/>
      <c r="Z828" s="163"/>
      <c r="AA828" s="163"/>
    </row>
    <row r="829">
      <c r="A829" s="163"/>
      <c r="B829" s="163"/>
      <c r="C829" s="163"/>
      <c r="D829" s="163"/>
      <c r="E829" s="163"/>
      <c r="F829" s="163"/>
      <c r="G829" s="163"/>
      <c r="H829" s="163"/>
      <c r="I829" s="163"/>
      <c r="J829" s="163"/>
      <c r="K829" s="163"/>
      <c r="L829" s="165"/>
      <c r="M829" s="163"/>
      <c r="N829" s="163"/>
      <c r="O829" s="163"/>
      <c r="P829" s="163"/>
      <c r="Q829" s="163"/>
      <c r="R829" s="163"/>
      <c r="S829" s="163"/>
      <c r="T829" s="163"/>
      <c r="U829" s="163"/>
      <c r="V829" s="163"/>
      <c r="W829" s="163"/>
      <c r="X829" s="163"/>
      <c r="Y829" s="163"/>
      <c r="Z829" s="163"/>
      <c r="AA829" s="163"/>
    </row>
    <row r="830">
      <c r="A830" s="163"/>
      <c r="B830" s="163"/>
      <c r="C830" s="163"/>
      <c r="D830" s="163"/>
      <c r="E830" s="163"/>
      <c r="F830" s="163"/>
      <c r="G830" s="163"/>
      <c r="H830" s="163"/>
      <c r="I830" s="163"/>
      <c r="J830" s="163"/>
      <c r="K830" s="163"/>
      <c r="L830" s="165"/>
      <c r="M830" s="163"/>
      <c r="N830" s="163"/>
      <c r="O830" s="163"/>
      <c r="P830" s="163"/>
      <c r="Q830" s="163"/>
      <c r="R830" s="163"/>
      <c r="S830" s="163"/>
      <c r="T830" s="163"/>
      <c r="U830" s="163"/>
      <c r="V830" s="163"/>
      <c r="W830" s="163"/>
      <c r="X830" s="163"/>
      <c r="Y830" s="163"/>
      <c r="Z830" s="163"/>
      <c r="AA830" s="163"/>
    </row>
    <row r="831">
      <c r="A831" s="163"/>
      <c r="B831" s="163"/>
      <c r="C831" s="163"/>
      <c r="D831" s="163"/>
      <c r="E831" s="163"/>
      <c r="F831" s="163"/>
      <c r="G831" s="163"/>
      <c r="H831" s="163"/>
      <c r="I831" s="163"/>
      <c r="J831" s="163"/>
      <c r="K831" s="163"/>
      <c r="L831" s="165"/>
      <c r="M831" s="163"/>
      <c r="N831" s="163"/>
      <c r="O831" s="163"/>
      <c r="P831" s="163"/>
      <c r="Q831" s="163"/>
      <c r="R831" s="163"/>
      <c r="S831" s="163"/>
      <c r="T831" s="163"/>
      <c r="U831" s="163"/>
      <c r="V831" s="163"/>
      <c r="W831" s="163"/>
      <c r="X831" s="163"/>
      <c r="Y831" s="163"/>
      <c r="Z831" s="163"/>
      <c r="AA831" s="163"/>
    </row>
    <row r="832">
      <c r="A832" s="163"/>
      <c r="B832" s="163"/>
      <c r="C832" s="163"/>
      <c r="D832" s="163"/>
      <c r="E832" s="163"/>
      <c r="F832" s="163"/>
      <c r="G832" s="163"/>
      <c r="H832" s="163"/>
      <c r="I832" s="163"/>
      <c r="J832" s="163"/>
      <c r="K832" s="163"/>
      <c r="L832" s="165"/>
      <c r="M832" s="163"/>
      <c r="N832" s="163"/>
      <c r="O832" s="163"/>
      <c r="P832" s="163"/>
      <c r="Q832" s="163"/>
      <c r="R832" s="163"/>
      <c r="S832" s="163"/>
      <c r="T832" s="163"/>
      <c r="U832" s="163"/>
      <c r="V832" s="163"/>
      <c r="W832" s="163"/>
      <c r="X832" s="163"/>
      <c r="Y832" s="163"/>
      <c r="Z832" s="163"/>
      <c r="AA832" s="163"/>
    </row>
    <row r="833">
      <c r="A833" s="163"/>
      <c r="B833" s="163"/>
      <c r="C833" s="163"/>
      <c r="D833" s="163"/>
      <c r="E833" s="163"/>
      <c r="F833" s="163"/>
      <c r="G833" s="163"/>
      <c r="H833" s="163"/>
      <c r="I833" s="163"/>
      <c r="J833" s="163"/>
      <c r="K833" s="163"/>
      <c r="L833" s="165"/>
      <c r="M833" s="163"/>
      <c r="N833" s="163"/>
      <c r="O833" s="163"/>
      <c r="P833" s="163"/>
      <c r="Q833" s="163"/>
      <c r="R833" s="163"/>
      <c r="S833" s="163"/>
      <c r="T833" s="163"/>
      <c r="U833" s="163"/>
      <c r="V833" s="163"/>
      <c r="W833" s="163"/>
      <c r="X833" s="163"/>
      <c r="Y833" s="163"/>
      <c r="Z833" s="163"/>
      <c r="AA833" s="163"/>
    </row>
    <row r="834">
      <c r="A834" s="163"/>
      <c r="B834" s="163"/>
      <c r="C834" s="163"/>
      <c r="D834" s="163"/>
      <c r="E834" s="163"/>
      <c r="F834" s="163"/>
      <c r="G834" s="163"/>
      <c r="H834" s="163"/>
      <c r="I834" s="163"/>
      <c r="J834" s="163"/>
      <c r="K834" s="163"/>
      <c r="L834" s="165"/>
      <c r="M834" s="163"/>
      <c r="N834" s="163"/>
      <c r="O834" s="163"/>
      <c r="P834" s="163"/>
      <c r="Q834" s="163"/>
      <c r="R834" s="163"/>
      <c r="S834" s="163"/>
      <c r="T834" s="163"/>
      <c r="U834" s="163"/>
      <c r="V834" s="163"/>
      <c r="W834" s="163"/>
      <c r="X834" s="163"/>
      <c r="Y834" s="163"/>
      <c r="Z834" s="163"/>
      <c r="AA834" s="163"/>
    </row>
    <row r="835">
      <c r="A835" s="163"/>
      <c r="B835" s="163"/>
      <c r="C835" s="163"/>
      <c r="D835" s="163"/>
      <c r="E835" s="163"/>
      <c r="F835" s="163"/>
      <c r="G835" s="163"/>
      <c r="H835" s="163"/>
      <c r="I835" s="163"/>
      <c r="J835" s="163"/>
      <c r="K835" s="163"/>
      <c r="L835" s="165"/>
      <c r="M835" s="163"/>
      <c r="N835" s="163"/>
      <c r="O835" s="163"/>
      <c r="P835" s="163"/>
      <c r="Q835" s="163"/>
      <c r="R835" s="163"/>
      <c r="S835" s="163"/>
      <c r="T835" s="163"/>
      <c r="U835" s="163"/>
      <c r="V835" s="163"/>
      <c r="W835" s="163"/>
      <c r="X835" s="163"/>
      <c r="Y835" s="163"/>
      <c r="Z835" s="163"/>
      <c r="AA835" s="163"/>
    </row>
    <row r="836">
      <c r="A836" s="163"/>
      <c r="B836" s="163"/>
      <c r="C836" s="163"/>
      <c r="D836" s="163"/>
      <c r="E836" s="163"/>
      <c r="F836" s="163"/>
      <c r="G836" s="163"/>
      <c r="H836" s="163"/>
      <c r="I836" s="163"/>
      <c r="J836" s="163"/>
      <c r="K836" s="163"/>
      <c r="L836" s="165"/>
      <c r="M836" s="163"/>
      <c r="N836" s="163"/>
      <c r="O836" s="163"/>
      <c r="P836" s="163"/>
      <c r="Q836" s="163"/>
      <c r="R836" s="163"/>
      <c r="S836" s="163"/>
      <c r="T836" s="163"/>
      <c r="U836" s="163"/>
      <c r="V836" s="163"/>
      <c r="W836" s="163"/>
      <c r="X836" s="163"/>
      <c r="Y836" s="163"/>
      <c r="Z836" s="163"/>
      <c r="AA836" s="163"/>
    </row>
    <row r="837">
      <c r="A837" s="163"/>
      <c r="B837" s="163"/>
      <c r="C837" s="163"/>
      <c r="D837" s="163"/>
      <c r="E837" s="163"/>
      <c r="F837" s="163"/>
      <c r="G837" s="163"/>
      <c r="H837" s="163"/>
      <c r="I837" s="163"/>
      <c r="J837" s="163"/>
      <c r="K837" s="163"/>
      <c r="L837" s="165"/>
      <c r="M837" s="163"/>
      <c r="N837" s="163"/>
      <c r="O837" s="163"/>
      <c r="P837" s="163"/>
      <c r="Q837" s="163"/>
      <c r="R837" s="163"/>
      <c r="S837" s="163"/>
      <c r="T837" s="163"/>
      <c r="U837" s="163"/>
      <c r="V837" s="163"/>
      <c r="W837" s="163"/>
      <c r="X837" s="163"/>
      <c r="Y837" s="163"/>
      <c r="Z837" s="163"/>
      <c r="AA837" s="163"/>
    </row>
    <row r="838">
      <c r="A838" s="163"/>
      <c r="B838" s="163"/>
      <c r="C838" s="163"/>
      <c r="D838" s="163"/>
      <c r="E838" s="163"/>
      <c r="F838" s="163"/>
      <c r="G838" s="163"/>
      <c r="H838" s="163"/>
      <c r="I838" s="163"/>
      <c r="J838" s="163"/>
      <c r="K838" s="163"/>
      <c r="L838" s="165"/>
      <c r="M838" s="163"/>
      <c r="N838" s="163"/>
      <c r="O838" s="163"/>
      <c r="P838" s="163"/>
      <c r="Q838" s="163"/>
      <c r="R838" s="163"/>
      <c r="S838" s="163"/>
      <c r="T838" s="163"/>
      <c r="U838" s="163"/>
      <c r="V838" s="163"/>
      <c r="W838" s="163"/>
      <c r="X838" s="163"/>
      <c r="Y838" s="163"/>
      <c r="Z838" s="163"/>
      <c r="AA838" s="163"/>
    </row>
    <row r="839">
      <c r="A839" s="163"/>
      <c r="B839" s="163"/>
      <c r="C839" s="163"/>
      <c r="D839" s="163"/>
      <c r="E839" s="163"/>
      <c r="F839" s="163"/>
      <c r="G839" s="163"/>
      <c r="H839" s="163"/>
      <c r="I839" s="163"/>
      <c r="J839" s="163"/>
      <c r="K839" s="163"/>
      <c r="L839" s="165"/>
      <c r="M839" s="163"/>
      <c r="N839" s="163"/>
      <c r="O839" s="163"/>
      <c r="P839" s="163"/>
      <c r="Q839" s="163"/>
      <c r="R839" s="163"/>
      <c r="S839" s="163"/>
      <c r="T839" s="163"/>
      <c r="U839" s="163"/>
      <c r="V839" s="163"/>
      <c r="W839" s="163"/>
      <c r="X839" s="163"/>
      <c r="Y839" s="163"/>
      <c r="Z839" s="163"/>
      <c r="AA839" s="163"/>
    </row>
    <row r="840">
      <c r="A840" s="163"/>
      <c r="B840" s="163"/>
      <c r="C840" s="163"/>
      <c r="D840" s="163"/>
      <c r="E840" s="163"/>
      <c r="F840" s="163"/>
      <c r="G840" s="163"/>
      <c r="H840" s="163"/>
      <c r="I840" s="163"/>
      <c r="J840" s="163"/>
      <c r="K840" s="163"/>
      <c r="L840" s="165"/>
      <c r="M840" s="163"/>
      <c r="N840" s="163"/>
      <c r="O840" s="163"/>
      <c r="P840" s="163"/>
      <c r="Q840" s="163"/>
      <c r="R840" s="163"/>
      <c r="S840" s="163"/>
      <c r="T840" s="163"/>
      <c r="U840" s="163"/>
      <c r="V840" s="163"/>
      <c r="W840" s="163"/>
      <c r="X840" s="163"/>
      <c r="Y840" s="163"/>
      <c r="Z840" s="163"/>
      <c r="AA840" s="163"/>
    </row>
    <row r="841">
      <c r="A841" s="163"/>
      <c r="B841" s="163"/>
      <c r="C841" s="163"/>
      <c r="D841" s="163"/>
      <c r="E841" s="163"/>
      <c r="F841" s="163"/>
      <c r="G841" s="163"/>
      <c r="H841" s="163"/>
      <c r="I841" s="163"/>
      <c r="J841" s="163"/>
      <c r="K841" s="163"/>
      <c r="L841" s="165"/>
      <c r="M841" s="163"/>
      <c r="N841" s="163"/>
      <c r="O841" s="163"/>
      <c r="P841" s="163"/>
      <c r="Q841" s="163"/>
      <c r="R841" s="163"/>
      <c r="S841" s="163"/>
      <c r="T841" s="163"/>
      <c r="U841" s="163"/>
      <c r="V841" s="163"/>
      <c r="W841" s="163"/>
      <c r="X841" s="163"/>
      <c r="Y841" s="163"/>
      <c r="Z841" s="163"/>
      <c r="AA841" s="163"/>
    </row>
    <row r="842">
      <c r="A842" s="163"/>
      <c r="B842" s="163"/>
      <c r="C842" s="163"/>
      <c r="D842" s="163"/>
      <c r="E842" s="163"/>
      <c r="F842" s="163"/>
      <c r="G842" s="163"/>
      <c r="H842" s="163"/>
      <c r="I842" s="163"/>
      <c r="J842" s="163"/>
      <c r="K842" s="163"/>
      <c r="L842" s="165"/>
      <c r="M842" s="163"/>
      <c r="N842" s="163"/>
      <c r="O842" s="163"/>
      <c r="P842" s="163"/>
      <c r="Q842" s="163"/>
      <c r="R842" s="163"/>
      <c r="S842" s="163"/>
      <c r="T842" s="163"/>
      <c r="U842" s="163"/>
      <c r="V842" s="163"/>
      <c r="W842" s="163"/>
      <c r="X842" s="163"/>
      <c r="Y842" s="163"/>
      <c r="Z842" s="163"/>
      <c r="AA842" s="163"/>
    </row>
    <row r="843">
      <c r="A843" s="163"/>
      <c r="B843" s="163"/>
      <c r="C843" s="163"/>
      <c r="D843" s="163"/>
      <c r="E843" s="163"/>
      <c r="F843" s="163"/>
      <c r="G843" s="163"/>
      <c r="H843" s="163"/>
      <c r="I843" s="163"/>
      <c r="J843" s="163"/>
      <c r="K843" s="163"/>
      <c r="L843" s="165"/>
      <c r="M843" s="163"/>
      <c r="N843" s="163"/>
      <c r="O843" s="163"/>
      <c r="P843" s="163"/>
      <c r="Q843" s="163"/>
      <c r="R843" s="163"/>
      <c r="S843" s="163"/>
      <c r="T843" s="163"/>
      <c r="U843" s="163"/>
      <c r="V843" s="163"/>
      <c r="W843" s="163"/>
      <c r="X843" s="163"/>
      <c r="Y843" s="163"/>
      <c r="Z843" s="163"/>
      <c r="AA843" s="163"/>
    </row>
    <row r="844">
      <c r="A844" s="163"/>
      <c r="B844" s="163"/>
      <c r="C844" s="163"/>
      <c r="D844" s="163"/>
      <c r="E844" s="163"/>
      <c r="F844" s="163"/>
      <c r="G844" s="163"/>
      <c r="H844" s="163"/>
      <c r="I844" s="163"/>
      <c r="J844" s="163"/>
      <c r="K844" s="163"/>
      <c r="L844" s="165"/>
      <c r="M844" s="163"/>
      <c r="N844" s="163"/>
      <c r="O844" s="163"/>
      <c r="P844" s="163"/>
      <c r="Q844" s="163"/>
      <c r="R844" s="163"/>
      <c r="S844" s="163"/>
      <c r="T844" s="163"/>
      <c r="U844" s="163"/>
      <c r="V844" s="163"/>
      <c r="W844" s="163"/>
      <c r="X844" s="163"/>
      <c r="Y844" s="163"/>
      <c r="Z844" s="163"/>
      <c r="AA844" s="163"/>
    </row>
    <row r="845">
      <c r="A845" s="163"/>
      <c r="B845" s="163"/>
      <c r="C845" s="163"/>
      <c r="D845" s="163"/>
      <c r="E845" s="163"/>
      <c r="F845" s="163"/>
      <c r="G845" s="163"/>
      <c r="H845" s="163"/>
      <c r="I845" s="163"/>
      <c r="J845" s="163"/>
      <c r="K845" s="163"/>
      <c r="L845" s="165"/>
      <c r="M845" s="163"/>
      <c r="N845" s="163"/>
      <c r="O845" s="163"/>
      <c r="P845" s="163"/>
      <c r="Q845" s="163"/>
      <c r="R845" s="163"/>
      <c r="S845" s="163"/>
      <c r="T845" s="163"/>
      <c r="U845" s="163"/>
      <c r="V845" s="163"/>
      <c r="W845" s="163"/>
      <c r="X845" s="163"/>
      <c r="Y845" s="163"/>
      <c r="Z845" s="163"/>
      <c r="AA845" s="163"/>
    </row>
    <row r="846">
      <c r="A846" s="163"/>
      <c r="B846" s="163"/>
      <c r="C846" s="163"/>
      <c r="D846" s="163"/>
      <c r="E846" s="163"/>
      <c r="F846" s="163"/>
      <c r="G846" s="163"/>
      <c r="H846" s="163"/>
      <c r="I846" s="163"/>
      <c r="J846" s="163"/>
      <c r="K846" s="163"/>
      <c r="L846" s="165"/>
      <c r="M846" s="163"/>
      <c r="N846" s="163"/>
      <c r="O846" s="163"/>
      <c r="P846" s="163"/>
      <c r="Q846" s="163"/>
      <c r="R846" s="163"/>
      <c r="S846" s="163"/>
      <c r="T846" s="163"/>
      <c r="U846" s="163"/>
      <c r="V846" s="163"/>
      <c r="W846" s="163"/>
      <c r="X846" s="163"/>
      <c r="Y846" s="163"/>
      <c r="Z846" s="163"/>
      <c r="AA846" s="163"/>
    </row>
    <row r="847">
      <c r="A847" s="163"/>
      <c r="B847" s="163"/>
      <c r="C847" s="163"/>
      <c r="D847" s="163"/>
      <c r="E847" s="163"/>
      <c r="F847" s="163"/>
      <c r="G847" s="163"/>
      <c r="H847" s="163"/>
      <c r="I847" s="163"/>
      <c r="J847" s="163"/>
      <c r="K847" s="163"/>
      <c r="L847" s="165"/>
      <c r="M847" s="163"/>
      <c r="N847" s="163"/>
      <c r="O847" s="163"/>
      <c r="P847" s="163"/>
      <c r="Q847" s="163"/>
      <c r="R847" s="163"/>
      <c r="S847" s="163"/>
      <c r="T847" s="163"/>
      <c r="U847" s="163"/>
      <c r="V847" s="163"/>
      <c r="W847" s="163"/>
      <c r="X847" s="163"/>
      <c r="Y847" s="163"/>
      <c r="Z847" s="163"/>
      <c r="AA847" s="163"/>
    </row>
    <row r="848">
      <c r="A848" s="163"/>
      <c r="B848" s="163"/>
      <c r="C848" s="163"/>
      <c r="D848" s="163"/>
      <c r="E848" s="163"/>
      <c r="F848" s="163"/>
      <c r="G848" s="163"/>
      <c r="H848" s="163"/>
      <c r="I848" s="163"/>
      <c r="J848" s="163"/>
      <c r="K848" s="163"/>
      <c r="L848" s="165"/>
      <c r="M848" s="163"/>
      <c r="N848" s="163"/>
      <c r="O848" s="163"/>
      <c r="P848" s="163"/>
      <c r="Q848" s="163"/>
      <c r="R848" s="163"/>
      <c r="S848" s="163"/>
      <c r="T848" s="163"/>
      <c r="U848" s="163"/>
      <c r="V848" s="163"/>
      <c r="W848" s="163"/>
      <c r="X848" s="163"/>
      <c r="Y848" s="163"/>
      <c r="Z848" s="163"/>
      <c r="AA848" s="163"/>
    </row>
    <row r="849">
      <c r="A849" s="163"/>
      <c r="B849" s="163"/>
      <c r="C849" s="163"/>
      <c r="D849" s="163"/>
      <c r="E849" s="163"/>
      <c r="F849" s="163"/>
      <c r="G849" s="163"/>
      <c r="H849" s="163"/>
      <c r="I849" s="163"/>
      <c r="J849" s="163"/>
      <c r="K849" s="163"/>
      <c r="L849" s="165"/>
      <c r="M849" s="163"/>
      <c r="N849" s="163"/>
      <c r="O849" s="163"/>
      <c r="P849" s="163"/>
      <c r="Q849" s="163"/>
      <c r="R849" s="163"/>
      <c r="S849" s="163"/>
      <c r="T849" s="163"/>
      <c r="U849" s="163"/>
      <c r="V849" s="163"/>
      <c r="W849" s="163"/>
      <c r="X849" s="163"/>
      <c r="Y849" s="163"/>
      <c r="Z849" s="163"/>
      <c r="AA849" s="163"/>
    </row>
    <row r="850">
      <c r="A850" s="163"/>
      <c r="B850" s="163"/>
      <c r="C850" s="163"/>
      <c r="D850" s="163"/>
      <c r="E850" s="163"/>
      <c r="F850" s="163"/>
      <c r="G850" s="163"/>
      <c r="H850" s="163"/>
      <c r="I850" s="163"/>
      <c r="J850" s="163"/>
      <c r="K850" s="163"/>
      <c r="L850" s="165"/>
      <c r="M850" s="163"/>
      <c r="N850" s="163"/>
      <c r="O850" s="163"/>
      <c r="P850" s="163"/>
      <c r="Q850" s="163"/>
      <c r="R850" s="163"/>
      <c r="S850" s="163"/>
      <c r="T850" s="163"/>
      <c r="U850" s="163"/>
      <c r="V850" s="163"/>
      <c r="W850" s="163"/>
      <c r="X850" s="163"/>
      <c r="Y850" s="163"/>
      <c r="Z850" s="163"/>
      <c r="AA850" s="163"/>
    </row>
    <row r="851">
      <c r="A851" s="163"/>
      <c r="B851" s="163"/>
      <c r="C851" s="163"/>
      <c r="D851" s="163"/>
      <c r="E851" s="163"/>
      <c r="F851" s="163"/>
      <c r="G851" s="163"/>
      <c r="H851" s="163"/>
      <c r="I851" s="163"/>
      <c r="J851" s="163"/>
      <c r="K851" s="163"/>
      <c r="L851" s="165"/>
      <c r="M851" s="163"/>
      <c r="N851" s="163"/>
      <c r="O851" s="163"/>
      <c r="P851" s="163"/>
      <c r="Q851" s="163"/>
      <c r="R851" s="163"/>
      <c r="S851" s="163"/>
      <c r="T851" s="163"/>
      <c r="U851" s="163"/>
      <c r="V851" s="163"/>
      <c r="W851" s="163"/>
      <c r="X851" s="163"/>
      <c r="Y851" s="163"/>
      <c r="Z851" s="163"/>
      <c r="AA851" s="163"/>
    </row>
    <row r="852">
      <c r="A852" s="163"/>
      <c r="B852" s="163"/>
      <c r="C852" s="163"/>
      <c r="D852" s="163"/>
      <c r="E852" s="163"/>
      <c r="F852" s="163"/>
      <c r="G852" s="163"/>
      <c r="H852" s="163"/>
      <c r="I852" s="163"/>
      <c r="J852" s="163"/>
      <c r="K852" s="163"/>
      <c r="L852" s="165"/>
      <c r="M852" s="163"/>
      <c r="N852" s="163"/>
      <c r="O852" s="163"/>
      <c r="P852" s="163"/>
      <c r="Q852" s="163"/>
      <c r="R852" s="163"/>
      <c r="S852" s="163"/>
      <c r="T852" s="163"/>
      <c r="U852" s="163"/>
      <c r="V852" s="163"/>
      <c r="W852" s="163"/>
      <c r="X852" s="163"/>
      <c r="Y852" s="163"/>
      <c r="Z852" s="163"/>
      <c r="AA852" s="163"/>
    </row>
    <row r="853">
      <c r="A853" s="163"/>
      <c r="B853" s="163"/>
      <c r="C853" s="163"/>
      <c r="D853" s="163"/>
      <c r="E853" s="163"/>
      <c r="F853" s="163"/>
      <c r="G853" s="163"/>
      <c r="H853" s="163"/>
      <c r="I853" s="163"/>
      <c r="J853" s="163"/>
      <c r="K853" s="163"/>
      <c r="L853" s="165"/>
      <c r="M853" s="163"/>
      <c r="N853" s="163"/>
      <c r="O853" s="163"/>
      <c r="P853" s="163"/>
      <c r="Q853" s="163"/>
      <c r="R853" s="163"/>
      <c r="S853" s="163"/>
      <c r="T853" s="163"/>
      <c r="U853" s="163"/>
      <c r="V853" s="163"/>
      <c r="W853" s="163"/>
      <c r="X853" s="163"/>
      <c r="Y853" s="163"/>
      <c r="Z853" s="163"/>
      <c r="AA853" s="163"/>
    </row>
    <row r="854">
      <c r="A854" s="163"/>
      <c r="B854" s="163"/>
      <c r="C854" s="163"/>
      <c r="D854" s="163"/>
      <c r="E854" s="163"/>
      <c r="F854" s="163"/>
      <c r="G854" s="163"/>
      <c r="H854" s="163"/>
      <c r="I854" s="163"/>
      <c r="J854" s="163"/>
      <c r="K854" s="163"/>
      <c r="L854" s="165"/>
      <c r="M854" s="163"/>
      <c r="N854" s="163"/>
      <c r="O854" s="163"/>
      <c r="P854" s="163"/>
      <c r="Q854" s="163"/>
      <c r="R854" s="163"/>
      <c r="S854" s="163"/>
      <c r="T854" s="163"/>
      <c r="U854" s="163"/>
      <c r="V854" s="163"/>
      <c r="W854" s="163"/>
      <c r="X854" s="163"/>
      <c r="Y854" s="163"/>
      <c r="Z854" s="163"/>
      <c r="AA854" s="163"/>
    </row>
    <row r="855">
      <c r="A855" s="163"/>
      <c r="B855" s="163"/>
      <c r="C855" s="163"/>
      <c r="D855" s="163"/>
      <c r="E855" s="163"/>
      <c r="F855" s="163"/>
      <c r="G855" s="163"/>
      <c r="H855" s="163"/>
      <c r="I855" s="163"/>
      <c r="J855" s="163"/>
      <c r="K855" s="163"/>
      <c r="L855" s="165"/>
      <c r="M855" s="163"/>
      <c r="N855" s="163"/>
      <c r="O855" s="163"/>
      <c r="P855" s="163"/>
      <c r="Q855" s="163"/>
      <c r="R855" s="163"/>
      <c r="S855" s="163"/>
      <c r="T855" s="163"/>
      <c r="U855" s="163"/>
      <c r="V855" s="163"/>
      <c r="W855" s="163"/>
      <c r="X855" s="163"/>
      <c r="Y855" s="163"/>
      <c r="Z855" s="163"/>
      <c r="AA855" s="163"/>
    </row>
    <row r="856">
      <c r="A856" s="163"/>
      <c r="B856" s="163"/>
      <c r="C856" s="163"/>
      <c r="D856" s="163"/>
      <c r="E856" s="163"/>
      <c r="F856" s="163"/>
      <c r="G856" s="163"/>
      <c r="H856" s="163"/>
      <c r="I856" s="163"/>
      <c r="J856" s="163"/>
      <c r="K856" s="163"/>
      <c r="L856" s="165"/>
      <c r="M856" s="163"/>
      <c r="N856" s="163"/>
      <c r="O856" s="163"/>
      <c r="P856" s="163"/>
      <c r="Q856" s="163"/>
      <c r="R856" s="163"/>
      <c r="S856" s="163"/>
      <c r="T856" s="163"/>
      <c r="U856" s="163"/>
      <c r="V856" s="163"/>
      <c r="W856" s="163"/>
      <c r="X856" s="163"/>
      <c r="Y856" s="163"/>
      <c r="Z856" s="163"/>
      <c r="AA856" s="163"/>
    </row>
    <row r="857">
      <c r="A857" s="163"/>
      <c r="B857" s="163"/>
      <c r="C857" s="163"/>
      <c r="D857" s="163"/>
      <c r="E857" s="163"/>
      <c r="F857" s="163"/>
      <c r="G857" s="163"/>
      <c r="H857" s="163"/>
      <c r="I857" s="163"/>
      <c r="J857" s="163"/>
      <c r="K857" s="163"/>
      <c r="L857" s="165"/>
      <c r="M857" s="163"/>
      <c r="N857" s="163"/>
      <c r="O857" s="163"/>
      <c r="P857" s="163"/>
      <c r="Q857" s="163"/>
      <c r="R857" s="163"/>
      <c r="S857" s="163"/>
      <c r="T857" s="163"/>
      <c r="U857" s="163"/>
      <c r="V857" s="163"/>
      <c r="W857" s="163"/>
      <c r="X857" s="163"/>
      <c r="Y857" s="163"/>
      <c r="Z857" s="163"/>
      <c r="AA857" s="163"/>
    </row>
    <row r="858">
      <c r="A858" s="163"/>
      <c r="B858" s="163"/>
      <c r="C858" s="163"/>
      <c r="D858" s="163"/>
      <c r="E858" s="163"/>
      <c r="F858" s="163"/>
      <c r="G858" s="163"/>
      <c r="H858" s="163"/>
      <c r="I858" s="163"/>
      <c r="J858" s="163"/>
      <c r="K858" s="163"/>
      <c r="L858" s="165"/>
      <c r="M858" s="163"/>
      <c r="N858" s="163"/>
      <c r="O858" s="163"/>
      <c r="P858" s="163"/>
      <c r="Q858" s="163"/>
      <c r="R858" s="163"/>
      <c r="S858" s="163"/>
      <c r="T858" s="163"/>
      <c r="U858" s="163"/>
      <c r="V858" s="163"/>
      <c r="W858" s="163"/>
      <c r="X858" s="163"/>
      <c r="Y858" s="163"/>
      <c r="Z858" s="163"/>
      <c r="AA858" s="163"/>
    </row>
    <row r="859">
      <c r="A859" s="163"/>
      <c r="B859" s="163"/>
      <c r="C859" s="163"/>
      <c r="D859" s="163"/>
      <c r="E859" s="163"/>
      <c r="F859" s="163"/>
      <c r="G859" s="163"/>
      <c r="H859" s="163"/>
      <c r="I859" s="163"/>
      <c r="J859" s="163"/>
      <c r="K859" s="163"/>
      <c r="L859" s="165"/>
      <c r="M859" s="163"/>
      <c r="N859" s="163"/>
      <c r="O859" s="163"/>
      <c r="P859" s="163"/>
      <c r="Q859" s="163"/>
      <c r="R859" s="163"/>
      <c r="S859" s="163"/>
      <c r="T859" s="163"/>
      <c r="U859" s="163"/>
      <c r="V859" s="163"/>
      <c r="W859" s="163"/>
      <c r="X859" s="163"/>
      <c r="Y859" s="163"/>
      <c r="Z859" s="163"/>
      <c r="AA859" s="163"/>
    </row>
    <row r="860">
      <c r="A860" s="163"/>
      <c r="B860" s="163"/>
      <c r="C860" s="163"/>
      <c r="D860" s="163"/>
      <c r="E860" s="163"/>
      <c r="F860" s="163"/>
      <c r="G860" s="163"/>
      <c r="H860" s="163"/>
      <c r="I860" s="163"/>
      <c r="J860" s="163"/>
      <c r="K860" s="163"/>
      <c r="L860" s="165"/>
      <c r="M860" s="163"/>
      <c r="N860" s="163"/>
      <c r="O860" s="163"/>
      <c r="P860" s="163"/>
      <c r="Q860" s="163"/>
      <c r="R860" s="163"/>
      <c r="S860" s="163"/>
      <c r="T860" s="163"/>
      <c r="U860" s="163"/>
      <c r="V860" s="163"/>
      <c r="W860" s="163"/>
      <c r="X860" s="163"/>
      <c r="Y860" s="163"/>
      <c r="Z860" s="163"/>
      <c r="AA860" s="163"/>
    </row>
    <row r="861">
      <c r="A861" s="163"/>
      <c r="B861" s="163"/>
      <c r="C861" s="163"/>
      <c r="D861" s="163"/>
      <c r="E861" s="163"/>
      <c r="F861" s="163"/>
      <c r="G861" s="163"/>
      <c r="H861" s="163"/>
      <c r="I861" s="163"/>
      <c r="J861" s="163"/>
      <c r="K861" s="163"/>
      <c r="L861" s="165"/>
      <c r="M861" s="163"/>
      <c r="N861" s="163"/>
      <c r="O861" s="163"/>
      <c r="P861" s="163"/>
      <c r="Q861" s="163"/>
      <c r="R861" s="163"/>
      <c r="S861" s="163"/>
      <c r="T861" s="163"/>
      <c r="U861" s="163"/>
      <c r="V861" s="163"/>
      <c r="W861" s="163"/>
      <c r="X861" s="163"/>
      <c r="Y861" s="163"/>
      <c r="Z861" s="163"/>
      <c r="AA861" s="163"/>
    </row>
    <row r="862">
      <c r="A862" s="163"/>
      <c r="B862" s="163"/>
      <c r="C862" s="163"/>
      <c r="D862" s="163"/>
      <c r="E862" s="163"/>
      <c r="F862" s="163"/>
      <c r="G862" s="163"/>
      <c r="H862" s="163"/>
      <c r="I862" s="163"/>
      <c r="J862" s="163"/>
      <c r="K862" s="163"/>
      <c r="L862" s="165"/>
      <c r="M862" s="163"/>
      <c r="N862" s="163"/>
      <c r="O862" s="163"/>
      <c r="P862" s="163"/>
      <c r="Q862" s="163"/>
      <c r="R862" s="163"/>
      <c r="S862" s="163"/>
      <c r="T862" s="163"/>
      <c r="U862" s="163"/>
      <c r="V862" s="163"/>
      <c r="W862" s="163"/>
      <c r="X862" s="163"/>
      <c r="Y862" s="163"/>
      <c r="Z862" s="163"/>
      <c r="AA862" s="163"/>
    </row>
    <row r="863">
      <c r="A863" s="163"/>
      <c r="B863" s="163"/>
      <c r="C863" s="163"/>
      <c r="D863" s="163"/>
      <c r="E863" s="163"/>
      <c r="F863" s="163"/>
      <c r="G863" s="163"/>
      <c r="H863" s="163"/>
      <c r="I863" s="163"/>
      <c r="J863" s="163"/>
      <c r="K863" s="163"/>
      <c r="L863" s="165"/>
      <c r="M863" s="163"/>
      <c r="N863" s="163"/>
      <c r="O863" s="163"/>
      <c r="P863" s="163"/>
      <c r="Q863" s="163"/>
      <c r="R863" s="163"/>
      <c r="S863" s="163"/>
      <c r="T863" s="163"/>
      <c r="U863" s="163"/>
      <c r="V863" s="163"/>
      <c r="W863" s="163"/>
      <c r="X863" s="163"/>
      <c r="Y863" s="163"/>
      <c r="Z863" s="163"/>
      <c r="AA863" s="163"/>
    </row>
    <row r="864">
      <c r="A864" s="163"/>
      <c r="B864" s="163"/>
      <c r="C864" s="163"/>
      <c r="D864" s="163"/>
      <c r="E864" s="163"/>
      <c r="F864" s="163"/>
      <c r="G864" s="163"/>
      <c r="H864" s="163"/>
      <c r="I864" s="163"/>
      <c r="J864" s="163"/>
      <c r="K864" s="163"/>
      <c r="L864" s="165"/>
      <c r="M864" s="163"/>
      <c r="N864" s="163"/>
      <c r="O864" s="163"/>
      <c r="P864" s="163"/>
      <c r="Q864" s="163"/>
      <c r="R864" s="163"/>
      <c r="S864" s="163"/>
      <c r="T864" s="163"/>
      <c r="U864" s="163"/>
      <c r="V864" s="163"/>
      <c r="W864" s="163"/>
      <c r="X864" s="163"/>
      <c r="Y864" s="163"/>
      <c r="Z864" s="163"/>
      <c r="AA864" s="163"/>
    </row>
    <row r="865">
      <c r="A865" s="163"/>
      <c r="B865" s="163"/>
      <c r="C865" s="163"/>
      <c r="D865" s="163"/>
      <c r="E865" s="163"/>
      <c r="F865" s="163"/>
      <c r="G865" s="163"/>
      <c r="H865" s="163"/>
      <c r="I865" s="163"/>
      <c r="J865" s="163"/>
      <c r="K865" s="163"/>
      <c r="L865" s="165"/>
      <c r="M865" s="163"/>
      <c r="N865" s="163"/>
      <c r="O865" s="163"/>
      <c r="P865" s="163"/>
      <c r="Q865" s="163"/>
      <c r="R865" s="163"/>
      <c r="S865" s="163"/>
      <c r="T865" s="163"/>
      <c r="U865" s="163"/>
      <c r="V865" s="163"/>
      <c r="W865" s="163"/>
      <c r="X865" s="163"/>
      <c r="Y865" s="163"/>
      <c r="Z865" s="163"/>
      <c r="AA865" s="163"/>
    </row>
    <row r="866">
      <c r="A866" s="163"/>
      <c r="B866" s="163"/>
      <c r="C866" s="163"/>
      <c r="D866" s="163"/>
      <c r="E866" s="163"/>
      <c r="F866" s="163"/>
      <c r="G866" s="163"/>
      <c r="H866" s="163"/>
      <c r="I866" s="163"/>
      <c r="J866" s="163"/>
      <c r="K866" s="163"/>
      <c r="L866" s="165"/>
      <c r="M866" s="163"/>
      <c r="N866" s="163"/>
      <c r="O866" s="163"/>
      <c r="P866" s="163"/>
      <c r="Q866" s="163"/>
      <c r="R866" s="163"/>
      <c r="S866" s="163"/>
      <c r="T866" s="163"/>
      <c r="U866" s="163"/>
      <c r="V866" s="163"/>
      <c r="W866" s="163"/>
      <c r="X866" s="163"/>
      <c r="Y866" s="163"/>
      <c r="Z866" s="163"/>
      <c r="AA866" s="163"/>
    </row>
    <row r="867">
      <c r="A867" s="163"/>
      <c r="B867" s="163"/>
      <c r="C867" s="163"/>
      <c r="D867" s="163"/>
      <c r="E867" s="163"/>
      <c r="F867" s="163"/>
      <c r="G867" s="163"/>
      <c r="H867" s="163"/>
      <c r="I867" s="163"/>
      <c r="J867" s="163"/>
      <c r="K867" s="163"/>
      <c r="L867" s="165"/>
      <c r="M867" s="163"/>
      <c r="N867" s="163"/>
      <c r="O867" s="163"/>
      <c r="P867" s="163"/>
      <c r="Q867" s="163"/>
      <c r="R867" s="163"/>
      <c r="S867" s="163"/>
      <c r="T867" s="163"/>
      <c r="U867" s="163"/>
      <c r="V867" s="163"/>
      <c r="W867" s="163"/>
      <c r="X867" s="163"/>
      <c r="Y867" s="163"/>
      <c r="Z867" s="163"/>
      <c r="AA867" s="163"/>
    </row>
    <row r="868">
      <c r="A868" s="163"/>
      <c r="B868" s="163"/>
      <c r="C868" s="163"/>
      <c r="D868" s="163"/>
      <c r="E868" s="163"/>
      <c r="F868" s="163"/>
      <c r="G868" s="163"/>
      <c r="H868" s="163"/>
      <c r="I868" s="163"/>
      <c r="J868" s="163"/>
      <c r="K868" s="163"/>
      <c r="L868" s="165"/>
      <c r="M868" s="163"/>
      <c r="N868" s="163"/>
      <c r="O868" s="163"/>
      <c r="P868" s="163"/>
      <c r="Q868" s="163"/>
      <c r="R868" s="163"/>
      <c r="S868" s="163"/>
      <c r="T868" s="163"/>
      <c r="U868" s="163"/>
      <c r="V868" s="163"/>
      <c r="W868" s="163"/>
      <c r="X868" s="163"/>
      <c r="Y868" s="163"/>
      <c r="Z868" s="163"/>
      <c r="AA868" s="163"/>
    </row>
    <row r="869">
      <c r="A869" s="163"/>
      <c r="B869" s="163"/>
      <c r="C869" s="163"/>
      <c r="D869" s="163"/>
      <c r="E869" s="163"/>
      <c r="F869" s="163"/>
      <c r="G869" s="163"/>
      <c r="H869" s="163"/>
      <c r="I869" s="163"/>
      <c r="J869" s="163"/>
      <c r="K869" s="163"/>
      <c r="L869" s="165"/>
      <c r="M869" s="163"/>
      <c r="N869" s="163"/>
      <c r="O869" s="163"/>
      <c r="P869" s="163"/>
      <c r="Q869" s="163"/>
      <c r="R869" s="163"/>
      <c r="S869" s="163"/>
      <c r="T869" s="163"/>
      <c r="U869" s="163"/>
      <c r="V869" s="163"/>
      <c r="W869" s="163"/>
      <c r="X869" s="163"/>
      <c r="Y869" s="163"/>
      <c r="Z869" s="163"/>
      <c r="AA869" s="163"/>
    </row>
    <row r="870">
      <c r="A870" s="163"/>
      <c r="B870" s="163"/>
      <c r="C870" s="163"/>
      <c r="D870" s="163"/>
      <c r="E870" s="163"/>
      <c r="F870" s="163"/>
      <c r="G870" s="163"/>
      <c r="H870" s="163"/>
      <c r="I870" s="163"/>
      <c r="J870" s="163"/>
      <c r="K870" s="163"/>
      <c r="L870" s="165"/>
      <c r="M870" s="163"/>
      <c r="N870" s="163"/>
      <c r="O870" s="163"/>
      <c r="P870" s="163"/>
      <c r="Q870" s="163"/>
      <c r="R870" s="163"/>
      <c r="S870" s="163"/>
      <c r="T870" s="163"/>
      <c r="U870" s="163"/>
      <c r="V870" s="163"/>
      <c r="W870" s="163"/>
      <c r="X870" s="163"/>
      <c r="Y870" s="163"/>
      <c r="Z870" s="163"/>
      <c r="AA870" s="163"/>
    </row>
    <row r="871">
      <c r="A871" s="163"/>
      <c r="B871" s="163"/>
      <c r="C871" s="163"/>
      <c r="D871" s="163"/>
      <c r="E871" s="163"/>
      <c r="F871" s="163"/>
      <c r="G871" s="163"/>
      <c r="H871" s="163"/>
      <c r="I871" s="163"/>
      <c r="J871" s="163"/>
      <c r="K871" s="163"/>
      <c r="L871" s="165"/>
      <c r="M871" s="163"/>
      <c r="N871" s="163"/>
      <c r="O871" s="163"/>
      <c r="P871" s="163"/>
      <c r="Q871" s="163"/>
      <c r="R871" s="163"/>
      <c r="S871" s="163"/>
      <c r="T871" s="163"/>
      <c r="U871" s="163"/>
      <c r="V871" s="163"/>
      <c r="W871" s="163"/>
      <c r="X871" s="163"/>
      <c r="Y871" s="163"/>
      <c r="Z871" s="163"/>
      <c r="AA871" s="163"/>
    </row>
    <row r="872">
      <c r="A872" s="163"/>
      <c r="B872" s="163"/>
      <c r="C872" s="163"/>
      <c r="D872" s="163"/>
      <c r="E872" s="163"/>
      <c r="F872" s="163"/>
      <c r="G872" s="163"/>
      <c r="H872" s="163"/>
      <c r="I872" s="163"/>
      <c r="J872" s="163"/>
      <c r="K872" s="163"/>
      <c r="L872" s="165"/>
      <c r="M872" s="163"/>
      <c r="N872" s="163"/>
      <c r="O872" s="163"/>
      <c r="P872" s="163"/>
      <c r="Q872" s="163"/>
      <c r="R872" s="163"/>
      <c r="S872" s="163"/>
      <c r="T872" s="163"/>
      <c r="U872" s="163"/>
      <c r="V872" s="163"/>
      <c r="W872" s="163"/>
      <c r="X872" s="163"/>
      <c r="Y872" s="163"/>
      <c r="Z872" s="163"/>
      <c r="AA872" s="163"/>
    </row>
    <row r="873">
      <c r="A873" s="163"/>
      <c r="B873" s="163"/>
      <c r="C873" s="163"/>
      <c r="D873" s="163"/>
      <c r="E873" s="163"/>
      <c r="F873" s="163"/>
      <c r="G873" s="163"/>
      <c r="H873" s="163"/>
      <c r="I873" s="163"/>
      <c r="J873" s="163"/>
      <c r="K873" s="163"/>
      <c r="L873" s="165"/>
      <c r="M873" s="163"/>
      <c r="N873" s="163"/>
      <c r="O873" s="163"/>
      <c r="P873" s="163"/>
      <c r="Q873" s="163"/>
      <c r="R873" s="163"/>
      <c r="S873" s="163"/>
      <c r="T873" s="163"/>
      <c r="U873" s="163"/>
      <c r="V873" s="163"/>
      <c r="W873" s="163"/>
      <c r="X873" s="163"/>
      <c r="Y873" s="163"/>
      <c r="Z873" s="163"/>
      <c r="AA873" s="163"/>
    </row>
    <row r="874">
      <c r="A874" s="163"/>
      <c r="B874" s="163"/>
      <c r="C874" s="163"/>
      <c r="D874" s="163"/>
      <c r="E874" s="163"/>
      <c r="F874" s="163"/>
      <c r="G874" s="163"/>
      <c r="H874" s="163"/>
      <c r="I874" s="163"/>
      <c r="J874" s="163"/>
      <c r="K874" s="163"/>
      <c r="L874" s="165"/>
      <c r="M874" s="163"/>
      <c r="N874" s="163"/>
      <c r="O874" s="163"/>
      <c r="P874" s="163"/>
      <c r="Q874" s="163"/>
      <c r="R874" s="163"/>
      <c r="S874" s="163"/>
      <c r="T874" s="163"/>
      <c r="U874" s="163"/>
      <c r="V874" s="163"/>
      <c r="W874" s="163"/>
      <c r="X874" s="163"/>
      <c r="Y874" s="163"/>
      <c r="Z874" s="163"/>
      <c r="AA874" s="163"/>
    </row>
    <row r="875">
      <c r="A875" s="163"/>
      <c r="B875" s="163"/>
      <c r="C875" s="163"/>
      <c r="D875" s="163"/>
      <c r="E875" s="163"/>
      <c r="F875" s="163"/>
      <c r="G875" s="163"/>
      <c r="H875" s="163"/>
      <c r="I875" s="163"/>
      <c r="J875" s="163"/>
      <c r="K875" s="163"/>
      <c r="L875" s="165"/>
      <c r="M875" s="163"/>
      <c r="N875" s="163"/>
      <c r="O875" s="163"/>
      <c r="P875" s="163"/>
      <c r="Q875" s="163"/>
      <c r="R875" s="163"/>
      <c r="S875" s="163"/>
      <c r="T875" s="163"/>
      <c r="U875" s="163"/>
      <c r="V875" s="163"/>
      <c r="W875" s="163"/>
      <c r="X875" s="163"/>
      <c r="Y875" s="163"/>
      <c r="Z875" s="163"/>
      <c r="AA875" s="163"/>
    </row>
    <row r="876">
      <c r="A876" s="163"/>
      <c r="B876" s="163"/>
      <c r="C876" s="163"/>
      <c r="D876" s="163"/>
      <c r="E876" s="163"/>
      <c r="F876" s="163"/>
      <c r="G876" s="163"/>
      <c r="H876" s="163"/>
      <c r="I876" s="163"/>
      <c r="J876" s="163"/>
      <c r="K876" s="163"/>
      <c r="L876" s="165"/>
      <c r="M876" s="163"/>
      <c r="N876" s="163"/>
      <c r="O876" s="163"/>
      <c r="P876" s="163"/>
      <c r="Q876" s="163"/>
      <c r="R876" s="163"/>
      <c r="S876" s="163"/>
      <c r="T876" s="163"/>
      <c r="U876" s="163"/>
      <c r="V876" s="163"/>
      <c r="W876" s="163"/>
      <c r="X876" s="163"/>
      <c r="Y876" s="163"/>
      <c r="Z876" s="163"/>
      <c r="AA876" s="163"/>
    </row>
    <row r="877">
      <c r="A877" s="163"/>
      <c r="B877" s="163"/>
      <c r="C877" s="163"/>
      <c r="D877" s="163"/>
      <c r="E877" s="163"/>
      <c r="F877" s="163"/>
      <c r="G877" s="163"/>
      <c r="H877" s="163"/>
      <c r="I877" s="163"/>
      <c r="J877" s="163"/>
      <c r="K877" s="163"/>
      <c r="L877" s="165"/>
      <c r="M877" s="163"/>
      <c r="N877" s="163"/>
      <c r="O877" s="163"/>
      <c r="P877" s="163"/>
      <c r="Q877" s="163"/>
      <c r="R877" s="163"/>
      <c r="S877" s="163"/>
      <c r="T877" s="163"/>
      <c r="U877" s="163"/>
      <c r="V877" s="163"/>
      <c r="W877" s="163"/>
      <c r="X877" s="163"/>
      <c r="Y877" s="163"/>
      <c r="Z877" s="163"/>
      <c r="AA877" s="163"/>
    </row>
    <row r="878">
      <c r="A878" s="163"/>
      <c r="B878" s="163"/>
      <c r="C878" s="163"/>
      <c r="D878" s="163"/>
      <c r="E878" s="163"/>
      <c r="F878" s="163"/>
      <c r="G878" s="163"/>
      <c r="H878" s="163"/>
      <c r="I878" s="163"/>
      <c r="J878" s="163"/>
      <c r="K878" s="163"/>
      <c r="L878" s="165"/>
      <c r="M878" s="163"/>
      <c r="N878" s="163"/>
      <c r="O878" s="163"/>
      <c r="P878" s="163"/>
      <c r="Q878" s="163"/>
      <c r="R878" s="163"/>
      <c r="S878" s="163"/>
      <c r="T878" s="163"/>
      <c r="U878" s="163"/>
      <c r="V878" s="163"/>
      <c r="W878" s="163"/>
      <c r="X878" s="163"/>
      <c r="Y878" s="163"/>
      <c r="Z878" s="163"/>
      <c r="AA878" s="163"/>
    </row>
    <row r="879">
      <c r="A879" s="163"/>
      <c r="B879" s="163"/>
      <c r="C879" s="163"/>
      <c r="D879" s="163"/>
      <c r="E879" s="163"/>
      <c r="F879" s="163"/>
      <c r="G879" s="163"/>
      <c r="H879" s="163"/>
      <c r="I879" s="163"/>
      <c r="J879" s="163"/>
      <c r="K879" s="163"/>
      <c r="L879" s="165"/>
      <c r="M879" s="163"/>
      <c r="N879" s="163"/>
      <c r="O879" s="163"/>
      <c r="P879" s="163"/>
      <c r="Q879" s="163"/>
      <c r="R879" s="163"/>
      <c r="S879" s="163"/>
      <c r="T879" s="163"/>
      <c r="U879" s="163"/>
      <c r="V879" s="163"/>
      <c r="W879" s="163"/>
      <c r="X879" s="163"/>
      <c r="Y879" s="163"/>
      <c r="Z879" s="163"/>
      <c r="AA879" s="163"/>
    </row>
    <row r="880">
      <c r="A880" s="163"/>
      <c r="B880" s="163"/>
      <c r="C880" s="163"/>
      <c r="D880" s="163"/>
      <c r="E880" s="163"/>
      <c r="F880" s="163"/>
      <c r="G880" s="163"/>
      <c r="H880" s="163"/>
      <c r="I880" s="163"/>
      <c r="J880" s="163"/>
      <c r="K880" s="163"/>
      <c r="L880" s="165"/>
      <c r="M880" s="163"/>
      <c r="N880" s="163"/>
      <c r="O880" s="163"/>
      <c r="P880" s="163"/>
      <c r="Q880" s="163"/>
      <c r="R880" s="163"/>
      <c r="S880" s="163"/>
      <c r="T880" s="163"/>
      <c r="U880" s="163"/>
      <c r="V880" s="163"/>
      <c r="W880" s="163"/>
      <c r="X880" s="163"/>
      <c r="Y880" s="163"/>
      <c r="Z880" s="163"/>
      <c r="AA880" s="163"/>
    </row>
    <row r="881">
      <c r="A881" s="163"/>
      <c r="B881" s="163"/>
      <c r="C881" s="163"/>
      <c r="D881" s="163"/>
      <c r="E881" s="163"/>
      <c r="F881" s="163"/>
      <c r="G881" s="163"/>
      <c r="H881" s="163"/>
      <c r="I881" s="163"/>
      <c r="J881" s="163"/>
      <c r="K881" s="163"/>
      <c r="L881" s="165"/>
      <c r="M881" s="163"/>
      <c r="N881" s="163"/>
      <c r="O881" s="163"/>
      <c r="P881" s="163"/>
      <c r="Q881" s="163"/>
      <c r="R881" s="163"/>
      <c r="S881" s="163"/>
      <c r="T881" s="163"/>
      <c r="U881" s="163"/>
      <c r="V881" s="163"/>
      <c r="W881" s="163"/>
      <c r="X881" s="163"/>
      <c r="Y881" s="163"/>
      <c r="Z881" s="163"/>
      <c r="AA881" s="163"/>
    </row>
    <row r="882">
      <c r="A882" s="163"/>
      <c r="B882" s="163"/>
      <c r="C882" s="163"/>
      <c r="D882" s="163"/>
      <c r="E882" s="163"/>
      <c r="F882" s="163"/>
      <c r="G882" s="163"/>
      <c r="H882" s="163"/>
      <c r="I882" s="163"/>
      <c r="J882" s="163"/>
      <c r="K882" s="163"/>
      <c r="L882" s="165"/>
      <c r="M882" s="163"/>
      <c r="N882" s="163"/>
      <c r="O882" s="163"/>
      <c r="P882" s="163"/>
      <c r="Q882" s="163"/>
      <c r="R882" s="163"/>
      <c r="S882" s="163"/>
      <c r="T882" s="163"/>
      <c r="U882" s="163"/>
      <c r="V882" s="163"/>
      <c r="W882" s="163"/>
      <c r="X882" s="163"/>
      <c r="Y882" s="163"/>
      <c r="Z882" s="163"/>
      <c r="AA882" s="163"/>
    </row>
    <row r="883">
      <c r="A883" s="163"/>
      <c r="B883" s="163"/>
      <c r="C883" s="163"/>
      <c r="D883" s="163"/>
      <c r="E883" s="163"/>
      <c r="F883" s="163"/>
      <c r="G883" s="163"/>
      <c r="H883" s="163"/>
      <c r="I883" s="163"/>
      <c r="J883" s="163"/>
      <c r="K883" s="163"/>
      <c r="L883" s="165"/>
      <c r="M883" s="163"/>
      <c r="N883" s="163"/>
      <c r="O883" s="163"/>
      <c r="P883" s="163"/>
      <c r="Q883" s="163"/>
      <c r="R883" s="163"/>
      <c r="S883" s="163"/>
      <c r="T883" s="163"/>
      <c r="U883" s="163"/>
      <c r="V883" s="163"/>
      <c r="W883" s="163"/>
      <c r="X883" s="163"/>
      <c r="Y883" s="163"/>
      <c r="Z883" s="163"/>
      <c r="AA883" s="163"/>
    </row>
    <row r="884">
      <c r="A884" s="163"/>
      <c r="B884" s="163"/>
      <c r="C884" s="163"/>
      <c r="D884" s="163"/>
      <c r="E884" s="163"/>
      <c r="F884" s="163"/>
      <c r="G884" s="163"/>
      <c r="H884" s="163"/>
      <c r="I884" s="163"/>
      <c r="J884" s="163"/>
      <c r="K884" s="163"/>
      <c r="L884" s="165"/>
      <c r="M884" s="163"/>
      <c r="N884" s="163"/>
      <c r="O884" s="163"/>
      <c r="P884" s="163"/>
      <c r="Q884" s="163"/>
      <c r="R884" s="163"/>
      <c r="S884" s="163"/>
      <c r="T884" s="163"/>
      <c r="U884" s="163"/>
      <c r="V884" s="163"/>
      <c r="W884" s="163"/>
      <c r="X884" s="163"/>
      <c r="Y884" s="163"/>
      <c r="Z884" s="163"/>
      <c r="AA884" s="163"/>
    </row>
    <row r="885">
      <c r="A885" s="163"/>
      <c r="B885" s="163"/>
      <c r="C885" s="163"/>
      <c r="D885" s="163"/>
      <c r="E885" s="163"/>
      <c r="F885" s="163"/>
      <c r="G885" s="163"/>
      <c r="H885" s="163"/>
      <c r="I885" s="163"/>
      <c r="J885" s="163"/>
      <c r="K885" s="163"/>
      <c r="L885" s="165"/>
      <c r="M885" s="163"/>
      <c r="N885" s="163"/>
      <c r="O885" s="163"/>
      <c r="P885" s="163"/>
      <c r="Q885" s="163"/>
      <c r="R885" s="163"/>
      <c r="S885" s="163"/>
      <c r="T885" s="163"/>
      <c r="U885" s="163"/>
      <c r="V885" s="163"/>
      <c r="W885" s="163"/>
      <c r="X885" s="163"/>
      <c r="Y885" s="163"/>
      <c r="Z885" s="163"/>
      <c r="AA885" s="163"/>
    </row>
    <row r="886">
      <c r="A886" s="163"/>
      <c r="B886" s="163"/>
      <c r="C886" s="163"/>
      <c r="D886" s="163"/>
      <c r="E886" s="163"/>
      <c r="F886" s="163"/>
      <c r="G886" s="163"/>
      <c r="H886" s="163"/>
      <c r="I886" s="163"/>
      <c r="J886" s="163"/>
      <c r="K886" s="163"/>
      <c r="L886" s="165"/>
      <c r="M886" s="163"/>
      <c r="N886" s="163"/>
      <c r="O886" s="163"/>
      <c r="P886" s="163"/>
      <c r="Q886" s="163"/>
      <c r="R886" s="163"/>
      <c r="S886" s="163"/>
      <c r="T886" s="163"/>
      <c r="U886" s="163"/>
      <c r="V886" s="163"/>
      <c r="W886" s="163"/>
      <c r="X886" s="163"/>
      <c r="Y886" s="163"/>
      <c r="Z886" s="163"/>
      <c r="AA886" s="163"/>
    </row>
    <row r="887">
      <c r="A887" s="163"/>
      <c r="B887" s="163"/>
      <c r="C887" s="163"/>
      <c r="D887" s="163"/>
      <c r="E887" s="163"/>
      <c r="F887" s="163"/>
      <c r="G887" s="163"/>
      <c r="H887" s="163"/>
      <c r="I887" s="163"/>
      <c r="J887" s="163"/>
      <c r="K887" s="163"/>
      <c r="L887" s="165"/>
      <c r="M887" s="163"/>
      <c r="N887" s="163"/>
      <c r="O887" s="163"/>
      <c r="P887" s="163"/>
      <c r="Q887" s="163"/>
      <c r="R887" s="163"/>
      <c r="S887" s="163"/>
      <c r="T887" s="163"/>
      <c r="U887" s="163"/>
      <c r="V887" s="163"/>
      <c r="W887" s="163"/>
      <c r="X887" s="163"/>
      <c r="Y887" s="163"/>
      <c r="Z887" s="163"/>
      <c r="AA887" s="163"/>
    </row>
    <row r="888">
      <c r="A888" s="163"/>
      <c r="B888" s="163"/>
      <c r="C888" s="163"/>
      <c r="D888" s="163"/>
      <c r="E888" s="163"/>
      <c r="F888" s="163"/>
      <c r="G888" s="163"/>
      <c r="H888" s="163"/>
      <c r="I888" s="163"/>
      <c r="J888" s="163"/>
      <c r="K888" s="163"/>
      <c r="L888" s="165"/>
      <c r="M888" s="163"/>
      <c r="N888" s="163"/>
      <c r="O888" s="163"/>
      <c r="P888" s="163"/>
      <c r="Q888" s="163"/>
      <c r="R888" s="163"/>
      <c r="S888" s="163"/>
      <c r="T888" s="163"/>
      <c r="U888" s="163"/>
      <c r="V888" s="163"/>
      <c r="W888" s="163"/>
      <c r="X888" s="163"/>
      <c r="Y888" s="163"/>
      <c r="Z888" s="163"/>
      <c r="AA888" s="163"/>
    </row>
    <row r="889">
      <c r="A889" s="163"/>
      <c r="B889" s="163"/>
      <c r="C889" s="163"/>
      <c r="D889" s="163"/>
      <c r="E889" s="163"/>
      <c r="F889" s="163"/>
      <c r="G889" s="163"/>
      <c r="H889" s="163"/>
      <c r="I889" s="163"/>
      <c r="J889" s="163"/>
      <c r="K889" s="163"/>
      <c r="L889" s="165"/>
      <c r="M889" s="163"/>
      <c r="N889" s="163"/>
      <c r="O889" s="163"/>
      <c r="P889" s="163"/>
      <c r="Q889" s="163"/>
      <c r="R889" s="163"/>
      <c r="S889" s="163"/>
      <c r="T889" s="163"/>
      <c r="U889" s="163"/>
      <c r="V889" s="163"/>
      <c r="W889" s="163"/>
      <c r="X889" s="163"/>
      <c r="Y889" s="163"/>
      <c r="Z889" s="163"/>
      <c r="AA889" s="163"/>
    </row>
    <row r="890">
      <c r="A890" s="163"/>
      <c r="B890" s="163"/>
      <c r="C890" s="163"/>
      <c r="D890" s="163"/>
      <c r="E890" s="163"/>
      <c r="F890" s="163"/>
      <c r="G890" s="163"/>
      <c r="H890" s="163"/>
      <c r="I890" s="163"/>
      <c r="J890" s="163"/>
      <c r="K890" s="163"/>
      <c r="L890" s="165"/>
      <c r="M890" s="163"/>
      <c r="N890" s="163"/>
      <c r="O890" s="163"/>
      <c r="P890" s="163"/>
      <c r="Q890" s="163"/>
      <c r="R890" s="163"/>
      <c r="S890" s="163"/>
      <c r="T890" s="163"/>
      <c r="U890" s="163"/>
      <c r="V890" s="163"/>
      <c r="W890" s="163"/>
      <c r="X890" s="163"/>
      <c r="Y890" s="163"/>
      <c r="Z890" s="163"/>
      <c r="AA890" s="163"/>
    </row>
    <row r="891">
      <c r="A891" s="163"/>
      <c r="B891" s="163"/>
      <c r="C891" s="163"/>
      <c r="D891" s="163"/>
      <c r="E891" s="163"/>
      <c r="F891" s="163"/>
      <c r="G891" s="163"/>
      <c r="H891" s="163"/>
      <c r="I891" s="163"/>
      <c r="J891" s="163"/>
      <c r="K891" s="163"/>
      <c r="L891" s="165"/>
      <c r="M891" s="163"/>
      <c r="N891" s="163"/>
      <c r="O891" s="163"/>
      <c r="P891" s="163"/>
      <c r="Q891" s="163"/>
      <c r="R891" s="163"/>
      <c r="S891" s="163"/>
      <c r="T891" s="163"/>
      <c r="U891" s="163"/>
      <c r="V891" s="163"/>
      <c r="W891" s="163"/>
      <c r="X891" s="163"/>
      <c r="Y891" s="163"/>
      <c r="Z891" s="163"/>
      <c r="AA891" s="163"/>
    </row>
    <row r="892">
      <c r="A892" s="163"/>
      <c r="B892" s="163"/>
      <c r="C892" s="163"/>
      <c r="D892" s="163"/>
      <c r="E892" s="163"/>
      <c r="F892" s="163"/>
      <c r="G892" s="163"/>
      <c r="H892" s="163"/>
      <c r="I892" s="163"/>
      <c r="J892" s="163"/>
      <c r="K892" s="163"/>
      <c r="L892" s="165"/>
      <c r="M892" s="163"/>
      <c r="N892" s="163"/>
      <c r="O892" s="163"/>
      <c r="P892" s="163"/>
      <c r="Q892" s="163"/>
      <c r="R892" s="163"/>
      <c r="S892" s="163"/>
      <c r="T892" s="163"/>
      <c r="U892" s="163"/>
      <c r="V892" s="163"/>
      <c r="W892" s="163"/>
      <c r="X892" s="163"/>
      <c r="Y892" s="163"/>
      <c r="Z892" s="163"/>
      <c r="AA892" s="163"/>
    </row>
    <row r="893">
      <c r="A893" s="163"/>
      <c r="B893" s="163"/>
      <c r="C893" s="163"/>
      <c r="D893" s="163"/>
      <c r="E893" s="163"/>
      <c r="F893" s="163"/>
      <c r="G893" s="163"/>
      <c r="H893" s="163"/>
      <c r="I893" s="163"/>
      <c r="J893" s="163"/>
      <c r="K893" s="163"/>
      <c r="L893" s="165"/>
      <c r="M893" s="163"/>
      <c r="N893" s="163"/>
      <c r="O893" s="163"/>
      <c r="P893" s="163"/>
      <c r="Q893" s="163"/>
      <c r="R893" s="163"/>
      <c r="S893" s="163"/>
      <c r="T893" s="163"/>
      <c r="U893" s="163"/>
      <c r="V893" s="163"/>
      <c r="W893" s="163"/>
      <c r="X893" s="163"/>
      <c r="Y893" s="163"/>
      <c r="Z893" s="163"/>
      <c r="AA893" s="163"/>
    </row>
    <row r="894">
      <c r="A894" s="163"/>
      <c r="B894" s="163"/>
      <c r="C894" s="163"/>
      <c r="D894" s="163"/>
      <c r="E894" s="163"/>
      <c r="F894" s="163"/>
      <c r="G894" s="163"/>
      <c r="H894" s="163"/>
      <c r="I894" s="163"/>
      <c r="J894" s="163"/>
      <c r="K894" s="163"/>
      <c r="L894" s="165"/>
      <c r="M894" s="163"/>
      <c r="N894" s="163"/>
      <c r="O894" s="163"/>
      <c r="P894" s="163"/>
      <c r="Q894" s="163"/>
      <c r="R894" s="163"/>
      <c r="S894" s="163"/>
      <c r="T894" s="163"/>
      <c r="U894" s="163"/>
      <c r="V894" s="163"/>
      <c r="W894" s="163"/>
      <c r="X894" s="163"/>
      <c r="Y894" s="163"/>
      <c r="Z894" s="163"/>
      <c r="AA894" s="163"/>
    </row>
    <row r="895">
      <c r="A895" s="163"/>
      <c r="B895" s="163"/>
      <c r="C895" s="163"/>
      <c r="D895" s="163"/>
      <c r="E895" s="163"/>
      <c r="F895" s="163"/>
      <c r="G895" s="163"/>
      <c r="H895" s="163"/>
      <c r="I895" s="163"/>
      <c r="J895" s="163"/>
      <c r="K895" s="163"/>
      <c r="L895" s="165"/>
      <c r="M895" s="163"/>
      <c r="N895" s="163"/>
      <c r="O895" s="163"/>
      <c r="P895" s="163"/>
      <c r="Q895" s="163"/>
      <c r="R895" s="163"/>
      <c r="S895" s="163"/>
      <c r="T895" s="163"/>
      <c r="U895" s="163"/>
      <c r="V895" s="163"/>
      <c r="W895" s="163"/>
      <c r="X895" s="163"/>
      <c r="Y895" s="163"/>
      <c r="Z895" s="163"/>
      <c r="AA895" s="163"/>
    </row>
    <row r="896">
      <c r="A896" s="163"/>
      <c r="B896" s="163"/>
      <c r="C896" s="163"/>
      <c r="D896" s="163"/>
      <c r="E896" s="163"/>
      <c r="F896" s="163"/>
      <c r="G896" s="163"/>
      <c r="H896" s="163"/>
      <c r="I896" s="163"/>
      <c r="J896" s="163"/>
      <c r="K896" s="163"/>
      <c r="L896" s="165"/>
      <c r="M896" s="163"/>
      <c r="N896" s="163"/>
      <c r="O896" s="163"/>
      <c r="P896" s="163"/>
      <c r="Q896" s="163"/>
      <c r="R896" s="163"/>
      <c r="S896" s="163"/>
      <c r="T896" s="163"/>
      <c r="U896" s="163"/>
      <c r="V896" s="163"/>
      <c r="W896" s="163"/>
      <c r="X896" s="163"/>
      <c r="Y896" s="163"/>
      <c r="Z896" s="163"/>
      <c r="AA896" s="163"/>
    </row>
    <row r="897">
      <c r="A897" s="163"/>
      <c r="B897" s="163"/>
      <c r="C897" s="163"/>
      <c r="D897" s="163"/>
      <c r="E897" s="163"/>
      <c r="F897" s="163"/>
      <c r="G897" s="163"/>
      <c r="H897" s="163"/>
      <c r="I897" s="163"/>
      <c r="J897" s="163"/>
      <c r="K897" s="163"/>
      <c r="L897" s="165"/>
      <c r="M897" s="163"/>
      <c r="N897" s="163"/>
      <c r="O897" s="163"/>
      <c r="P897" s="163"/>
      <c r="Q897" s="163"/>
      <c r="R897" s="163"/>
      <c r="S897" s="163"/>
      <c r="T897" s="163"/>
      <c r="U897" s="163"/>
      <c r="V897" s="163"/>
      <c r="W897" s="163"/>
      <c r="X897" s="163"/>
      <c r="Y897" s="163"/>
      <c r="Z897" s="163"/>
      <c r="AA897" s="163"/>
    </row>
    <row r="898">
      <c r="A898" s="163"/>
      <c r="B898" s="163"/>
      <c r="C898" s="163"/>
      <c r="D898" s="163"/>
      <c r="E898" s="163"/>
      <c r="F898" s="163"/>
      <c r="G898" s="163"/>
      <c r="H898" s="163"/>
      <c r="I898" s="163"/>
      <c r="J898" s="163"/>
      <c r="K898" s="163"/>
      <c r="L898" s="165"/>
      <c r="M898" s="163"/>
      <c r="N898" s="163"/>
      <c r="O898" s="163"/>
      <c r="P898" s="163"/>
      <c r="Q898" s="163"/>
      <c r="R898" s="163"/>
      <c r="S898" s="163"/>
      <c r="T898" s="163"/>
      <c r="U898" s="163"/>
      <c r="V898" s="163"/>
      <c r="W898" s="163"/>
      <c r="X898" s="163"/>
      <c r="Y898" s="163"/>
      <c r="Z898" s="163"/>
      <c r="AA898" s="163"/>
    </row>
    <row r="899">
      <c r="A899" s="163"/>
      <c r="B899" s="163"/>
      <c r="C899" s="163"/>
      <c r="D899" s="163"/>
      <c r="E899" s="163"/>
      <c r="F899" s="163"/>
      <c r="G899" s="163"/>
      <c r="H899" s="163"/>
      <c r="I899" s="163"/>
      <c r="J899" s="163"/>
      <c r="K899" s="163"/>
      <c r="L899" s="165"/>
      <c r="M899" s="163"/>
      <c r="N899" s="163"/>
      <c r="O899" s="163"/>
      <c r="P899" s="163"/>
      <c r="Q899" s="163"/>
      <c r="R899" s="163"/>
      <c r="S899" s="163"/>
      <c r="T899" s="163"/>
      <c r="U899" s="163"/>
      <c r="V899" s="163"/>
      <c r="W899" s="163"/>
      <c r="X899" s="163"/>
      <c r="Y899" s="163"/>
      <c r="Z899" s="163"/>
      <c r="AA899" s="163"/>
    </row>
    <row r="900">
      <c r="A900" s="163"/>
      <c r="B900" s="163"/>
      <c r="C900" s="163"/>
      <c r="D900" s="163"/>
      <c r="E900" s="163"/>
      <c r="F900" s="163"/>
      <c r="G900" s="163"/>
      <c r="H900" s="163"/>
      <c r="I900" s="163"/>
      <c r="J900" s="163"/>
      <c r="K900" s="163"/>
      <c r="L900" s="165"/>
      <c r="M900" s="163"/>
      <c r="N900" s="163"/>
      <c r="O900" s="163"/>
      <c r="P900" s="163"/>
      <c r="Q900" s="163"/>
      <c r="R900" s="163"/>
      <c r="S900" s="163"/>
      <c r="T900" s="163"/>
      <c r="U900" s="163"/>
      <c r="V900" s="163"/>
      <c r="W900" s="163"/>
      <c r="X900" s="163"/>
      <c r="Y900" s="163"/>
      <c r="Z900" s="163"/>
      <c r="AA900" s="163"/>
    </row>
    <row r="901">
      <c r="A901" s="163"/>
      <c r="B901" s="163"/>
      <c r="C901" s="163"/>
      <c r="D901" s="163"/>
      <c r="E901" s="163"/>
      <c r="F901" s="163"/>
      <c r="G901" s="163"/>
      <c r="H901" s="163"/>
      <c r="I901" s="163"/>
      <c r="J901" s="163"/>
      <c r="K901" s="163"/>
      <c r="L901" s="165"/>
      <c r="M901" s="163"/>
      <c r="N901" s="163"/>
      <c r="O901" s="163"/>
      <c r="P901" s="163"/>
      <c r="Q901" s="163"/>
      <c r="R901" s="163"/>
      <c r="S901" s="163"/>
      <c r="T901" s="163"/>
      <c r="U901" s="163"/>
      <c r="V901" s="163"/>
      <c r="W901" s="163"/>
      <c r="X901" s="163"/>
      <c r="Y901" s="163"/>
      <c r="Z901" s="163"/>
      <c r="AA901" s="163"/>
    </row>
    <row r="902">
      <c r="A902" s="163"/>
      <c r="B902" s="163"/>
      <c r="C902" s="163"/>
      <c r="D902" s="163"/>
      <c r="E902" s="163"/>
      <c r="F902" s="163"/>
      <c r="G902" s="163"/>
      <c r="H902" s="163"/>
      <c r="I902" s="163"/>
      <c r="J902" s="163"/>
      <c r="K902" s="163"/>
      <c r="L902" s="165"/>
      <c r="M902" s="163"/>
      <c r="N902" s="163"/>
      <c r="O902" s="163"/>
      <c r="P902" s="163"/>
      <c r="Q902" s="163"/>
      <c r="R902" s="163"/>
      <c r="S902" s="163"/>
      <c r="T902" s="163"/>
      <c r="U902" s="163"/>
      <c r="V902" s="163"/>
      <c r="W902" s="163"/>
      <c r="X902" s="163"/>
      <c r="Y902" s="163"/>
      <c r="Z902" s="163"/>
      <c r="AA902" s="163"/>
    </row>
    <row r="903">
      <c r="A903" s="163"/>
      <c r="B903" s="163"/>
      <c r="C903" s="163"/>
      <c r="D903" s="163"/>
      <c r="E903" s="163"/>
      <c r="F903" s="163"/>
      <c r="G903" s="163"/>
      <c r="H903" s="163"/>
      <c r="I903" s="163"/>
      <c r="J903" s="163"/>
      <c r="K903" s="163"/>
      <c r="L903" s="165"/>
      <c r="M903" s="163"/>
      <c r="N903" s="163"/>
      <c r="O903" s="163"/>
      <c r="P903" s="163"/>
      <c r="Q903" s="163"/>
      <c r="R903" s="163"/>
      <c r="S903" s="163"/>
      <c r="T903" s="163"/>
      <c r="U903" s="163"/>
      <c r="V903" s="163"/>
      <c r="W903" s="163"/>
      <c r="X903" s="163"/>
      <c r="Y903" s="163"/>
      <c r="Z903" s="163"/>
      <c r="AA903" s="163"/>
    </row>
    <row r="904">
      <c r="A904" s="163"/>
      <c r="B904" s="163"/>
      <c r="C904" s="163"/>
      <c r="D904" s="163"/>
      <c r="E904" s="163"/>
      <c r="F904" s="163"/>
      <c r="G904" s="163"/>
      <c r="H904" s="163"/>
      <c r="I904" s="163"/>
      <c r="J904" s="163"/>
      <c r="K904" s="163"/>
      <c r="L904" s="165"/>
      <c r="M904" s="163"/>
      <c r="N904" s="163"/>
      <c r="O904" s="163"/>
      <c r="P904" s="163"/>
      <c r="Q904" s="163"/>
      <c r="R904" s="163"/>
      <c r="S904" s="163"/>
      <c r="T904" s="163"/>
      <c r="U904" s="163"/>
      <c r="V904" s="163"/>
      <c r="W904" s="163"/>
      <c r="X904" s="163"/>
      <c r="Y904" s="163"/>
      <c r="Z904" s="163"/>
      <c r="AA904" s="163"/>
    </row>
    <row r="905">
      <c r="A905" s="163"/>
      <c r="B905" s="163"/>
      <c r="C905" s="163"/>
      <c r="D905" s="163"/>
      <c r="E905" s="163"/>
      <c r="F905" s="163"/>
      <c r="G905" s="163"/>
      <c r="H905" s="163"/>
      <c r="I905" s="163"/>
      <c r="J905" s="163"/>
      <c r="K905" s="163"/>
      <c r="L905" s="165"/>
      <c r="M905" s="163"/>
      <c r="N905" s="163"/>
      <c r="O905" s="163"/>
      <c r="P905" s="163"/>
      <c r="Q905" s="163"/>
      <c r="R905" s="163"/>
      <c r="S905" s="163"/>
      <c r="T905" s="163"/>
      <c r="U905" s="163"/>
      <c r="V905" s="163"/>
      <c r="W905" s="163"/>
      <c r="X905" s="163"/>
      <c r="Y905" s="163"/>
      <c r="Z905" s="163"/>
      <c r="AA905" s="163"/>
    </row>
    <row r="906">
      <c r="A906" s="163"/>
      <c r="B906" s="163"/>
      <c r="C906" s="163"/>
      <c r="D906" s="163"/>
      <c r="E906" s="163"/>
      <c r="F906" s="163"/>
      <c r="G906" s="163"/>
      <c r="H906" s="163"/>
      <c r="I906" s="163"/>
      <c r="J906" s="163"/>
      <c r="K906" s="163"/>
      <c r="L906" s="165"/>
      <c r="M906" s="163"/>
      <c r="N906" s="163"/>
      <c r="O906" s="163"/>
      <c r="P906" s="163"/>
      <c r="Q906" s="163"/>
      <c r="R906" s="163"/>
      <c r="S906" s="163"/>
      <c r="T906" s="163"/>
      <c r="U906" s="163"/>
      <c r="V906" s="163"/>
      <c r="W906" s="163"/>
      <c r="X906" s="163"/>
      <c r="Y906" s="163"/>
      <c r="Z906" s="163"/>
      <c r="AA906" s="163"/>
    </row>
    <row r="907">
      <c r="A907" s="163"/>
      <c r="B907" s="163"/>
      <c r="C907" s="163"/>
      <c r="D907" s="163"/>
      <c r="E907" s="163"/>
      <c r="F907" s="163"/>
      <c r="G907" s="163"/>
      <c r="H907" s="163"/>
      <c r="I907" s="163"/>
      <c r="J907" s="163"/>
      <c r="K907" s="163"/>
      <c r="L907" s="165"/>
      <c r="M907" s="163"/>
      <c r="N907" s="163"/>
      <c r="O907" s="163"/>
      <c r="P907" s="163"/>
      <c r="Q907" s="163"/>
      <c r="R907" s="163"/>
      <c r="S907" s="163"/>
      <c r="T907" s="163"/>
      <c r="U907" s="163"/>
      <c r="V907" s="163"/>
      <c r="W907" s="163"/>
      <c r="X907" s="163"/>
      <c r="Y907" s="163"/>
      <c r="Z907" s="163"/>
      <c r="AA907" s="163"/>
    </row>
    <row r="908">
      <c r="A908" s="163"/>
      <c r="B908" s="163"/>
      <c r="C908" s="163"/>
      <c r="D908" s="163"/>
      <c r="E908" s="163"/>
      <c r="F908" s="163"/>
      <c r="G908" s="163"/>
      <c r="H908" s="163"/>
      <c r="I908" s="163"/>
      <c r="J908" s="163"/>
      <c r="K908" s="163"/>
      <c r="L908" s="165"/>
      <c r="M908" s="163"/>
      <c r="N908" s="163"/>
      <c r="O908" s="163"/>
      <c r="P908" s="163"/>
      <c r="Q908" s="163"/>
      <c r="R908" s="163"/>
      <c r="S908" s="163"/>
      <c r="T908" s="163"/>
      <c r="U908" s="163"/>
      <c r="V908" s="163"/>
      <c r="W908" s="163"/>
      <c r="X908" s="163"/>
      <c r="Y908" s="163"/>
      <c r="Z908" s="163"/>
      <c r="AA908" s="163"/>
    </row>
    <row r="909">
      <c r="A909" s="163"/>
      <c r="B909" s="163"/>
      <c r="C909" s="163"/>
      <c r="D909" s="163"/>
      <c r="E909" s="163"/>
      <c r="F909" s="163"/>
      <c r="G909" s="163"/>
      <c r="H909" s="163"/>
      <c r="I909" s="163"/>
      <c r="J909" s="163"/>
      <c r="K909" s="163"/>
      <c r="L909" s="165"/>
      <c r="M909" s="163"/>
      <c r="N909" s="163"/>
      <c r="O909" s="163"/>
      <c r="P909" s="163"/>
      <c r="Q909" s="163"/>
      <c r="R909" s="163"/>
      <c r="S909" s="163"/>
      <c r="T909" s="163"/>
      <c r="U909" s="163"/>
      <c r="V909" s="163"/>
      <c r="W909" s="163"/>
      <c r="X909" s="163"/>
      <c r="Y909" s="163"/>
      <c r="Z909" s="163"/>
      <c r="AA909" s="163"/>
    </row>
    <row r="910">
      <c r="A910" s="163"/>
      <c r="B910" s="163"/>
      <c r="C910" s="163"/>
      <c r="D910" s="163"/>
      <c r="E910" s="163"/>
      <c r="F910" s="163"/>
      <c r="G910" s="163"/>
      <c r="H910" s="163"/>
      <c r="I910" s="163"/>
      <c r="J910" s="163"/>
      <c r="K910" s="163"/>
      <c r="L910" s="165"/>
      <c r="M910" s="163"/>
      <c r="N910" s="163"/>
      <c r="O910" s="163"/>
      <c r="P910" s="163"/>
      <c r="Q910" s="163"/>
      <c r="R910" s="163"/>
      <c r="S910" s="163"/>
      <c r="T910" s="163"/>
      <c r="U910" s="163"/>
      <c r="V910" s="163"/>
      <c r="W910" s="163"/>
      <c r="X910" s="163"/>
      <c r="Y910" s="163"/>
      <c r="Z910" s="163"/>
      <c r="AA910" s="163"/>
    </row>
    <row r="911">
      <c r="A911" s="163"/>
      <c r="B911" s="163"/>
      <c r="C911" s="163"/>
      <c r="D911" s="163"/>
      <c r="E911" s="163"/>
      <c r="F911" s="163"/>
      <c r="G911" s="163"/>
      <c r="H911" s="163"/>
      <c r="I911" s="163"/>
      <c r="J911" s="163"/>
      <c r="K911" s="163"/>
      <c r="L911" s="165"/>
      <c r="M911" s="163"/>
      <c r="N911" s="163"/>
      <c r="O911" s="163"/>
      <c r="P911" s="163"/>
      <c r="Q911" s="163"/>
      <c r="R911" s="163"/>
      <c r="S911" s="163"/>
      <c r="T911" s="163"/>
      <c r="U911" s="163"/>
      <c r="V911" s="163"/>
      <c r="W911" s="163"/>
      <c r="X911" s="163"/>
      <c r="Y911" s="163"/>
      <c r="Z911" s="163"/>
      <c r="AA911" s="163"/>
    </row>
    <row r="912">
      <c r="A912" s="163"/>
      <c r="B912" s="163"/>
      <c r="C912" s="163"/>
      <c r="D912" s="163"/>
      <c r="E912" s="163"/>
      <c r="F912" s="163"/>
      <c r="G912" s="163"/>
      <c r="H912" s="163"/>
      <c r="I912" s="163"/>
      <c r="J912" s="163"/>
      <c r="K912" s="163"/>
      <c r="L912" s="165"/>
      <c r="M912" s="163"/>
      <c r="N912" s="163"/>
      <c r="O912" s="163"/>
      <c r="P912" s="163"/>
      <c r="Q912" s="163"/>
      <c r="R912" s="163"/>
      <c r="S912" s="163"/>
      <c r="T912" s="163"/>
      <c r="U912" s="163"/>
      <c r="V912" s="163"/>
      <c r="W912" s="163"/>
      <c r="X912" s="163"/>
      <c r="Y912" s="163"/>
      <c r="Z912" s="163"/>
      <c r="AA912" s="163"/>
    </row>
    <row r="913">
      <c r="A913" s="163"/>
      <c r="B913" s="163"/>
      <c r="C913" s="163"/>
      <c r="D913" s="163"/>
      <c r="E913" s="163"/>
      <c r="F913" s="163"/>
      <c r="G913" s="163"/>
      <c r="H913" s="163"/>
      <c r="I913" s="163"/>
      <c r="J913" s="163"/>
      <c r="K913" s="163"/>
      <c r="L913" s="165"/>
      <c r="M913" s="163"/>
      <c r="N913" s="163"/>
      <c r="O913" s="163"/>
      <c r="P913" s="163"/>
      <c r="Q913" s="163"/>
      <c r="R913" s="163"/>
      <c r="S913" s="163"/>
      <c r="T913" s="163"/>
      <c r="U913" s="163"/>
      <c r="V913" s="163"/>
      <c r="W913" s="163"/>
      <c r="X913" s="163"/>
      <c r="Y913" s="163"/>
      <c r="Z913" s="163"/>
      <c r="AA913" s="163"/>
    </row>
    <row r="914">
      <c r="A914" s="163"/>
      <c r="B914" s="163"/>
      <c r="C914" s="163"/>
      <c r="D914" s="163"/>
      <c r="E914" s="163"/>
      <c r="F914" s="163"/>
      <c r="G914" s="163"/>
      <c r="H914" s="163"/>
      <c r="I914" s="163"/>
      <c r="J914" s="163"/>
      <c r="K914" s="163"/>
      <c r="L914" s="165"/>
      <c r="M914" s="163"/>
      <c r="N914" s="163"/>
      <c r="O914" s="163"/>
      <c r="P914" s="163"/>
      <c r="Q914" s="163"/>
      <c r="R914" s="163"/>
      <c r="S914" s="163"/>
      <c r="T914" s="163"/>
      <c r="U914" s="163"/>
      <c r="V914" s="163"/>
      <c r="W914" s="163"/>
      <c r="X914" s="163"/>
      <c r="Y914" s="163"/>
      <c r="Z914" s="163"/>
      <c r="AA914" s="163"/>
    </row>
    <row r="915">
      <c r="A915" s="163"/>
      <c r="B915" s="163"/>
      <c r="C915" s="163"/>
      <c r="D915" s="163"/>
      <c r="E915" s="163"/>
      <c r="F915" s="163"/>
      <c r="G915" s="163"/>
      <c r="H915" s="163"/>
      <c r="I915" s="163"/>
      <c r="J915" s="163"/>
      <c r="K915" s="163"/>
      <c r="L915" s="165"/>
      <c r="M915" s="163"/>
      <c r="N915" s="163"/>
      <c r="O915" s="163"/>
      <c r="P915" s="163"/>
      <c r="Q915" s="163"/>
      <c r="R915" s="163"/>
      <c r="S915" s="163"/>
      <c r="T915" s="163"/>
      <c r="U915" s="163"/>
      <c r="V915" s="163"/>
      <c r="W915" s="163"/>
      <c r="X915" s="163"/>
      <c r="Y915" s="163"/>
      <c r="Z915" s="163"/>
      <c r="AA915" s="163"/>
    </row>
    <row r="916">
      <c r="A916" s="163"/>
      <c r="B916" s="163"/>
      <c r="C916" s="163"/>
      <c r="D916" s="163"/>
      <c r="E916" s="163"/>
      <c r="F916" s="163"/>
      <c r="G916" s="163"/>
      <c r="H916" s="163"/>
      <c r="I916" s="163"/>
      <c r="J916" s="163"/>
      <c r="K916" s="163"/>
      <c r="L916" s="165"/>
      <c r="M916" s="163"/>
      <c r="N916" s="163"/>
      <c r="O916" s="163"/>
      <c r="P916" s="163"/>
      <c r="Q916" s="163"/>
      <c r="R916" s="163"/>
      <c r="S916" s="163"/>
      <c r="T916" s="163"/>
      <c r="U916" s="163"/>
      <c r="V916" s="163"/>
      <c r="W916" s="163"/>
      <c r="X916" s="163"/>
      <c r="Y916" s="163"/>
      <c r="Z916" s="163"/>
      <c r="AA916" s="163"/>
    </row>
    <row r="917">
      <c r="A917" s="163"/>
      <c r="B917" s="163"/>
      <c r="C917" s="163"/>
      <c r="D917" s="163"/>
      <c r="E917" s="163"/>
      <c r="F917" s="163"/>
      <c r="G917" s="163"/>
      <c r="H917" s="163"/>
      <c r="I917" s="163"/>
      <c r="J917" s="163"/>
      <c r="K917" s="163"/>
      <c r="L917" s="165"/>
      <c r="M917" s="163"/>
      <c r="N917" s="163"/>
      <c r="O917" s="163"/>
      <c r="P917" s="163"/>
      <c r="Q917" s="163"/>
      <c r="R917" s="163"/>
      <c r="S917" s="163"/>
      <c r="T917" s="163"/>
      <c r="U917" s="163"/>
      <c r="V917" s="163"/>
      <c r="W917" s="163"/>
      <c r="X917" s="163"/>
      <c r="Y917" s="163"/>
      <c r="Z917" s="163"/>
      <c r="AA917" s="163"/>
    </row>
    <row r="918">
      <c r="A918" s="163"/>
      <c r="B918" s="163"/>
      <c r="C918" s="163"/>
      <c r="D918" s="163"/>
      <c r="E918" s="163"/>
      <c r="F918" s="163"/>
      <c r="G918" s="163"/>
      <c r="H918" s="163"/>
      <c r="I918" s="163"/>
      <c r="J918" s="163"/>
      <c r="K918" s="163"/>
      <c r="L918" s="165"/>
      <c r="M918" s="163"/>
      <c r="N918" s="163"/>
      <c r="O918" s="163"/>
      <c r="P918" s="163"/>
      <c r="Q918" s="163"/>
      <c r="R918" s="163"/>
      <c r="S918" s="163"/>
      <c r="T918" s="163"/>
      <c r="U918" s="163"/>
      <c r="V918" s="163"/>
      <c r="W918" s="163"/>
      <c r="X918" s="163"/>
      <c r="Y918" s="163"/>
      <c r="Z918" s="163"/>
      <c r="AA918" s="163"/>
    </row>
    <row r="919">
      <c r="A919" s="163"/>
      <c r="B919" s="163"/>
      <c r="C919" s="163"/>
      <c r="D919" s="163"/>
      <c r="E919" s="163"/>
      <c r="F919" s="163"/>
      <c r="G919" s="163"/>
      <c r="H919" s="163"/>
      <c r="I919" s="163"/>
      <c r="J919" s="163"/>
      <c r="K919" s="163"/>
      <c r="L919" s="165"/>
      <c r="M919" s="163"/>
      <c r="N919" s="163"/>
      <c r="O919" s="163"/>
      <c r="P919" s="163"/>
      <c r="Q919" s="163"/>
      <c r="R919" s="163"/>
      <c r="S919" s="163"/>
      <c r="T919" s="163"/>
      <c r="U919" s="163"/>
      <c r="V919" s="163"/>
      <c r="W919" s="163"/>
      <c r="X919" s="163"/>
      <c r="Y919" s="163"/>
      <c r="Z919" s="163"/>
      <c r="AA919" s="163"/>
    </row>
    <row r="920">
      <c r="A920" s="163"/>
      <c r="B920" s="163"/>
      <c r="C920" s="163"/>
      <c r="D920" s="163"/>
      <c r="E920" s="163"/>
      <c r="F920" s="163"/>
      <c r="G920" s="163"/>
      <c r="H920" s="163"/>
      <c r="I920" s="163"/>
      <c r="J920" s="163"/>
      <c r="K920" s="163"/>
      <c r="L920" s="165"/>
      <c r="M920" s="163"/>
      <c r="N920" s="163"/>
      <c r="O920" s="163"/>
      <c r="P920" s="163"/>
      <c r="Q920" s="163"/>
      <c r="R920" s="163"/>
      <c r="S920" s="163"/>
      <c r="T920" s="163"/>
      <c r="U920" s="163"/>
      <c r="V920" s="163"/>
      <c r="W920" s="163"/>
      <c r="X920" s="163"/>
      <c r="Y920" s="163"/>
      <c r="Z920" s="163"/>
      <c r="AA920" s="163"/>
    </row>
    <row r="921">
      <c r="A921" s="163"/>
      <c r="B921" s="163"/>
      <c r="C921" s="163"/>
      <c r="D921" s="163"/>
      <c r="E921" s="163"/>
      <c r="F921" s="163"/>
      <c r="G921" s="163"/>
      <c r="H921" s="163"/>
      <c r="I921" s="163"/>
      <c r="J921" s="163"/>
      <c r="K921" s="163"/>
      <c r="L921" s="165"/>
      <c r="M921" s="163"/>
      <c r="N921" s="163"/>
      <c r="O921" s="163"/>
      <c r="P921" s="163"/>
      <c r="Q921" s="163"/>
      <c r="R921" s="163"/>
      <c r="S921" s="163"/>
      <c r="T921" s="163"/>
      <c r="U921" s="163"/>
      <c r="V921" s="163"/>
      <c r="W921" s="163"/>
      <c r="X921" s="163"/>
      <c r="Y921" s="163"/>
      <c r="Z921" s="163"/>
      <c r="AA921" s="163"/>
    </row>
    <row r="922">
      <c r="A922" s="163"/>
      <c r="B922" s="163"/>
      <c r="C922" s="163"/>
      <c r="D922" s="163"/>
      <c r="E922" s="163"/>
      <c r="F922" s="163"/>
      <c r="G922" s="163"/>
      <c r="H922" s="163"/>
      <c r="I922" s="163"/>
      <c r="J922" s="163"/>
      <c r="K922" s="163"/>
      <c r="L922" s="165"/>
      <c r="M922" s="163"/>
      <c r="N922" s="163"/>
      <c r="O922" s="163"/>
      <c r="P922" s="163"/>
      <c r="Q922" s="163"/>
      <c r="R922" s="163"/>
      <c r="S922" s="163"/>
      <c r="T922" s="163"/>
      <c r="U922" s="163"/>
      <c r="V922" s="163"/>
      <c r="W922" s="163"/>
      <c r="X922" s="163"/>
      <c r="Y922" s="163"/>
      <c r="Z922" s="163"/>
      <c r="AA922" s="163"/>
    </row>
    <row r="923">
      <c r="A923" s="163"/>
      <c r="B923" s="163"/>
      <c r="C923" s="163"/>
      <c r="D923" s="163"/>
      <c r="E923" s="163"/>
      <c r="F923" s="163"/>
      <c r="G923" s="163"/>
      <c r="H923" s="163"/>
      <c r="I923" s="163"/>
      <c r="J923" s="163"/>
      <c r="K923" s="163"/>
      <c r="L923" s="165"/>
      <c r="M923" s="163"/>
      <c r="N923" s="163"/>
      <c r="O923" s="163"/>
      <c r="P923" s="163"/>
      <c r="Q923" s="163"/>
      <c r="R923" s="163"/>
      <c r="S923" s="163"/>
      <c r="T923" s="163"/>
      <c r="U923" s="163"/>
      <c r="V923" s="163"/>
      <c r="W923" s="163"/>
      <c r="X923" s="163"/>
      <c r="Y923" s="163"/>
      <c r="Z923" s="163"/>
      <c r="AA923" s="163"/>
    </row>
    <row r="924">
      <c r="A924" s="163"/>
      <c r="B924" s="163"/>
      <c r="C924" s="163"/>
      <c r="D924" s="163"/>
      <c r="E924" s="163"/>
      <c r="F924" s="163"/>
      <c r="G924" s="163"/>
      <c r="H924" s="163"/>
      <c r="I924" s="163"/>
      <c r="J924" s="163"/>
      <c r="K924" s="163"/>
      <c r="L924" s="165"/>
      <c r="M924" s="163"/>
      <c r="N924" s="163"/>
      <c r="O924" s="163"/>
      <c r="P924" s="163"/>
      <c r="Q924" s="163"/>
      <c r="R924" s="163"/>
      <c r="S924" s="163"/>
      <c r="T924" s="163"/>
      <c r="U924" s="163"/>
      <c r="V924" s="163"/>
      <c r="W924" s="163"/>
      <c r="X924" s="163"/>
      <c r="Y924" s="163"/>
      <c r="Z924" s="163"/>
      <c r="AA924" s="163"/>
    </row>
    <row r="925">
      <c r="A925" s="163"/>
      <c r="B925" s="163"/>
      <c r="C925" s="163"/>
      <c r="D925" s="163"/>
      <c r="E925" s="163"/>
      <c r="F925" s="163"/>
      <c r="G925" s="163"/>
      <c r="H925" s="163"/>
      <c r="I925" s="163"/>
      <c r="J925" s="163"/>
      <c r="K925" s="163"/>
      <c r="L925" s="165"/>
      <c r="M925" s="163"/>
      <c r="N925" s="163"/>
      <c r="O925" s="163"/>
      <c r="P925" s="163"/>
      <c r="Q925" s="163"/>
      <c r="R925" s="163"/>
      <c r="S925" s="163"/>
      <c r="T925" s="163"/>
      <c r="U925" s="163"/>
      <c r="V925" s="163"/>
      <c r="W925" s="163"/>
      <c r="X925" s="163"/>
      <c r="Y925" s="163"/>
      <c r="Z925" s="163"/>
      <c r="AA925" s="163"/>
    </row>
    <row r="926">
      <c r="A926" s="163"/>
      <c r="B926" s="163"/>
      <c r="C926" s="163"/>
      <c r="D926" s="163"/>
      <c r="E926" s="163"/>
      <c r="F926" s="163"/>
      <c r="G926" s="163"/>
      <c r="H926" s="163"/>
      <c r="I926" s="163"/>
      <c r="J926" s="163"/>
      <c r="K926" s="163"/>
      <c r="L926" s="165"/>
      <c r="M926" s="163"/>
      <c r="N926" s="163"/>
      <c r="O926" s="163"/>
      <c r="P926" s="163"/>
      <c r="Q926" s="163"/>
      <c r="R926" s="163"/>
      <c r="S926" s="163"/>
      <c r="T926" s="163"/>
      <c r="U926" s="163"/>
      <c r="V926" s="163"/>
      <c r="W926" s="163"/>
      <c r="X926" s="163"/>
      <c r="Y926" s="163"/>
      <c r="Z926" s="163"/>
      <c r="AA926" s="163"/>
    </row>
    <row r="927">
      <c r="A927" s="163"/>
      <c r="B927" s="163"/>
      <c r="C927" s="163"/>
      <c r="D927" s="163"/>
      <c r="E927" s="163"/>
      <c r="F927" s="163"/>
      <c r="G927" s="163"/>
      <c r="H927" s="163"/>
      <c r="I927" s="163"/>
      <c r="J927" s="163"/>
      <c r="K927" s="163"/>
      <c r="L927" s="165"/>
      <c r="M927" s="163"/>
      <c r="N927" s="163"/>
      <c r="O927" s="163"/>
      <c r="P927" s="163"/>
      <c r="Q927" s="163"/>
      <c r="R927" s="163"/>
      <c r="S927" s="163"/>
      <c r="T927" s="163"/>
      <c r="U927" s="163"/>
      <c r="V927" s="163"/>
      <c r="W927" s="163"/>
      <c r="X927" s="163"/>
      <c r="Y927" s="163"/>
      <c r="Z927" s="163"/>
      <c r="AA927" s="163"/>
    </row>
    <row r="928">
      <c r="A928" s="163"/>
      <c r="B928" s="163"/>
      <c r="C928" s="163"/>
      <c r="D928" s="163"/>
      <c r="E928" s="163"/>
      <c r="F928" s="163"/>
      <c r="G928" s="163"/>
      <c r="H928" s="163"/>
      <c r="I928" s="163"/>
      <c r="J928" s="163"/>
      <c r="K928" s="163"/>
      <c r="L928" s="165"/>
      <c r="M928" s="163"/>
      <c r="N928" s="163"/>
      <c r="O928" s="163"/>
      <c r="P928" s="163"/>
      <c r="Q928" s="163"/>
      <c r="R928" s="163"/>
      <c r="S928" s="163"/>
      <c r="T928" s="163"/>
      <c r="U928" s="163"/>
      <c r="V928" s="163"/>
      <c r="W928" s="163"/>
      <c r="X928" s="163"/>
      <c r="Y928" s="163"/>
      <c r="Z928" s="163"/>
      <c r="AA928" s="163"/>
    </row>
    <row r="929">
      <c r="A929" s="163"/>
      <c r="B929" s="163"/>
      <c r="C929" s="163"/>
      <c r="D929" s="163"/>
      <c r="E929" s="163"/>
      <c r="F929" s="163"/>
      <c r="G929" s="163"/>
      <c r="H929" s="163"/>
      <c r="I929" s="163"/>
      <c r="J929" s="163"/>
      <c r="K929" s="163"/>
      <c r="L929" s="165"/>
      <c r="M929" s="163"/>
      <c r="N929" s="163"/>
      <c r="O929" s="163"/>
      <c r="P929" s="163"/>
      <c r="Q929" s="163"/>
      <c r="R929" s="163"/>
      <c r="S929" s="163"/>
      <c r="T929" s="163"/>
      <c r="U929" s="163"/>
      <c r="V929" s="163"/>
      <c r="W929" s="163"/>
      <c r="X929" s="163"/>
      <c r="Y929" s="163"/>
      <c r="Z929" s="163"/>
      <c r="AA929" s="163"/>
    </row>
    <row r="930">
      <c r="A930" s="163"/>
      <c r="B930" s="163"/>
      <c r="C930" s="163"/>
      <c r="D930" s="163"/>
      <c r="E930" s="163"/>
      <c r="F930" s="163"/>
      <c r="G930" s="163"/>
      <c r="H930" s="163"/>
      <c r="I930" s="163"/>
      <c r="J930" s="163"/>
      <c r="K930" s="163"/>
      <c r="L930" s="165"/>
      <c r="M930" s="163"/>
      <c r="N930" s="163"/>
      <c r="O930" s="163"/>
      <c r="P930" s="163"/>
      <c r="Q930" s="163"/>
      <c r="R930" s="163"/>
      <c r="S930" s="163"/>
      <c r="T930" s="163"/>
      <c r="U930" s="163"/>
      <c r="V930" s="163"/>
      <c r="W930" s="163"/>
      <c r="X930" s="163"/>
      <c r="Y930" s="163"/>
      <c r="Z930" s="163"/>
      <c r="AA930" s="163"/>
    </row>
    <row r="931">
      <c r="A931" s="163"/>
      <c r="B931" s="163"/>
      <c r="C931" s="163"/>
      <c r="D931" s="163"/>
      <c r="E931" s="163"/>
      <c r="F931" s="163"/>
      <c r="G931" s="163"/>
      <c r="H931" s="163"/>
      <c r="I931" s="163"/>
      <c r="J931" s="163"/>
      <c r="K931" s="163"/>
      <c r="L931" s="165"/>
      <c r="M931" s="163"/>
      <c r="N931" s="163"/>
      <c r="O931" s="163"/>
      <c r="P931" s="163"/>
      <c r="Q931" s="163"/>
      <c r="R931" s="163"/>
      <c r="S931" s="163"/>
      <c r="T931" s="163"/>
      <c r="U931" s="163"/>
      <c r="V931" s="163"/>
      <c r="W931" s="163"/>
      <c r="X931" s="163"/>
      <c r="Y931" s="163"/>
      <c r="Z931" s="163"/>
      <c r="AA931" s="163"/>
    </row>
    <row r="932">
      <c r="A932" s="163"/>
      <c r="B932" s="163"/>
      <c r="C932" s="163"/>
      <c r="D932" s="163"/>
      <c r="E932" s="163"/>
      <c r="F932" s="163"/>
      <c r="G932" s="163"/>
      <c r="H932" s="163"/>
      <c r="I932" s="163"/>
      <c r="J932" s="163"/>
      <c r="K932" s="163"/>
      <c r="L932" s="165"/>
      <c r="M932" s="163"/>
      <c r="N932" s="163"/>
      <c r="O932" s="163"/>
      <c r="P932" s="163"/>
      <c r="Q932" s="163"/>
      <c r="R932" s="163"/>
      <c r="S932" s="163"/>
      <c r="T932" s="163"/>
      <c r="U932" s="163"/>
      <c r="V932" s="163"/>
      <c r="W932" s="163"/>
      <c r="X932" s="163"/>
      <c r="Y932" s="163"/>
      <c r="Z932" s="163"/>
      <c r="AA932" s="163"/>
    </row>
    <row r="933">
      <c r="A933" s="163"/>
      <c r="B933" s="163"/>
      <c r="C933" s="163"/>
      <c r="D933" s="163"/>
      <c r="E933" s="163"/>
      <c r="F933" s="163"/>
      <c r="G933" s="163"/>
      <c r="H933" s="163"/>
      <c r="I933" s="163"/>
      <c r="J933" s="163"/>
      <c r="K933" s="163"/>
      <c r="L933" s="165"/>
      <c r="M933" s="163"/>
      <c r="N933" s="163"/>
      <c r="O933" s="163"/>
      <c r="P933" s="163"/>
      <c r="Q933" s="163"/>
      <c r="R933" s="163"/>
      <c r="S933" s="163"/>
      <c r="T933" s="163"/>
      <c r="U933" s="163"/>
      <c r="V933" s="163"/>
      <c r="W933" s="163"/>
      <c r="X933" s="163"/>
      <c r="Y933" s="163"/>
      <c r="Z933" s="163"/>
      <c r="AA933" s="163"/>
    </row>
    <row r="934">
      <c r="A934" s="163"/>
      <c r="B934" s="163"/>
      <c r="C934" s="163"/>
      <c r="D934" s="163"/>
      <c r="E934" s="163"/>
      <c r="F934" s="163"/>
      <c r="G934" s="163"/>
      <c r="H934" s="163"/>
      <c r="I934" s="163"/>
      <c r="J934" s="163"/>
      <c r="K934" s="163"/>
      <c r="L934" s="165"/>
      <c r="M934" s="163"/>
      <c r="N934" s="163"/>
      <c r="O934" s="163"/>
      <c r="P934" s="163"/>
      <c r="Q934" s="163"/>
      <c r="R934" s="163"/>
      <c r="S934" s="163"/>
      <c r="T934" s="163"/>
      <c r="U934" s="163"/>
      <c r="V934" s="163"/>
      <c r="W934" s="163"/>
      <c r="X934" s="163"/>
      <c r="Y934" s="163"/>
      <c r="Z934" s="163"/>
      <c r="AA934" s="163"/>
    </row>
    <row r="935">
      <c r="A935" s="163"/>
      <c r="B935" s="163"/>
      <c r="C935" s="163"/>
      <c r="D935" s="163"/>
      <c r="E935" s="163"/>
      <c r="F935" s="163"/>
      <c r="G935" s="163"/>
      <c r="H935" s="163"/>
      <c r="I935" s="163"/>
      <c r="J935" s="163"/>
      <c r="K935" s="163"/>
      <c r="L935" s="165"/>
      <c r="M935" s="163"/>
      <c r="N935" s="163"/>
      <c r="O935" s="163"/>
      <c r="P935" s="163"/>
      <c r="Q935" s="163"/>
      <c r="R935" s="163"/>
      <c r="S935" s="163"/>
      <c r="T935" s="163"/>
      <c r="U935" s="163"/>
      <c r="V935" s="163"/>
      <c r="W935" s="163"/>
      <c r="X935" s="163"/>
      <c r="Y935" s="163"/>
      <c r="Z935" s="163"/>
      <c r="AA935" s="163"/>
    </row>
    <row r="936">
      <c r="A936" s="163"/>
      <c r="B936" s="163"/>
      <c r="C936" s="163"/>
      <c r="D936" s="163"/>
      <c r="E936" s="163"/>
      <c r="F936" s="163"/>
      <c r="G936" s="163"/>
      <c r="H936" s="163"/>
      <c r="I936" s="163"/>
      <c r="J936" s="163"/>
      <c r="K936" s="163"/>
      <c r="L936" s="165"/>
      <c r="M936" s="163"/>
      <c r="N936" s="163"/>
      <c r="O936" s="163"/>
      <c r="P936" s="163"/>
      <c r="Q936" s="163"/>
      <c r="R936" s="163"/>
      <c r="S936" s="163"/>
      <c r="T936" s="163"/>
      <c r="U936" s="163"/>
      <c r="V936" s="163"/>
      <c r="W936" s="163"/>
      <c r="X936" s="163"/>
      <c r="Y936" s="163"/>
      <c r="Z936" s="163"/>
      <c r="AA936" s="163"/>
    </row>
    <row r="937">
      <c r="A937" s="163"/>
      <c r="B937" s="163"/>
      <c r="C937" s="163"/>
      <c r="D937" s="163"/>
      <c r="E937" s="163"/>
      <c r="F937" s="163"/>
      <c r="G937" s="163"/>
      <c r="H937" s="163"/>
      <c r="I937" s="163"/>
      <c r="J937" s="163"/>
      <c r="K937" s="163"/>
      <c r="L937" s="165"/>
      <c r="M937" s="163"/>
      <c r="N937" s="163"/>
      <c r="O937" s="163"/>
      <c r="P937" s="163"/>
      <c r="Q937" s="163"/>
      <c r="R937" s="163"/>
      <c r="S937" s="163"/>
      <c r="T937" s="163"/>
      <c r="U937" s="163"/>
      <c r="V937" s="163"/>
      <c r="W937" s="163"/>
      <c r="X937" s="163"/>
      <c r="Y937" s="163"/>
      <c r="Z937" s="163"/>
      <c r="AA937" s="163"/>
    </row>
    <row r="938">
      <c r="A938" s="163"/>
      <c r="B938" s="163"/>
      <c r="C938" s="163"/>
      <c r="D938" s="163"/>
      <c r="E938" s="163"/>
      <c r="F938" s="163"/>
      <c r="G938" s="163"/>
      <c r="H938" s="163"/>
      <c r="I938" s="163"/>
      <c r="J938" s="163"/>
      <c r="K938" s="163"/>
      <c r="L938" s="165"/>
      <c r="M938" s="163"/>
      <c r="N938" s="163"/>
      <c r="O938" s="163"/>
      <c r="P938" s="163"/>
      <c r="Q938" s="163"/>
      <c r="R938" s="163"/>
      <c r="S938" s="163"/>
      <c r="T938" s="163"/>
      <c r="U938" s="163"/>
      <c r="V938" s="163"/>
      <c r="W938" s="163"/>
      <c r="X938" s="163"/>
      <c r="Y938" s="163"/>
      <c r="Z938" s="163"/>
      <c r="AA938" s="163"/>
    </row>
    <row r="939">
      <c r="A939" s="163"/>
      <c r="B939" s="163"/>
      <c r="C939" s="163"/>
      <c r="D939" s="163"/>
      <c r="E939" s="163"/>
      <c r="F939" s="163"/>
      <c r="G939" s="163"/>
      <c r="H939" s="163"/>
      <c r="I939" s="163"/>
      <c r="J939" s="163"/>
      <c r="K939" s="163"/>
      <c r="L939" s="165"/>
      <c r="M939" s="163"/>
      <c r="N939" s="163"/>
      <c r="O939" s="163"/>
      <c r="P939" s="163"/>
      <c r="Q939" s="163"/>
      <c r="R939" s="163"/>
      <c r="S939" s="163"/>
      <c r="T939" s="163"/>
      <c r="U939" s="163"/>
      <c r="V939" s="163"/>
      <c r="W939" s="163"/>
      <c r="X939" s="163"/>
      <c r="Y939" s="163"/>
      <c r="Z939" s="163"/>
      <c r="AA939" s="163"/>
    </row>
    <row r="940">
      <c r="A940" s="163"/>
      <c r="B940" s="163"/>
      <c r="C940" s="163"/>
      <c r="D940" s="163"/>
      <c r="E940" s="163"/>
      <c r="F940" s="163"/>
      <c r="G940" s="163"/>
      <c r="H940" s="163"/>
      <c r="I940" s="163"/>
      <c r="J940" s="163"/>
      <c r="K940" s="163"/>
      <c r="L940" s="165"/>
      <c r="M940" s="163"/>
      <c r="N940" s="163"/>
      <c r="O940" s="163"/>
      <c r="P940" s="163"/>
      <c r="Q940" s="163"/>
      <c r="R940" s="163"/>
      <c r="S940" s="163"/>
      <c r="T940" s="163"/>
      <c r="U940" s="163"/>
      <c r="V940" s="163"/>
      <c r="W940" s="163"/>
      <c r="X940" s="163"/>
      <c r="Y940" s="163"/>
      <c r="Z940" s="163"/>
      <c r="AA940" s="163"/>
    </row>
    <row r="941">
      <c r="A941" s="163"/>
      <c r="B941" s="163"/>
      <c r="C941" s="163"/>
      <c r="D941" s="163"/>
      <c r="E941" s="163"/>
      <c r="F941" s="163"/>
      <c r="G941" s="163"/>
      <c r="H941" s="163"/>
      <c r="I941" s="163"/>
      <c r="J941" s="163"/>
      <c r="K941" s="163"/>
      <c r="L941" s="165"/>
      <c r="M941" s="163"/>
      <c r="N941" s="163"/>
      <c r="O941" s="163"/>
      <c r="P941" s="163"/>
      <c r="Q941" s="163"/>
      <c r="R941" s="163"/>
      <c r="S941" s="163"/>
      <c r="T941" s="163"/>
      <c r="U941" s="163"/>
      <c r="V941" s="163"/>
      <c r="W941" s="163"/>
      <c r="X941" s="163"/>
      <c r="Y941" s="163"/>
      <c r="Z941" s="163"/>
      <c r="AA941" s="163"/>
    </row>
    <row r="942">
      <c r="A942" s="163"/>
      <c r="B942" s="163"/>
      <c r="C942" s="163"/>
      <c r="D942" s="163"/>
      <c r="E942" s="163"/>
      <c r="F942" s="163"/>
      <c r="G942" s="163"/>
      <c r="H942" s="163"/>
      <c r="I942" s="163"/>
      <c r="J942" s="163"/>
      <c r="K942" s="163"/>
      <c r="L942" s="165"/>
      <c r="M942" s="163"/>
      <c r="N942" s="163"/>
      <c r="O942" s="163"/>
      <c r="P942" s="163"/>
      <c r="Q942" s="163"/>
      <c r="R942" s="163"/>
      <c r="S942" s="163"/>
      <c r="T942" s="163"/>
      <c r="U942" s="163"/>
      <c r="V942" s="163"/>
      <c r="W942" s="163"/>
      <c r="X942" s="163"/>
      <c r="Y942" s="163"/>
      <c r="Z942" s="163"/>
      <c r="AA942" s="163"/>
    </row>
    <row r="943">
      <c r="A943" s="163"/>
      <c r="B943" s="163"/>
      <c r="C943" s="163"/>
      <c r="D943" s="163"/>
      <c r="E943" s="163"/>
      <c r="F943" s="163"/>
      <c r="G943" s="163"/>
      <c r="H943" s="163"/>
      <c r="I943" s="163"/>
      <c r="J943" s="163"/>
      <c r="K943" s="163"/>
      <c r="L943" s="165"/>
      <c r="M943" s="163"/>
      <c r="N943" s="163"/>
      <c r="O943" s="163"/>
      <c r="P943" s="163"/>
      <c r="Q943" s="163"/>
      <c r="R943" s="163"/>
      <c r="S943" s="163"/>
      <c r="T943" s="163"/>
      <c r="U943" s="163"/>
      <c r="V943" s="163"/>
      <c r="W943" s="163"/>
      <c r="X943" s="163"/>
      <c r="Y943" s="163"/>
      <c r="Z943" s="163"/>
      <c r="AA943" s="163"/>
    </row>
    <row r="944">
      <c r="A944" s="163"/>
      <c r="B944" s="163"/>
      <c r="C944" s="163"/>
      <c r="D944" s="163"/>
      <c r="E944" s="163"/>
      <c r="F944" s="163"/>
      <c r="G944" s="163"/>
      <c r="H944" s="163"/>
      <c r="I944" s="163"/>
      <c r="J944" s="163"/>
      <c r="K944" s="163"/>
      <c r="L944" s="165"/>
      <c r="M944" s="163"/>
      <c r="N944" s="163"/>
      <c r="O944" s="163"/>
      <c r="P944" s="163"/>
      <c r="Q944" s="163"/>
      <c r="R944" s="163"/>
      <c r="S944" s="163"/>
      <c r="T944" s="163"/>
      <c r="U944" s="163"/>
      <c r="V944" s="163"/>
      <c r="W944" s="163"/>
      <c r="X944" s="163"/>
      <c r="Y944" s="163"/>
      <c r="Z944" s="163"/>
      <c r="AA944" s="163"/>
    </row>
    <row r="945">
      <c r="A945" s="163"/>
      <c r="B945" s="163"/>
      <c r="C945" s="163"/>
      <c r="D945" s="163"/>
      <c r="E945" s="163"/>
      <c r="F945" s="163"/>
      <c r="G945" s="163"/>
      <c r="H945" s="163"/>
      <c r="I945" s="163"/>
      <c r="J945" s="163"/>
      <c r="K945" s="163"/>
      <c r="L945" s="165"/>
      <c r="M945" s="163"/>
      <c r="N945" s="163"/>
      <c r="O945" s="163"/>
      <c r="P945" s="163"/>
      <c r="Q945" s="163"/>
      <c r="R945" s="163"/>
      <c r="S945" s="163"/>
      <c r="T945" s="163"/>
      <c r="U945" s="163"/>
      <c r="V945" s="163"/>
      <c r="W945" s="163"/>
      <c r="X945" s="163"/>
      <c r="Y945" s="163"/>
      <c r="Z945" s="163"/>
      <c r="AA945" s="163"/>
    </row>
    <row r="946">
      <c r="A946" s="163"/>
      <c r="B946" s="163"/>
      <c r="C946" s="163"/>
      <c r="D946" s="163"/>
      <c r="E946" s="163"/>
      <c r="F946" s="163"/>
      <c r="G946" s="163"/>
      <c r="H946" s="163"/>
      <c r="I946" s="163"/>
      <c r="J946" s="163"/>
      <c r="K946" s="163"/>
      <c r="L946" s="165"/>
      <c r="M946" s="163"/>
      <c r="N946" s="163"/>
      <c r="O946" s="163"/>
      <c r="P946" s="163"/>
      <c r="Q946" s="163"/>
      <c r="R946" s="163"/>
      <c r="S946" s="163"/>
      <c r="T946" s="163"/>
      <c r="U946" s="163"/>
      <c r="V946" s="163"/>
      <c r="W946" s="163"/>
      <c r="X946" s="163"/>
      <c r="Y946" s="163"/>
      <c r="Z946" s="163"/>
      <c r="AA946" s="163"/>
    </row>
    <row r="947">
      <c r="A947" s="163"/>
      <c r="B947" s="163"/>
      <c r="C947" s="163"/>
      <c r="D947" s="163"/>
      <c r="E947" s="163"/>
      <c r="F947" s="163"/>
      <c r="G947" s="163"/>
      <c r="H947" s="163"/>
      <c r="I947" s="163"/>
      <c r="J947" s="163"/>
      <c r="K947" s="163"/>
      <c r="L947" s="165"/>
      <c r="M947" s="163"/>
      <c r="N947" s="163"/>
      <c r="O947" s="163"/>
      <c r="P947" s="163"/>
      <c r="Q947" s="163"/>
      <c r="R947" s="163"/>
      <c r="S947" s="163"/>
      <c r="T947" s="163"/>
      <c r="U947" s="163"/>
      <c r="V947" s="163"/>
      <c r="W947" s="163"/>
      <c r="X947" s="163"/>
      <c r="Y947" s="163"/>
      <c r="Z947" s="163"/>
      <c r="AA947" s="163"/>
    </row>
    <row r="948">
      <c r="A948" s="163"/>
      <c r="B948" s="163"/>
      <c r="C948" s="163"/>
      <c r="D948" s="163"/>
      <c r="E948" s="163"/>
      <c r="F948" s="163"/>
      <c r="G948" s="163"/>
      <c r="H948" s="163"/>
      <c r="I948" s="163"/>
      <c r="J948" s="163"/>
      <c r="K948" s="163"/>
      <c r="L948" s="165"/>
      <c r="M948" s="163"/>
      <c r="N948" s="163"/>
      <c r="O948" s="163"/>
      <c r="P948" s="163"/>
      <c r="Q948" s="163"/>
      <c r="R948" s="163"/>
      <c r="S948" s="163"/>
      <c r="T948" s="163"/>
      <c r="U948" s="163"/>
      <c r="V948" s="163"/>
      <c r="W948" s="163"/>
      <c r="X948" s="163"/>
      <c r="Y948" s="163"/>
      <c r="Z948" s="163"/>
      <c r="AA948" s="163"/>
    </row>
    <row r="949">
      <c r="A949" s="163"/>
      <c r="B949" s="163"/>
      <c r="C949" s="163"/>
      <c r="D949" s="163"/>
      <c r="E949" s="163"/>
      <c r="F949" s="163"/>
      <c r="G949" s="163"/>
      <c r="H949" s="163"/>
      <c r="I949" s="163"/>
      <c r="J949" s="163"/>
      <c r="K949" s="163"/>
      <c r="L949" s="165"/>
      <c r="M949" s="163"/>
      <c r="N949" s="163"/>
      <c r="O949" s="163"/>
      <c r="P949" s="163"/>
      <c r="Q949" s="163"/>
      <c r="R949" s="163"/>
      <c r="S949" s="163"/>
      <c r="T949" s="163"/>
      <c r="U949" s="163"/>
      <c r="V949" s="163"/>
      <c r="W949" s="163"/>
      <c r="X949" s="163"/>
      <c r="Y949" s="163"/>
      <c r="Z949" s="163"/>
      <c r="AA949" s="163"/>
    </row>
    <row r="950">
      <c r="A950" s="163"/>
      <c r="B950" s="163"/>
      <c r="C950" s="163"/>
      <c r="D950" s="163"/>
      <c r="E950" s="163"/>
      <c r="F950" s="163"/>
      <c r="G950" s="163"/>
      <c r="H950" s="163"/>
      <c r="I950" s="163"/>
      <c r="J950" s="163"/>
      <c r="K950" s="163"/>
      <c r="L950" s="165"/>
      <c r="M950" s="163"/>
      <c r="N950" s="163"/>
      <c r="O950" s="163"/>
      <c r="P950" s="163"/>
      <c r="Q950" s="163"/>
      <c r="R950" s="163"/>
      <c r="S950" s="163"/>
      <c r="T950" s="163"/>
      <c r="U950" s="163"/>
      <c r="V950" s="163"/>
      <c r="W950" s="163"/>
      <c r="X950" s="163"/>
      <c r="Y950" s="163"/>
      <c r="Z950" s="163"/>
      <c r="AA950" s="163"/>
    </row>
    <row r="951">
      <c r="A951" s="163"/>
      <c r="B951" s="163"/>
      <c r="C951" s="163"/>
      <c r="D951" s="163"/>
      <c r="E951" s="163"/>
      <c r="F951" s="163"/>
      <c r="G951" s="163"/>
      <c r="H951" s="163"/>
      <c r="I951" s="163"/>
      <c r="J951" s="163"/>
      <c r="K951" s="163"/>
      <c r="L951" s="165"/>
      <c r="M951" s="163"/>
      <c r="N951" s="163"/>
      <c r="O951" s="163"/>
      <c r="P951" s="163"/>
      <c r="Q951" s="163"/>
      <c r="R951" s="163"/>
      <c r="S951" s="163"/>
      <c r="T951" s="163"/>
      <c r="U951" s="163"/>
      <c r="V951" s="163"/>
      <c r="W951" s="163"/>
      <c r="X951" s="163"/>
      <c r="Y951" s="163"/>
      <c r="Z951" s="163"/>
      <c r="AA951" s="163"/>
    </row>
    <row r="952">
      <c r="A952" s="163"/>
      <c r="B952" s="163"/>
      <c r="C952" s="163"/>
      <c r="D952" s="163"/>
      <c r="E952" s="163"/>
      <c r="F952" s="163"/>
      <c r="G952" s="163"/>
      <c r="H952" s="163"/>
      <c r="I952" s="163"/>
      <c r="J952" s="163"/>
      <c r="K952" s="163"/>
      <c r="L952" s="165"/>
      <c r="M952" s="163"/>
      <c r="N952" s="163"/>
      <c r="O952" s="163"/>
      <c r="P952" s="163"/>
      <c r="Q952" s="163"/>
      <c r="R952" s="163"/>
      <c r="S952" s="163"/>
      <c r="T952" s="163"/>
      <c r="U952" s="163"/>
      <c r="V952" s="163"/>
      <c r="W952" s="163"/>
      <c r="X952" s="163"/>
      <c r="Y952" s="163"/>
      <c r="Z952" s="163"/>
      <c r="AA952" s="163"/>
    </row>
    <row r="953">
      <c r="A953" s="163"/>
      <c r="B953" s="163"/>
      <c r="C953" s="163"/>
      <c r="D953" s="163"/>
      <c r="E953" s="163"/>
      <c r="F953" s="163"/>
      <c r="G953" s="163"/>
      <c r="H953" s="163"/>
      <c r="I953" s="163"/>
      <c r="J953" s="163"/>
      <c r="K953" s="163"/>
      <c r="L953" s="165"/>
      <c r="M953" s="163"/>
      <c r="N953" s="163"/>
      <c r="O953" s="163"/>
      <c r="P953" s="163"/>
      <c r="Q953" s="163"/>
      <c r="R953" s="163"/>
      <c r="S953" s="163"/>
      <c r="T953" s="163"/>
      <c r="U953" s="163"/>
      <c r="V953" s="163"/>
      <c r="W953" s="163"/>
      <c r="X953" s="163"/>
      <c r="Y953" s="163"/>
      <c r="Z953" s="163"/>
      <c r="AA953" s="163"/>
    </row>
    <row r="954">
      <c r="A954" s="163"/>
      <c r="B954" s="163"/>
      <c r="C954" s="163"/>
      <c r="D954" s="163"/>
      <c r="E954" s="163"/>
      <c r="F954" s="163"/>
      <c r="G954" s="163"/>
      <c r="H954" s="163"/>
      <c r="I954" s="163"/>
      <c r="J954" s="163"/>
      <c r="K954" s="163"/>
      <c r="L954" s="165"/>
      <c r="M954" s="163"/>
      <c r="N954" s="163"/>
      <c r="O954" s="163"/>
      <c r="P954" s="163"/>
      <c r="Q954" s="163"/>
      <c r="R954" s="163"/>
      <c r="S954" s="163"/>
      <c r="T954" s="163"/>
      <c r="U954" s="163"/>
      <c r="V954" s="163"/>
      <c r="W954" s="163"/>
      <c r="X954" s="163"/>
      <c r="Y954" s="163"/>
      <c r="Z954" s="163"/>
      <c r="AA954" s="163"/>
    </row>
    <row r="955">
      <c r="A955" s="163"/>
      <c r="B955" s="163"/>
      <c r="C955" s="163"/>
      <c r="D955" s="163"/>
      <c r="E955" s="163"/>
      <c r="F955" s="163"/>
      <c r="G955" s="163"/>
      <c r="H955" s="163"/>
      <c r="I955" s="163"/>
      <c r="J955" s="163"/>
      <c r="K955" s="163"/>
      <c r="L955" s="165"/>
      <c r="M955" s="163"/>
      <c r="N955" s="163"/>
      <c r="O955" s="163"/>
      <c r="P955" s="163"/>
      <c r="Q955" s="163"/>
      <c r="R955" s="163"/>
      <c r="S955" s="163"/>
      <c r="T955" s="163"/>
      <c r="U955" s="163"/>
      <c r="V955" s="163"/>
      <c r="W955" s="163"/>
      <c r="X955" s="163"/>
      <c r="Y955" s="163"/>
      <c r="Z955" s="163"/>
      <c r="AA955" s="163"/>
    </row>
    <row r="956">
      <c r="A956" s="163"/>
      <c r="B956" s="163"/>
      <c r="C956" s="163"/>
      <c r="D956" s="163"/>
      <c r="E956" s="163"/>
      <c r="F956" s="163"/>
      <c r="G956" s="163"/>
      <c r="H956" s="163"/>
      <c r="I956" s="163"/>
      <c r="J956" s="163"/>
      <c r="K956" s="163"/>
      <c r="L956" s="165"/>
      <c r="M956" s="163"/>
      <c r="N956" s="163"/>
      <c r="O956" s="163"/>
      <c r="P956" s="163"/>
      <c r="Q956" s="163"/>
      <c r="R956" s="163"/>
      <c r="S956" s="163"/>
      <c r="T956" s="163"/>
      <c r="U956" s="163"/>
      <c r="V956" s="163"/>
      <c r="W956" s="163"/>
      <c r="X956" s="163"/>
      <c r="Y956" s="163"/>
      <c r="Z956" s="163"/>
      <c r="AA956" s="163"/>
    </row>
    <row r="957">
      <c r="A957" s="163"/>
      <c r="B957" s="163"/>
      <c r="C957" s="163"/>
      <c r="D957" s="163"/>
      <c r="E957" s="163"/>
      <c r="F957" s="163"/>
      <c r="G957" s="163"/>
      <c r="H957" s="163"/>
      <c r="I957" s="163"/>
      <c r="J957" s="163"/>
      <c r="K957" s="163"/>
      <c r="L957" s="165"/>
      <c r="M957" s="163"/>
      <c r="N957" s="163"/>
      <c r="O957" s="163"/>
      <c r="P957" s="163"/>
      <c r="Q957" s="163"/>
      <c r="R957" s="163"/>
      <c r="S957" s="163"/>
      <c r="T957" s="163"/>
      <c r="U957" s="163"/>
      <c r="V957" s="163"/>
      <c r="W957" s="163"/>
      <c r="X957" s="163"/>
      <c r="Y957" s="163"/>
      <c r="Z957" s="163"/>
      <c r="AA957" s="163"/>
    </row>
    <row r="958">
      <c r="A958" s="163"/>
      <c r="B958" s="163"/>
      <c r="C958" s="163"/>
      <c r="D958" s="163"/>
      <c r="E958" s="163"/>
      <c r="F958" s="163"/>
      <c r="G958" s="163"/>
      <c r="H958" s="163"/>
      <c r="I958" s="163"/>
      <c r="J958" s="163"/>
      <c r="K958" s="163"/>
      <c r="L958" s="165"/>
      <c r="M958" s="163"/>
      <c r="N958" s="163"/>
      <c r="O958" s="163"/>
      <c r="P958" s="163"/>
      <c r="Q958" s="163"/>
      <c r="R958" s="163"/>
      <c r="S958" s="163"/>
      <c r="T958" s="163"/>
      <c r="U958" s="163"/>
      <c r="V958" s="163"/>
      <c r="W958" s="163"/>
      <c r="X958" s="163"/>
      <c r="Y958" s="163"/>
      <c r="Z958" s="163"/>
      <c r="AA958" s="163"/>
    </row>
    <row r="959">
      <c r="A959" s="163"/>
      <c r="B959" s="163"/>
      <c r="C959" s="163"/>
      <c r="D959" s="163"/>
      <c r="E959" s="163"/>
      <c r="F959" s="163"/>
      <c r="G959" s="163"/>
      <c r="H959" s="163"/>
      <c r="I959" s="163"/>
      <c r="J959" s="163"/>
      <c r="K959" s="163"/>
      <c r="L959" s="165"/>
      <c r="M959" s="163"/>
      <c r="N959" s="163"/>
      <c r="O959" s="163"/>
      <c r="P959" s="163"/>
      <c r="Q959" s="163"/>
      <c r="R959" s="163"/>
      <c r="S959" s="163"/>
      <c r="T959" s="163"/>
      <c r="U959" s="163"/>
      <c r="V959" s="163"/>
      <c r="W959" s="163"/>
      <c r="X959" s="163"/>
      <c r="Y959" s="163"/>
      <c r="Z959" s="163"/>
      <c r="AA959" s="163"/>
    </row>
    <row r="960">
      <c r="A960" s="163"/>
      <c r="B960" s="163"/>
      <c r="C960" s="163"/>
      <c r="D960" s="163"/>
      <c r="E960" s="163"/>
      <c r="F960" s="163"/>
      <c r="G960" s="163"/>
      <c r="H960" s="163"/>
      <c r="I960" s="163"/>
      <c r="J960" s="163"/>
      <c r="K960" s="163"/>
      <c r="L960" s="165"/>
      <c r="M960" s="163"/>
      <c r="N960" s="163"/>
      <c r="O960" s="163"/>
      <c r="P960" s="163"/>
      <c r="Q960" s="163"/>
      <c r="R960" s="163"/>
      <c r="S960" s="163"/>
      <c r="T960" s="163"/>
      <c r="U960" s="163"/>
      <c r="V960" s="163"/>
      <c r="W960" s="163"/>
      <c r="X960" s="163"/>
      <c r="Y960" s="163"/>
      <c r="Z960" s="163"/>
      <c r="AA960" s="163"/>
    </row>
    <row r="961">
      <c r="A961" s="163"/>
      <c r="B961" s="163"/>
      <c r="C961" s="163"/>
      <c r="D961" s="163"/>
      <c r="E961" s="163"/>
      <c r="F961" s="163"/>
      <c r="G961" s="163"/>
      <c r="H961" s="163"/>
      <c r="I961" s="163"/>
      <c r="J961" s="163"/>
      <c r="K961" s="163"/>
      <c r="L961" s="165"/>
      <c r="M961" s="163"/>
      <c r="N961" s="163"/>
      <c r="O961" s="163"/>
      <c r="P961" s="163"/>
      <c r="Q961" s="163"/>
      <c r="R961" s="163"/>
      <c r="S961" s="163"/>
      <c r="T961" s="163"/>
      <c r="U961" s="163"/>
      <c r="V961" s="163"/>
      <c r="W961" s="163"/>
      <c r="X961" s="163"/>
      <c r="Y961" s="163"/>
      <c r="Z961" s="163"/>
      <c r="AA961" s="163"/>
    </row>
    <row r="962">
      <c r="A962" s="163"/>
      <c r="B962" s="163"/>
      <c r="C962" s="163"/>
      <c r="D962" s="163"/>
      <c r="E962" s="163"/>
      <c r="F962" s="163"/>
      <c r="G962" s="163"/>
      <c r="H962" s="163"/>
      <c r="I962" s="163"/>
      <c r="J962" s="163"/>
      <c r="K962" s="163"/>
      <c r="L962" s="165"/>
      <c r="M962" s="163"/>
      <c r="N962" s="163"/>
      <c r="O962" s="163"/>
      <c r="P962" s="163"/>
      <c r="Q962" s="163"/>
      <c r="R962" s="163"/>
      <c r="S962" s="163"/>
      <c r="T962" s="163"/>
      <c r="U962" s="163"/>
      <c r="V962" s="163"/>
      <c r="W962" s="163"/>
      <c r="X962" s="163"/>
      <c r="Y962" s="163"/>
      <c r="Z962" s="163"/>
      <c r="AA962" s="163"/>
    </row>
    <row r="963">
      <c r="A963" s="163"/>
      <c r="B963" s="163"/>
      <c r="C963" s="163"/>
      <c r="D963" s="163"/>
      <c r="E963" s="163"/>
      <c r="F963" s="163"/>
      <c r="G963" s="163"/>
      <c r="H963" s="163"/>
      <c r="I963" s="163"/>
      <c r="J963" s="163"/>
      <c r="K963" s="163"/>
      <c r="L963" s="165"/>
      <c r="M963" s="163"/>
      <c r="N963" s="163"/>
      <c r="O963" s="163"/>
      <c r="P963" s="163"/>
      <c r="Q963" s="163"/>
      <c r="R963" s="163"/>
      <c r="S963" s="163"/>
      <c r="T963" s="163"/>
      <c r="U963" s="163"/>
      <c r="V963" s="163"/>
      <c r="W963" s="163"/>
      <c r="X963" s="163"/>
      <c r="Y963" s="163"/>
      <c r="Z963" s="163"/>
      <c r="AA963" s="163"/>
    </row>
    <row r="964">
      <c r="A964" s="163"/>
      <c r="B964" s="163"/>
      <c r="C964" s="163"/>
      <c r="D964" s="163"/>
      <c r="E964" s="163"/>
      <c r="F964" s="163"/>
      <c r="G964" s="163"/>
      <c r="H964" s="163"/>
      <c r="I964" s="163"/>
      <c r="J964" s="163"/>
      <c r="K964" s="163"/>
      <c r="L964" s="165"/>
      <c r="M964" s="163"/>
      <c r="N964" s="163"/>
      <c r="O964" s="163"/>
      <c r="P964" s="163"/>
      <c r="Q964" s="163"/>
      <c r="R964" s="163"/>
      <c r="S964" s="163"/>
      <c r="T964" s="163"/>
      <c r="U964" s="163"/>
      <c r="V964" s="163"/>
      <c r="W964" s="163"/>
      <c r="X964" s="163"/>
      <c r="Y964" s="163"/>
      <c r="Z964" s="163"/>
      <c r="AA964" s="163"/>
    </row>
    <row r="965">
      <c r="A965" s="163"/>
      <c r="B965" s="163"/>
      <c r="C965" s="163"/>
      <c r="D965" s="163"/>
      <c r="E965" s="163"/>
      <c r="F965" s="163"/>
      <c r="G965" s="163"/>
      <c r="H965" s="163"/>
      <c r="I965" s="163"/>
      <c r="J965" s="163"/>
      <c r="K965" s="163"/>
      <c r="L965" s="165"/>
      <c r="M965" s="163"/>
      <c r="N965" s="163"/>
      <c r="O965" s="163"/>
      <c r="P965" s="163"/>
      <c r="Q965" s="163"/>
      <c r="R965" s="163"/>
      <c r="S965" s="163"/>
      <c r="T965" s="163"/>
      <c r="U965" s="163"/>
      <c r="V965" s="163"/>
      <c r="W965" s="163"/>
      <c r="X965" s="163"/>
      <c r="Y965" s="163"/>
      <c r="Z965" s="163"/>
      <c r="AA965" s="163"/>
    </row>
    <row r="966">
      <c r="A966" s="163"/>
      <c r="B966" s="163"/>
      <c r="C966" s="163"/>
      <c r="D966" s="163"/>
      <c r="E966" s="163"/>
      <c r="F966" s="163"/>
      <c r="G966" s="163"/>
      <c r="H966" s="163"/>
      <c r="I966" s="163"/>
      <c r="J966" s="163"/>
      <c r="K966" s="163"/>
      <c r="L966" s="165"/>
      <c r="M966" s="163"/>
      <c r="N966" s="163"/>
      <c r="O966" s="163"/>
      <c r="P966" s="163"/>
      <c r="Q966" s="163"/>
      <c r="R966" s="163"/>
      <c r="S966" s="163"/>
      <c r="T966" s="163"/>
      <c r="U966" s="163"/>
      <c r="V966" s="163"/>
      <c r="W966" s="163"/>
      <c r="X966" s="163"/>
      <c r="Y966" s="163"/>
      <c r="Z966" s="163"/>
      <c r="AA966" s="163"/>
    </row>
    <row r="967">
      <c r="A967" s="163"/>
      <c r="B967" s="163"/>
      <c r="C967" s="163"/>
      <c r="D967" s="163"/>
      <c r="E967" s="163"/>
      <c r="F967" s="163"/>
      <c r="G967" s="163"/>
      <c r="H967" s="163"/>
      <c r="I967" s="163"/>
      <c r="J967" s="163"/>
      <c r="K967" s="163"/>
      <c r="L967" s="165"/>
      <c r="M967" s="163"/>
      <c r="N967" s="163"/>
      <c r="O967" s="163"/>
      <c r="P967" s="163"/>
      <c r="Q967" s="163"/>
      <c r="R967" s="163"/>
      <c r="S967" s="163"/>
      <c r="T967" s="163"/>
      <c r="U967" s="163"/>
      <c r="V967" s="163"/>
      <c r="W967" s="163"/>
      <c r="X967" s="163"/>
      <c r="Y967" s="163"/>
      <c r="Z967" s="163"/>
      <c r="AA967" s="163"/>
    </row>
    <row r="968">
      <c r="A968" s="163"/>
      <c r="B968" s="163"/>
      <c r="C968" s="163"/>
      <c r="D968" s="163"/>
      <c r="E968" s="163"/>
      <c r="F968" s="163"/>
      <c r="G968" s="163"/>
      <c r="H968" s="163"/>
      <c r="I968" s="163"/>
      <c r="J968" s="163"/>
      <c r="K968" s="163"/>
      <c r="L968" s="165"/>
      <c r="M968" s="163"/>
      <c r="N968" s="163"/>
      <c r="O968" s="163"/>
      <c r="P968" s="163"/>
      <c r="Q968" s="163"/>
      <c r="R968" s="163"/>
      <c r="S968" s="163"/>
      <c r="T968" s="163"/>
      <c r="U968" s="163"/>
      <c r="V968" s="163"/>
      <c r="W968" s="163"/>
      <c r="X968" s="163"/>
      <c r="Y968" s="163"/>
      <c r="Z968" s="163"/>
      <c r="AA968" s="163"/>
    </row>
    <row r="969">
      <c r="A969" s="163"/>
      <c r="B969" s="163"/>
      <c r="C969" s="163"/>
      <c r="D969" s="163"/>
      <c r="E969" s="163"/>
      <c r="F969" s="163"/>
      <c r="G969" s="163"/>
      <c r="H969" s="163"/>
      <c r="I969" s="163"/>
      <c r="J969" s="163"/>
      <c r="K969" s="163"/>
      <c r="L969" s="165"/>
      <c r="M969" s="163"/>
      <c r="N969" s="163"/>
      <c r="O969" s="163"/>
      <c r="P969" s="163"/>
      <c r="Q969" s="163"/>
      <c r="R969" s="163"/>
      <c r="S969" s="163"/>
      <c r="T969" s="163"/>
      <c r="U969" s="163"/>
      <c r="V969" s="163"/>
      <c r="W969" s="163"/>
      <c r="X969" s="163"/>
      <c r="Y969" s="163"/>
      <c r="Z969" s="163"/>
      <c r="AA969" s="163"/>
    </row>
    <row r="970">
      <c r="A970" s="163"/>
      <c r="B970" s="163"/>
      <c r="C970" s="163"/>
      <c r="D970" s="163"/>
      <c r="E970" s="163"/>
      <c r="F970" s="163"/>
      <c r="G970" s="163"/>
      <c r="H970" s="163"/>
      <c r="I970" s="163"/>
      <c r="J970" s="163"/>
      <c r="K970" s="163"/>
      <c r="L970" s="165"/>
      <c r="M970" s="163"/>
      <c r="N970" s="163"/>
      <c r="O970" s="163"/>
      <c r="P970" s="163"/>
      <c r="Q970" s="163"/>
      <c r="R970" s="163"/>
      <c r="S970" s="163"/>
      <c r="T970" s="163"/>
      <c r="U970" s="163"/>
      <c r="V970" s="163"/>
      <c r="W970" s="163"/>
      <c r="X970" s="163"/>
      <c r="Y970" s="163"/>
      <c r="Z970" s="163"/>
      <c r="AA970" s="163"/>
    </row>
    <row r="971">
      <c r="A971" s="163"/>
      <c r="B971" s="163"/>
      <c r="C971" s="163"/>
      <c r="D971" s="163"/>
      <c r="E971" s="163"/>
      <c r="F971" s="163"/>
      <c r="G971" s="163"/>
      <c r="H971" s="163"/>
      <c r="I971" s="163"/>
      <c r="J971" s="163"/>
      <c r="K971" s="163"/>
      <c r="L971" s="165"/>
      <c r="M971" s="163"/>
      <c r="N971" s="163"/>
      <c r="O971" s="163"/>
      <c r="P971" s="163"/>
      <c r="Q971" s="163"/>
      <c r="R971" s="163"/>
      <c r="S971" s="163"/>
      <c r="T971" s="163"/>
      <c r="U971" s="163"/>
      <c r="V971" s="163"/>
      <c r="W971" s="163"/>
      <c r="X971" s="163"/>
      <c r="Y971" s="163"/>
      <c r="Z971" s="163"/>
      <c r="AA971" s="163"/>
    </row>
    <row r="972">
      <c r="A972" s="163"/>
      <c r="B972" s="163"/>
      <c r="C972" s="163"/>
      <c r="D972" s="163"/>
      <c r="E972" s="163"/>
      <c r="F972" s="163"/>
      <c r="G972" s="163"/>
      <c r="H972" s="163"/>
      <c r="I972" s="163"/>
      <c r="J972" s="163"/>
      <c r="K972" s="163"/>
      <c r="L972" s="165"/>
      <c r="M972" s="163"/>
      <c r="N972" s="163"/>
      <c r="O972" s="163"/>
      <c r="P972" s="163"/>
      <c r="Q972" s="163"/>
      <c r="R972" s="163"/>
      <c r="S972" s="163"/>
      <c r="T972" s="163"/>
      <c r="U972" s="163"/>
      <c r="V972" s="163"/>
      <c r="W972" s="163"/>
      <c r="X972" s="163"/>
      <c r="Y972" s="163"/>
      <c r="Z972" s="163"/>
      <c r="AA972" s="163"/>
    </row>
    <row r="973">
      <c r="A973" s="163"/>
      <c r="B973" s="163"/>
      <c r="C973" s="163"/>
      <c r="D973" s="163"/>
      <c r="E973" s="163"/>
      <c r="F973" s="163"/>
      <c r="G973" s="163"/>
      <c r="H973" s="163"/>
      <c r="I973" s="163"/>
      <c r="J973" s="163"/>
      <c r="K973" s="163"/>
      <c r="L973" s="165"/>
      <c r="M973" s="163"/>
      <c r="N973" s="163"/>
      <c r="O973" s="163"/>
      <c r="P973" s="163"/>
      <c r="Q973" s="163"/>
      <c r="R973" s="163"/>
      <c r="S973" s="163"/>
      <c r="T973" s="163"/>
      <c r="U973" s="163"/>
      <c r="V973" s="163"/>
      <c r="W973" s="163"/>
      <c r="X973" s="163"/>
      <c r="Y973" s="163"/>
      <c r="Z973" s="163"/>
      <c r="AA973" s="163"/>
    </row>
    <row r="974">
      <c r="A974" s="163"/>
      <c r="B974" s="163"/>
      <c r="C974" s="163"/>
      <c r="D974" s="163"/>
      <c r="E974" s="163"/>
      <c r="F974" s="163"/>
      <c r="G974" s="163"/>
      <c r="H974" s="163"/>
      <c r="I974" s="163"/>
      <c r="J974" s="163"/>
      <c r="K974" s="163"/>
      <c r="L974" s="165"/>
      <c r="M974" s="163"/>
      <c r="N974" s="163"/>
      <c r="O974" s="163"/>
      <c r="P974" s="163"/>
      <c r="Q974" s="163"/>
      <c r="R974" s="163"/>
      <c r="S974" s="163"/>
      <c r="T974" s="163"/>
      <c r="U974" s="163"/>
      <c r="V974" s="163"/>
      <c r="W974" s="163"/>
      <c r="X974" s="163"/>
      <c r="Y974" s="163"/>
      <c r="Z974" s="163"/>
      <c r="AA974" s="163"/>
    </row>
    <row r="975">
      <c r="A975" s="163"/>
      <c r="B975" s="163"/>
      <c r="C975" s="163"/>
      <c r="D975" s="163"/>
      <c r="E975" s="163"/>
      <c r="F975" s="163"/>
      <c r="G975" s="163"/>
      <c r="H975" s="163"/>
      <c r="I975" s="163"/>
      <c r="J975" s="163"/>
      <c r="K975" s="163"/>
      <c r="L975" s="165"/>
      <c r="M975" s="163"/>
      <c r="N975" s="163"/>
      <c r="O975" s="163"/>
      <c r="P975" s="163"/>
      <c r="Q975" s="163"/>
      <c r="R975" s="163"/>
      <c r="S975" s="163"/>
      <c r="T975" s="163"/>
      <c r="U975" s="163"/>
      <c r="V975" s="163"/>
      <c r="W975" s="163"/>
      <c r="X975" s="163"/>
      <c r="Y975" s="163"/>
      <c r="Z975" s="163"/>
      <c r="AA975" s="163"/>
    </row>
    <row r="976">
      <c r="A976" s="163"/>
      <c r="B976" s="163"/>
      <c r="C976" s="163"/>
      <c r="D976" s="163"/>
      <c r="E976" s="163"/>
      <c r="F976" s="163"/>
      <c r="G976" s="163"/>
      <c r="H976" s="163"/>
      <c r="I976" s="163"/>
      <c r="J976" s="163"/>
      <c r="K976" s="163"/>
      <c r="L976" s="165"/>
      <c r="M976" s="163"/>
      <c r="N976" s="163"/>
      <c r="O976" s="163"/>
      <c r="P976" s="163"/>
      <c r="Q976" s="163"/>
      <c r="R976" s="163"/>
      <c r="S976" s="163"/>
      <c r="T976" s="163"/>
      <c r="U976" s="163"/>
      <c r="V976" s="163"/>
      <c r="W976" s="163"/>
      <c r="X976" s="163"/>
      <c r="Y976" s="163"/>
      <c r="Z976" s="163"/>
      <c r="AA976" s="163"/>
    </row>
    <row r="977">
      <c r="A977" s="163"/>
      <c r="B977" s="163"/>
      <c r="C977" s="163"/>
      <c r="D977" s="163"/>
      <c r="E977" s="163"/>
      <c r="F977" s="163"/>
      <c r="G977" s="163"/>
      <c r="H977" s="163"/>
      <c r="I977" s="163"/>
      <c r="J977" s="163"/>
      <c r="K977" s="163"/>
      <c r="L977" s="165"/>
      <c r="M977" s="163"/>
      <c r="N977" s="163"/>
      <c r="O977" s="163"/>
      <c r="P977" s="163"/>
      <c r="Q977" s="163"/>
      <c r="R977" s="163"/>
      <c r="S977" s="163"/>
      <c r="T977" s="163"/>
      <c r="U977" s="163"/>
      <c r="V977" s="163"/>
      <c r="W977" s="163"/>
      <c r="X977" s="163"/>
      <c r="Y977" s="163"/>
      <c r="Z977" s="163"/>
      <c r="AA977" s="163"/>
    </row>
    <row r="978">
      <c r="A978" s="163"/>
      <c r="B978" s="163"/>
      <c r="C978" s="163"/>
      <c r="D978" s="163"/>
      <c r="E978" s="163"/>
      <c r="F978" s="163"/>
      <c r="G978" s="163"/>
      <c r="H978" s="163"/>
      <c r="I978" s="163"/>
      <c r="J978" s="163"/>
      <c r="K978" s="163"/>
      <c r="L978" s="165"/>
      <c r="M978" s="163"/>
      <c r="N978" s="163"/>
      <c r="O978" s="163"/>
      <c r="P978" s="163"/>
      <c r="Q978" s="163"/>
      <c r="R978" s="163"/>
      <c r="S978" s="163"/>
      <c r="T978" s="163"/>
      <c r="U978" s="163"/>
      <c r="V978" s="163"/>
      <c r="W978" s="163"/>
      <c r="X978" s="163"/>
      <c r="Y978" s="163"/>
      <c r="Z978" s="163"/>
      <c r="AA978" s="163"/>
    </row>
    <row r="979">
      <c r="A979" s="163"/>
      <c r="B979" s="163"/>
      <c r="C979" s="163"/>
      <c r="D979" s="163"/>
      <c r="E979" s="163"/>
      <c r="F979" s="163"/>
      <c r="G979" s="163"/>
      <c r="H979" s="163"/>
      <c r="I979" s="163"/>
      <c r="J979" s="163"/>
      <c r="K979" s="163"/>
      <c r="L979" s="165"/>
      <c r="M979" s="163"/>
      <c r="N979" s="163"/>
      <c r="O979" s="163"/>
      <c r="P979" s="163"/>
      <c r="Q979" s="163"/>
      <c r="R979" s="163"/>
      <c r="S979" s="163"/>
      <c r="T979" s="163"/>
      <c r="U979" s="163"/>
      <c r="V979" s="163"/>
      <c r="W979" s="163"/>
      <c r="X979" s="163"/>
      <c r="Y979" s="163"/>
      <c r="Z979" s="163"/>
      <c r="AA979" s="163"/>
    </row>
    <row r="980">
      <c r="A980" s="163"/>
      <c r="B980" s="163"/>
      <c r="C980" s="163"/>
      <c r="D980" s="163"/>
      <c r="E980" s="163"/>
      <c r="F980" s="163"/>
      <c r="G980" s="163"/>
      <c r="H980" s="163"/>
      <c r="I980" s="163"/>
      <c r="J980" s="163"/>
      <c r="K980" s="163"/>
      <c r="L980" s="165"/>
      <c r="M980" s="163"/>
      <c r="N980" s="163"/>
      <c r="O980" s="163"/>
      <c r="P980" s="163"/>
      <c r="Q980" s="163"/>
      <c r="R980" s="163"/>
      <c r="S980" s="163"/>
      <c r="T980" s="163"/>
      <c r="U980" s="163"/>
      <c r="V980" s="163"/>
      <c r="W980" s="163"/>
      <c r="X980" s="163"/>
      <c r="Y980" s="163"/>
      <c r="Z980" s="163"/>
      <c r="AA980" s="163"/>
    </row>
    <row r="981">
      <c r="A981" s="163"/>
      <c r="B981" s="163"/>
      <c r="C981" s="163"/>
      <c r="D981" s="163"/>
      <c r="E981" s="163"/>
      <c r="F981" s="163"/>
      <c r="G981" s="163"/>
      <c r="H981" s="163"/>
      <c r="I981" s="163"/>
      <c r="J981" s="163"/>
      <c r="K981" s="163"/>
      <c r="L981" s="165"/>
      <c r="M981" s="163"/>
      <c r="N981" s="163"/>
      <c r="O981" s="163"/>
      <c r="P981" s="163"/>
      <c r="Q981" s="163"/>
      <c r="R981" s="163"/>
      <c r="S981" s="163"/>
      <c r="T981" s="163"/>
      <c r="U981" s="163"/>
      <c r="V981" s="163"/>
      <c r="W981" s="163"/>
      <c r="X981" s="163"/>
      <c r="Y981" s="163"/>
      <c r="Z981" s="163"/>
      <c r="AA981" s="163"/>
    </row>
    <row r="982">
      <c r="A982" s="163"/>
      <c r="B982" s="163"/>
      <c r="C982" s="163"/>
      <c r="D982" s="163"/>
      <c r="E982" s="163"/>
      <c r="F982" s="163"/>
      <c r="G982" s="163"/>
      <c r="H982" s="163"/>
      <c r="I982" s="163"/>
      <c r="J982" s="163"/>
      <c r="K982" s="163"/>
      <c r="L982" s="165"/>
      <c r="M982" s="163"/>
      <c r="N982" s="163"/>
      <c r="O982" s="163"/>
      <c r="P982" s="163"/>
      <c r="Q982" s="163"/>
      <c r="R982" s="163"/>
      <c r="S982" s="163"/>
      <c r="T982" s="163"/>
      <c r="U982" s="163"/>
      <c r="V982" s="163"/>
      <c r="W982" s="163"/>
      <c r="X982" s="163"/>
      <c r="Y982" s="163"/>
      <c r="Z982" s="163"/>
      <c r="AA982" s="163"/>
    </row>
    <row r="983">
      <c r="A983" s="163"/>
      <c r="B983" s="163"/>
      <c r="C983" s="163"/>
      <c r="D983" s="163"/>
      <c r="E983" s="163"/>
      <c r="F983" s="163"/>
      <c r="G983" s="163"/>
      <c r="H983" s="163"/>
      <c r="I983" s="163"/>
      <c r="J983" s="163"/>
      <c r="K983" s="163"/>
      <c r="L983" s="165"/>
      <c r="M983" s="163"/>
      <c r="N983" s="163"/>
      <c r="O983" s="163"/>
      <c r="P983" s="163"/>
      <c r="Q983" s="163"/>
      <c r="R983" s="163"/>
      <c r="S983" s="163"/>
      <c r="T983" s="163"/>
      <c r="U983" s="163"/>
      <c r="V983" s="163"/>
      <c r="W983" s="163"/>
      <c r="X983" s="163"/>
      <c r="Y983" s="163"/>
      <c r="Z983" s="163"/>
      <c r="AA983" s="163"/>
    </row>
    <row r="984">
      <c r="A984" s="163"/>
      <c r="B984" s="163"/>
      <c r="C984" s="163"/>
      <c r="D984" s="163"/>
      <c r="E984" s="163"/>
      <c r="F984" s="163"/>
      <c r="G984" s="163"/>
      <c r="H984" s="163"/>
      <c r="I984" s="163"/>
      <c r="J984" s="163"/>
      <c r="K984" s="163"/>
      <c r="L984" s="165"/>
      <c r="M984" s="163"/>
      <c r="N984" s="163"/>
      <c r="O984" s="163"/>
      <c r="P984" s="163"/>
      <c r="Q984" s="163"/>
      <c r="R984" s="163"/>
      <c r="S984" s="163"/>
      <c r="T984" s="163"/>
      <c r="U984" s="163"/>
      <c r="V984" s="163"/>
      <c r="W984" s="163"/>
      <c r="X984" s="163"/>
      <c r="Y984" s="163"/>
      <c r="Z984" s="163"/>
      <c r="AA984" s="163"/>
    </row>
    <row r="985">
      <c r="A985" s="163"/>
      <c r="B985" s="163"/>
      <c r="C985" s="163"/>
      <c r="D985" s="163"/>
      <c r="E985" s="163"/>
      <c r="F985" s="163"/>
      <c r="G985" s="163"/>
      <c r="H985" s="163"/>
      <c r="I985" s="163"/>
      <c r="J985" s="163"/>
      <c r="K985" s="163"/>
      <c r="L985" s="165"/>
      <c r="M985" s="163"/>
      <c r="N985" s="163"/>
      <c r="O985" s="163"/>
      <c r="P985" s="163"/>
      <c r="Q985" s="163"/>
      <c r="R985" s="163"/>
      <c r="S985" s="163"/>
      <c r="T985" s="163"/>
      <c r="U985" s="163"/>
      <c r="V985" s="163"/>
      <c r="W985" s="163"/>
      <c r="X985" s="163"/>
      <c r="Y985" s="163"/>
      <c r="Z985" s="163"/>
      <c r="AA985" s="163"/>
    </row>
    <row r="986">
      <c r="A986" s="163"/>
      <c r="B986" s="163"/>
      <c r="C986" s="163"/>
      <c r="D986" s="163"/>
      <c r="E986" s="163"/>
      <c r="F986" s="163"/>
      <c r="G986" s="163"/>
      <c r="H986" s="163"/>
      <c r="I986" s="163"/>
      <c r="J986" s="163"/>
      <c r="K986" s="163"/>
      <c r="L986" s="165"/>
      <c r="M986" s="163"/>
      <c r="N986" s="163"/>
      <c r="O986" s="163"/>
      <c r="P986" s="163"/>
      <c r="Q986" s="163"/>
      <c r="R986" s="163"/>
      <c r="S986" s="163"/>
      <c r="T986" s="163"/>
      <c r="U986" s="163"/>
      <c r="V986" s="163"/>
      <c r="W986" s="163"/>
      <c r="X986" s="163"/>
      <c r="Y986" s="163"/>
      <c r="Z986" s="163"/>
      <c r="AA986" s="163"/>
    </row>
    <row r="987">
      <c r="A987" s="163"/>
      <c r="B987" s="163"/>
      <c r="C987" s="163"/>
      <c r="D987" s="163"/>
      <c r="E987" s="163"/>
      <c r="F987" s="163"/>
      <c r="G987" s="163"/>
      <c r="H987" s="163"/>
      <c r="I987" s="163"/>
      <c r="J987" s="163"/>
      <c r="K987" s="163"/>
      <c r="L987" s="165"/>
      <c r="M987" s="163"/>
      <c r="N987" s="163"/>
      <c r="O987" s="163"/>
      <c r="P987" s="163"/>
      <c r="Q987" s="163"/>
      <c r="R987" s="163"/>
      <c r="S987" s="163"/>
      <c r="T987" s="163"/>
      <c r="U987" s="163"/>
      <c r="V987" s="163"/>
      <c r="W987" s="163"/>
      <c r="X987" s="163"/>
      <c r="Y987" s="163"/>
      <c r="Z987" s="163"/>
      <c r="AA987" s="163"/>
    </row>
    <row r="988">
      <c r="A988" s="163"/>
      <c r="B988" s="163"/>
      <c r="C988" s="163"/>
      <c r="D988" s="163"/>
      <c r="E988" s="163"/>
      <c r="F988" s="163"/>
      <c r="G988" s="163"/>
      <c r="H988" s="163"/>
      <c r="I988" s="163"/>
      <c r="J988" s="163"/>
      <c r="K988" s="163"/>
      <c r="L988" s="165"/>
      <c r="M988" s="163"/>
      <c r="N988" s="163"/>
      <c r="O988" s="163"/>
      <c r="P988" s="163"/>
      <c r="Q988" s="163"/>
      <c r="R988" s="163"/>
      <c r="S988" s="163"/>
      <c r="T988" s="163"/>
      <c r="U988" s="163"/>
      <c r="V988" s="163"/>
      <c r="W988" s="163"/>
      <c r="X988" s="163"/>
      <c r="Y988" s="163"/>
      <c r="Z988" s="163"/>
      <c r="AA988" s="163"/>
    </row>
    <row r="989">
      <c r="A989" s="163"/>
      <c r="B989" s="163"/>
      <c r="C989" s="163"/>
      <c r="D989" s="163"/>
      <c r="E989" s="163"/>
      <c r="F989" s="163"/>
      <c r="G989" s="163"/>
      <c r="H989" s="163"/>
      <c r="I989" s="163"/>
      <c r="J989" s="163"/>
      <c r="K989" s="163"/>
      <c r="L989" s="165"/>
      <c r="M989" s="163"/>
      <c r="N989" s="163"/>
      <c r="O989" s="163"/>
      <c r="P989" s="163"/>
      <c r="Q989" s="163"/>
      <c r="R989" s="163"/>
      <c r="S989" s="163"/>
      <c r="T989" s="163"/>
      <c r="U989" s="163"/>
      <c r="V989" s="163"/>
      <c r="W989" s="163"/>
      <c r="X989" s="163"/>
      <c r="Y989" s="163"/>
      <c r="Z989" s="163"/>
      <c r="AA989" s="163"/>
    </row>
    <row r="990">
      <c r="A990" s="163"/>
      <c r="B990" s="163"/>
      <c r="C990" s="163"/>
      <c r="D990" s="163"/>
      <c r="E990" s="163"/>
      <c r="F990" s="163"/>
      <c r="G990" s="163"/>
      <c r="H990" s="163"/>
      <c r="I990" s="163"/>
      <c r="J990" s="163"/>
      <c r="K990" s="163"/>
      <c r="L990" s="165"/>
      <c r="M990" s="163"/>
      <c r="N990" s="163"/>
      <c r="O990" s="163"/>
      <c r="P990" s="163"/>
      <c r="Q990" s="163"/>
      <c r="R990" s="163"/>
      <c r="S990" s="163"/>
      <c r="T990" s="163"/>
      <c r="U990" s="163"/>
      <c r="V990" s="163"/>
      <c r="W990" s="163"/>
      <c r="X990" s="163"/>
      <c r="Y990" s="163"/>
      <c r="Z990" s="163"/>
      <c r="AA990" s="163"/>
    </row>
    <row r="991">
      <c r="A991" s="163"/>
      <c r="B991" s="163"/>
      <c r="C991" s="163"/>
      <c r="D991" s="163"/>
      <c r="E991" s="163"/>
      <c r="F991" s="163"/>
      <c r="G991" s="163"/>
      <c r="H991" s="163"/>
      <c r="I991" s="163"/>
      <c r="J991" s="163"/>
      <c r="K991" s="163"/>
      <c r="L991" s="165"/>
      <c r="M991" s="163"/>
      <c r="N991" s="163"/>
      <c r="O991" s="163"/>
      <c r="P991" s="163"/>
      <c r="Q991" s="163"/>
      <c r="R991" s="163"/>
      <c r="S991" s="163"/>
      <c r="T991" s="163"/>
      <c r="U991" s="163"/>
      <c r="V991" s="163"/>
      <c r="W991" s="163"/>
      <c r="X991" s="163"/>
      <c r="Y991" s="163"/>
      <c r="Z991" s="163"/>
      <c r="AA991" s="163"/>
    </row>
    <row r="992">
      <c r="A992" s="163"/>
      <c r="B992" s="163"/>
      <c r="C992" s="163"/>
      <c r="D992" s="163"/>
      <c r="E992" s="163"/>
      <c r="F992" s="163"/>
      <c r="G992" s="163"/>
      <c r="H992" s="163"/>
      <c r="I992" s="163"/>
      <c r="J992" s="163"/>
      <c r="K992" s="163"/>
      <c r="L992" s="165"/>
      <c r="M992" s="163"/>
      <c r="N992" s="163"/>
      <c r="O992" s="163"/>
      <c r="P992" s="163"/>
      <c r="Q992" s="163"/>
      <c r="R992" s="163"/>
      <c r="S992" s="163"/>
      <c r="T992" s="163"/>
      <c r="U992" s="163"/>
      <c r="V992" s="163"/>
      <c r="W992" s="163"/>
      <c r="X992" s="163"/>
      <c r="Y992" s="163"/>
      <c r="Z992" s="163"/>
      <c r="AA992" s="163"/>
    </row>
    <row r="993">
      <c r="A993" s="163"/>
      <c r="B993" s="163"/>
      <c r="C993" s="163"/>
      <c r="D993" s="163"/>
      <c r="E993" s="163"/>
      <c r="F993" s="163"/>
      <c r="G993" s="163"/>
      <c r="H993" s="163"/>
      <c r="I993" s="163"/>
      <c r="J993" s="163"/>
      <c r="K993" s="163"/>
      <c r="L993" s="165"/>
      <c r="M993" s="163"/>
      <c r="N993" s="163"/>
      <c r="O993" s="163"/>
      <c r="P993" s="163"/>
      <c r="Q993" s="163"/>
      <c r="R993" s="163"/>
      <c r="S993" s="163"/>
      <c r="T993" s="163"/>
      <c r="U993" s="163"/>
      <c r="V993" s="163"/>
      <c r="W993" s="163"/>
      <c r="X993" s="163"/>
      <c r="Y993" s="163"/>
      <c r="Z993" s="163"/>
      <c r="AA993" s="163"/>
    </row>
    <row r="994">
      <c r="A994" s="163"/>
      <c r="B994" s="163"/>
      <c r="C994" s="163"/>
      <c r="D994" s="163"/>
      <c r="E994" s="163"/>
      <c r="F994" s="163"/>
      <c r="G994" s="163"/>
      <c r="H994" s="163"/>
      <c r="I994" s="163"/>
      <c r="J994" s="163"/>
      <c r="K994" s="163"/>
      <c r="L994" s="165"/>
      <c r="M994" s="163"/>
      <c r="N994" s="163"/>
      <c r="O994" s="163"/>
      <c r="P994" s="163"/>
      <c r="Q994" s="163"/>
      <c r="R994" s="163"/>
      <c r="S994" s="163"/>
      <c r="T994" s="163"/>
      <c r="U994" s="163"/>
      <c r="V994" s="163"/>
      <c r="W994" s="163"/>
      <c r="X994" s="163"/>
      <c r="Y994" s="163"/>
      <c r="Z994" s="163"/>
      <c r="AA994" s="163"/>
    </row>
    <row r="995">
      <c r="A995" s="163"/>
      <c r="B995" s="163"/>
      <c r="C995" s="163"/>
      <c r="D995" s="163"/>
      <c r="E995" s="163"/>
      <c r="F995" s="163"/>
      <c r="G995" s="163"/>
      <c r="H995" s="163"/>
      <c r="I995" s="163"/>
      <c r="J995" s="163"/>
      <c r="K995" s="163"/>
      <c r="L995" s="165"/>
      <c r="M995" s="163"/>
      <c r="N995" s="163"/>
      <c r="O995" s="163"/>
      <c r="P995" s="163"/>
      <c r="Q995" s="163"/>
      <c r="R995" s="163"/>
      <c r="S995" s="163"/>
      <c r="T995" s="163"/>
      <c r="U995" s="163"/>
      <c r="V995" s="163"/>
      <c r="W995" s="163"/>
      <c r="X995" s="163"/>
      <c r="Y995" s="163"/>
      <c r="Z995" s="163"/>
      <c r="AA995" s="163"/>
    </row>
    <row r="996">
      <c r="A996" s="163"/>
      <c r="B996" s="163"/>
      <c r="C996" s="163"/>
      <c r="D996" s="163"/>
      <c r="E996" s="163"/>
      <c r="F996" s="163"/>
      <c r="G996" s="163"/>
      <c r="H996" s="163"/>
      <c r="I996" s="163"/>
      <c r="J996" s="163"/>
      <c r="K996" s="163"/>
      <c r="L996" s="165"/>
      <c r="M996" s="163"/>
      <c r="N996" s="163"/>
      <c r="O996" s="163"/>
      <c r="P996" s="163"/>
      <c r="Q996" s="163"/>
      <c r="R996" s="163"/>
      <c r="S996" s="163"/>
      <c r="T996" s="163"/>
      <c r="U996" s="163"/>
      <c r="V996" s="163"/>
      <c r="W996" s="163"/>
      <c r="X996" s="163"/>
      <c r="Y996" s="163"/>
      <c r="Z996" s="163"/>
      <c r="AA996" s="163"/>
    </row>
    <row r="997">
      <c r="A997" s="163"/>
      <c r="B997" s="163"/>
      <c r="C997" s="163"/>
      <c r="D997" s="163"/>
      <c r="E997" s="163"/>
      <c r="F997" s="163"/>
      <c r="G997" s="163"/>
      <c r="H997" s="163"/>
      <c r="I997" s="163"/>
      <c r="J997" s="163"/>
      <c r="K997" s="163"/>
      <c r="L997" s="165"/>
      <c r="M997" s="163"/>
      <c r="N997" s="163"/>
      <c r="O997" s="163"/>
      <c r="P997" s="163"/>
      <c r="Q997" s="163"/>
      <c r="R997" s="163"/>
      <c r="S997" s="163"/>
      <c r="T997" s="163"/>
      <c r="U997" s="163"/>
      <c r="V997" s="163"/>
      <c r="W997" s="163"/>
      <c r="X997" s="163"/>
      <c r="Y997" s="163"/>
      <c r="Z997" s="163"/>
      <c r="AA997" s="163"/>
    </row>
    <row r="998">
      <c r="A998" s="163"/>
      <c r="B998" s="163"/>
      <c r="C998" s="163"/>
      <c r="D998" s="163"/>
      <c r="E998" s="163"/>
      <c r="F998" s="163"/>
      <c r="G998" s="163"/>
      <c r="H998" s="163"/>
      <c r="I998" s="163"/>
      <c r="J998" s="163"/>
      <c r="K998" s="163"/>
      <c r="L998" s="165"/>
      <c r="M998" s="163"/>
      <c r="N998" s="163"/>
      <c r="O998" s="163"/>
      <c r="P998" s="163"/>
      <c r="Q998" s="163"/>
      <c r="R998" s="163"/>
      <c r="S998" s="163"/>
      <c r="T998" s="163"/>
      <c r="U998" s="163"/>
      <c r="V998" s="163"/>
      <c r="W998" s="163"/>
      <c r="X998" s="163"/>
      <c r="Y998" s="163"/>
      <c r="Z998" s="163"/>
      <c r="AA998" s="163"/>
    </row>
    <row r="999">
      <c r="A999" s="163"/>
      <c r="B999" s="163"/>
      <c r="C999" s="163"/>
      <c r="D999" s="163"/>
      <c r="E999" s="163"/>
      <c r="F999" s="163"/>
      <c r="G999" s="163"/>
      <c r="H999" s="163"/>
      <c r="I999" s="163"/>
      <c r="J999" s="163"/>
      <c r="K999" s="163"/>
      <c r="L999" s="165"/>
      <c r="M999" s="163"/>
      <c r="N999" s="163"/>
      <c r="O999" s="163"/>
      <c r="P999" s="163"/>
      <c r="Q999" s="163"/>
      <c r="R999" s="163"/>
      <c r="S999" s="163"/>
      <c r="T999" s="163"/>
      <c r="U999" s="163"/>
      <c r="V999" s="163"/>
      <c r="W999" s="163"/>
      <c r="X999" s="163"/>
      <c r="Y999" s="163"/>
      <c r="Z999" s="163"/>
      <c r="AA999" s="163"/>
    </row>
    <row r="1000">
      <c r="A1000" s="163"/>
      <c r="B1000" s="163"/>
      <c r="C1000" s="163"/>
      <c r="D1000" s="163"/>
      <c r="E1000" s="163"/>
      <c r="F1000" s="163"/>
      <c r="G1000" s="163"/>
      <c r="H1000" s="163"/>
      <c r="I1000" s="163"/>
      <c r="J1000" s="163"/>
      <c r="K1000" s="163"/>
      <c r="L1000" s="165"/>
      <c r="M1000" s="163"/>
      <c r="N1000" s="163"/>
      <c r="O1000" s="163"/>
      <c r="P1000" s="163"/>
      <c r="Q1000" s="163"/>
      <c r="R1000" s="163"/>
      <c r="S1000" s="163"/>
      <c r="T1000" s="163"/>
      <c r="U1000" s="163"/>
      <c r="V1000" s="163"/>
      <c r="W1000" s="163"/>
      <c r="X1000" s="163"/>
      <c r="Y1000" s="163"/>
      <c r="Z1000" s="163"/>
      <c r="AA1000" s="163"/>
    </row>
    <row r="1001">
      <c r="A1001" s="163"/>
      <c r="B1001" s="163"/>
      <c r="C1001" s="163"/>
      <c r="D1001" s="163"/>
      <c r="E1001" s="163"/>
      <c r="F1001" s="163"/>
      <c r="G1001" s="163"/>
      <c r="H1001" s="163"/>
      <c r="I1001" s="163"/>
      <c r="J1001" s="163"/>
      <c r="K1001" s="163"/>
      <c r="L1001" s="165"/>
      <c r="M1001" s="163"/>
      <c r="N1001" s="163"/>
      <c r="O1001" s="163"/>
      <c r="P1001" s="163"/>
      <c r="Q1001" s="163"/>
      <c r="R1001" s="163"/>
      <c r="S1001" s="163"/>
      <c r="T1001" s="163"/>
      <c r="U1001" s="163"/>
      <c r="V1001" s="163"/>
      <c r="W1001" s="163"/>
      <c r="X1001" s="163"/>
      <c r="Y1001" s="163"/>
      <c r="Z1001" s="163"/>
      <c r="AA1001" s="163"/>
    </row>
    <row r="1002">
      <c r="A1002" s="163"/>
      <c r="B1002" s="163"/>
      <c r="C1002" s="163"/>
      <c r="D1002" s="163"/>
      <c r="E1002" s="163"/>
      <c r="F1002" s="163"/>
      <c r="G1002" s="163"/>
      <c r="H1002" s="163"/>
      <c r="I1002" s="163"/>
      <c r="J1002" s="163"/>
      <c r="K1002" s="163"/>
      <c r="L1002" s="165"/>
      <c r="M1002" s="163"/>
      <c r="N1002" s="163"/>
      <c r="O1002" s="163"/>
      <c r="P1002" s="163"/>
      <c r="Q1002" s="163"/>
      <c r="R1002" s="163"/>
      <c r="S1002" s="163"/>
      <c r="T1002" s="163"/>
      <c r="U1002" s="163"/>
      <c r="V1002" s="163"/>
      <c r="W1002" s="163"/>
      <c r="X1002" s="163"/>
      <c r="Y1002" s="163"/>
      <c r="Z1002" s="163"/>
      <c r="AA1002" s="163"/>
    </row>
    <row r="1003">
      <c r="A1003" s="163"/>
      <c r="B1003" s="163"/>
      <c r="C1003" s="163"/>
      <c r="D1003" s="163"/>
      <c r="E1003" s="163"/>
      <c r="F1003" s="163"/>
      <c r="G1003" s="163"/>
      <c r="H1003" s="163"/>
      <c r="I1003" s="163"/>
      <c r="J1003" s="163"/>
      <c r="K1003" s="163"/>
      <c r="L1003" s="165"/>
      <c r="M1003" s="163"/>
      <c r="N1003" s="163"/>
      <c r="O1003" s="163"/>
      <c r="P1003" s="163"/>
      <c r="Q1003" s="163"/>
      <c r="R1003" s="163"/>
      <c r="S1003" s="163"/>
      <c r="T1003" s="163"/>
      <c r="U1003" s="163"/>
      <c r="V1003" s="163"/>
      <c r="W1003" s="163"/>
      <c r="X1003" s="163"/>
      <c r="Y1003" s="163"/>
      <c r="Z1003" s="163"/>
      <c r="AA1003" s="163"/>
    </row>
    <row r="1004">
      <c r="A1004" s="163"/>
      <c r="B1004" s="163"/>
      <c r="C1004" s="163"/>
      <c r="D1004" s="163"/>
      <c r="E1004" s="163"/>
      <c r="F1004" s="163"/>
      <c r="G1004" s="163"/>
      <c r="H1004" s="163"/>
      <c r="I1004" s="163"/>
      <c r="J1004" s="163"/>
      <c r="K1004" s="163"/>
      <c r="L1004" s="165"/>
      <c r="M1004" s="163"/>
      <c r="N1004" s="163"/>
      <c r="O1004" s="163"/>
      <c r="P1004" s="163"/>
      <c r="Q1004" s="163"/>
      <c r="R1004" s="163"/>
      <c r="S1004" s="163"/>
      <c r="T1004" s="163"/>
      <c r="U1004" s="163"/>
      <c r="V1004" s="163"/>
      <c r="W1004" s="163"/>
      <c r="X1004" s="163"/>
      <c r="Y1004" s="163"/>
      <c r="Z1004" s="163"/>
      <c r="AA1004" s="163"/>
    </row>
    <row r="1005">
      <c r="A1005" s="163"/>
      <c r="B1005" s="163"/>
      <c r="C1005" s="163"/>
      <c r="D1005" s="163"/>
      <c r="E1005" s="163"/>
      <c r="F1005" s="163"/>
      <c r="G1005" s="163"/>
      <c r="H1005" s="163"/>
      <c r="I1005" s="163"/>
      <c r="J1005" s="163"/>
      <c r="K1005" s="163"/>
      <c r="L1005" s="165"/>
      <c r="M1005" s="163"/>
      <c r="N1005" s="163"/>
      <c r="O1005" s="163"/>
      <c r="P1005" s="163"/>
      <c r="Q1005" s="163"/>
      <c r="R1005" s="163"/>
      <c r="S1005" s="163"/>
      <c r="T1005" s="163"/>
      <c r="U1005" s="163"/>
      <c r="V1005" s="163"/>
      <c r="W1005" s="163"/>
      <c r="X1005" s="163"/>
      <c r="Y1005" s="163"/>
      <c r="Z1005" s="163"/>
      <c r="AA1005" s="163"/>
    </row>
    <row r="1006">
      <c r="A1006" s="163"/>
      <c r="B1006" s="163"/>
      <c r="C1006" s="163"/>
      <c r="D1006" s="163"/>
      <c r="E1006" s="163"/>
      <c r="F1006" s="163"/>
      <c r="G1006" s="163"/>
      <c r="H1006" s="163"/>
      <c r="I1006" s="163"/>
      <c r="J1006" s="163"/>
      <c r="K1006" s="163"/>
      <c r="L1006" s="165"/>
      <c r="M1006" s="163"/>
      <c r="N1006" s="163"/>
      <c r="O1006" s="163"/>
      <c r="P1006" s="163"/>
      <c r="Q1006" s="163"/>
      <c r="R1006" s="163"/>
      <c r="S1006" s="163"/>
      <c r="T1006" s="163"/>
      <c r="U1006" s="163"/>
      <c r="V1006" s="163"/>
      <c r="W1006" s="163"/>
      <c r="X1006" s="163"/>
      <c r="Y1006" s="163"/>
      <c r="Z1006" s="163"/>
      <c r="AA1006" s="163"/>
    </row>
    <row r="1007">
      <c r="A1007" s="163"/>
      <c r="B1007" s="163"/>
      <c r="C1007" s="163"/>
      <c r="D1007" s="163"/>
      <c r="E1007" s="163"/>
      <c r="F1007" s="163"/>
      <c r="G1007" s="163"/>
      <c r="H1007" s="163"/>
      <c r="I1007" s="163"/>
      <c r="J1007" s="163"/>
      <c r="K1007" s="163"/>
      <c r="L1007" s="165"/>
      <c r="M1007" s="163"/>
      <c r="N1007" s="163"/>
      <c r="O1007" s="163"/>
      <c r="P1007" s="163"/>
      <c r="Q1007" s="163"/>
      <c r="R1007" s="163"/>
      <c r="S1007" s="163"/>
      <c r="T1007" s="163"/>
      <c r="U1007" s="163"/>
      <c r="V1007" s="163"/>
      <c r="W1007" s="163"/>
      <c r="X1007" s="163"/>
      <c r="Y1007" s="163"/>
      <c r="Z1007" s="163"/>
      <c r="AA1007" s="163"/>
    </row>
    <row r="1008">
      <c r="A1008" s="163"/>
      <c r="B1008" s="163"/>
      <c r="C1008" s="163"/>
      <c r="D1008" s="163"/>
      <c r="E1008" s="163"/>
      <c r="F1008" s="163"/>
      <c r="G1008" s="163"/>
      <c r="H1008" s="163"/>
      <c r="I1008" s="163"/>
      <c r="J1008" s="163"/>
      <c r="K1008" s="163"/>
      <c r="L1008" s="165"/>
      <c r="M1008" s="163"/>
      <c r="N1008" s="163"/>
      <c r="O1008" s="163"/>
      <c r="P1008" s="163"/>
      <c r="Q1008" s="163"/>
      <c r="R1008" s="163"/>
      <c r="S1008" s="163"/>
      <c r="T1008" s="163"/>
      <c r="U1008" s="163"/>
      <c r="V1008" s="163"/>
      <c r="W1008" s="163"/>
      <c r="X1008" s="163"/>
      <c r="Y1008" s="163"/>
      <c r="Z1008" s="163"/>
      <c r="AA1008" s="163"/>
    </row>
    <row r="1009">
      <c r="A1009" s="163"/>
      <c r="B1009" s="163"/>
      <c r="C1009" s="163"/>
      <c r="D1009" s="163"/>
      <c r="E1009" s="163"/>
      <c r="F1009" s="163"/>
      <c r="G1009" s="163"/>
      <c r="H1009" s="163"/>
      <c r="I1009" s="163"/>
      <c r="J1009" s="163"/>
      <c r="K1009" s="163"/>
      <c r="L1009" s="165"/>
      <c r="M1009" s="163"/>
      <c r="N1009" s="163"/>
      <c r="O1009" s="163"/>
      <c r="P1009" s="163"/>
      <c r="Q1009" s="163"/>
      <c r="R1009" s="163"/>
      <c r="S1009" s="163"/>
      <c r="T1009" s="163"/>
      <c r="U1009" s="163"/>
      <c r="V1009" s="163"/>
      <c r="W1009" s="163"/>
      <c r="X1009" s="163"/>
      <c r="Y1009" s="163"/>
      <c r="Z1009" s="163"/>
      <c r="AA1009" s="163"/>
    </row>
    <row r="1010">
      <c r="A1010" s="163"/>
      <c r="B1010" s="163"/>
      <c r="C1010" s="163"/>
      <c r="D1010" s="163"/>
      <c r="E1010" s="163"/>
      <c r="F1010" s="163"/>
      <c r="G1010" s="163"/>
      <c r="H1010" s="163"/>
      <c r="I1010" s="163"/>
      <c r="J1010" s="163"/>
      <c r="K1010" s="163"/>
      <c r="L1010" s="165"/>
      <c r="M1010" s="163"/>
      <c r="N1010" s="163"/>
      <c r="O1010" s="163"/>
      <c r="P1010" s="163"/>
      <c r="Q1010" s="163"/>
      <c r="R1010" s="163"/>
      <c r="S1010" s="163"/>
      <c r="T1010" s="163"/>
      <c r="U1010" s="163"/>
      <c r="V1010" s="163"/>
      <c r="W1010" s="163"/>
      <c r="X1010" s="163"/>
      <c r="Y1010" s="163"/>
      <c r="Z1010" s="163"/>
      <c r="AA1010" s="163"/>
    </row>
    <row r="1011">
      <c r="A1011" s="163"/>
      <c r="B1011" s="163"/>
      <c r="C1011" s="163"/>
      <c r="D1011" s="163"/>
      <c r="E1011" s="163"/>
      <c r="F1011" s="163"/>
      <c r="G1011" s="163"/>
      <c r="H1011" s="163"/>
      <c r="I1011" s="163"/>
      <c r="J1011" s="163"/>
      <c r="K1011" s="163"/>
      <c r="L1011" s="165"/>
      <c r="M1011" s="163"/>
      <c r="N1011" s="163"/>
      <c r="O1011" s="163"/>
      <c r="P1011" s="163"/>
      <c r="Q1011" s="163"/>
      <c r="R1011" s="163"/>
      <c r="S1011" s="163"/>
      <c r="T1011" s="163"/>
      <c r="U1011" s="163"/>
      <c r="V1011" s="163"/>
      <c r="W1011" s="163"/>
      <c r="X1011" s="163"/>
      <c r="Y1011" s="163"/>
      <c r="Z1011" s="163"/>
      <c r="AA1011" s="163"/>
    </row>
    <row r="1012">
      <c r="A1012" s="163"/>
      <c r="B1012" s="163"/>
      <c r="C1012" s="163"/>
      <c r="D1012" s="163"/>
      <c r="E1012" s="163"/>
      <c r="F1012" s="163"/>
      <c r="G1012" s="163"/>
      <c r="H1012" s="163"/>
      <c r="I1012" s="163"/>
      <c r="J1012" s="163"/>
      <c r="K1012" s="163"/>
      <c r="L1012" s="165"/>
      <c r="M1012" s="163"/>
      <c r="N1012" s="163"/>
      <c r="O1012" s="163"/>
      <c r="P1012" s="163"/>
      <c r="Q1012" s="163"/>
      <c r="R1012" s="163"/>
      <c r="S1012" s="163"/>
      <c r="T1012" s="163"/>
      <c r="U1012" s="163"/>
      <c r="V1012" s="163"/>
      <c r="W1012" s="163"/>
      <c r="X1012" s="163"/>
      <c r="Y1012" s="163"/>
      <c r="Z1012" s="163"/>
      <c r="AA1012" s="163"/>
    </row>
    <row r="1013">
      <c r="A1013" s="163"/>
      <c r="B1013" s="163"/>
      <c r="C1013" s="163"/>
      <c r="D1013" s="163"/>
      <c r="E1013" s="163"/>
      <c r="F1013" s="163"/>
      <c r="G1013" s="163"/>
      <c r="H1013" s="163"/>
      <c r="I1013" s="163"/>
      <c r="J1013" s="163"/>
      <c r="K1013" s="163"/>
      <c r="L1013" s="165"/>
      <c r="M1013" s="163"/>
      <c r="N1013" s="163"/>
      <c r="O1013" s="163"/>
      <c r="P1013" s="163"/>
      <c r="Q1013" s="163"/>
      <c r="R1013" s="163"/>
      <c r="S1013" s="163"/>
      <c r="T1013" s="163"/>
      <c r="U1013" s="163"/>
      <c r="V1013" s="163"/>
      <c r="W1013" s="163"/>
      <c r="X1013" s="163"/>
      <c r="Y1013" s="163"/>
      <c r="Z1013" s="163"/>
      <c r="AA1013" s="163"/>
    </row>
    <row r="1014">
      <c r="A1014" s="163"/>
      <c r="B1014" s="163"/>
      <c r="C1014" s="163"/>
      <c r="D1014" s="163"/>
      <c r="E1014" s="163"/>
      <c r="F1014" s="163"/>
      <c r="G1014" s="163"/>
      <c r="H1014" s="163"/>
      <c r="I1014" s="163"/>
      <c r="J1014" s="163"/>
      <c r="K1014" s="163"/>
      <c r="L1014" s="165"/>
      <c r="M1014" s="163"/>
      <c r="N1014" s="163"/>
      <c r="O1014" s="163"/>
      <c r="P1014" s="163"/>
      <c r="Q1014" s="163"/>
      <c r="R1014" s="163"/>
      <c r="S1014" s="163"/>
      <c r="T1014" s="163"/>
      <c r="U1014" s="163"/>
      <c r="V1014" s="163"/>
      <c r="W1014" s="163"/>
      <c r="X1014" s="163"/>
      <c r="Y1014" s="163"/>
      <c r="Z1014" s="163"/>
      <c r="AA1014" s="163"/>
    </row>
    <row r="1015">
      <c r="A1015" s="163"/>
      <c r="B1015" s="163"/>
      <c r="C1015" s="163"/>
      <c r="D1015" s="163"/>
      <c r="E1015" s="163"/>
      <c r="F1015" s="163"/>
      <c r="G1015" s="163"/>
      <c r="H1015" s="163"/>
      <c r="I1015" s="163"/>
      <c r="J1015" s="163"/>
      <c r="K1015" s="163"/>
      <c r="L1015" s="165"/>
      <c r="M1015" s="163"/>
      <c r="N1015" s="163"/>
      <c r="O1015" s="163"/>
      <c r="P1015" s="163"/>
      <c r="Q1015" s="163"/>
      <c r="R1015" s="163"/>
      <c r="S1015" s="163"/>
      <c r="T1015" s="163"/>
      <c r="U1015" s="163"/>
      <c r="V1015" s="163"/>
      <c r="W1015" s="163"/>
      <c r="X1015" s="163"/>
      <c r="Y1015" s="163"/>
      <c r="Z1015" s="163"/>
      <c r="AA1015" s="163"/>
    </row>
    <row r="1016">
      <c r="A1016" s="163"/>
      <c r="B1016" s="163"/>
      <c r="C1016" s="163"/>
      <c r="D1016" s="163"/>
      <c r="E1016" s="163"/>
      <c r="F1016" s="163"/>
      <c r="G1016" s="163"/>
      <c r="H1016" s="163"/>
      <c r="I1016" s="163"/>
      <c r="J1016" s="163"/>
      <c r="K1016" s="163"/>
      <c r="L1016" s="165"/>
      <c r="M1016" s="163"/>
      <c r="N1016" s="163"/>
      <c r="O1016" s="163"/>
      <c r="P1016" s="163"/>
      <c r="Q1016" s="163"/>
      <c r="R1016" s="163"/>
      <c r="S1016" s="163"/>
      <c r="T1016" s="163"/>
      <c r="U1016" s="163"/>
      <c r="V1016" s="163"/>
      <c r="W1016" s="163"/>
      <c r="X1016" s="163"/>
      <c r="Y1016" s="163"/>
      <c r="Z1016" s="163"/>
      <c r="AA1016" s="163"/>
    </row>
    <row r="1017">
      <c r="A1017" s="163"/>
      <c r="B1017" s="163"/>
      <c r="C1017" s="163"/>
      <c r="D1017" s="163"/>
      <c r="E1017" s="163"/>
      <c r="F1017" s="163"/>
      <c r="G1017" s="163"/>
      <c r="H1017" s="163"/>
      <c r="I1017" s="163"/>
      <c r="J1017" s="163"/>
      <c r="K1017" s="163"/>
      <c r="L1017" s="165"/>
      <c r="M1017" s="163"/>
      <c r="N1017" s="163"/>
      <c r="O1017" s="163"/>
      <c r="P1017" s="163"/>
      <c r="Q1017" s="163"/>
      <c r="R1017" s="163"/>
      <c r="S1017" s="163"/>
      <c r="T1017" s="163"/>
      <c r="U1017" s="163"/>
      <c r="V1017" s="163"/>
      <c r="W1017" s="163"/>
      <c r="X1017" s="163"/>
      <c r="Y1017" s="163"/>
      <c r="Z1017" s="163"/>
      <c r="AA1017" s="163"/>
    </row>
    <row r="1018">
      <c r="A1018" s="163"/>
      <c r="B1018" s="163"/>
      <c r="C1018" s="163"/>
      <c r="D1018" s="163"/>
      <c r="E1018" s="163"/>
      <c r="F1018" s="163"/>
      <c r="G1018" s="163"/>
      <c r="H1018" s="163"/>
      <c r="I1018" s="163"/>
      <c r="J1018" s="163"/>
      <c r="K1018" s="163"/>
      <c r="L1018" s="165"/>
      <c r="M1018" s="163"/>
      <c r="N1018" s="163"/>
      <c r="O1018" s="163"/>
      <c r="P1018" s="163"/>
      <c r="Q1018" s="163"/>
      <c r="R1018" s="163"/>
      <c r="S1018" s="163"/>
      <c r="T1018" s="163"/>
      <c r="U1018" s="163"/>
      <c r="V1018" s="163"/>
      <c r="W1018" s="163"/>
      <c r="X1018" s="163"/>
      <c r="Y1018" s="163"/>
      <c r="Z1018" s="163"/>
      <c r="AA1018" s="163"/>
    </row>
  </sheetData>
  <printOptions horizontalCentered="1"/>
  <pageMargins bottom="0.75" footer="0.0" header="0.0" left="0.25" right="0.25" top="0.75"/>
  <pageSetup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3.44"/>
    <col customWidth="1" min="3" max="4" width="5.67"/>
    <col customWidth="1" min="5" max="5" width="9.0"/>
    <col customWidth="1" min="6" max="6" width="9.56"/>
    <col customWidth="1" min="7" max="7" width="9.0"/>
    <col customWidth="1" min="8" max="8" width="9.56"/>
    <col customWidth="1" min="9" max="9" width="9.0"/>
    <col customWidth="1" min="10" max="10" width="9.56"/>
    <col customWidth="1" min="11" max="11" width="11.22"/>
    <col customWidth="1" min="12" max="12" width="5.67"/>
    <col customWidth="1" min="13" max="17" width="10.11"/>
    <col customWidth="1" min="18" max="19" width="5.67"/>
    <col customWidth="1" min="20" max="24" width="10.11"/>
  </cols>
  <sheetData>
    <row r="1" ht="21.0" customHeight="1">
      <c r="A1" s="175" t="s">
        <v>1172</v>
      </c>
      <c r="B1" s="175" t="s">
        <v>1173</v>
      </c>
      <c r="C1" s="175" t="s">
        <v>1174</v>
      </c>
      <c r="D1" s="175" t="s">
        <v>1175</v>
      </c>
      <c r="E1" s="176" t="s">
        <v>1176</v>
      </c>
      <c r="F1" s="175" t="s">
        <v>1177</v>
      </c>
      <c r="G1" s="176" t="s">
        <v>1178</v>
      </c>
      <c r="H1" s="175" t="s">
        <v>1177</v>
      </c>
      <c r="I1" s="176" t="s">
        <v>1179</v>
      </c>
      <c r="J1" s="175" t="s">
        <v>1177</v>
      </c>
      <c r="K1" s="177" t="s">
        <v>38</v>
      </c>
      <c r="L1" s="178" t="s">
        <v>1180</v>
      </c>
      <c r="R1" s="179"/>
      <c r="S1" s="180" t="s">
        <v>1181</v>
      </c>
      <c r="T1" s="181"/>
      <c r="U1" s="181"/>
      <c r="V1" s="181"/>
      <c r="W1" s="181"/>
      <c r="X1" s="182"/>
    </row>
    <row r="2" ht="33.0" customHeight="1">
      <c r="A2" s="183"/>
      <c r="B2" s="183"/>
      <c r="C2" s="183"/>
      <c r="D2" s="183"/>
      <c r="E2" s="183"/>
      <c r="F2" s="183"/>
      <c r="G2" s="183"/>
      <c r="H2" s="183"/>
      <c r="I2" s="183"/>
      <c r="J2" s="183"/>
      <c r="K2" s="184"/>
      <c r="L2" s="185" t="s">
        <v>1182</v>
      </c>
      <c r="M2" s="186" t="s">
        <v>1183</v>
      </c>
      <c r="N2" s="186" t="s">
        <v>1184</v>
      </c>
      <c r="O2" s="186" t="s">
        <v>1185</v>
      </c>
      <c r="P2" s="186" t="s">
        <v>1186</v>
      </c>
      <c r="Q2" s="180" t="s">
        <v>39</v>
      </c>
      <c r="R2" s="179" t="s">
        <v>1187</v>
      </c>
      <c r="S2" s="187" t="s">
        <v>1182</v>
      </c>
      <c r="T2" s="186" t="s">
        <v>1183</v>
      </c>
      <c r="U2" s="186" t="s">
        <v>1184</v>
      </c>
      <c r="V2" s="186" t="s">
        <v>1185</v>
      </c>
      <c r="W2" s="186" t="s">
        <v>1186</v>
      </c>
      <c r="X2" s="187" t="s">
        <v>39</v>
      </c>
    </row>
    <row r="3">
      <c r="A3" s="188" t="s">
        <v>1188</v>
      </c>
      <c r="B3" s="181"/>
      <c r="C3" s="181"/>
      <c r="D3" s="181"/>
      <c r="E3" s="181"/>
      <c r="F3" s="181"/>
      <c r="G3" s="181"/>
      <c r="H3" s="181"/>
      <c r="I3" s="181"/>
      <c r="J3" s="181"/>
      <c r="K3" s="181"/>
      <c r="L3" s="181"/>
      <c r="M3" s="181"/>
      <c r="N3" s="181"/>
      <c r="O3" s="181"/>
      <c r="P3" s="181"/>
      <c r="Q3" s="181"/>
      <c r="R3" s="181"/>
      <c r="S3" s="181"/>
      <c r="T3" s="181"/>
      <c r="U3" s="181"/>
      <c r="V3" s="181"/>
      <c r="W3" s="181"/>
      <c r="X3" s="182"/>
    </row>
    <row r="4">
      <c r="A4" s="189">
        <v>1.0</v>
      </c>
      <c r="B4" s="190" t="s">
        <v>1189</v>
      </c>
      <c r="C4" s="189">
        <v>4.0</v>
      </c>
      <c r="D4" s="189" t="s">
        <v>1190</v>
      </c>
      <c r="E4" s="191">
        <v>300000.0</v>
      </c>
      <c r="F4" s="192" t="s">
        <v>1191</v>
      </c>
      <c r="G4" s="191" t="s">
        <v>1192</v>
      </c>
      <c r="H4" s="192" t="s">
        <v>1193</v>
      </c>
      <c r="I4" s="191" t="s">
        <v>1194</v>
      </c>
      <c r="J4" s="192" t="s">
        <v>1195</v>
      </c>
      <c r="K4" s="193"/>
      <c r="L4" s="194">
        <v>1.0</v>
      </c>
      <c r="M4" s="191">
        <v>300000.0</v>
      </c>
      <c r="N4" s="191">
        <v>42000.0</v>
      </c>
      <c r="O4" s="195">
        <f t="shared" ref="O4:O21" si="1">L4*M4+N4</f>
        <v>342000</v>
      </c>
      <c r="P4" s="196">
        <f>sum(O4:O21)</f>
        <v>1587600</v>
      </c>
      <c r="Q4" s="197" t="s">
        <v>1196</v>
      </c>
      <c r="R4" s="198">
        <f t="shared" ref="R4:R21" si="2">C4-L4</f>
        <v>3</v>
      </c>
      <c r="S4" s="199"/>
      <c r="T4" s="199"/>
      <c r="U4" s="199"/>
      <c r="V4" s="199"/>
      <c r="W4" s="196">
        <f>sum(V4:V21)</f>
        <v>0</v>
      </c>
      <c r="X4" s="199"/>
    </row>
    <row r="5">
      <c r="A5" s="189">
        <v>2.0</v>
      </c>
      <c r="B5" s="190" t="s">
        <v>1197</v>
      </c>
      <c r="C5" s="189">
        <v>5.0</v>
      </c>
      <c r="D5" s="189" t="s">
        <v>1190</v>
      </c>
      <c r="E5" s="191" t="s">
        <v>1198</v>
      </c>
      <c r="F5" s="192" t="s">
        <v>1199</v>
      </c>
      <c r="G5" s="191" t="s">
        <v>1200</v>
      </c>
      <c r="H5" s="192" t="s">
        <v>1201</v>
      </c>
      <c r="I5" s="191">
        <v>230900.0</v>
      </c>
      <c r="J5" s="192" t="s">
        <v>1202</v>
      </c>
      <c r="K5" s="193"/>
      <c r="L5" s="194">
        <v>4.0</v>
      </c>
      <c r="M5" s="191">
        <v>230900.0</v>
      </c>
      <c r="N5" s="191">
        <v>58000.0</v>
      </c>
      <c r="O5" s="195">
        <f t="shared" si="1"/>
        <v>981600</v>
      </c>
      <c r="P5" s="200"/>
      <c r="Q5" s="197" t="s">
        <v>1196</v>
      </c>
      <c r="R5" s="198">
        <f t="shared" si="2"/>
        <v>1</v>
      </c>
      <c r="S5" s="199"/>
      <c r="T5" s="199"/>
      <c r="U5" s="199"/>
      <c r="V5" s="199"/>
      <c r="W5" s="200"/>
      <c r="X5" s="199"/>
    </row>
    <row r="6">
      <c r="A6" s="189">
        <v>3.0</v>
      </c>
      <c r="B6" s="190" t="s">
        <v>1203</v>
      </c>
      <c r="C6" s="189">
        <v>1.0</v>
      </c>
      <c r="D6" s="189" t="s">
        <v>1204</v>
      </c>
      <c r="E6" s="195"/>
      <c r="F6" s="201"/>
      <c r="G6" s="195"/>
      <c r="H6" s="201"/>
      <c r="I6" s="195"/>
      <c r="J6" s="201"/>
      <c r="K6" s="193"/>
      <c r="L6" s="202"/>
      <c r="M6" s="195"/>
      <c r="N6" s="195"/>
      <c r="O6" s="195">
        <f t="shared" si="1"/>
        <v>0</v>
      </c>
      <c r="P6" s="200"/>
      <c r="Q6" s="203"/>
      <c r="R6" s="198">
        <f t="shared" si="2"/>
        <v>1</v>
      </c>
      <c r="S6" s="199"/>
      <c r="T6" s="199"/>
      <c r="U6" s="199"/>
      <c r="V6" s="199"/>
      <c r="W6" s="200"/>
      <c r="X6" s="199"/>
    </row>
    <row r="7">
      <c r="A7" s="189">
        <v>4.0</v>
      </c>
      <c r="B7" s="190" t="s">
        <v>1205</v>
      </c>
      <c r="C7" s="189">
        <v>1.0</v>
      </c>
      <c r="D7" s="189" t="s">
        <v>1204</v>
      </c>
      <c r="E7" s="204" t="s">
        <v>1206</v>
      </c>
      <c r="F7" s="205" t="s">
        <v>1207</v>
      </c>
      <c r="G7" s="191">
        <v>1.0E7</v>
      </c>
      <c r="H7" s="206" t="s">
        <v>1208</v>
      </c>
      <c r="I7" s="191"/>
      <c r="J7" s="206" t="s">
        <v>1209</v>
      </c>
      <c r="K7" s="193"/>
      <c r="L7" s="202"/>
      <c r="M7" s="195"/>
      <c r="N7" s="195"/>
      <c r="O7" s="195">
        <f t="shared" si="1"/>
        <v>0</v>
      </c>
      <c r="P7" s="200"/>
      <c r="Q7" s="203"/>
      <c r="R7" s="198">
        <f t="shared" si="2"/>
        <v>1</v>
      </c>
      <c r="S7" s="199"/>
      <c r="T7" s="199"/>
      <c r="U7" s="199"/>
      <c r="V7" s="199"/>
      <c r="W7" s="200"/>
      <c r="X7" s="199"/>
    </row>
    <row r="8">
      <c r="A8" s="189">
        <v>5.0</v>
      </c>
      <c r="B8" s="190" t="s">
        <v>1210</v>
      </c>
      <c r="C8" s="189">
        <v>1.0</v>
      </c>
      <c r="D8" s="189" t="s">
        <v>1190</v>
      </c>
      <c r="E8" s="191">
        <v>2397000.0</v>
      </c>
      <c r="F8" s="192" t="s">
        <v>1211</v>
      </c>
      <c r="G8" s="191">
        <v>2339900.0</v>
      </c>
      <c r="H8" s="192" t="s">
        <v>1212</v>
      </c>
      <c r="I8" s="191">
        <v>2519000.0</v>
      </c>
      <c r="J8" s="192" t="s">
        <v>1213</v>
      </c>
      <c r="K8" s="207" t="s">
        <v>1214</v>
      </c>
      <c r="L8" s="194"/>
      <c r="M8" s="195"/>
      <c r="N8" s="195"/>
      <c r="O8" s="195">
        <f t="shared" si="1"/>
        <v>0</v>
      </c>
      <c r="P8" s="200"/>
      <c r="Q8" s="203"/>
      <c r="R8" s="198">
        <f t="shared" si="2"/>
        <v>1</v>
      </c>
      <c r="S8" s="199"/>
      <c r="T8" s="199"/>
      <c r="U8" s="199"/>
      <c r="V8" s="199"/>
      <c r="W8" s="200"/>
      <c r="X8" s="199"/>
    </row>
    <row r="9">
      <c r="A9" s="189">
        <v>6.0</v>
      </c>
      <c r="B9" s="190" t="s">
        <v>1215</v>
      </c>
      <c r="C9" s="189">
        <v>1.0</v>
      </c>
      <c r="D9" s="189" t="s">
        <v>1204</v>
      </c>
      <c r="E9" s="191" t="s">
        <v>1216</v>
      </c>
      <c r="F9" s="206" t="s">
        <v>1217</v>
      </c>
      <c r="G9" s="191" t="s">
        <v>1218</v>
      </c>
      <c r="H9" s="206" t="s">
        <v>1219</v>
      </c>
      <c r="I9" s="195"/>
      <c r="J9" s="201"/>
      <c r="K9" s="193"/>
      <c r="L9" s="202"/>
      <c r="M9" s="195"/>
      <c r="N9" s="195"/>
      <c r="O9" s="195">
        <f t="shared" si="1"/>
        <v>0</v>
      </c>
      <c r="P9" s="200"/>
      <c r="Q9" s="203"/>
      <c r="R9" s="198">
        <f t="shared" si="2"/>
        <v>1</v>
      </c>
      <c r="S9" s="199"/>
      <c r="T9" s="199"/>
      <c r="U9" s="199"/>
      <c r="V9" s="199"/>
      <c r="W9" s="200"/>
      <c r="X9" s="199"/>
    </row>
    <row r="10">
      <c r="A10" s="208">
        <v>7.0</v>
      </c>
      <c r="B10" s="209" t="s">
        <v>1220</v>
      </c>
      <c r="C10" s="208">
        <v>2.0</v>
      </c>
      <c r="D10" s="208" t="s">
        <v>1221</v>
      </c>
      <c r="E10" s="210"/>
      <c r="F10" s="211"/>
      <c r="G10" s="210"/>
      <c r="H10" s="211"/>
      <c r="I10" s="210"/>
      <c r="J10" s="211"/>
      <c r="K10" s="212"/>
      <c r="L10" s="213">
        <v>2.0</v>
      </c>
      <c r="M10" s="210"/>
      <c r="N10" s="210"/>
      <c r="O10" s="210">
        <f t="shared" si="1"/>
        <v>0</v>
      </c>
      <c r="P10" s="200"/>
      <c r="Q10" s="214" t="s">
        <v>1222</v>
      </c>
      <c r="R10" s="215">
        <f t="shared" si="2"/>
        <v>0</v>
      </c>
      <c r="S10" s="209"/>
      <c r="T10" s="209"/>
      <c r="U10" s="209"/>
      <c r="V10" s="209"/>
      <c r="W10" s="200"/>
      <c r="X10" s="209"/>
    </row>
    <row r="11">
      <c r="A11" s="208">
        <v>8.0</v>
      </c>
      <c r="B11" s="209" t="s">
        <v>1223</v>
      </c>
      <c r="C11" s="208">
        <v>3.0</v>
      </c>
      <c r="D11" s="208" t="s">
        <v>1204</v>
      </c>
      <c r="E11" s="216" t="s">
        <v>1224</v>
      </c>
      <c r="F11" s="211"/>
      <c r="G11" s="216" t="s">
        <v>1224</v>
      </c>
      <c r="H11" s="211"/>
      <c r="I11" s="216" t="s">
        <v>1224</v>
      </c>
      <c r="J11" s="211"/>
      <c r="K11" s="212"/>
      <c r="L11" s="213">
        <v>3.0</v>
      </c>
      <c r="M11" s="210"/>
      <c r="N11" s="210"/>
      <c r="O11" s="210">
        <f t="shared" si="1"/>
        <v>0</v>
      </c>
      <c r="P11" s="200"/>
      <c r="Q11" s="214" t="s">
        <v>1222</v>
      </c>
      <c r="R11" s="215">
        <f t="shared" si="2"/>
        <v>0</v>
      </c>
      <c r="S11" s="209"/>
      <c r="T11" s="209"/>
      <c r="U11" s="209"/>
      <c r="V11" s="209"/>
      <c r="W11" s="200"/>
      <c r="X11" s="209"/>
    </row>
    <row r="12">
      <c r="A12" s="189">
        <v>9.0</v>
      </c>
      <c r="B12" s="190" t="s">
        <v>1225</v>
      </c>
      <c r="C12" s="189">
        <v>1.0</v>
      </c>
      <c r="D12" s="189" t="s">
        <v>1204</v>
      </c>
      <c r="E12" s="191" t="s">
        <v>1226</v>
      </c>
      <c r="F12" s="206" t="s">
        <v>1227</v>
      </c>
      <c r="G12" s="195"/>
      <c r="H12" s="201"/>
      <c r="I12" s="195"/>
      <c r="J12" s="201"/>
      <c r="K12" s="193"/>
      <c r="L12" s="202"/>
      <c r="M12" s="195"/>
      <c r="N12" s="195"/>
      <c r="O12" s="195">
        <f t="shared" si="1"/>
        <v>0</v>
      </c>
      <c r="P12" s="200"/>
      <c r="Q12" s="203"/>
      <c r="R12" s="198">
        <f t="shared" si="2"/>
        <v>1</v>
      </c>
      <c r="S12" s="199"/>
      <c r="T12" s="199"/>
      <c r="U12" s="199"/>
      <c r="V12" s="199"/>
      <c r="W12" s="200"/>
      <c r="X12" s="199"/>
    </row>
    <row r="13">
      <c r="A13" s="189">
        <v>10.0</v>
      </c>
      <c r="B13" s="190" t="s">
        <v>1228</v>
      </c>
      <c r="C13" s="189">
        <v>1.0</v>
      </c>
      <c r="D13" s="189" t="s">
        <v>1190</v>
      </c>
      <c r="E13" s="191">
        <v>1750000.0</v>
      </c>
      <c r="F13" s="192" t="s">
        <v>1229</v>
      </c>
      <c r="G13" s="191">
        <v>5099000.0</v>
      </c>
      <c r="H13" s="192" t="s">
        <v>1230</v>
      </c>
      <c r="I13" s="191">
        <v>4199000.0</v>
      </c>
      <c r="J13" s="192" t="s">
        <v>1231</v>
      </c>
      <c r="K13" s="193"/>
      <c r="L13" s="202"/>
      <c r="M13" s="195"/>
      <c r="N13" s="195"/>
      <c r="O13" s="195">
        <f t="shared" si="1"/>
        <v>0</v>
      </c>
      <c r="P13" s="200"/>
      <c r="Q13" s="203"/>
      <c r="R13" s="198">
        <f t="shared" si="2"/>
        <v>1</v>
      </c>
      <c r="S13" s="199"/>
      <c r="T13" s="199"/>
      <c r="U13" s="199"/>
      <c r="V13" s="199"/>
      <c r="W13" s="200"/>
      <c r="X13" s="199"/>
    </row>
    <row r="14">
      <c r="A14" s="189">
        <v>11.0</v>
      </c>
      <c r="B14" s="190" t="s">
        <v>1232</v>
      </c>
      <c r="C14" s="189">
        <v>5.0</v>
      </c>
      <c r="D14" s="189" t="s">
        <v>1190</v>
      </c>
      <c r="E14" s="191" t="s">
        <v>1198</v>
      </c>
      <c r="F14" s="192" t="s">
        <v>1199</v>
      </c>
      <c r="G14" s="191" t="s">
        <v>1200</v>
      </c>
      <c r="H14" s="192" t="s">
        <v>1201</v>
      </c>
      <c r="I14" s="191" t="s">
        <v>1233</v>
      </c>
      <c r="J14" s="192" t="s">
        <v>1202</v>
      </c>
      <c r="K14" s="193"/>
      <c r="L14" s="202"/>
      <c r="M14" s="195"/>
      <c r="N14" s="195"/>
      <c r="O14" s="195">
        <f t="shared" si="1"/>
        <v>0</v>
      </c>
      <c r="P14" s="200"/>
      <c r="Q14" s="203"/>
      <c r="R14" s="198">
        <f t="shared" si="2"/>
        <v>5</v>
      </c>
      <c r="S14" s="199"/>
      <c r="T14" s="199"/>
      <c r="U14" s="199"/>
      <c r="V14" s="199"/>
      <c r="W14" s="200"/>
      <c r="X14" s="199"/>
    </row>
    <row r="15">
      <c r="A15" s="189">
        <v>12.0</v>
      </c>
      <c r="B15" s="190" t="s">
        <v>1234</v>
      </c>
      <c r="C15" s="189">
        <v>5.0</v>
      </c>
      <c r="D15" s="189" t="s">
        <v>1190</v>
      </c>
      <c r="E15" s="191">
        <v>1375000.0</v>
      </c>
      <c r="F15" s="192" t="s">
        <v>1235</v>
      </c>
      <c r="G15" s="191">
        <v>1399000.0</v>
      </c>
      <c r="H15" s="192" t="s">
        <v>1236</v>
      </c>
      <c r="I15" s="191" t="s">
        <v>1237</v>
      </c>
      <c r="J15" s="192" t="s">
        <v>1238</v>
      </c>
      <c r="K15" s="193"/>
      <c r="L15" s="202"/>
      <c r="M15" s="195"/>
      <c r="N15" s="195"/>
      <c r="O15" s="195">
        <f t="shared" si="1"/>
        <v>0</v>
      </c>
      <c r="P15" s="200"/>
      <c r="Q15" s="203"/>
      <c r="R15" s="198">
        <f t="shared" si="2"/>
        <v>5</v>
      </c>
      <c r="S15" s="199"/>
      <c r="T15" s="199"/>
      <c r="U15" s="199"/>
      <c r="V15" s="199"/>
      <c r="W15" s="200"/>
      <c r="X15" s="199"/>
    </row>
    <row r="16">
      <c r="A16" s="189">
        <v>13.0</v>
      </c>
      <c r="B16" s="190" t="s">
        <v>1239</v>
      </c>
      <c r="C16" s="189">
        <v>1.0</v>
      </c>
      <c r="D16" s="189" t="s">
        <v>1221</v>
      </c>
      <c r="E16" s="191">
        <v>2097600.0</v>
      </c>
      <c r="F16" s="192" t="s">
        <v>1240</v>
      </c>
      <c r="G16" s="191">
        <v>1976000.0</v>
      </c>
      <c r="H16" s="192" t="s">
        <v>1241</v>
      </c>
      <c r="I16" s="191">
        <v>1870550.0</v>
      </c>
      <c r="J16" s="192" t="s">
        <v>1242</v>
      </c>
      <c r="K16" s="193"/>
      <c r="L16" s="202"/>
      <c r="M16" s="195"/>
      <c r="N16" s="195"/>
      <c r="O16" s="195">
        <f t="shared" si="1"/>
        <v>0</v>
      </c>
      <c r="P16" s="200"/>
      <c r="Q16" s="203"/>
      <c r="R16" s="198">
        <f t="shared" si="2"/>
        <v>1</v>
      </c>
      <c r="S16" s="199"/>
      <c r="T16" s="199"/>
      <c r="U16" s="199"/>
      <c r="V16" s="199"/>
      <c r="W16" s="200"/>
      <c r="X16" s="199"/>
    </row>
    <row r="17">
      <c r="A17" s="189">
        <v>14.0</v>
      </c>
      <c r="B17" s="190" t="s">
        <v>1243</v>
      </c>
      <c r="C17" s="189">
        <v>1.0</v>
      </c>
      <c r="D17" s="189" t="s">
        <v>1244</v>
      </c>
      <c r="E17" s="191">
        <v>2469050.0</v>
      </c>
      <c r="F17" s="192" t="s">
        <v>1245</v>
      </c>
      <c r="G17" s="191">
        <v>2411100.0</v>
      </c>
      <c r="H17" s="192" t="s">
        <v>1246</v>
      </c>
      <c r="I17" s="191">
        <v>2193550.0</v>
      </c>
      <c r="J17" s="192" t="s">
        <v>1247</v>
      </c>
      <c r="K17" s="193"/>
      <c r="L17" s="202"/>
      <c r="M17" s="195"/>
      <c r="N17" s="195"/>
      <c r="O17" s="195">
        <f t="shared" si="1"/>
        <v>0</v>
      </c>
      <c r="P17" s="200"/>
      <c r="Q17" s="203"/>
      <c r="R17" s="198">
        <f t="shared" si="2"/>
        <v>1</v>
      </c>
      <c r="S17" s="199"/>
      <c r="T17" s="199"/>
      <c r="U17" s="199"/>
      <c r="V17" s="199"/>
      <c r="W17" s="200"/>
      <c r="X17" s="199"/>
    </row>
    <row r="18">
      <c r="A18" s="189">
        <v>15.0</v>
      </c>
      <c r="B18" s="190" t="s">
        <v>1248</v>
      </c>
      <c r="C18" s="189">
        <v>1.0</v>
      </c>
      <c r="D18" s="189" t="s">
        <v>1190</v>
      </c>
      <c r="E18" s="191">
        <v>1306000.0</v>
      </c>
      <c r="F18" s="217" t="s">
        <v>1249</v>
      </c>
      <c r="G18" s="191">
        <v>1083000.0</v>
      </c>
      <c r="H18" s="192" t="s">
        <v>1250</v>
      </c>
      <c r="I18" s="191" t="s">
        <v>1251</v>
      </c>
      <c r="J18" s="192" t="s">
        <v>1252</v>
      </c>
      <c r="K18" s="207" t="s">
        <v>1253</v>
      </c>
      <c r="L18" s="194"/>
      <c r="M18" s="191"/>
      <c r="N18" s="191"/>
      <c r="O18" s="195">
        <f t="shared" si="1"/>
        <v>0</v>
      </c>
      <c r="P18" s="200"/>
      <c r="Q18" s="197"/>
      <c r="R18" s="198">
        <f t="shared" si="2"/>
        <v>1</v>
      </c>
      <c r="S18" s="199"/>
      <c r="T18" s="199"/>
      <c r="U18" s="199"/>
      <c r="V18" s="199"/>
      <c r="W18" s="200"/>
      <c r="X18" s="199"/>
    </row>
    <row r="19">
      <c r="A19" s="189">
        <v>16.0</v>
      </c>
      <c r="B19" s="190" t="s">
        <v>1254</v>
      </c>
      <c r="C19" s="189">
        <v>6.0</v>
      </c>
      <c r="D19" s="189" t="s">
        <v>1190</v>
      </c>
      <c r="E19" s="191">
        <v>14012.0</v>
      </c>
      <c r="F19" s="192" t="s">
        <v>1255</v>
      </c>
      <c r="G19" s="191">
        <v>19950.0</v>
      </c>
      <c r="H19" s="192" t="s">
        <v>1256</v>
      </c>
      <c r="I19" s="191">
        <v>29999.0</v>
      </c>
      <c r="J19" s="217" t="s">
        <v>1257</v>
      </c>
      <c r="K19" s="193"/>
      <c r="L19" s="194"/>
      <c r="M19" s="191">
        <v>29999.0</v>
      </c>
      <c r="N19" s="191">
        <v>0.0</v>
      </c>
      <c r="O19" s="195">
        <f t="shared" si="1"/>
        <v>0</v>
      </c>
      <c r="P19" s="200"/>
      <c r="Q19" s="197"/>
      <c r="R19" s="198">
        <f t="shared" si="2"/>
        <v>6</v>
      </c>
      <c r="S19" s="199"/>
      <c r="T19" s="199"/>
      <c r="U19" s="199"/>
      <c r="V19" s="199"/>
      <c r="W19" s="200"/>
      <c r="X19" s="199"/>
    </row>
    <row r="20">
      <c r="A20" s="189">
        <v>17.0</v>
      </c>
      <c r="B20" s="190" t="s">
        <v>1258</v>
      </c>
      <c r="C20" s="189">
        <v>2.0</v>
      </c>
      <c r="D20" s="189" t="s">
        <v>1190</v>
      </c>
      <c r="E20" s="191">
        <v>117000.0</v>
      </c>
      <c r="F20" s="192" t="s">
        <v>1259</v>
      </c>
      <c r="G20" s="191">
        <v>95000.0</v>
      </c>
      <c r="H20" s="192" t="s">
        <v>1260</v>
      </c>
      <c r="I20" s="191"/>
      <c r="J20" s="206"/>
      <c r="K20" s="207" t="s">
        <v>1261</v>
      </c>
      <c r="L20" s="194">
        <v>2.0</v>
      </c>
      <c r="M20" s="191">
        <v>117000.0</v>
      </c>
      <c r="N20" s="191">
        <v>30000.0</v>
      </c>
      <c r="O20" s="195">
        <f t="shared" si="1"/>
        <v>264000</v>
      </c>
      <c r="P20" s="200"/>
      <c r="Q20" s="197" t="s">
        <v>1196</v>
      </c>
      <c r="R20" s="198">
        <f t="shared" si="2"/>
        <v>0</v>
      </c>
      <c r="S20" s="199"/>
      <c r="T20" s="199"/>
      <c r="U20" s="199"/>
      <c r="V20" s="199"/>
      <c r="W20" s="200"/>
      <c r="X20" s="199"/>
    </row>
    <row r="21">
      <c r="A21" s="189">
        <v>18.0</v>
      </c>
      <c r="B21" s="190" t="s">
        <v>1262</v>
      </c>
      <c r="C21" s="189">
        <v>1.0</v>
      </c>
      <c r="D21" s="189" t="s">
        <v>1190</v>
      </c>
      <c r="E21" s="195"/>
      <c r="F21" s="201"/>
      <c r="G21" s="195"/>
      <c r="H21" s="201"/>
      <c r="I21" s="195"/>
      <c r="J21" s="201"/>
      <c r="K21" s="193"/>
      <c r="L21" s="202"/>
      <c r="M21" s="195"/>
      <c r="N21" s="195"/>
      <c r="O21" s="195">
        <f t="shared" si="1"/>
        <v>0</v>
      </c>
      <c r="P21" s="183"/>
      <c r="Q21" s="203"/>
      <c r="R21" s="198">
        <f t="shared" si="2"/>
        <v>1</v>
      </c>
      <c r="S21" s="199"/>
      <c r="T21" s="199"/>
      <c r="U21" s="199"/>
      <c r="V21" s="199"/>
      <c r="W21" s="183"/>
      <c r="X21" s="199"/>
    </row>
    <row r="22">
      <c r="A22" s="188" t="s">
        <v>1263</v>
      </c>
      <c r="B22" s="181"/>
      <c r="C22" s="181"/>
      <c r="D22" s="181"/>
      <c r="E22" s="181"/>
      <c r="F22" s="181"/>
      <c r="G22" s="181"/>
      <c r="H22" s="181"/>
      <c r="I22" s="181"/>
      <c r="J22" s="181"/>
      <c r="K22" s="181"/>
      <c r="L22" s="181"/>
      <c r="M22" s="181"/>
      <c r="N22" s="181"/>
      <c r="O22" s="181"/>
      <c r="P22" s="181"/>
      <c r="Q22" s="181"/>
      <c r="R22" s="182"/>
      <c r="S22" s="218"/>
      <c r="T22" s="218"/>
      <c r="U22" s="218"/>
      <c r="V22" s="218"/>
      <c r="W22" s="218"/>
      <c r="X22" s="219"/>
    </row>
    <row r="23">
      <c r="A23" s="189">
        <v>1.0</v>
      </c>
      <c r="B23" s="190" t="s">
        <v>1264</v>
      </c>
      <c r="C23" s="189">
        <v>6.0</v>
      </c>
      <c r="D23" s="189" t="s">
        <v>1221</v>
      </c>
      <c r="E23" s="191" t="s">
        <v>1265</v>
      </c>
      <c r="F23" s="220" t="s">
        <v>1266</v>
      </c>
      <c r="G23" s="191" t="s">
        <v>1267</v>
      </c>
      <c r="H23" s="192" t="s">
        <v>1268</v>
      </c>
      <c r="I23" s="191" t="s">
        <v>1269</v>
      </c>
      <c r="J23" s="192" t="s">
        <v>1270</v>
      </c>
      <c r="K23" s="193"/>
      <c r="L23" s="202"/>
      <c r="M23" s="195"/>
      <c r="N23" s="195"/>
      <c r="O23" s="195">
        <f t="shared" ref="O23:O29" si="3">L23*M23+N23</f>
        <v>0</v>
      </c>
      <c r="P23" s="196">
        <f>sum(O23:O29)</f>
        <v>0</v>
      </c>
      <c r="Q23" s="203"/>
      <c r="R23" s="198">
        <f t="shared" ref="R23:R29" si="4">C23-L23</f>
        <v>6</v>
      </c>
      <c r="S23" s="199"/>
      <c r="T23" s="199"/>
      <c r="U23" s="199"/>
      <c r="V23" s="199"/>
      <c r="W23" s="196">
        <f>sum(V23:V29)</f>
        <v>0</v>
      </c>
      <c r="X23" s="199"/>
    </row>
    <row r="24">
      <c r="A24" s="189">
        <v>2.0</v>
      </c>
      <c r="B24" s="190" t="s">
        <v>1271</v>
      </c>
      <c r="C24" s="189">
        <v>6.0</v>
      </c>
      <c r="D24" s="189" t="s">
        <v>1221</v>
      </c>
      <c r="E24" s="191" t="s">
        <v>1272</v>
      </c>
      <c r="F24" s="220" t="s">
        <v>1273</v>
      </c>
      <c r="G24" s="191" t="s">
        <v>1274</v>
      </c>
      <c r="H24" s="192" t="s">
        <v>1275</v>
      </c>
      <c r="I24" s="191" t="s">
        <v>1276</v>
      </c>
      <c r="J24" s="192" t="s">
        <v>1277</v>
      </c>
      <c r="K24" s="193"/>
      <c r="L24" s="202"/>
      <c r="M24" s="195"/>
      <c r="N24" s="195"/>
      <c r="O24" s="195">
        <f t="shared" si="3"/>
        <v>0</v>
      </c>
      <c r="P24" s="200"/>
      <c r="Q24" s="203"/>
      <c r="R24" s="198">
        <f t="shared" si="4"/>
        <v>6</v>
      </c>
      <c r="S24" s="199"/>
      <c r="T24" s="199"/>
      <c r="U24" s="199"/>
      <c r="V24" s="199"/>
      <c r="W24" s="200"/>
      <c r="X24" s="199"/>
    </row>
    <row r="25">
      <c r="A25" s="189">
        <v>3.0</v>
      </c>
      <c r="B25" s="190" t="s">
        <v>1278</v>
      </c>
      <c r="C25" s="189">
        <v>1.0</v>
      </c>
      <c r="D25" s="189" t="s">
        <v>1221</v>
      </c>
      <c r="E25" s="191" t="s">
        <v>1279</v>
      </c>
      <c r="F25" s="220" t="s">
        <v>1280</v>
      </c>
      <c r="G25" s="191" t="s">
        <v>1281</v>
      </c>
      <c r="H25" s="206" t="s">
        <v>1282</v>
      </c>
      <c r="I25" s="195"/>
      <c r="J25" s="201"/>
      <c r="K25" s="193"/>
      <c r="L25" s="202"/>
      <c r="M25" s="195"/>
      <c r="N25" s="195"/>
      <c r="O25" s="195">
        <f t="shared" si="3"/>
        <v>0</v>
      </c>
      <c r="P25" s="200"/>
      <c r="Q25" s="203"/>
      <c r="R25" s="198">
        <f t="shared" si="4"/>
        <v>1</v>
      </c>
      <c r="S25" s="199"/>
      <c r="T25" s="199"/>
      <c r="U25" s="199"/>
      <c r="V25" s="199"/>
      <c r="W25" s="200"/>
      <c r="X25" s="199"/>
    </row>
    <row r="26">
      <c r="A26" s="189">
        <v>4.0</v>
      </c>
      <c r="B26" s="190" t="s">
        <v>1283</v>
      </c>
      <c r="C26" s="189">
        <v>1.0</v>
      </c>
      <c r="D26" s="189" t="s">
        <v>1221</v>
      </c>
      <c r="E26" s="191" t="s">
        <v>1226</v>
      </c>
      <c r="F26" s="192" t="s">
        <v>1284</v>
      </c>
      <c r="G26" s="191" t="s">
        <v>1285</v>
      </c>
      <c r="H26" s="206" t="s">
        <v>1286</v>
      </c>
      <c r="I26" s="195"/>
      <c r="J26" s="201"/>
      <c r="K26" s="193"/>
      <c r="L26" s="202"/>
      <c r="M26" s="195"/>
      <c r="N26" s="195"/>
      <c r="O26" s="195">
        <f t="shared" si="3"/>
        <v>0</v>
      </c>
      <c r="P26" s="200"/>
      <c r="Q26" s="203"/>
      <c r="R26" s="198">
        <f t="shared" si="4"/>
        <v>1</v>
      </c>
      <c r="S26" s="199"/>
      <c r="T26" s="199"/>
      <c r="U26" s="199"/>
      <c r="V26" s="199"/>
      <c r="W26" s="200"/>
      <c r="X26" s="199"/>
    </row>
    <row r="27">
      <c r="A27" s="208">
        <v>5.0</v>
      </c>
      <c r="B27" s="209" t="s">
        <v>1287</v>
      </c>
      <c r="C27" s="208">
        <v>1.0</v>
      </c>
      <c r="D27" s="208" t="s">
        <v>1190</v>
      </c>
      <c r="E27" s="216" t="s">
        <v>1288</v>
      </c>
      <c r="F27" s="221" t="s">
        <v>1211</v>
      </c>
      <c r="G27" s="216" t="s">
        <v>1289</v>
      </c>
      <c r="H27" s="221" t="s">
        <v>1212</v>
      </c>
      <c r="I27" s="216" t="s">
        <v>1290</v>
      </c>
      <c r="J27" s="221" t="s">
        <v>1213</v>
      </c>
      <c r="K27" s="222" t="s">
        <v>1291</v>
      </c>
      <c r="L27" s="213"/>
      <c r="M27" s="210"/>
      <c r="N27" s="210"/>
      <c r="O27" s="210">
        <f t="shared" si="3"/>
        <v>0</v>
      </c>
      <c r="P27" s="200"/>
      <c r="Q27" s="223"/>
      <c r="R27" s="215">
        <f t="shared" si="4"/>
        <v>1</v>
      </c>
      <c r="S27" s="224"/>
      <c r="T27" s="224"/>
      <c r="U27" s="224"/>
      <c r="V27" s="224"/>
      <c r="W27" s="200"/>
      <c r="X27" s="224"/>
    </row>
    <row r="28">
      <c r="A28" s="208">
        <v>6.0</v>
      </c>
      <c r="B28" s="209" t="s">
        <v>1292</v>
      </c>
      <c r="C28" s="208">
        <v>1.0</v>
      </c>
      <c r="D28" s="208" t="s">
        <v>1204</v>
      </c>
      <c r="E28" s="216" t="s">
        <v>1293</v>
      </c>
      <c r="F28" s="221" t="s">
        <v>1294</v>
      </c>
      <c r="G28" s="216" t="s">
        <v>1295</v>
      </c>
      <c r="H28" s="225" t="s">
        <v>1296</v>
      </c>
      <c r="I28" s="216" t="s">
        <v>1297</v>
      </c>
      <c r="J28" s="221" t="s">
        <v>1298</v>
      </c>
      <c r="K28" s="212"/>
      <c r="L28" s="213">
        <v>1.0</v>
      </c>
      <c r="M28" s="210"/>
      <c r="N28" s="210"/>
      <c r="O28" s="210">
        <f t="shared" si="3"/>
        <v>0</v>
      </c>
      <c r="P28" s="200"/>
      <c r="Q28" s="223"/>
      <c r="R28" s="215">
        <f t="shared" si="4"/>
        <v>0</v>
      </c>
      <c r="S28" s="224"/>
      <c r="T28" s="224"/>
      <c r="U28" s="224"/>
      <c r="V28" s="224"/>
      <c r="W28" s="200"/>
      <c r="X28" s="224"/>
    </row>
    <row r="29">
      <c r="A29" s="208">
        <v>7.0</v>
      </c>
      <c r="B29" s="209" t="s">
        <v>1299</v>
      </c>
      <c r="C29" s="208">
        <v>1.0</v>
      </c>
      <c r="D29" s="208" t="s">
        <v>1204</v>
      </c>
      <c r="E29" s="210"/>
      <c r="F29" s="211"/>
      <c r="G29" s="216" t="s">
        <v>1285</v>
      </c>
      <c r="H29" s="225" t="s">
        <v>1300</v>
      </c>
      <c r="I29" s="210"/>
      <c r="J29" s="211"/>
      <c r="K29" s="212"/>
      <c r="L29" s="226"/>
      <c r="M29" s="210"/>
      <c r="N29" s="210"/>
      <c r="O29" s="210">
        <f t="shared" si="3"/>
        <v>0</v>
      </c>
      <c r="P29" s="183"/>
      <c r="Q29" s="223"/>
      <c r="R29" s="215">
        <f t="shared" si="4"/>
        <v>1</v>
      </c>
      <c r="S29" s="224"/>
      <c r="T29" s="224"/>
      <c r="U29" s="224"/>
      <c r="V29" s="224"/>
      <c r="W29" s="183"/>
      <c r="X29" s="224"/>
    </row>
    <row r="30">
      <c r="A30" s="188" t="s">
        <v>1301</v>
      </c>
      <c r="B30" s="181"/>
      <c r="C30" s="181"/>
      <c r="D30" s="181"/>
      <c r="E30" s="181"/>
      <c r="F30" s="181"/>
      <c r="G30" s="181"/>
      <c r="H30" s="181"/>
      <c r="I30" s="181"/>
      <c r="J30" s="181"/>
      <c r="K30" s="181"/>
      <c r="L30" s="181"/>
      <c r="M30" s="181"/>
      <c r="N30" s="181"/>
      <c r="O30" s="181"/>
      <c r="P30" s="181"/>
      <c r="Q30" s="181"/>
      <c r="R30" s="182"/>
      <c r="S30" s="218"/>
      <c r="T30" s="218"/>
      <c r="U30" s="218"/>
      <c r="V30" s="218"/>
      <c r="W30" s="218"/>
      <c r="X30" s="219"/>
    </row>
    <row r="31">
      <c r="A31" s="189">
        <v>1.0</v>
      </c>
      <c r="B31" s="190" t="s">
        <v>1302</v>
      </c>
      <c r="C31" s="189">
        <v>10.0</v>
      </c>
      <c r="D31" s="189" t="s">
        <v>1190</v>
      </c>
      <c r="E31" s="191">
        <v>9975.0</v>
      </c>
      <c r="F31" s="192" t="s">
        <v>1303</v>
      </c>
      <c r="G31" s="191">
        <v>9025.0</v>
      </c>
      <c r="H31" s="192" t="s">
        <v>1304</v>
      </c>
      <c r="I31" s="191">
        <v>8550.0</v>
      </c>
      <c r="J31" s="192" t="s">
        <v>1305</v>
      </c>
      <c r="K31" s="193"/>
      <c r="L31" s="202"/>
      <c r="M31" s="195"/>
      <c r="N31" s="195"/>
      <c r="O31" s="195">
        <f t="shared" ref="O31:O40" si="5">L31*M31+N31</f>
        <v>0</v>
      </c>
      <c r="P31" s="196">
        <f>sum(O31:O40)</f>
        <v>2500000</v>
      </c>
      <c r="Q31" s="203"/>
      <c r="R31" s="198">
        <f t="shared" ref="R31:R40" si="6">C31-L31</f>
        <v>10</v>
      </c>
      <c r="S31" s="199"/>
      <c r="T31" s="199"/>
      <c r="U31" s="199"/>
      <c r="V31" s="199"/>
      <c r="W31" s="196">
        <f>sum(V31:V40)</f>
        <v>0</v>
      </c>
      <c r="X31" s="199"/>
    </row>
    <row r="32">
      <c r="A32" s="189">
        <v>2.0</v>
      </c>
      <c r="B32" s="190" t="s">
        <v>824</v>
      </c>
      <c r="C32" s="189">
        <v>1.0</v>
      </c>
      <c r="D32" s="189" t="s">
        <v>1190</v>
      </c>
      <c r="E32" s="191">
        <v>485000.0</v>
      </c>
      <c r="F32" s="192" t="s">
        <v>1306</v>
      </c>
      <c r="G32" s="191">
        <v>465000.0</v>
      </c>
      <c r="H32" s="192" t="s">
        <v>1307</v>
      </c>
      <c r="I32" s="191">
        <v>425625.0</v>
      </c>
      <c r="J32" s="192" t="s">
        <v>1308</v>
      </c>
      <c r="K32" s="207" t="s">
        <v>1309</v>
      </c>
      <c r="L32" s="202"/>
      <c r="M32" s="195"/>
      <c r="N32" s="195"/>
      <c r="O32" s="195">
        <f t="shared" si="5"/>
        <v>0</v>
      </c>
      <c r="P32" s="200"/>
      <c r="Q32" s="203"/>
      <c r="R32" s="198">
        <f t="shared" si="6"/>
        <v>1</v>
      </c>
      <c r="S32" s="199"/>
      <c r="T32" s="199"/>
      <c r="U32" s="199"/>
      <c r="V32" s="199"/>
      <c r="W32" s="200"/>
      <c r="X32" s="199"/>
    </row>
    <row r="33">
      <c r="A33" s="189">
        <v>3.0</v>
      </c>
      <c r="B33" s="190" t="s">
        <v>1310</v>
      </c>
      <c r="C33" s="189">
        <v>2.0</v>
      </c>
      <c r="D33" s="189" t="s">
        <v>1190</v>
      </c>
      <c r="E33" s="191">
        <v>68305.0</v>
      </c>
      <c r="F33" s="192" t="s">
        <v>1311</v>
      </c>
      <c r="G33" s="191">
        <v>33250.0</v>
      </c>
      <c r="H33" s="192" t="s">
        <v>1312</v>
      </c>
      <c r="I33" s="191">
        <v>66500.0</v>
      </c>
      <c r="J33" s="192" t="s">
        <v>1313</v>
      </c>
      <c r="K33" s="207" t="s">
        <v>1314</v>
      </c>
      <c r="L33" s="194"/>
      <c r="M33" s="195"/>
      <c r="N33" s="195"/>
      <c r="O33" s="195">
        <f t="shared" si="5"/>
        <v>0</v>
      </c>
      <c r="P33" s="200"/>
      <c r="Q33" s="203"/>
      <c r="R33" s="198">
        <f t="shared" si="6"/>
        <v>2</v>
      </c>
      <c r="S33" s="199"/>
      <c r="T33" s="199"/>
      <c r="U33" s="199"/>
      <c r="V33" s="199"/>
      <c r="W33" s="200"/>
      <c r="X33" s="199"/>
    </row>
    <row r="34">
      <c r="A34" s="189">
        <v>4.0</v>
      </c>
      <c r="B34" s="190" t="s">
        <v>1315</v>
      </c>
      <c r="C34" s="189">
        <v>1.0</v>
      </c>
      <c r="D34" s="189" t="s">
        <v>1190</v>
      </c>
      <c r="E34" s="191">
        <v>37524.0</v>
      </c>
      <c r="F34" s="192" t="s">
        <v>1316</v>
      </c>
      <c r="G34" s="191">
        <v>25555.0</v>
      </c>
      <c r="H34" s="192" t="s">
        <v>1317</v>
      </c>
      <c r="I34" s="191">
        <v>61655.0</v>
      </c>
      <c r="J34" s="192" t="s">
        <v>1318</v>
      </c>
      <c r="K34" s="207" t="s">
        <v>1319</v>
      </c>
      <c r="L34" s="194"/>
      <c r="M34" s="195"/>
      <c r="N34" s="195"/>
      <c r="O34" s="195">
        <f t="shared" si="5"/>
        <v>0</v>
      </c>
      <c r="P34" s="200"/>
      <c r="Q34" s="203"/>
      <c r="R34" s="198">
        <f t="shared" si="6"/>
        <v>1</v>
      </c>
      <c r="S34" s="199"/>
      <c r="T34" s="199"/>
      <c r="U34" s="199"/>
      <c r="V34" s="199"/>
      <c r="W34" s="200"/>
      <c r="X34" s="199"/>
    </row>
    <row r="35">
      <c r="A35" s="189">
        <v>5.0</v>
      </c>
      <c r="B35" s="190" t="s">
        <v>1320</v>
      </c>
      <c r="C35" s="189">
        <v>1.0</v>
      </c>
      <c r="D35" s="189" t="s">
        <v>1190</v>
      </c>
      <c r="E35" s="191">
        <v>2199000.0</v>
      </c>
      <c r="F35" s="192" t="s">
        <v>1321</v>
      </c>
      <c r="G35" s="191">
        <v>1995000.0</v>
      </c>
      <c r="H35" s="192" t="s">
        <v>1322</v>
      </c>
      <c r="I35" s="191">
        <v>2283100.0</v>
      </c>
      <c r="J35" s="192" t="s">
        <v>1323</v>
      </c>
      <c r="K35" s="193"/>
      <c r="L35" s="194"/>
      <c r="M35" s="191">
        <v>1995000.0</v>
      </c>
      <c r="N35" s="191"/>
      <c r="O35" s="195">
        <f t="shared" si="5"/>
        <v>0</v>
      </c>
      <c r="P35" s="200"/>
      <c r="Q35" s="197" t="s">
        <v>1196</v>
      </c>
      <c r="R35" s="198">
        <f t="shared" si="6"/>
        <v>1</v>
      </c>
      <c r="S35" s="199"/>
      <c r="T35" s="199"/>
      <c r="U35" s="199"/>
      <c r="V35" s="199"/>
      <c r="W35" s="200"/>
      <c r="X35" s="199"/>
    </row>
    <row r="36">
      <c r="A36" s="189">
        <v>6.0</v>
      </c>
      <c r="B36" s="190" t="s">
        <v>1324</v>
      </c>
      <c r="C36" s="189">
        <v>12.0</v>
      </c>
      <c r="D36" s="189" t="s">
        <v>1190</v>
      </c>
      <c r="E36" s="191">
        <v>8835.0</v>
      </c>
      <c r="F36" s="192" t="s">
        <v>1325</v>
      </c>
      <c r="G36" s="191">
        <v>10640.0</v>
      </c>
      <c r="H36" s="192" t="s">
        <v>1326</v>
      </c>
      <c r="I36" s="191">
        <v>9310.0</v>
      </c>
      <c r="J36" s="192" t="s">
        <v>1327</v>
      </c>
      <c r="K36" s="193"/>
      <c r="L36" s="202"/>
      <c r="M36" s="195"/>
      <c r="N36" s="195"/>
      <c r="O36" s="195">
        <f t="shared" si="5"/>
        <v>0</v>
      </c>
      <c r="P36" s="200"/>
      <c r="Q36" s="203"/>
      <c r="R36" s="198">
        <f t="shared" si="6"/>
        <v>12</v>
      </c>
      <c r="S36" s="199"/>
      <c r="T36" s="199"/>
      <c r="U36" s="199"/>
      <c r="V36" s="199"/>
      <c r="W36" s="200"/>
      <c r="X36" s="199"/>
    </row>
    <row r="37">
      <c r="A37" s="189">
        <v>7.0</v>
      </c>
      <c r="B37" s="190" t="s">
        <v>1328</v>
      </c>
      <c r="C37" s="189">
        <v>3.0</v>
      </c>
      <c r="D37" s="189" t="s">
        <v>1190</v>
      </c>
      <c r="E37" s="191">
        <v>19950.0</v>
      </c>
      <c r="F37" s="192" t="s">
        <v>1329</v>
      </c>
      <c r="G37" s="191">
        <v>25441.0</v>
      </c>
      <c r="H37" s="192" t="s">
        <v>1330</v>
      </c>
      <c r="I37" s="191">
        <v>19760.0</v>
      </c>
      <c r="J37" s="192" t="s">
        <v>1331</v>
      </c>
      <c r="K37" s="193"/>
      <c r="L37" s="202"/>
      <c r="M37" s="195"/>
      <c r="N37" s="195"/>
      <c r="O37" s="195">
        <f t="shared" si="5"/>
        <v>0</v>
      </c>
      <c r="P37" s="200"/>
      <c r="Q37" s="203"/>
      <c r="R37" s="198">
        <f t="shared" si="6"/>
        <v>3</v>
      </c>
      <c r="S37" s="199"/>
      <c r="T37" s="199"/>
      <c r="U37" s="199"/>
      <c r="V37" s="199"/>
      <c r="W37" s="200"/>
      <c r="X37" s="199"/>
    </row>
    <row r="38">
      <c r="A38" s="189">
        <v>8.0</v>
      </c>
      <c r="B38" s="190" t="s">
        <v>1332</v>
      </c>
      <c r="C38" s="189">
        <v>12.0</v>
      </c>
      <c r="D38" s="189" t="s">
        <v>1190</v>
      </c>
      <c r="E38" s="191">
        <v>61636.0</v>
      </c>
      <c r="F38" s="192" t="s">
        <v>1333</v>
      </c>
      <c r="G38" s="191">
        <v>58235.0</v>
      </c>
      <c r="H38" s="192" t="s">
        <v>1334</v>
      </c>
      <c r="I38" s="191">
        <v>61190.0</v>
      </c>
      <c r="J38" s="192" t="s">
        <v>1335</v>
      </c>
      <c r="K38" s="193"/>
      <c r="L38" s="202"/>
      <c r="M38" s="195"/>
      <c r="N38" s="195"/>
      <c r="O38" s="195">
        <f t="shared" si="5"/>
        <v>0</v>
      </c>
      <c r="P38" s="200"/>
      <c r="Q38" s="203"/>
      <c r="R38" s="198">
        <f t="shared" si="6"/>
        <v>12</v>
      </c>
      <c r="S38" s="199"/>
      <c r="T38" s="199"/>
      <c r="U38" s="199"/>
      <c r="V38" s="199"/>
      <c r="W38" s="200"/>
      <c r="X38" s="199"/>
    </row>
    <row r="39">
      <c r="A39" s="189">
        <v>9.0</v>
      </c>
      <c r="B39" s="190" t="s">
        <v>1336</v>
      </c>
      <c r="C39" s="189">
        <v>4.0</v>
      </c>
      <c r="D39" s="189" t="s">
        <v>1190</v>
      </c>
      <c r="E39" s="191">
        <v>122857.0</v>
      </c>
      <c r="F39" s="192" t="s">
        <v>1337</v>
      </c>
      <c r="G39" s="191">
        <v>109990.0</v>
      </c>
      <c r="H39" s="192" t="s">
        <v>1338</v>
      </c>
      <c r="I39" s="195"/>
      <c r="J39" s="201"/>
      <c r="K39" s="207" t="s">
        <v>1339</v>
      </c>
      <c r="L39" s="202"/>
      <c r="M39" s="195"/>
      <c r="N39" s="195"/>
      <c r="O39" s="195">
        <f t="shared" si="5"/>
        <v>0</v>
      </c>
      <c r="P39" s="200"/>
      <c r="Q39" s="203"/>
      <c r="R39" s="198">
        <f t="shared" si="6"/>
        <v>4</v>
      </c>
      <c r="S39" s="199"/>
      <c r="T39" s="199"/>
      <c r="U39" s="199"/>
      <c r="V39" s="199"/>
      <c r="W39" s="200"/>
      <c r="X39" s="199"/>
    </row>
    <row r="40">
      <c r="A40" s="227">
        <v>10.0</v>
      </c>
      <c r="B40" s="228" t="s">
        <v>1340</v>
      </c>
      <c r="C40" s="227">
        <v>1.0</v>
      </c>
      <c r="D40" s="227" t="s">
        <v>1341</v>
      </c>
      <c r="E40" s="229">
        <v>2500000.0</v>
      </c>
      <c r="F40" s="230" t="s">
        <v>1342</v>
      </c>
      <c r="G40" s="231"/>
      <c r="H40" s="232"/>
      <c r="I40" s="231"/>
      <c r="J40" s="232"/>
      <c r="K40" s="233"/>
      <c r="L40" s="234">
        <v>1.0</v>
      </c>
      <c r="M40" s="229">
        <v>2500000.0</v>
      </c>
      <c r="N40" s="229">
        <v>0.0</v>
      </c>
      <c r="O40" s="231">
        <f t="shared" si="5"/>
        <v>2500000</v>
      </c>
      <c r="P40" s="183"/>
      <c r="Q40" s="235" t="s">
        <v>1343</v>
      </c>
      <c r="R40" s="236">
        <f t="shared" si="6"/>
        <v>0</v>
      </c>
      <c r="S40" s="237"/>
      <c r="T40" s="237"/>
      <c r="U40" s="237"/>
      <c r="V40" s="237"/>
      <c r="W40" s="183"/>
      <c r="X40" s="237"/>
    </row>
    <row r="41">
      <c r="A41" s="188" t="s">
        <v>1344</v>
      </c>
      <c r="B41" s="181"/>
      <c r="C41" s="181"/>
      <c r="D41" s="181"/>
      <c r="E41" s="181"/>
      <c r="F41" s="181"/>
      <c r="G41" s="181"/>
      <c r="H41" s="181"/>
      <c r="I41" s="181"/>
      <c r="J41" s="181"/>
      <c r="K41" s="181"/>
      <c r="L41" s="181"/>
      <c r="M41" s="181"/>
      <c r="N41" s="181"/>
      <c r="O41" s="181"/>
      <c r="P41" s="181"/>
      <c r="Q41" s="181"/>
      <c r="R41" s="182"/>
      <c r="S41" s="218"/>
      <c r="T41" s="218"/>
      <c r="U41" s="218"/>
      <c r="V41" s="218"/>
      <c r="W41" s="218"/>
      <c r="X41" s="219"/>
    </row>
    <row r="42">
      <c r="A42" s="227">
        <v>1.0</v>
      </c>
      <c r="B42" s="228" t="s">
        <v>1345</v>
      </c>
      <c r="C42" s="227">
        <v>1.0</v>
      </c>
      <c r="D42" s="227" t="s">
        <v>1341</v>
      </c>
      <c r="E42" s="229" t="s">
        <v>1224</v>
      </c>
      <c r="F42" s="232"/>
      <c r="G42" s="229">
        <v>0.0</v>
      </c>
      <c r="H42" s="230" t="s">
        <v>1346</v>
      </c>
      <c r="I42" s="231"/>
      <c r="J42" s="232"/>
      <c r="K42" s="238" t="s">
        <v>1346</v>
      </c>
      <c r="L42" s="234">
        <v>1.0</v>
      </c>
      <c r="M42" s="229">
        <v>0.0</v>
      </c>
      <c r="N42" s="229">
        <v>0.0</v>
      </c>
      <c r="O42" s="231">
        <f t="shared" ref="O42:O44" si="7">L42*M42+N42</f>
        <v>0</v>
      </c>
      <c r="P42" s="196">
        <f>sum(O42:O44)</f>
        <v>3030000</v>
      </c>
      <c r="Q42" s="235" t="s">
        <v>1343</v>
      </c>
      <c r="R42" s="236">
        <f t="shared" ref="R42:R44" si="8">C42-L42</f>
        <v>0</v>
      </c>
      <c r="S42" s="237"/>
      <c r="T42" s="237"/>
      <c r="U42" s="237"/>
      <c r="V42" s="237"/>
      <c r="W42" s="196">
        <f>sum(V42:V44)</f>
        <v>0</v>
      </c>
      <c r="X42" s="237"/>
    </row>
    <row r="43">
      <c r="A43" s="208">
        <v>2.0</v>
      </c>
      <c r="B43" s="209" t="s">
        <v>1347</v>
      </c>
      <c r="C43" s="208">
        <v>3.0</v>
      </c>
      <c r="D43" s="208" t="s">
        <v>1190</v>
      </c>
      <c r="E43" s="216">
        <v>550000.0</v>
      </c>
      <c r="F43" s="225" t="s">
        <v>1348</v>
      </c>
      <c r="G43" s="216">
        <v>2500000.0</v>
      </c>
      <c r="H43" s="225" t="s">
        <v>1349</v>
      </c>
      <c r="I43" s="210"/>
      <c r="J43" s="211"/>
      <c r="K43" s="212"/>
      <c r="L43" s="213">
        <v>3.0</v>
      </c>
      <c r="M43" s="216">
        <v>550000.0</v>
      </c>
      <c r="N43" s="216">
        <v>0.0</v>
      </c>
      <c r="O43" s="210">
        <f t="shared" si="7"/>
        <v>1650000</v>
      </c>
      <c r="P43" s="200"/>
      <c r="Q43" s="214" t="s">
        <v>1350</v>
      </c>
      <c r="R43" s="215">
        <f t="shared" si="8"/>
        <v>0</v>
      </c>
      <c r="S43" s="224"/>
      <c r="T43" s="224"/>
      <c r="U43" s="224"/>
      <c r="V43" s="224"/>
      <c r="W43" s="200"/>
      <c r="X43" s="224"/>
    </row>
    <row r="44">
      <c r="A44" s="208">
        <v>3.0</v>
      </c>
      <c r="B44" s="209" t="s">
        <v>1351</v>
      </c>
      <c r="C44" s="208">
        <v>3.0</v>
      </c>
      <c r="D44" s="208" t="s">
        <v>1190</v>
      </c>
      <c r="E44" s="216">
        <v>460000.0</v>
      </c>
      <c r="F44" s="225" t="s">
        <v>1348</v>
      </c>
      <c r="G44" s="216">
        <v>2100000.0</v>
      </c>
      <c r="H44" s="225" t="s">
        <v>1349</v>
      </c>
      <c r="I44" s="210"/>
      <c r="J44" s="211"/>
      <c r="K44" s="212"/>
      <c r="L44" s="213">
        <v>3.0</v>
      </c>
      <c r="M44" s="216">
        <v>460000.0</v>
      </c>
      <c r="N44" s="216">
        <v>0.0</v>
      </c>
      <c r="O44" s="210">
        <f t="shared" si="7"/>
        <v>1380000</v>
      </c>
      <c r="P44" s="183"/>
      <c r="Q44" s="214" t="s">
        <v>1350</v>
      </c>
      <c r="R44" s="215">
        <f t="shared" si="8"/>
        <v>0</v>
      </c>
      <c r="S44" s="224"/>
      <c r="T44" s="224"/>
      <c r="U44" s="224"/>
      <c r="V44" s="224"/>
      <c r="W44" s="183"/>
      <c r="X44" s="224"/>
    </row>
    <row r="45">
      <c r="A45" s="188" t="s">
        <v>1352</v>
      </c>
      <c r="B45" s="181"/>
      <c r="C45" s="181"/>
      <c r="D45" s="181"/>
      <c r="E45" s="181"/>
      <c r="F45" s="181"/>
      <c r="G45" s="181"/>
      <c r="H45" s="181"/>
      <c r="I45" s="181"/>
      <c r="J45" s="181"/>
      <c r="K45" s="181"/>
      <c r="L45" s="181"/>
      <c r="M45" s="181"/>
      <c r="N45" s="181"/>
      <c r="O45" s="181"/>
      <c r="P45" s="181"/>
      <c r="Q45" s="181"/>
      <c r="R45" s="182"/>
      <c r="S45" s="218"/>
      <c r="T45" s="218"/>
      <c r="U45" s="218"/>
      <c r="V45" s="218"/>
      <c r="W45" s="218"/>
      <c r="X45" s="219"/>
    </row>
    <row r="46">
      <c r="A46" s="189">
        <v>1.0</v>
      </c>
      <c r="B46" s="190" t="s">
        <v>1353</v>
      </c>
      <c r="C46" s="189">
        <v>1.0</v>
      </c>
      <c r="D46" s="189" t="s">
        <v>1354</v>
      </c>
      <c r="E46" s="191">
        <v>110000.0</v>
      </c>
      <c r="F46" s="192" t="s">
        <v>1355</v>
      </c>
      <c r="G46" s="191">
        <v>70000.0</v>
      </c>
      <c r="H46" s="192" t="s">
        <v>1356</v>
      </c>
      <c r="I46" s="191" t="s">
        <v>1357</v>
      </c>
      <c r="J46" s="192" t="s">
        <v>1358</v>
      </c>
      <c r="K46" s="193"/>
      <c r="L46" s="202"/>
      <c r="M46" s="195"/>
      <c r="N46" s="195"/>
      <c r="O46" s="195">
        <f t="shared" ref="O46:O52" si="9">L46*M46+N46</f>
        <v>0</v>
      </c>
      <c r="P46" s="196">
        <f>sum(O46:O52)</f>
        <v>1144288</v>
      </c>
      <c r="Q46" s="203"/>
      <c r="R46" s="198">
        <f t="shared" ref="R46:R52" si="10">C46-L46</f>
        <v>1</v>
      </c>
      <c r="S46" s="199"/>
      <c r="T46" s="199"/>
      <c r="U46" s="199"/>
      <c r="V46" s="199"/>
      <c r="W46" s="196">
        <f>sum(V46:V52)</f>
        <v>0</v>
      </c>
      <c r="X46" s="199"/>
    </row>
    <row r="47">
      <c r="A47" s="189">
        <v>2.0</v>
      </c>
      <c r="B47" s="190" t="s">
        <v>1359</v>
      </c>
      <c r="C47" s="189">
        <v>1.0</v>
      </c>
      <c r="D47" s="189" t="s">
        <v>1354</v>
      </c>
      <c r="E47" s="191">
        <v>18905.0</v>
      </c>
      <c r="F47" s="192" t="s">
        <v>1360</v>
      </c>
      <c r="G47" s="191">
        <v>10440.0</v>
      </c>
      <c r="H47" s="192" t="s">
        <v>1361</v>
      </c>
      <c r="I47" s="191">
        <v>9500.0</v>
      </c>
      <c r="J47" s="192" t="s">
        <v>1362</v>
      </c>
      <c r="K47" s="193"/>
      <c r="L47" s="202"/>
      <c r="M47" s="195"/>
      <c r="N47" s="195"/>
      <c r="O47" s="195">
        <f t="shared" si="9"/>
        <v>0</v>
      </c>
      <c r="P47" s="200"/>
      <c r="Q47" s="203"/>
      <c r="R47" s="198">
        <f t="shared" si="10"/>
        <v>1</v>
      </c>
      <c r="S47" s="199"/>
      <c r="T47" s="199"/>
      <c r="U47" s="199"/>
      <c r="V47" s="199"/>
      <c r="W47" s="200"/>
      <c r="X47" s="199"/>
    </row>
    <row r="48">
      <c r="A48" s="189">
        <v>3.0</v>
      </c>
      <c r="B48" s="190" t="s">
        <v>1363</v>
      </c>
      <c r="C48" s="189">
        <v>1.0</v>
      </c>
      <c r="D48" s="189" t="s">
        <v>1354</v>
      </c>
      <c r="E48" s="191">
        <v>47500.0</v>
      </c>
      <c r="F48" s="192" t="s">
        <v>1364</v>
      </c>
      <c r="G48" s="191">
        <v>68305.0</v>
      </c>
      <c r="H48" s="192" t="s">
        <v>1365</v>
      </c>
      <c r="I48" s="191">
        <v>67260.0</v>
      </c>
      <c r="J48" s="192" t="s">
        <v>1366</v>
      </c>
      <c r="K48" s="193"/>
      <c r="L48" s="202"/>
      <c r="M48" s="195"/>
      <c r="N48" s="195"/>
      <c r="O48" s="195">
        <f t="shared" si="9"/>
        <v>0</v>
      </c>
      <c r="P48" s="200"/>
      <c r="Q48" s="203"/>
      <c r="R48" s="198">
        <f t="shared" si="10"/>
        <v>1</v>
      </c>
      <c r="S48" s="199"/>
      <c r="T48" s="199"/>
      <c r="U48" s="199"/>
      <c r="V48" s="199"/>
      <c r="W48" s="200"/>
      <c r="X48" s="199"/>
    </row>
    <row r="49">
      <c r="A49" s="227">
        <v>4.0</v>
      </c>
      <c r="B49" s="228" t="s">
        <v>1367</v>
      </c>
      <c r="C49" s="227">
        <v>2.0</v>
      </c>
      <c r="D49" s="227" t="s">
        <v>1221</v>
      </c>
      <c r="E49" s="229" t="s">
        <v>1368</v>
      </c>
      <c r="F49" s="239" t="s">
        <v>1369</v>
      </c>
      <c r="G49" s="229">
        <v>1122288.0</v>
      </c>
      <c r="H49" s="239" t="s">
        <v>1370</v>
      </c>
      <c r="I49" s="229" t="s">
        <v>1371</v>
      </c>
      <c r="J49" s="239" t="s">
        <v>1372</v>
      </c>
      <c r="K49" s="233"/>
      <c r="L49" s="234">
        <v>1.0</v>
      </c>
      <c r="M49" s="229">
        <v>1122288.0</v>
      </c>
      <c r="N49" s="229">
        <v>22000.0</v>
      </c>
      <c r="O49" s="231">
        <f t="shared" si="9"/>
        <v>1144288</v>
      </c>
      <c r="P49" s="200"/>
      <c r="Q49" s="235" t="s">
        <v>1196</v>
      </c>
      <c r="R49" s="236">
        <f t="shared" si="10"/>
        <v>1</v>
      </c>
      <c r="S49" s="237"/>
      <c r="T49" s="237"/>
      <c r="U49" s="237"/>
      <c r="V49" s="237"/>
      <c r="W49" s="200"/>
      <c r="X49" s="237"/>
    </row>
    <row r="50">
      <c r="A50" s="189">
        <v>5.0</v>
      </c>
      <c r="B50" s="190" t="s">
        <v>1373</v>
      </c>
      <c r="C50" s="189">
        <v>1.0</v>
      </c>
      <c r="D50" s="189" t="s">
        <v>1341</v>
      </c>
      <c r="E50" s="191">
        <v>15200.0</v>
      </c>
      <c r="F50" s="192" t="s">
        <v>1374</v>
      </c>
      <c r="G50" s="191">
        <v>51300.0</v>
      </c>
      <c r="H50" s="192" t="s">
        <v>1375</v>
      </c>
      <c r="I50" s="191">
        <v>56050.0</v>
      </c>
      <c r="J50" s="192" t="s">
        <v>1376</v>
      </c>
      <c r="K50" s="193"/>
      <c r="L50" s="202"/>
      <c r="M50" s="195"/>
      <c r="N50" s="195"/>
      <c r="O50" s="195">
        <f t="shared" si="9"/>
        <v>0</v>
      </c>
      <c r="P50" s="200"/>
      <c r="Q50" s="203"/>
      <c r="R50" s="198">
        <f t="shared" si="10"/>
        <v>1</v>
      </c>
      <c r="S50" s="199"/>
      <c r="T50" s="199"/>
      <c r="U50" s="199"/>
      <c r="V50" s="199"/>
      <c r="W50" s="200"/>
      <c r="X50" s="199"/>
    </row>
    <row r="51">
      <c r="A51" s="189">
        <v>6.0</v>
      </c>
      <c r="B51" s="190" t="s">
        <v>1377</v>
      </c>
      <c r="C51" s="189">
        <v>1.0</v>
      </c>
      <c r="D51" s="189" t="s">
        <v>1341</v>
      </c>
      <c r="E51" s="191">
        <v>1790500.0</v>
      </c>
      <c r="F51" s="192" t="s">
        <v>1378</v>
      </c>
      <c r="G51" s="191">
        <v>1234050.0</v>
      </c>
      <c r="H51" s="192" t="s">
        <v>1379</v>
      </c>
      <c r="I51" s="191">
        <v>1281050.0</v>
      </c>
      <c r="J51" s="192" t="s">
        <v>1380</v>
      </c>
      <c r="K51" s="193"/>
      <c r="L51" s="202"/>
      <c r="M51" s="195"/>
      <c r="N51" s="195"/>
      <c r="O51" s="195">
        <f t="shared" si="9"/>
        <v>0</v>
      </c>
      <c r="P51" s="200"/>
      <c r="Q51" s="203"/>
      <c r="R51" s="198">
        <f t="shared" si="10"/>
        <v>1</v>
      </c>
      <c r="S51" s="199"/>
      <c r="T51" s="199"/>
      <c r="U51" s="199"/>
      <c r="V51" s="199"/>
      <c r="W51" s="200"/>
      <c r="X51" s="199"/>
    </row>
    <row r="52">
      <c r="A52" s="189">
        <v>7.0</v>
      </c>
      <c r="B52" s="190" t="s">
        <v>1381</v>
      </c>
      <c r="C52" s="189">
        <v>1.0</v>
      </c>
      <c r="D52" s="189" t="s">
        <v>1341</v>
      </c>
      <c r="E52" s="191">
        <v>35149.0</v>
      </c>
      <c r="F52" s="192" t="s">
        <v>1382</v>
      </c>
      <c r="G52" s="191">
        <v>60515.0</v>
      </c>
      <c r="H52" s="192" t="s">
        <v>1383</v>
      </c>
      <c r="I52" s="191">
        <v>22686.0</v>
      </c>
      <c r="J52" s="192" t="s">
        <v>1383</v>
      </c>
      <c r="K52" s="193"/>
      <c r="L52" s="202"/>
      <c r="M52" s="195"/>
      <c r="N52" s="195"/>
      <c r="O52" s="195">
        <f t="shared" si="9"/>
        <v>0</v>
      </c>
      <c r="P52" s="183"/>
      <c r="Q52" s="203"/>
      <c r="R52" s="198">
        <f t="shared" si="10"/>
        <v>1</v>
      </c>
      <c r="S52" s="199"/>
      <c r="T52" s="199"/>
      <c r="U52" s="199"/>
      <c r="V52" s="199"/>
      <c r="W52" s="183"/>
      <c r="X52" s="199"/>
    </row>
    <row r="53">
      <c r="A53" s="189">
        <v>8.0</v>
      </c>
      <c r="B53" s="190" t="s">
        <v>1384</v>
      </c>
      <c r="C53" s="189">
        <v>1.0</v>
      </c>
      <c r="D53" s="189" t="s">
        <v>1341</v>
      </c>
      <c r="E53" s="191"/>
      <c r="F53" s="206"/>
      <c r="G53" s="191"/>
      <c r="H53" s="206"/>
      <c r="I53" s="191"/>
      <c r="J53" s="206"/>
      <c r="K53" s="203"/>
      <c r="L53" s="202"/>
      <c r="M53" s="195"/>
      <c r="N53" s="195"/>
      <c r="O53" s="195"/>
      <c r="P53" s="195"/>
      <c r="Q53" s="203"/>
      <c r="R53" s="202"/>
      <c r="S53" s="240"/>
      <c r="T53" s="240"/>
      <c r="U53" s="240"/>
      <c r="V53" s="240"/>
      <c r="W53" s="241"/>
      <c r="X53" s="242"/>
    </row>
    <row r="54">
      <c r="A54" s="188" t="s">
        <v>1385</v>
      </c>
      <c r="B54" s="181"/>
      <c r="C54" s="181"/>
      <c r="D54" s="181"/>
      <c r="E54" s="181"/>
      <c r="F54" s="181"/>
      <c r="G54" s="181"/>
      <c r="H54" s="181"/>
      <c r="I54" s="181"/>
      <c r="J54" s="181"/>
      <c r="K54" s="181"/>
      <c r="L54" s="181"/>
      <c r="M54" s="181"/>
      <c r="N54" s="181"/>
      <c r="O54" s="181"/>
      <c r="P54" s="181"/>
      <c r="Q54" s="181"/>
      <c r="R54" s="182"/>
      <c r="S54" s="218"/>
      <c r="T54" s="218"/>
      <c r="U54" s="218"/>
      <c r="V54" s="218"/>
      <c r="W54" s="218"/>
      <c r="X54" s="219"/>
    </row>
    <row r="55">
      <c r="A55" s="208">
        <v>1.0</v>
      </c>
      <c r="B55" s="243" t="s">
        <v>1386</v>
      </c>
      <c r="C55" s="208">
        <v>3.0</v>
      </c>
      <c r="D55" s="208" t="s">
        <v>1341</v>
      </c>
      <c r="E55" s="216" t="s">
        <v>1387</v>
      </c>
      <c r="F55" s="221" t="s">
        <v>1388</v>
      </c>
      <c r="G55" s="216" t="s">
        <v>1389</v>
      </c>
      <c r="H55" s="221" t="s">
        <v>1390</v>
      </c>
      <c r="I55" s="216" t="s">
        <v>1391</v>
      </c>
      <c r="J55" s="221" t="s">
        <v>1392</v>
      </c>
      <c r="K55" s="244"/>
      <c r="L55" s="213">
        <v>1.0</v>
      </c>
      <c r="M55" s="216">
        <v>11499.0</v>
      </c>
      <c r="N55" s="216">
        <v>3500.0</v>
      </c>
      <c r="O55" s="210">
        <f t="shared" ref="O55:O65" si="11">L55*M55+N55</f>
        <v>14999</v>
      </c>
      <c r="P55" s="196">
        <f>sum(O55:O65)+2800</f>
        <v>352631</v>
      </c>
      <c r="Q55" s="214" t="s">
        <v>1350</v>
      </c>
      <c r="R55" s="198">
        <f t="shared" ref="R55:R65" si="12">C55-L55</f>
        <v>2</v>
      </c>
      <c r="S55" s="209"/>
      <c r="T55" s="209"/>
      <c r="U55" s="209"/>
      <c r="V55" s="209"/>
      <c r="W55" s="196">
        <f>sum(V55:V65)</f>
        <v>0</v>
      </c>
      <c r="X55" s="209"/>
    </row>
    <row r="56">
      <c r="A56" s="208">
        <v>2.0</v>
      </c>
      <c r="B56" s="209" t="s">
        <v>1393</v>
      </c>
      <c r="C56" s="208">
        <v>3.0</v>
      </c>
      <c r="D56" s="208" t="s">
        <v>1341</v>
      </c>
      <c r="E56" s="216" t="s">
        <v>1394</v>
      </c>
      <c r="F56" s="221" t="s">
        <v>1395</v>
      </c>
      <c r="G56" s="216" t="s">
        <v>1396</v>
      </c>
      <c r="H56" s="221" t="s">
        <v>1397</v>
      </c>
      <c r="I56" s="216" t="s">
        <v>1398</v>
      </c>
      <c r="J56" s="221" t="s">
        <v>1399</v>
      </c>
      <c r="K56" s="212"/>
      <c r="L56" s="213">
        <v>1.0</v>
      </c>
      <c r="M56" s="216">
        <v>22000.0</v>
      </c>
      <c r="N56" s="216">
        <v>3500.0</v>
      </c>
      <c r="O56" s="210">
        <f t="shared" si="11"/>
        <v>25500</v>
      </c>
      <c r="P56" s="200"/>
      <c r="Q56" s="214" t="s">
        <v>1350</v>
      </c>
      <c r="R56" s="198">
        <f t="shared" si="12"/>
        <v>2</v>
      </c>
      <c r="S56" s="209"/>
      <c r="T56" s="209"/>
      <c r="U56" s="209"/>
      <c r="V56" s="209"/>
      <c r="W56" s="200"/>
      <c r="X56" s="209"/>
    </row>
    <row r="57">
      <c r="A57" s="208">
        <v>3.0</v>
      </c>
      <c r="B57" s="209" t="s">
        <v>1400</v>
      </c>
      <c r="C57" s="208">
        <v>2.0</v>
      </c>
      <c r="D57" s="208" t="s">
        <v>1341</v>
      </c>
      <c r="E57" s="216" t="s">
        <v>1401</v>
      </c>
      <c r="F57" s="221" t="s">
        <v>1402</v>
      </c>
      <c r="G57" s="216" t="s">
        <v>1403</v>
      </c>
      <c r="H57" s="221" t="s">
        <v>1404</v>
      </c>
      <c r="I57" s="216" t="s">
        <v>1405</v>
      </c>
      <c r="J57" s="221" t="s">
        <v>1406</v>
      </c>
      <c r="K57" s="212"/>
      <c r="L57" s="213">
        <v>1.0</v>
      </c>
      <c r="M57" s="216">
        <v>24000.0</v>
      </c>
      <c r="N57" s="216">
        <v>7000.0</v>
      </c>
      <c r="O57" s="210">
        <f t="shared" si="11"/>
        <v>31000</v>
      </c>
      <c r="P57" s="200"/>
      <c r="Q57" s="214" t="s">
        <v>1350</v>
      </c>
      <c r="R57" s="198">
        <f t="shared" si="12"/>
        <v>1</v>
      </c>
      <c r="S57" s="209"/>
      <c r="T57" s="209"/>
      <c r="U57" s="209"/>
      <c r="V57" s="209"/>
      <c r="W57" s="200"/>
      <c r="X57" s="209"/>
    </row>
    <row r="58">
      <c r="A58" s="208">
        <v>4.0</v>
      </c>
      <c r="B58" s="209" t="s">
        <v>1407</v>
      </c>
      <c r="C58" s="208">
        <v>1.0</v>
      </c>
      <c r="D58" s="208" t="s">
        <v>1341</v>
      </c>
      <c r="E58" s="216" t="s">
        <v>1387</v>
      </c>
      <c r="F58" s="221" t="s">
        <v>1388</v>
      </c>
      <c r="G58" s="216" t="s">
        <v>1389</v>
      </c>
      <c r="H58" s="221" t="s">
        <v>1390</v>
      </c>
      <c r="I58" s="216" t="s">
        <v>1391</v>
      </c>
      <c r="J58" s="221" t="s">
        <v>1392</v>
      </c>
      <c r="K58" s="212"/>
      <c r="L58" s="213">
        <v>1.0</v>
      </c>
      <c r="M58" s="216">
        <v>11499.0</v>
      </c>
      <c r="N58" s="216">
        <v>3500.0</v>
      </c>
      <c r="O58" s="210">
        <f t="shared" si="11"/>
        <v>14999</v>
      </c>
      <c r="P58" s="200"/>
      <c r="Q58" s="214" t="s">
        <v>1350</v>
      </c>
      <c r="R58" s="198">
        <f t="shared" si="12"/>
        <v>0</v>
      </c>
      <c r="S58" s="209"/>
      <c r="T58" s="209"/>
      <c r="U58" s="209"/>
      <c r="V58" s="209"/>
      <c r="W58" s="200"/>
      <c r="X58" s="209"/>
    </row>
    <row r="59">
      <c r="A59" s="208">
        <v>5.0</v>
      </c>
      <c r="B59" s="209" t="s">
        <v>1408</v>
      </c>
      <c r="C59" s="208">
        <v>1.0</v>
      </c>
      <c r="D59" s="208" t="s">
        <v>1341</v>
      </c>
      <c r="E59" s="216" t="s">
        <v>1394</v>
      </c>
      <c r="F59" s="221" t="s">
        <v>1395</v>
      </c>
      <c r="G59" s="216" t="s">
        <v>1396</v>
      </c>
      <c r="H59" s="221" t="s">
        <v>1397</v>
      </c>
      <c r="I59" s="216" t="s">
        <v>1398</v>
      </c>
      <c r="J59" s="221" t="s">
        <v>1399</v>
      </c>
      <c r="K59" s="212"/>
      <c r="L59" s="213">
        <v>1.0</v>
      </c>
      <c r="M59" s="216">
        <v>22000.0</v>
      </c>
      <c r="N59" s="216">
        <v>3500.0</v>
      </c>
      <c r="O59" s="210">
        <f t="shared" si="11"/>
        <v>25500</v>
      </c>
      <c r="P59" s="200"/>
      <c r="Q59" s="214" t="s">
        <v>1350</v>
      </c>
      <c r="R59" s="198">
        <f t="shared" si="12"/>
        <v>0</v>
      </c>
      <c r="S59" s="209"/>
      <c r="T59" s="209"/>
      <c r="U59" s="209"/>
      <c r="V59" s="209"/>
      <c r="W59" s="200"/>
      <c r="X59" s="209"/>
    </row>
    <row r="60">
      <c r="A60" s="208">
        <v>6.0</v>
      </c>
      <c r="B60" s="209" t="s">
        <v>1409</v>
      </c>
      <c r="C60" s="208">
        <v>1.0</v>
      </c>
      <c r="D60" s="208" t="s">
        <v>1410</v>
      </c>
      <c r="E60" s="216" t="s">
        <v>1411</v>
      </c>
      <c r="F60" s="221" t="s">
        <v>1412</v>
      </c>
      <c r="G60" s="210"/>
      <c r="H60" s="211"/>
      <c r="I60" s="210"/>
      <c r="J60" s="211"/>
      <c r="K60" s="212"/>
      <c r="L60" s="213">
        <v>1.0</v>
      </c>
      <c r="M60" s="216">
        <v>112900.0</v>
      </c>
      <c r="N60" s="210">
        <f>116332-112900</f>
        <v>3432</v>
      </c>
      <c r="O60" s="210">
        <f t="shared" si="11"/>
        <v>116332</v>
      </c>
      <c r="P60" s="200"/>
      <c r="Q60" s="214" t="s">
        <v>1350</v>
      </c>
      <c r="R60" s="198">
        <f t="shared" si="12"/>
        <v>0</v>
      </c>
      <c r="S60" s="209"/>
      <c r="T60" s="209"/>
      <c r="U60" s="209"/>
      <c r="V60" s="209"/>
      <c r="W60" s="200"/>
      <c r="X60" s="209"/>
    </row>
    <row r="61">
      <c r="A61" s="208">
        <v>7.0</v>
      </c>
      <c r="B61" s="209" t="s">
        <v>1413</v>
      </c>
      <c r="C61" s="208">
        <v>5.0</v>
      </c>
      <c r="D61" s="208" t="s">
        <v>1414</v>
      </c>
      <c r="E61" s="216" t="s">
        <v>1415</v>
      </c>
      <c r="F61" s="221" t="s">
        <v>1416</v>
      </c>
      <c r="G61" s="210"/>
      <c r="H61" s="211"/>
      <c r="I61" s="210"/>
      <c r="J61" s="211"/>
      <c r="K61" s="212"/>
      <c r="L61" s="213">
        <v>1.0</v>
      </c>
      <c r="M61" s="216">
        <v>58109.0</v>
      </c>
      <c r="N61" s="216">
        <v>0.0</v>
      </c>
      <c r="O61" s="210">
        <f t="shared" si="11"/>
        <v>58109</v>
      </c>
      <c r="P61" s="200"/>
      <c r="Q61" s="214" t="s">
        <v>1350</v>
      </c>
      <c r="R61" s="198">
        <f t="shared" si="12"/>
        <v>4</v>
      </c>
      <c r="S61" s="209"/>
      <c r="T61" s="209"/>
      <c r="U61" s="209"/>
      <c r="V61" s="209"/>
      <c r="W61" s="200"/>
      <c r="X61" s="209"/>
    </row>
    <row r="62">
      <c r="A62" s="189">
        <v>8.0</v>
      </c>
      <c r="B62" s="190" t="s">
        <v>1417</v>
      </c>
      <c r="C62" s="189">
        <v>5.0</v>
      </c>
      <c r="D62" s="189" t="s">
        <v>1414</v>
      </c>
      <c r="E62" s="191" t="s">
        <v>1418</v>
      </c>
      <c r="F62" s="192" t="s">
        <v>1419</v>
      </c>
      <c r="G62" s="195"/>
      <c r="H62" s="201"/>
      <c r="I62" s="195"/>
      <c r="J62" s="201"/>
      <c r="K62" s="193"/>
      <c r="L62" s="194">
        <v>1.0</v>
      </c>
      <c r="M62" s="195"/>
      <c r="N62" s="195"/>
      <c r="O62" s="195">
        <f t="shared" si="11"/>
        <v>0</v>
      </c>
      <c r="P62" s="200"/>
      <c r="Q62" s="197"/>
      <c r="R62" s="198">
        <f t="shared" si="12"/>
        <v>4</v>
      </c>
      <c r="S62" s="190"/>
      <c r="T62" s="190"/>
      <c r="U62" s="190"/>
      <c r="V62" s="190"/>
      <c r="W62" s="200"/>
      <c r="X62" s="190"/>
    </row>
    <row r="63">
      <c r="A63" s="208">
        <v>9.0</v>
      </c>
      <c r="B63" s="209" t="s">
        <v>1420</v>
      </c>
      <c r="C63" s="208">
        <v>1.0</v>
      </c>
      <c r="D63" s="208" t="s">
        <v>1190</v>
      </c>
      <c r="E63" s="216" t="s">
        <v>1421</v>
      </c>
      <c r="F63" s="221" t="s">
        <v>1422</v>
      </c>
      <c r="G63" s="210"/>
      <c r="H63" s="211"/>
      <c r="I63" s="210"/>
      <c r="J63" s="211"/>
      <c r="K63" s="212"/>
      <c r="L63" s="213">
        <v>1.0</v>
      </c>
      <c r="M63" s="216">
        <v>18863.0</v>
      </c>
      <c r="N63" s="210">
        <f>22058-18863</f>
        <v>3195</v>
      </c>
      <c r="O63" s="210">
        <f t="shared" si="11"/>
        <v>22058</v>
      </c>
      <c r="P63" s="200"/>
      <c r="Q63" s="214" t="s">
        <v>1350</v>
      </c>
      <c r="R63" s="198">
        <f t="shared" si="12"/>
        <v>0</v>
      </c>
      <c r="S63" s="209"/>
      <c r="T63" s="209"/>
      <c r="U63" s="209"/>
      <c r="V63" s="209"/>
      <c r="W63" s="200"/>
      <c r="X63" s="209"/>
    </row>
    <row r="64">
      <c r="A64" s="208">
        <v>10.0</v>
      </c>
      <c r="B64" s="209" t="s">
        <v>1423</v>
      </c>
      <c r="C64" s="208">
        <v>1.0</v>
      </c>
      <c r="D64" s="208" t="s">
        <v>1190</v>
      </c>
      <c r="E64" s="216" t="s">
        <v>1424</v>
      </c>
      <c r="F64" s="221" t="s">
        <v>1425</v>
      </c>
      <c r="G64" s="210"/>
      <c r="H64" s="211"/>
      <c r="I64" s="210"/>
      <c r="J64" s="211"/>
      <c r="K64" s="212"/>
      <c r="L64" s="213">
        <v>1.0</v>
      </c>
      <c r="M64" s="216">
        <v>10000.0</v>
      </c>
      <c r="N64" s="216">
        <v>3644.0</v>
      </c>
      <c r="O64" s="210">
        <f t="shared" si="11"/>
        <v>13644</v>
      </c>
      <c r="P64" s="200"/>
      <c r="Q64" s="214" t="s">
        <v>1350</v>
      </c>
      <c r="R64" s="198">
        <f t="shared" si="12"/>
        <v>0</v>
      </c>
      <c r="S64" s="209"/>
      <c r="T64" s="209"/>
      <c r="U64" s="209"/>
      <c r="V64" s="209"/>
      <c r="W64" s="200"/>
      <c r="X64" s="209"/>
    </row>
    <row r="65">
      <c r="A65" s="208">
        <v>11.0</v>
      </c>
      <c r="B65" s="209" t="s">
        <v>1426</v>
      </c>
      <c r="C65" s="208">
        <v>5.0</v>
      </c>
      <c r="D65" s="208" t="s">
        <v>1414</v>
      </c>
      <c r="E65" s="216" t="s">
        <v>1427</v>
      </c>
      <c r="F65" s="221" t="s">
        <v>1428</v>
      </c>
      <c r="G65" s="210"/>
      <c r="H65" s="211"/>
      <c r="I65" s="210"/>
      <c r="J65" s="211"/>
      <c r="K65" s="212"/>
      <c r="L65" s="213">
        <v>1.0</v>
      </c>
      <c r="M65" s="216">
        <v>26555.0</v>
      </c>
      <c r="N65" s="210">
        <f>27690-26555</f>
        <v>1135</v>
      </c>
      <c r="O65" s="210">
        <f t="shared" si="11"/>
        <v>27690</v>
      </c>
      <c r="P65" s="183"/>
      <c r="Q65" s="214" t="s">
        <v>1350</v>
      </c>
      <c r="R65" s="198">
        <f t="shared" si="12"/>
        <v>4</v>
      </c>
      <c r="S65" s="209"/>
      <c r="T65" s="209"/>
      <c r="U65" s="209"/>
      <c r="V65" s="209"/>
      <c r="W65" s="183"/>
      <c r="X65" s="209"/>
    </row>
    <row r="66">
      <c r="A66" s="188" t="s">
        <v>1429</v>
      </c>
      <c r="B66" s="181"/>
      <c r="C66" s="181"/>
      <c r="D66" s="181"/>
      <c r="E66" s="181"/>
      <c r="F66" s="181"/>
      <c r="G66" s="181"/>
      <c r="H66" s="181"/>
      <c r="I66" s="181"/>
      <c r="J66" s="181"/>
      <c r="K66" s="181"/>
      <c r="L66" s="181"/>
      <c r="M66" s="181"/>
      <c r="N66" s="181"/>
      <c r="O66" s="181"/>
      <c r="P66" s="181"/>
      <c r="Q66" s="181"/>
      <c r="R66" s="182"/>
      <c r="S66" s="218"/>
      <c r="T66" s="218"/>
      <c r="U66" s="218"/>
      <c r="V66" s="218"/>
      <c r="W66" s="218"/>
      <c r="X66" s="219"/>
    </row>
    <row r="67">
      <c r="A67" s="189">
        <v>1.0</v>
      </c>
      <c r="B67" s="190" t="s">
        <v>1430</v>
      </c>
      <c r="C67" s="189">
        <v>1.0</v>
      </c>
      <c r="D67" s="189" t="s">
        <v>1341</v>
      </c>
      <c r="E67" s="191">
        <v>156750.0</v>
      </c>
      <c r="F67" s="192" t="s">
        <v>1431</v>
      </c>
      <c r="G67" s="191">
        <v>304000.0</v>
      </c>
      <c r="H67" s="192" t="s">
        <v>1432</v>
      </c>
      <c r="I67" s="191">
        <v>299250.0</v>
      </c>
      <c r="J67" s="192" t="s">
        <v>1433</v>
      </c>
      <c r="K67" s="193"/>
      <c r="L67" s="202"/>
      <c r="M67" s="195"/>
      <c r="N67" s="195"/>
      <c r="O67" s="195">
        <f t="shared" ref="O67:O74" si="13">L67*M67+N67</f>
        <v>0</v>
      </c>
      <c r="P67" s="196">
        <f>sum(O67:O73)</f>
        <v>0</v>
      </c>
      <c r="Q67" s="203"/>
      <c r="R67" s="198">
        <f t="shared" ref="R67:R73" si="14">C67-L67</f>
        <v>1</v>
      </c>
      <c r="S67" s="199"/>
      <c r="T67" s="199"/>
      <c r="U67" s="199"/>
      <c r="V67" s="199"/>
      <c r="W67" s="196">
        <f>sum(V67:V73)</f>
        <v>0</v>
      </c>
      <c r="X67" s="199"/>
    </row>
    <row r="68">
      <c r="A68" s="189">
        <v>2.0</v>
      </c>
      <c r="B68" s="190" t="s">
        <v>1434</v>
      </c>
      <c r="C68" s="189">
        <v>4.0</v>
      </c>
      <c r="D68" s="189" t="s">
        <v>1190</v>
      </c>
      <c r="E68" s="191">
        <v>323900.0</v>
      </c>
      <c r="F68" s="192" t="s">
        <v>1435</v>
      </c>
      <c r="G68" s="191">
        <v>500500.0</v>
      </c>
      <c r="H68" s="192" t="s">
        <v>1436</v>
      </c>
      <c r="I68" s="191">
        <v>388200.0</v>
      </c>
      <c r="J68" s="192" t="s">
        <v>1437</v>
      </c>
      <c r="K68" s="207" t="s">
        <v>1438</v>
      </c>
      <c r="L68" s="194"/>
      <c r="M68" s="191"/>
      <c r="N68" s="191"/>
      <c r="O68" s="195">
        <f t="shared" si="13"/>
        <v>0</v>
      </c>
      <c r="P68" s="200"/>
      <c r="Q68" s="197"/>
      <c r="R68" s="198">
        <f t="shared" si="14"/>
        <v>4</v>
      </c>
      <c r="S68" s="199"/>
      <c r="T68" s="199"/>
      <c r="U68" s="199"/>
      <c r="V68" s="199"/>
      <c r="W68" s="200"/>
      <c r="X68" s="199"/>
    </row>
    <row r="69">
      <c r="A69" s="189">
        <v>3.0</v>
      </c>
      <c r="B69" s="190" t="s">
        <v>1439</v>
      </c>
      <c r="C69" s="189">
        <v>2.0</v>
      </c>
      <c r="D69" s="189" t="s">
        <v>1190</v>
      </c>
      <c r="E69" s="191" t="s">
        <v>1440</v>
      </c>
      <c r="F69" s="192" t="s">
        <v>1441</v>
      </c>
      <c r="G69" s="191" t="s">
        <v>1442</v>
      </c>
      <c r="H69" s="192" t="s">
        <v>1443</v>
      </c>
      <c r="I69" s="191" t="s">
        <v>1444</v>
      </c>
      <c r="J69" s="192" t="s">
        <v>1445</v>
      </c>
      <c r="K69" s="193"/>
      <c r="L69" s="202"/>
      <c r="M69" s="195"/>
      <c r="N69" s="195"/>
      <c r="O69" s="195">
        <f t="shared" si="13"/>
        <v>0</v>
      </c>
      <c r="P69" s="200"/>
      <c r="Q69" s="203"/>
      <c r="R69" s="198">
        <f t="shared" si="14"/>
        <v>2</v>
      </c>
      <c r="S69" s="199"/>
      <c r="T69" s="199"/>
      <c r="U69" s="199"/>
      <c r="V69" s="199"/>
      <c r="W69" s="200"/>
      <c r="X69" s="199"/>
    </row>
    <row r="70">
      <c r="A70" s="189">
        <v>4.0</v>
      </c>
      <c r="B70" s="190" t="s">
        <v>1446</v>
      </c>
      <c r="C70" s="189">
        <v>2.0</v>
      </c>
      <c r="D70" s="189" t="s">
        <v>1190</v>
      </c>
      <c r="E70" s="191" t="s">
        <v>1440</v>
      </c>
      <c r="F70" s="192" t="s">
        <v>1447</v>
      </c>
      <c r="G70" s="191" t="s">
        <v>1448</v>
      </c>
      <c r="H70" s="192" t="s">
        <v>1449</v>
      </c>
      <c r="I70" s="191" t="s">
        <v>1450</v>
      </c>
      <c r="J70" s="192" t="s">
        <v>1451</v>
      </c>
      <c r="K70" s="193"/>
      <c r="L70" s="202"/>
      <c r="M70" s="195"/>
      <c r="N70" s="195"/>
      <c r="O70" s="195">
        <f t="shared" si="13"/>
        <v>0</v>
      </c>
      <c r="P70" s="200"/>
      <c r="Q70" s="203"/>
      <c r="R70" s="198">
        <f t="shared" si="14"/>
        <v>2</v>
      </c>
      <c r="S70" s="199"/>
      <c r="T70" s="199"/>
      <c r="U70" s="199"/>
      <c r="V70" s="199"/>
      <c r="W70" s="200"/>
      <c r="X70" s="199"/>
    </row>
    <row r="71">
      <c r="A71" s="227">
        <v>5.0</v>
      </c>
      <c r="B71" s="228" t="s">
        <v>1452</v>
      </c>
      <c r="C71" s="227">
        <v>1.0</v>
      </c>
      <c r="D71" s="227" t="s">
        <v>1190</v>
      </c>
      <c r="E71" s="229" t="s">
        <v>1453</v>
      </c>
      <c r="F71" s="230" t="s">
        <v>1454</v>
      </c>
      <c r="G71" s="229" t="s">
        <v>1224</v>
      </c>
      <c r="H71" s="232"/>
      <c r="I71" s="229" t="s">
        <v>1224</v>
      </c>
      <c r="J71" s="232"/>
      <c r="K71" s="233"/>
      <c r="L71" s="245"/>
      <c r="M71" s="231"/>
      <c r="N71" s="231"/>
      <c r="O71" s="231">
        <f t="shared" si="13"/>
        <v>0</v>
      </c>
      <c r="P71" s="200"/>
      <c r="Q71" s="246"/>
      <c r="R71" s="236">
        <f t="shared" si="14"/>
        <v>1</v>
      </c>
      <c r="S71" s="237"/>
      <c r="T71" s="237"/>
      <c r="U71" s="237"/>
      <c r="V71" s="237"/>
      <c r="W71" s="200"/>
      <c r="X71" s="237"/>
    </row>
    <row r="72">
      <c r="A72" s="189">
        <v>6.0</v>
      </c>
      <c r="B72" s="190" t="s">
        <v>1455</v>
      </c>
      <c r="C72" s="189">
        <v>2.0</v>
      </c>
      <c r="D72" s="189" t="s">
        <v>1190</v>
      </c>
      <c r="E72" s="191" t="s">
        <v>1456</v>
      </c>
      <c r="F72" s="192" t="s">
        <v>1457</v>
      </c>
      <c r="G72" s="191" t="s">
        <v>1458</v>
      </c>
      <c r="H72" s="192" t="s">
        <v>1459</v>
      </c>
      <c r="I72" s="191" t="s">
        <v>1265</v>
      </c>
      <c r="J72" s="192" t="s">
        <v>1460</v>
      </c>
      <c r="K72" s="207" t="s">
        <v>1461</v>
      </c>
      <c r="L72" s="202"/>
      <c r="M72" s="195"/>
      <c r="N72" s="195"/>
      <c r="O72" s="195">
        <f t="shared" si="13"/>
        <v>0</v>
      </c>
      <c r="P72" s="200"/>
      <c r="Q72" s="203"/>
      <c r="R72" s="198">
        <f t="shared" si="14"/>
        <v>2</v>
      </c>
      <c r="S72" s="199"/>
      <c r="T72" s="199"/>
      <c r="U72" s="199"/>
      <c r="V72" s="199"/>
      <c r="W72" s="200"/>
      <c r="X72" s="199"/>
    </row>
    <row r="73">
      <c r="A73" s="189">
        <v>7.0</v>
      </c>
      <c r="B73" s="190" t="s">
        <v>1462</v>
      </c>
      <c r="C73" s="189">
        <v>8.0</v>
      </c>
      <c r="D73" s="189" t="s">
        <v>1190</v>
      </c>
      <c r="E73" s="191" t="s">
        <v>1463</v>
      </c>
      <c r="F73" s="192" t="s">
        <v>1464</v>
      </c>
      <c r="G73" s="191" t="s">
        <v>1465</v>
      </c>
      <c r="H73" s="192" t="s">
        <v>1466</v>
      </c>
      <c r="I73" s="191" t="s">
        <v>1467</v>
      </c>
      <c r="J73" s="192" t="s">
        <v>1468</v>
      </c>
      <c r="K73" s="193"/>
      <c r="L73" s="202"/>
      <c r="M73" s="195"/>
      <c r="N73" s="195"/>
      <c r="O73" s="195">
        <f t="shared" si="13"/>
        <v>0</v>
      </c>
      <c r="P73" s="200"/>
      <c r="Q73" s="203"/>
      <c r="R73" s="198">
        <f t="shared" si="14"/>
        <v>8</v>
      </c>
      <c r="S73" s="199"/>
      <c r="T73" s="199"/>
      <c r="U73" s="199"/>
      <c r="V73" s="199"/>
      <c r="W73" s="183"/>
      <c r="X73" s="199"/>
    </row>
    <row r="74">
      <c r="A74" s="189">
        <v>8.0</v>
      </c>
      <c r="B74" s="190" t="s">
        <v>1469</v>
      </c>
      <c r="C74" s="189">
        <v>1.0</v>
      </c>
      <c r="D74" s="189" t="s">
        <v>1341</v>
      </c>
      <c r="E74" s="191">
        <v>85500.0</v>
      </c>
      <c r="F74" s="192" t="s">
        <v>1470</v>
      </c>
      <c r="G74" s="191">
        <v>96000.0</v>
      </c>
      <c r="H74" s="192" t="s">
        <v>1471</v>
      </c>
      <c r="I74" s="191">
        <v>80000.0</v>
      </c>
      <c r="J74" s="192" t="s">
        <v>1472</v>
      </c>
      <c r="K74" s="207" t="s">
        <v>1473</v>
      </c>
      <c r="L74" s="202"/>
      <c r="M74" s="195"/>
      <c r="N74" s="195"/>
      <c r="O74" s="195">
        <f t="shared" si="13"/>
        <v>0</v>
      </c>
      <c r="P74" s="183"/>
      <c r="Q74" s="203"/>
      <c r="R74" s="198"/>
      <c r="S74" s="199"/>
      <c r="T74" s="199"/>
      <c r="U74" s="199"/>
      <c r="V74" s="199"/>
      <c r="W74" s="199"/>
      <c r="X74" s="199"/>
    </row>
    <row r="75">
      <c r="A75" s="247"/>
      <c r="B75" s="199"/>
      <c r="C75" s="247"/>
      <c r="D75" s="247"/>
      <c r="E75" s="195"/>
      <c r="F75" s="201"/>
      <c r="G75" s="195"/>
      <c r="H75" s="201"/>
      <c r="I75" s="195"/>
      <c r="J75" s="201"/>
      <c r="K75" s="193"/>
      <c r="L75" s="202"/>
      <c r="M75" s="195"/>
      <c r="N75" s="195"/>
      <c r="O75" s="195"/>
      <c r="P75" s="195"/>
      <c r="Q75" s="203"/>
      <c r="R75" s="198"/>
      <c r="S75" s="199"/>
      <c r="T75" s="199"/>
      <c r="U75" s="199"/>
      <c r="V75" s="199"/>
      <c r="W75" s="199"/>
      <c r="X75" s="199"/>
    </row>
    <row r="76">
      <c r="A76" s="247"/>
      <c r="B76" s="199"/>
      <c r="C76" s="247"/>
      <c r="D76" s="247"/>
      <c r="E76" s="195"/>
      <c r="F76" s="201"/>
      <c r="G76" s="195"/>
      <c r="H76" s="201"/>
      <c r="I76" s="195"/>
      <c r="J76" s="201"/>
      <c r="K76" s="193"/>
      <c r="L76" s="202"/>
      <c r="M76" s="195"/>
      <c r="N76" s="195"/>
      <c r="O76" s="195"/>
      <c r="P76" s="195"/>
      <c r="Q76" s="203"/>
      <c r="R76" s="198"/>
      <c r="S76" s="199"/>
      <c r="T76" s="199"/>
      <c r="U76" s="199"/>
      <c r="V76" s="199"/>
      <c r="W76" s="199"/>
      <c r="X76" s="199"/>
    </row>
    <row r="77">
      <c r="A77" s="247"/>
      <c r="B77" s="199"/>
      <c r="C77" s="247"/>
      <c r="D77" s="247"/>
      <c r="E77" s="195"/>
      <c r="F77" s="201"/>
      <c r="G77" s="195"/>
      <c r="H77" s="201"/>
      <c r="I77" s="195"/>
      <c r="J77" s="201"/>
      <c r="K77" s="193"/>
      <c r="L77" s="202"/>
      <c r="M77" s="195"/>
      <c r="N77" s="195"/>
      <c r="O77" s="195"/>
      <c r="P77" s="195"/>
      <c r="Q77" s="203"/>
      <c r="R77" s="198"/>
      <c r="S77" s="199"/>
      <c r="T77" s="199"/>
      <c r="U77" s="199"/>
      <c r="V77" s="199"/>
      <c r="W77" s="199"/>
      <c r="X77" s="199"/>
    </row>
    <row r="78">
      <c r="A78" s="247"/>
      <c r="B78" s="199"/>
      <c r="C78" s="247"/>
      <c r="D78" s="247"/>
      <c r="E78" s="195"/>
      <c r="F78" s="201"/>
      <c r="G78" s="195"/>
      <c r="H78" s="201"/>
      <c r="I78" s="195"/>
      <c r="J78" s="201"/>
      <c r="K78" s="193"/>
      <c r="L78" s="202"/>
      <c r="M78" s="195"/>
      <c r="N78" s="195"/>
      <c r="O78" s="195"/>
      <c r="P78" s="195"/>
      <c r="Q78" s="203"/>
      <c r="R78" s="198"/>
      <c r="S78" s="199"/>
      <c r="T78" s="199"/>
      <c r="U78" s="199"/>
      <c r="V78" s="199"/>
      <c r="W78" s="199"/>
      <c r="X78" s="199"/>
    </row>
    <row r="79">
      <c r="A79" s="247"/>
      <c r="B79" s="199"/>
      <c r="C79" s="247"/>
      <c r="D79" s="247"/>
      <c r="E79" s="195"/>
      <c r="F79" s="201"/>
      <c r="G79" s="195"/>
      <c r="H79" s="201"/>
      <c r="I79" s="195"/>
      <c r="J79" s="201"/>
      <c r="K79" s="193"/>
      <c r="L79" s="202"/>
      <c r="M79" s="195"/>
      <c r="N79" s="195"/>
      <c r="O79" s="195"/>
      <c r="P79" s="195"/>
      <c r="Q79" s="203"/>
      <c r="R79" s="198"/>
      <c r="S79" s="199"/>
      <c r="T79" s="199"/>
      <c r="U79" s="199"/>
      <c r="V79" s="199"/>
      <c r="W79" s="199"/>
      <c r="X79" s="199"/>
    </row>
    <row r="80">
      <c r="A80" s="247"/>
      <c r="B80" s="199"/>
      <c r="C80" s="247"/>
      <c r="D80" s="247"/>
      <c r="E80" s="195"/>
      <c r="F80" s="201"/>
      <c r="G80" s="195"/>
      <c r="H80" s="201"/>
      <c r="I80" s="195"/>
      <c r="J80" s="201"/>
      <c r="K80" s="193"/>
      <c r="L80" s="202"/>
      <c r="M80" s="195"/>
      <c r="N80" s="195"/>
      <c r="O80" s="195"/>
      <c r="P80" s="195"/>
      <c r="Q80" s="203"/>
      <c r="R80" s="198"/>
      <c r="S80" s="199"/>
      <c r="T80" s="199"/>
      <c r="U80" s="199"/>
      <c r="V80" s="199"/>
      <c r="W80" s="199"/>
      <c r="X80" s="199"/>
    </row>
    <row r="81">
      <c r="A81" s="247"/>
      <c r="B81" s="199"/>
      <c r="C81" s="247"/>
      <c r="D81" s="247"/>
      <c r="E81" s="195"/>
      <c r="F81" s="201"/>
      <c r="G81" s="195"/>
      <c r="H81" s="201"/>
      <c r="I81" s="195"/>
      <c r="J81" s="201"/>
      <c r="K81" s="193"/>
      <c r="L81" s="202"/>
      <c r="M81" s="195"/>
      <c r="N81" s="195"/>
      <c r="O81" s="195"/>
      <c r="P81" s="195"/>
      <c r="Q81" s="203"/>
      <c r="R81" s="198"/>
      <c r="S81" s="199"/>
      <c r="T81" s="199"/>
      <c r="U81" s="199"/>
      <c r="V81" s="199"/>
      <c r="W81" s="199"/>
      <c r="X81" s="199"/>
    </row>
    <row r="82">
      <c r="A82" s="247"/>
      <c r="B82" s="199"/>
      <c r="C82" s="247"/>
      <c r="D82" s="247"/>
      <c r="E82" s="195"/>
      <c r="F82" s="201"/>
      <c r="G82" s="195"/>
      <c r="H82" s="201"/>
      <c r="I82" s="195"/>
      <c r="J82" s="201"/>
      <c r="K82" s="193"/>
      <c r="L82" s="202"/>
      <c r="M82" s="195"/>
      <c r="N82" s="195"/>
      <c r="O82" s="195"/>
      <c r="P82" s="195"/>
      <c r="Q82" s="203"/>
      <c r="R82" s="198"/>
      <c r="S82" s="199"/>
      <c r="T82" s="199"/>
      <c r="U82" s="199"/>
      <c r="V82" s="199"/>
      <c r="W82" s="199"/>
      <c r="X82" s="199"/>
    </row>
    <row r="83">
      <c r="A83" s="247"/>
      <c r="B83" s="199"/>
      <c r="C83" s="247"/>
      <c r="D83" s="247"/>
      <c r="E83" s="195"/>
      <c r="F83" s="201"/>
      <c r="G83" s="195"/>
      <c r="H83" s="201"/>
      <c r="I83" s="195"/>
      <c r="J83" s="201"/>
      <c r="K83" s="193"/>
      <c r="L83" s="202"/>
      <c r="M83" s="195"/>
      <c r="N83" s="195"/>
      <c r="O83" s="195"/>
      <c r="P83" s="195"/>
      <c r="Q83" s="203"/>
      <c r="R83" s="198"/>
      <c r="S83" s="199"/>
      <c r="T83" s="199"/>
      <c r="U83" s="199"/>
      <c r="V83" s="199"/>
      <c r="W83" s="199"/>
      <c r="X83" s="199"/>
    </row>
    <row r="84">
      <c r="A84" s="247"/>
      <c r="B84" s="199"/>
      <c r="C84" s="247"/>
      <c r="D84" s="247"/>
      <c r="E84" s="195"/>
      <c r="F84" s="201"/>
      <c r="G84" s="195"/>
      <c r="H84" s="201"/>
      <c r="I84" s="195"/>
      <c r="J84" s="201"/>
      <c r="K84" s="193"/>
      <c r="L84" s="202"/>
      <c r="M84" s="195"/>
      <c r="N84" s="195"/>
      <c r="O84" s="195"/>
      <c r="P84" s="195"/>
      <c r="Q84" s="203"/>
      <c r="R84" s="198"/>
      <c r="S84" s="199"/>
      <c r="T84" s="199"/>
      <c r="U84" s="199"/>
      <c r="V84" s="199"/>
      <c r="W84" s="199"/>
      <c r="X84" s="199"/>
    </row>
    <row r="85">
      <c r="A85" s="247"/>
      <c r="B85" s="199"/>
      <c r="C85" s="247"/>
      <c r="D85" s="247"/>
      <c r="E85" s="195"/>
      <c r="F85" s="201"/>
      <c r="G85" s="195"/>
      <c r="H85" s="201"/>
      <c r="I85" s="195"/>
      <c r="J85" s="201"/>
      <c r="K85" s="193"/>
      <c r="L85" s="202"/>
      <c r="M85" s="195"/>
      <c r="N85" s="195"/>
      <c r="O85" s="195"/>
      <c r="P85" s="195"/>
      <c r="Q85" s="203"/>
      <c r="R85" s="198"/>
      <c r="S85" s="199"/>
      <c r="T85" s="199"/>
      <c r="U85" s="199"/>
      <c r="V85" s="199"/>
      <c r="W85" s="199"/>
      <c r="X85" s="199"/>
    </row>
    <row r="86">
      <c r="A86" s="247"/>
      <c r="B86" s="199"/>
      <c r="C86" s="247"/>
      <c r="D86" s="247"/>
      <c r="E86" s="195"/>
      <c r="F86" s="201"/>
      <c r="G86" s="195"/>
      <c r="H86" s="201"/>
      <c r="I86" s="195"/>
      <c r="J86" s="201"/>
      <c r="K86" s="193"/>
      <c r="L86" s="202"/>
      <c r="M86" s="195"/>
      <c r="N86" s="195"/>
      <c r="O86" s="195"/>
      <c r="P86" s="195"/>
      <c r="Q86" s="203"/>
      <c r="R86" s="198"/>
      <c r="S86" s="199"/>
      <c r="T86" s="199"/>
      <c r="U86" s="199"/>
      <c r="V86" s="199"/>
      <c r="W86" s="199"/>
      <c r="X86" s="199"/>
    </row>
    <row r="87">
      <c r="A87" s="247"/>
      <c r="B87" s="199"/>
      <c r="C87" s="247"/>
      <c r="D87" s="247"/>
      <c r="E87" s="195"/>
      <c r="F87" s="201"/>
      <c r="G87" s="195"/>
      <c r="H87" s="201"/>
      <c r="I87" s="195"/>
      <c r="J87" s="201"/>
      <c r="K87" s="193"/>
      <c r="L87" s="202"/>
      <c r="M87" s="195"/>
      <c r="N87" s="195"/>
      <c r="O87" s="195"/>
      <c r="P87" s="195"/>
      <c r="Q87" s="203"/>
      <c r="R87" s="198"/>
      <c r="S87" s="199"/>
      <c r="T87" s="199"/>
      <c r="U87" s="199"/>
      <c r="V87" s="199"/>
      <c r="W87" s="199"/>
      <c r="X87" s="199"/>
    </row>
    <row r="88">
      <c r="A88" s="247"/>
      <c r="B88" s="199"/>
      <c r="C88" s="247"/>
      <c r="D88" s="247"/>
      <c r="E88" s="195"/>
      <c r="F88" s="201"/>
      <c r="G88" s="195"/>
      <c r="H88" s="201"/>
      <c r="I88" s="195"/>
      <c r="J88" s="201"/>
      <c r="K88" s="193"/>
      <c r="L88" s="202"/>
      <c r="M88" s="195"/>
      <c r="N88" s="195"/>
      <c r="O88" s="195"/>
      <c r="P88" s="195"/>
      <c r="Q88" s="203"/>
      <c r="R88" s="198"/>
      <c r="S88" s="199"/>
      <c r="T88" s="199"/>
      <c r="U88" s="199"/>
      <c r="V88" s="199"/>
      <c r="W88" s="199"/>
      <c r="X88" s="199"/>
    </row>
    <row r="89">
      <c r="A89" s="247"/>
      <c r="B89" s="199"/>
      <c r="C89" s="247"/>
      <c r="D89" s="247"/>
      <c r="E89" s="195"/>
      <c r="F89" s="201"/>
      <c r="G89" s="195"/>
      <c r="H89" s="201"/>
      <c r="I89" s="195"/>
      <c r="J89" s="201"/>
      <c r="K89" s="193"/>
      <c r="L89" s="202"/>
      <c r="M89" s="195"/>
      <c r="N89" s="195"/>
      <c r="O89" s="195"/>
      <c r="P89" s="195"/>
      <c r="Q89" s="203"/>
      <c r="R89" s="198"/>
      <c r="S89" s="199"/>
      <c r="T89" s="199"/>
      <c r="U89" s="199"/>
      <c r="V89" s="199"/>
      <c r="W89" s="199"/>
      <c r="X89" s="199"/>
    </row>
    <row r="90">
      <c r="A90" s="247"/>
      <c r="B90" s="199"/>
      <c r="C90" s="247"/>
      <c r="D90" s="247"/>
      <c r="E90" s="195"/>
      <c r="F90" s="201"/>
      <c r="G90" s="195"/>
      <c r="H90" s="201"/>
      <c r="I90" s="195"/>
      <c r="J90" s="201"/>
      <c r="K90" s="193"/>
      <c r="L90" s="202"/>
      <c r="M90" s="195"/>
      <c r="N90" s="195"/>
      <c r="O90" s="195"/>
      <c r="P90" s="195"/>
      <c r="Q90" s="203"/>
      <c r="R90" s="198"/>
      <c r="S90" s="199"/>
      <c r="T90" s="199"/>
      <c r="U90" s="199"/>
      <c r="V90" s="199"/>
      <c r="W90" s="199"/>
      <c r="X90" s="199"/>
    </row>
    <row r="91">
      <c r="A91" s="247"/>
      <c r="B91" s="199"/>
      <c r="C91" s="247"/>
      <c r="D91" s="247"/>
      <c r="E91" s="195"/>
      <c r="F91" s="201"/>
      <c r="G91" s="195"/>
      <c r="H91" s="201"/>
      <c r="I91" s="195"/>
      <c r="J91" s="201"/>
      <c r="K91" s="193"/>
      <c r="L91" s="202"/>
      <c r="M91" s="195"/>
      <c r="N91" s="195"/>
      <c r="O91" s="195"/>
      <c r="P91" s="195"/>
      <c r="Q91" s="203"/>
      <c r="R91" s="198"/>
      <c r="S91" s="199"/>
      <c r="T91" s="199"/>
      <c r="U91" s="199"/>
      <c r="V91" s="199"/>
      <c r="W91" s="199"/>
      <c r="X91" s="199"/>
    </row>
    <row r="92">
      <c r="A92" s="247"/>
      <c r="B92" s="199"/>
      <c r="C92" s="247"/>
      <c r="D92" s="247"/>
      <c r="E92" s="195"/>
      <c r="F92" s="201"/>
      <c r="G92" s="195"/>
      <c r="H92" s="201"/>
      <c r="I92" s="195"/>
      <c r="J92" s="201"/>
      <c r="K92" s="193"/>
      <c r="L92" s="202"/>
      <c r="M92" s="195"/>
      <c r="N92" s="195"/>
      <c r="O92" s="195"/>
      <c r="P92" s="195"/>
      <c r="Q92" s="203"/>
      <c r="R92" s="198"/>
      <c r="S92" s="199"/>
      <c r="T92" s="199"/>
      <c r="U92" s="199"/>
      <c r="V92" s="199"/>
      <c r="W92" s="199"/>
      <c r="X92" s="199"/>
    </row>
    <row r="93">
      <c r="A93" s="247"/>
      <c r="B93" s="199"/>
      <c r="C93" s="247"/>
      <c r="D93" s="247"/>
      <c r="E93" s="195"/>
      <c r="F93" s="201"/>
      <c r="G93" s="195"/>
      <c r="H93" s="201"/>
      <c r="I93" s="195"/>
      <c r="J93" s="201"/>
      <c r="K93" s="193"/>
      <c r="L93" s="202"/>
      <c r="M93" s="195"/>
      <c r="N93" s="195"/>
      <c r="O93" s="195"/>
      <c r="P93" s="195"/>
      <c r="Q93" s="203"/>
      <c r="R93" s="198"/>
      <c r="S93" s="199"/>
      <c r="T93" s="199"/>
      <c r="U93" s="199"/>
      <c r="V93" s="199"/>
      <c r="W93" s="199"/>
      <c r="X93" s="199"/>
    </row>
    <row r="94">
      <c r="A94" s="247"/>
      <c r="B94" s="199"/>
      <c r="C94" s="247"/>
      <c r="D94" s="247"/>
      <c r="E94" s="195"/>
      <c r="F94" s="201"/>
      <c r="G94" s="195"/>
      <c r="H94" s="201"/>
      <c r="I94" s="195"/>
      <c r="J94" s="201"/>
      <c r="K94" s="193"/>
      <c r="L94" s="202"/>
      <c r="M94" s="195"/>
      <c r="N94" s="195"/>
      <c r="O94" s="195"/>
      <c r="P94" s="195"/>
      <c r="Q94" s="203"/>
      <c r="R94" s="198"/>
      <c r="S94" s="199"/>
      <c r="T94" s="199"/>
      <c r="U94" s="199"/>
      <c r="V94" s="199"/>
      <c r="W94" s="199"/>
      <c r="X94" s="199"/>
    </row>
    <row r="95">
      <c r="A95" s="247"/>
      <c r="B95" s="199"/>
      <c r="C95" s="247"/>
      <c r="D95" s="247"/>
      <c r="E95" s="195"/>
      <c r="F95" s="201"/>
      <c r="G95" s="195"/>
      <c r="H95" s="201"/>
      <c r="I95" s="195"/>
      <c r="J95" s="201"/>
      <c r="K95" s="193"/>
      <c r="L95" s="202"/>
      <c r="M95" s="195"/>
      <c r="N95" s="195"/>
      <c r="O95" s="195"/>
      <c r="P95" s="195"/>
      <c r="Q95" s="203"/>
      <c r="R95" s="198"/>
      <c r="S95" s="199"/>
      <c r="T95" s="199"/>
      <c r="U95" s="199"/>
      <c r="V95" s="199"/>
      <c r="W95" s="199"/>
      <c r="X95" s="199"/>
    </row>
    <row r="96">
      <c r="A96" s="247"/>
      <c r="B96" s="199"/>
      <c r="C96" s="247"/>
      <c r="D96" s="247"/>
      <c r="E96" s="195"/>
      <c r="F96" s="201"/>
      <c r="G96" s="195"/>
      <c r="H96" s="201"/>
      <c r="I96" s="195"/>
      <c r="J96" s="201"/>
      <c r="K96" s="193"/>
      <c r="L96" s="202"/>
      <c r="M96" s="195"/>
      <c r="N96" s="195"/>
      <c r="O96" s="195"/>
      <c r="P96" s="195"/>
      <c r="Q96" s="203"/>
      <c r="R96" s="198"/>
      <c r="S96" s="199"/>
      <c r="T96" s="199"/>
      <c r="U96" s="199"/>
      <c r="V96" s="199"/>
      <c r="W96" s="199"/>
      <c r="X96" s="199"/>
    </row>
    <row r="97">
      <c r="A97" s="247"/>
      <c r="B97" s="199"/>
      <c r="C97" s="247"/>
      <c r="D97" s="247"/>
      <c r="E97" s="195"/>
      <c r="F97" s="201"/>
      <c r="G97" s="195"/>
      <c r="H97" s="201"/>
      <c r="I97" s="195"/>
      <c r="J97" s="201"/>
      <c r="K97" s="193"/>
      <c r="L97" s="202"/>
      <c r="M97" s="195"/>
      <c r="N97" s="195"/>
      <c r="O97" s="195"/>
      <c r="P97" s="195"/>
      <c r="Q97" s="203"/>
      <c r="R97" s="198"/>
      <c r="S97" s="199"/>
      <c r="T97" s="199"/>
      <c r="U97" s="199"/>
      <c r="V97" s="199"/>
      <c r="W97" s="199"/>
      <c r="X97" s="199"/>
    </row>
    <row r="98">
      <c r="A98" s="247"/>
      <c r="B98" s="199"/>
      <c r="C98" s="247"/>
      <c r="D98" s="247"/>
      <c r="E98" s="195"/>
      <c r="F98" s="201"/>
      <c r="G98" s="195"/>
      <c r="H98" s="201"/>
      <c r="I98" s="195"/>
      <c r="J98" s="201"/>
      <c r="K98" s="193"/>
      <c r="L98" s="202"/>
      <c r="M98" s="195"/>
      <c r="N98" s="195"/>
      <c r="O98" s="195"/>
      <c r="P98" s="195"/>
      <c r="Q98" s="203"/>
      <c r="R98" s="198"/>
      <c r="S98" s="199"/>
      <c r="T98" s="199"/>
      <c r="U98" s="199"/>
      <c r="V98" s="199"/>
      <c r="W98" s="199"/>
      <c r="X98" s="199"/>
    </row>
    <row r="99">
      <c r="A99" s="247"/>
      <c r="B99" s="199"/>
      <c r="C99" s="247"/>
      <c r="D99" s="247"/>
      <c r="E99" s="195"/>
      <c r="F99" s="201"/>
      <c r="G99" s="195"/>
      <c r="H99" s="201"/>
      <c r="I99" s="195"/>
      <c r="J99" s="201"/>
      <c r="K99" s="193"/>
      <c r="L99" s="202"/>
      <c r="M99" s="195"/>
      <c r="N99" s="195"/>
      <c r="O99" s="195"/>
      <c r="P99" s="195"/>
      <c r="Q99" s="203"/>
      <c r="R99" s="198"/>
      <c r="S99" s="199"/>
      <c r="T99" s="199"/>
      <c r="U99" s="199"/>
      <c r="V99" s="199"/>
      <c r="W99" s="199"/>
      <c r="X99" s="199"/>
    </row>
    <row r="100">
      <c r="A100" s="247"/>
      <c r="B100" s="199"/>
      <c r="C100" s="247"/>
      <c r="D100" s="247"/>
      <c r="E100" s="195"/>
      <c r="F100" s="201"/>
      <c r="G100" s="195"/>
      <c r="H100" s="201"/>
      <c r="I100" s="195"/>
      <c r="J100" s="201"/>
      <c r="K100" s="193"/>
      <c r="L100" s="202"/>
      <c r="M100" s="195"/>
      <c r="N100" s="195"/>
      <c r="O100" s="195"/>
      <c r="P100" s="195"/>
      <c r="Q100" s="203"/>
      <c r="R100" s="198"/>
      <c r="S100" s="199"/>
      <c r="T100" s="199"/>
      <c r="U100" s="199"/>
      <c r="V100" s="199"/>
      <c r="W100" s="199"/>
      <c r="X100" s="199"/>
    </row>
    <row r="101">
      <c r="A101" s="247"/>
      <c r="B101" s="199"/>
      <c r="C101" s="247"/>
      <c r="D101" s="247"/>
      <c r="E101" s="195"/>
      <c r="F101" s="201"/>
      <c r="G101" s="195"/>
      <c r="H101" s="201"/>
      <c r="I101" s="195"/>
      <c r="J101" s="201"/>
      <c r="K101" s="193"/>
      <c r="L101" s="202"/>
      <c r="M101" s="195"/>
      <c r="N101" s="195"/>
      <c r="O101" s="195"/>
      <c r="P101" s="195"/>
      <c r="Q101" s="203"/>
      <c r="R101" s="198"/>
      <c r="S101" s="199"/>
      <c r="T101" s="199"/>
      <c r="U101" s="199"/>
      <c r="V101" s="199"/>
      <c r="W101" s="199"/>
      <c r="X101" s="199"/>
    </row>
    <row r="102">
      <c r="A102" s="247"/>
      <c r="B102" s="199"/>
      <c r="C102" s="247"/>
      <c r="D102" s="247"/>
      <c r="E102" s="195"/>
      <c r="F102" s="201"/>
      <c r="G102" s="195"/>
      <c r="H102" s="201"/>
      <c r="I102" s="195"/>
      <c r="J102" s="201"/>
      <c r="K102" s="193"/>
      <c r="L102" s="202"/>
      <c r="M102" s="195"/>
      <c r="N102" s="195"/>
      <c r="O102" s="195"/>
      <c r="P102" s="195"/>
      <c r="Q102" s="203"/>
      <c r="R102" s="198"/>
      <c r="S102" s="199"/>
      <c r="T102" s="199"/>
      <c r="U102" s="199"/>
      <c r="V102" s="199"/>
      <c r="W102" s="199"/>
      <c r="X102" s="199"/>
    </row>
    <row r="103">
      <c r="A103" s="247"/>
      <c r="B103" s="199"/>
      <c r="C103" s="247"/>
      <c r="D103" s="247"/>
      <c r="E103" s="195"/>
      <c r="F103" s="201"/>
      <c r="G103" s="195"/>
      <c r="H103" s="201"/>
      <c r="I103" s="195"/>
      <c r="J103" s="201"/>
      <c r="K103" s="193"/>
      <c r="L103" s="202"/>
      <c r="M103" s="195"/>
      <c r="N103" s="195"/>
      <c r="O103" s="195"/>
      <c r="P103" s="195"/>
      <c r="Q103" s="203"/>
      <c r="R103" s="198"/>
      <c r="S103" s="199"/>
      <c r="T103" s="199"/>
      <c r="U103" s="199"/>
      <c r="V103" s="199"/>
      <c r="W103" s="199"/>
      <c r="X103" s="199"/>
    </row>
    <row r="104">
      <c r="A104" s="247"/>
      <c r="B104" s="199"/>
      <c r="C104" s="247"/>
      <c r="D104" s="247"/>
      <c r="E104" s="195"/>
      <c r="F104" s="201"/>
      <c r="G104" s="195"/>
      <c r="H104" s="201"/>
      <c r="I104" s="195"/>
      <c r="J104" s="201"/>
      <c r="K104" s="193"/>
      <c r="L104" s="202"/>
      <c r="M104" s="195"/>
      <c r="N104" s="195"/>
      <c r="O104" s="195"/>
      <c r="P104" s="195"/>
      <c r="Q104" s="203"/>
      <c r="R104" s="198"/>
      <c r="S104" s="199"/>
      <c r="T104" s="199"/>
      <c r="U104" s="199"/>
      <c r="V104" s="199"/>
      <c r="W104" s="199"/>
      <c r="X104" s="199"/>
    </row>
    <row r="105">
      <c r="A105" s="247"/>
      <c r="B105" s="199"/>
      <c r="C105" s="247"/>
      <c r="D105" s="247"/>
      <c r="E105" s="195"/>
      <c r="F105" s="201"/>
      <c r="G105" s="195"/>
      <c r="H105" s="201"/>
      <c r="I105" s="195"/>
      <c r="J105" s="201"/>
      <c r="K105" s="193"/>
      <c r="L105" s="202"/>
      <c r="M105" s="195"/>
      <c r="N105" s="195"/>
      <c r="O105" s="195"/>
      <c r="P105" s="195"/>
      <c r="Q105" s="203"/>
      <c r="R105" s="198"/>
      <c r="S105" s="199"/>
      <c r="T105" s="199"/>
      <c r="U105" s="199"/>
      <c r="V105" s="199"/>
      <c r="W105" s="199"/>
      <c r="X105" s="199"/>
    </row>
    <row r="106">
      <c r="A106" s="247"/>
      <c r="B106" s="199"/>
      <c r="C106" s="247"/>
      <c r="D106" s="247"/>
      <c r="E106" s="195"/>
      <c r="F106" s="201"/>
      <c r="G106" s="195"/>
      <c r="H106" s="201"/>
      <c r="I106" s="195"/>
      <c r="J106" s="201"/>
      <c r="K106" s="193"/>
      <c r="L106" s="202"/>
      <c r="M106" s="195"/>
      <c r="N106" s="195"/>
      <c r="O106" s="195"/>
      <c r="P106" s="195"/>
      <c r="Q106" s="203"/>
      <c r="R106" s="198"/>
      <c r="S106" s="199"/>
      <c r="T106" s="199"/>
      <c r="U106" s="199"/>
      <c r="V106" s="199"/>
      <c r="W106" s="199"/>
      <c r="X106" s="199"/>
    </row>
    <row r="107">
      <c r="A107" s="247"/>
      <c r="B107" s="199"/>
      <c r="C107" s="247"/>
      <c r="D107" s="247"/>
      <c r="E107" s="195"/>
      <c r="F107" s="201"/>
      <c r="G107" s="195"/>
      <c r="H107" s="201"/>
      <c r="I107" s="195"/>
      <c r="J107" s="201"/>
      <c r="K107" s="193"/>
      <c r="L107" s="202"/>
      <c r="M107" s="195"/>
      <c r="N107" s="195"/>
      <c r="O107" s="195"/>
      <c r="P107" s="195"/>
      <c r="Q107" s="203"/>
      <c r="R107" s="198"/>
      <c r="S107" s="199"/>
      <c r="T107" s="199"/>
      <c r="U107" s="199"/>
      <c r="V107" s="199"/>
      <c r="W107" s="199"/>
      <c r="X107" s="199"/>
    </row>
    <row r="108">
      <c r="A108" s="247"/>
      <c r="B108" s="199"/>
      <c r="C108" s="247"/>
      <c r="D108" s="247"/>
      <c r="E108" s="195"/>
      <c r="F108" s="201"/>
      <c r="G108" s="195"/>
      <c r="H108" s="201"/>
      <c r="I108" s="195"/>
      <c r="J108" s="201"/>
      <c r="K108" s="193"/>
      <c r="L108" s="202"/>
      <c r="M108" s="195"/>
      <c r="N108" s="195"/>
      <c r="O108" s="195"/>
      <c r="P108" s="195"/>
      <c r="Q108" s="203"/>
      <c r="R108" s="198"/>
      <c r="S108" s="199"/>
      <c r="T108" s="199"/>
      <c r="U108" s="199"/>
      <c r="V108" s="199"/>
      <c r="W108" s="199"/>
      <c r="X108" s="199"/>
    </row>
    <row r="109">
      <c r="A109" s="247"/>
      <c r="B109" s="199"/>
      <c r="C109" s="247"/>
      <c r="D109" s="247"/>
      <c r="E109" s="195"/>
      <c r="F109" s="201"/>
      <c r="G109" s="195"/>
      <c r="H109" s="201"/>
      <c r="I109" s="195"/>
      <c r="J109" s="201"/>
      <c r="K109" s="193"/>
      <c r="L109" s="202"/>
      <c r="M109" s="195"/>
      <c r="N109" s="195"/>
      <c r="O109" s="195"/>
      <c r="P109" s="195"/>
      <c r="Q109" s="203"/>
      <c r="R109" s="198"/>
      <c r="S109" s="199"/>
      <c r="T109" s="199"/>
      <c r="U109" s="199"/>
      <c r="V109" s="199"/>
      <c r="W109" s="199"/>
      <c r="X109" s="199"/>
    </row>
    <row r="110">
      <c r="A110" s="247"/>
      <c r="B110" s="199"/>
      <c r="C110" s="247"/>
      <c r="D110" s="247"/>
      <c r="E110" s="195"/>
      <c r="F110" s="201"/>
      <c r="G110" s="195"/>
      <c r="H110" s="201"/>
      <c r="I110" s="195"/>
      <c r="J110" s="201"/>
      <c r="K110" s="193"/>
      <c r="L110" s="202"/>
      <c r="M110" s="195"/>
      <c r="N110" s="195"/>
      <c r="O110" s="195"/>
      <c r="P110" s="195"/>
      <c r="Q110" s="203"/>
      <c r="R110" s="198"/>
      <c r="S110" s="199"/>
      <c r="T110" s="199"/>
      <c r="U110" s="199"/>
      <c r="V110" s="199"/>
      <c r="W110" s="199"/>
      <c r="X110" s="199"/>
    </row>
    <row r="111">
      <c r="A111" s="247"/>
      <c r="B111" s="199"/>
      <c r="C111" s="247"/>
      <c r="D111" s="247"/>
      <c r="E111" s="195"/>
      <c r="F111" s="201"/>
      <c r="G111" s="195"/>
      <c r="H111" s="201"/>
      <c r="I111" s="195"/>
      <c r="J111" s="201"/>
      <c r="K111" s="193"/>
      <c r="L111" s="202"/>
      <c r="M111" s="195"/>
      <c r="N111" s="195"/>
      <c r="O111" s="195"/>
      <c r="P111" s="195"/>
      <c r="Q111" s="203"/>
      <c r="R111" s="198"/>
      <c r="S111" s="199"/>
      <c r="T111" s="199"/>
      <c r="U111" s="199"/>
      <c r="V111" s="199"/>
      <c r="W111" s="199"/>
      <c r="X111" s="199"/>
    </row>
    <row r="112">
      <c r="A112" s="247"/>
      <c r="B112" s="199"/>
      <c r="C112" s="247"/>
      <c r="D112" s="247"/>
      <c r="E112" s="195"/>
      <c r="F112" s="201"/>
      <c r="G112" s="195"/>
      <c r="H112" s="201"/>
      <c r="I112" s="195"/>
      <c r="J112" s="201"/>
      <c r="K112" s="193"/>
      <c r="L112" s="202"/>
      <c r="M112" s="195"/>
      <c r="N112" s="195"/>
      <c r="O112" s="195"/>
      <c r="P112" s="195"/>
      <c r="Q112" s="203"/>
      <c r="R112" s="198"/>
      <c r="S112" s="199"/>
      <c r="T112" s="199"/>
      <c r="U112" s="199"/>
      <c r="V112" s="199"/>
      <c r="W112" s="199"/>
      <c r="X112" s="199"/>
    </row>
    <row r="113">
      <c r="A113" s="247"/>
      <c r="B113" s="199"/>
      <c r="C113" s="247"/>
      <c r="D113" s="247"/>
      <c r="E113" s="195"/>
      <c r="F113" s="201"/>
      <c r="G113" s="195"/>
      <c r="H113" s="201"/>
      <c r="I113" s="195"/>
      <c r="J113" s="201"/>
      <c r="K113" s="193"/>
      <c r="L113" s="202"/>
      <c r="M113" s="195"/>
      <c r="N113" s="195"/>
      <c r="O113" s="195"/>
      <c r="P113" s="195"/>
      <c r="Q113" s="203"/>
      <c r="R113" s="198"/>
      <c r="S113" s="199"/>
      <c r="T113" s="199"/>
      <c r="U113" s="199"/>
      <c r="V113" s="199"/>
      <c r="W113" s="199"/>
      <c r="X113" s="199"/>
    </row>
    <row r="114">
      <c r="A114" s="247"/>
      <c r="B114" s="199"/>
      <c r="C114" s="247"/>
      <c r="D114" s="247"/>
      <c r="E114" s="195"/>
      <c r="F114" s="201"/>
      <c r="G114" s="195"/>
      <c r="H114" s="201"/>
      <c r="I114" s="195"/>
      <c r="J114" s="201"/>
      <c r="K114" s="193"/>
      <c r="L114" s="202"/>
      <c r="M114" s="195"/>
      <c r="N114" s="195"/>
      <c r="O114" s="195"/>
      <c r="P114" s="195"/>
      <c r="Q114" s="203"/>
      <c r="R114" s="198"/>
      <c r="S114" s="199"/>
      <c r="T114" s="199"/>
      <c r="U114" s="199"/>
      <c r="V114" s="199"/>
      <c r="W114" s="199"/>
      <c r="X114" s="199"/>
    </row>
    <row r="115">
      <c r="A115" s="247"/>
      <c r="B115" s="199"/>
      <c r="C115" s="247"/>
      <c r="D115" s="247"/>
      <c r="E115" s="195"/>
      <c r="F115" s="201"/>
      <c r="G115" s="195"/>
      <c r="H115" s="201"/>
      <c r="I115" s="195"/>
      <c r="J115" s="201"/>
      <c r="K115" s="193"/>
      <c r="L115" s="202"/>
      <c r="M115" s="195"/>
      <c r="N115" s="195"/>
      <c r="O115" s="195"/>
      <c r="P115" s="195"/>
      <c r="Q115" s="203"/>
      <c r="R115" s="198"/>
      <c r="S115" s="199"/>
      <c r="T115" s="199"/>
      <c r="U115" s="199"/>
      <c r="V115" s="199"/>
      <c r="W115" s="199"/>
      <c r="X115" s="199"/>
    </row>
    <row r="116">
      <c r="A116" s="247"/>
      <c r="B116" s="199"/>
      <c r="C116" s="247"/>
      <c r="D116" s="247"/>
      <c r="E116" s="195"/>
      <c r="F116" s="201"/>
      <c r="G116" s="195"/>
      <c r="H116" s="201"/>
      <c r="I116" s="195"/>
      <c r="J116" s="201"/>
      <c r="K116" s="193"/>
      <c r="L116" s="202"/>
      <c r="M116" s="195"/>
      <c r="N116" s="195"/>
      <c r="O116" s="195"/>
      <c r="P116" s="195"/>
      <c r="Q116" s="203"/>
      <c r="R116" s="198"/>
      <c r="S116" s="199"/>
      <c r="T116" s="199"/>
      <c r="U116" s="199"/>
      <c r="V116" s="199"/>
      <c r="W116" s="199"/>
      <c r="X116" s="199"/>
    </row>
    <row r="117">
      <c r="A117" s="247"/>
      <c r="B117" s="199"/>
      <c r="C117" s="247"/>
      <c r="D117" s="247"/>
      <c r="E117" s="195"/>
      <c r="F117" s="201"/>
      <c r="G117" s="195"/>
      <c r="H117" s="201"/>
      <c r="I117" s="195"/>
      <c r="J117" s="201"/>
      <c r="K117" s="193"/>
      <c r="L117" s="202"/>
      <c r="M117" s="195"/>
      <c r="N117" s="195"/>
      <c r="O117" s="195"/>
      <c r="P117" s="195"/>
      <c r="Q117" s="203"/>
      <c r="R117" s="198"/>
      <c r="S117" s="199"/>
      <c r="T117" s="199"/>
      <c r="U117" s="199"/>
      <c r="V117" s="199"/>
      <c r="W117" s="199"/>
      <c r="X117" s="199"/>
    </row>
    <row r="118">
      <c r="A118" s="247"/>
      <c r="B118" s="199"/>
      <c r="C118" s="247"/>
      <c r="D118" s="247"/>
      <c r="E118" s="195"/>
      <c r="F118" s="201"/>
      <c r="G118" s="195"/>
      <c r="H118" s="201"/>
      <c r="I118" s="195"/>
      <c r="J118" s="201"/>
      <c r="K118" s="193"/>
      <c r="L118" s="202"/>
      <c r="M118" s="195"/>
      <c r="N118" s="195"/>
      <c r="O118" s="195"/>
      <c r="P118" s="195"/>
      <c r="Q118" s="203"/>
      <c r="R118" s="198"/>
      <c r="S118" s="199"/>
      <c r="T118" s="199"/>
      <c r="U118" s="199"/>
      <c r="V118" s="199"/>
      <c r="W118" s="199"/>
      <c r="X118" s="199"/>
    </row>
    <row r="119">
      <c r="A119" s="247"/>
      <c r="B119" s="199"/>
      <c r="C119" s="247"/>
      <c r="D119" s="247"/>
      <c r="E119" s="195"/>
      <c r="F119" s="201"/>
      <c r="G119" s="195"/>
      <c r="H119" s="201"/>
      <c r="I119" s="195"/>
      <c r="J119" s="201"/>
      <c r="K119" s="193"/>
      <c r="L119" s="202"/>
      <c r="M119" s="195"/>
      <c r="N119" s="195"/>
      <c r="O119" s="195"/>
      <c r="P119" s="195"/>
      <c r="Q119" s="203"/>
      <c r="R119" s="198"/>
      <c r="S119" s="199"/>
      <c r="T119" s="199"/>
      <c r="U119" s="199"/>
      <c r="V119" s="199"/>
      <c r="W119" s="199"/>
      <c r="X119" s="199"/>
    </row>
    <row r="120">
      <c r="A120" s="247"/>
      <c r="B120" s="199"/>
      <c r="C120" s="247"/>
      <c r="D120" s="247"/>
      <c r="E120" s="195"/>
      <c r="F120" s="201"/>
      <c r="G120" s="195"/>
      <c r="H120" s="201"/>
      <c r="I120" s="195"/>
      <c r="J120" s="201"/>
      <c r="K120" s="193"/>
      <c r="L120" s="202"/>
      <c r="M120" s="195"/>
      <c r="N120" s="195"/>
      <c r="O120" s="195"/>
      <c r="P120" s="195"/>
      <c r="Q120" s="203"/>
      <c r="R120" s="198"/>
      <c r="S120" s="199"/>
      <c r="T120" s="199"/>
      <c r="U120" s="199"/>
      <c r="V120" s="199"/>
      <c r="W120" s="199"/>
      <c r="X120" s="199"/>
    </row>
    <row r="121">
      <c r="A121" s="247"/>
      <c r="B121" s="199"/>
      <c r="C121" s="247"/>
      <c r="D121" s="247"/>
      <c r="E121" s="195"/>
      <c r="F121" s="201"/>
      <c r="G121" s="195"/>
      <c r="H121" s="201"/>
      <c r="I121" s="195"/>
      <c r="J121" s="201"/>
      <c r="K121" s="193"/>
      <c r="L121" s="202"/>
      <c r="M121" s="195"/>
      <c r="N121" s="195"/>
      <c r="O121" s="195"/>
      <c r="P121" s="195"/>
      <c r="Q121" s="203"/>
      <c r="R121" s="198"/>
      <c r="S121" s="199"/>
      <c r="T121" s="199"/>
      <c r="U121" s="199"/>
      <c r="V121" s="199"/>
      <c r="W121" s="199"/>
      <c r="X121" s="199"/>
    </row>
    <row r="122">
      <c r="A122" s="247"/>
      <c r="B122" s="199"/>
      <c r="C122" s="247"/>
      <c r="D122" s="247"/>
      <c r="E122" s="195"/>
      <c r="F122" s="201"/>
      <c r="G122" s="195"/>
      <c r="H122" s="201"/>
      <c r="I122" s="195"/>
      <c r="J122" s="201"/>
      <c r="K122" s="193"/>
      <c r="L122" s="202"/>
      <c r="M122" s="195"/>
      <c r="N122" s="195"/>
      <c r="O122" s="195"/>
      <c r="P122" s="195"/>
      <c r="Q122" s="203"/>
      <c r="R122" s="198"/>
      <c r="S122" s="199"/>
      <c r="T122" s="199"/>
      <c r="U122" s="199"/>
      <c r="V122" s="199"/>
      <c r="W122" s="199"/>
      <c r="X122" s="199"/>
    </row>
    <row r="123">
      <c r="A123" s="247"/>
      <c r="B123" s="199"/>
      <c r="C123" s="247"/>
      <c r="D123" s="247"/>
      <c r="E123" s="195"/>
      <c r="F123" s="201"/>
      <c r="G123" s="195"/>
      <c r="H123" s="201"/>
      <c r="I123" s="195"/>
      <c r="J123" s="201"/>
      <c r="K123" s="193"/>
      <c r="L123" s="202"/>
      <c r="M123" s="195"/>
      <c r="N123" s="195"/>
      <c r="O123" s="195"/>
      <c r="P123" s="195"/>
      <c r="Q123" s="203"/>
      <c r="R123" s="198"/>
      <c r="S123" s="199"/>
      <c r="T123" s="199"/>
      <c r="U123" s="199"/>
      <c r="V123" s="199"/>
      <c r="W123" s="199"/>
      <c r="X123" s="199"/>
    </row>
    <row r="124">
      <c r="A124" s="247"/>
      <c r="B124" s="199"/>
      <c r="C124" s="247"/>
      <c r="D124" s="247"/>
      <c r="E124" s="195"/>
      <c r="F124" s="201"/>
      <c r="G124" s="195"/>
      <c r="H124" s="201"/>
      <c r="I124" s="195"/>
      <c r="J124" s="201"/>
      <c r="K124" s="193"/>
      <c r="L124" s="202"/>
      <c r="M124" s="195"/>
      <c r="N124" s="195"/>
      <c r="O124" s="195"/>
      <c r="P124" s="195"/>
      <c r="Q124" s="203"/>
      <c r="R124" s="198"/>
      <c r="S124" s="199"/>
      <c r="T124" s="199"/>
      <c r="U124" s="199"/>
      <c r="V124" s="199"/>
      <c r="W124" s="199"/>
      <c r="X124" s="199"/>
    </row>
    <row r="125">
      <c r="A125" s="247"/>
      <c r="B125" s="199"/>
      <c r="C125" s="247"/>
      <c r="D125" s="247"/>
      <c r="E125" s="195"/>
      <c r="F125" s="201"/>
      <c r="G125" s="195"/>
      <c r="H125" s="201"/>
      <c r="I125" s="195"/>
      <c r="J125" s="201"/>
      <c r="K125" s="193"/>
      <c r="L125" s="202"/>
      <c r="M125" s="195"/>
      <c r="N125" s="195"/>
      <c r="O125" s="195"/>
      <c r="P125" s="195"/>
      <c r="Q125" s="203"/>
      <c r="R125" s="198"/>
      <c r="S125" s="199"/>
      <c r="T125" s="199"/>
      <c r="U125" s="199"/>
      <c r="V125" s="199"/>
      <c r="W125" s="199"/>
      <c r="X125" s="199"/>
    </row>
    <row r="126">
      <c r="A126" s="247"/>
      <c r="B126" s="199"/>
      <c r="C126" s="247"/>
      <c r="D126" s="247"/>
      <c r="E126" s="195"/>
      <c r="F126" s="201"/>
      <c r="G126" s="195"/>
      <c r="H126" s="201"/>
      <c r="I126" s="195"/>
      <c r="J126" s="201"/>
      <c r="K126" s="193"/>
      <c r="L126" s="202"/>
      <c r="M126" s="195"/>
      <c r="N126" s="195"/>
      <c r="O126" s="195"/>
      <c r="P126" s="195"/>
      <c r="Q126" s="203"/>
      <c r="R126" s="198"/>
      <c r="S126" s="199"/>
      <c r="T126" s="199"/>
      <c r="U126" s="199"/>
      <c r="V126" s="199"/>
      <c r="W126" s="199"/>
      <c r="X126" s="199"/>
    </row>
    <row r="127">
      <c r="A127" s="247"/>
      <c r="B127" s="199"/>
      <c r="C127" s="247"/>
      <c r="D127" s="247"/>
      <c r="E127" s="195"/>
      <c r="F127" s="201"/>
      <c r="G127" s="195"/>
      <c r="H127" s="201"/>
      <c r="I127" s="195"/>
      <c r="J127" s="201"/>
      <c r="K127" s="193"/>
      <c r="L127" s="202"/>
      <c r="M127" s="195"/>
      <c r="N127" s="195"/>
      <c r="O127" s="195"/>
      <c r="P127" s="195"/>
      <c r="Q127" s="203"/>
      <c r="R127" s="198"/>
      <c r="S127" s="199"/>
      <c r="T127" s="199"/>
      <c r="U127" s="199"/>
      <c r="V127" s="199"/>
      <c r="W127" s="199"/>
      <c r="X127" s="199"/>
    </row>
    <row r="128">
      <c r="A128" s="247"/>
      <c r="B128" s="199"/>
      <c r="C128" s="247"/>
      <c r="D128" s="247"/>
      <c r="E128" s="195"/>
      <c r="F128" s="201"/>
      <c r="G128" s="195"/>
      <c r="H128" s="201"/>
      <c r="I128" s="195"/>
      <c r="J128" s="201"/>
      <c r="K128" s="193"/>
      <c r="L128" s="202"/>
      <c r="M128" s="195"/>
      <c r="N128" s="195"/>
      <c r="O128" s="195"/>
      <c r="P128" s="195"/>
      <c r="Q128" s="203"/>
      <c r="R128" s="198"/>
      <c r="S128" s="199"/>
      <c r="T128" s="199"/>
      <c r="U128" s="199"/>
      <c r="V128" s="199"/>
      <c r="W128" s="199"/>
      <c r="X128" s="199"/>
    </row>
    <row r="129">
      <c r="A129" s="247"/>
      <c r="B129" s="199"/>
      <c r="C129" s="247"/>
      <c r="D129" s="247"/>
      <c r="E129" s="195"/>
      <c r="F129" s="201"/>
      <c r="G129" s="195"/>
      <c r="H129" s="201"/>
      <c r="I129" s="195"/>
      <c r="J129" s="201"/>
      <c r="K129" s="193"/>
      <c r="L129" s="202"/>
      <c r="M129" s="195"/>
      <c r="N129" s="195"/>
      <c r="O129" s="195"/>
      <c r="P129" s="195"/>
      <c r="Q129" s="203"/>
      <c r="R129" s="198"/>
      <c r="S129" s="199"/>
      <c r="T129" s="199"/>
      <c r="U129" s="199"/>
      <c r="V129" s="199"/>
      <c r="W129" s="199"/>
      <c r="X129" s="199"/>
    </row>
    <row r="130">
      <c r="A130" s="247"/>
      <c r="B130" s="199"/>
      <c r="C130" s="247"/>
      <c r="D130" s="247"/>
      <c r="E130" s="195"/>
      <c r="F130" s="201"/>
      <c r="G130" s="195"/>
      <c r="H130" s="201"/>
      <c r="I130" s="195"/>
      <c r="J130" s="201"/>
      <c r="K130" s="193"/>
      <c r="L130" s="202"/>
      <c r="M130" s="195"/>
      <c r="N130" s="195"/>
      <c r="O130" s="195"/>
      <c r="P130" s="195"/>
      <c r="Q130" s="203"/>
      <c r="R130" s="198"/>
      <c r="S130" s="199"/>
      <c r="T130" s="199"/>
      <c r="U130" s="199"/>
      <c r="V130" s="199"/>
      <c r="W130" s="199"/>
      <c r="X130" s="199"/>
    </row>
    <row r="131">
      <c r="A131" s="247"/>
      <c r="B131" s="199"/>
      <c r="C131" s="247"/>
      <c r="D131" s="247"/>
      <c r="E131" s="195"/>
      <c r="F131" s="201"/>
      <c r="G131" s="195"/>
      <c r="H131" s="201"/>
      <c r="I131" s="195"/>
      <c r="J131" s="201"/>
      <c r="K131" s="193"/>
      <c r="L131" s="202"/>
      <c r="M131" s="195"/>
      <c r="N131" s="195"/>
      <c r="O131" s="195"/>
      <c r="P131" s="195"/>
      <c r="Q131" s="203"/>
      <c r="R131" s="198"/>
      <c r="S131" s="199"/>
      <c r="T131" s="199"/>
      <c r="U131" s="199"/>
      <c r="V131" s="199"/>
      <c r="W131" s="199"/>
      <c r="X131" s="199"/>
    </row>
    <row r="132">
      <c r="A132" s="247"/>
      <c r="B132" s="199"/>
      <c r="C132" s="247"/>
      <c r="D132" s="247"/>
      <c r="E132" s="195"/>
      <c r="F132" s="201"/>
      <c r="G132" s="195"/>
      <c r="H132" s="201"/>
      <c r="I132" s="195"/>
      <c r="J132" s="201"/>
      <c r="K132" s="193"/>
      <c r="L132" s="202"/>
      <c r="M132" s="195"/>
      <c r="N132" s="195"/>
      <c r="O132" s="195"/>
      <c r="P132" s="195"/>
      <c r="Q132" s="203"/>
      <c r="R132" s="198"/>
      <c r="S132" s="199"/>
      <c r="T132" s="199"/>
      <c r="U132" s="199"/>
      <c r="V132" s="199"/>
      <c r="W132" s="199"/>
      <c r="X132" s="199"/>
    </row>
    <row r="133">
      <c r="A133" s="247"/>
      <c r="B133" s="199"/>
      <c r="C133" s="247"/>
      <c r="D133" s="247"/>
      <c r="E133" s="195"/>
      <c r="F133" s="201"/>
      <c r="G133" s="195"/>
      <c r="H133" s="201"/>
      <c r="I133" s="195"/>
      <c r="J133" s="201"/>
      <c r="K133" s="193"/>
      <c r="L133" s="202"/>
      <c r="M133" s="195"/>
      <c r="N133" s="195"/>
      <c r="O133" s="195"/>
      <c r="P133" s="195"/>
      <c r="Q133" s="203"/>
      <c r="R133" s="198"/>
      <c r="S133" s="199"/>
      <c r="T133" s="199"/>
      <c r="U133" s="199"/>
      <c r="V133" s="199"/>
      <c r="W133" s="199"/>
      <c r="X133" s="199"/>
    </row>
    <row r="134">
      <c r="A134" s="247"/>
      <c r="B134" s="199"/>
      <c r="C134" s="247"/>
      <c r="D134" s="247"/>
      <c r="E134" s="195"/>
      <c r="F134" s="201"/>
      <c r="G134" s="195"/>
      <c r="H134" s="201"/>
      <c r="I134" s="195"/>
      <c r="J134" s="201"/>
      <c r="K134" s="193"/>
      <c r="L134" s="202"/>
      <c r="M134" s="195"/>
      <c r="N134" s="195"/>
      <c r="O134" s="195"/>
      <c r="P134" s="195"/>
      <c r="Q134" s="203"/>
      <c r="R134" s="198"/>
      <c r="S134" s="199"/>
      <c r="T134" s="199"/>
      <c r="U134" s="199"/>
      <c r="V134" s="199"/>
      <c r="W134" s="199"/>
      <c r="X134" s="199"/>
    </row>
    <row r="135">
      <c r="A135" s="247"/>
      <c r="B135" s="199"/>
      <c r="C135" s="247"/>
      <c r="D135" s="247"/>
      <c r="E135" s="195"/>
      <c r="F135" s="201"/>
      <c r="G135" s="195"/>
      <c r="H135" s="201"/>
      <c r="I135" s="195"/>
      <c r="J135" s="201"/>
      <c r="K135" s="193"/>
      <c r="L135" s="202"/>
      <c r="M135" s="195"/>
      <c r="N135" s="195"/>
      <c r="O135" s="195"/>
      <c r="P135" s="195"/>
      <c r="Q135" s="203"/>
      <c r="R135" s="198"/>
      <c r="S135" s="199"/>
      <c r="T135" s="199"/>
      <c r="U135" s="199"/>
      <c r="V135" s="199"/>
      <c r="W135" s="199"/>
      <c r="X135" s="199"/>
    </row>
    <row r="136">
      <c r="A136" s="247"/>
      <c r="B136" s="199"/>
      <c r="C136" s="247"/>
      <c r="D136" s="247"/>
      <c r="E136" s="195"/>
      <c r="F136" s="201"/>
      <c r="G136" s="195"/>
      <c r="H136" s="201"/>
      <c r="I136" s="195"/>
      <c r="J136" s="201"/>
      <c r="K136" s="193"/>
      <c r="L136" s="202"/>
      <c r="M136" s="195"/>
      <c r="N136" s="195"/>
      <c r="O136" s="195"/>
      <c r="P136" s="195"/>
      <c r="Q136" s="203"/>
      <c r="R136" s="198"/>
      <c r="S136" s="199"/>
      <c r="T136" s="199"/>
      <c r="U136" s="199"/>
      <c r="V136" s="199"/>
      <c r="W136" s="199"/>
      <c r="X136" s="199"/>
    </row>
    <row r="137">
      <c r="A137" s="247"/>
      <c r="B137" s="199"/>
      <c r="C137" s="247"/>
      <c r="D137" s="247"/>
      <c r="E137" s="195"/>
      <c r="F137" s="201"/>
      <c r="G137" s="195"/>
      <c r="H137" s="201"/>
      <c r="I137" s="195"/>
      <c r="J137" s="201"/>
      <c r="K137" s="193"/>
      <c r="L137" s="202"/>
      <c r="M137" s="195"/>
      <c r="N137" s="195"/>
      <c r="O137" s="195"/>
      <c r="P137" s="195"/>
      <c r="Q137" s="203"/>
      <c r="R137" s="198"/>
      <c r="S137" s="199"/>
      <c r="T137" s="199"/>
      <c r="U137" s="199"/>
      <c r="V137" s="199"/>
      <c r="W137" s="199"/>
      <c r="X137" s="199"/>
    </row>
    <row r="138">
      <c r="A138" s="247"/>
      <c r="B138" s="199"/>
      <c r="C138" s="247"/>
      <c r="D138" s="247"/>
      <c r="E138" s="195"/>
      <c r="F138" s="201"/>
      <c r="G138" s="195"/>
      <c r="H138" s="201"/>
      <c r="I138" s="195"/>
      <c r="J138" s="201"/>
      <c r="K138" s="193"/>
      <c r="L138" s="202"/>
      <c r="M138" s="195"/>
      <c r="N138" s="195"/>
      <c r="O138" s="195"/>
      <c r="P138" s="195"/>
      <c r="Q138" s="203"/>
      <c r="R138" s="198"/>
      <c r="S138" s="199"/>
      <c r="T138" s="199"/>
      <c r="U138" s="199"/>
      <c r="V138" s="199"/>
      <c r="W138" s="199"/>
      <c r="X138" s="199"/>
    </row>
    <row r="139">
      <c r="A139" s="247"/>
      <c r="B139" s="199"/>
      <c r="C139" s="247"/>
      <c r="D139" s="247"/>
      <c r="E139" s="195"/>
      <c r="F139" s="201"/>
      <c r="G139" s="195"/>
      <c r="H139" s="201"/>
      <c r="I139" s="195"/>
      <c r="J139" s="201"/>
      <c r="K139" s="193"/>
      <c r="L139" s="202"/>
      <c r="M139" s="195"/>
      <c r="N139" s="195"/>
      <c r="O139" s="195"/>
      <c r="P139" s="195"/>
      <c r="Q139" s="203"/>
      <c r="R139" s="198"/>
      <c r="S139" s="199"/>
      <c r="T139" s="199"/>
      <c r="U139" s="199"/>
      <c r="V139" s="199"/>
      <c r="W139" s="199"/>
      <c r="X139" s="199"/>
    </row>
    <row r="140">
      <c r="A140" s="247"/>
      <c r="B140" s="199"/>
      <c r="C140" s="247"/>
      <c r="D140" s="247"/>
      <c r="E140" s="195"/>
      <c r="F140" s="201"/>
      <c r="G140" s="195"/>
      <c r="H140" s="201"/>
      <c r="I140" s="195"/>
      <c r="J140" s="201"/>
      <c r="K140" s="193"/>
      <c r="L140" s="202"/>
      <c r="M140" s="195"/>
      <c r="N140" s="195"/>
      <c r="O140" s="195"/>
      <c r="P140" s="195"/>
      <c r="Q140" s="203"/>
      <c r="R140" s="198"/>
      <c r="S140" s="199"/>
      <c r="T140" s="199"/>
      <c r="U140" s="199"/>
      <c r="V140" s="199"/>
      <c r="W140" s="199"/>
      <c r="X140" s="199"/>
    </row>
    <row r="141">
      <c r="A141" s="247"/>
      <c r="B141" s="199"/>
      <c r="C141" s="247"/>
      <c r="D141" s="247"/>
      <c r="E141" s="195"/>
      <c r="F141" s="201"/>
      <c r="G141" s="195"/>
      <c r="H141" s="201"/>
      <c r="I141" s="195"/>
      <c r="J141" s="201"/>
      <c r="K141" s="193"/>
      <c r="L141" s="202"/>
      <c r="M141" s="195"/>
      <c r="N141" s="195"/>
      <c r="O141" s="195"/>
      <c r="P141" s="195"/>
      <c r="Q141" s="203"/>
      <c r="R141" s="198"/>
      <c r="S141" s="199"/>
      <c r="T141" s="199"/>
      <c r="U141" s="199"/>
      <c r="V141" s="199"/>
      <c r="W141" s="199"/>
      <c r="X141" s="199"/>
    </row>
    <row r="142">
      <c r="A142" s="247"/>
      <c r="B142" s="199"/>
      <c r="C142" s="247"/>
      <c r="D142" s="247"/>
      <c r="E142" s="195"/>
      <c r="F142" s="201"/>
      <c r="G142" s="195"/>
      <c r="H142" s="201"/>
      <c r="I142" s="195"/>
      <c r="J142" s="201"/>
      <c r="K142" s="193"/>
      <c r="L142" s="202"/>
      <c r="M142" s="195"/>
      <c r="N142" s="195"/>
      <c r="O142" s="195"/>
      <c r="P142" s="195"/>
      <c r="Q142" s="203"/>
      <c r="R142" s="198"/>
      <c r="S142" s="199"/>
      <c r="T142" s="199"/>
      <c r="U142" s="199"/>
      <c r="V142" s="199"/>
      <c r="W142" s="199"/>
      <c r="X142" s="199"/>
    </row>
    <row r="143">
      <c r="A143" s="247"/>
      <c r="B143" s="199"/>
      <c r="C143" s="247"/>
      <c r="D143" s="247"/>
      <c r="E143" s="195"/>
      <c r="F143" s="201"/>
      <c r="G143" s="195"/>
      <c r="H143" s="201"/>
      <c r="I143" s="195"/>
      <c r="J143" s="201"/>
      <c r="K143" s="193"/>
      <c r="L143" s="202"/>
      <c r="M143" s="195"/>
      <c r="N143" s="195"/>
      <c r="O143" s="195"/>
      <c r="P143" s="195"/>
      <c r="Q143" s="203"/>
      <c r="R143" s="198"/>
      <c r="S143" s="199"/>
      <c r="T143" s="199"/>
      <c r="U143" s="199"/>
      <c r="V143" s="199"/>
      <c r="W143" s="199"/>
      <c r="X143" s="199"/>
    </row>
    <row r="144">
      <c r="A144" s="247"/>
      <c r="B144" s="199"/>
      <c r="C144" s="247"/>
      <c r="D144" s="247"/>
      <c r="E144" s="195"/>
      <c r="F144" s="201"/>
      <c r="G144" s="195"/>
      <c r="H144" s="201"/>
      <c r="I144" s="195"/>
      <c r="J144" s="201"/>
      <c r="K144" s="193"/>
      <c r="L144" s="202"/>
      <c r="M144" s="195"/>
      <c r="N144" s="195"/>
      <c r="O144" s="195"/>
      <c r="P144" s="195"/>
      <c r="Q144" s="203"/>
      <c r="R144" s="198"/>
      <c r="S144" s="199"/>
      <c r="T144" s="199"/>
      <c r="U144" s="199"/>
      <c r="V144" s="199"/>
      <c r="W144" s="199"/>
      <c r="X144" s="199"/>
    </row>
    <row r="145">
      <c r="A145" s="247"/>
      <c r="B145" s="199"/>
      <c r="C145" s="247"/>
      <c r="D145" s="247"/>
      <c r="E145" s="195"/>
      <c r="F145" s="201"/>
      <c r="G145" s="195"/>
      <c r="H145" s="201"/>
      <c r="I145" s="195"/>
      <c r="J145" s="201"/>
      <c r="K145" s="193"/>
      <c r="L145" s="202"/>
      <c r="M145" s="195"/>
      <c r="N145" s="195"/>
      <c r="O145" s="195"/>
      <c r="P145" s="195"/>
      <c r="Q145" s="203"/>
      <c r="R145" s="198"/>
      <c r="S145" s="199"/>
      <c r="T145" s="199"/>
      <c r="U145" s="199"/>
      <c r="V145" s="199"/>
      <c r="W145" s="199"/>
      <c r="X145" s="199"/>
    </row>
    <row r="146">
      <c r="A146" s="247"/>
      <c r="B146" s="199"/>
      <c r="C146" s="247"/>
      <c r="D146" s="247"/>
      <c r="E146" s="195"/>
      <c r="F146" s="201"/>
      <c r="G146" s="195"/>
      <c r="H146" s="201"/>
      <c r="I146" s="195"/>
      <c r="J146" s="201"/>
      <c r="K146" s="193"/>
      <c r="L146" s="202"/>
      <c r="M146" s="195"/>
      <c r="N146" s="195"/>
      <c r="O146" s="195"/>
      <c r="P146" s="195"/>
      <c r="Q146" s="203"/>
      <c r="R146" s="198"/>
      <c r="S146" s="199"/>
      <c r="T146" s="199"/>
      <c r="U146" s="199"/>
      <c r="V146" s="199"/>
      <c r="W146" s="199"/>
      <c r="X146" s="199"/>
    </row>
    <row r="147">
      <c r="A147" s="247"/>
      <c r="B147" s="199"/>
      <c r="C147" s="247"/>
      <c r="D147" s="247"/>
      <c r="E147" s="195"/>
      <c r="F147" s="201"/>
      <c r="G147" s="195"/>
      <c r="H147" s="201"/>
      <c r="I147" s="195"/>
      <c r="J147" s="201"/>
      <c r="K147" s="193"/>
      <c r="L147" s="202"/>
      <c r="M147" s="195"/>
      <c r="N147" s="195"/>
      <c r="O147" s="195"/>
      <c r="P147" s="195"/>
      <c r="Q147" s="203"/>
      <c r="R147" s="198"/>
      <c r="S147" s="199"/>
      <c r="T147" s="199"/>
      <c r="U147" s="199"/>
      <c r="V147" s="199"/>
      <c r="W147" s="199"/>
      <c r="X147" s="199"/>
    </row>
    <row r="148">
      <c r="A148" s="247"/>
      <c r="B148" s="199"/>
      <c r="C148" s="247"/>
      <c r="D148" s="247"/>
      <c r="E148" s="195"/>
      <c r="F148" s="201"/>
      <c r="G148" s="195"/>
      <c r="H148" s="201"/>
      <c r="I148" s="195"/>
      <c r="J148" s="201"/>
      <c r="K148" s="193"/>
      <c r="L148" s="202"/>
      <c r="M148" s="195"/>
      <c r="N148" s="195"/>
      <c r="O148" s="195"/>
      <c r="P148" s="195"/>
      <c r="Q148" s="203"/>
      <c r="R148" s="198"/>
      <c r="S148" s="199"/>
      <c r="T148" s="199"/>
      <c r="U148" s="199"/>
      <c r="V148" s="199"/>
      <c r="W148" s="199"/>
      <c r="X148" s="199"/>
    </row>
    <row r="149">
      <c r="A149" s="247"/>
      <c r="B149" s="199"/>
      <c r="C149" s="247"/>
      <c r="D149" s="247"/>
      <c r="E149" s="195"/>
      <c r="F149" s="201"/>
      <c r="G149" s="195"/>
      <c r="H149" s="201"/>
      <c r="I149" s="195"/>
      <c r="J149" s="201"/>
      <c r="K149" s="193"/>
      <c r="L149" s="202"/>
      <c r="M149" s="195"/>
      <c r="N149" s="195"/>
      <c r="O149" s="195"/>
      <c r="P149" s="195"/>
      <c r="Q149" s="203"/>
      <c r="R149" s="198"/>
      <c r="S149" s="199"/>
      <c r="T149" s="199"/>
      <c r="U149" s="199"/>
      <c r="V149" s="199"/>
      <c r="W149" s="199"/>
      <c r="X149" s="199"/>
    </row>
    <row r="150">
      <c r="A150" s="247"/>
      <c r="B150" s="199"/>
      <c r="C150" s="247"/>
      <c r="D150" s="247"/>
      <c r="E150" s="195"/>
      <c r="F150" s="201"/>
      <c r="G150" s="195"/>
      <c r="H150" s="201"/>
      <c r="I150" s="195"/>
      <c r="J150" s="201"/>
      <c r="K150" s="193"/>
      <c r="L150" s="202"/>
      <c r="M150" s="195"/>
      <c r="N150" s="195"/>
      <c r="O150" s="195"/>
      <c r="P150" s="195"/>
      <c r="Q150" s="203"/>
      <c r="R150" s="198"/>
      <c r="S150" s="199"/>
      <c r="T150" s="199"/>
      <c r="U150" s="199"/>
      <c r="V150" s="199"/>
      <c r="W150" s="199"/>
      <c r="X150" s="199"/>
    </row>
    <row r="151">
      <c r="A151" s="247"/>
      <c r="B151" s="199"/>
      <c r="C151" s="247"/>
      <c r="D151" s="247"/>
      <c r="E151" s="195"/>
      <c r="F151" s="201"/>
      <c r="G151" s="195"/>
      <c r="H151" s="201"/>
      <c r="I151" s="195"/>
      <c r="J151" s="201"/>
      <c r="K151" s="193"/>
      <c r="L151" s="202"/>
      <c r="M151" s="195"/>
      <c r="N151" s="195"/>
      <c r="O151" s="195"/>
      <c r="P151" s="195"/>
      <c r="Q151" s="203"/>
      <c r="R151" s="198"/>
      <c r="S151" s="199"/>
      <c r="T151" s="199"/>
      <c r="U151" s="199"/>
      <c r="V151" s="199"/>
      <c r="W151" s="199"/>
      <c r="X151" s="199"/>
    </row>
    <row r="152">
      <c r="A152" s="247"/>
      <c r="B152" s="199"/>
      <c r="C152" s="247"/>
      <c r="D152" s="247"/>
      <c r="E152" s="195"/>
      <c r="F152" s="201"/>
      <c r="G152" s="195"/>
      <c r="H152" s="201"/>
      <c r="I152" s="195"/>
      <c r="J152" s="201"/>
      <c r="K152" s="193"/>
      <c r="L152" s="202"/>
      <c r="M152" s="195"/>
      <c r="N152" s="195"/>
      <c r="O152" s="195"/>
      <c r="P152" s="195"/>
      <c r="Q152" s="203"/>
      <c r="R152" s="198"/>
      <c r="S152" s="199"/>
      <c r="T152" s="199"/>
      <c r="U152" s="199"/>
      <c r="V152" s="199"/>
      <c r="W152" s="199"/>
      <c r="X152" s="199"/>
    </row>
    <row r="153">
      <c r="A153" s="247"/>
      <c r="B153" s="199"/>
      <c r="C153" s="247"/>
      <c r="D153" s="247"/>
      <c r="E153" s="195"/>
      <c r="F153" s="201"/>
      <c r="G153" s="195"/>
      <c r="H153" s="201"/>
      <c r="I153" s="195"/>
      <c r="J153" s="201"/>
      <c r="K153" s="193"/>
      <c r="L153" s="202"/>
      <c r="M153" s="195"/>
      <c r="N153" s="195"/>
      <c r="O153" s="195"/>
      <c r="P153" s="195"/>
      <c r="Q153" s="203"/>
      <c r="R153" s="198"/>
      <c r="S153" s="199"/>
      <c r="T153" s="199"/>
      <c r="U153" s="199"/>
      <c r="V153" s="199"/>
      <c r="W153" s="199"/>
      <c r="X153" s="199"/>
    </row>
    <row r="154">
      <c r="A154" s="247"/>
      <c r="B154" s="199"/>
      <c r="C154" s="247"/>
      <c r="D154" s="247"/>
      <c r="E154" s="195"/>
      <c r="F154" s="201"/>
      <c r="G154" s="195"/>
      <c r="H154" s="201"/>
      <c r="I154" s="195"/>
      <c r="J154" s="201"/>
      <c r="K154" s="193"/>
      <c r="L154" s="202"/>
      <c r="M154" s="195"/>
      <c r="N154" s="195"/>
      <c r="O154" s="195"/>
      <c r="P154" s="195"/>
      <c r="Q154" s="203"/>
      <c r="R154" s="198"/>
      <c r="S154" s="199"/>
      <c r="T154" s="199"/>
      <c r="U154" s="199"/>
      <c r="V154" s="199"/>
      <c r="W154" s="199"/>
      <c r="X154" s="199"/>
    </row>
    <row r="155">
      <c r="A155" s="247"/>
      <c r="B155" s="199"/>
      <c r="C155" s="247"/>
      <c r="D155" s="247"/>
      <c r="E155" s="195"/>
      <c r="F155" s="201"/>
      <c r="G155" s="195"/>
      <c r="H155" s="201"/>
      <c r="I155" s="195"/>
      <c r="J155" s="201"/>
      <c r="K155" s="193"/>
      <c r="L155" s="202"/>
      <c r="M155" s="195"/>
      <c r="N155" s="195"/>
      <c r="O155" s="195"/>
      <c r="P155" s="195"/>
      <c r="Q155" s="203"/>
      <c r="R155" s="198"/>
      <c r="S155" s="199"/>
      <c r="T155" s="199"/>
      <c r="U155" s="199"/>
      <c r="V155" s="199"/>
      <c r="W155" s="199"/>
      <c r="X155" s="199"/>
    </row>
    <row r="156">
      <c r="A156" s="247"/>
      <c r="B156" s="199"/>
      <c r="C156" s="247"/>
      <c r="D156" s="247"/>
      <c r="E156" s="195"/>
      <c r="F156" s="201"/>
      <c r="G156" s="195"/>
      <c r="H156" s="201"/>
      <c r="I156" s="195"/>
      <c r="J156" s="201"/>
      <c r="K156" s="193"/>
      <c r="L156" s="202"/>
      <c r="M156" s="195"/>
      <c r="N156" s="195"/>
      <c r="O156" s="195"/>
      <c r="P156" s="195"/>
      <c r="Q156" s="203"/>
      <c r="R156" s="198"/>
      <c r="S156" s="199"/>
      <c r="T156" s="199"/>
      <c r="U156" s="199"/>
      <c r="V156" s="199"/>
      <c r="W156" s="199"/>
      <c r="X156" s="199"/>
    </row>
    <row r="157">
      <c r="A157" s="247"/>
      <c r="B157" s="199"/>
      <c r="C157" s="247"/>
      <c r="D157" s="247"/>
      <c r="E157" s="195"/>
      <c r="F157" s="201"/>
      <c r="G157" s="195"/>
      <c r="H157" s="201"/>
      <c r="I157" s="195"/>
      <c r="J157" s="201"/>
      <c r="K157" s="193"/>
      <c r="L157" s="202"/>
      <c r="M157" s="195"/>
      <c r="N157" s="195"/>
      <c r="O157" s="195"/>
      <c r="P157" s="195"/>
      <c r="Q157" s="203"/>
      <c r="R157" s="198"/>
      <c r="S157" s="199"/>
      <c r="T157" s="199"/>
      <c r="U157" s="199"/>
      <c r="V157" s="199"/>
      <c r="W157" s="199"/>
      <c r="X157" s="199"/>
    </row>
    <row r="158">
      <c r="A158" s="247"/>
      <c r="B158" s="199"/>
      <c r="C158" s="247"/>
      <c r="D158" s="247"/>
      <c r="E158" s="195"/>
      <c r="F158" s="201"/>
      <c r="G158" s="195"/>
      <c r="H158" s="201"/>
      <c r="I158" s="195"/>
      <c r="J158" s="201"/>
      <c r="K158" s="193"/>
      <c r="L158" s="202"/>
      <c r="M158" s="195"/>
      <c r="N158" s="195"/>
      <c r="O158" s="195"/>
      <c r="P158" s="195"/>
      <c r="Q158" s="203"/>
      <c r="R158" s="198"/>
      <c r="S158" s="199"/>
      <c r="T158" s="199"/>
      <c r="U158" s="199"/>
      <c r="V158" s="199"/>
      <c r="W158" s="199"/>
      <c r="X158" s="199"/>
    </row>
    <row r="159">
      <c r="A159" s="247"/>
      <c r="B159" s="199"/>
      <c r="C159" s="247"/>
      <c r="D159" s="247"/>
      <c r="E159" s="195"/>
      <c r="F159" s="201"/>
      <c r="G159" s="195"/>
      <c r="H159" s="201"/>
      <c r="I159" s="195"/>
      <c r="J159" s="201"/>
      <c r="K159" s="193"/>
      <c r="L159" s="202"/>
      <c r="M159" s="195"/>
      <c r="N159" s="195"/>
      <c r="O159" s="195"/>
      <c r="P159" s="195"/>
      <c r="Q159" s="203"/>
      <c r="R159" s="198"/>
      <c r="S159" s="199"/>
      <c r="T159" s="199"/>
      <c r="U159" s="199"/>
      <c r="V159" s="199"/>
      <c r="W159" s="199"/>
      <c r="X159" s="199"/>
    </row>
    <row r="160">
      <c r="A160" s="247"/>
      <c r="B160" s="199"/>
      <c r="C160" s="247"/>
      <c r="D160" s="247"/>
      <c r="E160" s="195"/>
      <c r="F160" s="201"/>
      <c r="G160" s="195"/>
      <c r="H160" s="201"/>
      <c r="I160" s="195"/>
      <c r="J160" s="201"/>
      <c r="K160" s="193"/>
      <c r="L160" s="202"/>
      <c r="M160" s="195"/>
      <c r="N160" s="195"/>
      <c r="O160" s="195"/>
      <c r="P160" s="195"/>
      <c r="Q160" s="203"/>
      <c r="R160" s="198"/>
      <c r="S160" s="199"/>
      <c r="T160" s="199"/>
      <c r="U160" s="199"/>
      <c r="V160" s="199"/>
      <c r="W160" s="199"/>
      <c r="X160" s="199"/>
    </row>
    <row r="161">
      <c r="A161" s="247"/>
      <c r="B161" s="199"/>
      <c r="C161" s="247"/>
      <c r="D161" s="247"/>
      <c r="E161" s="195"/>
      <c r="F161" s="201"/>
      <c r="G161" s="195"/>
      <c r="H161" s="201"/>
      <c r="I161" s="195"/>
      <c r="J161" s="201"/>
      <c r="K161" s="193"/>
      <c r="L161" s="202"/>
      <c r="M161" s="195"/>
      <c r="N161" s="195"/>
      <c r="O161" s="195"/>
      <c r="P161" s="195"/>
      <c r="Q161" s="203"/>
      <c r="R161" s="198"/>
      <c r="S161" s="199"/>
      <c r="T161" s="199"/>
      <c r="U161" s="199"/>
      <c r="V161" s="199"/>
      <c r="W161" s="199"/>
      <c r="X161" s="199"/>
    </row>
    <row r="162">
      <c r="A162" s="247"/>
      <c r="B162" s="199"/>
      <c r="C162" s="247"/>
      <c r="D162" s="247"/>
      <c r="E162" s="195"/>
      <c r="F162" s="201"/>
      <c r="G162" s="195"/>
      <c r="H162" s="201"/>
      <c r="I162" s="195"/>
      <c r="J162" s="201"/>
      <c r="K162" s="193"/>
      <c r="L162" s="202"/>
      <c r="M162" s="195"/>
      <c r="N162" s="195"/>
      <c r="O162" s="195"/>
      <c r="P162" s="195"/>
      <c r="Q162" s="203"/>
      <c r="R162" s="198"/>
      <c r="S162" s="199"/>
      <c r="T162" s="199"/>
      <c r="U162" s="199"/>
      <c r="V162" s="199"/>
      <c r="W162" s="199"/>
      <c r="X162" s="199"/>
    </row>
    <row r="163">
      <c r="A163" s="247"/>
      <c r="B163" s="199"/>
      <c r="C163" s="247"/>
      <c r="D163" s="247"/>
      <c r="E163" s="195"/>
      <c r="F163" s="201"/>
      <c r="G163" s="195"/>
      <c r="H163" s="201"/>
      <c r="I163" s="195"/>
      <c r="J163" s="201"/>
      <c r="K163" s="193"/>
      <c r="L163" s="202"/>
      <c r="M163" s="195"/>
      <c r="N163" s="195"/>
      <c r="O163" s="195"/>
      <c r="P163" s="195"/>
      <c r="Q163" s="203"/>
      <c r="R163" s="198"/>
      <c r="S163" s="199"/>
      <c r="T163" s="199"/>
      <c r="U163" s="199"/>
      <c r="V163" s="199"/>
      <c r="W163" s="199"/>
      <c r="X163" s="199"/>
    </row>
    <row r="164">
      <c r="A164" s="247"/>
      <c r="B164" s="199"/>
      <c r="C164" s="247"/>
      <c r="D164" s="247"/>
      <c r="E164" s="195"/>
      <c r="F164" s="201"/>
      <c r="G164" s="195"/>
      <c r="H164" s="201"/>
      <c r="I164" s="195"/>
      <c r="J164" s="201"/>
      <c r="K164" s="193"/>
      <c r="L164" s="202"/>
      <c r="M164" s="195"/>
      <c r="N164" s="195"/>
      <c r="O164" s="195"/>
      <c r="P164" s="195"/>
      <c r="Q164" s="203"/>
      <c r="R164" s="198"/>
      <c r="S164" s="199"/>
      <c r="T164" s="199"/>
      <c r="U164" s="199"/>
      <c r="V164" s="199"/>
      <c r="W164" s="199"/>
      <c r="X164" s="199"/>
    </row>
    <row r="165">
      <c r="A165" s="247"/>
      <c r="B165" s="199"/>
      <c r="C165" s="247"/>
      <c r="D165" s="247"/>
      <c r="E165" s="195"/>
      <c r="F165" s="201"/>
      <c r="G165" s="195"/>
      <c r="H165" s="201"/>
      <c r="I165" s="195"/>
      <c r="J165" s="201"/>
      <c r="K165" s="193"/>
      <c r="L165" s="202"/>
      <c r="M165" s="195"/>
      <c r="N165" s="195"/>
      <c r="O165" s="195"/>
      <c r="P165" s="195"/>
      <c r="Q165" s="203"/>
      <c r="R165" s="198"/>
      <c r="S165" s="199"/>
      <c r="T165" s="199"/>
      <c r="U165" s="199"/>
      <c r="V165" s="199"/>
      <c r="W165" s="199"/>
      <c r="X165" s="199"/>
    </row>
    <row r="166">
      <c r="A166" s="247"/>
      <c r="B166" s="199"/>
      <c r="C166" s="247"/>
      <c r="D166" s="247"/>
      <c r="E166" s="195"/>
      <c r="F166" s="201"/>
      <c r="G166" s="195"/>
      <c r="H166" s="201"/>
      <c r="I166" s="195"/>
      <c r="J166" s="201"/>
      <c r="K166" s="193"/>
      <c r="L166" s="202"/>
      <c r="M166" s="195"/>
      <c r="N166" s="195"/>
      <c r="O166" s="195"/>
      <c r="P166" s="195"/>
      <c r="Q166" s="203"/>
      <c r="R166" s="198"/>
      <c r="S166" s="199"/>
      <c r="T166" s="199"/>
      <c r="U166" s="199"/>
      <c r="V166" s="199"/>
      <c r="W166" s="199"/>
      <c r="X166" s="199"/>
    </row>
    <row r="167">
      <c r="A167" s="247"/>
      <c r="B167" s="199"/>
      <c r="C167" s="247"/>
      <c r="D167" s="247"/>
      <c r="E167" s="195"/>
      <c r="F167" s="201"/>
      <c r="G167" s="195"/>
      <c r="H167" s="201"/>
      <c r="I167" s="195"/>
      <c r="J167" s="201"/>
      <c r="K167" s="193"/>
      <c r="L167" s="202"/>
      <c r="M167" s="195"/>
      <c r="N167" s="195"/>
      <c r="O167" s="195"/>
      <c r="P167" s="195"/>
      <c r="Q167" s="203"/>
      <c r="R167" s="198"/>
      <c r="S167" s="199"/>
      <c r="T167" s="199"/>
      <c r="U167" s="199"/>
      <c r="V167" s="199"/>
      <c r="W167" s="199"/>
      <c r="X167" s="199"/>
    </row>
    <row r="168">
      <c r="A168" s="247"/>
      <c r="B168" s="199"/>
      <c r="C168" s="247"/>
      <c r="D168" s="247"/>
      <c r="E168" s="195"/>
      <c r="F168" s="201"/>
      <c r="G168" s="195"/>
      <c r="H168" s="201"/>
      <c r="I168" s="195"/>
      <c r="J168" s="201"/>
      <c r="K168" s="193"/>
      <c r="L168" s="202"/>
      <c r="M168" s="195"/>
      <c r="N168" s="195"/>
      <c r="O168" s="195"/>
      <c r="P168" s="195"/>
      <c r="Q168" s="203"/>
      <c r="R168" s="198"/>
      <c r="S168" s="199"/>
      <c r="T168" s="199"/>
      <c r="U168" s="199"/>
      <c r="V168" s="199"/>
      <c r="W168" s="199"/>
      <c r="X168" s="199"/>
    </row>
    <row r="169">
      <c r="A169" s="247"/>
      <c r="B169" s="199"/>
      <c r="C169" s="247"/>
      <c r="D169" s="247"/>
      <c r="E169" s="195"/>
      <c r="F169" s="201"/>
      <c r="G169" s="195"/>
      <c r="H169" s="201"/>
      <c r="I169" s="195"/>
      <c r="J169" s="201"/>
      <c r="K169" s="193"/>
      <c r="L169" s="202"/>
      <c r="M169" s="195"/>
      <c r="N169" s="195"/>
      <c r="O169" s="195"/>
      <c r="P169" s="195"/>
      <c r="Q169" s="203"/>
      <c r="R169" s="198"/>
      <c r="S169" s="199"/>
      <c r="T169" s="199"/>
      <c r="U169" s="199"/>
      <c r="V169" s="199"/>
      <c r="W169" s="199"/>
      <c r="X169" s="199"/>
    </row>
    <row r="170">
      <c r="A170" s="247"/>
      <c r="B170" s="199"/>
      <c r="C170" s="247"/>
      <c r="D170" s="247"/>
      <c r="E170" s="195"/>
      <c r="F170" s="201"/>
      <c r="G170" s="195"/>
      <c r="H170" s="201"/>
      <c r="I170" s="195"/>
      <c r="J170" s="201"/>
      <c r="K170" s="193"/>
      <c r="L170" s="202"/>
      <c r="M170" s="195"/>
      <c r="N170" s="195"/>
      <c r="O170" s="195"/>
      <c r="P170" s="195"/>
      <c r="Q170" s="203"/>
      <c r="R170" s="198"/>
      <c r="S170" s="199"/>
      <c r="T170" s="199"/>
      <c r="U170" s="199"/>
      <c r="V170" s="199"/>
      <c r="W170" s="199"/>
      <c r="X170" s="199"/>
    </row>
    <row r="171">
      <c r="A171" s="247"/>
      <c r="B171" s="199"/>
      <c r="C171" s="247"/>
      <c r="D171" s="247"/>
      <c r="E171" s="195"/>
      <c r="F171" s="201"/>
      <c r="G171" s="195"/>
      <c r="H171" s="201"/>
      <c r="I171" s="195"/>
      <c r="J171" s="201"/>
      <c r="K171" s="193"/>
      <c r="L171" s="202"/>
      <c r="M171" s="195"/>
      <c r="N171" s="195"/>
      <c r="O171" s="195"/>
      <c r="P171" s="195"/>
      <c r="Q171" s="203"/>
      <c r="R171" s="198"/>
      <c r="S171" s="199"/>
      <c r="T171" s="199"/>
      <c r="U171" s="199"/>
      <c r="V171" s="199"/>
      <c r="W171" s="199"/>
      <c r="X171" s="199"/>
    </row>
    <row r="172">
      <c r="A172" s="247"/>
      <c r="B172" s="199"/>
      <c r="C172" s="247"/>
      <c r="D172" s="247"/>
      <c r="E172" s="195"/>
      <c r="F172" s="201"/>
      <c r="G172" s="195"/>
      <c r="H172" s="201"/>
      <c r="I172" s="195"/>
      <c r="J172" s="201"/>
      <c r="K172" s="193"/>
      <c r="L172" s="202"/>
      <c r="M172" s="195"/>
      <c r="N172" s="195"/>
      <c r="O172" s="195"/>
      <c r="P172" s="195"/>
      <c r="Q172" s="203"/>
      <c r="R172" s="198"/>
      <c r="S172" s="199"/>
      <c r="T172" s="199"/>
      <c r="U172" s="199"/>
      <c r="V172" s="199"/>
      <c r="W172" s="199"/>
      <c r="X172" s="199"/>
    </row>
    <row r="173">
      <c r="A173" s="247"/>
      <c r="B173" s="199"/>
      <c r="C173" s="247"/>
      <c r="D173" s="247"/>
      <c r="E173" s="195"/>
      <c r="F173" s="201"/>
      <c r="G173" s="195"/>
      <c r="H173" s="201"/>
      <c r="I173" s="195"/>
      <c r="J173" s="201"/>
      <c r="K173" s="193"/>
      <c r="L173" s="202"/>
      <c r="M173" s="195"/>
      <c r="N173" s="195"/>
      <c r="O173" s="195"/>
      <c r="P173" s="195"/>
      <c r="Q173" s="203"/>
      <c r="R173" s="198"/>
      <c r="S173" s="199"/>
      <c r="T173" s="199"/>
      <c r="U173" s="199"/>
      <c r="V173" s="199"/>
      <c r="W173" s="199"/>
      <c r="X173" s="199"/>
    </row>
    <row r="174">
      <c r="A174" s="247"/>
      <c r="B174" s="199"/>
      <c r="C174" s="247"/>
      <c r="D174" s="247"/>
      <c r="E174" s="195"/>
      <c r="F174" s="201"/>
      <c r="G174" s="195"/>
      <c r="H174" s="201"/>
      <c r="I174" s="195"/>
      <c r="J174" s="201"/>
      <c r="K174" s="193"/>
      <c r="L174" s="202"/>
      <c r="M174" s="195"/>
      <c r="N174" s="195"/>
      <c r="O174" s="195"/>
      <c r="P174" s="195"/>
      <c r="Q174" s="203"/>
      <c r="R174" s="198"/>
      <c r="S174" s="199"/>
      <c r="T174" s="199"/>
      <c r="U174" s="199"/>
      <c r="V174" s="199"/>
      <c r="W174" s="199"/>
      <c r="X174" s="199"/>
    </row>
    <row r="175">
      <c r="A175" s="247"/>
      <c r="B175" s="199"/>
      <c r="C175" s="247"/>
      <c r="D175" s="247"/>
      <c r="E175" s="195"/>
      <c r="F175" s="201"/>
      <c r="G175" s="195"/>
      <c r="H175" s="201"/>
      <c r="I175" s="195"/>
      <c r="J175" s="201"/>
      <c r="K175" s="193"/>
      <c r="L175" s="202"/>
      <c r="M175" s="195"/>
      <c r="N175" s="195"/>
      <c r="O175" s="195"/>
      <c r="P175" s="195"/>
      <c r="Q175" s="203"/>
      <c r="R175" s="198"/>
      <c r="S175" s="199"/>
      <c r="T175" s="199"/>
      <c r="U175" s="199"/>
      <c r="V175" s="199"/>
      <c r="W175" s="199"/>
      <c r="X175" s="199"/>
    </row>
    <row r="176">
      <c r="A176" s="247"/>
      <c r="B176" s="199"/>
      <c r="C176" s="247"/>
      <c r="D176" s="247"/>
      <c r="E176" s="195"/>
      <c r="F176" s="201"/>
      <c r="G176" s="195"/>
      <c r="H176" s="201"/>
      <c r="I176" s="195"/>
      <c r="J176" s="201"/>
      <c r="K176" s="193"/>
      <c r="L176" s="202"/>
      <c r="M176" s="195"/>
      <c r="N176" s="195"/>
      <c r="O176" s="195"/>
      <c r="P176" s="195"/>
      <c r="Q176" s="203"/>
      <c r="R176" s="198"/>
      <c r="S176" s="199"/>
      <c r="T176" s="199"/>
      <c r="U176" s="199"/>
      <c r="V176" s="199"/>
      <c r="W176" s="199"/>
      <c r="X176" s="199"/>
    </row>
    <row r="177">
      <c r="A177" s="247"/>
      <c r="B177" s="199"/>
      <c r="C177" s="247"/>
      <c r="D177" s="247"/>
      <c r="E177" s="195"/>
      <c r="F177" s="201"/>
      <c r="G177" s="195"/>
      <c r="H177" s="201"/>
      <c r="I177" s="195"/>
      <c r="J177" s="201"/>
      <c r="K177" s="193"/>
      <c r="L177" s="202"/>
      <c r="M177" s="195"/>
      <c r="N177" s="195"/>
      <c r="O177" s="195"/>
      <c r="P177" s="195"/>
      <c r="Q177" s="203"/>
      <c r="R177" s="198"/>
      <c r="S177" s="199"/>
      <c r="T177" s="199"/>
      <c r="U177" s="199"/>
      <c r="V177" s="199"/>
      <c r="W177" s="199"/>
      <c r="X177" s="199"/>
    </row>
    <row r="178">
      <c r="A178" s="247"/>
      <c r="B178" s="199"/>
      <c r="C178" s="247"/>
      <c r="D178" s="247"/>
      <c r="E178" s="195"/>
      <c r="F178" s="201"/>
      <c r="G178" s="195"/>
      <c r="H178" s="201"/>
      <c r="I178" s="195"/>
      <c r="J178" s="201"/>
      <c r="K178" s="193"/>
      <c r="L178" s="202"/>
      <c r="M178" s="195"/>
      <c r="N178" s="195"/>
      <c r="O178" s="195"/>
      <c r="P178" s="195"/>
      <c r="Q178" s="203"/>
      <c r="R178" s="198"/>
      <c r="S178" s="199"/>
      <c r="T178" s="199"/>
      <c r="U178" s="199"/>
      <c r="V178" s="199"/>
      <c r="W178" s="199"/>
      <c r="X178" s="199"/>
    </row>
    <row r="179">
      <c r="A179" s="247"/>
      <c r="B179" s="199"/>
      <c r="C179" s="247"/>
      <c r="D179" s="247"/>
      <c r="E179" s="195"/>
      <c r="F179" s="201"/>
      <c r="G179" s="195"/>
      <c r="H179" s="201"/>
      <c r="I179" s="195"/>
      <c r="J179" s="201"/>
      <c r="K179" s="193"/>
      <c r="L179" s="202"/>
      <c r="M179" s="195"/>
      <c r="N179" s="195"/>
      <c r="O179" s="195"/>
      <c r="P179" s="195"/>
      <c r="Q179" s="203"/>
      <c r="R179" s="198"/>
      <c r="S179" s="199"/>
      <c r="T179" s="199"/>
      <c r="U179" s="199"/>
      <c r="V179" s="199"/>
      <c r="W179" s="199"/>
      <c r="X179" s="199"/>
    </row>
    <row r="180">
      <c r="A180" s="247"/>
      <c r="B180" s="199"/>
      <c r="C180" s="247"/>
      <c r="D180" s="247"/>
      <c r="E180" s="195"/>
      <c r="F180" s="201"/>
      <c r="G180" s="195"/>
      <c r="H180" s="201"/>
      <c r="I180" s="195"/>
      <c r="J180" s="201"/>
      <c r="K180" s="193"/>
      <c r="L180" s="202"/>
      <c r="M180" s="195"/>
      <c r="N180" s="195"/>
      <c r="O180" s="195"/>
      <c r="P180" s="195"/>
      <c r="Q180" s="203"/>
      <c r="R180" s="198"/>
      <c r="S180" s="199"/>
      <c r="T180" s="199"/>
      <c r="U180" s="199"/>
      <c r="V180" s="199"/>
      <c r="W180" s="199"/>
      <c r="X180" s="199"/>
    </row>
    <row r="181">
      <c r="A181" s="247"/>
      <c r="B181" s="199"/>
      <c r="C181" s="247"/>
      <c r="D181" s="247"/>
      <c r="E181" s="195"/>
      <c r="F181" s="201"/>
      <c r="G181" s="195"/>
      <c r="H181" s="201"/>
      <c r="I181" s="195"/>
      <c r="J181" s="201"/>
      <c r="K181" s="193"/>
      <c r="L181" s="202"/>
      <c r="M181" s="195"/>
      <c r="N181" s="195"/>
      <c r="O181" s="195"/>
      <c r="P181" s="195"/>
      <c r="Q181" s="203"/>
      <c r="R181" s="198"/>
      <c r="S181" s="199"/>
      <c r="T181" s="199"/>
      <c r="U181" s="199"/>
      <c r="V181" s="199"/>
      <c r="W181" s="199"/>
      <c r="X181" s="199"/>
    </row>
    <row r="182">
      <c r="A182" s="247"/>
      <c r="B182" s="199"/>
      <c r="C182" s="247"/>
      <c r="D182" s="247"/>
      <c r="E182" s="195"/>
      <c r="F182" s="201"/>
      <c r="G182" s="195"/>
      <c r="H182" s="201"/>
      <c r="I182" s="195"/>
      <c r="J182" s="201"/>
      <c r="K182" s="193"/>
      <c r="L182" s="202"/>
      <c r="M182" s="195"/>
      <c r="N182" s="195"/>
      <c r="O182" s="195"/>
      <c r="P182" s="195"/>
      <c r="Q182" s="203"/>
      <c r="R182" s="198"/>
      <c r="S182" s="199"/>
      <c r="T182" s="199"/>
      <c r="U182" s="199"/>
      <c r="V182" s="199"/>
      <c r="W182" s="199"/>
      <c r="X182" s="199"/>
    </row>
    <row r="183">
      <c r="A183" s="247"/>
      <c r="B183" s="199"/>
      <c r="C183" s="247"/>
      <c r="D183" s="247"/>
      <c r="E183" s="195"/>
      <c r="F183" s="201"/>
      <c r="G183" s="195"/>
      <c r="H183" s="201"/>
      <c r="I183" s="195"/>
      <c r="J183" s="201"/>
      <c r="K183" s="193"/>
      <c r="L183" s="202"/>
      <c r="M183" s="195"/>
      <c r="N183" s="195"/>
      <c r="O183" s="195"/>
      <c r="P183" s="195"/>
      <c r="Q183" s="203"/>
      <c r="R183" s="198"/>
      <c r="S183" s="199"/>
      <c r="T183" s="199"/>
      <c r="U183" s="199"/>
      <c r="V183" s="199"/>
      <c r="W183" s="199"/>
      <c r="X183" s="199"/>
    </row>
    <row r="184">
      <c r="A184" s="247"/>
      <c r="B184" s="199"/>
      <c r="C184" s="247"/>
      <c r="D184" s="247"/>
      <c r="E184" s="195"/>
      <c r="F184" s="201"/>
      <c r="G184" s="195"/>
      <c r="H184" s="201"/>
      <c r="I184" s="195"/>
      <c r="J184" s="201"/>
      <c r="K184" s="193"/>
      <c r="L184" s="202"/>
      <c r="M184" s="195"/>
      <c r="N184" s="195"/>
      <c r="O184" s="195"/>
      <c r="P184" s="195"/>
      <c r="Q184" s="203"/>
      <c r="R184" s="198"/>
      <c r="S184" s="199"/>
      <c r="T184" s="199"/>
      <c r="U184" s="199"/>
      <c r="V184" s="199"/>
      <c r="W184" s="199"/>
      <c r="X184" s="199"/>
    </row>
    <row r="185">
      <c r="A185" s="247"/>
      <c r="B185" s="199"/>
      <c r="C185" s="247"/>
      <c r="D185" s="247"/>
      <c r="E185" s="195"/>
      <c r="F185" s="201"/>
      <c r="G185" s="195"/>
      <c r="H185" s="201"/>
      <c r="I185" s="195"/>
      <c r="J185" s="201"/>
      <c r="K185" s="193"/>
      <c r="L185" s="202"/>
      <c r="M185" s="195"/>
      <c r="N185" s="195"/>
      <c r="O185" s="195"/>
      <c r="P185" s="195"/>
      <c r="Q185" s="203"/>
      <c r="R185" s="198"/>
      <c r="S185" s="199"/>
      <c r="T185" s="199"/>
      <c r="U185" s="199"/>
      <c r="V185" s="199"/>
      <c r="W185" s="199"/>
      <c r="X185" s="199"/>
    </row>
    <row r="186">
      <c r="A186" s="247"/>
      <c r="B186" s="199"/>
      <c r="C186" s="247"/>
      <c r="D186" s="247"/>
      <c r="E186" s="195"/>
      <c r="F186" s="201"/>
      <c r="G186" s="195"/>
      <c r="H186" s="201"/>
      <c r="I186" s="195"/>
      <c r="J186" s="201"/>
      <c r="K186" s="193"/>
      <c r="L186" s="202"/>
      <c r="M186" s="195"/>
      <c r="N186" s="195"/>
      <c r="O186" s="195"/>
      <c r="P186" s="195"/>
      <c r="Q186" s="203"/>
      <c r="R186" s="198"/>
      <c r="S186" s="199"/>
      <c r="T186" s="199"/>
      <c r="U186" s="199"/>
      <c r="V186" s="199"/>
      <c r="W186" s="199"/>
      <c r="X186" s="199"/>
    </row>
    <row r="187">
      <c r="A187" s="247"/>
      <c r="B187" s="199"/>
      <c r="C187" s="247"/>
      <c r="D187" s="247"/>
      <c r="E187" s="195"/>
      <c r="F187" s="201"/>
      <c r="G187" s="195"/>
      <c r="H187" s="201"/>
      <c r="I187" s="195"/>
      <c r="J187" s="201"/>
      <c r="K187" s="193"/>
      <c r="L187" s="202"/>
      <c r="M187" s="195"/>
      <c r="N187" s="195"/>
      <c r="O187" s="195"/>
      <c r="P187" s="195"/>
      <c r="Q187" s="203"/>
      <c r="R187" s="198"/>
      <c r="S187" s="199"/>
      <c r="T187" s="199"/>
      <c r="U187" s="199"/>
      <c r="V187" s="199"/>
      <c r="W187" s="199"/>
      <c r="X187" s="199"/>
    </row>
    <row r="188">
      <c r="A188" s="247"/>
      <c r="B188" s="199"/>
      <c r="C188" s="247"/>
      <c r="D188" s="247"/>
      <c r="E188" s="195"/>
      <c r="F188" s="201"/>
      <c r="G188" s="195"/>
      <c r="H188" s="201"/>
      <c r="I188" s="195"/>
      <c r="J188" s="201"/>
      <c r="K188" s="193"/>
      <c r="L188" s="202"/>
      <c r="M188" s="195"/>
      <c r="N188" s="195"/>
      <c r="O188" s="195"/>
      <c r="P188" s="195"/>
      <c r="Q188" s="203"/>
      <c r="R188" s="198"/>
      <c r="S188" s="199"/>
      <c r="T188" s="199"/>
      <c r="U188" s="199"/>
      <c r="V188" s="199"/>
      <c r="W188" s="199"/>
      <c r="X188" s="199"/>
    </row>
    <row r="189">
      <c r="A189" s="247"/>
      <c r="B189" s="199"/>
      <c r="C189" s="247"/>
      <c r="D189" s="247"/>
      <c r="E189" s="195"/>
      <c r="F189" s="201"/>
      <c r="G189" s="195"/>
      <c r="H189" s="201"/>
      <c r="I189" s="195"/>
      <c r="J189" s="201"/>
      <c r="K189" s="193"/>
      <c r="L189" s="202"/>
      <c r="M189" s="195"/>
      <c r="N189" s="195"/>
      <c r="O189" s="195"/>
      <c r="P189" s="195"/>
      <c r="Q189" s="203"/>
      <c r="R189" s="198"/>
      <c r="S189" s="199"/>
      <c r="T189" s="199"/>
      <c r="U189" s="199"/>
      <c r="V189" s="199"/>
      <c r="W189" s="199"/>
      <c r="X189" s="199"/>
    </row>
    <row r="190">
      <c r="A190" s="247"/>
      <c r="B190" s="199"/>
      <c r="C190" s="247"/>
      <c r="D190" s="247"/>
      <c r="E190" s="195"/>
      <c r="F190" s="201"/>
      <c r="G190" s="195"/>
      <c r="H190" s="201"/>
      <c r="I190" s="195"/>
      <c r="J190" s="201"/>
      <c r="K190" s="193"/>
      <c r="L190" s="202"/>
      <c r="M190" s="195"/>
      <c r="N190" s="195"/>
      <c r="O190" s="195"/>
      <c r="P190" s="195"/>
      <c r="Q190" s="203"/>
      <c r="R190" s="198"/>
      <c r="S190" s="199"/>
      <c r="T190" s="199"/>
      <c r="U190" s="199"/>
      <c r="V190" s="199"/>
      <c r="W190" s="199"/>
      <c r="X190" s="199"/>
    </row>
    <row r="191">
      <c r="A191" s="247"/>
      <c r="B191" s="199"/>
      <c r="C191" s="247"/>
      <c r="D191" s="247"/>
      <c r="E191" s="195"/>
      <c r="F191" s="201"/>
      <c r="G191" s="195"/>
      <c r="H191" s="201"/>
      <c r="I191" s="195"/>
      <c r="J191" s="201"/>
      <c r="K191" s="193"/>
      <c r="L191" s="202"/>
      <c r="M191" s="195"/>
      <c r="N191" s="195"/>
      <c r="O191" s="195"/>
      <c r="P191" s="195"/>
      <c r="Q191" s="203"/>
      <c r="R191" s="198"/>
      <c r="S191" s="199"/>
      <c r="T191" s="199"/>
      <c r="U191" s="199"/>
      <c r="V191" s="199"/>
      <c r="W191" s="199"/>
      <c r="X191" s="199"/>
    </row>
    <row r="192">
      <c r="A192" s="247"/>
      <c r="B192" s="199"/>
      <c r="C192" s="247"/>
      <c r="D192" s="247"/>
      <c r="E192" s="195"/>
      <c r="F192" s="201"/>
      <c r="G192" s="195"/>
      <c r="H192" s="201"/>
      <c r="I192" s="195"/>
      <c r="J192" s="201"/>
      <c r="K192" s="193"/>
      <c r="L192" s="202"/>
      <c r="M192" s="195"/>
      <c r="N192" s="195"/>
      <c r="O192" s="195"/>
      <c r="P192" s="195"/>
      <c r="Q192" s="203"/>
      <c r="R192" s="198"/>
      <c r="S192" s="199"/>
      <c r="T192" s="199"/>
      <c r="U192" s="199"/>
      <c r="V192" s="199"/>
      <c r="W192" s="199"/>
      <c r="X192" s="199"/>
    </row>
    <row r="193">
      <c r="A193" s="247"/>
      <c r="B193" s="199"/>
      <c r="C193" s="247"/>
      <c r="D193" s="247"/>
      <c r="E193" s="195"/>
      <c r="F193" s="201"/>
      <c r="G193" s="195"/>
      <c r="H193" s="201"/>
      <c r="I193" s="195"/>
      <c r="J193" s="201"/>
      <c r="K193" s="193"/>
      <c r="L193" s="202"/>
      <c r="M193" s="195"/>
      <c r="N193" s="195"/>
      <c r="O193" s="195"/>
      <c r="P193" s="195"/>
      <c r="Q193" s="203"/>
      <c r="R193" s="198"/>
      <c r="S193" s="199"/>
      <c r="T193" s="199"/>
      <c r="U193" s="199"/>
      <c r="V193" s="199"/>
      <c r="W193" s="199"/>
      <c r="X193" s="199"/>
    </row>
    <row r="194">
      <c r="A194" s="247"/>
      <c r="B194" s="199"/>
      <c r="C194" s="247"/>
      <c r="D194" s="247"/>
      <c r="E194" s="195"/>
      <c r="F194" s="201"/>
      <c r="G194" s="195"/>
      <c r="H194" s="201"/>
      <c r="I194" s="195"/>
      <c r="J194" s="201"/>
      <c r="K194" s="193"/>
      <c r="L194" s="202"/>
      <c r="M194" s="195"/>
      <c r="N194" s="195"/>
      <c r="O194" s="195"/>
      <c r="P194" s="195"/>
      <c r="Q194" s="203"/>
      <c r="R194" s="198"/>
      <c r="S194" s="199"/>
      <c r="T194" s="199"/>
      <c r="U194" s="199"/>
      <c r="V194" s="199"/>
      <c r="W194" s="199"/>
      <c r="X194" s="199"/>
    </row>
    <row r="195">
      <c r="A195" s="247"/>
      <c r="B195" s="199"/>
      <c r="C195" s="247"/>
      <c r="D195" s="247"/>
      <c r="E195" s="195"/>
      <c r="F195" s="201"/>
      <c r="G195" s="195"/>
      <c r="H195" s="201"/>
      <c r="I195" s="195"/>
      <c r="J195" s="201"/>
      <c r="K195" s="193"/>
      <c r="L195" s="202"/>
      <c r="M195" s="195"/>
      <c r="N195" s="195"/>
      <c r="O195" s="195"/>
      <c r="P195" s="195"/>
      <c r="Q195" s="203"/>
      <c r="R195" s="198"/>
      <c r="S195" s="199"/>
      <c r="T195" s="199"/>
      <c r="U195" s="199"/>
      <c r="V195" s="199"/>
      <c r="W195" s="199"/>
      <c r="X195" s="199"/>
    </row>
    <row r="196">
      <c r="A196" s="247"/>
      <c r="B196" s="199"/>
      <c r="C196" s="247"/>
      <c r="D196" s="247"/>
      <c r="E196" s="195"/>
      <c r="F196" s="201"/>
      <c r="G196" s="195"/>
      <c r="H196" s="201"/>
      <c r="I196" s="195"/>
      <c r="J196" s="201"/>
      <c r="K196" s="193"/>
      <c r="L196" s="202"/>
      <c r="M196" s="195"/>
      <c r="N196" s="195"/>
      <c r="O196" s="195"/>
      <c r="P196" s="195"/>
      <c r="Q196" s="203"/>
      <c r="R196" s="198"/>
      <c r="S196" s="199"/>
      <c r="T196" s="199"/>
      <c r="U196" s="199"/>
      <c r="V196" s="199"/>
      <c r="W196" s="199"/>
      <c r="X196" s="199"/>
    </row>
    <row r="197">
      <c r="A197" s="247"/>
      <c r="B197" s="199"/>
      <c r="C197" s="247"/>
      <c r="D197" s="247"/>
      <c r="E197" s="195"/>
      <c r="F197" s="201"/>
      <c r="G197" s="195"/>
      <c r="H197" s="201"/>
      <c r="I197" s="195"/>
      <c r="J197" s="201"/>
      <c r="K197" s="193"/>
      <c r="L197" s="202"/>
      <c r="M197" s="195"/>
      <c r="N197" s="195"/>
      <c r="O197" s="195"/>
      <c r="P197" s="195"/>
      <c r="Q197" s="203"/>
      <c r="R197" s="198"/>
      <c r="S197" s="199"/>
      <c r="T197" s="199"/>
      <c r="U197" s="199"/>
      <c r="V197" s="199"/>
      <c r="W197" s="199"/>
      <c r="X197" s="199"/>
    </row>
    <row r="198">
      <c r="A198" s="247"/>
      <c r="B198" s="199"/>
      <c r="C198" s="247"/>
      <c r="D198" s="247"/>
      <c r="E198" s="195"/>
      <c r="F198" s="201"/>
      <c r="G198" s="195"/>
      <c r="H198" s="201"/>
      <c r="I198" s="195"/>
      <c r="J198" s="201"/>
      <c r="K198" s="193"/>
      <c r="L198" s="202"/>
      <c r="M198" s="195"/>
      <c r="N198" s="195"/>
      <c r="O198" s="195"/>
      <c r="P198" s="195"/>
      <c r="Q198" s="203"/>
      <c r="R198" s="198"/>
      <c r="S198" s="199"/>
      <c r="T198" s="199"/>
      <c r="U198" s="199"/>
      <c r="V198" s="199"/>
      <c r="W198" s="199"/>
      <c r="X198" s="199"/>
    </row>
    <row r="199">
      <c r="A199" s="247"/>
      <c r="B199" s="199"/>
      <c r="C199" s="247"/>
      <c r="D199" s="247"/>
      <c r="E199" s="195"/>
      <c r="F199" s="201"/>
      <c r="G199" s="195"/>
      <c r="H199" s="201"/>
      <c r="I199" s="195"/>
      <c r="J199" s="201"/>
      <c r="K199" s="193"/>
      <c r="L199" s="202"/>
      <c r="M199" s="195"/>
      <c r="N199" s="195"/>
      <c r="O199" s="195"/>
      <c r="P199" s="195"/>
      <c r="Q199" s="203"/>
      <c r="R199" s="198"/>
      <c r="S199" s="199"/>
      <c r="T199" s="199"/>
      <c r="U199" s="199"/>
      <c r="V199" s="199"/>
      <c r="W199" s="199"/>
      <c r="X199" s="199"/>
    </row>
    <row r="200">
      <c r="A200" s="247"/>
      <c r="B200" s="199"/>
      <c r="C200" s="247"/>
      <c r="D200" s="247"/>
      <c r="E200" s="195"/>
      <c r="F200" s="201"/>
      <c r="G200" s="195"/>
      <c r="H200" s="201"/>
      <c r="I200" s="195"/>
      <c r="J200" s="201"/>
      <c r="K200" s="193"/>
      <c r="L200" s="202"/>
      <c r="M200" s="195"/>
      <c r="N200" s="195"/>
      <c r="O200" s="195"/>
      <c r="P200" s="195"/>
      <c r="Q200" s="203"/>
      <c r="R200" s="198"/>
      <c r="S200" s="199"/>
      <c r="T200" s="199"/>
      <c r="U200" s="199"/>
      <c r="V200" s="199"/>
      <c r="W200" s="199"/>
      <c r="X200" s="199"/>
    </row>
    <row r="201">
      <c r="A201" s="247"/>
      <c r="B201" s="199"/>
      <c r="C201" s="247"/>
      <c r="D201" s="247"/>
      <c r="E201" s="195"/>
      <c r="F201" s="201"/>
      <c r="G201" s="195"/>
      <c r="H201" s="201"/>
      <c r="I201" s="195"/>
      <c r="J201" s="201"/>
      <c r="K201" s="193"/>
      <c r="L201" s="202"/>
      <c r="M201" s="195"/>
      <c r="N201" s="195"/>
      <c r="O201" s="195"/>
      <c r="P201" s="195"/>
      <c r="Q201" s="203"/>
      <c r="R201" s="198"/>
      <c r="S201" s="199"/>
      <c r="T201" s="199"/>
      <c r="U201" s="199"/>
      <c r="V201" s="199"/>
      <c r="W201" s="199"/>
      <c r="X201" s="199"/>
    </row>
    <row r="202">
      <c r="A202" s="247"/>
      <c r="B202" s="199"/>
      <c r="C202" s="247"/>
      <c r="D202" s="247"/>
      <c r="E202" s="195"/>
      <c r="F202" s="201"/>
      <c r="G202" s="195"/>
      <c r="H202" s="201"/>
      <c r="I202" s="195"/>
      <c r="J202" s="201"/>
      <c r="K202" s="193"/>
      <c r="L202" s="202"/>
      <c r="M202" s="195"/>
      <c r="N202" s="195"/>
      <c r="O202" s="195"/>
      <c r="P202" s="195"/>
      <c r="Q202" s="203"/>
      <c r="R202" s="198"/>
      <c r="S202" s="199"/>
      <c r="T202" s="199"/>
      <c r="U202" s="199"/>
      <c r="V202" s="199"/>
      <c r="W202" s="199"/>
      <c r="X202" s="199"/>
    </row>
    <row r="203">
      <c r="A203" s="247"/>
      <c r="B203" s="199"/>
      <c r="C203" s="247"/>
      <c r="D203" s="247"/>
      <c r="E203" s="195"/>
      <c r="F203" s="201"/>
      <c r="G203" s="195"/>
      <c r="H203" s="201"/>
      <c r="I203" s="195"/>
      <c r="J203" s="201"/>
      <c r="K203" s="193"/>
      <c r="L203" s="202"/>
      <c r="M203" s="195"/>
      <c r="N203" s="195"/>
      <c r="O203" s="195"/>
      <c r="P203" s="195"/>
      <c r="Q203" s="203"/>
      <c r="R203" s="198"/>
      <c r="S203" s="199"/>
      <c r="T203" s="199"/>
      <c r="U203" s="199"/>
      <c r="V203" s="199"/>
      <c r="W203" s="199"/>
      <c r="X203" s="199"/>
    </row>
    <row r="204">
      <c r="A204" s="247"/>
      <c r="B204" s="199"/>
      <c r="C204" s="247"/>
      <c r="D204" s="247"/>
      <c r="E204" s="195"/>
      <c r="F204" s="201"/>
      <c r="G204" s="195"/>
      <c r="H204" s="201"/>
      <c r="I204" s="195"/>
      <c r="J204" s="201"/>
      <c r="K204" s="193"/>
      <c r="L204" s="202"/>
      <c r="M204" s="195"/>
      <c r="N204" s="195"/>
      <c r="O204" s="195"/>
      <c r="P204" s="195"/>
      <c r="Q204" s="203"/>
      <c r="R204" s="198"/>
      <c r="S204" s="199"/>
      <c r="T204" s="199"/>
      <c r="U204" s="199"/>
      <c r="V204" s="199"/>
      <c r="W204" s="199"/>
      <c r="X204" s="199"/>
    </row>
    <row r="205">
      <c r="A205" s="247"/>
      <c r="B205" s="199"/>
      <c r="C205" s="247"/>
      <c r="D205" s="247"/>
      <c r="E205" s="195"/>
      <c r="F205" s="201"/>
      <c r="G205" s="195"/>
      <c r="H205" s="201"/>
      <c r="I205" s="195"/>
      <c r="J205" s="201"/>
      <c r="K205" s="193"/>
      <c r="L205" s="202"/>
      <c r="M205" s="195"/>
      <c r="N205" s="195"/>
      <c r="O205" s="195"/>
      <c r="P205" s="195"/>
      <c r="Q205" s="203"/>
      <c r="R205" s="198"/>
      <c r="S205" s="199"/>
      <c r="T205" s="199"/>
      <c r="U205" s="199"/>
      <c r="V205" s="199"/>
      <c r="W205" s="199"/>
      <c r="X205" s="199"/>
    </row>
    <row r="206">
      <c r="A206" s="247"/>
      <c r="B206" s="199"/>
      <c r="C206" s="247"/>
      <c r="D206" s="247"/>
      <c r="E206" s="195"/>
      <c r="F206" s="201"/>
      <c r="G206" s="195"/>
      <c r="H206" s="201"/>
      <c r="I206" s="195"/>
      <c r="J206" s="201"/>
      <c r="K206" s="193"/>
      <c r="L206" s="202"/>
      <c r="M206" s="195"/>
      <c r="N206" s="195"/>
      <c r="O206" s="195"/>
      <c r="P206" s="195"/>
      <c r="Q206" s="203"/>
      <c r="R206" s="198"/>
      <c r="S206" s="199"/>
      <c r="T206" s="199"/>
      <c r="U206" s="199"/>
      <c r="V206" s="199"/>
      <c r="W206" s="199"/>
      <c r="X206" s="199"/>
    </row>
    <row r="207">
      <c r="A207" s="247"/>
      <c r="B207" s="199"/>
      <c r="C207" s="247"/>
      <c r="D207" s="247"/>
      <c r="E207" s="195"/>
      <c r="F207" s="201"/>
      <c r="G207" s="195"/>
      <c r="H207" s="201"/>
      <c r="I207" s="195"/>
      <c r="J207" s="201"/>
      <c r="K207" s="193"/>
      <c r="L207" s="202"/>
      <c r="M207" s="195"/>
      <c r="N207" s="195"/>
      <c r="O207" s="195"/>
      <c r="P207" s="195"/>
      <c r="Q207" s="203"/>
      <c r="R207" s="198"/>
      <c r="S207" s="199"/>
      <c r="T207" s="199"/>
      <c r="U207" s="199"/>
      <c r="V207" s="199"/>
      <c r="W207" s="199"/>
      <c r="X207" s="199"/>
    </row>
    <row r="208">
      <c r="A208" s="247"/>
      <c r="B208" s="199"/>
      <c r="C208" s="247"/>
      <c r="D208" s="247"/>
      <c r="E208" s="195"/>
      <c r="F208" s="201"/>
      <c r="G208" s="195"/>
      <c r="H208" s="201"/>
      <c r="I208" s="195"/>
      <c r="J208" s="201"/>
      <c r="K208" s="193"/>
      <c r="L208" s="202"/>
      <c r="M208" s="195"/>
      <c r="N208" s="195"/>
      <c r="O208" s="195"/>
      <c r="P208" s="195"/>
      <c r="Q208" s="203"/>
      <c r="R208" s="198"/>
      <c r="S208" s="199"/>
      <c r="T208" s="199"/>
      <c r="U208" s="199"/>
      <c r="V208" s="199"/>
      <c r="W208" s="199"/>
      <c r="X208" s="199"/>
    </row>
    <row r="209">
      <c r="A209" s="247"/>
      <c r="B209" s="199"/>
      <c r="C209" s="247"/>
      <c r="D209" s="247"/>
      <c r="E209" s="195"/>
      <c r="F209" s="201"/>
      <c r="G209" s="195"/>
      <c r="H209" s="201"/>
      <c r="I209" s="195"/>
      <c r="J209" s="201"/>
      <c r="K209" s="193"/>
      <c r="L209" s="202"/>
      <c r="M209" s="195"/>
      <c r="N209" s="195"/>
      <c r="O209" s="195"/>
      <c r="P209" s="195"/>
      <c r="Q209" s="203"/>
      <c r="R209" s="198"/>
      <c r="S209" s="199"/>
      <c r="T209" s="199"/>
      <c r="U209" s="199"/>
      <c r="V209" s="199"/>
      <c r="W209" s="199"/>
      <c r="X209" s="199"/>
    </row>
    <row r="210">
      <c r="A210" s="247"/>
      <c r="B210" s="199"/>
      <c r="C210" s="247"/>
      <c r="D210" s="247"/>
      <c r="E210" s="195"/>
      <c r="F210" s="201"/>
      <c r="G210" s="195"/>
      <c r="H210" s="201"/>
      <c r="I210" s="195"/>
      <c r="J210" s="201"/>
      <c r="K210" s="193"/>
      <c r="L210" s="202"/>
      <c r="M210" s="195"/>
      <c r="N210" s="195"/>
      <c r="O210" s="195"/>
      <c r="P210" s="195"/>
      <c r="Q210" s="203"/>
      <c r="R210" s="198"/>
      <c r="S210" s="199"/>
      <c r="T210" s="199"/>
      <c r="U210" s="199"/>
      <c r="V210" s="199"/>
      <c r="W210" s="199"/>
      <c r="X210" s="199"/>
    </row>
    <row r="211">
      <c r="A211" s="247"/>
      <c r="B211" s="199"/>
      <c r="C211" s="247"/>
      <c r="D211" s="247"/>
      <c r="E211" s="195"/>
      <c r="F211" s="201"/>
      <c r="G211" s="195"/>
      <c r="H211" s="201"/>
      <c r="I211" s="195"/>
      <c r="J211" s="201"/>
      <c r="K211" s="193"/>
      <c r="L211" s="202"/>
      <c r="M211" s="195"/>
      <c r="N211" s="195"/>
      <c r="O211" s="195"/>
      <c r="P211" s="195"/>
      <c r="Q211" s="203"/>
      <c r="R211" s="198"/>
      <c r="S211" s="199"/>
      <c r="T211" s="199"/>
      <c r="U211" s="199"/>
      <c r="V211" s="199"/>
      <c r="W211" s="199"/>
      <c r="X211" s="199"/>
    </row>
    <row r="212">
      <c r="A212" s="247"/>
      <c r="B212" s="199"/>
      <c r="C212" s="247"/>
      <c r="D212" s="247"/>
      <c r="E212" s="195"/>
      <c r="F212" s="201"/>
      <c r="G212" s="195"/>
      <c r="H212" s="201"/>
      <c r="I212" s="195"/>
      <c r="J212" s="201"/>
      <c r="K212" s="193"/>
      <c r="L212" s="202"/>
      <c r="M212" s="195"/>
      <c r="N212" s="195"/>
      <c r="O212" s="195"/>
      <c r="P212" s="195"/>
      <c r="Q212" s="203"/>
      <c r="R212" s="198"/>
      <c r="S212" s="199"/>
      <c r="T212" s="199"/>
      <c r="U212" s="199"/>
      <c r="V212" s="199"/>
      <c r="W212" s="199"/>
      <c r="X212" s="199"/>
    </row>
    <row r="213">
      <c r="A213" s="247"/>
      <c r="B213" s="199"/>
      <c r="C213" s="247"/>
      <c r="D213" s="247"/>
      <c r="E213" s="195"/>
      <c r="F213" s="201"/>
      <c r="G213" s="195"/>
      <c r="H213" s="201"/>
      <c r="I213" s="195"/>
      <c r="J213" s="201"/>
      <c r="K213" s="193"/>
      <c r="L213" s="202"/>
      <c r="M213" s="195"/>
      <c r="N213" s="195"/>
      <c r="O213" s="195"/>
      <c r="P213" s="195"/>
      <c r="Q213" s="203"/>
      <c r="R213" s="198"/>
      <c r="S213" s="199"/>
      <c r="T213" s="199"/>
      <c r="U213" s="199"/>
      <c r="V213" s="199"/>
      <c r="W213" s="199"/>
      <c r="X213" s="199"/>
    </row>
    <row r="214">
      <c r="A214" s="247"/>
      <c r="B214" s="199"/>
      <c r="C214" s="247"/>
      <c r="D214" s="247"/>
      <c r="E214" s="195"/>
      <c r="F214" s="201"/>
      <c r="G214" s="195"/>
      <c r="H214" s="201"/>
      <c r="I214" s="195"/>
      <c r="J214" s="201"/>
      <c r="K214" s="193"/>
      <c r="L214" s="202"/>
      <c r="M214" s="195"/>
      <c r="N214" s="195"/>
      <c r="O214" s="195"/>
      <c r="P214" s="195"/>
      <c r="Q214" s="203"/>
      <c r="R214" s="198"/>
      <c r="S214" s="199"/>
      <c r="T214" s="199"/>
      <c r="U214" s="199"/>
      <c r="V214" s="199"/>
      <c r="W214" s="199"/>
      <c r="X214" s="199"/>
    </row>
    <row r="215">
      <c r="A215" s="247"/>
      <c r="B215" s="199"/>
      <c r="C215" s="247"/>
      <c r="D215" s="247"/>
      <c r="E215" s="195"/>
      <c r="F215" s="201"/>
      <c r="G215" s="195"/>
      <c r="H215" s="201"/>
      <c r="I215" s="195"/>
      <c r="J215" s="201"/>
      <c r="K215" s="193"/>
      <c r="L215" s="202"/>
      <c r="M215" s="195"/>
      <c r="N215" s="195"/>
      <c r="O215" s="195"/>
      <c r="P215" s="195"/>
      <c r="Q215" s="203"/>
      <c r="R215" s="198"/>
      <c r="S215" s="199"/>
      <c r="T215" s="199"/>
      <c r="U215" s="199"/>
      <c r="V215" s="199"/>
      <c r="W215" s="199"/>
      <c r="X215" s="199"/>
    </row>
    <row r="216">
      <c r="A216" s="247"/>
      <c r="B216" s="199"/>
      <c r="C216" s="247"/>
      <c r="D216" s="247"/>
      <c r="E216" s="195"/>
      <c r="F216" s="201"/>
      <c r="G216" s="195"/>
      <c r="H216" s="201"/>
      <c r="I216" s="195"/>
      <c r="J216" s="201"/>
      <c r="K216" s="193"/>
      <c r="L216" s="202"/>
      <c r="M216" s="195"/>
      <c r="N216" s="195"/>
      <c r="O216" s="195"/>
      <c r="P216" s="195"/>
      <c r="Q216" s="203"/>
      <c r="R216" s="198"/>
      <c r="S216" s="199"/>
      <c r="T216" s="199"/>
      <c r="U216" s="199"/>
      <c r="V216" s="199"/>
      <c r="W216" s="199"/>
      <c r="X216" s="199"/>
    </row>
    <row r="217">
      <c r="A217" s="247"/>
      <c r="B217" s="199"/>
      <c r="C217" s="247"/>
      <c r="D217" s="247"/>
      <c r="E217" s="195"/>
      <c r="F217" s="201"/>
      <c r="G217" s="195"/>
      <c r="H217" s="201"/>
      <c r="I217" s="195"/>
      <c r="J217" s="201"/>
      <c r="K217" s="193"/>
      <c r="L217" s="202"/>
      <c r="M217" s="195"/>
      <c r="N217" s="195"/>
      <c r="O217" s="195"/>
      <c r="P217" s="195"/>
      <c r="Q217" s="203"/>
      <c r="R217" s="198"/>
      <c r="S217" s="199"/>
      <c r="T217" s="199"/>
      <c r="U217" s="199"/>
      <c r="V217" s="199"/>
      <c r="W217" s="199"/>
      <c r="X217" s="199"/>
    </row>
    <row r="218">
      <c r="A218" s="247"/>
      <c r="B218" s="199"/>
      <c r="C218" s="247"/>
      <c r="D218" s="247"/>
      <c r="E218" s="195"/>
      <c r="F218" s="201"/>
      <c r="G218" s="195"/>
      <c r="H218" s="201"/>
      <c r="I218" s="195"/>
      <c r="J218" s="201"/>
      <c r="K218" s="193"/>
      <c r="L218" s="202"/>
      <c r="M218" s="195"/>
      <c r="N218" s="195"/>
      <c r="O218" s="195"/>
      <c r="P218" s="195"/>
      <c r="Q218" s="203"/>
      <c r="R218" s="198"/>
      <c r="S218" s="199"/>
      <c r="T218" s="199"/>
      <c r="U218" s="199"/>
      <c r="V218" s="199"/>
      <c r="W218" s="199"/>
      <c r="X218" s="199"/>
    </row>
    <row r="219">
      <c r="A219" s="247"/>
      <c r="B219" s="199"/>
      <c r="C219" s="247"/>
      <c r="D219" s="247"/>
      <c r="E219" s="195"/>
      <c r="F219" s="201"/>
      <c r="G219" s="195"/>
      <c r="H219" s="201"/>
      <c r="I219" s="195"/>
      <c r="J219" s="201"/>
      <c r="K219" s="193"/>
      <c r="L219" s="202"/>
      <c r="M219" s="195"/>
      <c r="N219" s="195"/>
      <c r="O219" s="195"/>
      <c r="P219" s="195"/>
      <c r="Q219" s="203"/>
      <c r="R219" s="198"/>
      <c r="S219" s="199"/>
      <c r="T219" s="199"/>
      <c r="U219" s="199"/>
      <c r="V219" s="199"/>
      <c r="W219" s="199"/>
      <c r="X219" s="199"/>
    </row>
    <row r="220">
      <c r="A220" s="247"/>
      <c r="B220" s="199"/>
      <c r="C220" s="247"/>
      <c r="D220" s="247"/>
      <c r="E220" s="195"/>
      <c r="F220" s="201"/>
      <c r="G220" s="195"/>
      <c r="H220" s="201"/>
      <c r="I220" s="195"/>
      <c r="J220" s="201"/>
      <c r="K220" s="193"/>
      <c r="L220" s="202"/>
      <c r="M220" s="195"/>
      <c r="N220" s="195"/>
      <c r="O220" s="195"/>
      <c r="P220" s="195"/>
      <c r="Q220" s="203"/>
      <c r="R220" s="198"/>
      <c r="S220" s="199"/>
      <c r="T220" s="199"/>
      <c r="U220" s="199"/>
      <c r="V220" s="199"/>
      <c r="W220" s="199"/>
      <c r="X220" s="199"/>
    </row>
    <row r="221">
      <c r="A221" s="247"/>
      <c r="B221" s="199"/>
      <c r="C221" s="247"/>
      <c r="D221" s="247"/>
      <c r="E221" s="195"/>
      <c r="F221" s="201"/>
      <c r="G221" s="195"/>
      <c r="H221" s="201"/>
      <c r="I221" s="195"/>
      <c r="J221" s="201"/>
      <c r="K221" s="193"/>
      <c r="L221" s="202"/>
      <c r="M221" s="195"/>
      <c r="N221" s="195"/>
      <c r="O221" s="195"/>
      <c r="P221" s="195"/>
      <c r="Q221" s="203"/>
      <c r="R221" s="198"/>
      <c r="S221" s="199"/>
      <c r="T221" s="199"/>
      <c r="U221" s="199"/>
      <c r="V221" s="199"/>
      <c r="W221" s="199"/>
      <c r="X221" s="199"/>
    </row>
    <row r="222">
      <c r="A222" s="247"/>
      <c r="B222" s="199"/>
      <c r="C222" s="247"/>
      <c r="D222" s="247"/>
      <c r="E222" s="195"/>
      <c r="F222" s="201"/>
      <c r="G222" s="195"/>
      <c r="H222" s="201"/>
      <c r="I222" s="195"/>
      <c r="J222" s="201"/>
      <c r="K222" s="193"/>
      <c r="L222" s="202"/>
      <c r="M222" s="195"/>
      <c r="N222" s="195"/>
      <c r="O222" s="195"/>
      <c r="P222" s="195"/>
      <c r="Q222" s="203"/>
      <c r="R222" s="198"/>
      <c r="S222" s="199"/>
      <c r="T222" s="199"/>
      <c r="U222" s="199"/>
      <c r="V222" s="199"/>
      <c r="W222" s="199"/>
      <c r="X222" s="199"/>
    </row>
    <row r="223">
      <c r="A223" s="247"/>
      <c r="B223" s="199"/>
      <c r="C223" s="247"/>
      <c r="D223" s="247"/>
      <c r="E223" s="195"/>
      <c r="F223" s="201"/>
      <c r="G223" s="195"/>
      <c r="H223" s="201"/>
      <c r="I223" s="195"/>
      <c r="J223" s="201"/>
      <c r="K223" s="193"/>
      <c r="L223" s="202"/>
      <c r="M223" s="195"/>
      <c r="N223" s="195"/>
      <c r="O223" s="195"/>
      <c r="P223" s="195"/>
      <c r="Q223" s="203"/>
      <c r="R223" s="198"/>
      <c r="S223" s="199"/>
      <c r="T223" s="199"/>
      <c r="U223" s="199"/>
      <c r="V223" s="199"/>
      <c r="W223" s="199"/>
      <c r="X223" s="199"/>
    </row>
    <row r="224">
      <c r="A224" s="247"/>
      <c r="B224" s="199"/>
      <c r="C224" s="247"/>
      <c r="D224" s="247"/>
      <c r="E224" s="195"/>
      <c r="F224" s="201"/>
      <c r="G224" s="195"/>
      <c r="H224" s="201"/>
      <c r="I224" s="195"/>
      <c r="J224" s="201"/>
      <c r="K224" s="193"/>
      <c r="L224" s="202"/>
      <c r="M224" s="195"/>
      <c r="N224" s="195"/>
      <c r="O224" s="195"/>
      <c r="P224" s="195"/>
      <c r="Q224" s="203"/>
      <c r="R224" s="198"/>
      <c r="S224" s="199"/>
      <c r="T224" s="199"/>
      <c r="U224" s="199"/>
      <c r="V224" s="199"/>
      <c r="W224" s="199"/>
      <c r="X224" s="199"/>
    </row>
    <row r="225">
      <c r="A225" s="247"/>
      <c r="B225" s="199"/>
      <c r="C225" s="247"/>
      <c r="D225" s="247"/>
      <c r="E225" s="195"/>
      <c r="F225" s="201"/>
      <c r="G225" s="195"/>
      <c r="H225" s="201"/>
      <c r="I225" s="195"/>
      <c r="J225" s="201"/>
      <c r="K225" s="193"/>
      <c r="L225" s="202"/>
      <c r="M225" s="195"/>
      <c r="N225" s="195"/>
      <c r="O225" s="195"/>
      <c r="P225" s="195"/>
      <c r="Q225" s="203"/>
      <c r="R225" s="198"/>
      <c r="S225" s="199"/>
      <c r="T225" s="199"/>
      <c r="U225" s="199"/>
      <c r="V225" s="199"/>
      <c r="W225" s="199"/>
      <c r="X225" s="199"/>
    </row>
    <row r="226">
      <c r="A226" s="247"/>
      <c r="B226" s="199"/>
      <c r="C226" s="247"/>
      <c r="D226" s="247"/>
      <c r="E226" s="195"/>
      <c r="F226" s="201"/>
      <c r="G226" s="195"/>
      <c r="H226" s="201"/>
      <c r="I226" s="195"/>
      <c r="J226" s="201"/>
      <c r="K226" s="193"/>
      <c r="L226" s="202"/>
      <c r="M226" s="195"/>
      <c r="N226" s="195"/>
      <c r="O226" s="195"/>
      <c r="P226" s="195"/>
      <c r="Q226" s="203"/>
      <c r="R226" s="198"/>
      <c r="S226" s="199"/>
      <c r="T226" s="199"/>
      <c r="U226" s="199"/>
      <c r="V226" s="199"/>
      <c r="W226" s="199"/>
      <c r="X226" s="199"/>
    </row>
    <row r="227">
      <c r="A227" s="247"/>
      <c r="B227" s="199"/>
      <c r="C227" s="247"/>
      <c r="D227" s="247"/>
      <c r="E227" s="195"/>
      <c r="F227" s="201"/>
      <c r="G227" s="195"/>
      <c r="H227" s="201"/>
      <c r="I227" s="195"/>
      <c r="J227" s="201"/>
      <c r="K227" s="193"/>
      <c r="L227" s="202"/>
      <c r="M227" s="195"/>
      <c r="N227" s="195"/>
      <c r="O227" s="195"/>
      <c r="P227" s="195"/>
      <c r="Q227" s="203"/>
      <c r="R227" s="198"/>
      <c r="S227" s="199"/>
      <c r="T227" s="199"/>
      <c r="U227" s="199"/>
      <c r="V227" s="199"/>
      <c r="W227" s="199"/>
      <c r="X227" s="199"/>
    </row>
    <row r="228">
      <c r="A228" s="247"/>
      <c r="B228" s="199"/>
      <c r="C228" s="247"/>
      <c r="D228" s="247"/>
      <c r="E228" s="195"/>
      <c r="F228" s="201"/>
      <c r="G228" s="195"/>
      <c r="H228" s="201"/>
      <c r="I228" s="195"/>
      <c r="J228" s="201"/>
      <c r="K228" s="193"/>
      <c r="L228" s="202"/>
      <c r="M228" s="195"/>
      <c r="N228" s="195"/>
      <c r="O228" s="195"/>
      <c r="P228" s="195"/>
      <c r="Q228" s="203"/>
      <c r="R228" s="198"/>
      <c r="S228" s="199"/>
      <c r="T228" s="199"/>
      <c r="U228" s="199"/>
      <c r="V228" s="199"/>
      <c r="W228" s="199"/>
      <c r="X228" s="199"/>
    </row>
    <row r="229">
      <c r="A229" s="247"/>
      <c r="B229" s="199"/>
      <c r="C229" s="247"/>
      <c r="D229" s="247"/>
      <c r="E229" s="195"/>
      <c r="F229" s="201"/>
      <c r="G229" s="195"/>
      <c r="H229" s="201"/>
      <c r="I229" s="195"/>
      <c r="J229" s="201"/>
      <c r="K229" s="193"/>
      <c r="L229" s="202"/>
      <c r="M229" s="195"/>
      <c r="N229" s="195"/>
      <c r="O229" s="195"/>
      <c r="P229" s="195"/>
      <c r="Q229" s="203"/>
      <c r="R229" s="198"/>
      <c r="S229" s="199"/>
      <c r="T229" s="199"/>
      <c r="U229" s="199"/>
      <c r="V229" s="199"/>
      <c r="W229" s="199"/>
      <c r="X229" s="199"/>
    </row>
    <row r="230">
      <c r="A230" s="247"/>
      <c r="B230" s="199"/>
      <c r="C230" s="247"/>
      <c r="D230" s="247"/>
      <c r="E230" s="195"/>
      <c r="F230" s="201"/>
      <c r="G230" s="195"/>
      <c r="H230" s="201"/>
      <c r="I230" s="195"/>
      <c r="J230" s="201"/>
      <c r="K230" s="193"/>
      <c r="L230" s="202"/>
      <c r="M230" s="195"/>
      <c r="N230" s="195"/>
      <c r="O230" s="195"/>
      <c r="P230" s="195"/>
      <c r="Q230" s="203"/>
      <c r="R230" s="198"/>
      <c r="S230" s="199"/>
      <c r="T230" s="199"/>
      <c r="U230" s="199"/>
      <c r="V230" s="199"/>
      <c r="W230" s="199"/>
      <c r="X230" s="199"/>
    </row>
    <row r="231">
      <c r="A231" s="247"/>
      <c r="B231" s="199"/>
      <c r="C231" s="247"/>
      <c r="D231" s="247"/>
      <c r="E231" s="195"/>
      <c r="F231" s="201"/>
      <c r="G231" s="195"/>
      <c r="H231" s="201"/>
      <c r="I231" s="195"/>
      <c r="J231" s="201"/>
      <c r="K231" s="193"/>
      <c r="L231" s="202"/>
      <c r="M231" s="195"/>
      <c r="N231" s="195"/>
      <c r="O231" s="195"/>
      <c r="P231" s="195"/>
      <c r="Q231" s="203"/>
      <c r="R231" s="198"/>
      <c r="S231" s="199"/>
      <c r="T231" s="199"/>
      <c r="U231" s="199"/>
      <c r="V231" s="199"/>
      <c r="W231" s="199"/>
      <c r="X231" s="199"/>
    </row>
    <row r="232">
      <c r="A232" s="247"/>
      <c r="B232" s="199"/>
      <c r="C232" s="247"/>
      <c r="D232" s="247"/>
      <c r="E232" s="195"/>
      <c r="F232" s="201"/>
      <c r="G232" s="195"/>
      <c r="H232" s="201"/>
      <c r="I232" s="195"/>
      <c r="J232" s="201"/>
      <c r="K232" s="193"/>
      <c r="L232" s="202"/>
      <c r="M232" s="195"/>
      <c r="N232" s="195"/>
      <c r="O232" s="195"/>
      <c r="P232" s="195"/>
      <c r="Q232" s="203"/>
      <c r="R232" s="198"/>
      <c r="S232" s="199"/>
      <c r="T232" s="199"/>
      <c r="U232" s="199"/>
      <c r="V232" s="199"/>
      <c r="W232" s="199"/>
      <c r="X232" s="199"/>
    </row>
    <row r="233">
      <c r="A233" s="247"/>
      <c r="B233" s="199"/>
      <c r="C233" s="247"/>
      <c r="D233" s="247"/>
      <c r="E233" s="195"/>
      <c r="F233" s="201"/>
      <c r="G233" s="195"/>
      <c r="H233" s="201"/>
      <c r="I233" s="195"/>
      <c r="J233" s="201"/>
      <c r="K233" s="193"/>
      <c r="L233" s="202"/>
      <c r="M233" s="195"/>
      <c r="N233" s="195"/>
      <c r="O233" s="195"/>
      <c r="P233" s="195"/>
      <c r="Q233" s="203"/>
      <c r="R233" s="198"/>
      <c r="S233" s="199"/>
      <c r="T233" s="199"/>
      <c r="U233" s="199"/>
      <c r="V233" s="199"/>
      <c r="W233" s="199"/>
      <c r="X233" s="199"/>
    </row>
    <row r="234">
      <c r="A234" s="247"/>
      <c r="B234" s="199"/>
      <c r="C234" s="247"/>
      <c r="D234" s="247"/>
      <c r="E234" s="195"/>
      <c r="F234" s="201"/>
      <c r="G234" s="195"/>
      <c r="H234" s="201"/>
      <c r="I234" s="195"/>
      <c r="J234" s="201"/>
      <c r="K234" s="193"/>
      <c r="L234" s="202"/>
      <c r="M234" s="195"/>
      <c r="N234" s="195"/>
      <c r="O234" s="195"/>
      <c r="P234" s="195"/>
      <c r="Q234" s="203"/>
      <c r="R234" s="198"/>
      <c r="S234" s="199"/>
      <c r="T234" s="199"/>
      <c r="U234" s="199"/>
      <c r="V234" s="199"/>
      <c r="W234" s="199"/>
      <c r="X234" s="199"/>
    </row>
    <row r="235">
      <c r="A235" s="247"/>
      <c r="B235" s="199"/>
      <c r="C235" s="247"/>
      <c r="D235" s="247"/>
      <c r="E235" s="195"/>
      <c r="F235" s="201"/>
      <c r="G235" s="195"/>
      <c r="H235" s="201"/>
      <c r="I235" s="195"/>
      <c r="J235" s="201"/>
      <c r="K235" s="193"/>
      <c r="L235" s="202"/>
      <c r="M235" s="195"/>
      <c r="N235" s="195"/>
      <c r="O235" s="195"/>
      <c r="P235" s="195"/>
      <c r="Q235" s="203"/>
      <c r="R235" s="198"/>
      <c r="S235" s="199"/>
      <c r="T235" s="199"/>
      <c r="U235" s="199"/>
      <c r="V235" s="199"/>
      <c r="W235" s="199"/>
      <c r="X235" s="199"/>
    </row>
    <row r="236">
      <c r="A236" s="247"/>
      <c r="B236" s="199"/>
      <c r="C236" s="247"/>
      <c r="D236" s="247"/>
      <c r="E236" s="195"/>
      <c r="F236" s="201"/>
      <c r="G236" s="195"/>
      <c r="H236" s="201"/>
      <c r="I236" s="195"/>
      <c r="J236" s="201"/>
      <c r="K236" s="193"/>
      <c r="L236" s="202"/>
      <c r="M236" s="195"/>
      <c r="N236" s="195"/>
      <c r="O236" s="195"/>
      <c r="P236" s="195"/>
      <c r="Q236" s="203"/>
      <c r="R236" s="198"/>
      <c r="S236" s="199"/>
      <c r="T236" s="199"/>
      <c r="U236" s="199"/>
      <c r="V236" s="199"/>
      <c r="W236" s="199"/>
      <c r="X236" s="199"/>
    </row>
    <row r="237">
      <c r="A237" s="247"/>
      <c r="B237" s="199"/>
      <c r="C237" s="247"/>
      <c r="D237" s="247"/>
      <c r="E237" s="195"/>
      <c r="F237" s="201"/>
      <c r="G237" s="195"/>
      <c r="H237" s="201"/>
      <c r="I237" s="195"/>
      <c r="J237" s="201"/>
      <c r="K237" s="193"/>
      <c r="L237" s="202"/>
      <c r="M237" s="195"/>
      <c r="N237" s="195"/>
      <c r="O237" s="195"/>
      <c r="P237" s="195"/>
      <c r="Q237" s="203"/>
      <c r="R237" s="198"/>
      <c r="S237" s="199"/>
      <c r="T237" s="199"/>
      <c r="U237" s="199"/>
      <c r="V237" s="199"/>
      <c r="W237" s="199"/>
      <c r="X237" s="199"/>
    </row>
    <row r="238">
      <c r="A238" s="247"/>
      <c r="B238" s="199"/>
      <c r="C238" s="247"/>
      <c r="D238" s="247"/>
      <c r="E238" s="195"/>
      <c r="F238" s="201"/>
      <c r="G238" s="195"/>
      <c r="H238" s="201"/>
      <c r="I238" s="195"/>
      <c r="J238" s="201"/>
      <c r="K238" s="193"/>
      <c r="L238" s="202"/>
      <c r="M238" s="195"/>
      <c r="N238" s="195"/>
      <c r="O238" s="195"/>
      <c r="P238" s="195"/>
      <c r="Q238" s="203"/>
      <c r="R238" s="198"/>
      <c r="S238" s="199"/>
      <c r="T238" s="199"/>
      <c r="U238" s="199"/>
      <c r="V238" s="199"/>
      <c r="W238" s="199"/>
      <c r="X238" s="199"/>
    </row>
    <row r="239">
      <c r="A239" s="247"/>
      <c r="B239" s="199"/>
      <c r="C239" s="247"/>
      <c r="D239" s="247"/>
      <c r="E239" s="195"/>
      <c r="F239" s="201"/>
      <c r="G239" s="195"/>
      <c r="H239" s="201"/>
      <c r="I239" s="195"/>
      <c r="J239" s="201"/>
      <c r="K239" s="193"/>
      <c r="L239" s="202"/>
      <c r="M239" s="195"/>
      <c r="N239" s="195"/>
      <c r="O239" s="195"/>
      <c r="P239" s="195"/>
      <c r="Q239" s="203"/>
      <c r="R239" s="198"/>
      <c r="S239" s="199"/>
      <c r="T239" s="199"/>
      <c r="U239" s="199"/>
      <c r="V239" s="199"/>
      <c r="W239" s="199"/>
      <c r="X239" s="199"/>
    </row>
    <row r="240">
      <c r="A240" s="247"/>
      <c r="B240" s="199"/>
      <c r="C240" s="247"/>
      <c r="D240" s="247"/>
      <c r="E240" s="195"/>
      <c r="F240" s="201"/>
      <c r="G240" s="195"/>
      <c r="H240" s="201"/>
      <c r="I240" s="195"/>
      <c r="J240" s="201"/>
      <c r="K240" s="193"/>
      <c r="L240" s="202"/>
      <c r="M240" s="195"/>
      <c r="N240" s="195"/>
      <c r="O240" s="195"/>
      <c r="P240" s="195"/>
      <c r="Q240" s="203"/>
      <c r="R240" s="198"/>
      <c r="S240" s="199"/>
      <c r="T240" s="199"/>
      <c r="U240" s="199"/>
      <c r="V240" s="199"/>
      <c r="W240" s="199"/>
      <c r="X240" s="199"/>
    </row>
    <row r="241">
      <c r="A241" s="247"/>
      <c r="B241" s="199"/>
      <c r="C241" s="247"/>
      <c r="D241" s="247"/>
      <c r="E241" s="195"/>
      <c r="F241" s="201"/>
      <c r="G241" s="195"/>
      <c r="H241" s="201"/>
      <c r="I241" s="195"/>
      <c r="J241" s="201"/>
      <c r="K241" s="193"/>
      <c r="L241" s="202"/>
      <c r="M241" s="195"/>
      <c r="N241" s="195"/>
      <c r="O241" s="195"/>
      <c r="P241" s="195"/>
      <c r="Q241" s="203"/>
      <c r="R241" s="198"/>
      <c r="S241" s="199"/>
      <c r="T241" s="199"/>
      <c r="U241" s="199"/>
      <c r="V241" s="199"/>
      <c r="W241" s="199"/>
      <c r="X241" s="199"/>
    </row>
    <row r="242">
      <c r="A242" s="247"/>
      <c r="B242" s="199"/>
      <c r="C242" s="247"/>
      <c r="D242" s="247"/>
      <c r="E242" s="195"/>
      <c r="F242" s="201"/>
      <c r="G242" s="195"/>
      <c r="H242" s="201"/>
      <c r="I242" s="195"/>
      <c r="J242" s="201"/>
      <c r="K242" s="193"/>
      <c r="L242" s="202"/>
      <c r="M242" s="195"/>
      <c r="N242" s="195"/>
      <c r="O242" s="195"/>
      <c r="P242" s="195"/>
      <c r="Q242" s="203"/>
      <c r="R242" s="198"/>
      <c r="S242" s="199"/>
      <c r="T242" s="199"/>
      <c r="U242" s="199"/>
      <c r="V242" s="199"/>
      <c r="W242" s="199"/>
      <c r="X242" s="199"/>
    </row>
    <row r="243">
      <c r="A243" s="247"/>
      <c r="B243" s="199"/>
      <c r="C243" s="247"/>
      <c r="D243" s="247"/>
      <c r="E243" s="195"/>
      <c r="F243" s="201"/>
      <c r="G243" s="195"/>
      <c r="H243" s="201"/>
      <c r="I243" s="195"/>
      <c r="J243" s="201"/>
      <c r="K243" s="193"/>
      <c r="L243" s="202"/>
      <c r="M243" s="195"/>
      <c r="N243" s="195"/>
      <c r="O243" s="195"/>
      <c r="P243" s="195"/>
      <c r="Q243" s="203"/>
      <c r="R243" s="198"/>
      <c r="S243" s="199"/>
      <c r="T243" s="199"/>
      <c r="U243" s="199"/>
      <c r="V243" s="199"/>
      <c r="W243" s="199"/>
      <c r="X243" s="199"/>
    </row>
    <row r="244">
      <c r="A244" s="247"/>
      <c r="B244" s="199"/>
      <c r="C244" s="247"/>
      <c r="D244" s="247"/>
      <c r="E244" s="195"/>
      <c r="F244" s="201"/>
      <c r="G244" s="195"/>
      <c r="H244" s="201"/>
      <c r="I244" s="195"/>
      <c r="J244" s="201"/>
      <c r="K244" s="193"/>
      <c r="L244" s="202"/>
      <c r="M244" s="195"/>
      <c r="N244" s="195"/>
      <c r="O244" s="195"/>
      <c r="P244" s="195"/>
      <c r="Q244" s="203"/>
      <c r="R244" s="198"/>
      <c r="S244" s="199"/>
      <c r="T244" s="199"/>
      <c r="U244" s="199"/>
      <c r="V244" s="199"/>
      <c r="W244" s="199"/>
      <c r="X244" s="199"/>
    </row>
    <row r="245">
      <c r="A245" s="247"/>
      <c r="B245" s="199"/>
      <c r="C245" s="247"/>
      <c r="D245" s="247"/>
      <c r="E245" s="195"/>
      <c r="F245" s="201"/>
      <c r="G245" s="195"/>
      <c r="H245" s="201"/>
      <c r="I245" s="195"/>
      <c r="J245" s="201"/>
      <c r="K245" s="193"/>
      <c r="L245" s="202"/>
      <c r="M245" s="195"/>
      <c r="N245" s="195"/>
      <c r="O245" s="195"/>
      <c r="P245" s="195"/>
      <c r="Q245" s="203"/>
      <c r="R245" s="198"/>
      <c r="S245" s="199"/>
      <c r="T245" s="199"/>
      <c r="U245" s="199"/>
      <c r="V245" s="199"/>
      <c r="W245" s="199"/>
      <c r="X245" s="199"/>
    </row>
    <row r="246">
      <c r="A246" s="247"/>
      <c r="B246" s="199"/>
      <c r="C246" s="247"/>
      <c r="D246" s="247"/>
      <c r="E246" s="195"/>
      <c r="F246" s="201"/>
      <c r="G246" s="195"/>
      <c r="H246" s="201"/>
      <c r="I246" s="195"/>
      <c r="J246" s="201"/>
      <c r="K246" s="193"/>
      <c r="L246" s="202"/>
      <c r="M246" s="195"/>
      <c r="N246" s="195"/>
      <c r="O246" s="195"/>
      <c r="P246" s="195"/>
      <c r="Q246" s="203"/>
      <c r="R246" s="198"/>
      <c r="S246" s="199"/>
      <c r="T246" s="199"/>
      <c r="U246" s="199"/>
      <c r="V246" s="199"/>
      <c r="W246" s="199"/>
      <c r="X246" s="199"/>
    </row>
    <row r="247">
      <c r="A247" s="247"/>
      <c r="B247" s="199"/>
      <c r="C247" s="247"/>
      <c r="D247" s="247"/>
      <c r="E247" s="195"/>
      <c r="F247" s="201"/>
      <c r="G247" s="195"/>
      <c r="H247" s="201"/>
      <c r="I247" s="195"/>
      <c r="J247" s="201"/>
      <c r="K247" s="193"/>
      <c r="L247" s="202"/>
      <c r="M247" s="195"/>
      <c r="N247" s="195"/>
      <c r="O247" s="195"/>
      <c r="P247" s="195"/>
      <c r="Q247" s="203"/>
      <c r="R247" s="198"/>
      <c r="S247" s="199"/>
      <c r="T247" s="199"/>
      <c r="U247" s="199"/>
      <c r="V247" s="199"/>
      <c r="W247" s="199"/>
      <c r="X247" s="199"/>
    </row>
    <row r="248">
      <c r="A248" s="247"/>
      <c r="B248" s="199"/>
      <c r="C248" s="247"/>
      <c r="D248" s="247"/>
      <c r="E248" s="195"/>
      <c r="F248" s="201"/>
      <c r="G248" s="195"/>
      <c r="H248" s="201"/>
      <c r="I248" s="195"/>
      <c r="J248" s="201"/>
      <c r="K248" s="193"/>
      <c r="L248" s="202"/>
      <c r="M248" s="195"/>
      <c r="N248" s="195"/>
      <c r="O248" s="195"/>
      <c r="P248" s="195"/>
      <c r="Q248" s="203"/>
      <c r="R248" s="198"/>
      <c r="S248" s="199"/>
      <c r="T248" s="199"/>
      <c r="U248" s="199"/>
      <c r="V248" s="199"/>
      <c r="W248" s="199"/>
      <c r="X248" s="199"/>
    </row>
    <row r="249">
      <c r="A249" s="247"/>
      <c r="B249" s="199"/>
      <c r="C249" s="247"/>
      <c r="D249" s="247"/>
      <c r="E249" s="195"/>
      <c r="F249" s="201"/>
      <c r="G249" s="195"/>
      <c r="H249" s="201"/>
      <c r="I249" s="195"/>
      <c r="J249" s="201"/>
      <c r="K249" s="193"/>
      <c r="L249" s="202"/>
      <c r="M249" s="195"/>
      <c r="N249" s="195"/>
      <c r="O249" s="195"/>
      <c r="P249" s="195"/>
      <c r="Q249" s="203"/>
      <c r="R249" s="198"/>
      <c r="S249" s="199"/>
      <c r="T249" s="199"/>
      <c r="U249" s="199"/>
      <c r="V249" s="199"/>
      <c r="W249" s="199"/>
      <c r="X249" s="199"/>
    </row>
    <row r="250">
      <c r="A250" s="247"/>
      <c r="B250" s="199"/>
      <c r="C250" s="247"/>
      <c r="D250" s="247"/>
      <c r="E250" s="195"/>
      <c r="F250" s="201"/>
      <c r="G250" s="195"/>
      <c r="H250" s="201"/>
      <c r="I250" s="195"/>
      <c r="J250" s="201"/>
      <c r="K250" s="193"/>
      <c r="L250" s="202"/>
      <c r="M250" s="195"/>
      <c r="N250" s="195"/>
      <c r="O250" s="195"/>
      <c r="P250" s="195"/>
      <c r="Q250" s="203"/>
      <c r="R250" s="198"/>
      <c r="S250" s="199"/>
      <c r="T250" s="199"/>
      <c r="U250" s="199"/>
      <c r="V250" s="199"/>
      <c r="W250" s="199"/>
      <c r="X250" s="199"/>
    </row>
    <row r="251">
      <c r="A251" s="247"/>
      <c r="B251" s="199"/>
      <c r="C251" s="247"/>
      <c r="D251" s="247"/>
      <c r="E251" s="195"/>
      <c r="F251" s="201"/>
      <c r="G251" s="195"/>
      <c r="H251" s="201"/>
      <c r="I251" s="195"/>
      <c r="J251" s="201"/>
      <c r="K251" s="193"/>
      <c r="L251" s="202"/>
      <c r="M251" s="195"/>
      <c r="N251" s="195"/>
      <c r="O251" s="195"/>
      <c r="P251" s="195"/>
      <c r="Q251" s="203"/>
      <c r="R251" s="198"/>
      <c r="S251" s="199"/>
      <c r="T251" s="199"/>
      <c r="U251" s="199"/>
      <c r="V251" s="199"/>
      <c r="W251" s="199"/>
      <c r="X251" s="199"/>
    </row>
    <row r="252">
      <c r="A252" s="247"/>
      <c r="B252" s="199"/>
      <c r="C252" s="247"/>
      <c r="D252" s="247"/>
      <c r="E252" s="195"/>
      <c r="F252" s="201"/>
      <c r="G252" s="195"/>
      <c r="H252" s="201"/>
      <c r="I252" s="195"/>
      <c r="J252" s="201"/>
      <c r="K252" s="193"/>
      <c r="L252" s="202"/>
      <c r="M252" s="195"/>
      <c r="N252" s="195"/>
      <c r="O252" s="195"/>
      <c r="P252" s="195"/>
      <c r="Q252" s="203"/>
      <c r="R252" s="198"/>
      <c r="S252" s="199"/>
      <c r="T252" s="199"/>
      <c r="U252" s="199"/>
      <c r="V252" s="199"/>
      <c r="W252" s="199"/>
      <c r="X252" s="199"/>
    </row>
    <row r="253">
      <c r="A253" s="247"/>
      <c r="B253" s="199"/>
      <c r="C253" s="247"/>
      <c r="D253" s="247"/>
      <c r="E253" s="195"/>
      <c r="F253" s="201"/>
      <c r="G253" s="195"/>
      <c r="H253" s="201"/>
      <c r="I253" s="195"/>
      <c r="J253" s="201"/>
      <c r="K253" s="193"/>
      <c r="L253" s="202"/>
      <c r="M253" s="195"/>
      <c r="N253" s="195"/>
      <c r="O253" s="195"/>
      <c r="P253" s="195"/>
      <c r="Q253" s="203"/>
      <c r="R253" s="198"/>
      <c r="S253" s="199"/>
      <c r="T253" s="199"/>
      <c r="U253" s="199"/>
      <c r="V253" s="199"/>
      <c r="W253" s="199"/>
      <c r="X253" s="199"/>
    </row>
    <row r="254">
      <c r="A254" s="247"/>
      <c r="B254" s="199"/>
      <c r="C254" s="247"/>
      <c r="D254" s="247"/>
      <c r="E254" s="195"/>
      <c r="F254" s="201"/>
      <c r="G254" s="195"/>
      <c r="H254" s="201"/>
      <c r="I254" s="195"/>
      <c r="J254" s="201"/>
      <c r="K254" s="193"/>
      <c r="L254" s="202"/>
      <c r="M254" s="195"/>
      <c r="N254" s="195"/>
      <c r="O254" s="195"/>
      <c r="P254" s="195"/>
      <c r="Q254" s="203"/>
      <c r="R254" s="198"/>
      <c r="S254" s="199"/>
      <c r="T254" s="199"/>
      <c r="U254" s="199"/>
      <c r="V254" s="199"/>
      <c r="W254" s="199"/>
      <c r="X254" s="199"/>
    </row>
    <row r="255">
      <c r="A255" s="247"/>
      <c r="B255" s="199"/>
      <c r="C255" s="247"/>
      <c r="D255" s="247"/>
      <c r="E255" s="195"/>
      <c r="F255" s="201"/>
      <c r="G255" s="195"/>
      <c r="H255" s="201"/>
      <c r="I255" s="195"/>
      <c r="J255" s="201"/>
      <c r="K255" s="193"/>
      <c r="L255" s="202"/>
      <c r="M255" s="195"/>
      <c r="N255" s="195"/>
      <c r="O255" s="195"/>
      <c r="P255" s="195"/>
      <c r="Q255" s="203"/>
      <c r="R255" s="198"/>
      <c r="S255" s="199"/>
      <c r="T255" s="199"/>
      <c r="U255" s="199"/>
      <c r="V255" s="199"/>
      <c r="W255" s="199"/>
      <c r="X255" s="199"/>
    </row>
    <row r="256">
      <c r="A256" s="247"/>
      <c r="B256" s="199"/>
      <c r="C256" s="247"/>
      <c r="D256" s="247"/>
      <c r="E256" s="195"/>
      <c r="F256" s="201"/>
      <c r="G256" s="195"/>
      <c r="H256" s="201"/>
      <c r="I256" s="195"/>
      <c r="J256" s="201"/>
      <c r="K256" s="193"/>
      <c r="L256" s="202"/>
      <c r="M256" s="195"/>
      <c r="N256" s="195"/>
      <c r="O256" s="195"/>
      <c r="P256" s="195"/>
      <c r="Q256" s="203"/>
      <c r="R256" s="198"/>
      <c r="S256" s="199"/>
      <c r="T256" s="199"/>
      <c r="U256" s="199"/>
      <c r="V256" s="199"/>
      <c r="W256" s="199"/>
      <c r="X256" s="199"/>
    </row>
    <row r="257">
      <c r="A257" s="247"/>
      <c r="B257" s="199"/>
      <c r="C257" s="247"/>
      <c r="D257" s="247"/>
      <c r="E257" s="195"/>
      <c r="F257" s="201"/>
      <c r="G257" s="195"/>
      <c r="H257" s="201"/>
      <c r="I257" s="195"/>
      <c r="J257" s="201"/>
      <c r="K257" s="193"/>
      <c r="L257" s="202"/>
      <c r="M257" s="195"/>
      <c r="N257" s="195"/>
      <c r="O257" s="195"/>
      <c r="P257" s="195"/>
      <c r="Q257" s="203"/>
      <c r="R257" s="198"/>
      <c r="S257" s="199"/>
      <c r="T257" s="199"/>
      <c r="U257" s="199"/>
      <c r="V257" s="199"/>
      <c r="W257" s="199"/>
      <c r="X257" s="199"/>
    </row>
    <row r="258">
      <c r="A258" s="247"/>
      <c r="B258" s="199"/>
      <c r="C258" s="247"/>
      <c r="D258" s="247"/>
      <c r="E258" s="195"/>
      <c r="F258" s="201"/>
      <c r="G258" s="195"/>
      <c r="H258" s="201"/>
      <c r="I258" s="195"/>
      <c r="J258" s="201"/>
      <c r="K258" s="193"/>
      <c r="L258" s="202"/>
      <c r="M258" s="195"/>
      <c r="N258" s="195"/>
      <c r="O258" s="195"/>
      <c r="P258" s="195"/>
      <c r="Q258" s="203"/>
      <c r="R258" s="198"/>
      <c r="S258" s="199"/>
      <c r="T258" s="199"/>
      <c r="U258" s="199"/>
      <c r="V258" s="199"/>
      <c r="W258" s="199"/>
      <c r="X258" s="199"/>
    </row>
    <row r="259">
      <c r="A259" s="247"/>
      <c r="B259" s="199"/>
      <c r="C259" s="247"/>
      <c r="D259" s="247"/>
      <c r="E259" s="195"/>
      <c r="F259" s="201"/>
      <c r="G259" s="195"/>
      <c r="H259" s="201"/>
      <c r="I259" s="195"/>
      <c r="J259" s="201"/>
      <c r="K259" s="193"/>
      <c r="L259" s="202"/>
      <c r="M259" s="195"/>
      <c r="N259" s="195"/>
      <c r="O259" s="195"/>
      <c r="P259" s="195"/>
      <c r="Q259" s="203"/>
      <c r="R259" s="198"/>
      <c r="S259" s="199"/>
      <c r="T259" s="199"/>
      <c r="U259" s="199"/>
      <c r="V259" s="199"/>
      <c r="W259" s="199"/>
      <c r="X259" s="199"/>
    </row>
    <row r="260">
      <c r="A260" s="247"/>
      <c r="B260" s="199"/>
      <c r="C260" s="247"/>
      <c r="D260" s="247"/>
      <c r="E260" s="195"/>
      <c r="F260" s="201"/>
      <c r="G260" s="195"/>
      <c r="H260" s="201"/>
      <c r="I260" s="195"/>
      <c r="J260" s="201"/>
      <c r="K260" s="193"/>
      <c r="L260" s="202"/>
      <c r="M260" s="195"/>
      <c r="N260" s="195"/>
      <c r="O260" s="195"/>
      <c r="P260" s="195"/>
      <c r="Q260" s="203"/>
      <c r="R260" s="198"/>
      <c r="S260" s="199"/>
      <c r="T260" s="199"/>
      <c r="U260" s="199"/>
      <c r="V260" s="199"/>
      <c r="W260" s="199"/>
      <c r="X260" s="199"/>
    </row>
    <row r="261">
      <c r="A261" s="247"/>
      <c r="B261" s="199"/>
      <c r="C261" s="247"/>
      <c r="D261" s="247"/>
      <c r="E261" s="195"/>
      <c r="F261" s="201"/>
      <c r="G261" s="195"/>
      <c r="H261" s="201"/>
      <c r="I261" s="195"/>
      <c r="J261" s="201"/>
      <c r="K261" s="193"/>
      <c r="L261" s="202"/>
      <c r="M261" s="195"/>
      <c r="N261" s="195"/>
      <c r="O261" s="195"/>
      <c r="P261" s="195"/>
      <c r="Q261" s="203"/>
      <c r="R261" s="198"/>
      <c r="S261" s="199"/>
      <c r="T261" s="199"/>
      <c r="U261" s="199"/>
      <c r="V261" s="199"/>
      <c r="W261" s="199"/>
      <c r="X261" s="199"/>
    </row>
    <row r="262">
      <c r="A262" s="247"/>
      <c r="B262" s="199"/>
      <c r="C262" s="247"/>
      <c r="D262" s="247"/>
      <c r="E262" s="195"/>
      <c r="F262" s="201"/>
      <c r="G262" s="195"/>
      <c r="H262" s="201"/>
      <c r="I262" s="195"/>
      <c r="J262" s="201"/>
      <c r="K262" s="193"/>
      <c r="L262" s="202"/>
      <c r="M262" s="195"/>
      <c r="N262" s="195"/>
      <c r="O262" s="195"/>
      <c r="P262" s="195"/>
      <c r="Q262" s="203"/>
      <c r="R262" s="198"/>
      <c r="S262" s="199"/>
      <c r="T262" s="199"/>
      <c r="U262" s="199"/>
      <c r="V262" s="199"/>
      <c r="W262" s="199"/>
      <c r="X262" s="199"/>
    </row>
    <row r="263">
      <c r="A263" s="247"/>
      <c r="B263" s="199"/>
      <c r="C263" s="247"/>
      <c r="D263" s="247"/>
      <c r="E263" s="195"/>
      <c r="F263" s="201"/>
      <c r="G263" s="195"/>
      <c r="H263" s="201"/>
      <c r="I263" s="195"/>
      <c r="J263" s="201"/>
      <c r="K263" s="193"/>
      <c r="L263" s="202"/>
      <c r="M263" s="195"/>
      <c r="N263" s="195"/>
      <c r="O263" s="195"/>
      <c r="P263" s="195"/>
      <c r="Q263" s="203"/>
      <c r="R263" s="198"/>
      <c r="S263" s="199"/>
      <c r="T263" s="199"/>
      <c r="U263" s="199"/>
      <c r="V263" s="199"/>
      <c r="W263" s="199"/>
      <c r="X263" s="199"/>
    </row>
    <row r="264">
      <c r="A264" s="247"/>
      <c r="B264" s="199"/>
      <c r="C264" s="247"/>
      <c r="D264" s="247"/>
      <c r="E264" s="195"/>
      <c r="F264" s="201"/>
      <c r="G264" s="195"/>
      <c r="H264" s="201"/>
      <c r="I264" s="195"/>
      <c r="J264" s="201"/>
      <c r="K264" s="193"/>
      <c r="L264" s="202"/>
      <c r="M264" s="195"/>
      <c r="N264" s="195"/>
      <c r="O264" s="195"/>
      <c r="P264" s="195"/>
      <c r="Q264" s="203"/>
      <c r="R264" s="198"/>
      <c r="S264" s="199"/>
      <c r="T264" s="199"/>
      <c r="U264" s="199"/>
      <c r="V264" s="199"/>
      <c r="W264" s="199"/>
      <c r="X264" s="199"/>
    </row>
    <row r="265">
      <c r="A265" s="247"/>
      <c r="B265" s="199"/>
      <c r="C265" s="247"/>
      <c r="D265" s="247"/>
      <c r="E265" s="195"/>
      <c r="F265" s="201"/>
      <c r="G265" s="195"/>
      <c r="H265" s="201"/>
      <c r="I265" s="195"/>
      <c r="J265" s="201"/>
      <c r="K265" s="193"/>
      <c r="L265" s="202"/>
      <c r="M265" s="195"/>
      <c r="N265" s="195"/>
      <c r="O265" s="195"/>
      <c r="P265" s="195"/>
      <c r="Q265" s="203"/>
      <c r="R265" s="198"/>
      <c r="S265" s="199"/>
      <c r="T265" s="199"/>
      <c r="U265" s="199"/>
      <c r="V265" s="199"/>
      <c r="W265" s="199"/>
      <c r="X265" s="199"/>
    </row>
    <row r="266">
      <c r="A266" s="247"/>
      <c r="B266" s="199"/>
      <c r="C266" s="247"/>
      <c r="D266" s="247"/>
      <c r="E266" s="195"/>
      <c r="F266" s="201"/>
      <c r="G266" s="195"/>
      <c r="H266" s="201"/>
      <c r="I266" s="195"/>
      <c r="J266" s="201"/>
      <c r="K266" s="193"/>
      <c r="L266" s="202"/>
      <c r="M266" s="195"/>
      <c r="N266" s="195"/>
      <c r="O266" s="195"/>
      <c r="P266" s="195"/>
      <c r="Q266" s="203"/>
      <c r="R266" s="198"/>
      <c r="S266" s="199"/>
      <c r="T266" s="199"/>
      <c r="U266" s="199"/>
      <c r="V266" s="199"/>
      <c r="W266" s="199"/>
      <c r="X266" s="199"/>
    </row>
    <row r="267">
      <c r="A267" s="247"/>
      <c r="B267" s="199"/>
      <c r="C267" s="247"/>
      <c r="D267" s="247"/>
      <c r="E267" s="195"/>
      <c r="F267" s="201"/>
      <c r="G267" s="195"/>
      <c r="H267" s="201"/>
      <c r="I267" s="195"/>
      <c r="J267" s="201"/>
      <c r="K267" s="193"/>
      <c r="L267" s="202"/>
      <c r="M267" s="195"/>
      <c r="N267" s="195"/>
      <c r="O267" s="195"/>
      <c r="P267" s="195"/>
      <c r="Q267" s="203"/>
      <c r="R267" s="198"/>
      <c r="S267" s="199"/>
      <c r="T267" s="199"/>
      <c r="U267" s="199"/>
      <c r="V267" s="199"/>
      <c r="W267" s="199"/>
      <c r="X267" s="199"/>
    </row>
    <row r="268">
      <c r="A268" s="247"/>
      <c r="B268" s="199"/>
      <c r="C268" s="247"/>
      <c r="D268" s="247"/>
      <c r="E268" s="195"/>
      <c r="F268" s="201"/>
      <c r="G268" s="195"/>
      <c r="H268" s="201"/>
      <c r="I268" s="195"/>
      <c r="J268" s="201"/>
      <c r="K268" s="193"/>
      <c r="L268" s="202"/>
      <c r="M268" s="195"/>
      <c r="N268" s="195"/>
      <c r="O268" s="195"/>
      <c r="P268" s="195"/>
      <c r="Q268" s="203"/>
      <c r="R268" s="198"/>
      <c r="S268" s="199"/>
      <c r="T268" s="199"/>
      <c r="U268" s="199"/>
      <c r="V268" s="199"/>
      <c r="W268" s="199"/>
      <c r="X268" s="199"/>
    </row>
    <row r="269">
      <c r="A269" s="247"/>
      <c r="B269" s="199"/>
      <c r="C269" s="247"/>
      <c r="D269" s="247"/>
      <c r="E269" s="195"/>
      <c r="F269" s="201"/>
      <c r="G269" s="195"/>
      <c r="H269" s="201"/>
      <c r="I269" s="195"/>
      <c r="J269" s="201"/>
      <c r="K269" s="193"/>
      <c r="L269" s="202"/>
      <c r="M269" s="195"/>
      <c r="N269" s="195"/>
      <c r="O269" s="195"/>
      <c r="P269" s="195"/>
      <c r="Q269" s="203"/>
      <c r="R269" s="198"/>
      <c r="S269" s="199"/>
      <c r="T269" s="199"/>
      <c r="U269" s="199"/>
      <c r="V269" s="199"/>
      <c r="W269" s="199"/>
      <c r="X269" s="199"/>
    </row>
    <row r="270">
      <c r="A270" s="247"/>
      <c r="B270" s="199"/>
      <c r="C270" s="247"/>
      <c r="D270" s="247"/>
      <c r="E270" s="195"/>
      <c r="F270" s="201"/>
      <c r="G270" s="195"/>
      <c r="H270" s="201"/>
      <c r="I270" s="195"/>
      <c r="J270" s="201"/>
      <c r="K270" s="193"/>
      <c r="L270" s="202"/>
      <c r="M270" s="195"/>
      <c r="N270" s="195"/>
      <c r="O270" s="195"/>
      <c r="P270" s="195"/>
      <c r="Q270" s="203"/>
      <c r="R270" s="198"/>
      <c r="S270" s="199"/>
      <c r="T270" s="199"/>
      <c r="U270" s="199"/>
      <c r="V270" s="199"/>
      <c r="W270" s="199"/>
      <c r="X270" s="199"/>
    </row>
    <row r="271">
      <c r="A271" s="247"/>
      <c r="B271" s="199"/>
      <c r="C271" s="247"/>
      <c r="D271" s="247"/>
      <c r="E271" s="195"/>
      <c r="F271" s="201"/>
      <c r="G271" s="195"/>
      <c r="H271" s="201"/>
      <c r="I271" s="195"/>
      <c r="J271" s="201"/>
      <c r="K271" s="193"/>
      <c r="L271" s="202"/>
      <c r="M271" s="195"/>
      <c r="N271" s="195"/>
      <c r="O271" s="195"/>
      <c r="P271" s="195"/>
      <c r="Q271" s="203"/>
      <c r="R271" s="198"/>
      <c r="S271" s="199"/>
      <c r="T271" s="199"/>
      <c r="U271" s="199"/>
      <c r="V271" s="199"/>
      <c r="W271" s="199"/>
      <c r="X271" s="199"/>
    </row>
    <row r="272">
      <c r="A272" s="247"/>
      <c r="B272" s="199"/>
      <c r="C272" s="247"/>
      <c r="D272" s="247"/>
      <c r="E272" s="195"/>
      <c r="F272" s="201"/>
      <c r="G272" s="195"/>
      <c r="H272" s="201"/>
      <c r="I272" s="195"/>
      <c r="J272" s="201"/>
      <c r="K272" s="193"/>
      <c r="L272" s="202"/>
      <c r="M272" s="195"/>
      <c r="N272" s="195"/>
      <c r="O272" s="195"/>
      <c r="P272" s="195"/>
      <c r="Q272" s="203"/>
      <c r="R272" s="198"/>
      <c r="S272" s="199"/>
      <c r="T272" s="199"/>
      <c r="U272" s="199"/>
      <c r="V272" s="199"/>
      <c r="W272" s="199"/>
      <c r="X272" s="199"/>
    </row>
    <row r="273">
      <c r="A273" s="247"/>
      <c r="B273" s="199"/>
      <c r="C273" s="247"/>
      <c r="D273" s="247"/>
      <c r="E273" s="195"/>
      <c r="F273" s="201"/>
      <c r="G273" s="195"/>
      <c r="H273" s="201"/>
      <c r="I273" s="195"/>
      <c r="J273" s="201"/>
      <c r="K273" s="193"/>
      <c r="L273" s="202"/>
      <c r="M273" s="195"/>
      <c r="N273" s="195"/>
      <c r="O273" s="195"/>
      <c r="P273" s="195"/>
      <c r="Q273" s="203"/>
      <c r="R273" s="198"/>
      <c r="S273" s="199"/>
      <c r="T273" s="199"/>
      <c r="U273" s="199"/>
      <c r="V273" s="199"/>
      <c r="W273" s="199"/>
      <c r="X273" s="199"/>
    </row>
    <row r="274">
      <c r="A274" s="247"/>
      <c r="B274" s="199"/>
      <c r="C274" s="247"/>
      <c r="D274" s="247"/>
      <c r="E274" s="195"/>
      <c r="F274" s="201"/>
      <c r="G274" s="195"/>
      <c r="H274" s="201"/>
      <c r="I274" s="195"/>
      <c r="J274" s="201"/>
      <c r="K274" s="193"/>
      <c r="L274" s="202"/>
      <c r="M274" s="195"/>
      <c r="N274" s="195"/>
      <c r="O274" s="195"/>
      <c r="P274" s="195"/>
      <c r="Q274" s="203"/>
      <c r="R274" s="198"/>
      <c r="S274" s="199"/>
      <c r="T274" s="199"/>
      <c r="U274" s="199"/>
      <c r="V274" s="199"/>
      <c r="W274" s="199"/>
      <c r="X274" s="199"/>
    </row>
    <row r="275">
      <c r="A275" s="247"/>
      <c r="B275" s="199"/>
      <c r="C275" s="247"/>
      <c r="D275" s="247"/>
      <c r="E275" s="195"/>
      <c r="F275" s="201"/>
      <c r="G275" s="195"/>
      <c r="H275" s="201"/>
      <c r="I275" s="195"/>
      <c r="J275" s="201"/>
      <c r="K275" s="193"/>
      <c r="L275" s="202"/>
      <c r="M275" s="195"/>
      <c r="N275" s="195"/>
      <c r="O275" s="195"/>
      <c r="P275" s="195"/>
      <c r="Q275" s="203"/>
      <c r="R275" s="198"/>
      <c r="S275" s="199"/>
      <c r="T275" s="199"/>
      <c r="U275" s="199"/>
      <c r="V275" s="199"/>
      <c r="W275" s="199"/>
      <c r="X275" s="199"/>
    </row>
    <row r="276">
      <c r="A276" s="247"/>
      <c r="B276" s="199"/>
      <c r="C276" s="247"/>
      <c r="D276" s="247"/>
      <c r="E276" s="195"/>
      <c r="F276" s="201"/>
      <c r="G276" s="195"/>
      <c r="H276" s="201"/>
      <c r="I276" s="195"/>
      <c r="J276" s="201"/>
      <c r="K276" s="193"/>
      <c r="L276" s="202"/>
      <c r="M276" s="195"/>
      <c r="N276" s="195"/>
      <c r="O276" s="195"/>
      <c r="P276" s="195"/>
      <c r="Q276" s="203"/>
      <c r="R276" s="198"/>
      <c r="S276" s="199"/>
      <c r="T276" s="199"/>
      <c r="U276" s="199"/>
      <c r="V276" s="199"/>
      <c r="W276" s="199"/>
      <c r="X276" s="199"/>
    </row>
    <row r="277">
      <c r="A277" s="247"/>
      <c r="B277" s="199"/>
      <c r="C277" s="247"/>
      <c r="D277" s="247"/>
      <c r="E277" s="195"/>
      <c r="F277" s="201"/>
      <c r="G277" s="195"/>
      <c r="H277" s="201"/>
      <c r="I277" s="195"/>
      <c r="J277" s="201"/>
      <c r="K277" s="193"/>
      <c r="L277" s="202"/>
      <c r="M277" s="195"/>
      <c r="N277" s="195"/>
      <c r="O277" s="195"/>
      <c r="P277" s="195"/>
      <c r="Q277" s="203"/>
      <c r="R277" s="198"/>
      <c r="S277" s="199"/>
      <c r="T277" s="199"/>
      <c r="U277" s="199"/>
      <c r="V277" s="199"/>
      <c r="W277" s="199"/>
      <c r="X277" s="199"/>
    </row>
    <row r="278">
      <c r="A278" s="247"/>
      <c r="B278" s="199"/>
      <c r="C278" s="247"/>
      <c r="D278" s="247"/>
      <c r="E278" s="195"/>
      <c r="F278" s="201"/>
      <c r="G278" s="195"/>
      <c r="H278" s="201"/>
      <c r="I278" s="195"/>
      <c r="J278" s="201"/>
      <c r="K278" s="193"/>
      <c r="L278" s="202"/>
      <c r="M278" s="195"/>
      <c r="N278" s="195"/>
      <c r="O278" s="195"/>
      <c r="P278" s="195"/>
      <c r="Q278" s="203"/>
      <c r="R278" s="198"/>
      <c r="S278" s="199"/>
      <c r="T278" s="199"/>
      <c r="U278" s="199"/>
      <c r="V278" s="199"/>
      <c r="W278" s="199"/>
      <c r="X278" s="199"/>
    </row>
    <row r="279">
      <c r="A279" s="247"/>
      <c r="B279" s="199"/>
      <c r="C279" s="247"/>
      <c r="D279" s="247"/>
      <c r="E279" s="195"/>
      <c r="F279" s="201"/>
      <c r="G279" s="195"/>
      <c r="H279" s="201"/>
      <c r="I279" s="195"/>
      <c r="J279" s="201"/>
      <c r="K279" s="193"/>
      <c r="L279" s="202"/>
      <c r="M279" s="195"/>
      <c r="N279" s="195"/>
      <c r="O279" s="195"/>
      <c r="P279" s="195"/>
      <c r="Q279" s="203"/>
      <c r="R279" s="198"/>
      <c r="S279" s="199"/>
      <c r="T279" s="199"/>
      <c r="U279" s="199"/>
      <c r="V279" s="199"/>
      <c r="W279" s="199"/>
      <c r="X279" s="199"/>
    </row>
    <row r="280">
      <c r="A280" s="247"/>
      <c r="B280" s="199"/>
      <c r="C280" s="247"/>
      <c r="D280" s="247"/>
      <c r="E280" s="195"/>
      <c r="F280" s="201"/>
      <c r="G280" s="195"/>
      <c r="H280" s="201"/>
      <c r="I280" s="195"/>
      <c r="J280" s="201"/>
      <c r="K280" s="193"/>
      <c r="L280" s="202"/>
      <c r="M280" s="195"/>
      <c r="N280" s="195"/>
      <c r="O280" s="195"/>
      <c r="P280" s="195"/>
      <c r="Q280" s="203"/>
      <c r="R280" s="198"/>
      <c r="S280" s="199"/>
      <c r="T280" s="199"/>
      <c r="U280" s="199"/>
      <c r="V280" s="199"/>
      <c r="W280" s="199"/>
      <c r="X280" s="199"/>
    </row>
    <row r="281">
      <c r="A281" s="247"/>
      <c r="B281" s="199"/>
      <c r="C281" s="247"/>
      <c r="D281" s="247"/>
      <c r="E281" s="195"/>
      <c r="F281" s="201"/>
      <c r="G281" s="195"/>
      <c r="H281" s="201"/>
      <c r="I281" s="195"/>
      <c r="J281" s="201"/>
      <c r="K281" s="193"/>
      <c r="L281" s="202"/>
      <c r="M281" s="195"/>
      <c r="N281" s="195"/>
      <c r="O281" s="195"/>
      <c r="P281" s="195"/>
      <c r="Q281" s="203"/>
      <c r="R281" s="198"/>
      <c r="S281" s="199"/>
      <c r="T281" s="199"/>
      <c r="U281" s="199"/>
      <c r="V281" s="199"/>
      <c r="W281" s="199"/>
      <c r="X281" s="199"/>
    </row>
    <row r="282">
      <c r="A282" s="247"/>
      <c r="B282" s="199"/>
      <c r="C282" s="247"/>
      <c r="D282" s="247"/>
      <c r="E282" s="195"/>
      <c r="F282" s="201"/>
      <c r="G282" s="195"/>
      <c r="H282" s="201"/>
      <c r="I282" s="195"/>
      <c r="J282" s="201"/>
      <c r="K282" s="193"/>
      <c r="L282" s="202"/>
      <c r="M282" s="195"/>
      <c r="N282" s="195"/>
      <c r="O282" s="195"/>
      <c r="P282" s="195"/>
      <c r="Q282" s="203"/>
      <c r="R282" s="198"/>
      <c r="S282" s="199"/>
      <c r="T282" s="199"/>
      <c r="U282" s="199"/>
      <c r="V282" s="199"/>
      <c r="W282" s="199"/>
      <c r="X282" s="199"/>
    </row>
    <row r="283">
      <c r="A283" s="247"/>
      <c r="B283" s="199"/>
      <c r="C283" s="247"/>
      <c r="D283" s="247"/>
      <c r="E283" s="195"/>
      <c r="F283" s="201"/>
      <c r="G283" s="195"/>
      <c r="H283" s="201"/>
      <c r="I283" s="195"/>
      <c r="J283" s="201"/>
      <c r="K283" s="193"/>
      <c r="L283" s="202"/>
      <c r="M283" s="195"/>
      <c r="N283" s="195"/>
      <c r="O283" s="195"/>
      <c r="P283" s="195"/>
      <c r="Q283" s="203"/>
      <c r="R283" s="198"/>
      <c r="S283" s="199"/>
      <c r="T283" s="199"/>
      <c r="U283" s="199"/>
      <c r="V283" s="199"/>
      <c r="W283" s="199"/>
      <c r="X283" s="199"/>
    </row>
    <row r="284">
      <c r="A284" s="247"/>
      <c r="B284" s="199"/>
      <c r="C284" s="247"/>
      <c r="D284" s="247"/>
      <c r="E284" s="195"/>
      <c r="F284" s="201"/>
      <c r="G284" s="195"/>
      <c r="H284" s="201"/>
      <c r="I284" s="195"/>
      <c r="J284" s="201"/>
      <c r="K284" s="193"/>
      <c r="L284" s="202"/>
      <c r="M284" s="195"/>
      <c r="N284" s="195"/>
      <c r="O284" s="195"/>
      <c r="P284" s="195"/>
      <c r="Q284" s="203"/>
      <c r="R284" s="198"/>
      <c r="S284" s="199"/>
      <c r="T284" s="199"/>
      <c r="U284" s="199"/>
      <c r="V284" s="199"/>
      <c r="W284" s="199"/>
      <c r="X284" s="199"/>
    </row>
    <row r="285">
      <c r="A285" s="247"/>
      <c r="B285" s="199"/>
      <c r="C285" s="247"/>
      <c r="D285" s="247"/>
      <c r="E285" s="195"/>
      <c r="F285" s="201"/>
      <c r="G285" s="195"/>
      <c r="H285" s="201"/>
      <c r="I285" s="195"/>
      <c r="J285" s="201"/>
      <c r="K285" s="193"/>
      <c r="L285" s="202"/>
      <c r="M285" s="195"/>
      <c r="N285" s="195"/>
      <c r="O285" s="195"/>
      <c r="P285" s="195"/>
      <c r="Q285" s="203"/>
      <c r="R285" s="198"/>
      <c r="S285" s="199"/>
      <c r="T285" s="199"/>
      <c r="U285" s="199"/>
      <c r="V285" s="199"/>
      <c r="W285" s="199"/>
      <c r="X285" s="199"/>
    </row>
    <row r="286">
      <c r="A286" s="247"/>
      <c r="B286" s="199"/>
      <c r="C286" s="247"/>
      <c r="D286" s="247"/>
      <c r="E286" s="195"/>
      <c r="F286" s="201"/>
      <c r="G286" s="195"/>
      <c r="H286" s="201"/>
      <c r="I286" s="195"/>
      <c r="J286" s="201"/>
      <c r="K286" s="193"/>
      <c r="L286" s="202"/>
      <c r="M286" s="195"/>
      <c r="N286" s="195"/>
      <c r="O286" s="195"/>
      <c r="P286" s="195"/>
      <c r="Q286" s="203"/>
      <c r="R286" s="198"/>
      <c r="S286" s="199"/>
      <c r="T286" s="199"/>
      <c r="U286" s="199"/>
      <c r="V286" s="199"/>
      <c r="W286" s="199"/>
      <c r="X286" s="199"/>
    </row>
    <row r="287">
      <c r="A287" s="247"/>
      <c r="B287" s="199"/>
      <c r="C287" s="247"/>
      <c r="D287" s="247"/>
      <c r="E287" s="195"/>
      <c r="F287" s="201"/>
      <c r="G287" s="195"/>
      <c r="H287" s="201"/>
      <c r="I287" s="195"/>
      <c r="J287" s="201"/>
      <c r="K287" s="193"/>
      <c r="L287" s="202"/>
      <c r="M287" s="195"/>
      <c r="N287" s="195"/>
      <c r="O287" s="195"/>
      <c r="P287" s="195"/>
      <c r="Q287" s="203"/>
      <c r="R287" s="198"/>
      <c r="S287" s="199"/>
      <c r="T287" s="199"/>
      <c r="U287" s="199"/>
      <c r="V287" s="199"/>
      <c r="W287" s="199"/>
      <c r="X287" s="199"/>
    </row>
    <row r="288">
      <c r="A288" s="247"/>
      <c r="B288" s="199"/>
      <c r="C288" s="247"/>
      <c r="D288" s="247"/>
      <c r="E288" s="195"/>
      <c r="F288" s="201"/>
      <c r="G288" s="195"/>
      <c r="H288" s="201"/>
      <c r="I288" s="195"/>
      <c r="J288" s="201"/>
      <c r="K288" s="193"/>
      <c r="L288" s="202"/>
      <c r="M288" s="195"/>
      <c r="N288" s="195"/>
      <c r="O288" s="195"/>
      <c r="P288" s="195"/>
      <c r="Q288" s="203"/>
      <c r="R288" s="198"/>
      <c r="S288" s="199"/>
      <c r="T288" s="199"/>
      <c r="U288" s="199"/>
      <c r="V288" s="199"/>
      <c r="W288" s="199"/>
      <c r="X288" s="199"/>
    </row>
    <row r="289">
      <c r="A289" s="247"/>
      <c r="B289" s="199"/>
      <c r="C289" s="247"/>
      <c r="D289" s="247"/>
      <c r="E289" s="195"/>
      <c r="F289" s="201"/>
      <c r="G289" s="195"/>
      <c r="H289" s="201"/>
      <c r="I289" s="195"/>
      <c r="J289" s="201"/>
      <c r="K289" s="193"/>
      <c r="L289" s="202"/>
      <c r="M289" s="195"/>
      <c r="N289" s="195"/>
      <c r="O289" s="195"/>
      <c r="P289" s="195"/>
      <c r="Q289" s="203"/>
      <c r="R289" s="198"/>
      <c r="S289" s="199"/>
      <c r="T289" s="199"/>
      <c r="U289" s="199"/>
      <c r="V289" s="199"/>
      <c r="W289" s="199"/>
      <c r="X289" s="199"/>
    </row>
    <row r="290">
      <c r="A290" s="247"/>
      <c r="B290" s="199"/>
      <c r="C290" s="247"/>
      <c r="D290" s="247"/>
      <c r="E290" s="195"/>
      <c r="F290" s="201"/>
      <c r="G290" s="195"/>
      <c r="H290" s="201"/>
      <c r="I290" s="195"/>
      <c r="J290" s="201"/>
      <c r="K290" s="193"/>
      <c r="L290" s="202"/>
      <c r="M290" s="195"/>
      <c r="N290" s="195"/>
      <c r="O290" s="195"/>
      <c r="P290" s="195"/>
      <c r="Q290" s="203"/>
      <c r="R290" s="198"/>
      <c r="S290" s="199"/>
      <c r="T290" s="199"/>
      <c r="U290" s="199"/>
      <c r="V290" s="199"/>
      <c r="W290" s="199"/>
      <c r="X290" s="199"/>
    </row>
    <row r="291">
      <c r="A291" s="247"/>
      <c r="B291" s="199"/>
      <c r="C291" s="247"/>
      <c r="D291" s="247"/>
      <c r="E291" s="195"/>
      <c r="F291" s="201"/>
      <c r="G291" s="195"/>
      <c r="H291" s="201"/>
      <c r="I291" s="195"/>
      <c r="J291" s="201"/>
      <c r="K291" s="193"/>
      <c r="L291" s="202"/>
      <c r="M291" s="195"/>
      <c r="N291" s="195"/>
      <c r="O291" s="195"/>
      <c r="P291" s="195"/>
      <c r="Q291" s="203"/>
      <c r="R291" s="198"/>
      <c r="S291" s="199"/>
      <c r="T291" s="199"/>
      <c r="U291" s="199"/>
      <c r="V291" s="199"/>
      <c r="W291" s="199"/>
      <c r="X291" s="199"/>
    </row>
    <row r="292">
      <c r="A292" s="247"/>
      <c r="B292" s="199"/>
      <c r="C292" s="247"/>
      <c r="D292" s="247"/>
      <c r="E292" s="195"/>
      <c r="F292" s="201"/>
      <c r="G292" s="195"/>
      <c r="H292" s="201"/>
      <c r="I292" s="195"/>
      <c r="J292" s="201"/>
      <c r="K292" s="193"/>
      <c r="L292" s="202"/>
      <c r="M292" s="195"/>
      <c r="N292" s="195"/>
      <c r="O292" s="195"/>
      <c r="P292" s="195"/>
      <c r="Q292" s="203"/>
      <c r="R292" s="198"/>
      <c r="S292" s="199"/>
      <c r="T292" s="199"/>
      <c r="U292" s="199"/>
      <c r="V292" s="199"/>
      <c r="W292" s="199"/>
      <c r="X292" s="199"/>
    </row>
    <row r="293">
      <c r="A293" s="247"/>
      <c r="B293" s="199"/>
      <c r="C293" s="247"/>
      <c r="D293" s="247"/>
      <c r="E293" s="195"/>
      <c r="F293" s="201"/>
      <c r="G293" s="195"/>
      <c r="H293" s="201"/>
      <c r="I293" s="195"/>
      <c r="J293" s="201"/>
      <c r="K293" s="193"/>
      <c r="L293" s="202"/>
      <c r="M293" s="195"/>
      <c r="N293" s="195"/>
      <c r="O293" s="195"/>
      <c r="P293" s="195"/>
      <c r="Q293" s="203"/>
      <c r="R293" s="198"/>
      <c r="S293" s="199"/>
      <c r="T293" s="199"/>
      <c r="U293" s="199"/>
      <c r="V293" s="199"/>
      <c r="W293" s="199"/>
      <c r="X293" s="199"/>
    </row>
    <row r="294">
      <c r="A294" s="247"/>
      <c r="B294" s="199"/>
      <c r="C294" s="247"/>
      <c r="D294" s="247"/>
      <c r="E294" s="195"/>
      <c r="F294" s="201"/>
      <c r="G294" s="195"/>
      <c r="H294" s="201"/>
      <c r="I294" s="195"/>
      <c r="J294" s="201"/>
      <c r="K294" s="193"/>
      <c r="L294" s="202"/>
      <c r="M294" s="195"/>
      <c r="N294" s="195"/>
      <c r="O294" s="195"/>
      <c r="P294" s="195"/>
      <c r="Q294" s="203"/>
      <c r="R294" s="198"/>
      <c r="S294" s="199"/>
      <c r="T294" s="199"/>
      <c r="U294" s="199"/>
      <c r="V294" s="199"/>
      <c r="W294" s="199"/>
      <c r="X294" s="199"/>
    </row>
    <row r="295">
      <c r="A295" s="247"/>
      <c r="B295" s="199"/>
      <c r="C295" s="247"/>
      <c r="D295" s="247"/>
      <c r="E295" s="195"/>
      <c r="F295" s="201"/>
      <c r="G295" s="195"/>
      <c r="H295" s="201"/>
      <c r="I295" s="195"/>
      <c r="J295" s="201"/>
      <c r="K295" s="193"/>
      <c r="L295" s="202"/>
      <c r="M295" s="195"/>
      <c r="N295" s="195"/>
      <c r="O295" s="195"/>
      <c r="P295" s="195"/>
      <c r="Q295" s="203"/>
      <c r="R295" s="198"/>
      <c r="S295" s="199"/>
      <c r="T295" s="199"/>
      <c r="U295" s="199"/>
      <c r="V295" s="199"/>
      <c r="W295" s="199"/>
      <c r="X295" s="199"/>
    </row>
    <row r="296">
      <c r="A296" s="247"/>
      <c r="B296" s="199"/>
      <c r="C296" s="247"/>
      <c r="D296" s="247"/>
      <c r="E296" s="195"/>
      <c r="F296" s="201"/>
      <c r="G296" s="195"/>
      <c r="H296" s="201"/>
      <c r="I296" s="195"/>
      <c r="J296" s="201"/>
      <c r="K296" s="193"/>
      <c r="L296" s="202"/>
      <c r="M296" s="195"/>
      <c r="N296" s="195"/>
      <c r="O296" s="195"/>
      <c r="P296" s="195"/>
      <c r="Q296" s="203"/>
      <c r="R296" s="198"/>
      <c r="S296" s="199"/>
      <c r="T296" s="199"/>
      <c r="U296" s="199"/>
      <c r="V296" s="199"/>
      <c r="W296" s="199"/>
      <c r="X296" s="199"/>
    </row>
    <row r="297">
      <c r="A297" s="247"/>
      <c r="B297" s="199"/>
      <c r="C297" s="247"/>
      <c r="D297" s="247"/>
      <c r="E297" s="195"/>
      <c r="F297" s="201"/>
      <c r="G297" s="195"/>
      <c r="H297" s="201"/>
      <c r="I297" s="195"/>
      <c r="J297" s="201"/>
      <c r="K297" s="193"/>
      <c r="L297" s="202"/>
      <c r="M297" s="195"/>
      <c r="N297" s="195"/>
      <c r="O297" s="195"/>
      <c r="P297" s="195"/>
      <c r="Q297" s="203"/>
      <c r="R297" s="198"/>
      <c r="S297" s="199"/>
      <c r="T297" s="199"/>
      <c r="U297" s="199"/>
      <c r="V297" s="199"/>
      <c r="W297" s="199"/>
      <c r="X297" s="199"/>
    </row>
    <row r="298">
      <c r="A298" s="247"/>
      <c r="B298" s="199"/>
      <c r="C298" s="247"/>
      <c r="D298" s="247"/>
      <c r="E298" s="195"/>
      <c r="F298" s="201"/>
      <c r="G298" s="195"/>
      <c r="H298" s="201"/>
      <c r="I298" s="195"/>
      <c r="J298" s="201"/>
      <c r="K298" s="193"/>
      <c r="L298" s="202"/>
      <c r="M298" s="195"/>
      <c r="N298" s="195"/>
      <c r="O298" s="195"/>
      <c r="P298" s="195"/>
      <c r="Q298" s="203"/>
      <c r="R298" s="198"/>
      <c r="S298" s="199"/>
      <c r="T298" s="199"/>
      <c r="U298" s="199"/>
      <c r="V298" s="199"/>
      <c r="W298" s="199"/>
      <c r="X298" s="199"/>
    </row>
    <row r="299">
      <c r="A299" s="247"/>
      <c r="B299" s="199"/>
      <c r="C299" s="247"/>
      <c r="D299" s="247"/>
      <c r="E299" s="195"/>
      <c r="F299" s="201"/>
      <c r="G299" s="195"/>
      <c r="H299" s="201"/>
      <c r="I299" s="195"/>
      <c r="J299" s="201"/>
      <c r="K299" s="193"/>
      <c r="L299" s="202"/>
      <c r="M299" s="195"/>
      <c r="N299" s="195"/>
      <c r="O299" s="195"/>
      <c r="P299" s="195"/>
      <c r="Q299" s="203"/>
      <c r="R299" s="198"/>
      <c r="S299" s="199"/>
      <c r="T299" s="199"/>
      <c r="U299" s="199"/>
      <c r="V299" s="199"/>
      <c r="W299" s="199"/>
      <c r="X299" s="199"/>
    </row>
    <row r="300">
      <c r="A300" s="247"/>
      <c r="B300" s="199"/>
      <c r="C300" s="247"/>
      <c r="D300" s="247"/>
      <c r="E300" s="195"/>
      <c r="F300" s="201"/>
      <c r="G300" s="195"/>
      <c r="H300" s="201"/>
      <c r="I300" s="195"/>
      <c r="J300" s="201"/>
      <c r="K300" s="193"/>
      <c r="L300" s="202"/>
      <c r="M300" s="195"/>
      <c r="N300" s="195"/>
      <c r="O300" s="195"/>
      <c r="P300" s="195"/>
      <c r="Q300" s="203"/>
      <c r="R300" s="198"/>
      <c r="S300" s="199"/>
      <c r="T300" s="199"/>
      <c r="U300" s="199"/>
      <c r="V300" s="199"/>
      <c r="W300" s="199"/>
      <c r="X300" s="199"/>
    </row>
    <row r="301">
      <c r="A301" s="247"/>
      <c r="B301" s="199"/>
      <c r="C301" s="247"/>
      <c r="D301" s="247"/>
      <c r="E301" s="195"/>
      <c r="F301" s="201"/>
      <c r="G301" s="195"/>
      <c r="H301" s="201"/>
      <c r="I301" s="195"/>
      <c r="J301" s="201"/>
      <c r="K301" s="193"/>
      <c r="L301" s="202"/>
      <c r="M301" s="195"/>
      <c r="N301" s="195"/>
      <c r="O301" s="195"/>
      <c r="P301" s="195"/>
      <c r="Q301" s="203"/>
      <c r="R301" s="198"/>
      <c r="S301" s="199"/>
      <c r="T301" s="199"/>
      <c r="U301" s="199"/>
      <c r="V301" s="199"/>
      <c r="W301" s="199"/>
      <c r="X301" s="199"/>
    </row>
    <row r="302">
      <c r="A302" s="247"/>
      <c r="B302" s="199"/>
      <c r="C302" s="247"/>
      <c r="D302" s="247"/>
      <c r="E302" s="195"/>
      <c r="F302" s="201"/>
      <c r="G302" s="195"/>
      <c r="H302" s="201"/>
      <c r="I302" s="195"/>
      <c r="J302" s="201"/>
      <c r="K302" s="193"/>
      <c r="L302" s="202"/>
      <c r="M302" s="195"/>
      <c r="N302" s="195"/>
      <c r="O302" s="195"/>
      <c r="P302" s="195"/>
      <c r="Q302" s="203"/>
      <c r="R302" s="198"/>
      <c r="S302" s="199"/>
      <c r="T302" s="199"/>
      <c r="U302" s="199"/>
      <c r="V302" s="199"/>
      <c r="W302" s="199"/>
      <c r="X302" s="199"/>
    </row>
    <row r="303">
      <c r="A303" s="247"/>
      <c r="B303" s="199"/>
      <c r="C303" s="247"/>
      <c r="D303" s="247"/>
      <c r="E303" s="195"/>
      <c r="F303" s="201"/>
      <c r="G303" s="195"/>
      <c r="H303" s="201"/>
      <c r="I303" s="195"/>
      <c r="J303" s="201"/>
      <c r="K303" s="193"/>
      <c r="L303" s="202"/>
      <c r="M303" s="195"/>
      <c r="N303" s="195"/>
      <c r="O303" s="195"/>
      <c r="P303" s="195"/>
      <c r="Q303" s="203"/>
      <c r="R303" s="198"/>
      <c r="S303" s="199"/>
      <c r="T303" s="199"/>
      <c r="U303" s="199"/>
      <c r="V303" s="199"/>
      <c r="W303" s="199"/>
      <c r="X303" s="199"/>
    </row>
    <row r="304">
      <c r="A304" s="247"/>
      <c r="B304" s="199"/>
      <c r="C304" s="247"/>
      <c r="D304" s="247"/>
      <c r="E304" s="195"/>
      <c r="F304" s="201"/>
      <c r="G304" s="195"/>
      <c r="H304" s="201"/>
      <c r="I304" s="195"/>
      <c r="J304" s="201"/>
      <c r="K304" s="193"/>
      <c r="L304" s="202"/>
      <c r="M304" s="195"/>
      <c r="N304" s="195"/>
      <c r="O304" s="195"/>
      <c r="P304" s="195"/>
      <c r="Q304" s="203"/>
      <c r="R304" s="198"/>
      <c r="S304" s="199"/>
      <c r="T304" s="199"/>
      <c r="U304" s="199"/>
      <c r="V304" s="199"/>
      <c r="W304" s="199"/>
      <c r="X304" s="199"/>
    </row>
    <row r="305">
      <c r="A305" s="247"/>
      <c r="B305" s="199"/>
      <c r="C305" s="247"/>
      <c r="D305" s="247"/>
      <c r="E305" s="195"/>
      <c r="F305" s="201"/>
      <c r="G305" s="195"/>
      <c r="H305" s="201"/>
      <c r="I305" s="195"/>
      <c r="J305" s="201"/>
      <c r="K305" s="193"/>
      <c r="L305" s="202"/>
      <c r="M305" s="195"/>
      <c r="N305" s="195"/>
      <c r="O305" s="195"/>
      <c r="P305" s="195"/>
      <c r="Q305" s="203"/>
      <c r="R305" s="198"/>
      <c r="S305" s="199"/>
      <c r="T305" s="199"/>
      <c r="U305" s="199"/>
      <c r="V305" s="199"/>
      <c r="W305" s="199"/>
      <c r="X305" s="199"/>
    </row>
    <row r="306">
      <c r="A306" s="247"/>
      <c r="B306" s="199"/>
      <c r="C306" s="247"/>
      <c r="D306" s="247"/>
      <c r="E306" s="195"/>
      <c r="F306" s="201"/>
      <c r="G306" s="195"/>
      <c r="H306" s="201"/>
      <c r="I306" s="195"/>
      <c r="J306" s="201"/>
      <c r="K306" s="193"/>
      <c r="L306" s="202"/>
      <c r="M306" s="195"/>
      <c r="N306" s="195"/>
      <c r="O306" s="195"/>
      <c r="P306" s="195"/>
      <c r="Q306" s="203"/>
      <c r="R306" s="198"/>
      <c r="S306" s="199"/>
      <c r="T306" s="199"/>
      <c r="U306" s="199"/>
      <c r="V306" s="199"/>
      <c r="W306" s="199"/>
      <c r="X306" s="199"/>
    </row>
    <row r="307">
      <c r="A307" s="247"/>
      <c r="B307" s="199"/>
      <c r="C307" s="247"/>
      <c r="D307" s="247"/>
      <c r="E307" s="195"/>
      <c r="F307" s="201"/>
      <c r="G307" s="195"/>
      <c r="H307" s="201"/>
      <c r="I307" s="195"/>
      <c r="J307" s="201"/>
      <c r="K307" s="193"/>
      <c r="L307" s="202"/>
      <c r="M307" s="195"/>
      <c r="N307" s="195"/>
      <c r="O307" s="195"/>
      <c r="P307" s="195"/>
      <c r="Q307" s="203"/>
      <c r="R307" s="198"/>
      <c r="S307" s="199"/>
      <c r="T307" s="199"/>
      <c r="U307" s="199"/>
      <c r="V307" s="199"/>
      <c r="W307" s="199"/>
      <c r="X307" s="199"/>
    </row>
    <row r="308">
      <c r="A308" s="247"/>
      <c r="B308" s="199"/>
      <c r="C308" s="247"/>
      <c r="D308" s="247"/>
      <c r="E308" s="195"/>
      <c r="F308" s="201"/>
      <c r="G308" s="195"/>
      <c r="H308" s="201"/>
      <c r="I308" s="195"/>
      <c r="J308" s="201"/>
      <c r="K308" s="193"/>
      <c r="L308" s="202"/>
      <c r="M308" s="195"/>
      <c r="N308" s="195"/>
      <c r="O308" s="195"/>
      <c r="P308" s="195"/>
      <c r="Q308" s="203"/>
      <c r="R308" s="198"/>
      <c r="S308" s="199"/>
      <c r="T308" s="199"/>
      <c r="U308" s="199"/>
      <c r="V308" s="199"/>
      <c r="W308" s="199"/>
      <c r="X308" s="199"/>
    </row>
    <row r="309">
      <c r="A309" s="247"/>
      <c r="B309" s="199"/>
      <c r="C309" s="247"/>
      <c r="D309" s="247"/>
      <c r="E309" s="195"/>
      <c r="F309" s="201"/>
      <c r="G309" s="195"/>
      <c r="H309" s="201"/>
      <c r="I309" s="195"/>
      <c r="J309" s="201"/>
      <c r="K309" s="193"/>
      <c r="L309" s="202"/>
      <c r="M309" s="195"/>
      <c r="N309" s="195"/>
      <c r="O309" s="195"/>
      <c r="P309" s="195"/>
      <c r="Q309" s="203"/>
      <c r="R309" s="198"/>
      <c r="S309" s="199"/>
      <c r="T309" s="199"/>
      <c r="U309" s="199"/>
      <c r="V309" s="199"/>
      <c r="W309" s="199"/>
      <c r="X309" s="199"/>
    </row>
    <row r="310">
      <c r="A310" s="247"/>
      <c r="B310" s="199"/>
      <c r="C310" s="247"/>
      <c r="D310" s="247"/>
      <c r="E310" s="195"/>
      <c r="F310" s="201"/>
      <c r="G310" s="195"/>
      <c r="H310" s="201"/>
      <c r="I310" s="195"/>
      <c r="J310" s="201"/>
      <c r="K310" s="193"/>
      <c r="L310" s="202"/>
      <c r="M310" s="195"/>
      <c r="N310" s="195"/>
      <c r="O310" s="195"/>
      <c r="P310" s="195"/>
      <c r="Q310" s="203"/>
      <c r="R310" s="198"/>
      <c r="S310" s="199"/>
      <c r="T310" s="199"/>
      <c r="U310" s="199"/>
      <c r="V310" s="199"/>
      <c r="W310" s="199"/>
      <c r="X310" s="199"/>
    </row>
    <row r="311">
      <c r="A311" s="247"/>
      <c r="B311" s="199"/>
      <c r="C311" s="247"/>
      <c r="D311" s="247"/>
      <c r="E311" s="195"/>
      <c r="F311" s="201"/>
      <c r="G311" s="195"/>
      <c r="H311" s="201"/>
      <c r="I311" s="195"/>
      <c r="J311" s="201"/>
      <c r="K311" s="193"/>
      <c r="L311" s="202"/>
      <c r="M311" s="195"/>
      <c r="N311" s="195"/>
      <c r="O311" s="195"/>
      <c r="P311" s="195"/>
      <c r="Q311" s="203"/>
      <c r="R311" s="198"/>
      <c r="S311" s="199"/>
      <c r="T311" s="199"/>
      <c r="U311" s="199"/>
      <c r="V311" s="199"/>
      <c r="W311" s="199"/>
      <c r="X311" s="199"/>
    </row>
    <row r="312">
      <c r="A312" s="247"/>
      <c r="B312" s="199"/>
      <c r="C312" s="247"/>
      <c r="D312" s="247"/>
      <c r="E312" s="195"/>
      <c r="F312" s="201"/>
      <c r="G312" s="195"/>
      <c r="H312" s="201"/>
      <c r="I312" s="195"/>
      <c r="J312" s="201"/>
      <c r="K312" s="193"/>
      <c r="L312" s="202"/>
      <c r="M312" s="195"/>
      <c r="N312" s="195"/>
      <c r="O312" s="195"/>
      <c r="P312" s="195"/>
      <c r="Q312" s="203"/>
      <c r="R312" s="198"/>
      <c r="S312" s="199"/>
      <c r="T312" s="199"/>
      <c r="U312" s="199"/>
      <c r="V312" s="199"/>
      <c r="W312" s="199"/>
      <c r="X312" s="199"/>
    </row>
    <row r="313">
      <c r="A313" s="247"/>
      <c r="B313" s="199"/>
      <c r="C313" s="247"/>
      <c r="D313" s="247"/>
      <c r="E313" s="195"/>
      <c r="F313" s="201"/>
      <c r="G313" s="195"/>
      <c r="H313" s="201"/>
      <c r="I313" s="195"/>
      <c r="J313" s="201"/>
      <c r="K313" s="193"/>
      <c r="L313" s="202"/>
      <c r="M313" s="195"/>
      <c r="N313" s="195"/>
      <c r="O313" s="195"/>
      <c r="P313" s="195"/>
      <c r="Q313" s="203"/>
      <c r="R313" s="198"/>
      <c r="S313" s="199"/>
      <c r="T313" s="199"/>
      <c r="U313" s="199"/>
      <c r="V313" s="199"/>
      <c r="W313" s="199"/>
      <c r="X313" s="199"/>
    </row>
    <row r="314">
      <c r="A314" s="247"/>
      <c r="B314" s="199"/>
      <c r="C314" s="247"/>
      <c r="D314" s="247"/>
      <c r="E314" s="195"/>
      <c r="F314" s="201"/>
      <c r="G314" s="195"/>
      <c r="H314" s="201"/>
      <c r="I314" s="195"/>
      <c r="J314" s="201"/>
      <c r="K314" s="193"/>
      <c r="L314" s="202"/>
      <c r="M314" s="195"/>
      <c r="N314" s="195"/>
      <c r="O314" s="195"/>
      <c r="P314" s="195"/>
      <c r="Q314" s="203"/>
      <c r="R314" s="198"/>
      <c r="S314" s="199"/>
      <c r="T314" s="199"/>
      <c r="U314" s="199"/>
      <c r="V314" s="199"/>
      <c r="W314" s="199"/>
      <c r="X314" s="199"/>
    </row>
    <row r="315">
      <c r="A315" s="247"/>
      <c r="B315" s="199"/>
      <c r="C315" s="247"/>
      <c r="D315" s="247"/>
      <c r="E315" s="195"/>
      <c r="F315" s="201"/>
      <c r="G315" s="195"/>
      <c r="H315" s="201"/>
      <c r="I315" s="195"/>
      <c r="J315" s="201"/>
      <c r="K315" s="193"/>
      <c r="L315" s="202"/>
      <c r="M315" s="195"/>
      <c r="N315" s="195"/>
      <c r="O315" s="195"/>
      <c r="P315" s="195"/>
      <c r="Q315" s="203"/>
      <c r="R315" s="198"/>
      <c r="S315" s="199"/>
      <c r="T315" s="199"/>
      <c r="U315" s="199"/>
      <c r="V315" s="199"/>
      <c r="W315" s="199"/>
      <c r="X315" s="199"/>
    </row>
    <row r="316">
      <c r="A316" s="247"/>
      <c r="B316" s="199"/>
      <c r="C316" s="247"/>
      <c r="D316" s="247"/>
      <c r="E316" s="195"/>
      <c r="F316" s="201"/>
      <c r="G316" s="195"/>
      <c r="H316" s="201"/>
      <c r="I316" s="195"/>
      <c r="J316" s="201"/>
      <c r="K316" s="193"/>
      <c r="L316" s="202"/>
      <c r="M316" s="195"/>
      <c r="N316" s="195"/>
      <c r="O316" s="195"/>
      <c r="P316" s="195"/>
      <c r="Q316" s="203"/>
      <c r="R316" s="198"/>
      <c r="S316" s="199"/>
      <c r="T316" s="199"/>
      <c r="U316" s="199"/>
      <c r="V316" s="199"/>
      <c r="W316" s="199"/>
      <c r="X316" s="199"/>
    </row>
    <row r="317">
      <c r="A317" s="247"/>
      <c r="B317" s="199"/>
      <c r="C317" s="247"/>
      <c r="D317" s="247"/>
      <c r="E317" s="195"/>
      <c r="F317" s="201"/>
      <c r="G317" s="195"/>
      <c r="H317" s="201"/>
      <c r="I317" s="195"/>
      <c r="J317" s="201"/>
      <c r="K317" s="193"/>
      <c r="L317" s="202"/>
      <c r="M317" s="195"/>
      <c r="N317" s="195"/>
      <c r="O317" s="195"/>
      <c r="P317" s="195"/>
      <c r="Q317" s="203"/>
      <c r="R317" s="198"/>
      <c r="S317" s="199"/>
      <c r="T317" s="199"/>
      <c r="U317" s="199"/>
      <c r="V317" s="199"/>
      <c r="W317" s="199"/>
      <c r="X317" s="199"/>
    </row>
    <row r="318">
      <c r="A318" s="247"/>
      <c r="B318" s="199"/>
      <c r="C318" s="247"/>
      <c r="D318" s="247"/>
      <c r="E318" s="195"/>
      <c r="F318" s="201"/>
      <c r="G318" s="195"/>
      <c r="H318" s="201"/>
      <c r="I318" s="195"/>
      <c r="J318" s="201"/>
      <c r="K318" s="193"/>
      <c r="L318" s="202"/>
      <c r="M318" s="195"/>
      <c r="N318" s="195"/>
      <c r="O318" s="195"/>
      <c r="P318" s="195"/>
      <c r="Q318" s="203"/>
      <c r="R318" s="198"/>
      <c r="S318" s="199"/>
      <c r="T318" s="199"/>
      <c r="U318" s="199"/>
      <c r="V318" s="199"/>
      <c r="W318" s="199"/>
      <c r="X318" s="199"/>
    </row>
    <row r="319">
      <c r="A319" s="247"/>
      <c r="B319" s="199"/>
      <c r="C319" s="247"/>
      <c r="D319" s="247"/>
      <c r="E319" s="195"/>
      <c r="F319" s="201"/>
      <c r="G319" s="195"/>
      <c r="H319" s="201"/>
      <c r="I319" s="195"/>
      <c r="J319" s="201"/>
      <c r="K319" s="193"/>
      <c r="L319" s="202"/>
      <c r="M319" s="195"/>
      <c r="N319" s="195"/>
      <c r="O319" s="195"/>
      <c r="P319" s="195"/>
      <c r="Q319" s="203"/>
      <c r="R319" s="198"/>
      <c r="S319" s="199"/>
      <c r="T319" s="199"/>
      <c r="U319" s="199"/>
      <c r="V319" s="199"/>
      <c r="W319" s="199"/>
      <c r="X319" s="199"/>
    </row>
    <row r="320">
      <c r="A320" s="247"/>
      <c r="B320" s="199"/>
      <c r="C320" s="247"/>
      <c r="D320" s="247"/>
      <c r="E320" s="195"/>
      <c r="F320" s="201"/>
      <c r="G320" s="195"/>
      <c r="H320" s="201"/>
      <c r="I320" s="195"/>
      <c r="J320" s="201"/>
      <c r="K320" s="193"/>
      <c r="L320" s="202"/>
      <c r="M320" s="195"/>
      <c r="N320" s="195"/>
      <c r="O320" s="195"/>
      <c r="P320" s="195"/>
      <c r="Q320" s="203"/>
      <c r="R320" s="198"/>
      <c r="S320" s="199"/>
      <c r="T320" s="199"/>
      <c r="U320" s="199"/>
      <c r="V320" s="199"/>
      <c r="W320" s="199"/>
      <c r="X320" s="199"/>
    </row>
    <row r="321">
      <c r="A321" s="247"/>
      <c r="B321" s="199"/>
      <c r="C321" s="247"/>
      <c r="D321" s="247"/>
      <c r="E321" s="195"/>
      <c r="F321" s="201"/>
      <c r="G321" s="195"/>
      <c r="H321" s="201"/>
      <c r="I321" s="195"/>
      <c r="J321" s="201"/>
      <c r="K321" s="193"/>
      <c r="L321" s="202"/>
      <c r="M321" s="195"/>
      <c r="N321" s="195"/>
      <c r="O321" s="195"/>
      <c r="P321" s="195"/>
      <c r="Q321" s="203"/>
      <c r="R321" s="198"/>
      <c r="S321" s="199"/>
      <c r="T321" s="199"/>
      <c r="U321" s="199"/>
      <c r="V321" s="199"/>
      <c r="W321" s="199"/>
      <c r="X321" s="199"/>
    </row>
    <row r="322">
      <c r="A322" s="247"/>
      <c r="B322" s="199"/>
      <c r="C322" s="247"/>
      <c r="D322" s="247"/>
      <c r="E322" s="195"/>
      <c r="F322" s="201"/>
      <c r="G322" s="195"/>
      <c r="H322" s="201"/>
      <c r="I322" s="195"/>
      <c r="J322" s="201"/>
      <c r="K322" s="193"/>
      <c r="L322" s="202"/>
      <c r="M322" s="195"/>
      <c r="N322" s="195"/>
      <c r="O322" s="195"/>
      <c r="P322" s="195"/>
      <c r="Q322" s="203"/>
      <c r="R322" s="198"/>
      <c r="S322" s="199"/>
      <c r="T322" s="199"/>
      <c r="U322" s="199"/>
      <c r="V322" s="199"/>
      <c r="W322" s="199"/>
      <c r="X322" s="199"/>
    </row>
    <row r="323">
      <c r="A323" s="247"/>
      <c r="B323" s="199"/>
      <c r="C323" s="247"/>
      <c r="D323" s="247"/>
      <c r="E323" s="195"/>
      <c r="F323" s="201"/>
      <c r="G323" s="195"/>
      <c r="H323" s="201"/>
      <c r="I323" s="195"/>
      <c r="J323" s="201"/>
      <c r="K323" s="193"/>
      <c r="L323" s="202"/>
      <c r="M323" s="195"/>
      <c r="N323" s="195"/>
      <c r="O323" s="195"/>
      <c r="P323" s="195"/>
      <c r="Q323" s="203"/>
      <c r="R323" s="198"/>
      <c r="S323" s="199"/>
      <c r="T323" s="199"/>
      <c r="U323" s="199"/>
      <c r="V323" s="199"/>
      <c r="W323" s="199"/>
      <c r="X323" s="199"/>
    </row>
    <row r="324">
      <c r="A324" s="247"/>
      <c r="B324" s="199"/>
      <c r="C324" s="247"/>
      <c r="D324" s="247"/>
      <c r="E324" s="195"/>
      <c r="F324" s="201"/>
      <c r="G324" s="195"/>
      <c r="H324" s="201"/>
      <c r="I324" s="195"/>
      <c r="J324" s="201"/>
      <c r="K324" s="193"/>
      <c r="L324" s="202"/>
      <c r="M324" s="195"/>
      <c r="N324" s="195"/>
      <c r="O324" s="195"/>
      <c r="P324" s="195"/>
      <c r="Q324" s="203"/>
      <c r="R324" s="198"/>
      <c r="S324" s="199"/>
      <c r="T324" s="199"/>
      <c r="U324" s="199"/>
      <c r="V324" s="199"/>
      <c r="W324" s="199"/>
      <c r="X324" s="199"/>
    </row>
    <row r="325">
      <c r="A325" s="247"/>
      <c r="B325" s="199"/>
      <c r="C325" s="247"/>
      <c r="D325" s="247"/>
      <c r="E325" s="195"/>
      <c r="F325" s="201"/>
      <c r="G325" s="195"/>
      <c r="H325" s="201"/>
      <c r="I325" s="195"/>
      <c r="J325" s="201"/>
      <c r="K325" s="193"/>
      <c r="L325" s="202"/>
      <c r="M325" s="195"/>
      <c r="N325" s="195"/>
      <c r="O325" s="195"/>
      <c r="P325" s="195"/>
      <c r="Q325" s="203"/>
      <c r="R325" s="198"/>
      <c r="S325" s="199"/>
      <c r="T325" s="199"/>
      <c r="U325" s="199"/>
      <c r="V325" s="199"/>
      <c r="W325" s="199"/>
      <c r="X325" s="199"/>
    </row>
    <row r="326">
      <c r="A326" s="247"/>
      <c r="B326" s="199"/>
      <c r="C326" s="247"/>
      <c r="D326" s="247"/>
      <c r="E326" s="195"/>
      <c r="F326" s="201"/>
      <c r="G326" s="195"/>
      <c r="H326" s="201"/>
      <c r="I326" s="195"/>
      <c r="J326" s="201"/>
      <c r="K326" s="193"/>
      <c r="L326" s="202"/>
      <c r="M326" s="195"/>
      <c r="N326" s="195"/>
      <c r="O326" s="195"/>
      <c r="P326" s="195"/>
      <c r="Q326" s="203"/>
      <c r="R326" s="198"/>
      <c r="S326" s="199"/>
      <c r="T326" s="199"/>
      <c r="U326" s="199"/>
      <c r="V326" s="199"/>
      <c r="W326" s="199"/>
      <c r="X326" s="199"/>
    </row>
    <row r="327">
      <c r="A327" s="247"/>
      <c r="B327" s="199"/>
      <c r="C327" s="247"/>
      <c r="D327" s="247"/>
      <c r="E327" s="195"/>
      <c r="F327" s="201"/>
      <c r="G327" s="195"/>
      <c r="H327" s="201"/>
      <c r="I327" s="195"/>
      <c r="J327" s="201"/>
      <c r="K327" s="193"/>
      <c r="L327" s="202"/>
      <c r="M327" s="195"/>
      <c r="N327" s="195"/>
      <c r="O327" s="195"/>
      <c r="P327" s="195"/>
      <c r="Q327" s="203"/>
      <c r="R327" s="198"/>
      <c r="S327" s="199"/>
      <c r="T327" s="199"/>
      <c r="U327" s="199"/>
      <c r="V327" s="199"/>
      <c r="W327" s="199"/>
      <c r="X327" s="199"/>
    </row>
    <row r="328">
      <c r="A328" s="247"/>
      <c r="B328" s="199"/>
      <c r="C328" s="247"/>
      <c r="D328" s="247"/>
      <c r="E328" s="195"/>
      <c r="F328" s="201"/>
      <c r="G328" s="195"/>
      <c r="H328" s="201"/>
      <c r="I328" s="195"/>
      <c r="J328" s="201"/>
      <c r="K328" s="193"/>
      <c r="L328" s="202"/>
      <c r="M328" s="195"/>
      <c r="N328" s="195"/>
      <c r="O328" s="195"/>
      <c r="P328" s="195"/>
      <c r="Q328" s="203"/>
      <c r="R328" s="198"/>
      <c r="S328" s="199"/>
      <c r="T328" s="199"/>
      <c r="U328" s="199"/>
      <c r="V328" s="199"/>
      <c r="W328" s="199"/>
      <c r="X328" s="199"/>
    </row>
    <row r="329">
      <c r="A329" s="247"/>
      <c r="B329" s="199"/>
      <c r="C329" s="247"/>
      <c r="D329" s="247"/>
      <c r="E329" s="195"/>
      <c r="F329" s="201"/>
      <c r="G329" s="195"/>
      <c r="H329" s="201"/>
      <c r="I329" s="195"/>
      <c r="J329" s="201"/>
      <c r="K329" s="193"/>
      <c r="L329" s="202"/>
      <c r="M329" s="195"/>
      <c r="N329" s="195"/>
      <c r="O329" s="195"/>
      <c r="P329" s="195"/>
      <c r="Q329" s="203"/>
      <c r="R329" s="198"/>
      <c r="S329" s="199"/>
      <c r="T329" s="199"/>
      <c r="U329" s="199"/>
      <c r="V329" s="199"/>
      <c r="W329" s="199"/>
      <c r="X329" s="199"/>
    </row>
    <row r="330">
      <c r="A330" s="247"/>
      <c r="B330" s="199"/>
      <c r="C330" s="247"/>
      <c r="D330" s="247"/>
      <c r="E330" s="195"/>
      <c r="F330" s="201"/>
      <c r="G330" s="195"/>
      <c r="H330" s="201"/>
      <c r="I330" s="195"/>
      <c r="J330" s="201"/>
      <c r="K330" s="193"/>
      <c r="L330" s="202"/>
      <c r="M330" s="195"/>
      <c r="N330" s="195"/>
      <c r="O330" s="195"/>
      <c r="P330" s="195"/>
      <c r="Q330" s="203"/>
      <c r="R330" s="198"/>
      <c r="S330" s="199"/>
      <c r="T330" s="199"/>
      <c r="U330" s="199"/>
      <c r="V330" s="199"/>
      <c r="W330" s="199"/>
      <c r="X330" s="199"/>
    </row>
    <row r="331">
      <c r="A331" s="247"/>
      <c r="B331" s="199"/>
      <c r="C331" s="247"/>
      <c r="D331" s="247"/>
      <c r="E331" s="195"/>
      <c r="F331" s="201"/>
      <c r="G331" s="195"/>
      <c r="H331" s="201"/>
      <c r="I331" s="195"/>
      <c r="J331" s="201"/>
      <c r="K331" s="193"/>
      <c r="L331" s="202"/>
      <c r="M331" s="195"/>
      <c r="N331" s="195"/>
      <c r="O331" s="195"/>
      <c r="P331" s="195"/>
      <c r="Q331" s="203"/>
      <c r="R331" s="198"/>
      <c r="S331" s="199"/>
      <c r="T331" s="199"/>
      <c r="U331" s="199"/>
      <c r="V331" s="199"/>
      <c r="W331" s="199"/>
      <c r="X331" s="199"/>
    </row>
    <row r="332">
      <c r="A332" s="247"/>
      <c r="B332" s="199"/>
      <c r="C332" s="247"/>
      <c r="D332" s="247"/>
      <c r="E332" s="195"/>
      <c r="F332" s="201"/>
      <c r="G332" s="195"/>
      <c r="H332" s="201"/>
      <c r="I332" s="195"/>
      <c r="J332" s="201"/>
      <c r="K332" s="193"/>
      <c r="L332" s="202"/>
      <c r="M332" s="195"/>
      <c r="N332" s="195"/>
      <c r="O332" s="195"/>
      <c r="P332" s="195"/>
      <c r="Q332" s="203"/>
      <c r="R332" s="198"/>
      <c r="S332" s="199"/>
      <c r="T332" s="199"/>
      <c r="U332" s="199"/>
      <c r="V332" s="199"/>
      <c r="W332" s="199"/>
      <c r="X332" s="199"/>
    </row>
    <row r="333">
      <c r="A333" s="247"/>
      <c r="B333" s="199"/>
      <c r="C333" s="247"/>
      <c r="D333" s="247"/>
      <c r="E333" s="195"/>
      <c r="F333" s="201"/>
      <c r="G333" s="195"/>
      <c r="H333" s="201"/>
      <c r="I333" s="195"/>
      <c r="J333" s="201"/>
      <c r="K333" s="193"/>
      <c r="L333" s="202"/>
      <c r="M333" s="195"/>
      <c r="N333" s="195"/>
      <c r="O333" s="195"/>
      <c r="P333" s="195"/>
      <c r="Q333" s="203"/>
      <c r="R333" s="198"/>
      <c r="S333" s="199"/>
      <c r="T333" s="199"/>
      <c r="U333" s="199"/>
      <c r="V333" s="199"/>
      <c r="W333" s="199"/>
      <c r="X333" s="199"/>
    </row>
    <row r="334">
      <c r="A334" s="247"/>
      <c r="B334" s="199"/>
      <c r="C334" s="247"/>
      <c r="D334" s="247"/>
      <c r="E334" s="195"/>
      <c r="F334" s="201"/>
      <c r="G334" s="195"/>
      <c r="H334" s="201"/>
      <c r="I334" s="195"/>
      <c r="J334" s="201"/>
      <c r="K334" s="193"/>
      <c r="L334" s="202"/>
      <c r="M334" s="195"/>
      <c r="N334" s="195"/>
      <c r="O334" s="195"/>
      <c r="P334" s="195"/>
      <c r="Q334" s="203"/>
      <c r="R334" s="198"/>
      <c r="S334" s="199"/>
      <c r="T334" s="199"/>
      <c r="U334" s="199"/>
      <c r="V334" s="199"/>
      <c r="W334" s="199"/>
      <c r="X334" s="199"/>
    </row>
    <row r="335">
      <c r="A335" s="247"/>
      <c r="B335" s="199"/>
      <c r="C335" s="247"/>
      <c r="D335" s="247"/>
      <c r="E335" s="195"/>
      <c r="F335" s="201"/>
      <c r="G335" s="195"/>
      <c r="H335" s="201"/>
      <c r="I335" s="195"/>
      <c r="J335" s="201"/>
      <c r="K335" s="193"/>
      <c r="L335" s="202"/>
      <c r="M335" s="195"/>
      <c r="N335" s="195"/>
      <c r="O335" s="195"/>
      <c r="P335" s="195"/>
      <c r="Q335" s="203"/>
      <c r="R335" s="198"/>
      <c r="S335" s="199"/>
      <c r="T335" s="199"/>
      <c r="U335" s="199"/>
      <c r="V335" s="199"/>
      <c r="W335" s="199"/>
      <c r="X335" s="199"/>
    </row>
    <row r="336">
      <c r="A336" s="247"/>
      <c r="B336" s="199"/>
      <c r="C336" s="247"/>
      <c r="D336" s="247"/>
      <c r="E336" s="195"/>
      <c r="F336" s="201"/>
      <c r="G336" s="195"/>
      <c r="H336" s="201"/>
      <c r="I336" s="195"/>
      <c r="J336" s="201"/>
      <c r="K336" s="193"/>
      <c r="L336" s="202"/>
      <c r="M336" s="195"/>
      <c r="N336" s="195"/>
      <c r="O336" s="195"/>
      <c r="P336" s="195"/>
      <c r="Q336" s="203"/>
      <c r="R336" s="198"/>
      <c r="S336" s="199"/>
      <c r="T336" s="199"/>
      <c r="U336" s="199"/>
      <c r="V336" s="199"/>
      <c r="W336" s="199"/>
      <c r="X336" s="199"/>
    </row>
    <row r="337">
      <c r="A337" s="247"/>
      <c r="B337" s="199"/>
      <c r="C337" s="247"/>
      <c r="D337" s="247"/>
      <c r="E337" s="195"/>
      <c r="F337" s="201"/>
      <c r="G337" s="195"/>
      <c r="H337" s="201"/>
      <c r="I337" s="195"/>
      <c r="J337" s="201"/>
      <c r="K337" s="193"/>
      <c r="L337" s="202"/>
      <c r="M337" s="195"/>
      <c r="N337" s="195"/>
      <c r="O337" s="195"/>
      <c r="P337" s="195"/>
      <c r="Q337" s="203"/>
      <c r="R337" s="198"/>
      <c r="S337" s="199"/>
      <c r="T337" s="199"/>
      <c r="U337" s="199"/>
      <c r="V337" s="199"/>
      <c r="W337" s="199"/>
      <c r="X337" s="199"/>
    </row>
    <row r="338">
      <c r="A338" s="247"/>
      <c r="B338" s="199"/>
      <c r="C338" s="247"/>
      <c r="D338" s="247"/>
      <c r="E338" s="195"/>
      <c r="F338" s="201"/>
      <c r="G338" s="195"/>
      <c r="H338" s="201"/>
      <c r="I338" s="195"/>
      <c r="J338" s="201"/>
      <c r="K338" s="193"/>
      <c r="L338" s="202"/>
      <c r="M338" s="195"/>
      <c r="N338" s="195"/>
      <c r="O338" s="195"/>
      <c r="P338" s="195"/>
      <c r="Q338" s="203"/>
      <c r="R338" s="198"/>
      <c r="S338" s="199"/>
      <c r="T338" s="199"/>
      <c r="U338" s="199"/>
      <c r="V338" s="199"/>
      <c r="W338" s="199"/>
      <c r="X338" s="199"/>
    </row>
    <row r="339">
      <c r="A339" s="247"/>
      <c r="B339" s="199"/>
      <c r="C339" s="247"/>
      <c r="D339" s="247"/>
      <c r="E339" s="195"/>
      <c r="F339" s="201"/>
      <c r="G339" s="195"/>
      <c r="H339" s="201"/>
      <c r="I339" s="195"/>
      <c r="J339" s="201"/>
      <c r="K339" s="193"/>
      <c r="L339" s="202"/>
      <c r="M339" s="195"/>
      <c r="N339" s="195"/>
      <c r="O339" s="195"/>
      <c r="P339" s="195"/>
      <c r="Q339" s="203"/>
      <c r="R339" s="198"/>
      <c r="S339" s="199"/>
      <c r="T339" s="199"/>
      <c r="U339" s="199"/>
      <c r="V339" s="199"/>
      <c r="W339" s="199"/>
      <c r="X339" s="199"/>
    </row>
    <row r="340">
      <c r="A340" s="247"/>
      <c r="B340" s="199"/>
      <c r="C340" s="247"/>
      <c r="D340" s="247"/>
      <c r="E340" s="195"/>
      <c r="F340" s="201"/>
      <c r="G340" s="195"/>
      <c r="H340" s="201"/>
      <c r="I340" s="195"/>
      <c r="J340" s="201"/>
      <c r="K340" s="193"/>
      <c r="L340" s="202"/>
      <c r="M340" s="195"/>
      <c r="N340" s="195"/>
      <c r="O340" s="195"/>
      <c r="P340" s="195"/>
      <c r="Q340" s="203"/>
      <c r="R340" s="198"/>
      <c r="S340" s="199"/>
      <c r="T340" s="199"/>
      <c r="U340" s="199"/>
      <c r="V340" s="199"/>
      <c r="W340" s="199"/>
      <c r="X340" s="199"/>
    </row>
    <row r="341">
      <c r="A341" s="247"/>
      <c r="B341" s="199"/>
      <c r="C341" s="247"/>
      <c r="D341" s="247"/>
      <c r="E341" s="195"/>
      <c r="F341" s="201"/>
      <c r="G341" s="195"/>
      <c r="H341" s="201"/>
      <c r="I341" s="195"/>
      <c r="J341" s="201"/>
      <c r="K341" s="193"/>
      <c r="L341" s="202"/>
      <c r="M341" s="195"/>
      <c r="N341" s="195"/>
      <c r="O341" s="195"/>
      <c r="P341" s="195"/>
      <c r="Q341" s="203"/>
      <c r="R341" s="198"/>
      <c r="S341" s="199"/>
      <c r="T341" s="199"/>
      <c r="U341" s="199"/>
      <c r="V341" s="199"/>
      <c r="W341" s="199"/>
      <c r="X341" s="199"/>
    </row>
    <row r="342">
      <c r="A342" s="247"/>
      <c r="B342" s="199"/>
      <c r="C342" s="247"/>
      <c r="D342" s="247"/>
      <c r="E342" s="195"/>
      <c r="F342" s="201"/>
      <c r="G342" s="195"/>
      <c r="H342" s="201"/>
      <c r="I342" s="195"/>
      <c r="J342" s="201"/>
      <c r="K342" s="193"/>
      <c r="L342" s="202"/>
      <c r="M342" s="195"/>
      <c r="N342" s="195"/>
      <c r="O342" s="195"/>
      <c r="P342" s="195"/>
      <c r="Q342" s="203"/>
      <c r="R342" s="198"/>
      <c r="S342" s="199"/>
      <c r="T342" s="199"/>
      <c r="U342" s="199"/>
      <c r="V342" s="199"/>
      <c r="W342" s="199"/>
      <c r="X342" s="199"/>
    </row>
    <row r="343">
      <c r="A343" s="247"/>
      <c r="B343" s="199"/>
      <c r="C343" s="247"/>
      <c r="D343" s="247"/>
      <c r="E343" s="195"/>
      <c r="F343" s="201"/>
      <c r="G343" s="195"/>
      <c r="H343" s="201"/>
      <c r="I343" s="195"/>
      <c r="J343" s="201"/>
      <c r="K343" s="193"/>
      <c r="L343" s="202"/>
      <c r="M343" s="195"/>
      <c r="N343" s="195"/>
      <c r="O343" s="195"/>
      <c r="P343" s="195"/>
      <c r="Q343" s="203"/>
      <c r="R343" s="198"/>
      <c r="S343" s="199"/>
      <c r="T343" s="199"/>
      <c r="U343" s="199"/>
      <c r="V343" s="199"/>
      <c r="W343" s="199"/>
      <c r="X343" s="199"/>
    </row>
    <row r="344">
      <c r="A344" s="247"/>
      <c r="B344" s="199"/>
      <c r="C344" s="247"/>
      <c r="D344" s="247"/>
      <c r="E344" s="195"/>
      <c r="F344" s="201"/>
      <c r="G344" s="195"/>
      <c r="H344" s="201"/>
      <c r="I344" s="195"/>
      <c r="J344" s="201"/>
      <c r="K344" s="193"/>
      <c r="L344" s="202"/>
      <c r="M344" s="195"/>
      <c r="N344" s="195"/>
      <c r="O344" s="195"/>
      <c r="P344" s="195"/>
      <c r="Q344" s="203"/>
      <c r="R344" s="198"/>
      <c r="S344" s="199"/>
      <c r="T344" s="199"/>
      <c r="U344" s="199"/>
      <c r="V344" s="199"/>
      <c r="W344" s="199"/>
      <c r="X344" s="199"/>
    </row>
    <row r="345">
      <c r="A345" s="247"/>
      <c r="B345" s="199"/>
      <c r="C345" s="247"/>
      <c r="D345" s="247"/>
      <c r="E345" s="195"/>
      <c r="F345" s="201"/>
      <c r="G345" s="195"/>
      <c r="H345" s="201"/>
      <c r="I345" s="195"/>
      <c r="J345" s="201"/>
      <c r="K345" s="193"/>
      <c r="L345" s="202"/>
      <c r="M345" s="195"/>
      <c r="N345" s="195"/>
      <c r="O345" s="195"/>
      <c r="P345" s="195"/>
      <c r="Q345" s="203"/>
      <c r="R345" s="198"/>
      <c r="S345" s="199"/>
      <c r="T345" s="199"/>
      <c r="U345" s="199"/>
      <c r="V345" s="199"/>
      <c r="W345" s="199"/>
      <c r="X345" s="199"/>
    </row>
    <row r="346">
      <c r="A346" s="247"/>
      <c r="B346" s="199"/>
      <c r="C346" s="247"/>
      <c r="D346" s="247"/>
      <c r="E346" s="195"/>
      <c r="F346" s="201"/>
      <c r="G346" s="195"/>
      <c r="H346" s="201"/>
      <c r="I346" s="195"/>
      <c r="J346" s="201"/>
      <c r="K346" s="193"/>
      <c r="L346" s="202"/>
      <c r="M346" s="195"/>
      <c r="N346" s="195"/>
      <c r="O346" s="195"/>
      <c r="P346" s="195"/>
      <c r="Q346" s="203"/>
      <c r="R346" s="198"/>
      <c r="S346" s="199"/>
      <c r="T346" s="199"/>
      <c r="U346" s="199"/>
      <c r="V346" s="199"/>
      <c r="W346" s="199"/>
      <c r="X346" s="199"/>
    </row>
    <row r="347">
      <c r="A347" s="247"/>
      <c r="B347" s="199"/>
      <c r="C347" s="247"/>
      <c r="D347" s="247"/>
      <c r="E347" s="195"/>
      <c r="F347" s="201"/>
      <c r="G347" s="195"/>
      <c r="H347" s="201"/>
      <c r="I347" s="195"/>
      <c r="J347" s="201"/>
      <c r="K347" s="193"/>
      <c r="L347" s="202"/>
      <c r="M347" s="195"/>
      <c r="N347" s="195"/>
      <c r="O347" s="195"/>
      <c r="P347" s="195"/>
      <c r="Q347" s="203"/>
      <c r="R347" s="198"/>
      <c r="S347" s="199"/>
      <c r="T347" s="199"/>
      <c r="U347" s="199"/>
      <c r="V347" s="199"/>
      <c r="W347" s="199"/>
      <c r="X347" s="199"/>
    </row>
    <row r="348">
      <c r="A348" s="247"/>
      <c r="B348" s="199"/>
      <c r="C348" s="247"/>
      <c r="D348" s="247"/>
      <c r="E348" s="195"/>
      <c r="F348" s="201"/>
      <c r="G348" s="195"/>
      <c r="H348" s="201"/>
      <c r="I348" s="195"/>
      <c r="J348" s="201"/>
      <c r="K348" s="193"/>
      <c r="L348" s="202"/>
      <c r="M348" s="195"/>
      <c r="N348" s="195"/>
      <c r="O348" s="195"/>
      <c r="P348" s="195"/>
      <c r="Q348" s="203"/>
      <c r="R348" s="198"/>
      <c r="S348" s="199"/>
      <c r="T348" s="199"/>
      <c r="U348" s="199"/>
      <c r="V348" s="199"/>
      <c r="W348" s="199"/>
      <c r="X348" s="199"/>
    </row>
    <row r="349">
      <c r="A349" s="247"/>
      <c r="B349" s="199"/>
      <c r="C349" s="247"/>
      <c r="D349" s="247"/>
      <c r="E349" s="195"/>
      <c r="F349" s="201"/>
      <c r="G349" s="195"/>
      <c r="H349" s="201"/>
      <c r="I349" s="195"/>
      <c r="J349" s="201"/>
      <c r="K349" s="193"/>
      <c r="L349" s="202"/>
      <c r="M349" s="195"/>
      <c r="N349" s="195"/>
      <c r="O349" s="195"/>
      <c r="P349" s="195"/>
      <c r="Q349" s="203"/>
      <c r="R349" s="198"/>
      <c r="S349" s="199"/>
      <c r="T349" s="199"/>
      <c r="U349" s="199"/>
      <c r="V349" s="199"/>
      <c r="W349" s="199"/>
      <c r="X349" s="199"/>
    </row>
    <row r="350">
      <c r="A350" s="247"/>
      <c r="B350" s="199"/>
      <c r="C350" s="247"/>
      <c r="D350" s="247"/>
      <c r="E350" s="195"/>
      <c r="F350" s="201"/>
      <c r="G350" s="195"/>
      <c r="H350" s="201"/>
      <c r="I350" s="195"/>
      <c r="J350" s="201"/>
      <c r="K350" s="193"/>
      <c r="L350" s="202"/>
      <c r="M350" s="195"/>
      <c r="N350" s="195"/>
      <c r="O350" s="195"/>
      <c r="P350" s="195"/>
      <c r="Q350" s="203"/>
      <c r="R350" s="198"/>
      <c r="S350" s="199"/>
      <c r="T350" s="199"/>
      <c r="U350" s="199"/>
      <c r="V350" s="199"/>
      <c r="W350" s="199"/>
      <c r="X350" s="199"/>
    </row>
    <row r="351">
      <c r="A351" s="247"/>
      <c r="B351" s="199"/>
      <c r="C351" s="247"/>
      <c r="D351" s="247"/>
      <c r="E351" s="195"/>
      <c r="F351" s="201"/>
      <c r="G351" s="195"/>
      <c r="H351" s="201"/>
      <c r="I351" s="195"/>
      <c r="J351" s="201"/>
      <c r="K351" s="193"/>
      <c r="L351" s="202"/>
      <c r="M351" s="195"/>
      <c r="N351" s="195"/>
      <c r="O351" s="195"/>
      <c r="P351" s="195"/>
      <c r="Q351" s="203"/>
      <c r="R351" s="198"/>
      <c r="S351" s="199"/>
      <c r="T351" s="199"/>
      <c r="U351" s="199"/>
      <c r="V351" s="199"/>
      <c r="W351" s="199"/>
      <c r="X351" s="199"/>
    </row>
    <row r="352">
      <c r="A352" s="247"/>
      <c r="B352" s="199"/>
      <c r="C352" s="247"/>
      <c r="D352" s="247"/>
      <c r="E352" s="195"/>
      <c r="F352" s="201"/>
      <c r="G352" s="195"/>
      <c r="H352" s="201"/>
      <c r="I352" s="195"/>
      <c r="J352" s="201"/>
      <c r="K352" s="193"/>
      <c r="L352" s="202"/>
      <c r="M352" s="195"/>
      <c r="N352" s="195"/>
      <c r="O352" s="195"/>
      <c r="P352" s="195"/>
      <c r="Q352" s="203"/>
      <c r="R352" s="198"/>
      <c r="S352" s="199"/>
      <c r="T352" s="199"/>
      <c r="U352" s="199"/>
      <c r="V352" s="199"/>
      <c r="W352" s="199"/>
      <c r="X352" s="199"/>
    </row>
    <row r="353">
      <c r="A353" s="247"/>
      <c r="B353" s="199"/>
      <c r="C353" s="247"/>
      <c r="D353" s="247"/>
      <c r="E353" s="195"/>
      <c r="F353" s="201"/>
      <c r="G353" s="195"/>
      <c r="H353" s="201"/>
      <c r="I353" s="195"/>
      <c r="J353" s="201"/>
      <c r="K353" s="193"/>
      <c r="L353" s="202"/>
      <c r="M353" s="195"/>
      <c r="N353" s="195"/>
      <c r="O353" s="195"/>
      <c r="P353" s="195"/>
      <c r="Q353" s="203"/>
      <c r="R353" s="198"/>
      <c r="S353" s="199"/>
      <c r="T353" s="199"/>
      <c r="U353" s="199"/>
      <c r="V353" s="199"/>
      <c r="W353" s="199"/>
      <c r="X353" s="199"/>
    </row>
    <row r="354">
      <c r="A354" s="247"/>
      <c r="B354" s="199"/>
      <c r="C354" s="247"/>
      <c r="D354" s="247"/>
      <c r="E354" s="195"/>
      <c r="F354" s="201"/>
      <c r="G354" s="195"/>
      <c r="H354" s="201"/>
      <c r="I354" s="195"/>
      <c r="J354" s="201"/>
      <c r="K354" s="193"/>
      <c r="L354" s="202"/>
      <c r="M354" s="195"/>
      <c r="N354" s="195"/>
      <c r="O354" s="195"/>
      <c r="P354" s="195"/>
      <c r="Q354" s="203"/>
      <c r="R354" s="198"/>
      <c r="S354" s="199"/>
      <c r="T354" s="199"/>
      <c r="U354" s="199"/>
      <c r="V354" s="199"/>
      <c r="W354" s="199"/>
      <c r="X354" s="199"/>
    </row>
    <row r="355">
      <c r="A355" s="247"/>
      <c r="B355" s="199"/>
      <c r="C355" s="247"/>
      <c r="D355" s="247"/>
      <c r="E355" s="195"/>
      <c r="F355" s="201"/>
      <c r="G355" s="195"/>
      <c r="H355" s="201"/>
      <c r="I355" s="195"/>
      <c r="J355" s="201"/>
      <c r="K355" s="193"/>
      <c r="L355" s="202"/>
      <c r="M355" s="195"/>
      <c r="N355" s="195"/>
      <c r="O355" s="195"/>
      <c r="P355" s="195"/>
      <c r="Q355" s="203"/>
      <c r="R355" s="198"/>
      <c r="S355" s="199"/>
      <c r="T355" s="199"/>
      <c r="U355" s="199"/>
      <c r="V355" s="199"/>
      <c r="W355" s="199"/>
      <c r="X355" s="199"/>
    </row>
    <row r="356">
      <c r="A356" s="247"/>
      <c r="B356" s="199"/>
      <c r="C356" s="247"/>
      <c r="D356" s="247"/>
      <c r="E356" s="195"/>
      <c r="F356" s="201"/>
      <c r="G356" s="195"/>
      <c r="H356" s="201"/>
      <c r="I356" s="195"/>
      <c r="J356" s="201"/>
      <c r="K356" s="193"/>
      <c r="L356" s="202"/>
      <c r="M356" s="195"/>
      <c r="N356" s="195"/>
      <c r="O356" s="195"/>
      <c r="P356" s="195"/>
      <c r="Q356" s="203"/>
      <c r="R356" s="198"/>
      <c r="S356" s="199"/>
      <c r="T356" s="199"/>
      <c r="U356" s="199"/>
      <c r="V356" s="199"/>
      <c r="W356" s="199"/>
      <c r="X356" s="199"/>
    </row>
    <row r="357">
      <c r="A357" s="247"/>
      <c r="B357" s="199"/>
      <c r="C357" s="247"/>
      <c r="D357" s="247"/>
      <c r="E357" s="195"/>
      <c r="F357" s="201"/>
      <c r="G357" s="195"/>
      <c r="H357" s="201"/>
      <c r="I357" s="195"/>
      <c r="J357" s="201"/>
      <c r="K357" s="193"/>
      <c r="L357" s="202"/>
      <c r="M357" s="195"/>
      <c r="N357" s="195"/>
      <c r="O357" s="195"/>
      <c r="P357" s="195"/>
      <c r="Q357" s="203"/>
      <c r="R357" s="198"/>
      <c r="S357" s="199"/>
      <c r="T357" s="199"/>
      <c r="U357" s="199"/>
      <c r="V357" s="199"/>
      <c r="W357" s="199"/>
      <c r="X357" s="199"/>
    </row>
    <row r="358">
      <c r="A358" s="247"/>
      <c r="B358" s="199"/>
      <c r="C358" s="247"/>
      <c r="D358" s="247"/>
      <c r="E358" s="195"/>
      <c r="F358" s="201"/>
      <c r="G358" s="195"/>
      <c r="H358" s="201"/>
      <c r="I358" s="195"/>
      <c r="J358" s="201"/>
      <c r="K358" s="193"/>
      <c r="L358" s="202"/>
      <c r="M358" s="195"/>
      <c r="N358" s="195"/>
      <c r="O358" s="195"/>
      <c r="P358" s="195"/>
      <c r="Q358" s="203"/>
      <c r="R358" s="198"/>
      <c r="S358" s="199"/>
      <c r="T358" s="199"/>
      <c r="U358" s="199"/>
      <c r="V358" s="199"/>
      <c r="W358" s="199"/>
      <c r="X358" s="199"/>
    </row>
    <row r="359">
      <c r="A359" s="247"/>
      <c r="B359" s="199"/>
      <c r="C359" s="247"/>
      <c r="D359" s="247"/>
      <c r="E359" s="195"/>
      <c r="F359" s="201"/>
      <c r="G359" s="195"/>
      <c r="H359" s="201"/>
      <c r="I359" s="195"/>
      <c r="J359" s="201"/>
      <c r="K359" s="193"/>
      <c r="L359" s="202"/>
      <c r="M359" s="195"/>
      <c r="N359" s="195"/>
      <c r="O359" s="195"/>
      <c r="P359" s="195"/>
      <c r="Q359" s="203"/>
      <c r="R359" s="198"/>
      <c r="S359" s="199"/>
      <c r="T359" s="199"/>
      <c r="U359" s="199"/>
      <c r="V359" s="199"/>
      <c r="W359" s="199"/>
      <c r="X359" s="199"/>
    </row>
    <row r="360">
      <c r="A360" s="247"/>
      <c r="B360" s="199"/>
      <c r="C360" s="247"/>
      <c r="D360" s="247"/>
      <c r="E360" s="195"/>
      <c r="F360" s="201"/>
      <c r="G360" s="195"/>
      <c r="H360" s="201"/>
      <c r="I360" s="195"/>
      <c r="J360" s="201"/>
      <c r="K360" s="193"/>
      <c r="L360" s="202"/>
      <c r="M360" s="195"/>
      <c r="N360" s="195"/>
      <c r="O360" s="195"/>
      <c r="P360" s="195"/>
      <c r="Q360" s="203"/>
      <c r="R360" s="198"/>
      <c r="S360" s="199"/>
      <c r="T360" s="199"/>
      <c r="U360" s="199"/>
      <c r="V360" s="199"/>
      <c r="W360" s="199"/>
      <c r="X360" s="199"/>
    </row>
    <row r="361">
      <c r="A361" s="247"/>
      <c r="B361" s="199"/>
      <c r="C361" s="247"/>
      <c r="D361" s="247"/>
      <c r="E361" s="195"/>
      <c r="F361" s="201"/>
      <c r="G361" s="195"/>
      <c r="H361" s="201"/>
      <c r="I361" s="195"/>
      <c r="J361" s="201"/>
      <c r="K361" s="193"/>
      <c r="L361" s="202"/>
      <c r="M361" s="195"/>
      <c r="N361" s="195"/>
      <c r="O361" s="195"/>
      <c r="P361" s="195"/>
      <c r="Q361" s="203"/>
      <c r="R361" s="198"/>
      <c r="S361" s="199"/>
      <c r="T361" s="199"/>
      <c r="U361" s="199"/>
      <c r="V361" s="199"/>
      <c r="W361" s="199"/>
      <c r="X361" s="199"/>
    </row>
    <row r="362">
      <c r="A362" s="247"/>
      <c r="B362" s="199"/>
      <c r="C362" s="247"/>
      <c r="D362" s="247"/>
      <c r="E362" s="195"/>
      <c r="F362" s="201"/>
      <c r="G362" s="195"/>
      <c r="H362" s="201"/>
      <c r="I362" s="195"/>
      <c r="J362" s="201"/>
      <c r="K362" s="193"/>
      <c r="L362" s="202"/>
      <c r="M362" s="195"/>
      <c r="N362" s="195"/>
      <c r="O362" s="195"/>
      <c r="P362" s="195"/>
      <c r="Q362" s="203"/>
      <c r="R362" s="198"/>
      <c r="S362" s="199"/>
      <c r="T362" s="199"/>
      <c r="U362" s="199"/>
      <c r="V362" s="199"/>
      <c r="W362" s="199"/>
      <c r="X362" s="199"/>
    </row>
    <row r="363">
      <c r="A363" s="247"/>
      <c r="B363" s="199"/>
      <c r="C363" s="247"/>
      <c r="D363" s="247"/>
      <c r="E363" s="195"/>
      <c r="F363" s="201"/>
      <c r="G363" s="195"/>
      <c r="H363" s="201"/>
      <c r="I363" s="195"/>
      <c r="J363" s="201"/>
      <c r="K363" s="193"/>
      <c r="L363" s="202"/>
      <c r="M363" s="195"/>
      <c r="N363" s="195"/>
      <c r="O363" s="195"/>
      <c r="P363" s="195"/>
      <c r="Q363" s="203"/>
      <c r="R363" s="198"/>
      <c r="S363" s="199"/>
      <c r="T363" s="199"/>
      <c r="U363" s="199"/>
      <c r="V363" s="199"/>
      <c r="W363" s="199"/>
      <c r="X363" s="199"/>
    </row>
    <row r="364">
      <c r="A364" s="247"/>
      <c r="B364" s="199"/>
      <c r="C364" s="247"/>
      <c r="D364" s="247"/>
      <c r="E364" s="195"/>
      <c r="F364" s="201"/>
      <c r="G364" s="195"/>
      <c r="H364" s="201"/>
      <c r="I364" s="195"/>
      <c r="J364" s="201"/>
      <c r="K364" s="193"/>
      <c r="L364" s="202"/>
      <c r="M364" s="195"/>
      <c r="N364" s="195"/>
      <c r="O364" s="195"/>
      <c r="P364" s="195"/>
      <c r="Q364" s="203"/>
      <c r="R364" s="198"/>
      <c r="S364" s="199"/>
      <c r="T364" s="199"/>
      <c r="U364" s="199"/>
      <c r="V364" s="199"/>
      <c r="W364" s="199"/>
      <c r="X364" s="199"/>
    </row>
    <row r="365">
      <c r="A365" s="247"/>
      <c r="B365" s="199"/>
      <c r="C365" s="247"/>
      <c r="D365" s="247"/>
      <c r="E365" s="195"/>
      <c r="F365" s="201"/>
      <c r="G365" s="195"/>
      <c r="H365" s="201"/>
      <c r="I365" s="195"/>
      <c r="J365" s="201"/>
      <c r="K365" s="193"/>
      <c r="L365" s="202"/>
      <c r="M365" s="195"/>
      <c r="N365" s="195"/>
      <c r="O365" s="195"/>
      <c r="P365" s="195"/>
      <c r="Q365" s="203"/>
      <c r="R365" s="198"/>
      <c r="S365" s="199"/>
      <c r="T365" s="199"/>
      <c r="U365" s="199"/>
      <c r="V365" s="199"/>
      <c r="W365" s="199"/>
      <c r="X365" s="199"/>
    </row>
    <row r="366">
      <c r="A366" s="247"/>
      <c r="B366" s="199"/>
      <c r="C366" s="247"/>
      <c r="D366" s="247"/>
      <c r="E366" s="195"/>
      <c r="F366" s="201"/>
      <c r="G366" s="195"/>
      <c r="H366" s="201"/>
      <c r="I366" s="195"/>
      <c r="J366" s="201"/>
      <c r="K366" s="193"/>
      <c r="L366" s="202"/>
      <c r="M366" s="195"/>
      <c r="N366" s="195"/>
      <c r="O366" s="195"/>
      <c r="P366" s="195"/>
      <c r="Q366" s="203"/>
      <c r="R366" s="198"/>
      <c r="S366" s="199"/>
      <c r="T366" s="199"/>
      <c r="U366" s="199"/>
      <c r="V366" s="199"/>
      <c r="W366" s="199"/>
      <c r="X366" s="199"/>
    </row>
    <row r="367">
      <c r="A367" s="247"/>
      <c r="B367" s="199"/>
      <c r="C367" s="247"/>
      <c r="D367" s="247"/>
      <c r="E367" s="195"/>
      <c r="F367" s="201"/>
      <c r="G367" s="195"/>
      <c r="H367" s="201"/>
      <c r="I367" s="195"/>
      <c r="J367" s="201"/>
      <c r="K367" s="193"/>
      <c r="L367" s="202"/>
      <c r="M367" s="195"/>
      <c r="N367" s="195"/>
      <c r="O367" s="195"/>
      <c r="P367" s="195"/>
      <c r="Q367" s="203"/>
      <c r="R367" s="198"/>
      <c r="S367" s="199"/>
      <c r="T367" s="199"/>
      <c r="U367" s="199"/>
      <c r="V367" s="199"/>
      <c r="W367" s="199"/>
      <c r="X367" s="199"/>
    </row>
    <row r="368">
      <c r="A368" s="247"/>
      <c r="B368" s="199"/>
      <c r="C368" s="247"/>
      <c r="D368" s="247"/>
      <c r="E368" s="195"/>
      <c r="F368" s="201"/>
      <c r="G368" s="195"/>
      <c r="H368" s="201"/>
      <c r="I368" s="195"/>
      <c r="J368" s="201"/>
      <c r="K368" s="193"/>
      <c r="L368" s="202"/>
      <c r="M368" s="195"/>
      <c r="N368" s="195"/>
      <c r="O368" s="195"/>
      <c r="P368" s="195"/>
      <c r="Q368" s="203"/>
      <c r="R368" s="198"/>
      <c r="S368" s="199"/>
      <c r="T368" s="199"/>
      <c r="U368" s="199"/>
      <c r="V368" s="199"/>
      <c r="W368" s="199"/>
      <c r="X368" s="199"/>
    </row>
    <row r="369">
      <c r="A369" s="247"/>
      <c r="B369" s="199"/>
      <c r="C369" s="247"/>
      <c r="D369" s="247"/>
      <c r="E369" s="195"/>
      <c r="F369" s="201"/>
      <c r="G369" s="195"/>
      <c r="H369" s="201"/>
      <c r="I369" s="195"/>
      <c r="J369" s="201"/>
      <c r="K369" s="193"/>
      <c r="L369" s="202"/>
      <c r="M369" s="195"/>
      <c r="N369" s="195"/>
      <c r="O369" s="195"/>
      <c r="P369" s="195"/>
      <c r="Q369" s="203"/>
      <c r="R369" s="198"/>
      <c r="S369" s="199"/>
      <c r="T369" s="199"/>
      <c r="U369" s="199"/>
      <c r="V369" s="199"/>
      <c r="W369" s="199"/>
      <c r="X369" s="199"/>
    </row>
    <row r="370">
      <c r="A370" s="247"/>
      <c r="B370" s="199"/>
      <c r="C370" s="247"/>
      <c r="D370" s="247"/>
      <c r="E370" s="195"/>
      <c r="F370" s="201"/>
      <c r="G370" s="195"/>
      <c r="H370" s="201"/>
      <c r="I370" s="195"/>
      <c r="J370" s="201"/>
      <c r="K370" s="193"/>
      <c r="L370" s="202"/>
      <c r="M370" s="195"/>
      <c r="N370" s="195"/>
      <c r="O370" s="195"/>
      <c r="P370" s="195"/>
      <c r="Q370" s="203"/>
      <c r="R370" s="198"/>
      <c r="S370" s="199"/>
      <c r="T370" s="199"/>
      <c r="U370" s="199"/>
      <c r="V370" s="199"/>
      <c r="W370" s="199"/>
      <c r="X370" s="199"/>
    </row>
    <row r="371">
      <c r="A371" s="247"/>
      <c r="B371" s="199"/>
      <c r="C371" s="247"/>
      <c r="D371" s="247"/>
      <c r="E371" s="195"/>
      <c r="F371" s="201"/>
      <c r="G371" s="195"/>
      <c r="H371" s="201"/>
      <c r="I371" s="195"/>
      <c r="J371" s="201"/>
      <c r="K371" s="193"/>
      <c r="L371" s="202"/>
      <c r="M371" s="195"/>
      <c r="N371" s="195"/>
      <c r="O371" s="195"/>
      <c r="P371" s="195"/>
      <c r="Q371" s="203"/>
      <c r="R371" s="198"/>
      <c r="S371" s="199"/>
      <c r="T371" s="199"/>
      <c r="U371" s="199"/>
      <c r="V371" s="199"/>
      <c r="W371" s="199"/>
      <c r="X371" s="199"/>
    </row>
    <row r="372">
      <c r="A372" s="247"/>
      <c r="B372" s="199"/>
      <c r="C372" s="247"/>
      <c r="D372" s="247"/>
      <c r="E372" s="195"/>
      <c r="F372" s="201"/>
      <c r="G372" s="195"/>
      <c r="H372" s="201"/>
      <c r="I372" s="195"/>
      <c r="J372" s="201"/>
      <c r="K372" s="193"/>
      <c r="L372" s="202"/>
      <c r="M372" s="195"/>
      <c r="N372" s="195"/>
      <c r="O372" s="195"/>
      <c r="P372" s="195"/>
      <c r="Q372" s="203"/>
      <c r="R372" s="198"/>
      <c r="S372" s="199"/>
      <c r="T372" s="199"/>
      <c r="U372" s="199"/>
      <c r="V372" s="199"/>
      <c r="W372" s="199"/>
      <c r="X372" s="199"/>
    </row>
    <row r="373">
      <c r="A373" s="247"/>
      <c r="B373" s="199"/>
      <c r="C373" s="247"/>
      <c r="D373" s="247"/>
      <c r="E373" s="195"/>
      <c r="F373" s="201"/>
      <c r="G373" s="195"/>
      <c r="H373" s="201"/>
      <c r="I373" s="195"/>
      <c r="J373" s="201"/>
      <c r="K373" s="193"/>
      <c r="L373" s="202"/>
      <c r="M373" s="195"/>
      <c r="N373" s="195"/>
      <c r="O373" s="195"/>
      <c r="P373" s="195"/>
      <c r="Q373" s="203"/>
      <c r="R373" s="198"/>
      <c r="S373" s="199"/>
      <c r="T373" s="199"/>
      <c r="U373" s="199"/>
      <c r="V373" s="199"/>
      <c r="W373" s="199"/>
      <c r="X373" s="199"/>
    </row>
    <row r="374">
      <c r="A374" s="247"/>
      <c r="B374" s="199"/>
      <c r="C374" s="247"/>
      <c r="D374" s="247"/>
      <c r="E374" s="195"/>
      <c r="F374" s="201"/>
      <c r="G374" s="195"/>
      <c r="H374" s="201"/>
      <c r="I374" s="195"/>
      <c r="J374" s="201"/>
      <c r="K374" s="193"/>
      <c r="L374" s="202"/>
      <c r="M374" s="195"/>
      <c r="N374" s="195"/>
      <c r="O374" s="195"/>
      <c r="P374" s="195"/>
      <c r="Q374" s="203"/>
      <c r="R374" s="198"/>
      <c r="S374" s="199"/>
      <c r="T374" s="199"/>
      <c r="U374" s="199"/>
      <c r="V374" s="199"/>
      <c r="W374" s="199"/>
      <c r="X374" s="199"/>
    </row>
    <row r="375">
      <c r="A375" s="247"/>
      <c r="B375" s="199"/>
      <c r="C375" s="247"/>
      <c r="D375" s="247"/>
      <c r="E375" s="195"/>
      <c r="F375" s="201"/>
      <c r="G375" s="195"/>
      <c r="H375" s="201"/>
      <c r="I375" s="195"/>
      <c r="J375" s="201"/>
      <c r="K375" s="193"/>
      <c r="L375" s="202"/>
      <c r="M375" s="195"/>
      <c r="N375" s="195"/>
      <c r="O375" s="195"/>
      <c r="P375" s="195"/>
      <c r="Q375" s="203"/>
      <c r="R375" s="198"/>
      <c r="S375" s="199"/>
      <c r="T375" s="199"/>
      <c r="U375" s="199"/>
      <c r="V375" s="199"/>
      <c r="W375" s="199"/>
      <c r="X375" s="199"/>
    </row>
    <row r="376">
      <c r="A376" s="247"/>
      <c r="B376" s="199"/>
      <c r="C376" s="247"/>
      <c r="D376" s="247"/>
      <c r="E376" s="195"/>
      <c r="F376" s="201"/>
      <c r="G376" s="195"/>
      <c r="H376" s="201"/>
      <c r="I376" s="195"/>
      <c r="J376" s="201"/>
      <c r="K376" s="193"/>
      <c r="L376" s="202"/>
      <c r="M376" s="195"/>
      <c r="N376" s="195"/>
      <c r="O376" s="195"/>
      <c r="P376" s="195"/>
      <c r="Q376" s="203"/>
      <c r="R376" s="198"/>
      <c r="S376" s="199"/>
      <c r="T376" s="199"/>
      <c r="U376" s="199"/>
      <c r="V376" s="199"/>
      <c r="W376" s="199"/>
      <c r="X376" s="199"/>
    </row>
    <row r="377">
      <c r="A377" s="247"/>
      <c r="B377" s="199"/>
      <c r="C377" s="247"/>
      <c r="D377" s="247"/>
      <c r="E377" s="195"/>
      <c r="F377" s="201"/>
      <c r="G377" s="195"/>
      <c r="H377" s="201"/>
      <c r="I377" s="195"/>
      <c r="J377" s="201"/>
      <c r="K377" s="193"/>
      <c r="L377" s="202"/>
      <c r="M377" s="195"/>
      <c r="N377" s="195"/>
      <c r="O377" s="195"/>
      <c r="P377" s="195"/>
      <c r="Q377" s="203"/>
      <c r="R377" s="198"/>
      <c r="S377" s="199"/>
      <c r="T377" s="199"/>
      <c r="U377" s="199"/>
      <c r="V377" s="199"/>
      <c r="W377" s="199"/>
      <c r="X377" s="199"/>
    </row>
    <row r="378">
      <c r="A378" s="247"/>
      <c r="B378" s="199"/>
      <c r="C378" s="247"/>
      <c r="D378" s="247"/>
      <c r="E378" s="195"/>
      <c r="F378" s="201"/>
      <c r="G378" s="195"/>
      <c r="H378" s="201"/>
      <c r="I378" s="195"/>
      <c r="J378" s="201"/>
      <c r="K378" s="193"/>
      <c r="L378" s="202"/>
      <c r="M378" s="195"/>
      <c r="N378" s="195"/>
      <c r="O378" s="195"/>
      <c r="P378" s="195"/>
      <c r="Q378" s="203"/>
      <c r="R378" s="198"/>
      <c r="S378" s="199"/>
      <c r="T378" s="199"/>
      <c r="U378" s="199"/>
      <c r="V378" s="199"/>
      <c r="W378" s="199"/>
      <c r="X378" s="199"/>
    </row>
    <row r="379">
      <c r="A379" s="247"/>
      <c r="B379" s="199"/>
      <c r="C379" s="247"/>
      <c r="D379" s="247"/>
      <c r="E379" s="195"/>
      <c r="F379" s="201"/>
      <c r="G379" s="195"/>
      <c r="H379" s="201"/>
      <c r="I379" s="195"/>
      <c r="J379" s="201"/>
      <c r="K379" s="193"/>
      <c r="L379" s="202"/>
      <c r="M379" s="195"/>
      <c r="N379" s="195"/>
      <c r="O379" s="195"/>
      <c r="P379" s="195"/>
      <c r="Q379" s="203"/>
      <c r="R379" s="198"/>
      <c r="S379" s="199"/>
      <c r="T379" s="199"/>
      <c r="U379" s="199"/>
      <c r="V379" s="199"/>
      <c r="W379" s="199"/>
      <c r="X379" s="199"/>
    </row>
    <row r="380">
      <c r="A380" s="247"/>
      <c r="B380" s="199"/>
      <c r="C380" s="247"/>
      <c r="D380" s="247"/>
      <c r="E380" s="195"/>
      <c r="F380" s="201"/>
      <c r="G380" s="195"/>
      <c r="H380" s="201"/>
      <c r="I380" s="195"/>
      <c r="J380" s="201"/>
      <c r="K380" s="193"/>
      <c r="L380" s="202"/>
      <c r="M380" s="195"/>
      <c r="N380" s="195"/>
      <c r="O380" s="195"/>
      <c r="P380" s="195"/>
      <c r="Q380" s="203"/>
      <c r="R380" s="198"/>
      <c r="S380" s="199"/>
      <c r="T380" s="199"/>
      <c r="U380" s="199"/>
      <c r="V380" s="199"/>
      <c r="W380" s="199"/>
      <c r="X380" s="199"/>
    </row>
    <row r="381">
      <c r="A381" s="247"/>
      <c r="B381" s="199"/>
      <c r="C381" s="247"/>
      <c r="D381" s="247"/>
      <c r="E381" s="195"/>
      <c r="F381" s="201"/>
      <c r="G381" s="195"/>
      <c r="H381" s="201"/>
      <c r="I381" s="195"/>
      <c r="J381" s="201"/>
      <c r="K381" s="193"/>
      <c r="L381" s="202"/>
      <c r="M381" s="195"/>
      <c r="N381" s="195"/>
      <c r="O381" s="195"/>
      <c r="P381" s="195"/>
      <c r="Q381" s="203"/>
      <c r="R381" s="198"/>
      <c r="S381" s="199"/>
      <c r="T381" s="199"/>
      <c r="U381" s="199"/>
      <c r="V381" s="199"/>
      <c r="W381" s="199"/>
      <c r="X381" s="199"/>
    </row>
    <row r="382">
      <c r="A382" s="247"/>
      <c r="B382" s="199"/>
      <c r="C382" s="247"/>
      <c r="D382" s="247"/>
      <c r="E382" s="195"/>
      <c r="F382" s="201"/>
      <c r="G382" s="195"/>
      <c r="H382" s="201"/>
      <c r="I382" s="195"/>
      <c r="J382" s="201"/>
      <c r="K382" s="193"/>
      <c r="L382" s="202"/>
      <c r="M382" s="195"/>
      <c r="N382" s="195"/>
      <c r="O382" s="195"/>
      <c r="P382" s="195"/>
      <c r="Q382" s="203"/>
      <c r="R382" s="198"/>
      <c r="S382" s="199"/>
      <c r="T382" s="199"/>
      <c r="U382" s="199"/>
      <c r="V382" s="199"/>
      <c r="W382" s="199"/>
      <c r="X382" s="199"/>
    </row>
    <row r="383">
      <c r="A383" s="247"/>
      <c r="B383" s="199"/>
      <c r="C383" s="247"/>
      <c r="D383" s="247"/>
      <c r="E383" s="195"/>
      <c r="F383" s="201"/>
      <c r="G383" s="195"/>
      <c r="H383" s="201"/>
      <c r="I383" s="195"/>
      <c r="J383" s="201"/>
      <c r="K383" s="193"/>
      <c r="L383" s="202"/>
      <c r="M383" s="195"/>
      <c r="N383" s="195"/>
      <c r="O383" s="195"/>
      <c r="P383" s="195"/>
      <c r="Q383" s="203"/>
      <c r="R383" s="198"/>
      <c r="S383" s="199"/>
      <c r="T383" s="199"/>
      <c r="U383" s="199"/>
      <c r="V383" s="199"/>
      <c r="W383" s="199"/>
      <c r="X383" s="199"/>
    </row>
    <row r="384">
      <c r="A384" s="247"/>
      <c r="B384" s="199"/>
      <c r="C384" s="247"/>
      <c r="D384" s="247"/>
      <c r="E384" s="195"/>
      <c r="F384" s="201"/>
      <c r="G384" s="195"/>
      <c r="H384" s="201"/>
      <c r="I384" s="195"/>
      <c r="J384" s="201"/>
      <c r="K384" s="193"/>
      <c r="L384" s="202"/>
      <c r="M384" s="195"/>
      <c r="N384" s="195"/>
      <c r="O384" s="195"/>
      <c r="P384" s="195"/>
      <c r="Q384" s="203"/>
      <c r="R384" s="198"/>
      <c r="S384" s="199"/>
      <c r="T384" s="199"/>
      <c r="U384" s="199"/>
      <c r="V384" s="199"/>
      <c r="W384" s="199"/>
      <c r="X384" s="199"/>
    </row>
    <row r="385">
      <c r="A385" s="247"/>
      <c r="B385" s="199"/>
      <c r="C385" s="247"/>
      <c r="D385" s="247"/>
      <c r="E385" s="195"/>
      <c r="F385" s="201"/>
      <c r="G385" s="195"/>
      <c r="H385" s="201"/>
      <c r="I385" s="195"/>
      <c r="J385" s="201"/>
      <c r="K385" s="193"/>
      <c r="L385" s="202"/>
      <c r="M385" s="195"/>
      <c r="N385" s="195"/>
      <c r="O385" s="195"/>
      <c r="P385" s="195"/>
      <c r="Q385" s="203"/>
      <c r="R385" s="198"/>
      <c r="S385" s="199"/>
      <c r="T385" s="199"/>
      <c r="U385" s="199"/>
      <c r="V385" s="199"/>
      <c r="W385" s="199"/>
      <c r="X385" s="199"/>
    </row>
    <row r="386">
      <c r="A386" s="247"/>
      <c r="B386" s="199"/>
      <c r="C386" s="247"/>
      <c r="D386" s="247"/>
      <c r="E386" s="195"/>
      <c r="F386" s="201"/>
      <c r="G386" s="195"/>
      <c r="H386" s="201"/>
      <c r="I386" s="195"/>
      <c r="J386" s="201"/>
      <c r="K386" s="193"/>
      <c r="L386" s="202"/>
      <c r="M386" s="195"/>
      <c r="N386" s="195"/>
      <c r="O386" s="195"/>
      <c r="P386" s="195"/>
      <c r="Q386" s="203"/>
      <c r="R386" s="198"/>
      <c r="S386" s="199"/>
      <c r="T386" s="199"/>
      <c r="U386" s="199"/>
      <c r="V386" s="199"/>
      <c r="W386" s="199"/>
      <c r="X386" s="199"/>
    </row>
    <row r="387">
      <c r="A387" s="247"/>
      <c r="B387" s="199"/>
      <c r="C387" s="247"/>
      <c r="D387" s="247"/>
      <c r="E387" s="195"/>
      <c r="F387" s="201"/>
      <c r="G387" s="195"/>
      <c r="H387" s="201"/>
      <c r="I387" s="195"/>
      <c r="J387" s="201"/>
      <c r="K387" s="193"/>
      <c r="L387" s="202"/>
      <c r="M387" s="195"/>
      <c r="N387" s="195"/>
      <c r="O387" s="195"/>
      <c r="P387" s="195"/>
      <c r="Q387" s="203"/>
      <c r="R387" s="198"/>
      <c r="S387" s="199"/>
      <c r="T387" s="199"/>
      <c r="U387" s="199"/>
      <c r="V387" s="199"/>
      <c r="W387" s="199"/>
      <c r="X387" s="199"/>
    </row>
    <row r="388">
      <c r="A388" s="247"/>
      <c r="B388" s="199"/>
      <c r="C388" s="247"/>
      <c r="D388" s="247"/>
      <c r="E388" s="195"/>
      <c r="F388" s="201"/>
      <c r="G388" s="195"/>
      <c r="H388" s="201"/>
      <c r="I388" s="195"/>
      <c r="J388" s="201"/>
      <c r="K388" s="193"/>
      <c r="L388" s="202"/>
      <c r="M388" s="195"/>
      <c r="N388" s="195"/>
      <c r="O388" s="195"/>
      <c r="P388" s="195"/>
      <c r="Q388" s="203"/>
      <c r="R388" s="198"/>
      <c r="S388" s="199"/>
      <c r="T388" s="199"/>
      <c r="U388" s="199"/>
      <c r="V388" s="199"/>
      <c r="W388" s="199"/>
      <c r="X388" s="199"/>
    </row>
    <row r="389">
      <c r="A389" s="247"/>
      <c r="B389" s="199"/>
      <c r="C389" s="247"/>
      <c r="D389" s="247"/>
      <c r="E389" s="195"/>
      <c r="F389" s="201"/>
      <c r="G389" s="195"/>
      <c r="H389" s="201"/>
      <c r="I389" s="195"/>
      <c r="J389" s="201"/>
      <c r="K389" s="193"/>
      <c r="L389" s="202"/>
      <c r="M389" s="195"/>
      <c r="N389" s="195"/>
      <c r="O389" s="195"/>
      <c r="P389" s="195"/>
      <c r="Q389" s="203"/>
      <c r="R389" s="198"/>
      <c r="S389" s="199"/>
      <c r="T389" s="199"/>
      <c r="U389" s="199"/>
      <c r="V389" s="199"/>
      <c r="W389" s="199"/>
      <c r="X389" s="199"/>
    </row>
    <row r="390">
      <c r="A390" s="247"/>
      <c r="B390" s="199"/>
      <c r="C390" s="247"/>
      <c r="D390" s="247"/>
      <c r="E390" s="195"/>
      <c r="F390" s="201"/>
      <c r="G390" s="195"/>
      <c r="H390" s="201"/>
      <c r="I390" s="195"/>
      <c r="J390" s="201"/>
      <c r="K390" s="193"/>
      <c r="L390" s="202"/>
      <c r="M390" s="195"/>
      <c r="N390" s="195"/>
      <c r="O390" s="195"/>
      <c r="P390" s="195"/>
      <c r="Q390" s="203"/>
      <c r="R390" s="198"/>
      <c r="S390" s="199"/>
      <c r="T390" s="199"/>
      <c r="U390" s="199"/>
      <c r="V390" s="199"/>
      <c r="W390" s="199"/>
      <c r="X390" s="199"/>
    </row>
    <row r="391">
      <c r="A391" s="247"/>
      <c r="B391" s="199"/>
      <c r="C391" s="247"/>
      <c r="D391" s="247"/>
      <c r="E391" s="195"/>
      <c r="F391" s="201"/>
      <c r="G391" s="195"/>
      <c r="H391" s="201"/>
      <c r="I391" s="195"/>
      <c r="J391" s="201"/>
      <c r="K391" s="193"/>
      <c r="L391" s="202"/>
      <c r="M391" s="195"/>
      <c r="N391" s="195"/>
      <c r="O391" s="195"/>
      <c r="P391" s="195"/>
      <c r="Q391" s="203"/>
      <c r="R391" s="198"/>
      <c r="S391" s="199"/>
      <c r="T391" s="199"/>
      <c r="U391" s="199"/>
      <c r="V391" s="199"/>
      <c r="W391" s="199"/>
      <c r="X391" s="199"/>
    </row>
    <row r="392">
      <c r="A392" s="247"/>
      <c r="B392" s="199"/>
      <c r="C392" s="247"/>
      <c r="D392" s="247"/>
      <c r="E392" s="195"/>
      <c r="F392" s="201"/>
      <c r="G392" s="195"/>
      <c r="H392" s="201"/>
      <c r="I392" s="195"/>
      <c r="J392" s="201"/>
      <c r="K392" s="193"/>
      <c r="L392" s="202"/>
      <c r="M392" s="195"/>
      <c r="N392" s="195"/>
      <c r="O392" s="195"/>
      <c r="P392" s="195"/>
      <c r="Q392" s="203"/>
      <c r="R392" s="198"/>
      <c r="S392" s="199"/>
      <c r="T392" s="199"/>
      <c r="U392" s="199"/>
      <c r="V392" s="199"/>
      <c r="W392" s="199"/>
      <c r="X392" s="199"/>
    </row>
    <row r="393">
      <c r="A393" s="247"/>
      <c r="B393" s="199"/>
      <c r="C393" s="247"/>
      <c r="D393" s="247"/>
      <c r="E393" s="195"/>
      <c r="F393" s="201"/>
      <c r="G393" s="195"/>
      <c r="H393" s="201"/>
      <c r="I393" s="195"/>
      <c r="J393" s="201"/>
      <c r="K393" s="193"/>
      <c r="L393" s="202"/>
      <c r="M393" s="195"/>
      <c r="N393" s="195"/>
      <c r="O393" s="195"/>
      <c r="P393" s="195"/>
      <c r="Q393" s="203"/>
      <c r="R393" s="198"/>
      <c r="S393" s="199"/>
      <c r="T393" s="199"/>
      <c r="U393" s="199"/>
      <c r="V393" s="199"/>
      <c r="W393" s="199"/>
      <c r="X393" s="199"/>
    </row>
    <row r="394">
      <c r="A394" s="247"/>
      <c r="B394" s="199"/>
      <c r="C394" s="247"/>
      <c r="D394" s="247"/>
      <c r="E394" s="195"/>
      <c r="F394" s="201"/>
      <c r="G394" s="195"/>
      <c r="H394" s="201"/>
      <c r="I394" s="195"/>
      <c r="J394" s="201"/>
      <c r="K394" s="193"/>
      <c r="L394" s="202"/>
      <c r="M394" s="195"/>
      <c r="N394" s="195"/>
      <c r="O394" s="195"/>
      <c r="P394" s="195"/>
      <c r="Q394" s="203"/>
      <c r="R394" s="198"/>
      <c r="S394" s="199"/>
      <c r="T394" s="199"/>
      <c r="U394" s="199"/>
      <c r="V394" s="199"/>
      <c r="W394" s="199"/>
      <c r="X394" s="199"/>
    </row>
    <row r="395">
      <c r="A395" s="247"/>
      <c r="B395" s="199"/>
      <c r="C395" s="247"/>
      <c r="D395" s="247"/>
      <c r="E395" s="195"/>
      <c r="F395" s="201"/>
      <c r="G395" s="195"/>
      <c r="H395" s="201"/>
      <c r="I395" s="195"/>
      <c r="J395" s="201"/>
      <c r="K395" s="193"/>
      <c r="L395" s="202"/>
      <c r="M395" s="195"/>
      <c r="N395" s="195"/>
      <c r="O395" s="195"/>
      <c r="P395" s="195"/>
      <c r="Q395" s="203"/>
      <c r="R395" s="198"/>
      <c r="S395" s="199"/>
      <c r="T395" s="199"/>
      <c r="U395" s="199"/>
      <c r="V395" s="199"/>
      <c r="W395" s="199"/>
      <c r="X395" s="199"/>
    </row>
    <row r="396">
      <c r="A396" s="247"/>
      <c r="B396" s="199"/>
      <c r="C396" s="247"/>
      <c r="D396" s="247"/>
      <c r="E396" s="195"/>
      <c r="F396" s="201"/>
      <c r="G396" s="195"/>
      <c r="H396" s="201"/>
      <c r="I396" s="195"/>
      <c r="J396" s="201"/>
      <c r="K396" s="193"/>
      <c r="L396" s="202"/>
      <c r="M396" s="195"/>
      <c r="N396" s="195"/>
      <c r="O396" s="195"/>
      <c r="P396" s="195"/>
      <c r="Q396" s="203"/>
      <c r="R396" s="198"/>
      <c r="S396" s="199"/>
      <c r="T396" s="199"/>
      <c r="U396" s="199"/>
      <c r="V396" s="199"/>
      <c r="W396" s="199"/>
      <c r="X396" s="199"/>
    </row>
    <row r="397">
      <c r="A397" s="247"/>
      <c r="B397" s="199"/>
      <c r="C397" s="247"/>
      <c r="D397" s="247"/>
      <c r="E397" s="195"/>
      <c r="F397" s="201"/>
      <c r="G397" s="195"/>
      <c r="H397" s="201"/>
      <c r="I397" s="195"/>
      <c r="J397" s="201"/>
      <c r="K397" s="193"/>
      <c r="L397" s="202"/>
      <c r="M397" s="195"/>
      <c r="N397" s="195"/>
      <c r="O397" s="195"/>
      <c r="P397" s="195"/>
      <c r="Q397" s="203"/>
      <c r="R397" s="198"/>
      <c r="S397" s="199"/>
      <c r="T397" s="199"/>
      <c r="U397" s="199"/>
      <c r="V397" s="199"/>
      <c r="W397" s="199"/>
      <c r="X397" s="199"/>
    </row>
    <row r="398">
      <c r="A398" s="247"/>
      <c r="B398" s="199"/>
      <c r="C398" s="247"/>
      <c r="D398" s="247"/>
      <c r="E398" s="195"/>
      <c r="F398" s="201"/>
      <c r="G398" s="195"/>
      <c r="H398" s="201"/>
      <c r="I398" s="195"/>
      <c r="J398" s="201"/>
      <c r="K398" s="193"/>
      <c r="L398" s="202"/>
      <c r="M398" s="195"/>
      <c r="N398" s="195"/>
      <c r="O398" s="195"/>
      <c r="P398" s="195"/>
      <c r="Q398" s="203"/>
      <c r="R398" s="198"/>
      <c r="S398" s="199"/>
      <c r="T398" s="199"/>
      <c r="U398" s="199"/>
      <c r="V398" s="199"/>
      <c r="W398" s="199"/>
      <c r="X398" s="199"/>
    </row>
    <row r="399">
      <c r="A399" s="247"/>
      <c r="B399" s="199"/>
      <c r="C399" s="247"/>
      <c r="D399" s="247"/>
      <c r="E399" s="195"/>
      <c r="F399" s="201"/>
      <c r="G399" s="195"/>
      <c r="H399" s="201"/>
      <c r="I399" s="195"/>
      <c r="J399" s="201"/>
      <c r="K399" s="193"/>
      <c r="L399" s="202"/>
      <c r="M399" s="195"/>
      <c r="N399" s="195"/>
      <c r="O399" s="195"/>
      <c r="P399" s="195"/>
      <c r="Q399" s="203"/>
      <c r="R399" s="198"/>
      <c r="S399" s="199"/>
      <c r="T399" s="199"/>
      <c r="U399" s="199"/>
      <c r="V399" s="199"/>
      <c r="W399" s="199"/>
      <c r="X399" s="199"/>
    </row>
    <row r="400">
      <c r="A400" s="247"/>
      <c r="B400" s="199"/>
      <c r="C400" s="247"/>
      <c r="D400" s="247"/>
      <c r="E400" s="195"/>
      <c r="F400" s="201"/>
      <c r="G400" s="195"/>
      <c r="H400" s="201"/>
      <c r="I400" s="195"/>
      <c r="J400" s="201"/>
      <c r="K400" s="193"/>
      <c r="L400" s="202"/>
      <c r="M400" s="195"/>
      <c r="N400" s="195"/>
      <c r="O400" s="195"/>
      <c r="P400" s="195"/>
      <c r="Q400" s="203"/>
      <c r="R400" s="198"/>
      <c r="S400" s="199"/>
      <c r="T400" s="199"/>
      <c r="U400" s="199"/>
      <c r="V400" s="199"/>
      <c r="W400" s="199"/>
      <c r="X400" s="199"/>
    </row>
    <row r="401">
      <c r="A401" s="247"/>
      <c r="B401" s="199"/>
      <c r="C401" s="247"/>
      <c r="D401" s="247"/>
      <c r="E401" s="195"/>
      <c r="F401" s="201"/>
      <c r="G401" s="195"/>
      <c r="H401" s="201"/>
      <c r="I401" s="195"/>
      <c r="J401" s="201"/>
      <c r="K401" s="193"/>
      <c r="L401" s="202"/>
      <c r="M401" s="195"/>
      <c r="N401" s="195"/>
      <c r="O401" s="195"/>
      <c r="P401" s="195"/>
      <c r="Q401" s="203"/>
      <c r="R401" s="198"/>
      <c r="S401" s="199"/>
      <c r="T401" s="199"/>
      <c r="U401" s="199"/>
      <c r="V401" s="199"/>
      <c r="W401" s="199"/>
      <c r="X401" s="199"/>
    </row>
    <row r="402">
      <c r="A402" s="247"/>
      <c r="B402" s="199"/>
      <c r="C402" s="247"/>
      <c r="D402" s="247"/>
      <c r="E402" s="195"/>
      <c r="F402" s="201"/>
      <c r="G402" s="195"/>
      <c r="H402" s="201"/>
      <c r="I402" s="195"/>
      <c r="J402" s="201"/>
      <c r="K402" s="193"/>
      <c r="L402" s="202"/>
      <c r="M402" s="195"/>
      <c r="N402" s="195"/>
      <c r="O402" s="195"/>
      <c r="P402" s="195"/>
      <c r="Q402" s="203"/>
      <c r="R402" s="198"/>
      <c r="S402" s="199"/>
      <c r="T402" s="199"/>
      <c r="U402" s="199"/>
      <c r="V402" s="199"/>
      <c r="W402" s="199"/>
      <c r="X402" s="199"/>
    </row>
    <row r="403">
      <c r="A403" s="247"/>
      <c r="B403" s="199"/>
      <c r="C403" s="247"/>
      <c r="D403" s="247"/>
      <c r="E403" s="195"/>
      <c r="F403" s="201"/>
      <c r="G403" s="195"/>
      <c r="H403" s="201"/>
      <c r="I403" s="195"/>
      <c r="J403" s="201"/>
      <c r="K403" s="193"/>
      <c r="L403" s="202"/>
      <c r="M403" s="195"/>
      <c r="N403" s="195"/>
      <c r="O403" s="195"/>
      <c r="P403" s="195"/>
      <c r="Q403" s="203"/>
      <c r="R403" s="198"/>
      <c r="S403" s="199"/>
      <c r="T403" s="199"/>
      <c r="U403" s="199"/>
      <c r="V403" s="199"/>
      <c r="W403" s="199"/>
      <c r="X403" s="199"/>
    </row>
    <row r="404">
      <c r="A404" s="247"/>
      <c r="B404" s="199"/>
      <c r="C404" s="247"/>
      <c r="D404" s="247"/>
      <c r="E404" s="195"/>
      <c r="F404" s="201"/>
      <c r="G404" s="195"/>
      <c r="H404" s="201"/>
      <c r="I404" s="195"/>
      <c r="J404" s="201"/>
      <c r="K404" s="193"/>
      <c r="L404" s="202"/>
      <c r="M404" s="195"/>
      <c r="N404" s="195"/>
      <c r="O404" s="195"/>
      <c r="P404" s="195"/>
      <c r="Q404" s="203"/>
      <c r="R404" s="198"/>
      <c r="S404" s="199"/>
      <c r="T404" s="199"/>
      <c r="U404" s="199"/>
      <c r="V404" s="199"/>
      <c r="W404" s="199"/>
      <c r="X404" s="199"/>
    </row>
    <row r="405">
      <c r="A405" s="247"/>
      <c r="B405" s="199"/>
      <c r="C405" s="247"/>
      <c r="D405" s="247"/>
      <c r="E405" s="195"/>
      <c r="F405" s="201"/>
      <c r="G405" s="195"/>
      <c r="H405" s="201"/>
      <c r="I405" s="195"/>
      <c r="J405" s="201"/>
      <c r="K405" s="193"/>
      <c r="L405" s="202"/>
      <c r="M405" s="195"/>
      <c r="N405" s="195"/>
      <c r="O405" s="195"/>
      <c r="P405" s="195"/>
      <c r="Q405" s="203"/>
      <c r="R405" s="198"/>
      <c r="S405" s="199"/>
      <c r="T405" s="199"/>
      <c r="U405" s="199"/>
      <c r="V405" s="199"/>
      <c r="W405" s="199"/>
      <c r="X405" s="199"/>
    </row>
    <row r="406">
      <c r="A406" s="247"/>
      <c r="B406" s="199"/>
      <c r="C406" s="247"/>
      <c r="D406" s="247"/>
      <c r="E406" s="195"/>
      <c r="F406" s="201"/>
      <c r="G406" s="195"/>
      <c r="H406" s="201"/>
      <c r="I406" s="195"/>
      <c r="J406" s="201"/>
      <c r="K406" s="193"/>
      <c r="L406" s="202"/>
      <c r="M406" s="195"/>
      <c r="N406" s="195"/>
      <c r="O406" s="195"/>
      <c r="P406" s="195"/>
      <c r="Q406" s="203"/>
      <c r="R406" s="198"/>
      <c r="S406" s="199"/>
      <c r="T406" s="199"/>
      <c r="U406" s="199"/>
      <c r="V406" s="199"/>
      <c r="W406" s="199"/>
      <c r="X406" s="199"/>
    </row>
    <row r="407">
      <c r="A407" s="247"/>
      <c r="B407" s="199"/>
      <c r="C407" s="247"/>
      <c r="D407" s="247"/>
      <c r="E407" s="195"/>
      <c r="F407" s="201"/>
      <c r="G407" s="195"/>
      <c r="H407" s="201"/>
      <c r="I407" s="195"/>
      <c r="J407" s="201"/>
      <c r="K407" s="193"/>
      <c r="L407" s="202"/>
      <c r="M407" s="195"/>
      <c r="N407" s="195"/>
      <c r="O407" s="195"/>
      <c r="P407" s="195"/>
      <c r="Q407" s="203"/>
      <c r="R407" s="198"/>
      <c r="S407" s="199"/>
      <c r="T407" s="199"/>
      <c r="U407" s="199"/>
      <c r="V407" s="199"/>
      <c r="W407" s="199"/>
      <c r="X407" s="199"/>
    </row>
    <row r="408">
      <c r="A408" s="247"/>
      <c r="B408" s="199"/>
      <c r="C408" s="247"/>
      <c r="D408" s="247"/>
      <c r="E408" s="195"/>
      <c r="F408" s="201"/>
      <c r="G408" s="195"/>
      <c r="H408" s="201"/>
      <c r="I408" s="195"/>
      <c r="J408" s="201"/>
      <c r="K408" s="193"/>
      <c r="L408" s="202"/>
      <c r="M408" s="195"/>
      <c r="N408" s="195"/>
      <c r="O408" s="195"/>
      <c r="P408" s="195"/>
      <c r="Q408" s="203"/>
      <c r="R408" s="198"/>
      <c r="S408" s="199"/>
      <c r="T408" s="199"/>
      <c r="U408" s="199"/>
      <c r="V408" s="199"/>
      <c r="W408" s="199"/>
      <c r="X408" s="199"/>
    </row>
    <row r="409">
      <c r="A409" s="247"/>
      <c r="B409" s="199"/>
      <c r="C409" s="247"/>
      <c r="D409" s="247"/>
      <c r="E409" s="195"/>
      <c r="F409" s="201"/>
      <c r="G409" s="195"/>
      <c r="H409" s="201"/>
      <c r="I409" s="195"/>
      <c r="J409" s="201"/>
      <c r="K409" s="193"/>
      <c r="L409" s="202"/>
      <c r="M409" s="195"/>
      <c r="N409" s="195"/>
      <c r="O409" s="195"/>
      <c r="P409" s="195"/>
      <c r="Q409" s="203"/>
      <c r="R409" s="198"/>
      <c r="S409" s="199"/>
      <c r="T409" s="199"/>
      <c r="U409" s="199"/>
      <c r="V409" s="199"/>
      <c r="W409" s="199"/>
      <c r="X409" s="199"/>
    </row>
    <row r="410">
      <c r="A410" s="247"/>
      <c r="B410" s="199"/>
      <c r="C410" s="247"/>
      <c r="D410" s="247"/>
      <c r="E410" s="195"/>
      <c r="F410" s="201"/>
      <c r="G410" s="195"/>
      <c r="H410" s="201"/>
      <c r="I410" s="195"/>
      <c r="J410" s="201"/>
      <c r="K410" s="193"/>
      <c r="L410" s="202"/>
      <c r="M410" s="195"/>
      <c r="N410" s="195"/>
      <c r="O410" s="195"/>
      <c r="P410" s="195"/>
      <c r="Q410" s="203"/>
      <c r="R410" s="198"/>
      <c r="S410" s="199"/>
      <c r="T410" s="199"/>
      <c r="U410" s="199"/>
      <c r="V410" s="199"/>
      <c r="W410" s="199"/>
      <c r="X410" s="199"/>
    </row>
    <row r="411">
      <c r="A411" s="247"/>
      <c r="B411" s="199"/>
      <c r="C411" s="247"/>
      <c r="D411" s="247"/>
      <c r="E411" s="195"/>
      <c r="F411" s="201"/>
      <c r="G411" s="195"/>
      <c r="H411" s="201"/>
      <c r="I411" s="195"/>
      <c r="J411" s="201"/>
      <c r="K411" s="193"/>
      <c r="L411" s="202"/>
      <c r="M411" s="195"/>
      <c r="N411" s="195"/>
      <c r="O411" s="195"/>
      <c r="P411" s="195"/>
      <c r="Q411" s="203"/>
      <c r="R411" s="198"/>
      <c r="S411" s="199"/>
      <c r="T411" s="199"/>
      <c r="U411" s="199"/>
      <c r="V411" s="199"/>
      <c r="W411" s="199"/>
      <c r="X411" s="199"/>
    </row>
    <row r="412">
      <c r="A412" s="247"/>
      <c r="B412" s="199"/>
      <c r="C412" s="247"/>
      <c r="D412" s="247"/>
      <c r="E412" s="195"/>
      <c r="F412" s="201"/>
      <c r="G412" s="195"/>
      <c r="H412" s="201"/>
      <c r="I412" s="195"/>
      <c r="J412" s="201"/>
      <c r="K412" s="193"/>
      <c r="L412" s="202"/>
      <c r="M412" s="195"/>
      <c r="N412" s="195"/>
      <c r="O412" s="195"/>
      <c r="P412" s="195"/>
      <c r="Q412" s="203"/>
      <c r="R412" s="198"/>
      <c r="S412" s="199"/>
      <c r="T412" s="199"/>
      <c r="U412" s="199"/>
      <c r="V412" s="199"/>
      <c r="W412" s="199"/>
      <c r="X412" s="199"/>
    </row>
    <row r="413">
      <c r="A413" s="247"/>
      <c r="B413" s="199"/>
      <c r="C413" s="247"/>
      <c r="D413" s="247"/>
      <c r="E413" s="195"/>
      <c r="F413" s="201"/>
      <c r="G413" s="195"/>
      <c r="H413" s="201"/>
      <c r="I413" s="195"/>
      <c r="J413" s="201"/>
      <c r="K413" s="193"/>
      <c r="L413" s="202"/>
      <c r="M413" s="195"/>
      <c r="N413" s="195"/>
      <c r="O413" s="195"/>
      <c r="P413" s="195"/>
      <c r="Q413" s="203"/>
      <c r="R413" s="198"/>
      <c r="S413" s="199"/>
      <c r="T413" s="199"/>
      <c r="U413" s="199"/>
      <c r="V413" s="199"/>
      <c r="W413" s="199"/>
      <c r="X413" s="199"/>
    </row>
    <row r="414">
      <c r="A414" s="247"/>
      <c r="B414" s="199"/>
      <c r="C414" s="247"/>
      <c r="D414" s="247"/>
      <c r="E414" s="195"/>
      <c r="F414" s="201"/>
      <c r="G414" s="195"/>
      <c r="H414" s="201"/>
      <c r="I414" s="195"/>
      <c r="J414" s="201"/>
      <c r="K414" s="193"/>
      <c r="L414" s="202"/>
      <c r="M414" s="195"/>
      <c r="N414" s="195"/>
      <c r="O414" s="195"/>
      <c r="P414" s="195"/>
      <c r="Q414" s="203"/>
      <c r="R414" s="198"/>
      <c r="S414" s="199"/>
      <c r="T414" s="199"/>
      <c r="U414" s="199"/>
      <c r="V414" s="199"/>
      <c r="W414" s="199"/>
      <c r="X414" s="199"/>
    </row>
    <row r="415">
      <c r="A415" s="247"/>
      <c r="B415" s="199"/>
      <c r="C415" s="247"/>
      <c r="D415" s="247"/>
      <c r="E415" s="195"/>
      <c r="F415" s="201"/>
      <c r="G415" s="195"/>
      <c r="H415" s="201"/>
      <c r="I415" s="195"/>
      <c r="J415" s="201"/>
      <c r="K415" s="193"/>
      <c r="L415" s="202"/>
      <c r="M415" s="195"/>
      <c r="N415" s="195"/>
      <c r="O415" s="195"/>
      <c r="P415" s="195"/>
      <c r="Q415" s="203"/>
      <c r="R415" s="198"/>
      <c r="S415" s="199"/>
      <c r="T415" s="199"/>
      <c r="U415" s="199"/>
      <c r="V415" s="199"/>
      <c r="W415" s="199"/>
      <c r="X415" s="199"/>
    </row>
    <row r="416">
      <c r="A416" s="247"/>
      <c r="B416" s="199"/>
      <c r="C416" s="247"/>
      <c r="D416" s="247"/>
      <c r="E416" s="195"/>
      <c r="F416" s="201"/>
      <c r="G416" s="195"/>
      <c r="H416" s="201"/>
      <c r="I416" s="195"/>
      <c r="J416" s="201"/>
      <c r="K416" s="193"/>
      <c r="L416" s="202"/>
      <c r="M416" s="195"/>
      <c r="N416" s="195"/>
      <c r="O416" s="195"/>
      <c r="P416" s="195"/>
      <c r="Q416" s="203"/>
      <c r="R416" s="198"/>
      <c r="S416" s="199"/>
      <c r="T416" s="199"/>
      <c r="U416" s="199"/>
      <c r="V416" s="199"/>
      <c r="W416" s="199"/>
      <c r="X416" s="199"/>
    </row>
    <row r="417">
      <c r="A417" s="247"/>
      <c r="B417" s="199"/>
      <c r="C417" s="247"/>
      <c r="D417" s="247"/>
      <c r="E417" s="195"/>
      <c r="F417" s="201"/>
      <c r="G417" s="195"/>
      <c r="H417" s="201"/>
      <c r="I417" s="195"/>
      <c r="J417" s="201"/>
      <c r="K417" s="193"/>
      <c r="L417" s="202"/>
      <c r="M417" s="195"/>
      <c r="N417" s="195"/>
      <c r="O417" s="195"/>
      <c r="P417" s="195"/>
      <c r="Q417" s="203"/>
      <c r="R417" s="198"/>
      <c r="S417" s="199"/>
      <c r="T417" s="199"/>
      <c r="U417" s="199"/>
      <c r="V417" s="199"/>
      <c r="W417" s="199"/>
      <c r="X417" s="199"/>
    </row>
    <row r="418">
      <c r="A418" s="247"/>
      <c r="B418" s="199"/>
      <c r="C418" s="247"/>
      <c r="D418" s="247"/>
      <c r="E418" s="195"/>
      <c r="F418" s="201"/>
      <c r="G418" s="195"/>
      <c r="H418" s="201"/>
      <c r="I418" s="195"/>
      <c r="J418" s="201"/>
      <c r="K418" s="193"/>
      <c r="L418" s="202"/>
      <c r="M418" s="195"/>
      <c r="N418" s="195"/>
      <c r="O418" s="195"/>
      <c r="P418" s="195"/>
      <c r="Q418" s="203"/>
      <c r="R418" s="198"/>
      <c r="S418" s="199"/>
      <c r="T418" s="199"/>
      <c r="U418" s="199"/>
      <c r="V418" s="199"/>
      <c r="W418" s="199"/>
      <c r="X418" s="199"/>
    </row>
    <row r="419">
      <c r="A419" s="247"/>
      <c r="B419" s="199"/>
      <c r="C419" s="247"/>
      <c r="D419" s="247"/>
      <c r="E419" s="195"/>
      <c r="F419" s="201"/>
      <c r="G419" s="195"/>
      <c r="H419" s="201"/>
      <c r="I419" s="195"/>
      <c r="J419" s="201"/>
      <c r="K419" s="193"/>
      <c r="L419" s="202"/>
      <c r="M419" s="195"/>
      <c r="N419" s="195"/>
      <c r="O419" s="195"/>
      <c r="P419" s="195"/>
      <c r="Q419" s="203"/>
      <c r="R419" s="198"/>
      <c r="S419" s="199"/>
      <c r="T419" s="199"/>
      <c r="U419" s="199"/>
      <c r="V419" s="199"/>
      <c r="W419" s="199"/>
      <c r="X419" s="199"/>
    </row>
    <row r="420">
      <c r="A420" s="247"/>
      <c r="B420" s="199"/>
      <c r="C420" s="247"/>
      <c r="D420" s="247"/>
      <c r="E420" s="195"/>
      <c r="F420" s="201"/>
      <c r="G420" s="195"/>
      <c r="H420" s="201"/>
      <c r="I420" s="195"/>
      <c r="J420" s="201"/>
      <c r="K420" s="193"/>
      <c r="L420" s="202"/>
      <c r="M420" s="195"/>
      <c r="N420" s="195"/>
      <c r="O420" s="195"/>
      <c r="P420" s="195"/>
      <c r="Q420" s="203"/>
      <c r="R420" s="198"/>
      <c r="S420" s="199"/>
      <c r="T420" s="199"/>
      <c r="U420" s="199"/>
      <c r="V420" s="199"/>
      <c r="W420" s="199"/>
      <c r="X420" s="199"/>
    </row>
    <row r="421">
      <c r="A421" s="247"/>
      <c r="B421" s="199"/>
      <c r="C421" s="247"/>
      <c r="D421" s="247"/>
      <c r="E421" s="195"/>
      <c r="F421" s="201"/>
      <c r="G421" s="195"/>
      <c r="H421" s="201"/>
      <c r="I421" s="195"/>
      <c r="J421" s="201"/>
      <c r="K421" s="193"/>
      <c r="L421" s="202"/>
      <c r="M421" s="195"/>
      <c r="N421" s="195"/>
      <c r="O421" s="195"/>
      <c r="P421" s="195"/>
      <c r="Q421" s="203"/>
      <c r="R421" s="198"/>
      <c r="S421" s="199"/>
      <c r="T421" s="199"/>
      <c r="U421" s="199"/>
      <c r="V421" s="199"/>
      <c r="W421" s="199"/>
      <c r="X421" s="199"/>
    </row>
    <row r="422">
      <c r="A422" s="247"/>
      <c r="B422" s="199"/>
      <c r="C422" s="247"/>
      <c r="D422" s="247"/>
      <c r="E422" s="195"/>
      <c r="F422" s="201"/>
      <c r="G422" s="195"/>
      <c r="H422" s="201"/>
      <c r="I422" s="195"/>
      <c r="J422" s="201"/>
      <c r="K422" s="193"/>
      <c r="L422" s="202"/>
      <c r="M422" s="195"/>
      <c r="N422" s="195"/>
      <c r="O422" s="195"/>
      <c r="P422" s="195"/>
      <c r="Q422" s="203"/>
      <c r="R422" s="198"/>
      <c r="S422" s="199"/>
      <c r="T422" s="199"/>
      <c r="U422" s="199"/>
      <c r="V422" s="199"/>
      <c r="W422" s="199"/>
      <c r="X422" s="199"/>
    </row>
    <row r="423">
      <c r="A423" s="247"/>
      <c r="B423" s="199"/>
      <c r="C423" s="247"/>
      <c r="D423" s="247"/>
      <c r="E423" s="195"/>
      <c r="F423" s="201"/>
      <c r="G423" s="195"/>
      <c r="H423" s="201"/>
      <c r="I423" s="195"/>
      <c r="J423" s="201"/>
      <c r="K423" s="193"/>
      <c r="L423" s="202"/>
      <c r="M423" s="195"/>
      <c r="N423" s="195"/>
      <c r="O423" s="195"/>
      <c r="P423" s="195"/>
      <c r="Q423" s="203"/>
      <c r="R423" s="198"/>
      <c r="S423" s="199"/>
      <c r="T423" s="199"/>
      <c r="U423" s="199"/>
      <c r="V423" s="199"/>
      <c r="W423" s="199"/>
      <c r="X423" s="199"/>
    </row>
    <row r="424">
      <c r="A424" s="247"/>
      <c r="B424" s="199"/>
      <c r="C424" s="247"/>
      <c r="D424" s="247"/>
      <c r="E424" s="195"/>
      <c r="F424" s="201"/>
      <c r="G424" s="195"/>
      <c r="H424" s="201"/>
      <c r="I424" s="195"/>
      <c r="J424" s="201"/>
      <c r="K424" s="193"/>
      <c r="L424" s="202"/>
      <c r="M424" s="195"/>
      <c r="N424" s="195"/>
      <c r="O424" s="195"/>
      <c r="P424" s="195"/>
      <c r="Q424" s="203"/>
      <c r="R424" s="198"/>
      <c r="S424" s="199"/>
      <c r="T424" s="199"/>
      <c r="U424" s="199"/>
      <c r="V424" s="199"/>
      <c r="W424" s="199"/>
      <c r="X424" s="199"/>
    </row>
    <row r="425">
      <c r="A425" s="247"/>
      <c r="B425" s="199"/>
      <c r="C425" s="247"/>
      <c r="D425" s="247"/>
      <c r="E425" s="195"/>
      <c r="F425" s="201"/>
      <c r="G425" s="195"/>
      <c r="H425" s="201"/>
      <c r="I425" s="195"/>
      <c r="J425" s="201"/>
      <c r="K425" s="193"/>
      <c r="L425" s="202"/>
      <c r="M425" s="195"/>
      <c r="N425" s="195"/>
      <c r="O425" s="195"/>
      <c r="P425" s="195"/>
      <c r="Q425" s="203"/>
      <c r="R425" s="198"/>
      <c r="S425" s="199"/>
      <c r="T425" s="199"/>
      <c r="U425" s="199"/>
      <c r="V425" s="199"/>
      <c r="W425" s="199"/>
      <c r="X425" s="199"/>
    </row>
    <row r="426">
      <c r="A426" s="247"/>
      <c r="B426" s="199"/>
      <c r="C426" s="247"/>
      <c r="D426" s="247"/>
      <c r="E426" s="195"/>
      <c r="F426" s="201"/>
      <c r="G426" s="195"/>
      <c r="H426" s="201"/>
      <c r="I426" s="195"/>
      <c r="J426" s="201"/>
      <c r="K426" s="193"/>
      <c r="L426" s="202"/>
      <c r="M426" s="195"/>
      <c r="N426" s="195"/>
      <c r="O426" s="195"/>
      <c r="P426" s="195"/>
      <c r="Q426" s="203"/>
      <c r="R426" s="198"/>
      <c r="S426" s="199"/>
      <c r="T426" s="199"/>
      <c r="U426" s="199"/>
      <c r="V426" s="199"/>
      <c r="W426" s="199"/>
      <c r="X426" s="199"/>
    </row>
    <row r="427">
      <c r="A427" s="247"/>
      <c r="B427" s="199"/>
      <c r="C427" s="247"/>
      <c r="D427" s="247"/>
      <c r="E427" s="195"/>
      <c r="F427" s="201"/>
      <c r="G427" s="195"/>
      <c r="H427" s="201"/>
      <c r="I427" s="195"/>
      <c r="J427" s="201"/>
      <c r="K427" s="193"/>
      <c r="L427" s="202"/>
      <c r="M427" s="195"/>
      <c r="N427" s="195"/>
      <c r="O427" s="195"/>
      <c r="P427" s="195"/>
      <c r="Q427" s="203"/>
      <c r="R427" s="198"/>
      <c r="S427" s="199"/>
      <c r="T427" s="199"/>
      <c r="U427" s="199"/>
      <c r="V427" s="199"/>
      <c r="W427" s="199"/>
      <c r="X427" s="199"/>
    </row>
    <row r="428">
      <c r="A428" s="247"/>
      <c r="B428" s="199"/>
      <c r="C428" s="247"/>
      <c r="D428" s="247"/>
      <c r="E428" s="195"/>
      <c r="F428" s="201"/>
      <c r="G428" s="195"/>
      <c r="H428" s="201"/>
      <c r="I428" s="195"/>
      <c r="J428" s="201"/>
      <c r="K428" s="193"/>
      <c r="L428" s="202"/>
      <c r="M428" s="195"/>
      <c r="N428" s="195"/>
      <c r="O428" s="195"/>
      <c r="P428" s="195"/>
      <c r="Q428" s="203"/>
      <c r="R428" s="198"/>
      <c r="S428" s="199"/>
      <c r="T428" s="199"/>
      <c r="U428" s="199"/>
      <c r="V428" s="199"/>
      <c r="W428" s="199"/>
      <c r="X428" s="199"/>
    </row>
    <row r="429">
      <c r="A429" s="247"/>
      <c r="B429" s="199"/>
      <c r="C429" s="247"/>
      <c r="D429" s="247"/>
      <c r="E429" s="195"/>
      <c r="F429" s="201"/>
      <c r="G429" s="195"/>
      <c r="H429" s="201"/>
      <c r="I429" s="195"/>
      <c r="J429" s="201"/>
      <c r="K429" s="193"/>
      <c r="L429" s="202"/>
      <c r="M429" s="195"/>
      <c r="N429" s="195"/>
      <c r="O429" s="195"/>
      <c r="P429" s="195"/>
      <c r="Q429" s="203"/>
      <c r="R429" s="198"/>
      <c r="S429" s="199"/>
      <c r="T429" s="199"/>
      <c r="U429" s="199"/>
      <c r="V429" s="199"/>
      <c r="W429" s="199"/>
      <c r="X429" s="199"/>
    </row>
    <row r="430">
      <c r="A430" s="247"/>
      <c r="B430" s="199"/>
      <c r="C430" s="247"/>
      <c r="D430" s="247"/>
      <c r="E430" s="195"/>
      <c r="F430" s="201"/>
      <c r="G430" s="195"/>
      <c r="H430" s="201"/>
      <c r="I430" s="195"/>
      <c r="J430" s="201"/>
      <c r="K430" s="193"/>
      <c r="L430" s="202"/>
      <c r="M430" s="195"/>
      <c r="N430" s="195"/>
      <c r="O430" s="195"/>
      <c r="P430" s="195"/>
      <c r="Q430" s="203"/>
      <c r="R430" s="198"/>
      <c r="S430" s="199"/>
      <c r="T430" s="199"/>
      <c r="U430" s="199"/>
      <c r="V430" s="199"/>
      <c r="W430" s="199"/>
      <c r="X430" s="199"/>
    </row>
    <row r="431">
      <c r="A431" s="247"/>
      <c r="B431" s="199"/>
      <c r="C431" s="247"/>
      <c r="D431" s="247"/>
      <c r="E431" s="195"/>
      <c r="F431" s="201"/>
      <c r="G431" s="195"/>
      <c r="H431" s="201"/>
      <c r="I431" s="195"/>
      <c r="J431" s="201"/>
      <c r="K431" s="193"/>
      <c r="L431" s="202"/>
      <c r="M431" s="195"/>
      <c r="N431" s="195"/>
      <c r="O431" s="195"/>
      <c r="P431" s="195"/>
      <c r="Q431" s="203"/>
      <c r="R431" s="198"/>
      <c r="S431" s="199"/>
      <c r="T431" s="199"/>
      <c r="U431" s="199"/>
      <c r="V431" s="199"/>
      <c r="W431" s="199"/>
      <c r="X431" s="199"/>
    </row>
    <row r="432">
      <c r="A432" s="247"/>
      <c r="B432" s="199"/>
      <c r="C432" s="247"/>
      <c r="D432" s="247"/>
      <c r="E432" s="195"/>
      <c r="F432" s="201"/>
      <c r="G432" s="195"/>
      <c r="H432" s="201"/>
      <c r="I432" s="195"/>
      <c r="J432" s="201"/>
      <c r="K432" s="193"/>
      <c r="L432" s="202"/>
      <c r="M432" s="195"/>
      <c r="N432" s="195"/>
      <c r="O432" s="195"/>
      <c r="P432" s="195"/>
      <c r="Q432" s="203"/>
      <c r="R432" s="198"/>
      <c r="S432" s="199"/>
      <c r="T432" s="199"/>
      <c r="U432" s="199"/>
      <c r="V432" s="199"/>
      <c r="W432" s="199"/>
      <c r="X432" s="199"/>
    </row>
    <row r="433">
      <c r="A433" s="247"/>
      <c r="B433" s="199"/>
      <c r="C433" s="247"/>
      <c r="D433" s="247"/>
      <c r="E433" s="195"/>
      <c r="F433" s="201"/>
      <c r="G433" s="195"/>
      <c r="H433" s="201"/>
      <c r="I433" s="195"/>
      <c r="J433" s="201"/>
      <c r="K433" s="193"/>
      <c r="L433" s="202"/>
      <c r="M433" s="195"/>
      <c r="N433" s="195"/>
      <c r="O433" s="195"/>
      <c r="P433" s="195"/>
      <c r="Q433" s="203"/>
      <c r="R433" s="198"/>
      <c r="S433" s="199"/>
      <c r="T433" s="199"/>
      <c r="U433" s="199"/>
      <c r="V433" s="199"/>
      <c r="W433" s="199"/>
      <c r="X433" s="199"/>
    </row>
    <row r="434">
      <c r="A434" s="247"/>
      <c r="B434" s="199"/>
      <c r="C434" s="247"/>
      <c r="D434" s="247"/>
      <c r="E434" s="195"/>
      <c r="F434" s="201"/>
      <c r="G434" s="195"/>
      <c r="H434" s="201"/>
      <c r="I434" s="195"/>
      <c r="J434" s="201"/>
      <c r="K434" s="193"/>
      <c r="L434" s="202"/>
      <c r="M434" s="195"/>
      <c r="N434" s="195"/>
      <c r="O434" s="195"/>
      <c r="P434" s="195"/>
      <c r="Q434" s="203"/>
      <c r="R434" s="198"/>
      <c r="S434" s="199"/>
      <c r="T434" s="199"/>
      <c r="U434" s="199"/>
      <c r="V434" s="199"/>
      <c r="W434" s="199"/>
      <c r="X434" s="199"/>
    </row>
    <row r="435">
      <c r="A435" s="247"/>
      <c r="B435" s="199"/>
      <c r="C435" s="247"/>
      <c r="D435" s="247"/>
      <c r="E435" s="195"/>
      <c r="F435" s="201"/>
      <c r="G435" s="195"/>
      <c r="H435" s="201"/>
      <c r="I435" s="195"/>
      <c r="J435" s="201"/>
      <c r="K435" s="193"/>
      <c r="L435" s="202"/>
      <c r="M435" s="195"/>
      <c r="N435" s="195"/>
      <c r="O435" s="195"/>
      <c r="P435" s="195"/>
      <c r="Q435" s="203"/>
      <c r="R435" s="198"/>
      <c r="S435" s="199"/>
      <c r="T435" s="199"/>
      <c r="U435" s="199"/>
      <c r="V435" s="199"/>
      <c r="W435" s="199"/>
      <c r="X435" s="199"/>
    </row>
    <row r="436">
      <c r="A436" s="247"/>
      <c r="B436" s="199"/>
      <c r="C436" s="247"/>
      <c r="D436" s="247"/>
      <c r="E436" s="195"/>
      <c r="F436" s="201"/>
      <c r="G436" s="195"/>
      <c r="H436" s="201"/>
      <c r="I436" s="195"/>
      <c r="J436" s="201"/>
      <c r="K436" s="193"/>
      <c r="L436" s="202"/>
      <c r="M436" s="195"/>
      <c r="N436" s="195"/>
      <c r="O436" s="195"/>
      <c r="P436" s="195"/>
      <c r="Q436" s="203"/>
      <c r="R436" s="198"/>
      <c r="S436" s="199"/>
      <c r="T436" s="199"/>
      <c r="U436" s="199"/>
      <c r="V436" s="199"/>
      <c r="W436" s="199"/>
      <c r="X436" s="199"/>
    </row>
    <row r="437">
      <c r="A437" s="247"/>
      <c r="B437" s="199"/>
      <c r="C437" s="247"/>
      <c r="D437" s="247"/>
      <c r="E437" s="195"/>
      <c r="F437" s="201"/>
      <c r="G437" s="195"/>
      <c r="H437" s="201"/>
      <c r="I437" s="195"/>
      <c r="J437" s="201"/>
      <c r="K437" s="193"/>
      <c r="L437" s="202"/>
      <c r="M437" s="195"/>
      <c r="N437" s="195"/>
      <c r="O437" s="195"/>
      <c r="P437" s="195"/>
      <c r="Q437" s="203"/>
      <c r="R437" s="198"/>
      <c r="S437" s="199"/>
      <c r="T437" s="199"/>
      <c r="U437" s="199"/>
      <c r="V437" s="199"/>
      <c r="W437" s="199"/>
      <c r="X437" s="199"/>
    </row>
    <row r="438">
      <c r="A438" s="247"/>
      <c r="B438" s="199"/>
      <c r="C438" s="247"/>
      <c r="D438" s="247"/>
      <c r="E438" s="195"/>
      <c r="F438" s="201"/>
      <c r="G438" s="195"/>
      <c r="H438" s="201"/>
      <c r="I438" s="195"/>
      <c r="J438" s="201"/>
      <c r="K438" s="193"/>
      <c r="L438" s="202"/>
      <c r="M438" s="195"/>
      <c r="N438" s="195"/>
      <c r="O438" s="195"/>
      <c r="P438" s="195"/>
      <c r="Q438" s="203"/>
      <c r="R438" s="198"/>
      <c r="S438" s="199"/>
      <c r="T438" s="199"/>
      <c r="U438" s="199"/>
      <c r="V438" s="199"/>
      <c r="W438" s="199"/>
      <c r="X438" s="199"/>
    </row>
    <row r="439">
      <c r="A439" s="247"/>
      <c r="B439" s="199"/>
      <c r="C439" s="247"/>
      <c r="D439" s="247"/>
      <c r="E439" s="195"/>
      <c r="F439" s="201"/>
      <c r="G439" s="195"/>
      <c r="H439" s="201"/>
      <c r="I439" s="195"/>
      <c r="J439" s="201"/>
      <c r="K439" s="193"/>
      <c r="L439" s="202"/>
      <c r="M439" s="195"/>
      <c r="N439" s="195"/>
      <c r="O439" s="195"/>
      <c r="P439" s="195"/>
      <c r="Q439" s="203"/>
      <c r="R439" s="198"/>
      <c r="S439" s="199"/>
      <c r="T439" s="199"/>
      <c r="U439" s="199"/>
      <c r="V439" s="199"/>
      <c r="W439" s="199"/>
      <c r="X439" s="199"/>
    </row>
    <row r="440">
      <c r="A440" s="247"/>
      <c r="B440" s="199"/>
      <c r="C440" s="247"/>
      <c r="D440" s="247"/>
      <c r="E440" s="195"/>
      <c r="F440" s="201"/>
      <c r="G440" s="195"/>
      <c r="H440" s="201"/>
      <c r="I440" s="195"/>
      <c r="J440" s="201"/>
      <c r="K440" s="193"/>
      <c r="L440" s="202"/>
      <c r="M440" s="195"/>
      <c r="N440" s="195"/>
      <c r="O440" s="195"/>
      <c r="P440" s="195"/>
      <c r="Q440" s="203"/>
      <c r="R440" s="198"/>
      <c r="S440" s="199"/>
      <c r="T440" s="199"/>
      <c r="U440" s="199"/>
      <c r="V440" s="199"/>
      <c r="W440" s="199"/>
      <c r="X440" s="199"/>
    </row>
    <row r="441">
      <c r="A441" s="247"/>
      <c r="B441" s="199"/>
      <c r="C441" s="247"/>
      <c r="D441" s="247"/>
      <c r="E441" s="195"/>
      <c r="F441" s="201"/>
      <c r="G441" s="195"/>
      <c r="H441" s="201"/>
      <c r="I441" s="195"/>
      <c r="J441" s="201"/>
      <c r="K441" s="193"/>
      <c r="L441" s="202"/>
      <c r="M441" s="195"/>
      <c r="N441" s="195"/>
      <c r="O441" s="195"/>
      <c r="P441" s="195"/>
      <c r="Q441" s="203"/>
      <c r="R441" s="198"/>
      <c r="S441" s="199"/>
      <c r="T441" s="199"/>
      <c r="U441" s="199"/>
      <c r="V441" s="199"/>
      <c r="W441" s="199"/>
      <c r="X441" s="199"/>
    </row>
    <row r="442">
      <c r="A442" s="247"/>
      <c r="B442" s="199"/>
      <c r="C442" s="247"/>
      <c r="D442" s="247"/>
      <c r="E442" s="195"/>
      <c r="F442" s="201"/>
      <c r="G442" s="195"/>
      <c r="H442" s="201"/>
      <c r="I442" s="195"/>
      <c r="J442" s="201"/>
      <c r="K442" s="193"/>
      <c r="L442" s="202"/>
      <c r="M442" s="195"/>
      <c r="N442" s="195"/>
      <c r="O442" s="195"/>
      <c r="P442" s="195"/>
      <c r="Q442" s="203"/>
      <c r="R442" s="198"/>
      <c r="S442" s="199"/>
      <c r="T442" s="199"/>
      <c r="U442" s="199"/>
      <c r="V442" s="199"/>
      <c r="W442" s="199"/>
      <c r="X442" s="199"/>
    </row>
    <row r="443">
      <c r="A443" s="247"/>
      <c r="B443" s="199"/>
      <c r="C443" s="247"/>
      <c r="D443" s="247"/>
      <c r="E443" s="195"/>
      <c r="F443" s="201"/>
      <c r="G443" s="195"/>
      <c r="H443" s="201"/>
      <c r="I443" s="195"/>
      <c r="J443" s="201"/>
      <c r="K443" s="193"/>
      <c r="L443" s="202"/>
      <c r="M443" s="195"/>
      <c r="N443" s="195"/>
      <c r="O443" s="195"/>
      <c r="P443" s="195"/>
      <c r="Q443" s="203"/>
      <c r="R443" s="198"/>
      <c r="S443" s="199"/>
      <c r="T443" s="199"/>
      <c r="U443" s="199"/>
      <c r="V443" s="199"/>
      <c r="W443" s="199"/>
      <c r="X443" s="199"/>
    </row>
    <row r="444">
      <c r="A444" s="247"/>
      <c r="B444" s="199"/>
      <c r="C444" s="247"/>
      <c r="D444" s="247"/>
      <c r="E444" s="195"/>
      <c r="F444" s="201"/>
      <c r="G444" s="195"/>
      <c r="H444" s="201"/>
      <c r="I444" s="195"/>
      <c r="J444" s="201"/>
      <c r="K444" s="193"/>
      <c r="L444" s="202"/>
      <c r="M444" s="195"/>
      <c r="N444" s="195"/>
      <c r="O444" s="195"/>
      <c r="P444" s="195"/>
      <c r="Q444" s="203"/>
      <c r="R444" s="198"/>
      <c r="S444" s="199"/>
      <c r="T444" s="199"/>
      <c r="U444" s="199"/>
      <c r="V444" s="199"/>
      <c r="W444" s="199"/>
      <c r="X444" s="199"/>
    </row>
    <row r="445">
      <c r="A445" s="247"/>
      <c r="B445" s="199"/>
      <c r="C445" s="247"/>
      <c r="D445" s="247"/>
      <c r="E445" s="195"/>
      <c r="F445" s="201"/>
      <c r="G445" s="195"/>
      <c r="H445" s="201"/>
      <c r="I445" s="195"/>
      <c r="J445" s="201"/>
      <c r="K445" s="193"/>
      <c r="L445" s="202"/>
      <c r="M445" s="195"/>
      <c r="N445" s="195"/>
      <c r="O445" s="195"/>
      <c r="P445" s="195"/>
      <c r="Q445" s="203"/>
      <c r="R445" s="198"/>
      <c r="S445" s="199"/>
      <c r="T445" s="199"/>
      <c r="U445" s="199"/>
      <c r="V445" s="199"/>
      <c r="W445" s="199"/>
      <c r="X445" s="199"/>
    </row>
    <row r="446">
      <c r="A446" s="247"/>
      <c r="B446" s="199"/>
      <c r="C446" s="247"/>
      <c r="D446" s="247"/>
      <c r="E446" s="195"/>
      <c r="F446" s="201"/>
      <c r="G446" s="195"/>
      <c r="H446" s="201"/>
      <c r="I446" s="195"/>
      <c r="J446" s="201"/>
      <c r="K446" s="193"/>
      <c r="L446" s="202"/>
      <c r="M446" s="195"/>
      <c r="N446" s="195"/>
      <c r="O446" s="195"/>
      <c r="P446" s="195"/>
      <c r="Q446" s="203"/>
      <c r="R446" s="198"/>
      <c r="S446" s="199"/>
      <c r="T446" s="199"/>
      <c r="U446" s="199"/>
      <c r="V446" s="199"/>
      <c r="W446" s="199"/>
      <c r="X446" s="199"/>
    </row>
    <row r="447">
      <c r="A447" s="247"/>
      <c r="B447" s="199"/>
      <c r="C447" s="247"/>
      <c r="D447" s="247"/>
      <c r="E447" s="195"/>
      <c r="F447" s="201"/>
      <c r="G447" s="195"/>
      <c r="H447" s="201"/>
      <c r="I447" s="195"/>
      <c r="J447" s="201"/>
      <c r="K447" s="193"/>
      <c r="L447" s="202"/>
      <c r="M447" s="195"/>
      <c r="N447" s="195"/>
      <c r="O447" s="195"/>
      <c r="P447" s="195"/>
      <c r="Q447" s="203"/>
      <c r="R447" s="198"/>
      <c r="S447" s="199"/>
      <c r="T447" s="199"/>
      <c r="U447" s="199"/>
      <c r="V447" s="199"/>
      <c r="W447" s="199"/>
      <c r="X447" s="199"/>
    </row>
    <row r="448">
      <c r="A448" s="247"/>
      <c r="B448" s="199"/>
      <c r="C448" s="247"/>
      <c r="D448" s="247"/>
      <c r="E448" s="195"/>
      <c r="F448" s="201"/>
      <c r="G448" s="195"/>
      <c r="H448" s="201"/>
      <c r="I448" s="195"/>
      <c r="J448" s="201"/>
      <c r="K448" s="193"/>
      <c r="L448" s="202"/>
      <c r="M448" s="195"/>
      <c r="N448" s="195"/>
      <c r="O448" s="195"/>
      <c r="P448" s="195"/>
      <c r="Q448" s="203"/>
      <c r="R448" s="198"/>
      <c r="S448" s="199"/>
      <c r="T448" s="199"/>
      <c r="U448" s="199"/>
      <c r="V448" s="199"/>
      <c r="W448" s="199"/>
      <c r="X448" s="199"/>
    </row>
    <row r="449">
      <c r="A449" s="247"/>
      <c r="B449" s="199"/>
      <c r="C449" s="247"/>
      <c r="D449" s="247"/>
      <c r="E449" s="195"/>
      <c r="F449" s="201"/>
      <c r="G449" s="195"/>
      <c r="H449" s="201"/>
      <c r="I449" s="195"/>
      <c r="J449" s="201"/>
      <c r="K449" s="193"/>
      <c r="L449" s="202"/>
      <c r="M449" s="195"/>
      <c r="N449" s="195"/>
      <c r="O449" s="195"/>
      <c r="P449" s="195"/>
      <c r="Q449" s="203"/>
      <c r="R449" s="198"/>
      <c r="S449" s="199"/>
      <c r="T449" s="199"/>
      <c r="U449" s="199"/>
      <c r="V449" s="199"/>
      <c r="W449" s="199"/>
      <c r="X449" s="199"/>
    </row>
    <row r="450">
      <c r="A450" s="247"/>
      <c r="B450" s="199"/>
      <c r="C450" s="247"/>
      <c r="D450" s="247"/>
      <c r="E450" s="195"/>
      <c r="F450" s="201"/>
      <c r="G450" s="195"/>
      <c r="H450" s="201"/>
      <c r="I450" s="195"/>
      <c r="J450" s="201"/>
      <c r="K450" s="193"/>
      <c r="L450" s="202"/>
      <c r="M450" s="195"/>
      <c r="N450" s="195"/>
      <c r="O450" s="195"/>
      <c r="P450" s="195"/>
      <c r="Q450" s="203"/>
      <c r="R450" s="198"/>
      <c r="S450" s="199"/>
      <c r="T450" s="199"/>
      <c r="U450" s="199"/>
      <c r="V450" s="199"/>
      <c r="W450" s="199"/>
      <c r="X450" s="199"/>
    </row>
    <row r="451">
      <c r="A451" s="247"/>
      <c r="B451" s="199"/>
      <c r="C451" s="247"/>
      <c r="D451" s="247"/>
      <c r="E451" s="195"/>
      <c r="F451" s="201"/>
      <c r="G451" s="195"/>
      <c r="H451" s="201"/>
      <c r="I451" s="195"/>
      <c r="J451" s="201"/>
      <c r="K451" s="193"/>
      <c r="L451" s="202"/>
      <c r="M451" s="195"/>
      <c r="N451" s="195"/>
      <c r="O451" s="195"/>
      <c r="P451" s="195"/>
      <c r="Q451" s="203"/>
      <c r="R451" s="198"/>
      <c r="S451" s="199"/>
      <c r="T451" s="199"/>
      <c r="U451" s="199"/>
      <c r="V451" s="199"/>
      <c r="W451" s="199"/>
      <c r="X451" s="199"/>
    </row>
    <row r="452">
      <c r="A452" s="247"/>
      <c r="B452" s="199"/>
      <c r="C452" s="247"/>
      <c r="D452" s="247"/>
      <c r="E452" s="195"/>
      <c r="F452" s="201"/>
      <c r="G452" s="195"/>
      <c r="H452" s="201"/>
      <c r="I452" s="195"/>
      <c r="J452" s="201"/>
      <c r="K452" s="193"/>
      <c r="L452" s="202"/>
      <c r="M452" s="195"/>
      <c r="N452" s="195"/>
      <c r="O452" s="195"/>
      <c r="P452" s="195"/>
      <c r="Q452" s="203"/>
      <c r="R452" s="198"/>
      <c r="S452" s="199"/>
      <c r="T452" s="199"/>
      <c r="U452" s="199"/>
      <c r="V452" s="199"/>
      <c r="W452" s="199"/>
      <c r="X452" s="199"/>
    </row>
    <row r="453">
      <c r="A453" s="247"/>
      <c r="B453" s="199"/>
      <c r="C453" s="247"/>
      <c r="D453" s="247"/>
      <c r="E453" s="195"/>
      <c r="F453" s="201"/>
      <c r="G453" s="195"/>
      <c r="H453" s="201"/>
      <c r="I453" s="195"/>
      <c r="J453" s="201"/>
      <c r="K453" s="193"/>
      <c r="L453" s="202"/>
      <c r="M453" s="195"/>
      <c r="N453" s="195"/>
      <c r="O453" s="195"/>
      <c r="P453" s="195"/>
      <c r="Q453" s="203"/>
      <c r="R453" s="198"/>
      <c r="S453" s="199"/>
      <c r="T453" s="199"/>
      <c r="U453" s="199"/>
      <c r="V453" s="199"/>
      <c r="W453" s="199"/>
      <c r="X453" s="199"/>
    </row>
    <row r="454">
      <c r="A454" s="247"/>
      <c r="B454" s="199"/>
      <c r="C454" s="247"/>
      <c r="D454" s="247"/>
      <c r="E454" s="195"/>
      <c r="F454" s="201"/>
      <c r="G454" s="195"/>
      <c r="H454" s="201"/>
      <c r="I454" s="195"/>
      <c r="J454" s="201"/>
      <c r="K454" s="193"/>
      <c r="L454" s="202"/>
      <c r="M454" s="195"/>
      <c r="N454" s="195"/>
      <c r="O454" s="195"/>
      <c r="P454" s="195"/>
      <c r="Q454" s="203"/>
      <c r="R454" s="198"/>
      <c r="S454" s="199"/>
      <c r="T454" s="199"/>
      <c r="U454" s="199"/>
      <c r="V454" s="199"/>
      <c r="W454" s="199"/>
      <c r="X454" s="199"/>
    </row>
    <row r="455">
      <c r="A455" s="247"/>
      <c r="B455" s="199"/>
      <c r="C455" s="247"/>
      <c r="D455" s="247"/>
      <c r="E455" s="195"/>
      <c r="F455" s="201"/>
      <c r="G455" s="195"/>
      <c r="H455" s="201"/>
      <c r="I455" s="195"/>
      <c r="J455" s="201"/>
      <c r="K455" s="193"/>
      <c r="L455" s="202"/>
      <c r="M455" s="195"/>
      <c r="N455" s="195"/>
      <c r="O455" s="195"/>
      <c r="P455" s="195"/>
      <c r="Q455" s="203"/>
      <c r="R455" s="198"/>
      <c r="S455" s="199"/>
      <c r="T455" s="199"/>
      <c r="U455" s="199"/>
      <c r="V455" s="199"/>
      <c r="W455" s="199"/>
      <c r="X455" s="199"/>
    </row>
    <row r="456">
      <c r="A456" s="247"/>
      <c r="B456" s="199"/>
      <c r="C456" s="247"/>
      <c r="D456" s="247"/>
      <c r="E456" s="195"/>
      <c r="F456" s="201"/>
      <c r="G456" s="195"/>
      <c r="H456" s="201"/>
      <c r="I456" s="195"/>
      <c r="J456" s="201"/>
      <c r="K456" s="193"/>
      <c r="L456" s="202"/>
      <c r="M456" s="195"/>
      <c r="N456" s="195"/>
      <c r="O456" s="195"/>
      <c r="P456" s="195"/>
      <c r="Q456" s="203"/>
      <c r="R456" s="198"/>
      <c r="S456" s="199"/>
      <c r="T456" s="199"/>
      <c r="U456" s="199"/>
      <c r="V456" s="199"/>
      <c r="W456" s="199"/>
      <c r="X456" s="199"/>
    </row>
    <row r="457">
      <c r="A457" s="247"/>
      <c r="B457" s="199"/>
      <c r="C457" s="247"/>
      <c r="D457" s="247"/>
      <c r="E457" s="195"/>
      <c r="F457" s="201"/>
      <c r="G457" s="195"/>
      <c r="H457" s="201"/>
      <c r="I457" s="195"/>
      <c r="J457" s="201"/>
      <c r="K457" s="193"/>
      <c r="L457" s="202"/>
      <c r="M457" s="195"/>
      <c r="N457" s="195"/>
      <c r="O457" s="195"/>
      <c r="P457" s="195"/>
      <c r="Q457" s="203"/>
      <c r="R457" s="198"/>
      <c r="S457" s="199"/>
      <c r="T457" s="199"/>
      <c r="U457" s="199"/>
      <c r="V457" s="199"/>
      <c r="W457" s="199"/>
      <c r="X457" s="199"/>
    </row>
    <row r="458">
      <c r="A458" s="247"/>
      <c r="B458" s="199"/>
      <c r="C458" s="247"/>
      <c r="D458" s="247"/>
      <c r="E458" s="195"/>
      <c r="F458" s="201"/>
      <c r="G458" s="195"/>
      <c r="H458" s="201"/>
      <c r="I458" s="195"/>
      <c r="J458" s="201"/>
      <c r="K458" s="193"/>
      <c r="L458" s="202"/>
      <c r="M458" s="195"/>
      <c r="N458" s="195"/>
      <c r="O458" s="195"/>
      <c r="P458" s="195"/>
      <c r="Q458" s="203"/>
      <c r="R458" s="198"/>
      <c r="S458" s="199"/>
      <c r="T458" s="199"/>
      <c r="U458" s="199"/>
      <c r="V458" s="199"/>
      <c r="W458" s="199"/>
      <c r="X458" s="199"/>
    </row>
    <row r="459">
      <c r="A459" s="247"/>
      <c r="B459" s="199"/>
      <c r="C459" s="247"/>
      <c r="D459" s="247"/>
      <c r="E459" s="195"/>
      <c r="F459" s="201"/>
      <c r="G459" s="195"/>
      <c r="H459" s="201"/>
      <c r="I459" s="195"/>
      <c r="J459" s="201"/>
      <c r="K459" s="193"/>
      <c r="L459" s="202"/>
      <c r="M459" s="195"/>
      <c r="N459" s="195"/>
      <c r="O459" s="195"/>
      <c r="P459" s="195"/>
      <c r="Q459" s="203"/>
      <c r="R459" s="198"/>
      <c r="S459" s="199"/>
      <c r="T459" s="199"/>
      <c r="U459" s="199"/>
      <c r="V459" s="199"/>
      <c r="W459" s="199"/>
      <c r="X459" s="199"/>
    </row>
    <row r="460">
      <c r="A460" s="247"/>
      <c r="B460" s="199"/>
      <c r="C460" s="247"/>
      <c r="D460" s="247"/>
      <c r="E460" s="195"/>
      <c r="F460" s="201"/>
      <c r="G460" s="195"/>
      <c r="H460" s="201"/>
      <c r="I460" s="195"/>
      <c r="J460" s="201"/>
      <c r="K460" s="193"/>
      <c r="L460" s="202"/>
      <c r="M460" s="195"/>
      <c r="N460" s="195"/>
      <c r="O460" s="195"/>
      <c r="P460" s="195"/>
      <c r="Q460" s="203"/>
      <c r="R460" s="198"/>
      <c r="S460" s="199"/>
      <c r="T460" s="199"/>
      <c r="U460" s="199"/>
      <c r="V460" s="199"/>
      <c r="W460" s="199"/>
      <c r="X460" s="199"/>
    </row>
    <row r="461">
      <c r="A461" s="247"/>
      <c r="B461" s="199"/>
      <c r="C461" s="247"/>
      <c r="D461" s="247"/>
      <c r="E461" s="195"/>
      <c r="F461" s="201"/>
      <c r="G461" s="195"/>
      <c r="H461" s="201"/>
      <c r="I461" s="195"/>
      <c r="J461" s="201"/>
      <c r="K461" s="193"/>
      <c r="L461" s="202"/>
      <c r="M461" s="195"/>
      <c r="N461" s="195"/>
      <c r="O461" s="195"/>
      <c r="P461" s="195"/>
      <c r="Q461" s="203"/>
      <c r="R461" s="198"/>
      <c r="S461" s="199"/>
      <c r="T461" s="199"/>
      <c r="U461" s="199"/>
      <c r="V461" s="199"/>
      <c r="W461" s="199"/>
      <c r="X461" s="199"/>
    </row>
    <row r="462">
      <c r="A462" s="247"/>
      <c r="B462" s="199"/>
      <c r="C462" s="247"/>
      <c r="D462" s="247"/>
      <c r="E462" s="195"/>
      <c r="F462" s="201"/>
      <c r="G462" s="195"/>
      <c r="H462" s="201"/>
      <c r="I462" s="195"/>
      <c r="J462" s="201"/>
      <c r="K462" s="193"/>
      <c r="L462" s="202"/>
      <c r="M462" s="195"/>
      <c r="N462" s="195"/>
      <c r="O462" s="195"/>
      <c r="P462" s="195"/>
      <c r="Q462" s="203"/>
      <c r="R462" s="198"/>
      <c r="S462" s="199"/>
      <c r="T462" s="199"/>
      <c r="U462" s="199"/>
      <c r="V462" s="199"/>
      <c r="W462" s="199"/>
      <c r="X462" s="199"/>
    </row>
    <row r="463">
      <c r="A463" s="247"/>
      <c r="B463" s="199"/>
      <c r="C463" s="247"/>
      <c r="D463" s="247"/>
      <c r="E463" s="195"/>
      <c r="F463" s="201"/>
      <c r="G463" s="195"/>
      <c r="H463" s="201"/>
      <c r="I463" s="195"/>
      <c r="J463" s="201"/>
      <c r="K463" s="193"/>
      <c r="L463" s="202"/>
      <c r="M463" s="195"/>
      <c r="N463" s="195"/>
      <c r="O463" s="195"/>
      <c r="P463" s="195"/>
      <c r="Q463" s="203"/>
      <c r="R463" s="198"/>
      <c r="S463" s="199"/>
      <c r="T463" s="199"/>
      <c r="U463" s="199"/>
      <c r="V463" s="199"/>
      <c r="W463" s="199"/>
      <c r="X463" s="199"/>
    </row>
    <row r="464">
      <c r="A464" s="247"/>
      <c r="B464" s="199"/>
      <c r="C464" s="247"/>
      <c r="D464" s="247"/>
      <c r="E464" s="195"/>
      <c r="F464" s="201"/>
      <c r="G464" s="195"/>
      <c r="H464" s="201"/>
      <c r="I464" s="195"/>
      <c r="J464" s="201"/>
      <c r="K464" s="193"/>
      <c r="L464" s="202"/>
      <c r="M464" s="195"/>
      <c r="N464" s="195"/>
      <c r="O464" s="195"/>
      <c r="P464" s="195"/>
      <c r="Q464" s="203"/>
      <c r="R464" s="198"/>
      <c r="S464" s="199"/>
      <c r="T464" s="199"/>
      <c r="U464" s="199"/>
      <c r="V464" s="199"/>
      <c r="W464" s="199"/>
      <c r="X464" s="199"/>
    </row>
    <row r="465">
      <c r="A465" s="247"/>
      <c r="B465" s="199"/>
      <c r="C465" s="247"/>
      <c r="D465" s="247"/>
      <c r="E465" s="195"/>
      <c r="F465" s="201"/>
      <c r="G465" s="195"/>
      <c r="H465" s="201"/>
      <c r="I465" s="195"/>
      <c r="J465" s="201"/>
      <c r="K465" s="193"/>
      <c r="L465" s="202"/>
      <c r="M465" s="195"/>
      <c r="N465" s="195"/>
      <c r="O465" s="195"/>
      <c r="P465" s="195"/>
      <c r="Q465" s="203"/>
      <c r="R465" s="198"/>
      <c r="S465" s="199"/>
      <c r="T465" s="199"/>
      <c r="U465" s="199"/>
      <c r="V465" s="199"/>
      <c r="W465" s="199"/>
      <c r="X465" s="199"/>
    </row>
    <row r="466">
      <c r="A466" s="247"/>
      <c r="B466" s="199"/>
      <c r="C466" s="247"/>
      <c r="D466" s="247"/>
      <c r="E466" s="195"/>
      <c r="F466" s="201"/>
      <c r="G466" s="195"/>
      <c r="H466" s="201"/>
      <c r="I466" s="195"/>
      <c r="J466" s="201"/>
      <c r="K466" s="193"/>
      <c r="L466" s="202"/>
      <c r="M466" s="195"/>
      <c r="N466" s="195"/>
      <c r="O466" s="195"/>
      <c r="P466" s="195"/>
      <c r="Q466" s="203"/>
      <c r="R466" s="198"/>
      <c r="S466" s="199"/>
      <c r="T466" s="199"/>
      <c r="U466" s="199"/>
      <c r="V466" s="199"/>
      <c r="W466" s="199"/>
      <c r="X466" s="199"/>
    </row>
    <row r="467">
      <c r="A467" s="247"/>
      <c r="B467" s="199"/>
      <c r="C467" s="247"/>
      <c r="D467" s="247"/>
      <c r="E467" s="195"/>
      <c r="F467" s="201"/>
      <c r="G467" s="195"/>
      <c r="H467" s="201"/>
      <c r="I467" s="195"/>
      <c r="J467" s="201"/>
      <c r="K467" s="193"/>
      <c r="L467" s="202"/>
      <c r="M467" s="195"/>
      <c r="N467" s="195"/>
      <c r="O467" s="195"/>
      <c r="P467" s="195"/>
      <c r="Q467" s="203"/>
      <c r="R467" s="198"/>
      <c r="S467" s="199"/>
      <c r="T467" s="199"/>
      <c r="U467" s="199"/>
      <c r="V467" s="199"/>
      <c r="W467" s="199"/>
      <c r="X467" s="199"/>
    </row>
    <row r="468">
      <c r="A468" s="247"/>
      <c r="B468" s="199"/>
      <c r="C468" s="247"/>
      <c r="D468" s="247"/>
      <c r="E468" s="195"/>
      <c r="F468" s="201"/>
      <c r="G468" s="195"/>
      <c r="H468" s="201"/>
      <c r="I468" s="195"/>
      <c r="J468" s="201"/>
      <c r="K468" s="193"/>
      <c r="L468" s="202"/>
      <c r="M468" s="195"/>
      <c r="N468" s="195"/>
      <c r="O468" s="195"/>
      <c r="P468" s="195"/>
      <c r="Q468" s="203"/>
      <c r="R468" s="198"/>
      <c r="S468" s="199"/>
      <c r="T468" s="199"/>
      <c r="U468" s="199"/>
      <c r="V468" s="199"/>
      <c r="W468" s="199"/>
      <c r="X468" s="199"/>
    </row>
    <row r="469">
      <c r="A469" s="247"/>
      <c r="B469" s="199"/>
      <c r="C469" s="247"/>
      <c r="D469" s="247"/>
      <c r="E469" s="195"/>
      <c r="F469" s="201"/>
      <c r="G469" s="195"/>
      <c r="H469" s="201"/>
      <c r="I469" s="195"/>
      <c r="J469" s="201"/>
      <c r="K469" s="193"/>
      <c r="L469" s="202"/>
      <c r="M469" s="195"/>
      <c r="N469" s="195"/>
      <c r="O469" s="195"/>
      <c r="P469" s="195"/>
      <c r="Q469" s="203"/>
      <c r="R469" s="198"/>
      <c r="S469" s="199"/>
      <c r="T469" s="199"/>
      <c r="U469" s="199"/>
      <c r="V469" s="199"/>
      <c r="W469" s="199"/>
      <c r="X469" s="199"/>
    </row>
    <row r="470">
      <c r="A470" s="247"/>
      <c r="B470" s="199"/>
      <c r="C470" s="247"/>
      <c r="D470" s="247"/>
      <c r="E470" s="195"/>
      <c r="F470" s="201"/>
      <c r="G470" s="195"/>
      <c r="H470" s="201"/>
      <c r="I470" s="195"/>
      <c r="J470" s="201"/>
      <c r="K470" s="193"/>
      <c r="L470" s="202"/>
      <c r="M470" s="195"/>
      <c r="N470" s="195"/>
      <c r="O470" s="195"/>
      <c r="P470" s="195"/>
      <c r="Q470" s="203"/>
      <c r="R470" s="198"/>
      <c r="S470" s="199"/>
      <c r="T470" s="199"/>
      <c r="U470" s="199"/>
      <c r="V470" s="199"/>
      <c r="W470" s="199"/>
      <c r="X470" s="199"/>
    </row>
    <row r="471">
      <c r="A471" s="247"/>
      <c r="B471" s="199"/>
      <c r="C471" s="247"/>
      <c r="D471" s="247"/>
      <c r="E471" s="195"/>
      <c r="F471" s="201"/>
      <c r="G471" s="195"/>
      <c r="H471" s="201"/>
      <c r="I471" s="195"/>
      <c r="J471" s="201"/>
      <c r="K471" s="193"/>
      <c r="L471" s="202"/>
      <c r="M471" s="195"/>
      <c r="N471" s="195"/>
      <c r="O471" s="195"/>
      <c r="P471" s="195"/>
      <c r="Q471" s="203"/>
      <c r="R471" s="198"/>
      <c r="S471" s="199"/>
      <c r="T471" s="199"/>
      <c r="U471" s="199"/>
      <c r="V471" s="199"/>
      <c r="W471" s="199"/>
      <c r="X471" s="199"/>
    </row>
    <row r="472">
      <c r="A472" s="247"/>
      <c r="B472" s="199"/>
      <c r="C472" s="247"/>
      <c r="D472" s="247"/>
      <c r="E472" s="195"/>
      <c r="F472" s="201"/>
      <c r="G472" s="195"/>
      <c r="H472" s="201"/>
      <c r="I472" s="195"/>
      <c r="J472" s="201"/>
      <c r="K472" s="193"/>
      <c r="L472" s="202"/>
      <c r="M472" s="195"/>
      <c r="N472" s="195"/>
      <c r="O472" s="195"/>
      <c r="P472" s="195"/>
      <c r="Q472" s="203"/>
      <c r="R472" s="198"/>
      <c r="S472" s="199"/>
      <c r="T472" s="199"/>
      <c r="U472" s="199"/>
      <c r="V472" s="199"/>
      <c r="W472" s="199"/>
      <c r="X472" s="199"/>
    </row>
    <row r="473">
      <c r="A473" s="247"/>
      <c r="B473" s="199"/>
      <c r="C473" s="247"/>
      <c r="D473" s="247"/>
      <c r="E473" s="195"/>
      <c r="F473" s="201"/>
      <c r="G473" s="195"/>
      <c r="H473" s="201"/>
      <c r="I473" s="195"/>
      <c r="J473" s="201"/>
      <c r="K473" s="193"/>
      <c r="L473" s="202"/>
      <c r="M473" s="195"/>
      <c r="N473" s="195"/>
      <c r="O473" s="195"/>
      <c r="P473" s="195"/>
      <c r="Q473" s="203"/>
      <c r="R473" s="198"/>
      <c r="S473" s="199"/>
      <c r="T473" s="199"/>
      <c r="U473" s="199"/>
      <c r="V473" s="199"/>
      <c r="W473" s="199"/>
      <c r="X473" s="199"/>
    </row>
    <row r="474">
      <c r="A474" s="247"/>
      <c r="B474" s="199"/>
      <c r="C474" s="247"/>
      <c r="D474" s="247"/>
      <c r="E474" s="195"/>
      <c r="F474" s="201"/>
      <c r="G474" s="195"/>
      <c r="H474" s="201"/>
      <c r="I474" s="195"/>
      <c r="J474" s="201"/>
      <c r="K474" s="193"/>
      <c r="L474" s="202"/>
      <c r="M474" s="195"/>
      <c r="N474" s="195"/>
      <c r="O474" s="195"/>
      <c r="P474" s="195"/>
      <c r="Q474" s="203"/>
      <c r="R474" s="198"/>
      <c r="S474" s="199"/>
      <c r="T474" s="199"/>
      <c r="U474" s="199"/>
      <c r="V474" s="199"/>
      <c r="W474" s="199"/>
      <c r="X474" s="199"/>
    </row>
    <row r="475">
      <c r="A475" s="247"/>
      <c r="B475" s="199"/>
      <c r="C475" s="247"/>
      <c r="D475" s="247"/>
      <c r="E475" s="195"/>
      <c r="F475" s="201"/>
      <c r="G475" s="195"/>
      <c r="H475" s="201"/>
      <c r="I475" s="195"/>
      <c r="J475" s="201"/>
      <c r="K475" s="193"/>
      <c r="L475" s="202"/>
      <c r="M475" s="195"/>
      <c r="N475" s="195"/>
      <c r="O475" s="195"/>
      <c r="P475" s="195"/>
      <c r="Q475" s="203"/>
      <c r="R475" s="198"/>
      <c r="S475" s="199"/>
      <c r="T475" s="199"/>
      <c r="U475" s="199"/>
      <c r="V475" s="199"/>
      <c r="W475" s="199"/>
      <c r="X475" s="199"/>
    </row>
    <row r="476">
      <c r="A476" s="247"/>
      <c r="B476" s="199"/>
      <c r="C476" s="247"/>
      <c r="D476" s="247"/>
      <c r="E476" s="195"/>
      <c r="F476" s="201"/>
      <c r="G476" s="195"/>
      <c r="H476" s="201"/>
      <c r="I476" s="195"/>
      <c r="J476" s="201"/>
      <c r="K476" s="193"/>
      <c r="L476" s="202"/>
      <c r="M476" s="195"/>
      <c r="N476" s="195"/>
      <c r="O476" s="195"/>
      <c r="P476" s="195"/>
      <c r="Q476" s="203"/>
      <c r="R476" s="198"/>
      <c r="S476" s="199"/>
      <c r="T476" s="199"/>
      <c r="U476" s="199"/>
      <c r="V476" s="199"/>
      <c r="W476" s="199"/>
      <c r="X476" s="199"/>
    </row>
    <row r="477">
      <c r="A477" s="247"/>
      <c r="B477" s="199"/>
      <c r="C477" s="247"/>
      <c r="D477" s="247"/>
      <c r="E477" s="195"/>
      <c r="F477" s="201"/>
      <c r="G477" s="195"/>
      <c r="H477" s="201"/>
      <c r="I477" s="195"/>
      <c r="J477" s="201"/>
      <c r="K477" s="193"/>
      <c r="L477" s="202"/>
      <c r="M477" s="195"/>
      <c r="N477" s="195"/>
      <c r="O477" s="195"/>
      <c r="P477" s="195"/>
      <c r="Q477" s="203"/>
      <c r="R477" s="198"/>
      <c r="S477" s="199"/>
      <c r="T477" s="199"/>
      <c r="U477" s="199"/>
      <c r="V477" s="199"/>
      <c r="W477" s="199"/>
      <c r="X477" s="199"/>
    </row>
    <row r="478">
      <c r="A478" s="247"/>
      <c r="B478" s="199"/>
      <c r="C478" s="247"/>
      <c r="D478" s="247"/>
      <c r="E478" s="195"/>
      <c r="F478" s="201"/>
      <c r="G478" s="195"/>
      <c r="H478" s="201"/>
      <c r="I478" s="195"/>
      <c r="J478" s="201"/>
      <c r="K478" s="193"/>
      <c r="L478" s="202"/>
      <c r="M478" s="195"/>
      <c r="N478" s="195"/>
      <c r="O478" s="195"/>
      <c r="P478" s="195"/>
      <c r="Q478" s="203"/>
      <c r="R478" s="198"/>
      <c r="S478" s="199"/>
      <c r="T478" s="199"/>
      <c r="U478" s="199"/>
      <c r="V478" s="199"/>
      <c r="W478" s="199"/>
      <c r="X478" s="199"/>
    </row>
    <row r="479">
      <c r="A479" s="247"/>
      <c r="B479" s="199"/>
      <c r="C479" s="247"/>
      <c r="D479" s="247"/>
      <c r="E479" s="195"/>
      <c r="F479" s="201"/>
      <c r="G479" s="195"/>
      <c r="H479" s="201"/>
      <c r="I479" s="195"/>
      <c r="J479" s="201"/>
      <c r="K479" s="193"/>
      <c r="L479" s="202"/>
      <c r="M479" s="195"/>
      <c r="N479" s="195"/>
      <c r="O479" s="195"/>
      <c r="P479" s="195"/>
      <c r="Q479" s="203"/>
      <c r="R479" s="198"/>
      <c r="S479" s="199"/>
      <c r="T479" s="199"/>
      <c r="U479" s="199"/>
      <c r="V479" s="199"/>
      <c r="W479" s="199"/>
      <c r="X479" s="199"/>
    </row>
    <row r="480">
      <c r="A480" s="247"/>
      <c r="B480" s="199"/>
      <c r="C480" s="247"/>
      <c r="D480" s="247"/>
      <c r="E480" s="195"/>
      <c r="F480" s="201"/>
      <c r="G480" s="195"/>
      <c r="H480" s="201"/>
      <c r="I480" s="195"/>
      <c r="J480" s="201"/>
      <c r="K480" s="193"/>
      <c r="L480" s="202"/>
      <c r="M480" s="195"/>
      <c r="N480" s="195"/>
      <c r="O480" s="195"/>
      <c r="P480" s="195"/>
      <c r="Q480" s="203"/>
      <c r="R480" s="198"/>
      <c r="S480" s="199"/>
      <c r="T480" s="199"/>
      <c r="U480" s="199"/>
      <c r="V480" s="199"/>
      <c r="W480" s="199"/>
      <c r="X480" s="199"/>
    </row>
    <row r="481">
      <c r="A481" s="247"/>
      <c r="B481" s="199"/>
      <c r="C481" s="247"/>
      <c r="D481" s="247"/>
      <c r="E481" s="195"/>
      <c r="F481" s="201"/>
      <c r="G481" s="195"/>
      <c r="H481" s="201"/>
      <c r="I481" s="195"/>
      <c r="J481" s="201"/>
      <c r="K481" s="193"/>
      <c r="L481" s="202"/>
      <c r="M481" s="195"/>
      <c r="N481" s="195"/>
      <c r="O481" s="195"/>
      <c r="P481" s="195"/>
      <c r="Q481" s="203"/>
      <c r="R481" s="198"/>
      <c r="S481" s="199"/>
      <c r="T481" s="199"/>
      <c r="U481" s="199"/>
      <c r="V481" s="199"/>
      <c r="W481" s="199"/>
      <c r="X481" s="199"/>
    </row>
    <row r="482">
      <c r="A482" s="247"/>
      <c r="B482" s="199"/>
      <c r="C482" s="247"/>
      <c r="D482" s="247"/>
      <c r="E482" s="195"/>
      <c r="F482" s="201"/>
      <c r="G482" s="195"/>
      <c r="H482" s="201"/>
      <c r="I482" s="195"/>
      <c r="J482" s="201"/>
      <c r="K482" s="193"/>
      <c r="L482" s="202"/>
      <c r="M482" s="195"/>
      <c r="N482" s="195"/>
      <c r="O482" s="195"/>
      <c r="P482" s="195"/>
      <c r="Q482" s="203"/>
      <c r="R482" s="198"/>
      <c r="S482" s="199"/>
      <c r="T482" s="199"/>
      <c r="U482" s="199"/>
      <c r="V482" s="199"/>
      <c r="W482" s="199"/>
      <c r="X482" s="199"/>
    </row>
    <row r="483">
      <c r="A483" s="247"/>
      <c r="B483" s="199"/>
      <c r="C483" s="247"/>
      <c r="D483" s="247"/>
      <c r="E483" s="195"/>
      <c r="F483" s="201"/>
      <c r="G483" s="195"/>
      <c r="H483" s="201"/>
      <c r="I483" s="195"/>
      <c r="J483" s="201"/>
      <c r="K483" s="193"/>
      <c r="L483" s="202"/>
      <c r="M483" s="195"/>
      <c r="N483" s="195"/>
      <c r="O483" s="195"/>
      <c r="P483" s="195"/>
      <c r="Q483" s="203"/>
      <c r="R483" s="198"/>
      <c r="S483" s="199"/>
      <c r="T483" s="199"/>
      <c r="U483" s="199"/>
      <c r="V483" s="199"/>
      <c r="W483" s="199"/>
      <c r="X483" s="199"/>
    </row>
    <row r="484">
      <c r="A484" s="247"/>
      <c r="B484" s="199"/>
      <c r="C484" s="247"/>
      <c r="D484" s="247"/>
      <c r="E484" s="195"/>
      <c r="F484" s="201"/>
      <c r="G484" s="195"/>
      <c r="H484" s="201"/>
      <c r="I484" s="195"/>
      <c r="J484" s="201"/>
      <c r="K484" s="193"/>
      <c r="L484" s="202"/>
      <c r="M484" s="195"/>
      <c r="N484" s="195"/>
      <c r="O484" s="195"/>
      <c r="P484" s="195"/>
      <c r="Q484" s="203"/>
      <c r="R484" s="198"/>
      <c r="S484" s="199"/>
      <c r="T484" s="199"/>
      <c r="U484" s="199"/>
      <c r="V484" s="199"/>
      <c r="W484" s="199"/>
      <c r="X484" s="199"/>
    </row>
    <row r="485">
      <c r="A485" s="247"/>
      <c r="B485" s="199"/>
      <c r="C485" s="247"/>
      <c r="D485" s="247"/>
      <c r="E485" s="195"/>
      <c r="F485" s="201"/>
      <c r="G485" s="195"/>
      <c r="H485" s="201"/>
      <c r="I485" s="195"/>
      <c r="J485" s="201"/>
      <c r="K485" s="193"/>
      <c r="L485" s="202"/>
      <c r="M485" s="195"/>
      <c r="N485" s="195"/>
      <c r="O485" s="195"/>
      <c r="P485" s="195"/>
      <c r="Q485" s="203"/>
      <c r="R485" s="198"/>
      <c r="S485" s="199"/>
      <c r="T485" s="199"/>
      <c r="U485" s="199"/>
      <c r="V485" s="199"/>
      <c r="W485" s="199"/>
      <c r="X485" s="199"/>
    </row>
    <row r="486">
      <c r="A486" s="247"/>
      <c r="B486" s="199"/>
      <c r="C486" s="247"/>
      <c r="D486" s="247"/>
      <c r="E486" s="195"/>
      <c r="F486" s="201"/>
      <c r="G486" s="195"/>
      <c r="H486" s="201"/>
      <c r="I486" s="195"/>
      <c r="J486" s="201"/>
      <c r="K486" s="193"/>
      <c r="L486" s="202"/>
      <c r="M486" s="195"/>
      <c r="N486" s="195"/>
      <c r="O486" s="195"/>
      <c r="P486" s="195"/>
      <c r="Q486" s="203"/>
      <c r="R486" s="198"/>
      <c r="S486" s="199"/>
      <c r="T486" s="199"/>
      <c r="U486" s="199"/>
      <c r="V486" s="199"/>
      <c r="W486" s="199"/>
      <c r="X486" s="199"/>
    </row>
    <row r="487">
      <c r="A487" s="247"/>
      <c r="B487" s="199"/>
      <c r="C487" s="247"/>
      <c r="D487" s="247"/>
      <c r="E487" s="195"/>
      <c r="F487" s="201"/>
      <c r="G487" s="195"/>
      <c r="H487" s="201"/>
      <c r="I487" s="195"/>
      <c r="J487" s="201"/>
      <c r="K487" s="193"/>
      <c r="L487" s="202"/>
      <c r="M487" s="195"/>
      <c r="N487" s="195"/>
      <c r="O487" s="195"/>
      <c r="P487" s="195"/>
      <c r="Q487" s="203"/>
      <c r="R487" s="198"/>
      <c r="S487" s="199"/>
      <c r="T487" s="199"/>
      <c r="U487" s="199"/>
      <c r="V487" s="199"/>
      <c r="W487" s="199"/>
      <c r="X487" s="199"/>
    </row>
    <row r="488">
      <c r="A488" s="247"/>
      <c r="B488" s="199"/>
      <c r="C488" s="247"/>
      <c r="D488" s="247"/>
      <c r="E488" s="195"/>
      <c r="F488" s="201"/>
      <c r="G488" s="195"/>
      <c r="H488" s="201"/>
      <c r="I488" s="195"/>
      <c r="J488" s="201"/>
      <c r="K488" s="193"/>
      <c r="L488" s="202"/>
      <c r="M488" s="195"/>
      <c r="N488" s="195"/>
      <c r="O488" s="195"/>
      <c r="P488" s="195"/>
      <c r="Q488" s="203"/>
      <c r="R488" s="198"/>
      <c r="S488" s="199"/>
      <c r="T488" s="199"/>
      <c r="U488" s="199"/>
      <c r="V488" s="199"/>
      <c r="W488" s="199"/>
      <c r="X488" s="199"/>
    </row>
    <row r="489">
      <c r="A489" s="247"/>
      <c r="B489" s="199"/>
      <c r="C489" s="247"/>
      <c r="D489" s="247"/>
      <c r="E489" s="195"/>
      <c r="F489" s="201"/>
      <c r="G489" s="195"/>
      <c r="H489" s="201"/>
      <c r="I489" s="195"/>
      <c r="J489" s="201"/>
      <c r="K489" s="193"/>
      <c r="L489" s="202"/>
      <c r="M489" s="195"/>
      <c r="N489" s="195"/>
      <c r="O489" s="195"/>
      <c r="P489" s="195"/>
      <c r="Q489" s="203"/>
      <c r="R489" s="198"/>
      <c r="S489" s="199"/>
      <c r="T489" s="199"/>
      <c r="U489" s="199"/>
      <c r="V489" s="199"/>
      <c r="W489" s="199"/>
      <c r="X489" s="199"/>
    </row>
    <row r="490">
      <c r="A490" s="247"/>
      <c r="B490" s="199"/>
      <c r="C490" s="247"/>
      <c r="D490" s="247"/>
      <c r="E490" s="195"/>
      <c r="F490" s="201"/>
      <c r="G490" s="195"/>
      <c r="H490" s="201"/>
      <c r="I490" s="195"/>
      <c r="J490" s="201"/>
      <c r="K490" s="193"/>
      <c r="L490" s="202"/>
      <c r="M490" s="195"/>
      <c r="N490" s="195"/>
      <c r="O490" s="195"/>
      <c r="P490" s="195"/>
      <c r="Q490" s="203"/>
      <c r="R490" s="198"/>
      <c r="S490" s="199"/>
      <c r="T490" s="199"/>
      <c r="U490" s="199"/>
      <c r="V490" s="199"/>
      <c r="W490" s="199"/>
      <c r="X490" s="199"/>
    </row>
    <row r="491">
      <c r="A491" s="247"/>
      <c r="B491" s="199"/>
      <c r="C491" s="247"/>
      <c r="D491" s="247"/>
      <c r="E491" s="195"/>
      <c r="F491" s="201"/>
      <c r="G491" s="195"/>
      <c r="H491" s="201"/>
      <c r="I491" s="195"/>
      <c r="J491" s="201"/>
      <c r="K491" s="193"/>
      <c r="L491" s="202"/>
      <c r="M491" s="195"/>
      <c r="N491" s="195"/>
      <c r="O491" s="195"/>
      <c r="P491" s="195"/>
      <c r="Q491" s="203"/>
      <c r="R491" s="198"/>
      <c r="S491" s="199"/>
      <c r="T491" s="199"/>
      <c r="U491" s="199"/>
      <c r="V491" s="199"/>
      <c r="W491" s="199"/>
      <c r="X491" s="199"/>
    </row>
    <row r="492">
      <c r="A492" s="247"/>
      <c r="B492" s="199"/>
      <c r="C492" s="247"/>
      <c r="D492" s="247"/>
      <c r="E492" s="195"/>
      <c r="F492" s="201"/>
      <c r="G492" s="195"/>
      <c r="H492" s="201"/>
      <c r="I492" s="195"/>
      <c r="J492" s="201"/>
      <c r="K492" s="193"/>
      <c r="L492" s="202"/>
      <c r="M492" s="195"/>
      <c r="N492" s="195"/>
      <c r="O492" s="195"/>
      <c r="P492" s="195"/>
      <c r="Q492" s="203"/>
      <c r="R492" s="198"/>
      <c r="S492" s="199"/>
      <c r="T492" s="199"/>
      <c r="U492" s="199"/>
      <c r="V492" s="199"/>
      <c r="W492" s="199"/>
      <c r="X492" s="199"/>
    </row>
    <row r="493">
      <c r="A493" s="247"/>
      <c r="B493" s="199"/>
      <c r="C493" s="247"/>
      <c r="D493" s="247"/>
      <c r="E493" s="195"/>
      <c r="F493" s="201"/>
      <c r="G493" s="195"/>
      <c r="H493" s="201"/>
      <c r="I493" s="195"/>
      <c r="J493" s="201"/>
      <c r="K493" s="193"/>
      <c r="L493" s="202"/>
      <c r="M493" s="195"/>
      <c r="N493" s="195"/>
      <c r="O493" s="195"/>
      <c r="P493" s="195"/>
      <c r="Q493" s="203"/>
      <c r="R493" s="198"/>
      <c r="S493" s="199"/>
      <c r="T493" s="199"/>
      <c r="U493" s="199"/>
      <c r="V493" s="199"/>
      <c r="W493" s="199"/>
      <c r="X493" s="199"/>
    </row>
    <row r="494">
      <c r="A494" s="247"/>
      <c r="B494" s="199"/>
      <c r="C494" s="247"/>
      <c r="D494" s="247"/>
      <c r="E494" s="195"/>
      <c r="F494" s="201"/>
      <c r="G494" s="195"/>
      <c r="H494" s="201"/>
      <c r="I494" s="195"/>
      <c r="J494" s="201"/>
      <c r="K494" s="193"/>
      <c r="L494" s="202"/>
      <c r="M494" s="195"/>
      <c r="N494" s="195"/>
      <c r="O494" s="195"/>
      <c r="P494" s="195"/>
      <c r="Q494" s="203"/>
      <c r="R494" s="198"/>
      <c r="S494" s="199"/>
      <c r="T494" s="199"/>
      <c r="U494" s="199"/>
      <c r="V494" s="199"/>
      <c r="W494" s="199"/>
      <c r="X494" s="199"/>
    </row>
    <row r="495">
      <c r="A495" s="247"/>
      <c r="B495" s="199"/>
      <c r="C495" s="247"/>
      <c r="D495" s="247"/>
      <c r="E495" s="195"/>
      <c r="F495" s="201"/>
      <c r="G495" s="195"/>
      <c r="H495" s="201"/>
      <c r="I495" s="195"/>
      <c r="J495" s="201"/>
      <c r="K495" s="193"/>
      <c r="L495" s="202"/>
      <c r="M495" s="195"/>
      <c r="N495" s="195"/>
      <c r="O495" s="195"/>
      <c r="P495" s="195"/>
      <c r="Q495" s="203"/>
      <c r="R495" s="198"/>
      <c r="S495" s="199"/>
      <c r="T495" s="199"/>
      <c r="U495" s="199"/>
      <c r="V495" s="199"/>
      <c r="W495" s="199"/>
      <c r="X495" s="199"/>
    </row>
    <row r="496">
      <c r="A496" s="247"/>
      <c r="B496" s="199"/>
      <c r="C496" s="247"/>
      <c r="D496" s="247"/>
      <c r="E496" s="195"/>
      <c r="F496" s="201"/>
      <c r="G496" s="195"/>
      <c r="H496" s="201"/>
      <c r="I496" s="195"/>
      <c r="J496" s="201"/>
      <c r="K496" s="193"/>
      <c r="L496" s="202"/>
      <c r="M496" s="195"/>
      <c r="N496" s="195"/>
      <c r="O496" s="195"/>
      <c r="P496" s="195"/>
      <c r="Q496" s="203"/>
      <c r="R496" s="198"/>
      <c r="S496" s="199"/>
      <c r="T496" s="199"/>
      <c r="U496" s="199"/>
      <c r="V496" s="199"/>
      <c r="W496" s="199"/>
      <c r="X496" s="199"/>
    </row>
    <row r="497">
      <c r="A497" s="247"/>
      <c r="B497" s="199"/>
      <c r="C497" s="247"/>
      <c r="D497" s="247"/>
      <c r="E497" s="195"/>
      <c r="F497" s="201"/>
      <c r="G497" s="195"/>
      <c r="H497" s="201"/>
      <c r="I497" s="195"/>
      <c r="J497" s="201"/>
      <c r="K497" s="193"/>
      <c r="L497" s="202"/>
      <c r="M497" s="195"/>
      <c r="N497" s="195"/>
      <c r="O497" s="195"/>
      <c r="P497" s="195"/>
      <c r="Q497" s="203"/>
      <c r="R497" s="198"/>
      <c r="S497" s="199"/>
      <c r="T497" s="199"/>
      <c r="U497" s="199"/>
      <c r="V497" s="199"/>
      <c r="W497" s="199"/>
      <c r="X497" s="199"/>
    </row>
    <row r="498">
      <c r="A498" s="247"/>
      <c r="B498" s="199"/>
      <c r="C498" s="247"/>
      <c r="D498" s="247"/>
      <c r="E498" s="195"/>
      <c r="F498" s="201"/>
      <c r="G498" s="195"/>
      <c r="H498" s="201"/>
      <c r="I498" s="195"/>
      <c r="J498" s="201"/>
      <c r="K498" s="193"/>
      <c r="L498" s="202"/>
      <c r="M498" s="195"/>
      <c r="N498" s="195"/>
      <c r="O498" s="195"/>
      <c r="P498" s="195"/>
      <c r="Q498" s="203"/>
      <c r="R498" s="198"/>
      <c r="S498" s="199"/>
      <c r="T498" s="199"/>
      <c r="U498" s="199"/>
      <c r="V498" s="199"/>
      <c r="W498" s="199"/>
      <c r="X498" s="199"/>
    </row>
    <row r="499">
      <c r="A499" s="247"/>
      <c r="B499" s="199"/>
      <c r="C499" s="247"/>
      <c r="D499" s="247"/>
      <c r="E499" s="195"/>
      <c r="F499" s="201"/>
      <c r="G499" s="195"/>
      <c r="H499" s="201"/>
      <c r="I499" s="195"/>
      <c r="J499" s="201"/>
      <c r="K499" s="193"/>
      <c r="L499" s="202"/>
      <c r="M499" s="195"/>
      <c r="N499" s="195"/>
      <c r="O499" s="195"/>
      <c r="P499" s="195"/>
      <c r="Q499" s="203"/>
      <c r="R499" s="198"/>
      <c r="S499" s="199"/>
      <c r="T499" s="199"/>
      <c r="U499" s="199"/>
      <c r="V499" s="199"/>
      <c r="W499" s="199"/>
      <c r="X499" s="199"/>
    </row>
    <row r="500">
      <c r="A500" s="247"/>
      <c r="B500" s="199"/>
      <c r="C500" s="247"/>
      <c r="D500" s="247"/>
      <c r="E500" s="195"/>
      <c r="F500" s="201"/>
      <c r="G500" s="195"/>
      <c r="H500" s="201"/>
      <c r="I500" s="195"/>
      <c r="J500" s="201"/>
      <c r="K500" s="193"/>
      <c r="L500" s="202"/>
      <c r="M500" s="195"/>
      <c r="N500" s="195"/>
      <c r="O500" s="195"/>
      <c r="P500" s="195"/>
      <c r="Q500" s="203"/>
      <c r="R500" s="198"/>
      <c r="S500" s="199"/>
      <c r="T500" s="199"/>
      <c r="U500" s="199"/>
      <c r="V500" s="199"/>
      <c r="W500" s="199"/>
      <c r="X500" s="199"/>
    </row>
    <row r="501">
      <c r="A501" s="247"/>
      <c r="B501" s="199"/>
      <c r="C501" s="247"/>
      <c r="D501" s="247"/>
      <c r="E501" s="195"/>
      <c r="F501" s="201"/>
      <c r="G501" s="195"/>
      <c r="H501" s="201"/>
      <c r="I501" s="195"/>
      <c r="J501" s="201"/>
      <c r="K501" s="193"/>
      <c r="L501" s="202"/>
      <c r="M501" s="195"/>
      <c r="N501" s="195"/>
      <c r="O501" s="195"/>
      <c r="P501" s="195"/>
      <c r="Q501" s="203"/>
      <c r="R501" s="198"/>
      <c r="S501" s="199"/>
      <c r="T501" s="199"/>
      <c r="U501" s="199"/>
      <c r="V501" s="199"/>
      <c r="W501" s="199"/>
      <c r="X501" s="199"/>
    </row>
    <row r="502">
      <c r="A502" s="247"/>
      <c r="B502" s="199"/>
      <c r="C502" s="247"/>
      <c r="D502" s="247"/>
      <c r="E502" s="195"/>
      <c r="F502" s="201"/>
      <c r="G502" s="195"/>
      <c r="H502" s="201"/>
      <c r="I502" s="195"/>
      <c r="J502" s="201"/>
      <c r="K502" s="193"/>
      <c r="L502" s="202"/>
      <c r="M502" s="195"/>
      <c r="N502" s="195"/>
      <c r="O502" s="195"/>
      <c r="P502" s="195"/>
      <c r="Q502" s="203"/>
      <c r="R502" s="198"/>
      <c r="S502" s="199"/>
      <c r="T502" s="199"/>
      <c r="U502" s="199"/>
      <c r="V502" s="199"/>
      <c r="W502" s="199"/>
      <c r="X502" s="199"/>
    </row>
    <row r="503">
      <c r="A503" s="247"/>
      <c r="B503" s="199"/>
      <c r="C503" s="247"/>
      <c r="D503" s="247"/>
      <c r="E503" s="195"/>
      <c r="F503" s="201"/>
      <c r="G503" s="195"/>
      <c r="H503" s="201"/>
      <c r="I503" s="195"/>
      <c r="J503" s="201"/>
      <c r="K503" s="193"/>
      <c r="L503" s="202"/>
      <c r="M503" s="195"/>
      <c r="N503" s="195"/>
      <c r="O503" s="195"/>
      <c r="P503" s="195"/>
      <c r="Q503" s="203"/>
      <c r="R503" s="198"/>
      <c r="S503" s="199"/>
      <c r="T503" s="199"/>
      <c r="U503" s="199"/>
      <c r="V503" s="199"/>
      <c r="W503" s="199"/>
      <c r="X503" s="199"/>
    </row>
    <row r="504">
      <c r="A504" s="247"/>
      <c r="B504" s="199"/>
      <c r="C504" s="247"/>
      <c r="D504" s="247"/>
      <c r="E504" s="195"/>
      <c r="F504" s="201"/>
      <c r="G504" s="195"/>
      <c r="H504" s="201"/>
      <c r="I504" s="195"/>
      <c r="J504" s="201"/>
      <c r="K504" s="193"/>
      <c r="L504" s="202"/>
      <c r="M504" s="195"/>
      <c r="N504" s="195"/>
      <c r="O504" s="195"/>
      <c r="P504" s="195"/>
      <c r="Q504" s="203"/>
      <c r="R504" s="198"/>
      <c r="S504" s="199"/>
      <c r="T504" s="199"/>
      <c r="U504" s="199"/>
      <c r="V504" s="199"/>
      <c r="W504" s="199"/>
      <c r="X504" s="199"/>
    </row>
    <row r="505">
      <c r="A505" s="247"/>
      <c r="B505" s="199"/>
      <c r="C505" s="247"/>
      <c r="D505" s="247"/>
      <c r="E505" s="195"/>
      <c r="F505" s="201"/>
      <c r="G505" s="195"/>
      <c r="H505" s="201"/>
      <c r="I505" s="195"/>
      <c r="J505" s="201"/>
      <c r="K505" s="193"/>
      <c r="L505" s="202"/>
      <c r="M505" s="195"/>
      <c r="N505" s="195"/>
      <c r="O505" s="195"/>
      <c r="P505" s="195"/>
      <c r="Q505" s="203"/>
      <c r="R505" s="198"/>
      <c r="S505" s="199"/>
      <c r="T505" s="199"/>
      <c r="U505" s="199"/>
      <c r="V505" s="199"/>
      <c r="W505" s="199"/>
      <c r="X505" s="199"/>
    </row>
    <row r="506">
      <c r="A506" s="247"/>
      <c r="B506" s="199"/>
      <c r="C506" s="247"/>
      <c r="D506" s="247"/>
      <c r="E506" s="195"/>
      <c r="F506" s="201"/>
      <c r="G506" s="195"/>
      <c r="H506" s="201"/>
      <c r="I506" s="195"/>
      <c r="J506" s="201"/>
      <c r="K506" s="193"/>
      <c r="L506" s="202"/>
      <c r="M506" s="195"/>
      <c r="N506" s="195"/>
      <c r="O506" s="195"/>
      <c r="P506" s="195"/>
      <c r="Q506" s="203"/>
      <c r="R506" s="198"/>
      <c r="S506" s="199"/>
      <c r="T506" s="199"/>
      <c r="U506" s="199"/>
      <c r="V506" s="199"/>
      <c r="W506" s="199"/>
      <c r="X506" s="199"/>
    </row>
    <row r="507">
      <c r="A507" s="247"/>
      <c r="B507" s="199"/>
      <c r="C507" s="247"/>
      <c r="D507" s="247"/>
      <c r="E507" s="195"/>
      <c r="F507" s="201"/>
      <c r="G507" s="195"/>
      <c r="H507" s="201"/>
      <c r="I507" s="195"/>
      <c r="J507" s="201"/>
      <c r="K507" s="193"/>
      <c r="L507" s="202"/>
      <c r="M507" s="195"/>
      <c r="N507" s="195"/>
      <c r="O507" s="195"/>
      <c r="P507" s="195"/>
      <c r="Q507" s="203"/>
      <c r="R507" s="198"/>
      <c r="S507" s="199"/>
      <c r="T507" s="199"/>
      <c r="U507" s="199"/>
      <c r="V507" s="199"/>
      <c r="W507" s="199"/>
      <c r="X507" s="199"/>
    </row>
    <row r="508">
      <c r="A508" s="247"/>
      <c r="B508" s="199"/>
      <c r="C508" s="247"/>
      <c r="D508" s="247"/>
      <c r="E508" s="195"/>
      <c r="F508" s="201"/>
      <c r="G508" s="195"/>
      <c r="H508" s="201"/>
      <c r="I508" s="195"/>
      <c r="J508" s="201"/>
      <c r="K508" s="193"/>
      <c r="L508" s="202"/>
      <c r="M508" s="195"/>
      <c r="N508" s="195"/>
      <c r="O508" s="195"/>
      <c r="P508" s="195"/>
      <c r="Q508" s="203"/>
      <c r="R508" s="198"/>
      <c r="S508" s="199"/>
      <c r="T508" s="199"/>
      <c r="U508" s="199"/>
      <c r="V508" s="199"/>
      <c r="W508" s="199"/>
      <c r="X508" s="199"/>
    </row>
    <row r="509">
      <c r="A509" s="247"/>
      <c r="B509" s="199"/>
      <c r="C509" s="247"/>
      <c r="D509" s="247"/>
      <c r="E509" s="195"/>
      <c r="F509" s="201"/>
      <c r="G509" s="195"/>
      <c r="H509" s="201"/>
      <c r="I509" s="195"/>
      <c r="J509" s="201"/>
      <c r="K509" s="193"/>
      <c r="L509" s="202"/>
      <c r="M509" s="195"/>
      <c r="N509" s="195"/>
      <c r="O509" s="195"/>
      <c r="P509" s="195"/>
      <c r="Q509" s="203"/>
      <c r="R509" s="198"/>
      <c r="S509" s="199"/>
      <c r="T509" s="199"/>
      <c r="U509" s="199"/>
      <c r="V509" s="199"/>
      <c r="W509" s="199"/>
      <c r="X509" s="199"/>
    </row>
    <row r="510">
      <c r="A510" s="247"/>
      <c r="B510" s="199"/>
      <c r="C510" s="247"/>
      <c r="D510" s="247"/>
      <c r="E510" s="195"/>
      <c r="F510" s="201"/>
      <c r="G510" s="195"/>
      <c r="H510" s="201"/>
      <c r="I510" s="195"/>
      <c r="J510" s="201"/>
      <c r="K510" s="193"/>
      <c r="L510" s="202"/>
      <c r="M510" s="195"/>
      <c r="N510" s="195"/>
      <c r="O510" s="195"/>
      <c r="P510" s="195"/>
      <c r="Q510" s="203"/>
      <c r="R510" s="198"/>
      <c r="S510" s="199"/>
      <c r="T510" s="199"/>
      <c r="U510" s="199"/>
      <c r="V510" s="199"/>
      <c r="W510" s="199"/>
      <c r="X510" s="199"/>
    </row>
    <row r="511">
      <c r="A511" s="247"/>
      <c r="B511" s="199"/>
      <c r="C511" s="247"/>
      <c r="D511" s="247"/>
      <c r="E511" s="195"/>
      <c r="F511" s="201"/>
      <c r="G511" s="195"/>
      <c r="H511" s="201"/>
      <c r="I511" s="195"/>
      <c r="J511" s="201"/>
      <c r="K511" s="193"/>
      <c r="L511" s="202"/>
      <c r="M511" s="195"/>
      <c r="N511" s="195"/>
      <c r="O511" s="195"/>
      <c r="P511" s="195"/>
      <c r="Q511" s="203"/>
      <c r="R511" s="198"/>
      <c r="S511" s="199"/>
      <c r="T511" s="199"/>
      <c r="U511" s="199"/>
      <c r="V511" s="199"/>
      <c r="W511" s="199"/>
      <c r="X511" s="199"/>
    </row>
    <row r="512">
      <c r="A512" s="247"/>
      <c r="B512" s="199"/>
      <c r="C512" s="247"/>
      <c r="D512" s="247"/>
      <c r="E512" s="195"/>
      <c r="F512" s="201"/>
      <c r="G512" s="195"/>
      <c r="H512" s="201"/>
      <c r="I512" s="195"/>
      <c r="J512" s="201"/>
      <c r="K512" s="193"/>
      <c r="L512" s="202"/>
      <c r="M512" s="195"/>
      <c r="N512" s="195"/>
      <c r="O512" s="195"/>
      <c r="P512" s="195"/>
      <c r="Q512" s="203"/>
      <c r="R512" s="198"/>
      <c r="S512" s="199"/>
      <c r="T512" s="199"/>
      <c r="U512" s="199"/>
      <c r="V512" s="199"/>
      <c r="W512" s="199"/>
      <c r="X512" s="199"/>
    </row>
    <row r="513">
      <c r="A513" s="247"/>
      <c r="B513" s="199"/>
      <c r="C513" s="247"/>
      <c r="D513" s="247"/>
      <c r="E513" s="195"/>
      <c r="F513" s="201"/>
      <c r="G513" s="195"/>
      <c r="H513" s="201"/>
      <c r="I513" s="195"/>
      <c r="J513" s="201"/>
      <c r="K513" s="193"/>
      <c r="L513" s="202"/>
      <c r="M513" s="195"/>
      <c r="N513" s="195"/>
      <c r="O513" s="195"/>
      <c r="P513" s="195"/>
      <c r="Q513" s="203"/>
      <c r="R513" s="198"/>
      <c r="S513" s="199"/>
      <c r="T513" s="199"/>
      <c r="U513" s="199"/>
      <c r="V513" s="199"/>
      <c r="W513" s="199"/>
      <c r="X513" s="199"/>
    </row>
    <row r="514">
      <c r="A514" s="247"/>
      <c r="B514" s="199"/>
      <c r="C514" s="247"/>
      <c r="D514" s="247"/>
      <c r="E514" s="195"/>
      <c r="F514" s="201"/>
      <c r="G514" s="195"/>
      <c r="H514" s="201"/>
      <c r="I514" s="195"/>
      <c r="J514" s="201"/>
      <c r="K514" s="193"/>
      <c r="L514" s="202"/>
      <c r="M514" s="195"/>
      <c r="N514" s="195"/>
      <c r="O514" s="195"/>
      <c r="P514" s="195"/>
      <c r="Q514" s="203"/>
      <c r="R514" s="198"/>
      <c r="S514" s="199"/>
      <c r="T514" s="199"/>
      <c r="U514" s="199"/>
      <c r="V514" s="199"/>
      <c r="W514" s="199"/>
      <c r="X514" s="199"/>
    </row>
    <row r="515">
      <c r="A515" s="247"/>
      <c r="B515" s="199"/>
      <c r="C515" s="247"/>
      <c r="D515" s="247"/>
      <c r="E515" s="195"/>
      <c r="F515" s="201"/>
      <c r="G515" s="195"/>
      <c r="H515" s="201"/>
      <c r="I515" s="195"/>
      <c r="J515" s="201"/>
      <c r="K515" s="193"/>
      <c r="L515" s="202"/>
      <c r="M515" s="195"/>
      <c r="N515" s="195"/>
      <c r="O515" s="195"/>
      <c r="P515" s="195"/>
      <c r="Q515" s="203"/>
      <c r="R515" s="198"/>
      <c r="S515" s="199"/>
      <c r="T515" s="199"/>
      <c r="U515" s="199"/>
      <c r="V515" s="199"/>
      <c r="W515" s="199"/>
      <c r="X515" s="199"/>
    </row>
    <row r="516">
      <c r="A516" s="247"/>
      <c r="B516" s="199"/>
      <c r="C516" s="247"/>
      <c r="D516" s="247"/>
      <c r="E516" s="195"/>
      <c r="F516" s="201"/>
      <c r="G516" s="195"/>
      <c r="H516" s="201"/>
      <c r="I516" s="195"/>
      <c r="J516" s="201"/>
      <c r="K516" s="193"/>
      <c r="L516" s="202"/>
      <c r="M516" s="195"/>
      <c r="N516" s="195"/>
      <c r="O516" s="195"/>
      <c r="P516" s="195"/>
      <c r="Q516" s="203"/>
      <c r="R516" s="198"/>
      <c r="S516" s="199"/>
      <c r="T516" s="199"/>
      <c r="U516" s="199"/>
      <c r="V516" s="199"/>
      <c r="W516" s="199"/>
      <c r="X516" s="199"/>
    </row>
    <row r="517">
      <c r="A517" s="247"/>
      <c r="B517" s="199"/>
      <c r="C517" s="247"/>
      <c r="D517" s="247"/>
      <c r="E517" s="195"/>
      <c r="F517" s="201"/>
      <c r="G517" s="195"/>
      <c r="H517" s="201"/>
      <c r="I517" s="195"/>
      <c r="J517" s="201"/>
      <c r="K517" s="193"/>
      <c r="L517" s="202"/>
      <c r="M517" s="195"/>
      <c r="N517" s="195"/>
      <c r="O517" s="195"/>
      <c r="P517" s="195"/>
      <c r="Q517" s="203"/>
      <c r="R517" s="198"/>
      <c r="S517" s="199"/>
      <c r="T517" s="199"/>
      <c r="U517" s="199"/>
      <c r="V517" s="199"/>
      <c r="W517" s="199"/>
      <c r="X517" s="199"/>
    </row>
    <row r="518">
      <c r="A518" s="247"/>
      <c r="B518" s="199"/>
      <c r="C518" s="247"/>
      <c r="D518" s="247"/>
      <c r="E518" s="195"/>
      <c r="F518" s="201"/>
      <c r="G518" s="195"/>
      <c r="H518" s="201"/>
      <c r="I518" s="195"/>
      <c r="J518" s="201"/>
      <c r="K518" s="193"/>
      <c r="L518" s="202"/>
      <c r="M518" s="195"/>
      <c r="N518" s="195"/>
      <c r="O518" s="195"/>
      <c r="P518" s="195"/>
      <c r="Q518" s="203"/>
      <c r="R518" s="198"/>
      <c r="S518" s="199"/>
      <c r="T518" s="199"/>
      <c r="U518" s="199"/>
      <c r="V518" s="199"/>
      <c r="W518" s="199"/>
      <c r="X518" s="199"/>
    </row>
    <row r="519">
      <c r="A519" s="247"/>
      <c r="B519" s="199"/>
      <c r="C519" s="247"/>
      <c r="D519" s="247"/>
      <c r="E519" s="195"/>
      <c r="F519" s="201"/>
      <c r="G519" s="195"/>
      <c r="H519" s="201"/>
      <c r="I519" s="195"/>
      <c r="J519" s="201"/>
      <c r="K519" s="193"/>
      <c r="L519" s="202"/>
      <c r="M519" s="195"/>
      <c r="N519" s="195"/>
      <c r="O519" s="195"/>
      <c r="P519" s="195"/>
      <c r="Q519" s="203"/>
      <c r="R519" s="198"/>
      <c r="S519" s="199"/>
      <c r="T519" s="199"/>
      <c r="U519" s="199"/>
      <c r="V519" s="199"/>
      <c r="W519" s="199"/>
      <c r="X519" s="199"/>
    </row>
    <row r="520">
      <c r="A520" s="247"/>
      <c r="B520" s="199"/>
      <c r="C520" s="247"/>
      <c r="D520" s="247"/>
      <c r="E520" s="195"/>
      <c r="F520" s="201"/>
      <c r="G520" s="195"/>
      <c r="H520" s="201"/>
      <c r="I520" s="195"/>
      <c r="J520" s="201"/>
      <c r="K520" s="193"/>
      <c r="L520" s="202"/>
      <c r="M520" s="195"/>
      <c r="N520" s="195"/>
      <c r="O520" s="195"/>
      <c r="P520" s="195"/>
      <c r="Q520" s="203"/>
      <c r="R520" s="198"/>
      <c r="S520" s="199"/>
      <c r="T520" s="199"/>
      <c r="U520" s="199"/>
      <c r="V520" s="199"/>
      <c r="W520" s="199"/>
      <c r="X520" s="199"/>
    </row>
    <row r="521">
      <c r="A521" s="247"/>
      <c r="B521" s="199"/>
      <c r="C521" s="247"/>
      <c r="D521" s="247"/>
      <c r="E521" s="195"/>
      <c r="F521" s="201"/>
      <c r="G521" s="195"/>
      <c r="H521" s="201"/>
      <c r="I521" s="195"/>
      <c r="J521" s="201"/>
      <c r="K521" s="193"/>
      <c r="L521" s="202"/>
      <c r="M521" s="195"/>
      <c r="N521" s="195"/>
      <c r="O521" s="195"/>
      <c r="P521" s="195"/>
      <c r="Q521" s="203"/>
      <c r="R521" s="198"/>
      <c r="S521" s="199"/>
      <c r="T521" s="199"/>
      <c r="U521" s="199"/>
      <c r="V521" s="199"/>
      <c r="W521" s="199"/>
      <c r="X521" s="199"/>
    </row>
    <row r="522">
      <c r="A522" s="247"/>
      <c r="B522" s="199"/>
      <c r="C522" s="247"/>
      <c r="D522" s="247"/>
      <c r="E522" s="195"/>
      <c r="F522" s="201"/>
      <c r="G522" s="195"/>
      <c r="H522" s="201"/>
      <c r="I522" s="195"/>
      <c r="J522" s="201"/>
      <c r="K522" s="193"/>
      <c r="L522" s="202"/>
      <c r="M522" s="195"/>
      <c r="N522" s="195"/>
      <c r="O522" s="195"/>
      <c r="P522" s="195"/>
      <c r="Q522" s="203"/>
      <c r="R522" s="198"/>
      <c r="S522" s="199"/>
      <c r="T522" s="199"/>
      <c r="U522" s="199"/>
      <c r="V522" s="199"/>
      <c r="W522" s="199"/>
      <c r="X522" s="199"/>
    </row>
    <row r="523">
      <c r="A523" s="247"/>
      <c r="B523" s="199"/>
      <c r="C523" s="247"/>
      <c r="D523" s="247"/>
      <c r="E523" s="195"/>
      <c r="F523" s="201"/>
      <c r="G523" s="195"/>
      <c r="H523" s="201"/>
      <c r="I523" s="195"/>
      <c r="J523" s="201"/>
      <c r="K523" s="193"/>
      <c r="L523" s="202"/>
      <c r="M523" s="195"/>
      <c r="N523" s="195"/>
      <c r="O523" s="195"/>
      <c r="P523" s="195"/>
      <c r="Q523" s="203"/>
      <c r="R523" s="198"/>
      <c r="S523" s="199"/>
      <c r="T523" s="199"/>
      <c r="U523" s="199"/>
      <c r="V523" s="199"/>
      <c r="W523" s="199"/>
      <c r="X523" s="199"/>
    </row>
    <row r="524">
      <c r="A524" s="247"/>
      <c r="B524" s="199"/>
      <c r="C524" s="247"/>
      <c r="D524" s="247"/>
      <c r="E524" s="195"/>
      <c r="F524" s="201"/>
      <c r="G524" s="195"/>
      <c r="H524" s="201"/>
      <c r="I524" s="195"/>
      <c r="J524" s="201"/>
      <c r="K524" s="193"/>
      <c r="L524" s="202"/>
      <c r="M524" s="195"/>
      <c r="N524" s="195"/>
      <c r="O524" s="195"/>
      <c r="P524" s="195"/>
      <c r="Q524" s="203"/>
      <c r="R524" s="198"/>
      <c r="S524" s="199"/>
      <c r="T524" s="199"/>
      <c r="U524" s="199"/>
      <c r="V524" s="199"/>
      <c r="W524" s="199"/>
      <c r="X524" s="199"/>
    </row>
    <row r="525">
      <c r="A525" s="247"/>
      <c r="B525" s="199"/>
      <c r="C525" s="247"/>
      <c r="D525" s="247"/>
      <c r="E525" s="195"/>
      <c r="F525" s="201"/>
      <c r="G525" s="195"/>
      <c r="H525" s="201"/>
      <c r="I525" s="195"/>
      <c r="J525" s="201"/>
      <c r="K525" s="193"/>
      <c r="L525" s="202"/>
      <c r="M525" s="195"/>
      <c r="N525" s="195"/>
      <c r="O525" s="195"/>
      <c r="P525" s="195"/>
      <c r="Q525" s="203"/>
      <c r="R525" s="198"/>
      <c r="S525" s="199"/>
      <c r="T525" s="199"/>
      <c r="U525" s="199"/>
      <c r="V525" s="199"/>
      <c r="W525" s="199"/>
      <c r="X525" s="199"/>
    </row>
    <row r="526">
      <c r="A526" s="247"/>
      <c r="B526" s="199"/>
      <c r="C526" s="247"/>
      <c r="D526" s="247"/>
      <c r="E526" s="195"/>
      <c r="F526" s="201"/>
      <c r="G526" s="195"/>
      <c r="H526" s="201"/>
      <c r="I526" s="195"/>
      <c r="J526" s="201"/>
      <c r="K526" s="193"/>
      <c r="L526" s="202"/>
      <c r="M526" s="195"/>
      <c r="N526" s="195"/>
      <c r="O526" s="195"/>
      <c r="P526" s="195"/>
      <c r="Q526" s="203"/>
      <c r="R526" s="198"/>
      <c r="S526" s="199"/>
      <c r="T526" s="199"/>
      <c r="U526" s="199"/>
      <c r="V526" s="199"/>
      <c r="W526" s="199"/>
      <c r="X526" s="199"/>
    </row>
    <row r="527">
      <c r="A527" s="247"/>
      <c r="B527" s="199"/>
      <c r="C527" s="247"/>
      <c r="D527" s="247"/>
      <c r="E527" s="195"/>
      <c r="F527" s="201"/>
      <c r="G527" s="195"/>
      <c r="H527" s="201"/>
      <c r="I527" s="195"/>
      <c r="J527" s="201"/>
      <c r="K527" s="193"/>
      <c r="L527" s="202"/>
      <c r="M527" s="195"/>
      <c r="N527" s="195"/>
      <c r="O527" s="195"/>
      <c r="P527" s="195"/>
      <c r="Q527" s="203"/>
      <c r="R527" s="198"/>
      <c r="S527" s="199"/>
      <c r="T527" s="199"/>
      <c r="U527" s="199"/>
      <c r="V527" s="199"/>
      <c r="W527" s="199"/>
      <c r="X527" s="199"/>
    </row>
    <row r="528">
      <c r="A528" s="247"/>
      <c r="B528" s="199"/>
      <c r="C528" s="247"/>
      <c r="D528" s="247"/>
      <c r="E528" s="195"/>
      <c r="F528" s="201"/>
      <c r="G528" s="195"/>
      <c r="H528" s="201"/>
      <c r="I528" s="195"/>
      <c r="J528" s="201"/>
      <c r="K528" s="193"/>
      <c r="L528" s="202"/>
      <c r="M528" s="195"/>
      <c r="N528" s="195"/>
      <c r="O528" s="195"/>
      <c r="P528" s="195"/>
      <c r="Q528" s="203"/>
      <c r="R528" s="198"/>
      <c r="S528" s="199"/>
      <c r="T528" s="199"/>
      <c r="U528" s="199"/>
      <c r="V528" s="199"/>
      <c r="W528" s="199"/>
      <c r="X528" s="199"/>
    </row>
    <row r="529">
      <c r="A529" s="247"/>
      <c r="B529" s="199"/>
      <c r="C529" s="247"/>
      <c r="D529" s="247"/>
      <c r="E529" s="195"/>
      <c r="F529" s="201"/>
      <c r="G529" s="195"/>
      <c r="H529" s="201"/>
      <c r="I529" s="195"/>
      <c r="J529" s="201"/>
      <c r="K529" s="193"/>
      <c r="L529" s="202"/>
      <c r="M529" s="195"/>
      <c r="N529" s="195"/>
      <c r="O529" s="195"/>
      <c r="P529" s="195"/>
      <c r="Q529" s="203"/>
      <c r="R529" s="198"/>
      <c r="S529" s="199"/>
      <c r="T529" s="199"/>
      <c r="U529" s="199"/>
      <c r="V529" s="199"/>
      <c r="W529" s="199"/>
      <c r="X529" s="199"/>
    </row>
    <row r="530">
      <c r="A530" s="247"/>
      <c r="B530" s="199"/>
      <c r="C530" s="247"/>
      <c r="D530" s="247"/>
      <c r="E530" s="195"/>
      <c r="F530" s="201"/>
      <c r="G530" s="195"/>
      <c r="H530" s="201"/>
      <c r="I530" s="195"/>
      <c r="J530" s="201"/>
      <c r="K530" s="193"/>
      <c r="L530" s="202"/>
      <c r="M530" s="195"/>
      <c r="N530" s="195"/>
      <c r="O530" s="195"/>
      <c r="P530" s="195"/>
      <c r="Q530" s="203"/>
      <c r="R530" s="198"/>
      <c r="S530" s="199"/>
      <c r="T530" s="199"/>
      <c r="U530" s="199"/>
      <c r="V530" s="199"/>
      <c r="W530" s="199"/>
      <c r="X530" s="199"/>
    </row>
    <row r="531">
      <c r="A531" s="247"/>
      <c r="B531" s="199"/>
      <c r="C531" s="247"/>
      <c r="D531" s="247"/>
      <c r="E531" s="195"/>
      <c r="F531" s="201"/>
      <c r="G531" s="195"/>
      <c r="H531" s="201"/>
      <c r="I531" s="195"/>
      <c r="J531" s="201"/>
      <c r="K531" s="193"/>
      <c r="L531" s="202"/>
      <c r="M531" s="195"/>
      <c r="N531" s="195"/>
      <c r="O531" s="195"/>
      <c r="P531" s="195"/>
      <c r="Q531" s="203"/>
      <c r="R531" s="198"/>
      <c r="S531" s="199"/>
      <c r="T531" s="199"/>
      <c r="U531" s="199"/>
      <c r="V531" s="199"/>
      <c r="W531" s="199"/>
      <c r="X531" s="199"/>
    </row>
    <row r="532">
      <c r="A532" s="247"/>
      <c r="B532" s="199"/>
      <c r="C532" s="247"/>
      <c r="D532" s="247"/>
      <c r="E532" s="195"/>
      <c r="F532" s="201"/>
      <c r="G532" s="195"/>
      <c r="H532" s="201"/>
      <c r="I532" s="195"/>
      <c r="J532" s="201"/>
      <c r="K532" s="193"/>
      <c r="L532" s="202"/>
      <c r="M532" s="195"/>
      <c r="N532" s="195"/>
      <c r="O532" s="195"/>
      <c r="P532" s="195"/>
      <c r="Q532" s="203"/>
      <c r="R532" s="198"/>
      <c r="S532" s="199"/>
      <c r="T532" s="199"/>
      <c r="U532" s="199"/>
      <c r="V532" s="199"/>
      <c r="W532" s="199"/>
      <c r="X532" s="199"/>
    </row>
    <row r="533">
      <c r="A533" s="247"/>
      <c r="B533" s="199"/>
      <c r="C533" s="247"/>
      <c r="D533" s="247"/>
      <c r="E533" s="195"/>
      <c r="F533" s="201"/>
      <c r="G533" s="195"/>
      <c r="H533" s="201"/>
      <c r="I533" s="195"/>
      <c r="J533" s="201"/>
      <c r="K533" s="193"/>
      <c r="L533" s="202"/>
      <c r="M533" s="195"/>
      <c r="N533" s="195"/>
      <c r="O533" s="195"/>
      <c r="P533" s="195"/>
      <c r="Q533" s="203"/>
      <c r="R533" s="198"/>
      <c r="S533" s="199"/>
      <c r="T533" s="199"/>
      <c r="U533" s="199"/>
      <c r="V533" s="199"/>
      <c r="W533" s="199"/>
      <c r="X533" s="199"/>
    </row>
    <row r="534">
      <c r="A534" s="247"/>
      <c r="B534" s="199"/>
      <c r="C534" s="247"/>
      <c r="D534" s="247"/>
      <c r="E534" s="195"/>
      <c r="F534" s="201"/>
      <c r="G534" s="195"/>
      <c r="H534" s="201"/>
      <c r="I534" s="195"/>
      <c r="J534" s="201"/>
      <c r="K534" s="193"/>
      <c r="L534" s="202"/>
      <c r="M534" s="195"/>
      <c r="N534" s="195"/>
      <c r="O534" s="195"/>
      <c r="P534" s="195"/>
      <c r="Q534" s="203"/>
      <c r="R534" s="198"/>
      <c r="S534" s="199"/>
      <c r="T534" s="199"/>
      <c r="U534" s="199"/>
      <c r="V534" s="199"/>
      <c r="W534" s="199"/>
      <c r="X534" s="199"/>
    </row>
    <row r="535">
      <c r="A535" s="247"/>
      <c r="B535" s="199"/>
      <c r="C535" s="247"/>
      <c r="D535" s="247"/>
      <c r="E535" s="195"/>
      <c r="F535" s="201"/>
      <c r="G535" s="195"/>
      <c r="H535" s="201"/>
      <c r="I535" s="195"/>
      <c r="J535" s="201"/>
      <c r="K535" s="193"/>
      <c r="L535" s="202"/>
      <c r="M535" s="195"/>
      <c r="N535" s="195"/>
      <c r="O535" s="195"/>
      <c r="P535" s="195"/>
      <c r="Q535" s="203"/>
      <c r="R535" s="198"/>
      <c r="S535" s="199"/>
      <c r="T535" s="199"/>
      <c r="U535" s="199"/>
      <c r="V535" s="199"/>
      <c r="W535" s="199"/>
      <c r="X535" s="199"/>
    </row>
    <row r="536">
      <c r="A536" s="247"/>
      <c r="B536" s="199"/>
      <c r="C536" s="247"/>
      <c r="D536" s="247"/>
      <c r="E536" s="195"/>
      <c r="F536" s="201"/>
      <c r="G536" s="195"/>
      <c r="H536" s="201"/>
      <c r="I536" s="195"/>
      <c r="J536" s="201"/>
      <c r="K536" s="193"/>
      <c r="L536" s="202"/>
      <c r="M536" s="195"/>
      <c r="N536" s="195"/>
      <c r="O536" s="195"/>
      <c r="P536" s="195"/>
      <c r="Q536" s="203"/>
      <c r="R536" s="198"/>
      <c r="S536" s="199"/>
      <c r="T536" s="199"/>
      <c r="U536" s="199"/>
      <c r="V536" s="199"/>
      <c r="W536" s="199"/>
      <c r="X536" s="199"/>
    </row>
    <row r="537">
      <c r="A537" s="247"/>
      <c r="B537" s="199"/>
      <c r="C537" s="247"/>
      <c r="D537" s="247"/>
      <c r="E537" s="195"/>
      <c r="F537" s="201"/>
      <c r="G537" s="195"/>
      <c r="H537" s="201"/>
      <c r="I537" s="195"/>
      <c r="J537" s="201"/>
      <c r="K537" s="193"/>
      <c r="L537" s="202"/>
      <c r="M537" s="195"/>
      <c r="N537" s="195"/>
      <c r="O537" s="195"/>
      <c r="P537" s="195"/>
      <c r="Q537" s="203"/>
      <c r="R537" s="198"/>
      <c r="S537" s="199"/>
      <c r="T537" s="199"/>
      <c r="U537" s="199"/>
      <c r="V537" s="199"/>
      <c r="W537" s="199"/>
      <c r="X537" s="199"/>
    </row>
    <row r="538">
      <c r="A538" s="247"/>
      <c r="B538" s="199"/>
      <c r="C538" s="247"/>
      <c r="D538" s="247"/>
      <c r="E538" s="195"/>
      <c r="F538" s="201"/>
      <c r="G538" s="195"/>
      <c r="H538" s="201"/>
      <c r="I538" s="195"/>
      <c r="J538" s="201"/>
      <c r="K538" s="193"/>
      <c r="L538" s="202"/>
      <c r="M538" s="195"/>
      <c r="N538" s="195"/>
      <c r="O538" s="195"/>
      <c r="P538" s="195"/>
      <c r="Q538" s="203"/>
      <c r="R538" s="198"/>
      <c r="S538" s="199"/>
      <c r="T538" s="199"/>
      <c r="U538" s="199"/>
      <c r="V538" s="199"/>
      <c r="W538" s="199"/>
      <c r="X538" s="199"/>
    </row>
    <row r="539">
      <c r="A539" s="247"/>
      <c r="B539" s="199"/>
      <c r="C539" s="247"/>
      <c r="D539" s="247"/>
      <c r="E539" s="195"/>
      <c r="F539" s="201"/>
      <c r="G539" s="195"/>
      <c r="H539" s="201"/>
      <c r="I539" s="195"/>
      <c r="J539" s="201"/>
      <c r="K539" s="193"/>
      <c r="L539" s="202"/>
      <c r="M539" s="195"/>
      <c r="N539" s="195"/>
      <c r="O539" s="195"/>
      <c r="P539" s="195"/>
      <c r="Q539" s="203"/>
      <c r="R539" s="198"/>
      <c r="S539" s="199"/>
      <c r="T539" s="199"/>
      <c r="U539" s="199"/>
      <c r="V539" s="199"/>
      <c r="W539" s="199"/>
      <c r="X539" s="199"/>
    </row>
    <row r="540">
      <c r="A540" s="247"/>
      <c r="B540" s="199"/>
      <c r="C540" s="247"/>
      <c r="D540" s="247"/>
      <c r="E540" s="195"/>
      <c r="F540" s="201"/>
      <c r="G540" s="195"/>
      <c r="H540" s="201"/>
      <c r="I540" s="195"/>
      <c r="J540" s="201"/>
      <c r="K540" s="193"/>
      <c r="L540" s="202"/>
      <c r="M540" s="195"/>
      <c r="N540" s="195"/>
      <c r="O540" s="195"/>
      <c r="P540" s="195"/>
      <c r="Q540" s="203"/>
      <c r="R540" s="198"/>
      <c r="S540" s="199"/>
      <c r="T540" s="199"/>
      <c r="U540" s="199"/>
      <c r="V540" s="199"/>
      <c r="W540" s="199"/>
      <c r="X540" s="199"/>
    </row>
    <row r="541">
      <c r="A541" s="247"/>
      <c r="B541" s="199"/>
      <c r="C541" s="247"/>
      <c r="D541" s="247"/>
      <c r="E541" s="195"/>
      <c r="F541" s="201"/>
      <c r="G541" s="195"/>
      <c r="H541" s="201"/>
      <c r="I541" s="195"/>
      <c r="J541" s="201"/>
      <c r="K541" s="193"/>
      <c r="L541" s="202"/>
      <c r="M541" s="195"/>
      <c r="N541" s="195"/>
      <c r="O541" s="195"/>
      <c r="P541" s="195"/>
      <c r="Q541" s="203"/>
      <c r="R541" s="198"/>
      <c r="S541" s="199"/>
      <c r="T541" s="199"/>
      <c r="U541" s="199"/>
      <c r="V541" s="199"/>
      <c r="W541" s="199"/>
      <c r="X541" s="199"/>
    </row>
    <row r="542">
      <c r="A542" s="247"/>
      <c r="B542" s="199"/>
      <c r="C542" s="247"/>
      <c r="D542" s="247"/>
      <c r="E542" s="195"/>
      <c r="F542" s="201"/>
      <c r="G542" s="195"/>
      <c r="H542" s="201"/>
      <c r="I542" s="195"/>
      <c r="J542" s="201"/>
      <c r="K542" s="193"/>
      <c r="L542" s="202"/>
      <c r="M542" s="195"/>
      <c r="N542" s="195"/>
      <c r="O542" s="195"/>
      <c r="P542" s="195"/>
      <c r="Q542" s="203"/>
      <c r="R542" s="198"/>
      <c r="S542" s="199"/>
      <c r="T542" s="199"/>
      <c r="U542" s="199"/>
      <c r="V542" s="199"/>
      <c r="W542" s="199"/>
      <c r="X542" s="199"/>
    </row>
    <row r="543">
      <c r="A543" s="247"/>
      <c r="B543" s="199"/>
      <c r="C543" s="247"/>
      <c r="D543" s="247"/>
      <c r="E543" s="195"/>
      <c r="F543" s="201"/>
      <c r="G543" s="195"/>
      <c r="H543" s="201"/>
      <c r="I543" s="195"/>
      <c r="J543" s="201"/>
      <c r="K543" s="193"/>
      <c r="L543" s="202"/>
      <c r="M543" s="195"/>
      <c r="N543" s="195"/>
      <c r="O543" s="195"/>
      <c r="P543" s="195"/>
      <c r="Q543" s="203"/>
      <c r="R543" s="198"/>
      <c r="S543" s="199"/>
      <c r="T543" s="199"/>
      <c r="U543" s="199"/>
      <c r="V543" s="199"/>
      <c r="W543" s="199"/>
      <c r="X543" s="199"/>
    </row>
    <row r="544">
      <c r="A544" s="247"/>
      <c r="B544" s="199"/>
      <c r="C544" s="247"/>
      <c r="D544" s="247"/>
      <c r="E544" s="195"/>
      <c r="F544" s="201"/>
      <c r="G544" s="195"/>
      <c r="H544" s="201"/>
      <c r="I544" s="195"/>
      <c r="J544" s="201"/>
      <c r="K544" s="193"/>
      <c r="L544" s="202"/>
      <c r="M544" s="195"/>
      <c r="N544" s="195"/>
      <c r="O544" s="195"/>
      <c r="P544" s="195"/>
      <c r="Q544" s="203"/>
      <c r="R544" s="198"/>
      <c r="S544" s="199"/>
      <c r="T544" s="199"/>
      <c r="U544" s="199"/>
      <c r="V544" s="199"/>
      <c r="W544" s="199"/>
      <c r="X544" s="199"/>
    </row>
    <row r="545">
      <c r="A545" s="247"/>
      <c r="B545" s="199"/>
      <c r="C545" s="247"/>
      <c r="D545" s="247"/>
      <c r="E545" s="195"/>
      <c r="F545" s="201"/>
      <c r="G545" s="195"/>
      <c r="H545" s="201"/>
      <c r="I545" s="195"/>
      <c r="J545" s="201"/>
      <c r="K545" s="193"/>
      <c r="L545" s="202"/>
      <c r="M545" s="195"/>
      <c r="N545" s="195"/>
      <c r="O545" s="195"/>
      <c r="P545" s="195"/>
      <c r="Q545" s="203"/>
      <c r="R545" s="198"/>
      <c r="S545" s="199"/>
      <c r="T545" s="199"/>
      <c r="U545" s="199"/>
      <c r="V545" s="199"/>
      <c r="W545" s="199"/>
      <c r="X545" s="199"/>
    </row>
    <row r="546">
      <c r="A546" s="247"/>
      <c r="B546" s="199"/>
      <c r="C546" s="247"/>
      <c r="D546" s="247"/>
      <c r="E546" s="195"/>
      <c r="F546" s="201"/>
      <c r="G546" s="195"/>
      <c r="H546" s="201"/>
      <c r="I546" s="195"/>
      <c r="J546" s="201"/>
      <c r="K546" s="193"/>
      <c r="L546" s="202"/>
      <c r="M546" s="195"/>
      <c r="N546" s="195"/>
      <c r="O546" s="195"/>
      <c r="P546" s="195"/>
      <c r="Q546" s="203"/>
      <c r="R546" s="198"/>
      <c r="S546" s="199"/>
      <c r="T546" s="199"/>
      <c r="U546" s="199"/>
      <c r="V546" s="199"/>
      <c r="W546" s="199"/>
      <c r="X546" s="199"/>
    </row>
    <row r="547">
      <c r="A547" s="247"/>
      <c r="B547" s="199"/>
      <c r="C547" s="247"/>
      <c r="D547" s="247"/>
      <c r="E547" s="195"/>
      <c r="F547" s="201"/>
      <c r="G547" s="195"/>
      <c r="H547" s="201"/>
      <c r="I547" s="195"/>
      <c r="J547" s="201"/>
      <c r="K547" s="193"/>
      <c r="L547" s="202"/>
      <c r="M547" s="195"/>
      <c r="N547" s="195"/>
      <c r="O547" s="195"/>
      <c r="P547" s="195"/>
      <c r="Q547" s="203"/>
      <c r="R547" s="198"/>
      <c r="S547" s="199"/>
      <c r="T547" s="199"/>
      <c r="U547" s="199"/>
      <c r="V547" s="199"/>
      <c r="W547" s="199"/>
      <c r="X547" s="199"/>
    </row>
    <row r="548">
      <c r="A548" s="247"/>
      <c r="B548" s="199"/>
      <c r="C548" s="247"/>
      <c r="D548" s="247"/>
      <c r="E548" s="195"/>
      <c r="F548" s="201"/>
      <c r="G548" s="195"/>
      <c r="H548" s="201"/>
      <c r="I548" s="195"/>
      <c r="J548" s="201"/>
      <c r="K548" s="193"/>
      <c r="L548" s="202"/>
      <c r="M548" s="195"/>
      <c r="N548" s="195"/>
      <c r="O548" s="195"/>
      <c r="P548" s="195"/>
      <c r="Q548" s="203"/>
      <c r="R548" s="198"/>
      <c r="S548" s="199"/>
      <c r="T548" s="199"/>
      <c r="U548" s="199"/>
      <c r="V548" s="199"/>
      <c r="W548" s="199"/>
      <c r="X548" s="199"/>
    </row>
    <row r="549">
      <c r="A549" s="247"/>
      <c r="B549" s="199"/>
      <c r="C549" s="247"/>
      <c r="D549" s="247"/>
      <c r="E549" s="195"/>
      <c r="F549" s="201"/>
      <c r="G549" s="195"/>
      <c r="H549" s="201"/>
      <c r="I549" s="195"/>
      <c r="J549" s="201"/>
      <c r="K549" s="193"/>
      <c r="L549" s="202"/>
      <c r="M549" s="195"/>
      <c r="N549" s="195"/>
      <c r="O549" s="195"/>
      <c r="P549" s="195"/>
      <c r="Q549" s="203"/>
      <c r="R549" s="198"/>
      <c r="S549" s="199"/>
      <c r="T549" s="199"/>
      <c r="U549" s="199"/>
      <c r="V549" s="199"/>
      <c r="W549" s="199"/>
      <c r="X549" s="199"/>
    </row>
    <row r="550">
      <c r="A550" s="247"/>
      <c r="B550" s="199"/>
      <c r="C550" s="247"/>
      <c r="D550" s="247"/>
      <c r="E550" s="195"/>
      <c r="F550" s="201"/>
      <c r="G550" s="195"/>
      <c r="H550" s="201"/>
      <c r="I550" s="195"/>
      <c r="J550" s="201"/>
      <c r="K550" s="193"/>
      <c r="L550" s="202"/>
      <c r="M550" s="195"/>
      <c r="N550" s="195"/>
      <c r="O550" s="195"/>
      <c r="P550" s="195"/>
      <c r="Q550" s="203"/>
      <c r="R550" s="198"/>
      <c r="S550" s="199"/>
      <c r="T550" s="199"/>
      <c r="U550" s="199"/>
      <c r="V550" s="199"/>
      <c r="W550" s="199"/>
      <c r="X550" s="199"/>
    </row>
    <row r="551">
      <c r="A551" s="247"/>
      <c r="B551" s="199"/>
      <c r="C551" s="247"/>
      <c r="D551" s="247"/>
      <c r="E551" s="195"/>
      <c r="F551" s="201"/>
      <c r="G551" s="195"/>
      <c r="H551" s="201"/>
      <c r="I551" s="195"/>
      <c r="J551" s="201"/>
      <c r="K551" s="193"/>
      <c r="L551" s="202"/>
      <c r="M551" s="195"/>
      <c r="N551" s="195"/>
      <c r="O551" s="195"/>
      <c r="P551" s="195"/>
      <c r="Q551" s="203"/>
      <c r="R551" s="198"/>
      <c r="S551" s="199"/>
      <c r="T551" s="199"/>
      <c r="U551" s="199"/>
      <c r="V551" s="199"/>
      <c r="W551" s="199"/>
      <c r="X551" s="199"/>
    </row>
    <row r="552">
      <c r="A552" s="247"/>
      <c r="B552" s="199"/>
      <c r="C552" s="247"/>
      <c r="D552" s="247"/>
      <c r="E552" s="195"/>
      <c r="F552" s="201"/>
      <c r="G552" s="195"/>
      <c r="H552" s="201"/>
      <c r="I552" s="195"/>
      <c r="J552" s="201"/>
      <c r="K552" s="193"/>
      <c r="L552" s="202"/>
      <c r="M552" s="195"/>
      <c r="N552" s="195"/>
      <c r="O552" s="195"/>
      <c r="P552" s="195"/>
      <c r="Q552" s="203"/>
      <c r="R552" s="198"/>
      <c r="S552" s="199"/>
      <c r="T552" s="199"/>
      <c r="U552" s="199"/>
      <c r="V552" s="199"/>
      <c r="W552" s="199"/>
      <c r="X552" s="199"/>
    </row>
    <row r="553">
      <c r="A553" s="247"/>
      <c r="B553" s="199"/>
      <c r="C553" s="247"/>
      <c r="D553" s="247"/>
      <c r="E553" s="195"/>
      <c r="F553" s="201"/>
      <c r="G553" s="195"/>
      <c r="H553" s="201"/>
      <c r="I553" s="195"/>
      <c r="J553" s="201"/>
      <c r="K553" s="193"/>
      <c r="L553" s="202"/>
      <c r="M553" s="195"/>
      <c r="N553" s="195"/>
      <c r="O553" s="195"/>
      <c r="P553" s="195"/>
      <c r="Q553" s="203"/>
      <c r="R553" s="198"/>
      <c r="S553" s="199"/>
      <c r="T553" s="199"/>
      <c r="U553" s="199"/>
      <c r="V553" s="199"/>
      <c r="W553" s="199"/>
      <c r="X553" s="199"/>
    </row>
    <row r="554">
      <c r="A554" s="247"/>
      <c r="B554" s="199"/>
      <c r="C554" s="247"/>
      <c r="D554" s="247"/>
      <c r="E554" s="195"/>
      <c r="F554" s="201"/>
      <c r="G554" s="195"/>
      <c r="H554" s="201"/>
      <c r="I554" s="195"/>
      <c r="J554" s="201"/>
      <c r="K554" s="193"/>
      <c r="L554" s="202"/>
      <c r="M554" s="195"/>
      <c r="N554" s="195"/>
      <c r="O554" s="195"/>
      <c r="P554" s="195"/>
      <c r="Q554" s="203"/>
      <c r="R554" s="198"/>
      <c r="S554" s="199"/>
      <c r="T554" s="199"/>
      <c r="U554" s="199"/>
      <c r="V554" s="199"/>
      <c r="W554" s="199"/>
      <c r="X554" s="199"/>
    </row>
    <row r="555">
      <c r="A555" s="247"/>
      <c r="B555" s="199"/>
      <c r="C555" s="247"/>
      <c r="D555" s="247"/>
      <c r="E555" s="195"/>
      <c r="F555" s="201"/>
      <c r="G555" s="195"/>
      <c r="H555" s="201"/>
      <c r="I555" s="195"/>
      <c r="J555" s="201"/>
      <c r="K555" s="193"/>
      <c r="L555" s="202"/>
      <c r="M555" s="195"/>
      <c r="N555" s="195"/>
      <c r="O555" s="195"/>
      <c r="P555" s="195"/>
      <c r="Q555" s="203"/>
      <c r="R555" s="198"/>
      <c r="S555" s="199"/>
      <c r="T555" s="199"/>
      <c r="U555" s="199"/>
      <c r="V555" s="199"/>
      <c r="W555" s="199"/>
      <c r="X555" s="199"/>
    </row>
    <row r="556">
      <c r="A556" s="247"/>
      <c r="B556" s="199"/>
      <c r="C556" s="247"/>
      <c r="D556" s="247"/>
      <c r="E556" s="195"/>
      <c r="F556" s="201"/>
      <c r="G556" s="195"/>
      <c r="H556" s="201"/>
      <c r="I556" s="195"/>
      <c r="J556" s="201"/>
      <c r="K556" s="193"/>
      <c r="L556" s="202"/>
      <c r="M556" s="195"/>
      <c r="N556" s="195"/>
      <c r="O556" s="195"/>
      <c r="P556" s="195"/>
      <c r="Q556" s="203"/>
      <c r="R556" s="198"/>
      <c r="S556" s="199"/>
      <c r="T556" s="199"/>
      <c r="U556" s="199"/>
      <c r="V556" s="199"/>
      <c r="W556" s="199"/>
      <c r="X556" s="199"/>
    </row>
    <row r="557">
      <c r="A557" s="247"/>
      <c r="B557" s="199"/>
      <c r="C557" s="247"/>
      <c r="D557" s="247"/>
      <c r="E557" s="195"/>
      <c r="F557" s="201"/>
      <c r="G557" s="195"/>
      <c r="H557" s="201"/>
      <c r="I557" s="195"/>
      <c r="J557" s="201"/>
      <c r="K557" s="193"/>
      <c r="L557" s="202"/>
      <c r="M557" s="195"/>
      <c r="N557" s="195"/>
      <c r="O557" s="195"/>
      <c r="P557" s="195"/>
      <c r="Q557" s="203"/>
      <c r="R557" s="198"/>
      <c r="S557" s="199"/>
      <c r="T557" s="199"/>
      <c r="U557" s="199"/>
      <c r="V557" s="199"/>
      <c r="W557" s="199"/>
      <c r="X557" s="199"/>
    </row>
    <row r="558">
      <c r="A558" s="247"/>
      <c r="B558" s="199"/>
      <c r="C558" s="247"/>
      <c r="D558" s="247"/>
      <c r="E558" s="195"/>
      <c r="F558" s="201"/>
      <c r="G558" s="195"/>
      <c r="H558" s="201"/>
      <c r="I558" s="195"/>
      <c r="J558" s="201"/>
      <c r="K558" s="193"/>
      <c r="L558" s="202"/>
      <c r="M558" s="195"/>
      <c r="N558" s="195"/>
      <c r="O558" s="195"/>
      <c r="P558" s="195"/>
      <c r="Q558" s="203"/>
      <c r="R558" s="198"/>
      <c r="S558" s="199"/>
      <c r="T558" s="199"/>
      <c r="U558" s="199"/>
      <c r="V558" s="199"/>
      <c r="W558" s="199"/>
      <c r="X558" s="199"/>
    </row>
    <row r="559">
      <c r="A559" s="247"/>
      <c r="B559" s="199"/>
      <c r="C559" s="247"/>
      <c r="D559" s="247"/>
      <c r="E559" s="195"/>
      <c r="F559" s="201"/>
      <c r="G559" s="195"/>
      <c r="H559" s="201"/>
      <c r="I559" s="195"/>
      <c r="J559" s="201"/>
      <c r="K559" s="193"/>
      <c r="L559" s="202"/>
      <c r="M559" s="195"/>
      <c r="N559" s="195"/>
      <c r="O559" s="195"/>
      <c r="P559" s="195"/>
      <c r="Q559" s="203"/>
      <c r="R559" s="198"/>
      <c r="S559" s="199"/>
      <c r="T559" s="199"/>
      <c r="U559" s="199"/>
      <c r="V559" s="199"/>
      <c r="W559" s="199"/>
      <c r="X559" s="199"/>
    </row>
    <row r="560">
      <c r="A560" s="247"/>
      <c r="B560" s="199"/>
      <c r="C560" s="247"/>
      <c r="D560" s="247"/>
      <c r="E560" s="195"/>
      <c r="F560" s="201"/>
      <c r="G560" s="195"/>
      <c r="H560" s="201"/>
      <c r="I560" s="195"/>
      <c r="J560" s="201"/>
      <c r="K560" s="193"/>
      <c r="L560" s="202"/>
      <c r="M560" s="195"/>
      <c r="N560" s="195"/>
      <c r="O560" s="195"/>
      <c r="P560" s="195"/>
      <c r="Q560" s="203"/>
      <c r="R560" s="198"/>
      <c r="S560" s="199"/>
      <c r="T560" s="199"/>
      <c r="U560" s="199"/>
      <c r="V560" s="199"/>
      <c r="W560" s="199"/>
      <c r="X560" s="199"/>
    </row>
    <row r="561">
      <c r="A561" s="247"/>
      <c r="B561" s="199"/>
      <c r="C561" s="247"/>
      <c r="D561" s="247"/>
      <c r="E561" s="195"/>
      <c r="F561" s="201"/>
      <c r="G561" s="195"/>
      <c r="H561" s="201"/>
      <c r="I561" s="195"/>
      <c r="J561" s="201"/>
      <c r="K561" s="193"/>
      <c r="L561" s="202"/>
      <c r="M561" s="195"/>
      <c r="N561" s="195"/>
      <c r="O561" s="195"/>
      <c r="P561" s="195"/>
      <c r="Q561" s="203"/>
      <c r="R561" s="198"/>
      <c r="S561" s="199"/>
      <c r="T561" s="199"/>
      <c r="U561" s="199"/>
      <c r="V561" s="199"/>
      <c r="W561" s="199"/>
      <c r="X561" s="199"/>
    </row>
    <row r="562">
      <c r="A562" s="247"/>
      <c r="B562" s="199"/>
      <c r="C562" s="247"/>
      <c r="D562" s="247"/>
      <c r="E562" s="195"/>
      <c r="F562" s="201"/>
      <c r="G562" s="195"/>
      <c r="H562" s="201"/>
      <c r="I562" s="195"/>
      <c r="J562" s="201"/>
      <c r="K562" s="193"/>
      <c r="L562" s="202"/>
      <c r="M562" s="195"/>
      <c r="N562" s="195"/>
      <c r="O562" s="195"/>
      <c r="P562" s="195"/>
      <c r="Q562" s="203"/>
      <c r="R562" s="198"/>
      <c r="S562" s="199"/>
      <c r="T562" s="199"/>
      <c r="U562" s="199"/>
      <c r="V562" s="199"/>
      <c r="W562" s="199"/>
      <c r="X562" s="199"/>
    </row>
    <row r="563">
      <c r="A563" s="247"/>
      <c r="B563" s="199"/>
      <c r="C563" s="247"/>
      <c r="D563" s="247"/>
      <c r="E563" s="195"/>
      <c r="F563" s="201"/>
      <c r="G563" s="195"/>
      <c r="H563" s="201"/>
      <c r="I563" s="195"/>
      <c r="J563" s="201"/>
      <c r="K563" s="193"/>
      <c r="L563" s="202"/>
      <c r="M563" s="195"/>
      <c r="N563" s="195"/>
      <c r="O563" s="195"/>
      <c r="P563" s="195"/>
      <c r="Q563" s="203"/>
      <c r="R563" s="198"/>
      <c r="S563" s="199"/>
      <c r="T563" s="199"/>
      <c r="U563" s="199"/>
      <c r="V563" s="199"/>
      <c r="W563" s="199"/>
      <c r="X563" s="199"/>
    </row>
    <row r="564">
      <c r="A564" s="247"/>
      <c r="B564" s="199"/>
      <c r="C564" s="247"/>
      <c r="D564" s="247"/>
      <c r="E564" s="195"/>
      <c r="F564" s="201"/>
      <c r="G564" s="195"/>
      <c r="H564" s="201"/>
      <c r="I564" s="195"/>
      <c r="J564" s="201"/>
      <c r="K564" s="193"/>
      <c r="L564" s="202"/>
      <c r="M564" s="195"/>
      <c r="N564" s="195"/>
      <c r="O564" s="195"/>
      <c r="P564" s="195"/>
      <c r="Q564" s="203"/>
      <c r="R564" s="198"/>
      <c r="S564" s="199"/>
      <c r="T564" s="199"/>
      <c r="U564" s="199"/>
      <c r="V564" s="199"/>
      <c r="W564" s="199"/>
      <c r="X564" s="199"/>
    </row>
    <row r="565">
      <c r="A565" s="247"/>
      <c r="B565" s="199"/>
      <c r="C565" s="247"/>
      <c r="D565" s="247"/>
      <c r="E565" s="195"/>
      <c r="F565" s="201"/>
      <c r="G565" s="195"/>
      <c r="H565" s="201"/>
      <c r="I565" s="195"/>
      <c r="J565" s="201"/>
      <c r="K565" s="193"/>
      <c r="L565" s="202"/>
      <c r="M565" s="195"/>
      <c r="N565" s="195"/>
      <c r="O565" s="195"/>
      <c r="P565" s="195"/>
      <c r="Q565" s="203"/>
      <c r="R565" s="198"/>
      <c r="S565" s="199"/>
      <c r="T565" s="199"/>
      <c r="U565" s="199"/>
      <c r="V565" s="199"/>
      <c r="W565" s="199"/>
      <c r="X565" s="199"/>
    </row>
    <row r="566">
      <c r="A566" s="247"/>
      <c r="B566" s="199"/>
      <c r="C566" s="247"/>
      <c r="D566" s="247"/>
      <c r="E566" s="195"/>
      <c r="F566" s="201"/>
      <c r="G566" s="195"/>
      <c r="H566" s="201"/>
      <c r="I566" s="195"/>
      <c r="J566" s="201"/>
      <c r="K566" s="193"/>
      <c r="L566" s="202"/>
      <c r="M566" s="195"/>
      <c r="N566" s="195"/>
      <c r="O566" s="195"/>
      <c r="P566" s="195"/>
      <c r="Q566" s="203"/>
      <c r="R566" s="198"/>
      <c r="S566" s="199"/>
      <c r="T566" s="199"/>
      <c r="U566" s="199"/>
      <c r="V566" s="199"/>
      <c r="W566" s="199"/>
      <c r="X566" s="199"/>
    </row>
    <row r="567">
      <c r="A567" s="247"/>
      <c r="B567" s="199"/>
      <c r="C567" s="247"/>
      <c r="D567" s="247"/>
      <c r="E567" s="195"/>
      <c r="F567" s="201"/>
      <c r="G567" s="195"/>
      <c r="H567" s="201"/>
      <c r="I567" s="195"/>
      <c r="J567" s="201"/>
      <c r="K567" s="193"/>
      <c r="L567" s="202"/>
      <c r="M567" s="195"/>
      <c r="N567" s="195"/>
      <c r="O567" s="195"/>
      <c r="P567" s="195"/>
      <c r="Q567" s="203"/>
      <c r="R567" s="198"/>
      <c r="S567" s="199"/>
      <c r="T567" s="199"/>
      <c r="U567" s="199"/>
      <c r="V567" s="199"/>
      <c r="W567" s="199"/>
      <c r="X567" s="199"/>
    </row>
    <row r="568">
      <c r="A568" s="247"/>
      <c r="B568" s="199"/>
      <c r="C568" s="247"/>
      <c r="D568" s="247"/>
      <c r="E568" s="195"/>
      <c r="F568" s="201"/>
      <c r="G568" s="195"/>
      <c r="H568" s="201"/>
      <c r="I568" s="195"/>
      <c r="J568" s="201"/>
      <c r="K568" s="193"/>
      <c r="L568" s="202"/>
      <c r="M568" s="195"/>
      <c r="N568" s="195"/>
      <c r="O568" s="195"/>
      <c r="P568" s="195"/>
      <c r="Q568" s="203"/>
      <c r="R568" s="198"/>
      <c r="S568" s="199"/>
      <c r="T568" s="199"/>
      <c r="U568" s="199"/>
      <c r="V568" s="199"/>
      <c r="W568" s="199"/>
      <c r="X568" s="199"/>
    </row>
    <row r="569">
      <c r="A569" s="247"/>
      <c r="B569" s="199"/>
      <c r="C569" s="247"/>
      <c r="D569" s="247"/>
      <c r="E569" s="195"/>
      <c r="F569" s="201"/>
      <c r="G569" s="195"/>
      <c r="H569" s="201"/>
      <c r="I569" s="195"/>
      <c r="J569" s="201"/>
      <c r="K569" s="193"/>
      <c r="L569" s="202"/>
      <c r="M569" s="195"/>
      <c r="N569" s="195"/>
      <c r="O569" s="195"/>
      <c r="P569" s="195"/>
      <c r="Q569" s="203"/>
      <c r="R569" s="198"/>
      <c r="S569" s="199"/>
      <c r="T569" s="199"/>
      <c r="U569" s="199"/>
      <c r="V569" s="199"/>
      <c r="W569" s="199"/>
      <c r="X569" s="199"/>
    </row>
    <row r="570">
      <c r="A570" s="247"/>
      <c r="B570" s="199"/>
      <c r="C570" s="247"/>
      <c r="D570" s="247"/>
      <c r="E570" s="195"/>
      <c r="F570" s="201"/>
      <c r="G570" s="195"/>
      <c r="H570" s="201"/>
      <c r="I570" s="195"/>
      <c r="J570" s="201"/>
      <c r="K570" s="193"/>
      <c r="L570" s="202"/>
      <c r="M570" s="195"/>
      <c r="N570" s="195"/>
      <c r="O570" s="195"/>
      <c r="P570" s="195"/>
      <c r="Q570" s="203"/>
      <c r="R570" s="198"/>
      <c r="S570" s="199"/>
      <c r="T570" s="199"/>
      <c r="U570" s="199"/>
      <c r="V570" s="199"/>
      <c r="W570" s="199"/>
      <c r="X570" s="199"/>
    </row>
    <row r="571">
      <c r="A571" s="247"/>
      <c r="B571" s="199"/>
      <c r="C571" s="247"/>
      <c r="D571" s="247"/>
      <c r="E571" s="195"/>
      <c r="F571" s="201"/>
      <c r="G571" s="195"/>
      <c r="H571" s="201"/>
      <c r="I571" s="195"/>
      <c r="J571" s="201"/>
      <c r="K571" s="193"/>
      <c r="L571" s="202"/>
      <c r="M571" s="195"/>
      <c r="N571" s="195"/>
      <c r="O571" s="195"/>
      <c r="P571" s="195"/>
      <c r="Q571" s="203"/>
      <c r="R571" s="198"/>
      <c r="S571" s="199"/>
      <c r="T571" s="199"/>
      <c r="U571" s="199"/>
      <c r="V571" s="199"/>
      <c r="W571" s="199"/>
      <c r="X571" s="199"/>
    </row>
    <row r="572">
      <c r="A572" s="247"/>
      <c r="B572" s="199"/>
      <c r="C572" s="247"/>
      <c r="D572" s="247"/>
      <c r="E572" s="195"/>
      <c r="F572" s="201"/>
      <c r="G572" s="195"/>
      <c r="H572" s="201"/>
      <c r="I572" s="195"/>
      <c r="J572" s="201"/>
      <c r="K572" s="193"/>
      <c r="L572" s="202"/>
      <c r="M572" s="195"/>
      <c r="N572" s="195"/>
      <c r="O572" s="195"/>
      <c r="P572" s="195"/>
      <c r="Q572" s="203"/>
      <c r="R572" s="198"/>
      <c r="S572" s="199"/>
      <c r="T572" s="199"/>
      <c r="U572" s="199"/>
      <c r="V572" s="199"/>
      <c r="W572" s="199"/>
      <c r="X572" s="199"/>
    </row>
    <row r="573">
      <c r="A573" s="247"/>
      <c r="B573" s="199"/>
      <c r="C573" s="247"/>
      <c r="D573" s="247"/>
      <c r="E573" s="195"/>
      <c r="F573" s="201"/>
      <c r="G573" s="195"/>
      <c r="H573" s="201"/>
      <c r="I573" s="195"/>
      <c r="J573" s="201"/>
      <c r="K573" s="193"/>
      <c r="L573" s="202"/>
      <c r="M573" s="195"/>
      <c r="N573" s="195"/>
      <c r="O573" s="195"/>
      <c r="P573" s="195"/>
      <c r="Q573" s="203"/>
      <c r="R573" s="198"/>
      <c r="S573" s="199"/>
      <c r="T573" s="199"/>
      <c r="U573" s="199"/>
      <c r="V573" s="199"/>
      <c r="W573" s="199"/>
      <c r="X573" s="199"/>
    </row>
    <row r="574">
      <c r="A574" s="247"/>
      <c r="B574" s="199"/>
      <c r="C574" s="247"/>
      <c r="D574" s="247"/>
      <c r="E574" s="195"/>
      <c r="F574" s="201"/>
      <c r="G574" s="195"/>
      <c r="H574" s="201"/>
      <c r="I574" s="195"/>
      <c r="J574" s="201"/>
      <c r="K574" s="193"/>
      <c r="L574" s="202"/>
      <c r="M574" s="195"/>
      <c r="N574" s="195"/>
      <c r="O574" s="195"/>
      <c r="P574" s="195"/>
      <c r="Q574" s="203"/>
      <c r="R574" s="198"/>
      <c r="S574" s="199"/>
      <c r="T574" s="199"/>
      <c r="U574" s="199"/>
      <c r="V574" s="199"/>
      <c r="W574" s="199"/>
      <c r="X574" s="199"/>
    </row>
    <row r="575">
      <c r="A575" s="247"/>
      <c r="B575" s="199"/>
      <c r="C575" s="247"/>
      <c r="D575" s="247"/>
      <c r="E575" s="195"/>
      <c r="F575" s="201"/>
      <c r="G575" s="195"/>
      <c r="H575" s="201"/>
      <c r="I575" s="195"/>
      <c r="J575" s="201"/>
      <c r="K575" s="193"/>
      <c r="L575" s="202"/>
      <c r="M575" s="195"/>
      <c r="N575" s="195"/>
      <c r="O575" s="195"/>
      <c r="P575" s="195"/>
      <c r="Q575" s="203"/>
      <c r="R575" s="198"/>
      <c r="S575" s="199"/>
      <c r="T575" s="199"/>
      <c r="U575" s="199"/>
      <c r="V575" s="199"/>
      <c r="W575" s="199"/>
      <c r="X575" s="199"/>
    </row>
    <row r="576">
      <c r="A576" s="247"/>
      <c r="B576" s="199"/>
      <c r="C576" s="247"/>
      <c r="D576" s="247"/>
      <c r="E576" s="195"/>
      <c r="F576" s="201"/>
      <c r="G576" s="195"/>
      <c r="H576" s="201"/>
      <c r="I576" s="195"/>
      <c r="J576" s="201"/>
      <c r="K576" s="193"/>
      <c r="L576" s="202"/>
      <c r="M576" s="195"/>
      <c r="N576" s="195"/>
      <c r="O576" s="195"/>
      <c r="P576" s="195"/>
      <c r="Q576" s="203"/>
      <c r="R576" s="198"/>
      <c r="S576" s="199"/>
      <c r="T576" s="199"/>
      <c r="U576" s="199"/>
      <c r="V576" s="199"/>
      <c r="W576" s="199"/>
      <c r="X576" s="199"/>
    </row>
    <row r="577">
      <c r="A577" s="247"/>
      <c r="B577" s="199"/>
      <c r="C577" s="247"/>
      <c r="D577" s="247"/>
      <c r="E577" s="195"/>
      <c r="F577" s="201"/>
      <c r="G577" s="195"/>
      <c r="H577" s="201"/>
      <c r="I577" s="195"/>
      <c r="J577" s="201"/>
      <c r="K577" s="193"/>
      <c r="L577" s="202"/>
      <c r="M577" s="195"/>
      <c r="N577" s="195"/>
      <c r="O577" s="195"/>
      <c r="P577" s="195"/>
      <c r="Q577" s="203"/>
      <c r="R577" s="198"/>
      <c r="S577" s="199"/>
      <c r="T577" s="199"/>
      <c r="U577" s="199"/>
      <c r="V577" s="199"/>
      <c r="W577" s="199"/>
      <c r="X577" s="199"/>
    </row>
    <row r="578">
      <c r="A578" s="247"/>
      <c r="B578" s="199"/>
      <c r="C578" s="247"/>
      <c r="D578" s="247"/>
      <c r="E578" s="195"/>
      <c r="F578" s="201"/>
      <c r="G578" s="195"/>
      <c r="H578" s="201"/>
      <c r="I578" s="195"/>
      <c r="J578" s="201"/>
      <c r="K578" s="193"/>
      <c r="L578" s="202"/>
      <c r="M578" s="195"/>
      <c r="N578" s="195"/>
      <c r="O578" s="195"/>
      <c r="P578" s="195"/>
      <c r="Q578" s="203"/>
      <c r="R578" s="198"/>
      <c r="S578" s="199"/>
      <c r="T578" s="199"/>
      <c r="U578" s="199"/>
      <c r="V578" s="199"/>
      <c r="W578" s="199"/>
      <c r="X578" s="199"/>
    </row>
    <row r="579">
      <c r="A579" s="247"/>
      <c r="B579" s="199"/>
      <c r="C579" s="247"/>
      <c r="D579" s="247"/>
      <c r="E579" s="195"/>
      <c r="F579" s="201"/>
      <c r="G579" s="195"/>
      <c r="H579" s="201"/>
      <c r="I579" s="195"/>
      <c r="J579" s="201"/>
      <c r="K579" s="193"/>
      <c r="L579" s="202"/>
      <c r="M579" s="195"/>
      <c r="N579" s="195"/>
      <c r="O579" s="195"/>
      <c r="P579" s="195"/>
      <c r="Q579" s="203"/>
      <c r="R579" s="198"/>
      <c r="S579" s="199"/>
      <c r="T579" s="199"/>
      <c r="U579" s="199"/>
      <c r="V579" s="199"/>
      <c r="W579" s="199"/>
      <c r="X579" s="199"/>
    </row>
    <row r="580">
      <c r="A580" s="247"/>
      <c r="B580" s="199"/>
      <c r="C580" s="247"/>
      <c r="D580" s="247"/>
      <c r="E580" s="195"/>
      <c r="F580" s="201"/>
      <c r="G580" s="195"/>
      <c r="H580" s="201"/>
      <c r="I580" s="195"/>
      <c r="J580" s="201"/>
      <c r="K580" s="193"/>
      <c r="L580" s="202"/>
      <c r="M580" s="195"/>
      <c r="N580" s="195"/>
      <c r="O580" s="195"/>
      <c r="P580" s="195"/>
      <c r="Q580" s="203"/>
      <c r="R580" s="198"/>
      <c r="S580" s="199"/>
      <c r="T580" s="199"/>
      <c r="U580" s="199"/>
      <c r="V580" s="199"/>
      <c r="W580" s="199"/>
      <c r="X580" s="199"/>
    </row>
    <row r="581">
      <c r="A581" s="247"/>
      <c r="B581" s="199"/>
      <c r="C581" s="247"/>
      <c r="D581" s="247"/>
      <c r="E581" s="195"/>
      <c r="F581" s="201"/>
      <c r="G581" s="195"/>
      <c r="H581" s="201"/>
      <c r="I581" s="195"/>
      <c r="J581" s="201"/>
      <c r="K581" s="193"/>
      <c r="L581" s="202"/>
      <c r="M581" s="195"/>
      <c r="N581" s="195"/>
      <c r="O581" s="195"/>
      <c r="P581" s="195"/>
      <c r="Q581" s="203"/>
      <c r="R581" s="198"/>
      <c r="S581" s="199"/>
      <c r="T581" s="199"/>
      <c r="U581" s="199"/>
      <c r="V581" s="199"/>
      <c r="W581" s="199"/>
      <c r="X581" s="199"/>
    </row>
    <row r="582">
      <c r="A582" s="247"/>
      <c r="B582" s="199"/>
      <c r="C582" s="247"/>
      <c r="D582" s="247"/>
      <c r="E582" s="195"/>
      <c r="F582" s="201"/>
      <c r="G582" s="195"/>
      <c r="H582" s="201"/>
      <c r="I582" s="195"/>
      <c r="J582" s="201"/>
      <c r="K582" s="193"/>
      <c r="L582" s="202"/>
      <c r="M582" s="195"/>
      <c r="N582" s="195"/>
      <c r="O582" s="195"/>
      <c r="P582" s="195"/>
      <c r="Q582" s="203"/>
      <c r="R582" s="198"/>
      <c r="S582" s="199"/>
      <c r="T582" s="199"/>
      <c r="U582" s="199"/>
      <c r="V582" s="199"/>
      <c r="W582" s="199"/>
      <c r="X582" s="199"/>
    </row>
    <row r="583">
      <c r="A583" s="247"/>
      <c r="B583" s="199"/>
      <c r="C583" s="247"/>
      <c r="D583" s="247"/>
      <c r="E583" s="195"/>
      <c r="F583" s="201"/>
      <c r="G583" s="195"/>
      <c r="H583" s="201"/>
      <c r="I583" s="195"/>
      <c r="J583" s="201"/>
      <c r="K583" s="193"/>
      <c r="L583" s="202"/>
      <c r="M583" s="195"/>
      <c r="N583" s="195"/>
      <c r="O583" s="195"/>
      <c r="P583" s="195"/>
      <c r="Q583" s="203"/>
      <c r="R583" s="198"/>
      <c r="S583" s="199"/>
      <c r="T583" s="199"/>
      <c r="U583" s="199"/>
      <c r="V583" s="199"/>
      <c r="W583" s="199"/>
      <c r="X583" s="199"/>
    </row>
    <row r="584">
      <c r="A584" s="247"/>
      <c r="B584" s="199"/>
      <c r="C584" s="247"/>
      <c r="D584" s="247"/>
      <c r="E584" s="195"/>
      <c r="F584" s="201"/>
      <c r="G584" s="195"/>
      <c r="H584" s="201"/>
      <c r="I584" s="195"/>
      <c r="J584" s="201"/>
      <c r="K584" s="193"/>
      <c r="L584" s="202"/>
      <c r="M584" s="195"/>
      <c r="N584" s="195"/>
      <c r="O584" s="195"/>
      <c r="P584" s="195"/>
      <c r="Q584" s="203"/>
      <c r="R584" s="198"/>
      <c r="S584" s="199"/>
      <c r="T584" s="199"/>
      <c r="U584" s="199"/>
      <c r="V584" s="199"/>
      <c r="W584" s="199"/>
      <c r="X584" s="199"/>
    </row>
    <row r="585">
      <c r="A585" s="247"/>
      <c r="B585" s="199"/>
      <c r="C585" s="247"/>
      <c r="D585" s="247"/>
      <c r="E585" s="195"/>
      <c r="F585" s="201"/>
      <c r="G585" s="195"/>
      <c r="H585" s="201"/>
      <c r="I585" s="195"/>
      <c r="J585" s="201"/>
      <c r="K585" s="193"/>
      <c r="L585" s="202"/>
      <c r="M585" s="195"/>
      <c r="N585" s="195"/>
      <c r="O585" s="195"/>
      <c r="P585" s="195"/>
      <c r="Q585" s="203"/>
      <c r="R585" s="198"/>
      <c r="S585" s="199"/>
      <c r="T585" s="199"/>
      <c r="U585" s="199"/>
      <c r="V585" s="199"/>
      <c r="W585" s="199"/>
      <c r="X585" s="199"/>
    </row>
    <row r="586">
      <c r="A586" s="247"/>
      <c r="B586" s="199"/>
      <c r="C586" s="247"/>
      <c r="D586" s="247"/>
      <c r="E586" s="195"/>
      <c r="F586" s="201"/>
      <c r="G586" s="195"/>
      <c r="H586" s="201"/>
      <c r="I586" s="195"/>
      <c r="J586" s="201"/>
      <c r="K586" s="193"/>
      <c r="L586" s="202"/>
      <c r="M586" s="195"/>
      <c r="N586" s="195"/>
      <c r="O586" s="195"/>
      <c r="P586" s="195"/>
      <c r="Q586" s="203"/>
      <c r="R586" s="198"/>
      <c r="S586" s="199"/>
      <c r="T586" s="199"/>
      <c r="U586" s="199"/>
      <c r="V586" s="199"/>
      <c r="W586" s="199"/>
      <c r="X586" s="199"/>
    </row>
    <row r="587">
      <c r="A587" s="247"/>
      <c r="B587" s="199"/>
      <c r="C587" s="247"/>
      <c r="D587" s="247"/>
      <c r="E587" s="195"/>
      <c r="F587" s="201"/>
      <c r="G587" s="195"/>
      <c r="H587" s="201"/>
      <c r="I587" s="195"/>
      <c r="J587" s="201"/>
      <c r="K587" s="193"/>
      <c r="L587" s="202"/>
      <c r="M587" s="195"/>
      <c r="N587" s="195"/>
      <c r="O587" s="195"/>
      <c r="P587" s="195"/>
      <c r="Q587" s="203"/>
      <c r="R587" s="198"/>
      <c r="S587" s="199"/>
      <c r="T587" s="199"/>
      <c r="U587" s="199"/>
      <c r="V587" s="199"/>
      <c r="W587" s="199"/>
      <c r="X587" s="199"/>
    </row>
    <row r="588">
      <c r="A588" s="247"/>
      <c r="B588" s="199"/>
      <c r="C588" s="247"/>
      <c r="D588" s="247"/>
      <c r="E588" s="195"/>
      <c r="F588" s="201"/>
      <c r="G588" s="195"/>
      <c r="H588" s="201"/>
      <c r="I588" s="195"/>
      <c r="J588" s="201"/>
      <c r="K588" s="193"/>
      <c r="L588" s="202"/>
      <c r="M588" s="195"/>
      <c r="N588" s="195"/>
      <c r="O588" s="195"/>
      <c r="P588" s="195"/>
      <c r="Q588" s="203"/>
      <c r="R588" s="198"/>
      <c r="S588" s="199"/>
      <c r="T588" s="199"/>
      <c r="U588" s="199"/>
      <c r="V588" s="199"/>
      <c r="W588" s="199"/>
      <c r="X588" s="199"/>
    </row>
    <row r="589">
      <c r="A589" s="247"/>
      <c r="B589" s="199"/>
      <c r="C589" s="247"/>
      <c r="D589" s="247"/>
      <c r="E589" s="195"/>
      <c r="F589" s="201"/>
      <c r="G589" s="195"/>
      <c r="H589" s="201"/>
      <c r="I589" s="195"/>
      <c r="J589" s="201"/>
      <c r="K589" s="193"/>
      <c r="L589" s="202"/>
      <c r="M589" s="195"/>
      <c r="N589" s="195"/>
      <c r="O589" s="195"/>
      <c r="P589" s="195"/>
      <c r="Q589" s="203"/>
      <c r="R589" s="198"/>
      <c r="S589" s="199"/>
      <c r="T589" s="199"/>
      <c r="U589" s="199"/>
      <c r="V589" s="199"/>
      <c r="W589" s="199"/>
      <c r="X589" s="199"/>
    </row>
    <row r="590">
      <c r="A590" s="247"/>
      <c r="B590" s="199"/>
      <c r="C590" s="247"/>
      <c r="D590" s="247"/>
      <c r="E590" s="195"/>
      <c r="F590" s="201"/>
      <c r="G590" s="195"/>
      <c r="H590" s="201"/>
      <c r="I590" s="195"/>
      <c r="J590" s="201"/>
      <c r="K590" s="193"/>
      <c r="L590" s="202"/>
      <c r="M590" s="195"/>
      <c r="N590" s="195"/>
      <c r="O590" s="195"/>
      <c r="P590" s="195"/>
      <c r="Q590" s="203"/>
      <c r="R590" s="198"/>
      <c r="S590" s="199"/>
      <c r="T590" s="199"/>
      <c r="U590" s="199"/>
      <c r="V590" s="199"/>
      <c r="W590" s="199"/>
      <c r="X590" s="199"/>
    </row>
    <row r="591">
      <c r="A591" s="247"/>
      <c r="B591" s="199"/>
      <c r="C591" s="247"/>
      <c r="D591" s="247"/>
      <c r="E591" s="195"/>
      <c r="F591" s="201"/>
      <c r="G591" s="195"/>
      <c r="H591" s="201"/>
      <c r="I591" s="195"/>
      <c r="J591" s="201"/>
      <c r="K591" s="193"/>
      <c r="L591" s="202"/>
      <c r="M591" s="195"/>
      <c r="N591" s="195"/>
      <c r="O591" s="195"/>
      <c r="P591" s="195"/>
      <c r="Q591" s="203"/>
      <c r="R591" s="198"/>
      <c r="S591" s="199"/>
      <c r="T591" s="199"/>
      <c r="U591" s="199"/>
      <c r="V591" s="199"/>
      <c r="W591" s="199"/>
      <c r="X591" s="199"/>
    </row>
    <row r="592">
      <c r="A592" s="247"/>
      <c r="B592" s="199"/>
      <c r="C592" s="247"/>
      <c r="D592" s="247"/>
      <c r="E592" s="195"/>
      <c r="F592" s="201"/>
      <c r="G592" s="195"/>
      <c r="H592" s="201"/>
      <c r="I592" s="195"/>
      <c r="J592" s="201"/>
      <c r="K592" s="193"/>
      <c r="L592" s="202"/>
      <c r="M592" s="195"/>
      <c r="N592" s="195"/>
      <c r="O592" s="195"/>
      <c r="P592" s="195"/>
      <c r="Q592" s="203"/>
      <c r="R592" s="198"/>
      <c r="S592" s="199"/>
      <c r="T592" s="199"/>
      <c r="U592" s="199"/>
      <c r="V592" s="199"/>
      <c r="W592" s="199"/>
      <c r="X592" s="199"/>
    </row>
    <row r="593">
      <c r="A593" s="247"/>
      <c r="B593" s="199"/>
      <c r="C593" s="247"/>
      <c r="D593" s="247"/>
      <c r="E593" s="195"/>
      <c r="F593" s="201"/>
      <c r="G593" s="195"/>
      <c r="H593" s="201"/>
      <c r="I593" s="195"/>
      <c r="J593" s="201"/>
      <c r="K593" s="193"/>
      <c r="L593" s="202"/>
      <c r="M593" s="195"/>
      <c r="N593" s="195"/>
      <c r="O593" s="195"/>
      <c r="P593" s="195"/>
      <c r="Q593" s="203"/>
      <c r="R593" s="198"/>
      <c r="S593" s="199"/>
      <c r="T593" s="199"/>
      <c r="U593" s="199"/>
      <c r="V593" s="199"/>
      <c r="W593" s="199"/>
      <c r="X593" s="199"/>
    </row>
    <row r="594">
      <c r="A594" s="247"/>
      <c r="B594" s="199"/>
      <c r="C594" s="247"/>
      <c r="D594" s="247"/>
      <c r="E594" s="195"/>
      <c r="F594" s="201"/>
      <c r="G594" s="195"/>
      <c r="H594" s="201"/>
      <c r="I594" s="195"/>
      <c r="J594" s="201"/>
      <c r="K594" s="193"/>
      <c r="L594" s="202"/>
      <c r="M594" s="195"/>
      <c r="N594" s="195"/>
      <c r="O594" s="195"/>
      <c r="P594" s="195"/>
      <c r="Q594" s="203"/>
      <c r="R594" s="198"/>
      <c r="S594" s="199"/>
      <c r="T594" s="199"/>
      <c r="U594" s="199"/>
      <c r="V594" s="199"/>
      <c r="W594" s="199"/>
      <c r="X594" s="199"/>
    </row>
    <row r="595">
      <c r="A595" s="247"/>
      <c r="B595" s="199"/>
      <c r="C595" s="247"/>
      <c r="D595" s="247"/>
      <c r="E595" s="195"/>
      <c r="F595" s="201"/>
      <c r="G595" s="195"/>
      <c r="H595" s="201"/>
      <c r="I595" s="195"/>
      <c r="J595" s="201"/>
      <c r="K595" s="193"/>
      <c r="L595" s="202"/>
      <c r="M595" s="195"/>
      <c r="N595" s="195"/>
      <c r="O595" s="195"/>
      <c r="P595" s="195"/>
      <c r="Q595" s="203"/>
      <c r="R595" s="198"/>
      <c r="S595" s="199"/>
      <c r="T595" s="199"/>
      <c r="U595" s="199"/>
      <c r="V595" s="199"/>
      <c r="W595" s="199"/>
      <c r="X595" s="199"/>
    </row>
    <row r="596">
      <c r="A596" s="247"/>
      <c r="B596" s="199"/>
      <c r="C596" s="247"/>
      <c r="D596" s="247"/>
      <c r="E596" s="195"/>
      <c r="F596" s="201"/>
      <c r="G596" s="195"/>
      <c r="H596" s="201"/>
      <c r="I596" s="195"/>
      <c r="J596" s="201"/>
      <c r="K596" s="193"/>
      <c r="L596" s="202"/>
      <c r="M596" s="195"/>
      <c r="N596" s="195"/>
      <c r="O596" s="195"/>
      <c r="P596" s="195"/>
      <c r="Q596" s="203"/>
      <c r="R596" s="198"/>
      <c r="S596" s="199"/>
      <c r="T596" s="199"/>
      <c r="U596" s="199"/>
      <c r="V596" s="199"/>
      <c r="W596" s="199"/>
      <c r="X596" s="199"/>
    </row>
    <row r="597">
      <c r="A597" s="247"/>
      <c r="B597" s="199"/>
      <c r="C597" s="247"/>
      <c r="D597" s="247"/>
      <c r="E597" s="195"/>
      <c r="F597" s="201"/>
      <c r="G597" s="195"/>
      <c r="H597" s="201"/>
      <c r="I597" s="195"/>
      <c r="J597" s="201"/>
      <c r="K597" s="193"/>
      <c r="L597" s="202"/>
      <c r="M597" s="195"/>
      <c r="N597" s="195"/>
      <c r="O597" s="195"/>
      <c r="P597" s="195"/>
      <c r="Q597" s="203"/>
      <c r="R597" s="198"/>
      <c r="S597" s="199"/>
      <c r="T597" s="199"/>
      <c r="U597" s="199"/>
      <c r="V597" s="199"/>
      <c r="W597" s="199"/>
      <c r="X597" s="199"/>
    </row>
    <row r="598">
      <c r="A598" s="247"/>
      <c r="B598" s="199"/>
      <c r="C598" s="247"/>
      <c r="D598" s="247"/>
      <c r="E598" s="195"/>
      <c r="F598" s="201"/>
      <c r="G598" s="195"/>
      <c r="H598" s="201"/>
      <c r="I598" s="195"/>
      <c r="J598" s="201"/>
      <c r="K598" s="193"/>
      <c r="L598" s="202"/>
      <c r="M598" s="195"/>
      <c r="N598" s="195"/>
      <c r="O598" s="195"/>
      <c r="P598" s="195"/>
      <c r="Q598" s="203"/>
      <c r="R598" s="198"/>
      <c r="S598" s="199"/>
      <c r="T598" s="199"/>
      <c r="U598" s="199"/>
      <c r="V598" s="199"/>
      <c r="W598" s="199"/>
      <c r="X598" s="199"/>
    </row>
    <row r="599">
      <c r="A599" s="247"/>
      <c r="B599" s="199"/>
      <c r="C599" s="247"/>
      <c r="D599" s="247"/>
      <c r="E599" s="195"/>
      <c r="F599" s="201"/>
      <c r="G599" s="195"/>
      <c r="H599" s="201"/>
      <c r="I599" s="195"/>
      <c r="J599" s="201"/>
      <c r="K599" s="193"/>
      <c r="L599" s="202"/>
      <c r="M599" s="195"/>
      <c r="N599" s="195"/>
      <c r="O599" s="195"/>
      <c r="P599" s="195"/>
      <c r="Q599" s="203"/>
      <c r="R599" s="198"/>
      <c r="S599" s="199"/>
      <c r="T599" s="199"/>
      <c r="U599" s="199"/>
      <c r="V599" s="199"/>
      <c r="W599" s="199"/>
      <c r="X599" s="199"/>
    </row>
    <row r="600">
      <c r="A600" s="247"/>
      <c r="B600" s="199"/>
      <c r="C600" s="247"/>
      <c r="D600" s="247"/>
      <c r="E600" s="195"/>
      <c r="F600" s="201"/>
      <c r="G600" s="195"/>
      <c r="H600" s="201"/>
      <c r="I600" s="195"/>
      <c r="J600" s="201"/>
      <c r="K600" s="193"/>
      <c r="L600" s="202"/>
      <c r="M600" s="195"/>
      <c r="N600" s="195"/>
      <c r="O600" s="195"/>
      <c r="P600" s="195"/>
      <c r="Q600" s="203"/>
      <c r="R600" s="198"/>
      <c r="S600" s="199"/>
      <c r="T600" s="199"/>
      <c r="U600" s="199"/>
      <c r="V600" s="199"/>
      <c r="W600" s="199"/>
      <c r="X600" s="199"/>
    </row>
    <row r="601">
      <c r="A601" s="247"/>
      <c r="B601" s="199"/>
      <c r="C601" s="247"/>
      <c r="D601" s="247"/>
      <c r="E601" s="195"/>
      <c r="F601" s="201"/>
      <c r="G601" s="195"/>
      <c r="H601" s="201"/>
      <c r="I601" s="195"/>
      <c r="J601" s="201"/>
      <c r="K601" s="193"/>
      <c r="L601" s="202"/>
      <c r="M601" s="195"/>
      <c r="N601" s="195"/>
      <c r="O601" s="195"/>
      <c r="P601" s="195"/>
      <c r="Q601" s="203"/>
      <c r="R601" s="198"/>
      <c r="S601" s="199"/>
      <c r="T601" s="199"/>
      <c r="U601" s="199"/>
      <c r="V601" s="199"/>
      <c r="W601" s="199"/>
      <c r="X601" s="199"/>
    </row>
    <row r="602">
      <c r="A602" s="247"/>
      <c r="B602" s="199"/>
      <c r="C602" s="247"/>
      <c r="D602" s="247"/>
      <c r="E602" s="195"/>
      <c r="F602" s="201"/>
      <c r="G602" s="195"/>
      <c r="H602" s="201"/>
      <c r="I602" s="195"/>
      <c r="J602" s="201"/>
      <c r="K602" s="193"/>
      <c r="L602" s="202"/>
      <c r="M602" s="195"/>
      <c r="N602" s="195"/>
      <c r="O602" s="195"/>
      <c r="P602" s="195"/>
      <c r="Q602" s="203"/>
      <c r="R602" s="198"/>
      <c r="S602" s="199"/>
      <c r="T602" s="199"/>
      <c r="U602" s="199"/>
      <c r="V602" s="199"/>
      <c r="W602" s="199"/>
      <c r="X602" s="199"/>
    </row>
    <row r="603">
      <c r="A603" s="247"/>
      <c r="B603" s="199"/>
      <c r="C603" s="247"/>
      <c r="D603" s="247"/>
      <c r="E603" s="195"/>
      <c r="F603" s="201"/>
      <c r="G603" s="195"/>
      <c r="H603" s="201"/>
      <c r="I603" s="195"/>
      <c r="J603" s="201"/>
      <c r="K603" s="193"/>
      <c r="L603" s="202"/>
      <c r="M603" s="195"/>
      <c r="N603" s="195"/>
      <c r="O603" s="195"/>
      <c r="P603" s="195"/>
      <c r="Q603" s="203"/>
      <c r="R603" s="198"/>
      <c r="S603" s="199"/>
      <c r="T603" s="199"/>
      <c r="U603" s="199"/>
      <c r="V603" s="199"/>
      <c r="W603" s="199"/>
      <c r="X603" s="199"/>
    </row>
    <row r="604">
      <c r="A604" s="247"/>
      <c r="B604" s="199"/>
      <c r="C604" s="247"/>
      <c r="D604" s="247"/>
      <c r="E604" s="195"/>
      <c r="F604" s="201"/>
      <c r="G604" s="195"/>
      <c r="H604" s="201"/>
      <c r="I604" s="195"/>
      <c r="J604" s="201"/>
      <c r="K604" s="193"/>
      <c r="L604" s="202"/>
      <c r="M604" s="195"/>
      <c r="N604" s="195"/>
      <c r="O604" s="195"/>
      <c r="P604" s="195"/>
      <c r="Q604" s="203"/>
      <c r="R604" s="198"/>
      <c r="S604" s="199"/>
      <c r="T604" s="199"/>
      <c r="U604" s="199"/>
      <c r="V604" s="199"/>
      <c r="W604" s="199"/>
      <c r="X604" s="199"/>
    </row>
    <row r="605">
      <c r="A605" s="247"/>
      <c r="B605" s="199"/>
      <c r="C605" s="247"/>
      <c r="D605" s="247"/>
      <c r="E605" s="195"/>
      <c r="F605" s="201"/>
      <c r="G605" s="195"/>
      <c r="H605" s="201"/>
      <c r="I605" s="195"/>
      <c r="J605" s="201"/>
      <c r="K605" s="193"/>
      <c r="L605" s="202"/>
      <c r="M605" s="195"/>
      <c r="N605" s="195"/>
      <c r="O605" s="195"/>
      <c r="P605" s="195"/>
      <c r="Q605" s="203"/>
      <c r="R605" s="198"/>
      <c r="S605" s="199"/>
      <c r="T605" s="199"/>
      <c r="U605" s="199"/>
      <c r="V605" s="199"/>
      <c r="W605" s="199"/>
      <c r="X605" s="199"/>
    </row>
    <row r="606">
      <c r="A606" s="247"/>
      <c r="B606" s="199"/>
      <c r="C606" s="247"/>
      <c r="D606" s="247"/>
      <c r="E606" s="195"/>
      <c r="F606" s="201"/>
      <c r="G606" s="195"/>
      <c r="H606" s="201"/>
      <c r="I606" s="195"/>
      <c r="J606" s="201"/>
      <c r="K606" s="193"/>
      <c r="L606" s="202"/>
      <c r="M606" s="195"/>
      <c r="N606" s="195"/>
      <c r="O606" s="195"/>
      <c r="P606" s="195"/>
      <c r="Q606" s="203"/>
      <c r="R606" s="198"/>
      <c r="S606" s="199"/>
      <c r="T606" s="199"/>
      <c r="U606" s="199"/>
      <c r="V606" s="199"/>
      <c r="W606" s="199"/>
      <c r="X606" s="199"/>
    </row>
    <row r="607">
      <c r="A607" s="247"/>
      <c r="B607" s="199"/>
      <c r="C607" s="247"/>
      <c r="D607" s="247"/>
      <c r="E607" s="195"/>
      <c r="F607" s="201"/>
      <c r="G607" s="195"/>
      <c r="H607" s="201"/>
      <c r="I607" s="195"/>
      <c r="J607" s="201"/>
      <c r="K607" s="193"/>
      <c r="L607" s="202"/>
      <c r="M607" s="195"/>
      <c r="N607" s="195"/>
      <c r="O607" s="195"/>
      <c r="P607" s="195"/>
      <c r="Q607" s="203"/>
      <c r="R607" s="198"/>
      <c r="S607" s="199"/>
      <c r="T607" s="199"/>
      <c r="U607" s="199"/>
      <c r="V607" s="199"/>
      <c r="W607" s="199"/>
      <c r="X607" s="199"/>
    </row>
    <row r="608">
      <c r="A608" s="247"/>
      <c r="B608" s="199"/>
      <c r="C608" s="247"/>
      <c r="D608" s="247"/>
      <c r="E608" s="195"/>
      <c r="F608" s="201"/>
      <c r="G608" s="195"/>
      <c r="H608" s="201"/>
      <c r="I608" s="195"/>
      <c r="J608" s="201"/>
      <c r="K608" s="193"/>
      <c r="L608" s="202"/>
      <c r="M608" s="195"/>
      <c r="N608" s="195"/>
      <c r="O608" s="195"/>
      <c r="P608" s="195"/>
      <c r="Q608" s="203"/>
      <c r="R608" s="198"/>
      <c r="S608" s="199"/>
      <c r="T608" s="199"/>
      <c r="U608" s="199"/>
      <c r="V608" s="199"/>
      <c r="W608" s="199"/>
      <c r="X608" s="199"/>
    </row>
    <row r="609">
      <c r="A609" s="247"/>
      <c r="B609" s="199"/>
      <c r="C609" s="247"/>
      <c r="D609" s="247"/>
      <c r="E609" s="195"/>
      <c r="F609" s="201"/>
      <c r="G609" s="195"/>
      <c r="H609" s="201"/>
      <c r="I609" s="195"/>
      <c r="J609" s="201"/>
      <c r="K609" s="193"/>
      <c r="L609" s="202"/>
      <c r="M609" s="195"/>
      <c r="N609" s="195"/>
      <c r="O609" s="195"/>
      <c r="P609" s="195"/>
      <c r="Q609" s="203"/>
      <c r="R609" s="198"/>
      <c r="S609" s="199"/>
      <c r="T609" s="199"/>
      <c r="U609" s="199"/>
      <c r="V609" s="199"/>
      <c r="W609" s="199"/>
      <c r="X609" s="199"/>
    </row>
    <row r="610">
      <c r="A610" s="247"/>
      <c r="B610" s="199"/>
      <c r="C610" s="247"/>
      <c r="D610" s="247"/>
      <c r="E610" s="195"/>
      <c r="F610" s="201"/>
      <c r="G610" s="195"/>
      <c r="H610" s="201"/>
      <c r="I610" s="195"/>
      <c r="J610" s="201"/>
      <c r="K610" s="193"/>
      <c r="L610" s="202"/>
      <c r="M610" s="195"/>
      <c r="N610" s="195"/>
      <c r="O610" s="195"/>
      <c r="P610" s="195"/>
      <c r="Q610" s="203"/>
      <c r="R610" s="198"/>
      <c r="S610" s="199"/>
      <c r="T610" s="199"/>
      <c r="U610" s="199"/>
      <c r="V610" s="199"/>
      <c r="W610" s="199"/>
      <c r="X610" s="199"/>
    </row>
    <row r="611">
      <c r="A611" s="247"/>
      <c r="B611" s="199"/>
      <c r="C611" s="247"/>
      <c r="D611" s="247"/>
      <c r="E611" s="195"/>
      <c r="F611" s="201"/>
      <c r="G611" s="195"/>
      <c r="H611" s="201"/>
      <c r="I611" s="195"/>
      <c r="J611" s="201"/>
      <c r="K611" s="193"/>
      <c r="L611" s="202"/>
      <c r="M611" s="195"/>
      <c r="N611" s="195"/>
      <c r="O611" s="195"/>
      <c r="P611" s="195"/>
      <c r="Q611" s="203"/>
      <c r="R611" s="198"/>
      <c r="S611" s="199"/>
      <c r="T611" s="199"/>
      <c r="U611" s="199"/>
      <c r="V611" s="199"/>
      <c r="W611" s="199"/>
      <c r="X611" s="199"/>
    </row>
    <row r="612">
      <c r="A612" s="247"/>
      <c r="B612" s="199"/>
      <c r="C612" s="247"/>
      <c r="D612" s="247"/>
      <c r="E612" s="195"/>
      <c r="F612" s="201"/>
      <c r="G612" s="195"/>
      <c r="H612" s="201"/>
      <c r="I612" s="195"/>
      <c r="J612" s="201"/>
      <c r="K612" s="193"/>
      <c r="L612" s="202"/>
      <c r="M612" s="195"/>
      <c r="N612" s="195"/>
      <c r="O612" s="195"/>
      <c r="P612" s="195"/>
      <c r="Q612" s="203"/>
      <c r="R612" s="198"/>
      <c r="S612" s="199"/>
      <c r="T612" s="199"/>
      <c r="U612" s="199"/>
      <c r="V612" s="199"/>
      <c r="W612" s="199"/>
      <c r="X612" s="199"/>
    </row>
    <row r="613">
      <c r="A613" s="247"/>
      <c r="B613" s="199"/>
      <c r="C613" s="247"/>
      <c r="D613" s="247"/>
      <c r="E613" s="195"/>
      <c r="F613" s="201"/>
      <c r="G613" s="195"/>
      <c r="H613" s="201"/>
      <c r="I613" s="195"/>
      <c r="J613" s="201"/>
      <c r="K613" s="193"/>
      <c r="L613" s="202"/>
      <c r="M613" s="195"/>
      <c r="N613" s="195"/>
      <c r="O613" s="195"/>
      <c r="P613" s="195"/>
      <c r="Q613" s="203"/>
      <c r="R613" s="198"/>
      <c r="S613" s="199"/>
      <c r="T613" s="199"/>
      <c r="U613" s="199"/>
      <c r="V613" s="199"/>
      <c r="W613" s="199"/>
      <c r="X613" s="199"/>
    </row>
    <row r="614">
      <c r="A614" s="247"/>
      <c r="B614" s="199"/>
      <c r="C614" s="247"/>
      <c r="D614" s="247"/>
      <c r="E614" s="195"/>
      <c r="F614" s="201"/>
      <c r="G614" s="195"/>
      <c r="H614" s="201"/>
      <c r="I614" s="195"/>
      <c r="J614" s="201"/>
      <c r="K614" s="193"/>
      <c r="L614" s="202"/>
      <c r="M614" s="195"/>
      <c r="N614" s="195"/>
      <c r="O614" s="195"/>
      <c r="P614" s="195"/>
      <c r="Q614" s="203"/>
      <c r="R614" s="198"/>
      <c r="S614" s="199"/>
      <c r="T614" s="199"/>
      <c r="U614" s="199"/>
      <c r="V614" s="199"/>
      <c r="W614" s="199"/>
      <c r="X614" s="199"/>
    </row>
    <row r="615">
      <c r="A615" s="247"/>
      <c r="B615" s="199"/>
      <c r="C615" s="247"/>
      <c r="D615" s="247"/>
      <c r="E615" s="195"/>
      <c r="F615" s="201"/>
      <c r="G615" s="195"/>
      <c r="H615" s="201"/>
      <c r="I615" s="195"/>
      <c r="J615" s="201"/>
      <c r="K615" s="193"/>
      <c r="L615" s="202"/>
      <c r="M615" s="195"/>
      <c r="N615" s="195"/>
      <c r="O615" s="195"/>
      <c r="P615" s="195"/>
      <c r="Q615" s="203"/>
      <c r="R615" s="198"/>
      <c r="S615" s="199"/>
      <c r="T615" s="199"/>
      <c r="U615" s="199"/>
      <c r="V615" s="199"/>
      <c r="W615" s="199"/>
      <c r="X615" s="199"/>
    </row>
    <row r="616">
      <c r="A616" s="247"/>
      <c r="B616" s="199"/>
      <c r="C616" s="247"/>
      <c r="D616" s="247"/>
      <c r="E616" s="195"/>
      <c r="F616" s="201"/>
      <c r="G616" s="195"/>
      <c r="H616" s="201"/>
      <c r="I616" s="195"/>
      <c r="J616" s="201"/>
      <c r="K616" s="193"/>
      <c r="L616" s="202"/>
      <c r="M616" s="195"/>
      <c r="N616" s="195"/>
      <c r="O616" s="195"/>
      <c r="P616" s="195"/>
      <c r="Q616" s="203"/>
      <c r="R616" s="198"/>
      <c r="S616" s="199"/>
      <c r="T616" s="199"/>
      <c r="U616" s="199"/>
      <c r="V616" s="199"/>
      <c r="W616" s="199"/>
      <c r="X616" s="199"/>
    </row>
    <row r="617">
      <c r="A617" s="247"/>
      <c r="B617" s="199"/>
      <c r="C617" s="247"/>
      <c r="D617" s="247"/>
      <c r="E617" s="195"/>
      <c r="F617" s="201"/>
      <c r="G617" s="195"/>
      <c r="H617" s="201"/>
      <c r="I617" s="195"/>
      <c r="J617" s="201"/>
      <c r="K617" s="193"/>
      <c r="L617" s="202"/>
      <c r="M617" s="195"/>
      <c r="N617" s="195"/>
      <c r="O617" s="195"/>
      <c r="P617" s="195"/>
      <c r="Q617" s="203"/>
      <c r="R617" s="198"/>
      <c r="S617" s="199"/>
      <c r="T617" s="199"/>
      <c r="U617" s="199"/>
      <c r="V617" s="199"/>
      <c r="W617" s="199"/>
      <c r="X617" s="199"/>
    </row>
    <row r="618">
      <c r="A618" s="247"/>
      <c r="B618" s="199"/>
      <c r="C618" s="247"/>
      <c r="D618" s="247"/>
      <c r="E618" s="195"/>
      <c r="F618" s="201"/>
      <c r="G618" s="195"/>
      <c r="H618" s="201"/>
      <c r="I618" s="195"/>
      <c r="J618" s="201"/>
      <c r="K618" s="193"/>
      <c r="L618" s="202"/>
      <c r="M618" s="195"/>
      <c r="N618" s="195"/>
      <c r="O618" s="195"/>
      <c r="P618" s="195"/>
      <c r="Q618" s="203"/>
      <c r="R618" s="198"/>
      <c r="S618" s="199"/>
      <c r="T618" s="199"/>
      <c r="U618" s="199"/>
      <c r="V618" s="199"/>
      <c r="W618" s="199"/>
      <c r="X618" s="199"/>
    </row>
    <row r="619">
      <c r="A619" s="247"/>
      <c r="B619" s="199"/>
      <c r="C619" s="247"/>
      <c r="D619" s="247"/>
      <c r="E619" s="195"/>
      <c r="F619" s="201"/>
      <c r="G619" s="195"/>
      <c r="H619" s="201"/>
      <c r="I619" s="195"/>
      <c r="J619" s="201"/>
      <c r="K619" s="193"/>
      <c r="L619" s="202"/>
      <c r="M619" s="195"/>
      <c r="N619" s="195"/>
      <c r="O619" s="195"/>
      <c r="P619" s="195"/>
      <c r="Q619" s="203"/>
      <c r="R619" s="198"/>
      <c r="S619" s="199"/>
      <c r="T619" s="199"/>
      <c r="U619" s="199"/>
      <c r="V619" s="199"/>
      <c r="W619" s="199"/>
      <c r="X619" s="199"/>
    </row>
    <row r="620">
      <c r="A620" s="247"/>
      <c r="B620" s="199"/>
      <c r="C620" s="247"/>
      <c r="D620" s="247"/>
      <c r="E620" s="195"/>
      <c r="F620" s="201"/>
      <c r="G620" s="195"/>
      <c r="H620" s="201"/>
      <c r="I620" s="195"/>
      <c r="J620" s="201"/>
      <c r="K620" s="193"/>
      <c r="L620" s="202"/>
      <c r="M620" s="195"/>
      <c r="N620" s="195"/>
      <c r="O620" s="195"/>
      <c r="P620" s="195"/>
      <c r="Q620" s="203"/>
      <c r="R620" s="198"/>
      <c r="S620" s="199"/>
      <c r="T620" s="199"/>
      <c r="U620" s="199"/>
      <c r="V620" s="199"/>
      <c r="W620" s="199"/>
      <c r="X620" s="199"/>
    </row>
    <row r="621">
      <c r="A621" s="247"/>
      <c r="B621" s="199"/>
      <c r="C621" s="247"/>
      <c r="D621" s="247"/>
      <c r="E621" s="195"/>
      <c r="F621" s="201"/>
      <c r="G621" s="195"/>
      <c r="H621" s="201"/>
      <c r="I621" s="195"/>
      <c r="J621" s="201"/>
      <c r="K621" s="193"/>
      <c r="L621" s="202"/>
      <c r="M621" s="195"/>
      <c r="N621" s="195"/>
      <c r="O621" s="195"/>
      <c r="P621" s="195"/>
      <c r="Q621" s="203"/>
      <c r="R621" s="198"/>
      <c r="S621" s="199"/>
      <c r="T621" s="199"/>
      <c r="U621" s="199"/>
      <c r="V621" s="199"/>
      <c r="W621" s="199"/>
      <c r="X621" s="199"/>
    </row>
    <row r="622">
      <c r="A622" s="247"/>
      <c r="B622" s="199"/>
      <c r="C622" s="247"/>
      <c r="D622" s="247"/>
      <c r="E622" s="195"/>
      <c r="F622" s="201"/>
      <c r="G622" s="195"/>
      <c r="H622" s="201"/>
      <c r="I622" s="195"/>
      <c r="J622" s="201"/>
      <c r="K622" s="193"/>
      <c r="L622" s="202"/>
      <c r="M622" s="195"/>
      <c r="N622" s="195"/>
      <c r="O622" s="195"/>
      <c r="P622" s="195"/>
      <c r="Q622" s="203"/>
      <c r="R622" s="198"/>
      <c r="S622" s="199"/>
      <c r="T622" s="199"/>
      <c r="U622" s="199"/>
      <c r="V622" s="199"/>
      <c r="W622" s="199"/>
      <c r="X622" s="199"/>
    </row>
    <row r="623">
      <c r="A623" s="247"/>
      <c r="B623" s="199"/>
      <c r="C623" s="247"/>
      <c r="D623" s="247"/>
      <c r="E623" s="195"/>
      <c r="F623" s="201"/>
      <c r="G623" s="195"/>
      <c r="H623" s="201"/>
      <c r="I623" s="195"/>
      <c r="J623" s="201"/>
      <c r="K623" s="193"/>
      <c r="L623" s="202"/>
      <c r="M623" s="195"/>
      <c r="N623" s="195"/>
      <c r="O623" s="195"/>
      <c r="P623" s="195"/>
      <c r="Q623" s="203"/>
      <c r="R623" s="198"/>
      <c r="S623" s="199"/>
      <c r="T623" s="199"/>
      <c r="U623" s="199"/>
      <c r="V623" s="199"/>
      <c r="W623" s="199"/>
      <c r="X623" s="199"/>
    </row>
    <row r="624">
      <c r="A624" s="247"/>
      <c r="B624" s="199"/>
      <c r="C624" s="247"/>
      <c r="D624" s="247"/>
      <c r="E624" s="195"/>
      <c r="F624" s="201"/>
      <c r="G624" s="195"/>
      <c r="H624" s="201"/>
      <c r="I624" s="195"/>
      <c r="J624" s="201"/>
      <c r="K624" s="193"/>
      <c r="L624" s="202"/>
      <c r="M624" s="195"/>
      <c r="N624" s="195"/>
      <c r="O624" s="195"/>
      <c r="P624" s="195"/>
      <c r="Q624" s="203"/>
      <c r="R624" s="198"/>
      <c r="S624" s="199"/>
      <c r="T624" s="199"/>
      <c r="U624" s="199"/>
      <c r="V624" s="199"/>
      <c r="W624" s="199"/>
      <c r="X624" s="199"/>
    </row>
    <row r="625">
      <c r="A625" s="247"/>
      <c r="B625" s="199"/>
      <c r="C625" s="247"/>
      <c r="D625" s="247"/>
      <c r="E625" s="195"/>
      <c r="F625" s="201"/>
      <c r="G625" s="195"/>
      <c r="H625" s="201"/>
      <c r="I625" s="195"/>
      <c r="J625" s="201"/>
      <c r="K625" s="193"/>
      <c r="L625" s="202"/>
      <c r="M625" s="195"/>
      <c r="N625" s="195"/>
      <c r="O625" s="195"/>
      <c r="P625" s="195"/>
      <c r="Q625" s="203"/>
      <c r="R625" s="198"/>
      <c r="S625" s="199"/>
      <c r="T625" s="199"/>
      <c r="U625" s="199"/>
      <c r="V625" s="199"/>
      <c r="W625" s="199"/>
      <c r="X625" s="199"/>
    </row>
    <row r="626">
      <c r="A626" s="247"/>
      <c r="B626" s="199"/>
      <c r="C626" s="247"/>
      <c r="D626" s="247"/>
      <c r="E626" s="195"/>
      <c r="F626" s="201"/>
      <c r="G626" s="195"/>
      <c r="H626" s="201"/>
      <c r="I626" s="195"/>
      <c r="J626" s="201"/>
      <c r="K626" s="193"/>
      <c r="L626" s="202"/>
      <c r="M626" s="195"/>
      <c r="N626" s="195"/>
      <c r="O626" s="195"/>
      <c r="P626" s="195"/>
      <c r="Q626" s="203"/>
      <c r="R626" s="198"/>
      <c r="S626" s="199"/>
      <c r="T626" s="199"/>
      <c r="U626" s="199"/>
      <c r="V626" s="199"/>
      <c r="W626" s="199"/>
      <c r="X626" s="199"/>
    </row>
    <row r="627">
      <c r="A627" s="247"/>
      <c r="B627" s="199"/>
      <c r="C627" s="247"/>
      <c r="D627" s="247"/>
      <c r="E627" s="195"/>
      <c r="F627" s="201"/>
      <c r="G627" s="195"/>
      <c r="H627" s="201"/>
      <c r="I627" s="195"/>
      <c r="J627" s="201"/>
      <c r="K627" s="193"/>
      <c r="L627" s="202"/>
      <c r="M627" s="195"/>
      <c r="N627" s="195"/>
      <c r="O627" s="195"/>
      <c r="P627" s="195"/>
      <c r="Q627" s="203"/>
      <c r="R627" s="198"/>
      <c r="S627" s="199"/>
      <c r="T627" s="199"/>
      <c r="U627" s="199"/>
      <c r="V627" s="199"/>
      <c r="W627" s="199"/>
      <c r="X627" s="199"/>
    </row>
    <row r="628">
      <c r="A628" s="247"/>
      <c r="B628" s="199"/>
      <c r="C628" s="247"/>
      <c r="D628" s="247"/>
      <c r="E628" s="195"/>
      <c r="F628" s="201"/>
      <c r="G628" s="195"/>
      <c r="H628" s="201"/>
      <c r="I628" s="195"/>
      <c r="J628" s="201"/>
      <c r="K628" s="193"/>
      <c r="L628" s="202"/>
      <c r="M628" s="195"/>
      <c r="N628" s="195"/>
      <c r="O628" s="195"/>
      <c r="P628" s="195"/>
      <c r="Q628" s="203"/>
      <c r="R628" s="198"/>
      <c r="S628" s="199"/>
      <c r="T628" s="199"/>
      <c r="U628" s="199"/>
      <c r="V628" s="199"/>
      <c r="W628" s="199"/>
      <c r="X628" s="199"/>
    </row>
    <row r="629">
      <c r="A629" s="247"/>
      <c r="B629" s="199"/>
      <c r="C629" s="247"/>
      <c r="D629" s="247"/>
      <c r="E629" s="195"/>
      <c r="F629" s="201"/>
      <c r="G629" s="195"/>
      <c r="H629" s="201"/>
      <c r="I629" s="195"/>
      <c r="J629" s="201"/>
      <c r="K629" s="193"/>
      <c r="L629" s="202"/>
      <c r="M629" s="195"/>
      <c r="N629" s="195"/>
      <c r="O629" s="195"/>
      <c r="P629" s="195"/>
      <c r="Q629" s="203"/>
      <c r="R629" s="198"/>
      <c r="S629" s="199"/>
      <c r="T629" s="199"/>
      <c r="U629" s="199"/>
      <c r="V629" s="199"/>
      <c r="W629" s="199"/>
      <c r="X629" s="199"/>
    </row>
    <row r="630">
      <c r="A630" s="247"/>
      <c r="B630" s="199"/>
      <c r="C630" s="247"/>
      <c r="D630" s="247"/>
      <c r="E630" s="195"/>
      <c r="F630" s="201"/>
      <c r="G630" s="195"/>
      <c r="H630" s="201"/>
      <c r="I630" s="195"/>
      <c r="J630" s="201"/>
      <c r="K630" s="193"/>
      <c r="L630" s="202"/>
      <c r="M630" s="195"/>
      <c r="N630" s="195"/>
      <c r="O630" s="195"/>
      <c r="P630" s="195"/>
      <c r="Q630" s="203"/>
      <c r="R630" s="198"/>
      <c r="S630" s="199"/>
      <c r="T630" s="199"/>
      <c r="U630" s="199"/>
      <c r="V630" s="199"/>
      <c r="W630" s="199"/>
      <c r="X630" s="199"/>
    </row>
    <row r="631">
      <c r="A631" s="247"/>
      <c r="B631" s="199"/>
      <c r="C631" s="247"/>
      <c r="D631" s="247"/>
      <c r="E631" s="195"/>
      <c r="F631" s="201"/>
      <c r="G631" s="195"/>
      <c r="H631" s="201"/>
      <c r="I631" s="195"/>
      <c r="J631" s="201"/>
      <c r="K631" s="193"/>
      <c r="L631" s="202"/>
      <c r="M631" s="195"/>
      <c r="N631" s="195"/>
      <c r="O631" s="195"/>
      <c r="P631" s="195"/>
      <c r="Q631" s="203"/>
      <c r="R631" s="198"/>
      <c r="S631" s="199"/>
      <c r="T631" s="199"/>
      <c r="U631" s="199"/>
      <c r="V631" s="199"/>
      <c r="W631" s="199"/>
      <c r="X631" s="199"/>
    </row>
    <row r="632">
      <c r="A632" s="247"/>
      <c r="B632" s="199"/>
      <c r="C632" s="247"/>
      <c r="D632" s="247"/>
      <c r="E632" s="195"/>
      <c r="F632" s="201"/>
      <c r="G632" s="195"/>
      <c r="H632" s="201"/>
      <c r="I632" s="195"/>
      <c r="J632" s="201"/>
      <c r="K632" s="193"/>
      <c r="L632" s="202"/>
      <c r="M632" s="195"/>
      <c r="N632" s="195"/>
      <c r="O632" s="195"/>
      <c r="P632" s="195"/>
      <c r="Q632" s="203"/>
      <c r="R632" s="198"/>
      <c r="S632" s="199"/>
      <c r="T632" s="199"/>
      <c r="U632" s="199"/>
      <c r="V632" s="199"/>
      <c r="W632" s="199"/>
      <c r="X632" s="199"/>
    </row>
    <row r="633">
      <c r="A633" s="247"/>
      <c r="B633" s="199"/>
      <c r="C633" s="247"/>
      <c r="D633" s="247"/>
      <c r="E633" s="195"/>
      <c r="F633" s="201"/>
      <c r="G633" s="195"/>
      <c r="H633" s="201"/>
      <c r="I633" s="195"/>
      <c r="J633" s="201"/>
      <c r="K633" s="193"/>
      <c r="L633" s="202"/>
      <c r="M633" s="195"/>
      <c r="N633" s="195"/>
      <c r="O633" s="195"/>
      <c r="P633" s="195"/>
      <c r="Q633" s="203"/>
      <c r="R633" s="198"/>
      <c r="S633" s="199"/>
      <c r="T633" s="199"/>
      <c r="U633" s="199"/>
      <c r="V633" s="199"/>
      <c r="W633" s="199"/>
      <c r="X633" s="199"/>
    </row>
    <row r="634">
      <c r="A634" s="247"/>
      <c r="B634" s="199"/>
      <c r="C634" s="247"/>
      <c r="D634" s="247"/>
      <c r="E634" s="195"/>
      <c r="F634" s="201"/>
      <c r="G634" s="195"/>
      <c r="H634" s="201"/>
      <c r="I634" s="195"/>
      <c r="J634" s="201"/>
      <c r="K634" s="193"/>
      <c r="L634" s="202"/>
      <c r="M634" s="195"/>
      <c r="N634" s="195"/>
      <c r="O634" s="195"/>
      <c r="P634" s="195"/>
      <c r="Q634" s="203"/>
      <c r="R634" s="198"/>
      <c r="S634" s="199"/>
      <c r="T634" s="199"/>
      <c r="U634" s="199"/>
      <c r="V634" s="199"/>
      <c r="W634" s="199"/>
      <c r="X634" s="199"/>
    </row>
    <row r="635">
      <c r="A635" s="247"/>
      <c r="B635" s="199"/>
      <c r="C635" s="247"/>
      <c r="D635" s="247"/>
      <c r="E635" s="195"/>
      <c r="F635" s="201"/>
      <c r="G635" s="195"/>
      <c r="H635" s="201"/>
      <c r="I635" s="195"/>
      <c r="J635" s="201"/>
      <c r="K635" s="193"/>
      <c r="L635" s="202"/>
      <c r="M635" s="195"/>
      <c r="N635" s="195"/>
      <c r="O635" s="195"/>
      <c r="P635" s="195"/>
      <c r="Q635" s="203"/>
      <c r="R635" s="198"/>
      <c r="S635" s="199"/>
      <c r="T635" s="199"/>
      <c r="U635" s="199"/>
      <c r="V635" s="199"/>
      <c r="W635" s="199"/>
      <c r="X635" s="199"/>
    </row>
    <row r="636">
      <c r="A636" s="247"/>
      <c r="B636" s="199"/>
      <c r="C636" s="247"/>
      <c r="D636" s="247"/>
      <c r="E636" s="195"/>
      <c r="F636" s="201"/>
      <c r="G636" s="195"/>
      <c r="H636" s="201"/>
      <c r="I636" s="195"/>
      <c r="J636" s="201"/>
      <c r="K636" s="193"/>
      <c r="L636" s="202"/>
      <c r="M636" s="195"/>
      <c r="N636" s="195"/>
      <c r="O636" s="195"/>
      <c r="P636" s="195"/>
      <c r="Q636" s="203"/>
      <c r="R636" s="198"/>
      <c r="S636" s="199"/>
      <c r="T636" s="199"/>
      <c r="U636" s="199"/>
      <c r="V636" s="199"/>
      <c r="W636" s="199"/>
      <c r="X636" s="199"/>
    </row>
    <row r="637">
      <c r="A637" s="247"/>
      <c r="B637" s="199"/>
      <c r="C637" s="247"/>
      <c r="D637" s="247"/>
      <c r="E637" s="195"/>
      <c r="F637" s="201"/>
      <c r="G637" s="195"/>
      <c r="H637" s="201"/>
      <c r="I637" s="195"/>
      <c r="J637" s="201"/>
      <c r="K637" s="193"/>
      <c r="L637" s="202"/>
      <c r="M637" s="195"/>
      <c r="N637" s="195"/>
      <c r="O637" s="195"/>
      <c r="P637" s="195"/>
      <c r="Q637" s="203"/>
      <c r="R637" s="198"/>
      <c r="S637" s="199"/>
      <c r="T637" s="199"/>
      <c r="U637" s="199"/>
      <c r="V637" s="199"/>
      <c r="W637" s="199"/>
      <c r="X637" s="199"/>
    </row>
    <row r="638">
      <c r="A638" s="247"/>
      <c r="B638" s="199"/>
      <c r="C638" s="247"/>
      <c r="D638" s="247"/>
      <c r="E638" s="195"/>
      <c r="F638" s="201"/>
      <c r="G638" s="195"/>
      <c r="H638" s="201"/>
      <c r="I638" s="195"/>
      <c r="J638" s="201"/>
      <c r="K638" s="193"/>
      <c r="L638" s="202"/>
      <c r="M638" s="195"/>
      <c r="N638" s="195"/>
      <c r="O638" s="195"/>
      <c r="P638" s="195"/>
      <c r="Q638" s="203"/>
      <c r="R638" s="198"/>
      <c r="S638" s="199"/>
      <c r="T638" s="199"/>
      <c r="U638" s="199"/>
      <c r="V638" s="199"/>
      <c r="W638" s="199"/>
      <c r="X638" s="199"/>
    </row>
    <row r="639">
      <c r="A639" s="247"/>
      <c r="B639" s="199"/>
      <c r="C639" s="247"/>
      <c r="D639" s="247"/>
      <c r="E639" s="195"/>
      <c r="F639" s="201"/>
      <c r="G639" s="195"/>
      <c r="H639" s="201"/>
      <c r="I639" s="195"/>
      <c r="J639" s="201"/>
      <c r="K639" s="193"/>
      <c r="L639" s="202"/>
      <c r="M639" s="195"/>
      <c r="N639" s="195"/>
      <c r="O639" s="195"/>
      <c r="P639" s="195"/>
      <c r="Q639" s="203"/>
      <c r="R639" s="198"/>
      <c r="S639" s="199"/>
      <c r="T639" s="199"/>
      <c r="U639" s="199"/>
      <c r="V639" s="199"/>
      <c r="W639" s="199"/>
      <c r="X639" s="199"/>
    </row>
    <row r="640">
      <c r="A640" s="247"/>
      <c r="B640" s="199"/>
      <c r="C640" s="247"/>
      <c r="D640" s="247"/>
      <c r="E640" s="195"/>
      <c r="F640" s="201"/>
      <c r="G640" s="195"/>
      <c r="H640" s="201"/>
      <c r="I640" s="195"/>
      <c r="J640" s="201"/>
      <c r="K640" s="193"/>
      <c r="L640" s="202"/>
      <c r="M640" s="195"/>
      <c r="N640" s="195"/>
      <c r="O640" s="195"/>
      <c r="P640" s="195"/>
      <c r="Q640" s="203"/>
      <c r="R640" s="198"/>
      <c r="S640" s="199"/>
      <c r="T640" s="199"/>
      <c r="U640" s="199"/>
      <c r="V640" s="199"/>
      <c r="W640" s="199"/>
      <c r="X640" s="199"/>
    </row>
    <row r="641">
      <c r="A641" s="247"/>
      <c r="B641" s="199"/>
      <c r="C641" s="247"/>
      <c r="D641" s="247"/>
      <c r="E641" s="195"/>
      <c r="F641" s="201"/>
      <c r="G641" s="195"/>
      <c r="H641" s="201"/>
      <c r="I641" s="195"/>
      <c r="J641" s="201"/>
      <c r="K641" s="193"/>
      <c r="L641" s="202"/>
      <c r="M641" s="195"/>
      <c r="N641" s="195"/>
      <c r="O641" s="195"/>
      <c r="P641" s="195"/>
      <c r="Q641" s="203"/>
      <c r="R641" s="198"/>
      <c r="S641" s="199"/>
      <c r="T641" s="199"/>
      <c r="U641" s="199"/>
      <c r="V641" s="199"/>
      <c r="W641" s="199"/>
      <c r="X641" s="199"/>
    </row>
    <row r="642">
      <c r="A642" s="247"/>
      <c r="B642" s="199"/>
      <c r="C642" s="247"/>
      <c r="D642" s="247"/>
      <c r="E642" s="195"/>
      <c r="F642" s="201"/>
      <c r="G642" s="195"/>
      <c r="H642" s="201"/>
      <c r="I642" s="195"/>
      <c r="J642" s="201"/>
      <c r="K642" s="193"/>
      <c r="L642" s="202"/>
      <c r="M642" s="195"/>
      <c r="N642" s="195"/>
      <c r="O642" s="195"/>
      <c r="P642" s="195"/>
      <c r="Q642" s="203"/>
      <c r="R642" s="198"/>
      <c r="S642" s="199"/>
      <c r="T642" s="199"/>
      <c r="U642" s="199"/>
      <c r="V642" s="199"/>
      <c r="W642" s="199"/>
      <c r="X642" s="199"/>
    </row>
    <row r="643">
      <c r="A643" s="247"/>
      <c r="B643" s="199"/>
      <c r="C643" s="247"/>
      <c r="D643" s="247"/>
      <c r="E643" s="195"/>
      <c r="F643" s="201"/>
      <c r="G643" s="195"/>
      <c r="H643" s="201"/>
      <c r="I643" s="195"/>
      <c r="J643" s="201"/>
      <c r="K643" s="193"/>
      <c r="L643" s="202"/>
      <c r="M643" s="195"/>
      <c r="N643" s="195"/>
      <c r="O643" s="195"/>
      <c r="P643" s="195"/>
      <c r="Q643" s="203"/>
      <c r="R643" s="198"/>
      <c r="S643" s="199"/>
      <c r="T643" s="199"/>
      <c r="U643" s="199"/>
      <c r="V643" s="199"/>
      <c r="W643" s="199"/>
      <c r="X643" s="199"/>
    </row>
    <row r="644">
      <c r="A644" s="247"/>
      <c r="B644" s="199"/>
      <c r="C644" s="247"/>
      <c r="D644" s="247"/>
      <c r="E644" s="195"/>
      <c r="F644" s="201"/>
      <c r="G644" s="195"/>
      <c r="H644" s="201"/>
      <c r="I644" s="195"/>
      <c r="J644" s="201"/>
      <c r="K644" s="193"/>
      <c r="L644" s="202"/>
      <c r="M644" s="195"/>
      <c r="N644" s="195"/>
      <c r="O644" s="195"/>
      <c r="P644" s="195"/>
      <c r="Q644" s="203"/>
      <c r="R644" s="198"/>
      <c r="S644" s="199"/>
      <c r="T644" s="199"/>
      <c r="U644" s="199"/>
      <c r="V644" s="199"/>
      <c r="W644" s="199"/>
      <c r="X644" s="199"/>
    </row>
    <row r="645">
      <c r="A645" s="247"/>
      <c r="B645" s="199"/>
      <c r="C645" s="247"/>
      <c r="D645" s="247"/>
      <c r="E645" s="195"/>
      <c r="F645" s="201"/>
      <c r="G645" s="195"/>
      <c r="H645" s="201"/>
      <c r="I645" s="195"/>
      <c r="J645" s="201"/>
      <c r="K645" s="193"/>
      <c r="L645" s="202"/>
      <c r="M645" s="195"/>
      <c r="N645" s="195"/>
      <c r="O645" s="195"/>
      <c r="P645" s="195"/>
      <c r="Q645" s="203"/>
      <c r="R645" s="198"/>
      <c r="S645" s="199"/>
      <c r="T645" s="199"/>
      <c r="U645" s="199"/>
      <c r="V645" s="199"/>
      <c r="W645" s="199"/>
      <c r="X645" s="199"/>
    </row>
    <row r="646">
      <c r="A646" s="247"/>
      <c r="B646" s="199"/>
      <c r="C646" s="247"/>
      <c r="D646" s="247"/>
      <c r="E646" s="195"/>
      <c r="F646" s="201"/>
      <c r="G646" s="195"/>
      <c r="H646" s="201"/>
      <c r="I646" s="195"/>
      <c r="J646" s="201"/>
      <c r="K646" s="193"/>
      <c r="L646" s="202"/>
      <c r="M646" s="195"/>
      <c r="N646" s="195"/>
      <c r="O646" s="195"/>
      <c r="P646" s="195"/>
      <c r="Q646" s="203"/>
      <c r="R646" s="198"/>
      <c r="S646" s="199"/>
      <c r="T646" s="199"/>
      <c r="U646" s="199"/>
      <c r="V646" s="199"/>
      <c r="W646" s="199"/>
      <c r="X646" s="199"/>
    </row>
    <row r="647">
      <c r="A647" s="247"/>
      <c r="B647" s="199"/>
      <c r="C647" s="247"/>
      <c r="D647" s="247"/>
      <c r="E647" s="195"/>
      <c r="F647" s="201"/>
      <c r="G647" s="195"/>
      <c r="H647" s="201"/>
      <c r="I647" s="195"/>
      <c r="J647" s="201"/>
      <c r="K647" s="193"/>
      <c r="L647" s="202"/>
      <c r="M647" s="195"/>
      <c r="N647" s="195"/>
      <c r="O647" s="195"/>
      <c r="P647" s="195"/>
      <c r="Q647" s="203"/>
      <c r="R647" s="198"/>
      <c r="S647" s="199"/>
      <c r="T647" s="199"/>
      <c r="U647" s="199"/>
      <c r="V647" s="199"/>
      <c r="W647" s="199"/>
      <c r="X647" s="199"/>
    </row>
    <row r="648">
      <c r="A648" s="247"/>
      <c r="B648" s="199"/>
      <c r="C648" s="247"/>
      <c r="D648" s="247"/>
      <c r="E648" s="195"/>
      <c r="F648" s="201"/>
      <c r="G648" s="195"/>
      <c r="H648" s="201"/>
      <c r="I648" s="195"/>
      <c r="J648" s="201"/>
      <c r="K648" s="193"/>
      <c r="L648" s="202"/>
      <c r="M648" s="195"/>
      <c r="N648" s="195"/>
      <c r="O648" s="195"/>
      <c r="P648" s="195"/>
      <c r="Q648" s="203"/>
      <c r="R648" s="198"/>
      <c r="S648" s="199"/>
      <c r="T648" s="199"/>
      <c r="U648" s="199"/>
      <c r="V648" s="199"/>
      <c r="W648" s="199"/>
      <c r="X648" s="199"/>
    </row>
    <row r="649">
      <c r="A649" s="247"/>
      <c r="B649" s="199"/>
      <c r="C649" s="247"/>
      <c r="D649" s="247"/>
      <c r="E649" s="195"/>
      <c r="F649" s="201"/>
      <c r="G649" s="195"/>
      <c r="H649" s="201"/>
      <c r="I649" s="195"/>
      <c r="J649" s="201"/>
      <c r="K649" s="193"/>
      <c r="L649" s="202"/>
      <c r="M649" s="195"/>
      <c r="N649" s="195"/>
      <c r="O649" s="195"/>
      <c r="P649" s="195"/>
      <c r="Q649" s="203"/>
      <c r="R649" s="198"/>
      <c r="S649" s="199"/>
      <c r="T649" s="199"/>
      <c r="U649" s="199"/>
      <c r="V649" s="199"/>
      <c r="W649" s="199"/>
      <c r="X649" s="199"/>
    </row>
    <row r="650">
      <c r="A650" s="247"/>
      <c r="B650" s="199"/>
      <c r="C650" s="247"/>
      <c r="D650" s="247"/>
      <c r="E650" s="195"/>
      <c r="F650" s="201"/>
      <c r="G650" s="195"/>
      <c r="H650" s="201"/>
      <c r="I650" s="195"/>
      <c r="J650" s="201"/>
      <c r="K650" s="193"/>
      <c r="L650" s="202"/>
      <c r="M650" s="195"/>
      <c r="N650" s="195"/>
      <c r="O650" s="195"/>
      <c r="P650" s="195"/>
      <c r="Q650" s="203"/>
      <c r="R650" s="198"/>
      <c r="S650" s="199"/>
      <c r="T650" s="199"/>
      <c r="U650" s="199"/>
      <c r="V650" s="199"/>
      <c r="W650" s="199"/>
      <c r="X650" s="199"/>
    </row>
    <row r="651">
      <c r="A651" s="247"/>
      <c r="B651" s="199"/>
      <c r="C651" s="247"/>
      <c r="D651" s="247"/>
      <c r="E651" s="195"/>
      <c r="F651" s="201"/>
      <c r="G651" s="195"/>
      <c r="H651" s="201"/>
      <c r="I651" s="195"/>
      <c r="J651" s="201"/>
      <c r="K651" s="193"/>
      <c r="L651" s="202"/>
      <c r="M651" s="195"/>
      <c r="N651" s="195"/>
      <c r="O651" s="195"/>
      <c r="P651" s="195"/>
      <c r="Q651" s="203"/>
      <c r="R651" s="198"/>
      <c r="S651" s="199"/>
      <c r="T651" s="199"/>
      <c r="U651" s="199"/>
      <c r="V651" s="199"/>
      <c r="W651" s="199"/>
      <c r="X651" s="199"/>
    </row>
    <row r="652">
      <c r="A652" s="247"/>
      <c r="B652" s="199"/>
      <c r="C652" s="247"/>
      <c r="D652" s="247"/>
      <c r="E652" s="195"/>
      <c r="F652" s="201"/>
      <c r="G652" s="195"/>
      <c r="H652" s="201"/>
      <c r="I652" s="195"/>
      <c r="J652" s="201"/>
      <c r="K652" s="193"/>
      <c r="L652" s="202"/>
      <c r="M652" s="195"/>
      <c r="N652" s="195"/>
      <c r="O652" s="195"/>
      <c r="P652" s="195"/>
      <c r="Q652" s="203"/>
      <c r="R652" s="198"/>
      <c r="S652" s="199"/>
      <c r="T652" s="199"/>
      <c r="U652" s="199"/>
      <c r="V652" s="199"/>
      <c r="W652" s="199"/>
      <c r="X652" s="199"/>
    </row>
    <row r="653">
      <c r="A653" s="247"/>
      <c r="B653" s="199"/>
      <c r="C653" s="247"/>
      <c r="D653" s="247"/>
      <c r="E653" s="195"/>
      <c r="F653" s="201"/>
      <c r="G653" s="195"/>
      <c r="H653" s="201"/>
      <c r="I653" s="195"/>
      <c r="J653" s="201"/>
      <c r="K653" s="193"/>
      <c r="L653" s="202"/>
      <c r="M653" s="195"/>
      <c r="N653" s="195"/>
      <c r="O653" s="195"/>
      <c r="P653" s="195"/>
      <c r="Q653" s="203"/>
      <c r="R653" s="198"/>
      <c r="S653" s="199"/>
      <c r="T653" s="199"/>
      <c r="U653" s="199"/>
      <c r="V653" s="199"/>
      <c r="W653" s="199"/>
      <c r="X653" s="199"/>
    </row>
    <row r="654">
      <c r="A654" s="247"/>
      <c r="B654" s="199"/>
      <c r="C654" s="247"/>
      <c r="D654" s="247"/>
      <c r="E654" s="195"/>
      <c r="F654" s="201"/>
      <c r="G654" s="195"/>
      <c r="H654" s="201"/>
      <c r="I654" s="195"/>
      <c r="J654" s="201"/>
      <c r="K654" s="193"/>
      <c r="L654" s="202"/>
      <c r="M654" s="195"/>
      <c r="N654" s="195"/>
      <c r="O654" s="195"/>
      <c r="P654" s="195"/>
      <c r="Q654" s="203"/>
      <c r="R654" s="198"/>
      <c r="S654" s="199"/>
      <c r="T654" s="199"/>
      <c r="U654" s="199"/>
      <c r="V654" s="199"/>
      <c r="W654" s="199"/>
      <c r="X654" s="199"/>
    </row>
    <row r="655">
      <c r="A655" s="247"/>
      <c r="B655" s="199"/>
      <c r="C655" s="247"/>
      <c r="D655" s="247"/>
      <c r="E655" s="195"/>
      <c r="F655" s="201"/>
      <c r="G655" s="195"/>
      <c r="H655" s="201"/>
      <c r="I655" s="195"/>
      <c r="J655" s="201"/>
      <c r="K655" s="193"/>
      <c r="L655" s="202"/>
      <c r="M655" s="195"/>
      <c r="N655" s="195"/>
      <c r="O655" s="195"/>
      <c r="P655" s="195"/>
      <c r="Q655" s="203"/>
      <c r="R655" s="198"/>
      <c r="S655" s="199"/>
      <c r="T655" s="199"/>
      <c r="U655" s="199"/>
      <c r="V655" s="199"/>
      <c r="W655" s="199"/>
      <c r="X655" s="199"/>
    </row>
    <row r="656">
      <c r="A656" s="247"/>
      <c r="B656" s="199"/>
      <c r="C656" s="247"/>
      <c r="D656" s="247"/>
      <c r="E656" s="195"/>
      <c r="F656" s="201"/>
      <c r="G656" s="195"/>
      <c r="H656" s="201"/>
      <c r="I656" s="195"/>
      <c r="J656" s="201"/>
      <c r="K656" s="193"/>
      <c r="L656" s="202"/>
      <c r="M656" s="195"/>
      <c r="N656" s="195"/>
      <c r="O656" s="195"/>
      <c r="P656" s="195"/>
      <c r="Q656" s="203"/>
      <c r="R656" s="198"/>
      <c r="S656" s="199"/>
      <c r="T656" s="199"/>
      <c r="U656" s="199"/>
      <c r="V656" s="199"/>
      <c r="W656" s="199"/>
      <c r="X656" s="199"/>
    </row>
    <row r="657">
      <c r="A657" s="247"/>
      <c r="B657" s="199"/>
      <c r="C657" s="247"/>
      <c r="D657" s="247"/>
      <c r="E657" s="195"/>
      <c r="F657" s="201"/>
      <c r="G657" s="195"/>
      <c r="H657" s="201"/>
      <c r="I657" s="195"/>
      <c r="J657" s="201"/>
      <c r="K657" s="193"/>
      <c r="L657" s="202"/>
      <c r="M657" s="195"/>
      <c r="N657" s="195"/>
      <c r="O657" s="195"/>
      <c r="P657" s="195"/>
      <c r="Q657" s="203"/>
      <c r="R657" s="198"/>
      <c r="S657" s="199"/>
      <c r="T657" s="199"/>
      <c r="U657" s="199"/>
      <c r="V657" s="199"/>
      <c r="W657" s="199"/>
      <c r="X657" s="199"/>
    </row>
    <row r="658">
      <c r="A658" s="247"/>
      <c r="B658" s="199"/>
      <c r="C658" s="247"/>
      <c r="D658" s="247"/>
      <c r="E658" s="195"/>
      <c r="F658" s="201"/>
      <c r="G658" s="195"/>
      <c r="H658" s="201"/>
      <c r="I658" s="195"/>
      <c r="J658" s="201"/>
      <c r="K658" s="193"/>
      <c r="L658" s="202"/>
      <c r="M658" s="195"/>
      <c r="N658" s="195"/>
      <c r="O658" s="195"/>
      <c r="P658" s="195"/>
      <c r="Q658" s="203"/>
      <c r="R658" s="198"/>
      <c r="S658" s="199"/>
      <c r="T658" s="199"/>
      <c r="U658" s="199"/>
      <c r="V658" s="199"/>
      <c r="W658" s="199"/>
      <c r="X658" s="199"/>
    </row>
    <row r="659">
      <c r="A659" s="247"/>
      <c r="B659" s="199"/>
      <c r="C659" s="247"/>
      <c r="D659" s="247"/>
      <c r="E659" s="195"/>
      <c r="F659" s="201"/>
      <c r="G659" s="195"/>
      <c r="H659" s="201"/>
      <c r="I659" s="195"/>
      <c r="J659" s="201"/>
      <c r="K659" s="193"/>
      <c r="L659" s="202"/>
      <c r="M659" s="195"/>
      <c r="N659" s="195"/>
      <c r="O659" s="195"/>
      <c r="P659" s="195"/>
      <c r="Q659" s="203"/>
      <c r="R659" s="198"/>
      <c r="S659" s="199"/>
      <c r="T659" s="199"/>
      <c r="U659" s="199"/>
      <c r="V659" s="199"/>
      <c r="W659" s="199"/>
      <c r="X659" s="199"/>
    </row>
    <row r="660">
      <c r="A660" s="247"/>
      <c r="B660" s="199"/>
      <c r="C660" s="247"/>
      <c r="D660" s="247"/>
      <c r="E660" s="195"/>
      <c r="F660" s="201"/>
      <c r="G660" s="195"/>
      <c r="H660" s="201"/>
      <c r="I660" s="195"/>
      <c r="J660" s="201"/>
      <c r="K660" s="193"/>
      <c r="L660" s="202"/>
      <c r="M660" s="195"/>
      <c r="N660" s="195"/>
      <c r="O660" s="195"/>
      <c r="P660" s="195"/>
      <c r="Q660" s="203"/>
      <c r="R660" s="198"/>
      <c r="S660" s="199"/>
      <c r="T660" s="199"/>
      <c r="U660" s="199"/>
      <c r="V660" s="199"/>
      <c r="W660" s="199"/>
      <c r="X660" s="199"/>
    </row>
    <row r="661">
      <c r="A661" s="247"/>
      <c r="B661" s="199"/>
      <c r="C661" s="247"/>
      <c r="D661" s="247"/>
      <c r="E661" s="195"/>
      <c r="F661" s="201"/>
      <c r="G661" s="195"/>
      <c r="H661" s="201"/>
      <c r="I661" s="195"/>
      <c r="J661" s="201"/>
      <c r="K661" s="193"/>
      <c r="L661" s="202"/>
      <c r="M661" s="195"/>
      <c r="N661" s="195"/>
      <c r="O661" s="195"/>
      <c r="P661" s="195"/>
      <c r="Q661" s="203"/>
      <c r="R661" s="198"/>
      <c r="S661" s="199"/>
      <c r="T661" s="199"/>
      <c r="U661" s="199"/>
      <c r="V661" s="199"/>
      <c r="W661" s="199"/>
      <c r="X661" s="199"/>
    </row>
    <row r="662">
      <c r="A662" s="247"/>
      <c r="B662" s="199"/>
      <c r="C662" s="247"/>
      <c r="D662" s="247"/>
      <c r="E662" s="195"/>
      <c r="F662" s="201"/>
      <c r="G662" s="195"/>
      <c r="H662" s="201"/>
      <c r="I662" s="195"/>
      <c r="J662" s="201"/>
      <c r="K662" s="193"/>
      <c r="L662" s="202"/>
      <c r="M662" s="195"/>
      <c r="N662" s="195"/>
      <c r="O662" s="195"/>
      <c r="P662" s="195"/>
      <c r="Q662" s="203"/>
      <c r="R662" s="198"/>
      <c r="S662" s="199"/>
      <c r="T662" s="199"/>
      <c r="U662" s="199"/>
      <c r="V662" s="199"/>
      <c r="W662" s="199"/>
      <c r="X662" s="199"/>
    </row>
    <row r="663">
      <c r="A663" s="247"/>
      <c r="B663" s="199"/>
      <c r="C663" s="247"/>
      <c r="D663" s="247"/>
      <c r="E663" s="195"/>
      <c r="F663" s="201"/>
      <c r="G663" s="195"/>
      <c r="H663" s="201"/>
      <c r="I663" s="195"/>
      <c r="J663" s="201"/>
      <c r="K663" s="193"/>
      <c r="L663" s="202"/>
      <c r="M663" s="195"/>
      <c r="N663" s="195"/>
      <c r="O663" s="195"/>
      <c r="P663" s="195"/>
      <c r="Q663" s="203"/>
      <c r="R663" s="198"/>
      <c r="S663" s="199"/>
      <c r="T663" s="199"/>
      <c r="U663" s="199"/>
      <c r="V663" s="199"/>
      <c r="W663" s="199"/>
      <c r="X663" s="199"/>
    </row>
    <row r="664">
      <c r="A664" s="247"/>
      <c r="B664" s="199"/>
      <c r="C664" s="247"/>
      <c r="D664" s="247"/>
      <c r="E664" s="195"/>
      <c r="F664" s="201"/>
      <c r="G664" s="195"/>
      <c r="H664" s="201"/>
      <c r="I664" s="195"/>
      <c r="J664" s="201"/>
      <c r="K664" s="193"/>
      <c r="L664" s="202"/>
      <c r="M664" s="195"/>
      <c r="N664" s="195"/>
      <c r="O664" s="195"/>
      <c r="P664" s="195"/>
      <c r="Q664" s="203"/>
      <c r="R664" s="198"/>
      <c r="S664" s="199"/>
      <c r="T664" s="199"/>
      <c r="U664" s="199"/>
      <c r="V664" s="199"/>
      <c r="W664" s="199"/>
      <c r="X664" s="199"/>
    </row>
    <row r="665">
      <c r="A665" s="247"/>
      <c r="B665" s="199"/>
      <c r="C665" s="247"/>
      <c r="D665" s="247"/>
      <c r="E665" s="195"/>
      <c r="F665" s="201"/>
      <c r="G665" s="195"/>
      <c r="H665" s="201"/>
      <c r="I665" s="195"/>
      <c r="J665" s="201"/>
      <c r="K665" s="193"/>
      <c r="L665" s="202"/>
      <c r="M665" s="195"/>
      <c r="N665" s="195"/>
      <c r="O665" s="195"/>
      <c r="P665" s="195"/>
      <c r="Q665" s="203"/>
      <c r="R665" s="198"/>
      <c r="S665" s="199"/>
      <c r="T665" s="199"/>
      <c r="U665" s="199"/>
      <c r="V665" s="199"/>
      <c r="W665" s="199"/>
      <c r="X665" s="199"/>
    </row>
    <row r="666">
      <c r="A666" s="247"/>
      <c r="B666" s="199"/>
      <c r="C666" s="247"/>
      <c r="D666" s="247"/>
      <c r="E666" s="195"/>
      <c r="F666" s="201"/>
      <c r="G666" s="195"/>
      <c r="H666" s="201"/>
      <c r="I666" s="195"/>
      <c r="J666" s="201"/>
      <c r="K666" s="193"/>
      <c r="L666" s="202"/>
      <c r="M666" s="195"/>
      <c r="N666" s="195"/>
      <c r="O666" s="195"/>
      <c r="P666" s="195"/>
      <c r="Q666" s="203"/>
      <c r="R666" s="198"/>
      <c r="S666" s="199"/>
      <c r="T666" s="199"/>
      <c r="U666" s="199"/>
      <c r="V666" s="199"/>
      <c r="W666" s="199"/>
      <c r="X666" s="199"/>
    </row>
    <row r="667">
      <c r="A667" s="247"/>
      <c r="B667" s="199"/>
      <c r="C667" s="247"/>
      <c r="D667" s="247"/>
      <c r="E667" s="195"/>
      <c r="F667" s="201"/>
      <c r="G667" s="195"/>
      <c r="H667" s="201"/>
      <c r="I667" s="195"/>
      <c r="J667" s="201"/>
      <c r="K667" s="193"/>
      <c r="L667" s="202"/>
      <c r="M667" s="195"/>
      <c r="N667" s="195"/>
      <c r="O667" s="195"/>
      <c r="P667" s="195"/>
      <c r="Q667" s="203"/>
      <c r="R667" s="198"/>
      <c r="S667" s="199"/>
      <c r="T667" s="199"/>
      <c r="U667" s="199"/>
      <c r="V667" s="199"/>
      <c r="W667" s="199"/>
      <c r="X667" s="199"/>
    </row>
    <row r="668">
      <c r="A668" s="247"/>
      <c r="B668" s="199"/>
      <c r="C668" s="247"/>
      <c r="D668" s="247"/>
      <c r="E668" s="195"/>
      <c r="F668" s="201"/>
      <c r="G668" s="195"/>
      <c r="H668" s="201"/>
      <c r="I668" s="195"/>
      <c r="J668" s="201"/>
      <c r="K668" s="193"/>
      <c r="L668" s="202"/>
      <c r="M668" s="195"/>
      <c r="N668" s="195"/>
      <c r="O668" s="195"/>
      <c r="P668" s="195"/>
      <c r="Q668" s="203"/>
      <c r="R668" s="198"/>
      <c r="S668" s="199"/>
      <c r="T668" s="199"/>
      <c r="U668" s="199"/>
      <c r="V668" s="199"/>
      <c r="W668" s="199"/>
      <c r="X668" s="199"/>
    </row>
    <row r="669">
      <c r="A669" s="247"/>
      <c r="B669" s="199"/>
      <c r="C669" s="247"/>
      <c r="D669" s="247"/>
      <c r="E669" s="195"/>
      <c r="F669" s="201"/>
      <c r="G669" s="195"/>
      <c r="H669" s="201"/>
      <c r="I669" s="195"/>
      <c r="J669" s="201"/>
      <c r="K669" s="193"/>
      <c r="L669" s="202"/>
      <c r="M669" s="195"/>
      <c r="N669" s="195"/>
      <c r="O669" s="195"/>
      <c r="P669" s="195"/>
      <c r="Q669" s="203"/>
      <c r="R669" s="198"/>
      <c r="S669" s="199"/>
      <c r="T669" s="199"/>
      <c r="U669" s="199"/>
      <c r="V669" s="199"/>
      <c r="W669" s="199"/>
      <c r="X669" s="199"/>
    </row>
    <row r="670">
      <c r="A670" s="247"/>
      <c r="B670" s="199"/>
      <c r="C670" s="247"/>
      <c r="D670" s="247"/>
      <c r="E670" s="195"/>
      <c r="F670" s="201"/>
      <c r="G670" s="195"/>
      <c r="H670" s="201"/>
      <c r="I670" s="195"/>
      <c r="J670" s="201"/>
      <c r="K670" s="193"/>
      <c r="L670" s="202"/>
      <c r="M670" s="195"/>
      <c r="N670" s="195"/>
      <c r="O670" s="195"/>
      <c r="P670" s="195"/>
      <c r="Q670" s="203"/>
      <c r="R670" s="198"/>
      <c r="S670" s="199"/>
      <c r="T670" s="199"/>
      <c r="U670" s="199"/>
      <c r="V670" s="199"/>
      <c r="W670" s="199"/>
      <c r="X670" s="199"/>
    </row>
    <row r="671">
      <c r="A671" s="247"/>
      <c r="B671" s="199"/>
      <c r="C671" s="247"/>
      <c r="D671" s="247"/>
      <c r="E671" s="195"/>
      <c r="F671" s="201"/>
      <c r="G671" s="195"/>
      <c r="H671" s="201"/>
      <c r="I671" s="195"/>
      <c r="J671" s="201"/>
      <c r="K671" s="193"/>
      <c r="L671" s="202"/>
      <c r="M671" s="195"/>
      <c r="N671" s="195"/>
      <c r="O671" s="195"/>
      <c r="P671" s="195"/>
      <c r="Q671" s="203"/>
      <c r="R671" s="198"/>
      <c r="S671" s="199"/>
      <c r="T671" s="199"/>
      <c r="U671" s="199"/>
      <c r="V671" s="199"/>
      <c r="W671" s="199"/>
      <c r="X671" s="199"/>
    </row>
    <row r="672">
      <c r="A672" s="247"/>
      <c r="B672" s="199"/>
      <c r="C672" s="247"/>
      <c r="D672" s="247"/>
      <c r="E672" s="195"/>
      <c r="F672" s="201"/>
      <c r="G672" s="195"/>
      <c r="H672" s="201"/>
      <c r="I672" s="195"/>
      <c r="J672" s="201"/>
      <c r="K672" s="193"/>
      <c r="L672" s="202"/>
      <c r="M672" s="195"/>
      <c r="N672" s="195"/>
      <c r="O672" s="195"/>
      <c r="P672" s="195"/>
      <c r="Q672" s="203"/>
      <c r="R672" s="198"/>
      <c r="S672" s="199"/>
      <c r="T672" s="199"/>
      <c r="U672" s="199"/>
      <c r="V672" s="199"/>
      <c r="W672" s="199"/>
      <c r="X672" s="199"/>
    </row>
    <row r="673">
      <c r="A673" s="247"/>
      <c r="B673" s="199"/>
      <c r="C673" s="247"/>
      <c r="D673" s="247"/>
      <c r="E673" s="195"/>
      <c r="F673" s="201"/>
      <c r="G673" s="195"/>
      <c r="H673" s="201"/>
      <c r="I673" s="195"/>
      <c r="J673" s="201"/>
      <c r="K673" s="193"/>
      <c r="L673" s="202"/>
      <c r="M673" s="195"/>
      <c r="N673" s="195"/>
      <c r="O673" s="195"/>
      <c r="P673" s="195"/>
      <c r="Q673" s="203"/>
      <c r="R673" s="198"/>
      <c r="S673" s="199"/>
      <c r="T673" s="199"/>
      <c r="U673" s="199"/>
      <c r="V673" s="199"/>
      <c r="W673" s="199"/>
      <c r="X673" s="199"/>
    </row>
    <row r="674">
      <c r="A674" s="247"/>
      <c r="B674" s="199"/>
      <c r="C674" s="247"/>
      <c r="D674" s="247"/>
      <c r="E674" s="195"/>
      <c r="F674" s="201"/>
      <c r="G674" s="195"/>
      <c r="H674" s="201"/>
      <c r="I674" s="195"/>
      <c r="J674" s="201"/>
      <c r="K674" s="193"/>
      <c r="L674" s="202"/>
      <c r="M674" s="195"/>
      <c r="N674" s="195"/>
      <c r="O674" s="195"/>
      <c r="P674" s="195"/>
      <c r="Q674" s="203"/>
      <c r="R674" s="198"/>
      <c r="S674" s="199"/>
      <c r="T674" s="199"/>
      <c r="U674" s="199"/>
      <c r="V674" s="199"/>
      <c r="W674" s="199"/>
      <c r="X674" s="199"/>
    </row>
    <row r="675">
      <c r="A675" s="247"/>
      <c r="B675" s="199"/>
      <c r="C675" s="247"/>
      <c r="D675" s="247"/>
      <c r="E675" s="195"/>
      <c r="F675" s="201"/>
      <c r="G675" s="195"/>
      <c r="H675" s="201"/>
      <c r="I675" s="195"/>
      <c r="J675" s="201"/>
      <c r="K675" s="193"/>
      <c r="L675" s="202"/>
      <c r="M675" s="195"/>
      <c r="N675" s="195"/>
      <c r="O675" s="195"/>
      <c r="P675" s="195"/>
      <c r="Q675" s="203"/>
      <c r="R675" s="198"/>
      <c r="S675" s="199"/>
      <c r="T675" s="199"/>
      <c r="U675" s="199"/>
      <c r="V675" s="199"/>
      <c r="W675" s="199"/>
      <c r="X675" s="199"/>
    </row>
    <row r="676">
      <c r="A676" s="247"/>
      <c r="B676" s="199"/>
      <c r="C676" s="247"/>
      <c r="D676" s="247"/>
      <c r="E676" s="195"/>
      <c r="F676" s="201"/>
      <c r="G676" s="195"/>
      <c r="H676" s="201"/>
      <c r="I676" s="195"/>
      <c r="J676" s="201"/>
      <c r="K676" s="193"/>
      <c r="L676" s="202"/>
      <c r="M676" s="195"/>
      <c r="N676" s="195"/>
      <c r="O676" s="195"/>
      <c r="P676" s="195"/>
      <c r="Q676" s="203"/>
      <c r="R676" s="198"/>
      <c r="S676" s="199"/>
      <c r="T676" s="199"/>
      <c r="U676" s="199"/>
      <c r="V676" s="199"/>
      <c r="W676" s="199"/>
      <c r="X676" s="199"/>
    </row>
    <row r="677">
      <c r="A677" s="247"/>
      <c r="B677" s="199"/>
      <c r="C677" s="247"/>
      <c r="D677" s="247"/>
      <c r="E677" s="195"/>
      <c r="F677" s="201"/>
      <c r="G677" s="195"/>
      <c r="H677" s="201"/>
      <c r="I677" s="195"/>
      <c r="J677" s="201"/>
      <c r="K677" s="193"/>
      <c r="L677" s="202"/>
      <c r="M677" s="195"/>
      <c r="N677" s="195"/>
      <c r="O677" s="195"/>
      <c r="P677" s="195"/>
      <c r="Q677" s="203"/>
      <c r="R677" s="198"/>
      <c r="S677" s="199"/>
      <c r="T677" s="199"/>
      <c r="U677" s="199"/>
      <c r="V677" s="199"/>
      <c r="W677" s="199"/>
      <c r="X677" s="199"/>
    </row>
    <row r="678">
      <c r="A678" s="247"/>
      <c r="B678" s="199"/>
      <c r="C678" s="247"/>
      <c r="D678" s="247"/>
      <c r="E678" s="195"/>
      <c r="F678" s="201"/>
      <c r="G678" s="195"/>
      <c r="H678" s="201"/>
      <c r="I678" s="195"/>
      <c r="J678" s="201"/>
      <c r="K678" s="193"/>
      <c r="L678" s="202"/>
      <c r="M678" s="195"/>
      <c r="N678" s="195"/>
      <c r="O678" s="195"/>
      <c r="P678" s="195"/>
      <c r="Q678" s="203"/>
      <c r="R678" s="198"/>
      <c r="S678" s="199"/>
      <c r="T678" s="199"/>
      <c r="U678" s="199"/>
      <c r="V678" s="199"/>
      <c r="W678" s="199"/>
      <c r="X678" s="199"/>
    </row>
    <row r="679">
      <c r="A679" s="247"/>
      <c r="B679" s="199"/>
      <c r="C679" s="247"/>
      <c r="D679" s="247"/>
      <c r="E679" s="195"/>
      <c r="F679" s="201"/>
      <c r="G679" s="195"/>
      <c r="H679" s="201"/>
      <c r="I679" s="195"/>
      <c r="J679" s="201"/>
      <c r="K679" s="193"/>
      <c r="L679" s="202"/>
      <c r="M679" s="195"/>
      <c r="N679" s="195"/>
      <c r="O679" s="195"/>
      <c r="P679" s="195"/>
      <c r="Q679" s="203"/>
      <c r="R679" s="198"/>
      <c r="S679" s="199"/>
      <c r="T679" s="199"/>
      <c r="U679" s="199"/>
      <c r="V679" s="199"/>
      <c r="W679" s="199"/>
      <c r="X679" s="199"/>
    </row>
    <row r="680">
      <c r="A680" s="247"/>
      <c r="B680" s="199"/>
      <c r="C680" s="247"/>
      <c r="D680" s="247"/>
      <c r="E680" s="195"/>
      <c r="F680" s="201"/>
      <c r="G680" s="195"/>
      <c r="H680" s="201"/>
      <c r="I680" s="195"/>
      <c r="J680" s="201"/>
      <c r="K680" s="193"/>
      <c r="L680" s="202"/>
      <c r="M680" s="195"/>
      <c r="N680" s="195"/>
      <c r="O680" s="195"/>
      <c r="P680" s="195"/>
      <c r="Q680" s="203"/>
      <c r="R680" s="198"/>
      <c r="S680" s="199"/>
      <c r="T680" s="199"/>
      <c r="U680" s="199"/>
      <c r="V680" s="199"/>
      <c r="W680" s="199"/>
      <c r="X680" s="199"/>
    </row>
    <row r="681">
      <c r="A681" s="247"/>
      <c r="B681" s="199"/>
      <c r="C681" s="247"/>
      <c r="D681" s="247"/>
      <c r="E681" s="195"/>
      <c r="F681" s="201"/>
      <c r="G681" s="195"/>
      <c r="H681" s="201"/>
      <c r="I681" s="195"/>
      <c r="J681" s="201"/>
      <c r="K681" s="193"/>
      <c r="L681" s="202"/>
      <c r="M681" s="195"/>
      <c r="N681" s="195"/>
      <c r="O681" s="195"/>
      <c r="P681" s="195"/>
      <c r="Q681" s="203"/>
      <c r="R681" s="198"/>
      <c r="S681" s="199"/>
      <c r="T681" s="199"/>
      <c r="U681" s="199"/>
      <c r="V681" s="199"/>
      <c r="W681" s="199"/>
      <c r="X681" s="199"/>
    </row>
    <row r="682">
      <c r="A682" s="247"/>
      <c r="B682" s="199"/>
      <c r="C682" s="247"/>
      <c r="D682" s="247"/>
      <c r="E682" s="195"/>
      <c r="F682" s="201"/>
      <c r="G682" s="195"/>
      <c r="H682" s="201"/>
      <c r="I682" s="195"/>
      <c r="J682" s="201"/>
      <c r="K682" s="193"/>
      <c r="L682" s="202"/>
      <c r="M682" s="195"/>
      <c r="N682" s="195"/>
      <c r="O682" s="195"/>
      <c r="P682" s="195"/>
      <c r="Q682" s="203"/>
      <c r="R682" s="198"/>
      <c r="S682" s="199"/>
      <c r="T682" s="199"/>
      <c r="U682" s="199"/>
      <c r="V682" s="199"/>
      <c r="W682" s="199"/>
      <c r="X682" s="199"/>
    </row>
    <row r="683">
      <c r="A683" s="247"/>
      <c r="B683" s="199"/>
      <c r="C683" s="247"/>
      <c r="D683" s="247"/>
      <c r="E683" s="195"/>
      <c r="F683" s="201"/>
      <c r="G683" s="195"/>
      <c r="H683" s="201"/>
      <c r="I683" s="195"/>
      <c r="J683" s="201"/>
      <c r="K683" s="193"/>
      <c r="L683" s="202"/>
      <c r="M683" s="195"/>
      <c r="N683" s="195"/>
      <c r="O683" s="195"/>
      <c r="P683" s="195"/>
      <c r="Q683" s="203"/>
      <c r="R683" s="198"/>
      <c r="S683" s="199"/>
      <c r="T683" s="199"/>
      <c r="U683" s="199"/>
      <c r="V683" s="199"/>
      <c r="W683" s="199"/>
      <c r="X683" s="199"/>
    </row>
    <row r="684">
      <c r="A684" s="247"/>
      <c r="B684" s="199"/>
      <c r="C684" s="247"/>
      <c r="D684" s="247"/>
      <c r="E684" s="195"/>
      <c r="F684" s="201"/>
      <c r="G684" s="195"/>
      <c r="H684" s="201"/>
      <c r="I684" s="195"/>
      <c r="J684" s="201"/>
      <c r="K684" s="193"/>
      <c r="L684" s="202"/>
      <c r="M684" s="195"/>
      <c r="N684" s="195"/>
      <c r="O684" s="195"/>
      <c r="P684" s="195"/>
      <c r="Q684" s="203"/>
      <c r="R684" s="198"/>
      <c r="S684" s="199"/>
      <c r="T684" s="199"/>
      <c r="U684" s="199"/>
      <c r="V684" s="199"/>
      <c r="W684" s="199"/>
      <c r="X684" s="199"/>
    </row>
    <row r="685">
      <c r="A685" s="247"/>
      <c r="B685" s="199"/>
      <c r="C685" s="247"/>
      <c r="D685" s="247"/>
      <c r="E685" s="195"/>
      <c r="F685" s="201"/>
      <c r="G685" s="195"/>
      <c r="H685" s="201"/>
      <c r="I685" s="195"/>
      <c r="J685" s="201"/>
      <c r="K685" s="193"/>
      <c r="L685" s="202"/>
      <c r="M685" s="195"/>
      <c r="N685" s="195"/>
      <c r="O685" s="195"/>
      <c r="P685" s="195"/>
      <c r="Q685" s="203"/>
      <c r="R685" s="198"/>
      <c r="S685" s="199"/>
      <c r="T685" s="199"/>
      <c r="U685" s="199"/>
      <c r="V685" s="199"/>
      <c r="W685" s="199"/>
      <c r="X685" s="199"/>
    </row>
    <row r="686">
      <c r="A686" s="247"/>
      <c r="B686" s="199"/>
      <c r="C686" s="247"/>
      <c r="D686" s="247"/>
      <c r="E686" s="195"/>
      <c r="F686" s="201"/>
      <c r="G686" s="195"/>
      <c r="H686" s="201"/>
      <c r="I686" s="195"/>
      <c r="J686" s="201"/>
      <c r="K686" s="193"/>
      <c r="L686" s="202"/>
      <c r="M686" s="195"/>
      <c r="N686" s="195"/>
      <c r="O686" s="195"/>
      <c r="P686" s="195"/>
      <c r="Q686" s="203"/>
      <c r="R686" s="198"/>
      <c r="S686" s="199"/>
      <c r="T686" s="199"/>
      <c r="U686" s="199"/>
      <c r="V686" s="199"/>
      <c r="W686" s="199"/>
      <c r="X686" s="199"/>
    </row>
    <row r="687">
      <c r="A687" s="247"/>
      <c r="B687" s="199"/>
      <c r="C687" s="247"/>
      <c r="D687" s="247"/>
      <c r="E687" s="195"/>
      <c r="F687" s="201"/>
      <c r="G687" s="195"/>
      <c r="H687" s="201"/>
      <c r="I687" s="195"/>
      <c r="J687" s="201"/>
      <c r="K687" s="193"/>
      <c r="L687" s="202"/>
      <c r="M687" s="195"/>
      <c r="N687" s="195"/>
      <c r="O687" s="195"/>
      <c r="P687" s="195"/>
      <c r="Q687" s="203"/>
      <c r="R687" s="198"/>
      <c r="S687" s="199"/>
      <c r="T687" s="199"/>
      <c r="U687" s="199"/>
      <c r="V687" s="199"/>
      <c r="W687" s="199"/>
      <c r="X687" s="199"/>
    </row>
    <row r="688">
      <c r="A688" s="247"/>
      <c r="B688" s="199"/>
      <c r="C688" s="247"/>
      <c r="D688" s="247"/>
      <c r="E688" s="195"/>
      <c r="F688" s="201"/>
      <c r="G688" s="195"/>
      <c r="H688" s="201"/>
      <c r="I688" s="195"/>
      <c r="J688" s="201"/>
      <c r="K688" s="193"/>
      <c r="L688" s="202"/>
      <c r="M688" s="195"/>
      <c r="N688" s="195"/>
      <c r="O688" s="195"/>
      <c r="P688" s="195"/>
      <c r="Q688" s="203"/>
      <c r="R688" s="198"/>
      <c r="S688" s="199"/>
      <c r="T688" s="199"/>
      <c r="U688" s="199"/>
      <c r="V688" s="199"/>
      <c r="W688" s="199"/>
      <c r="X688" s="199"/>
    </row>
    <row r="689">
      <c r="A689" s="247"/>
      <c r="B689" s="199"/>
      <c r="C689" s="247"/>
      <c r="D689" s="247"/>
      <c r="E689" s="195"/>
      <c r="F689" s="201"/>
      <c r="G689" s="195"/>
      <c r="H689" s="201"/>
      <c r="I689" s="195"/>
      <c r="J689" s="201"/>
      <c r="K689" s="193"/>
      <c r="L689" s="202"/>
      <c r="M689" s="195"/>
      <c r="N689" s="195"/>
      <c r="O689" s="195"/>
      <c r="P689" s="195"/>
      <c r="Q689" s="203"/>
      <c r="R689" s="198"/>
      <c r="S689" s="199"/>
      <c r="T689" s="199"/>
      <c r="U689" s="199"/>
      <c r="V689" s="199"/>
      <c r="W689" s="199"/>
      <c r="X689" s="199"/>
    </row>
    <row r="690">
      <c r="A690" s="247"/>
      <c r="B690" s="199"/>
      <c r="C690" s="247"/>
      <c r="D690" s="247"/>
      <c r="E690" s="195"/>
      <c r="F690" s="201"/>
      <c r="G690" s="195"/>
      <c r="H690" s="201"/>
      <c r="I690" s="195"/>
      <c r="J690" s="201"/>
      <c r="K690" s="193"/>
      <c r="L690" s="202"/>
      <c r="M690" s="195"/>
      <c r="N690" s="195"/>
      <c r="O690" s="195"/>
      <c r="P690" s="195"/>
      <c r="Q690" s="203"/>
      <c r="R690" s="198"/>
      <c r="S690" s="199"/>
      <c r="T690" s="199"/>
      <c r="U690" s="199"/>
      <c r="V690" s="199"/>
      <c r="W690" s="199"/>
      <c r="X690" s="199"/>
    </row>
    <row r="691">
      <c r="A691" s="247"/>
      <c r="B691" s="199"/>
      <c r="C691" s="247"/>
      <c r="D691" s="247"/>
      <c r="E691" s="195"/>
      <c r="F691" s="201"/>
      <c r="G691" s="195"/>
      <c r="H691" s="201"/>
      <c r="I691" s="195"/>
      <c r="J691" s="201"/>
      <c r="K691" s="193"/>
      <c r="L691" s="202"/>
      <c r="M691" s="195"/>
      <c r="N691" s="195"/>
      <c r="O691" s="195"/>
      <c r="P691" s="195"/>
      <c r="Q691" s="203"/>
      <c r="R691" s="198"/>
      <c r="S691" s="199"/>
      <c r="T691" s="199"/>
      <c r="U691" s="199"/>
      <c r="V691" s="199"/>
      <c r="W691" s="199"/>
      <c r="X691" s="199"/>
    </row>
    <row r="692">
      <c r="A692" s="247"/>
      <c r="B692" s="199"/>
      <c r="C692" s="247"/>
      <c r="D692" s="247"/>
      <c r="E692" s="195"/>
      <c r="F692" s="201"/>
      <c r="G692" s="195"/>
      <c r="H692" s="201"/>
      <c r="I692" s="195"/>
      <c r="J692" s="201"/>
      <c r="K692" s="193"/>
      <c r="L692" s="202"/>
      <c r="M692" s="195"/>
      <c r="N692" s="195"/>
      <c r="O692" s="195"/>
      <c r="P692" s="195"/>
      <c r="Q692" s="203"/>
      <c r="R692" s="198"/>
      <c r="S692" s="199"/>
      <c r="T692" s="199"/>
      <c r="U692" s="199"/>
      <c r="V692" s="199"/>
      <c r="W692" s="199"/>
      <c r="X692" s="199"/>
    </row>
    <row r="693">
      <c r="A693" s="247"/>
      <c r="B693" s="199"/>
      <c r="C693" s="247"/>
      <c r="D693" s="247"/>
      <c r="E693" s="195"/>
      <c r="F693" s="201"/>
      <c r="G693" s="195"/>
      <c r="H693" s="201"/>
      <c r="I693" s="195"/>
      <c r="J693" s="201"/>
      <c r="K693" s="193"/>
      <c r="L693" s="202"/>
      <c r="M693" s="195"/>
      <c r="N693" s="195"/>
      <c r="O693" s="195"/>
      <c r="P693" s="195"/>
      <c r="Q693" s="203"/>
      <c r="R693" s="198"/>
      <c r="S693" s="199"/>
      <c r="T693" s="199"/>
      <c r="U693" s="199"/>
      <c r="V693" s="199"/>
      <c r="W693" s="199"/>
      <c r="X693" s="199"/>
    </row>
    <row r="694">
      <c r="A694" s="247"/>
      <c r="B694" s="199"/>
      <c r="C694" s="247"/>
      <c r="D694" s="247"/>
      <c r="E694" s="195"/>
      <c r="F694" s="201"/>
      <c r="G694" s="195"/>
      <c r="H694" s="201"/>
      <c r="I694" s="195"/>
      <c r="J694" s="201"/>
      <c r="K694" s="193"/>
      <c r="L694" s="202"/>
      <c r="M694" s="195"/>
      <c r="N694" s="195"/>
      <c r="O694" s="195"/>
      <c r="P694" s="195"/>
      <c r="Q694" s="203"/>
      <c r="R694" s="198"/>
      <c r="S694" s="199"/>
      <c r="T694" s="199"/>
      <c r="U694" s="199"/>
      <c r="V694" s="199"/>
      <c r="W694" s="199"/>
      <c r="X694" s="199"/>
    </row>
    <row r="695">
      <c r="A695" s="247"/>
      <c r="B695" s="199"/>
      <c r="C695" s="247"/>
      <c r="D695" s="247"/>
      <c r="E695" s="195"/>
      <c r="F695" s="201"/>
      <c r="G695" s="195"/>
      <c r="H695" s="201"/>
      <c r="I695" s="195"/>
      <c r="J695" s="201"/>
      <c r="K695" s="193"/>
      <c r="L695" s="202"/>
      <c r="M695" s="195"/>
      <c r="N695" s="195"/>
      <c r="O695" s="195"/>
      <c r="P695" s="195"/>
      <c r="Q695" s="203"/>
      <c r="R695" s="198"/>
      <c r="S695" s="199"/>
      <c r="T695" s="199"/>
      <c r="U695" s="199"/>
      <c r="V695" s="199"/>
      <c r="W695" s="199"/>
      <c r="X695" s="199"/>
    </row>
    <row r="696">
      <c r="A696" s="247"/>
      <c r="B696" s="199"/>
      <c r="C696" s="247"/>
      <c r="D696" s="247"/>
      <c r="E696" s="195"/>
      <c r="F696" s="201"/>
      <c r="G696" s="195"/>
      <c r="H696" s="201"/>
      <c r="I696" s="195"/>
      <c r="J696" s="201"/>
      <c r="K696" s="193"/>
      <c r="L696" s="202"/>
      <c r="M696" s="195"/>
      <c r="N696" s="195"/>
      <c r="O696" s="195"/>
      <c r="P696" s="195"/>
      <c r="Q696" s="203"/>
      <c r="R696" s="198"/>
      <c r="S696" s="199"/>
      <c r="T696" s="199"/>
      <c r="U696" s="199"/>
      <c r="V696" s="199"/>
      <c r="W696" s="199"/>
      <c r="X696" s="199"/>
    </row>
    <row r="697">
      <c r="A697" s="247"/>
      <c r="B697" s="199"/>
      <c r="C697" s="247"/>
      <c r="D697" s="247"/>
      <c r="E697" s="195"/>
      <c r="F697" s="201"/>
      <c r="G697" s="195"/>
      <c r="H697" s="201"/>
      <c r="I697" s="195"/>
      <c r="J697" s="201"/>
      <c r="K697" s="193"/>
      <c r="L697" s="202"/>
      <c r="M697" s="195"/>
      <c r="N697" s="195"/>
      <c r="O697" s="195"/>
      <c r="P697" s="195"/>
      <c r="Q697" s="203"/>
      <c r="R697" s="198"/>
      <c r="S697" s="199"/>
      <c r="T697" s="199"/>
      <c r="U697" s="199"/>
      <c r="V697" s="199"/>
      <c r="W697" s="199"/>
      <c r="X697" s="199"/>
    </row>
    <row r="698">
      <c r="A698" s="247"/>
      <c r="B698" s="199"/>
      <c r="C698" s="247"/>
      <c r="D698" s="247"/>
      <c r="E698" s="195"/>
      <c r="F698" s="201"/>
      <c r="G698" s="195"/>
      <c r="H698" s="201"/>
      <c r="I698" s="195"/>
      <c r="J698" s="201"/>
      <c r="K698" s="193"/>
      <c r="L698" s="202"/>
      <c r="M698" s="195"/>
      <c r="N698" s="195"/>
      <c r="O698" s="195"/>
      <c r="P698" s="195"/>
      <c r="Q698" s="203"/>
      <c r="R698" s="198"/>
      <c r="S698" s="199"/>
      <c r="T698" s="199"/>
      <c r="U698" s="199"/>
      <c r="V698" s="199"/>
      <c r="W698" s="199"/>
      <c r="X698" s="199"/>
    </row>
    <row r="699">
      <c r="A699" s="247"/>
      <c r="B699" s="199"/>
      <c r="C699" s="247"/>
      <c r="D699" s="247"/>
      <c r="E699" s="195"/>
      <c r="F699" s="201"/>
      <c r="G699" s="195"/>
      <c r="H699" s="201"/>
      <c r="I699" s="195"/>
      <c r="J699" s="201"/>
      <c r="K699" s="193"/>
      <c r="L699" s="202"/>
      <c r="M699" s="195"/>
      <c r="N699" s="195"/>
      <c r="O699" s="195"/>
      <c r="P699" s="195"/>
      <c r="Q699" s="203"/>
      <c r="R699" s="198"/>
      <c r="S699" s="199"/>
      <c r="T699" s="199"/>
      <c r="U699" s="199"/>
      <c r="V699" s="199"/>
      <c r="W699" s="199"/>
      <c r="X699" s="199"/>
    </row>
    <row r="700">
      <c r="A700" s="247"/>
      <c r="B700" s="199"/>
      <c r="C700" s="247"/>
      <c r="D700" s="247"/>
      <c r="E700" s="195"/>
      <c r="F700" s="201"/>
      <c r="G700" s="195"/>
      <c r="H700" s="201"/>
      <c r="I700" s="195"/>
      <c r="J700" s="201"/>
      <c r="K700" s="193"/>
      <c r="L700" s="202"/>
      <c r="M700" s="195"/>
      <c r="N700" s="195"/>
      <c r="O700" s="195"/>
      <c r="P700" s="195"/>
      <c r="Q700" s="203"/>
      <c r="R700" s="198"/>
      <c r="S700" s="199"/>
      <c r="T700" s="199"/>
      <c r="U700" s="199"/>
      <c r="V700" s="199"/>
      <c r="W700" s="199"/>
      <c r="X700" s="199"/>
    </row>
    <row r="701">
      <c r="A701" s="247"/>
      <c r="B701" s="199"/>
      <c r="C701" s="247"/>
      <c r="D701" s="247"/>
      <c r="E701" s="195"/>
      <c r="F701" s="201"/>
      <c r="G701" s="195"/>
      <c r="H701" s="201"/>
      <c r="I701" s="195"/>
      <c r="J701" s="201"/>
      <c r="K701" s="193"/>
      <c r="L701" s="202"/>
      <c r="M701" s="195"/>
      <c r="N701" s="195"/>
      <c r="O701" s="195"/>
      <c r="P701" s="195"/>
      <c r="Q701" s="203"/>
      <c r="R701" s="198"/>
      <c r="S701" s="199"/>
      <c r="T701" s="199"/>
      <c r="U701" s="199"/>
      <c r="V701" s="199"/>
      <c r="W701" s="199"/>
      <c r="X701" s="199"/>
    </row>
    <row r="702">
      <c r="A702" s="247"/>
      <c r="B702" s="199"/>
      <c r="C702" s="247"/>
      <c r="D702" s="247"/>
      <c r="E702" s="195"/>
      <c r="F702" s="201"/>
      <c r="G702" s="195"/>
      <c r="H702" s="201"/>
      <c r="I702" s="195"/>
      <c r="J702" s="201"/>
      <c r="K702" s="193"/>
      <c r="L702" s="202"/>
      <c r="M702" s="195"/>
      <c r="N702" s="195"/>
      <c r="O702" s="195"/>
      <c r="P702" s="195"/>
      <c r="Q702" s="203"/>
      <c r="R702" s="198"/>
      <c r="S702" s="199"/>
      <c r="T702" s="199"/>
      <c r="U702" s="199"/>
      <c r="V702" s="199"/>
      <c r="W702" s="199"/>
      <c r="X702" s="199"/>
    </row>
    <row r="703">
      <c r="A703" s="247"/>
      <c r="B703" s="199"/>
      <c r="C703" s="247"/>
      <c r="D703" s="247"/>
      <c r="E703" s="195"/>
      <c r="F703" s="201"/>
      <c r="G703" s="195"/>
      <c r="H703" s="201"/>
      <c r="I703" s="195"/>
      <c r="J703" s="201"/>
      <c r="K703" s="193"/>
      <c r="L703" s="202"/>
      <c r="M703" s="195"/>
      <c r="N703" s="195"/>
      <c r="O703" s="195"/>
      <c r="P703" s="195"/>
      <c r="Q703" s="203"/>
      <c r="R703" s="198"/>
      <c r="S703" s="199"/>
      <c r="T703" s="199"/>
      <c r="U703" s="199"/>
      <c r="V703" s="199"/>
      <c r="W703" s="199"/>
      <c r="X703" s="199"/>
    </row>
    <row r="704">
      <c r="A704" s="247"/>
      <c r="B704" s="199"/>
      <c r="C704" s="247"/>
      <c r="D704" s="247"/>
      <c r="E704" s="195"/>
      <c r="F704" s="201"/>
      <c r="G704" s="195"/>
      <c r="H704" s="201"/>
      <c r="I704" s="195"/>
      <c r="J704" s="201"/>
      <c r="K704" s="193"/>
      <c r="L704" s="202"/>
      <c r="M704" s="195"/>
      <c r="N704" s="195"/>
      <c r="O704" s="195"/>
      <c r="P704" s="195"/>
      <c r="Q704" s="203"/>
      <c r="R704" s="198"/>
      <c r="S704" s="199"/>
      <c r="T704" s="199"/>
      <c r="U704" s="199"/>
      <c r="V704" s="199"/>
      <c r="W704" s="199"/>
      <c r="X704" s="199"/>
    </row>
    <row r="705">
      <c r="A705" s="247"/>
      <c r="B705" s="199"/>
      <c r="C705" s="247"/>
      <c r="D705" s="247"/>
      <c r="E705" s="195"/>
      <c r="F705" s="201"/>
      <c r="G705" s="195"/>
      <c r="H705" s="201"/>
      <c r="I705" s="195"/>
      <c r="J705" s="201"/>
      <c r="K705" s="193"/>
      <c r="L705" s="202"/>
      <c r="M705" s="195"/>
      <c r="N705" s="195"/>
      <c r="O705" s="195"/>
      <c r="P705" s="195"/>
      <c r="Q705" s="203"/>
      <c r="R705" s="198"/>
      <c r="S705" s="199"/>
      <c r="T705" s="199"/>
      <c r="U705" s="199"/>
      <c r="V705" s="199"/>
      <c r="W705" s="199"/>
      <c r="X705" s="199"/>
    </row>
    <row r="706">
      <c r="A706" s="247"/>
      <c r="B706" s="199"/>
      <c r="C706" s="247"/>
      <c r="D706" s="247"/>
      <c r="E706" s="195"/>
      <c r="F706" s="201"/>
      <c r="G706" s="195"/>
      <c r="H706" s="201"/>
      <c r="I706" s="195"/>
      <c r="J706" s="201"/>
      <c r="K706" s="193"/>
      <c r="L706" s="202"/>
      <c r="M706" s="195"/>
      <c r="N706" s="195"/>
      <c r="O706" s="195"/>
      <c r="P706" s="195"/>
      <c r="Q706" s="203"/>
      <c r="R706" s="198"/>
      <c r="S706" s="199"/>
      <c r="T706" s="199"/>
      <c r="U706" s="199"/>
      <c r="V706" s="199"/>
      <c r="W706" s="199"/>
      <c r="X706" s="199"/>
    </row>
    <row r="707">
      <c r="A707" s="247"/>
      <c r="B707" s="199"/>
      <c r="C707" s="247"/>
      <c r="D707" s="247"/>
      <c r="E707" s="195"/>
      <c r="F707" s="201"/>
      <c r="G707" s="195"/>
      <c r="H707" s="201"/>
      <c r="I707" s="195"/>
      <c r="J707" s="201"/>
      <c r="K707" s="193"/>
      <c r="L707" s="202"/>
      <c r="M707" s="195"/>
      <c r="N707" s="195"/>
      <c r="O707" s="195"/>
      <c r="P707" s="195"/>
      <c r="Q707" s="203"/>
      <c r="R707" s="198"/>
      <c r="S707" s="199"/>
      <c r="T707" s="199"/>
      <c r="U707" s="199"/>
      <c r="V707" s="199"/>
      <c r="W707" s="199"/>
      <c r="X707" s="199"/>
    </row>
    <row r="708">
      <c r="A708" s="247"/>
      <c r="B708" s="199"/>
      <c r="C708" s="247"/>
      <c r="D708" s="247"/>
      <c r="E708" s="195"/>
      <c r="F708" s="201"/>
      <c r="G708" s="195"/>
      <c r="H708" s="201"/>
      <c r="I708" s="195"/>
      <c r="J708" s="201"/>
      <c r="K708" s="193"/>
      <c r="L708" s="202"/>
      <c r="M708" s="195"/>
      <c r="N708" s="195"/>
      <c r="O708" s="195"/>
      <c r="P708" s="195"/>
      <c r="Q708" s="203"/>
      <c r="R708" s="198"/>
      <c r="S708" s="199"/>
      <c r="T708" s="199"/>
      <c r="U708" s="199"/>
      <c r="V708" s="199"/>
      <c r="W708" s="199"/>
      <c r="X708" s="199"/>
    </row>
    <row r="709">
      <c r="A709" s="247"/>
      <c r="B709" s="199"/>
      <c r="C709" s="247"/>
      <c r="D709" s="247"/>
      <c r="E709" s="195"/>
      <c r="F709" s="201"/>
      <c r="G709" s="195"/>
      <c r="H709" s="201"/>
      <c r="I709" s="195"/>
      <c r="J709" s="201"/>
      <c r="K709" s="193"/>
      <c r="L709" s="202"/>
      <c r="M709" s="195"/>
      <c r="N709" s="195"/>
      <c r="O709" s="195"/>
      <c r="P709" s="195"/>
      <c r="Q709" s="203"/>
      <c r="R709" s="198"/>
      <c r="S709" s="199"/>
      <c r="T709" s="199"/>
      <c r="U709" s="199"/>
      <c r="V709" s="199"/>
      <c r="W709" s="199"/>
      <c r="X709" s="199"/>
    </row>
    <row r="710">
      <c r="A710" s="247"/>
      <c r="B710" s="199"/>
      <c r="C710" s="247"/>
      <c r="D710" s="247"/>
      <c r="E710" s="195"/>
      <c r="F710" s="201"/>
      <c r="G710" s="195"/>
      <c r="H710" s="201"/>
      <c r="I710" s="195"/>
      <c r="J710" s="201"/>
      <c r="K710" s="193"/>
      <c r="L710" s="202"/>
      <c r="M710" s="195"/>
      <c r="N710" s="195"/>
      <c r="O710" s="195"/>
      <c r="P710" s="195"/>
      <c r="Q710" s="203"/>
      <c r="R710" s="198"/>
      <c r="S710" s="199"/>
      <c r="T710" s="199"/>
      <c r="U710" s="199"/>
      <c r="V710" s="199"/>
      <c r="W710" s="199"/>
      <c r="X710" s="199"/>
    </row>
    <row r="711">
      <c r="A711" s="247"/>
      <c r="B711" s="199"/>
      <c r="C711" s="247"/>
      <c r="D711" s="247"/>
      <c r="E711" s="195"/>
      <c r="F711" s="201"/>
      <c r="G711" s="195"/>
      <c r="H711" s="201"/>
      <c r="I711" s="195"/>
      <c r="J711" s="201"/>
      <c r="K711" s="193"/>
      <c r="L711" s="202"/>
      <c r="M711" s="195"/>
      <c r="N711" s="195"/>
      <c r="O711" s="195"/>
      <c r="P711" s="195"/>
      <c r="Q711" s="203"/>
      <c r="R711" s="198"/>
      <c r="S711" s="199"/>
      <c r="T711" s="199"/>
      <c r="U711" s="199"/>
      <c r="V711" s="199"/>
      <c r="W711" s="199"/>
      <c r="X711" s="199"/>
    </row>
    <row r="712">
      <c r="A712" s="247"/>
      <c r="B712" s="199"/>
      <c r="C712" s="247"/>
      <c r="D712" s="247"/>
      <c r="E712" s="195"/>
      <c r="F712" s="201"/>
      <c r="G712" s="195"/>
      <c r="H712" s="201"/>
      <c r="I712" s="195"/>
      <c r="J712" s="201"/>
      <c r="K712" s="193"/>
      <c r="L712" s="202"/>
      <c r="M712" s="195"/>
      <c r="N712" s="195"/>
      <c r="O712" s="195"/>
      <c r="P712" s="195"/>
      <c r="Q712" s="203"/>
      <c r="R712" s="198"/>
      <c r="S712" s="199"/>
      <c r="T712" s="199"/>
      <c r="U712" s="199"/>
      <c r="V712" s="199"/>
      <c r="W712" s="199"/>
      <c r="X712" s="199"/>
    </row>
    <row r="713">
      <c r="A713" s="247"/>
      <c r="B713" s="199"/>
      <c r="C713" s="247"/>
      <c r="D713" s="247"/>
      <c r="E713" s="195"/>
      <c r="F713" s="201"/>
      <c r="G713" s="195"/>
      <c r="H713" s="201"/>
      <c r="I713" s="195"/>
      <c r="J713" s="201"/>
      <c r="K713" s="193"/>
      <c r="L713" s="202"/>
      <c r="M713" s="195"/>
      <c r="N713" s="195"/>
      <c r="O713" s="195"/>
      <c r="P713" s="195"/>
      <c r="Q713" s="203"/>
      <c r="R713" s="198"/>
      <c r="S713" s="199"/>
      <c r="T713" s="199"/>
      <c r="U713" s="199"/>
      <c r="V713" s="199"/>
      <c r="W713" s="199"/>
      <c r="X713" s="199"/>
    </row>
    <row r="714">
      <c r="A714" s="247"/>
      <c r="B714" s="199"/>
      <c r="C714" s="247"/>
      <c r="D714" s="247"/>
      <c r="E714" s="195"/>
      <c r="F714" s="201"/>
      <c r="G714" s="195"/>
      <c r="H714" s="201"/>
      <c r="I714" s="195"/>
      <c r="J714" s="201"/>
      <c r="K714" s="193"/>
      <c r="L714" s="202"/>
      <c r="M714" s="195"/>
      <c r="N714" s="195"/>
      <c r="O714" s="195"/>
      <c r="P714" s="195"/>
      <c r="Q714" s="203"/>
      <c r="R714" s="198"/>
      <c r="S714" s="199"/>
      <c r="T714" s="199"/>
      <c r="U714" s="199"/>
      <c r="V714" s="199"/>
      <c r="W714" s="199"/>
      <c r="X714" s="199"/>
    </row>
    <row r="715">
      <c r="A715" s="247"/>
      <c r="B715" s="199"/>
      <c r="C715" s="247"/>
      <c r="D715" s="247"/>
      <c r="E715" s="195"/>
      <c r="F715" s="201"/>
      <c r="G715" s="195"/>
      <c r="H715" s="201"/>
      <c r="I715" s="195"/>
      <c r="J715" s="201"/>
      <c r="K715" s="193"/>
      <c r="L715" s="202"/>
      <c r="M715" s="195"/>
      <c r="N715" s="195"/>
      <c r="O715" s="195"/>
      <c r="P715" s="195"/>
      <c r="Q715" s="203"/>
      <c r="R715" s="198"/>
      <c r="S715" s="199"/>
      <c r="T715" s="199"/>
      <c r="U715" s="199"/>
      <c r="V715" s="199"/>
      <c r="W715" s="199"/>
      <c r="X715" s="199"/>
    </row>
    <row r="716">
      <c r="A716" s="247"/>
      <c r="B716" s="199"/>
      <c r="C716" s="247"/>
      <c r="D716" s="247"/>
      <c r="E716" s="195"/>
      <c r="F716" s="201"/>
      <c r="G716" s="195"/>
      <c r="H716" s="201"/>
      <c r="I716" s="195"/>
      <c r="J716" s="201"/>
      <c r="K716" s="193"/>
      <c r="L716" s="202"/>
      <c r="M716" s="195"/>
      <c r="N716" s="195"/>
      <c r="O716" s="195"/>
      <c r="P716" s="195"/>
      <c r="Q716" s="203"/>
      <c r="R716" s="198"/>
      <c r="S716" s="199"/>
      <c r="T716" s="199"/>
      <c r="U716" s="199"/>
      <c r="V716" s="199"/>
      <c r="W716" s="199"/>
      <c r="X716" s="199"/>
    </row>
    <row r="717">
      <c r="A717" s="247"/>
      <c r="B717" s="199"/>
      <c r="C717" s="247"/>
      <c r="D717" s="247"/>
      <c r="E717" s="195"/>
      <c r="F717" s="201"/>
      <c r="G717" s="195"/>
      <c r="H717" s="201"/>
      <c r="I717" s="195"/>
      <c r="J717" s="201"/>
      <c r="K717" s="193"/>
      <c r="L717" s="202"/>
      <c r="M717" s="195"/>
      <c r="N717" s="195"/>
      <c r="O717" s="195"/>
      <c r="P717" s="195"/>
      <c r="Q717" s="203"/>
      <c r="R717" s="198"/>
      <c r="S717" s="199"/>
      <c r="T717" s="199"/>
      <c r="U717" s="199"/>
      <c r="V717" s="199"/>
      <c r="W717" s="199"/>
      <c r="X717" s="199"/>
    </row>
    <row r="718">
      <c r="A718" s="247"/>
      <c r="B718" s="199"/>
      <c r="C718" s="247"/>
      <c r="D718" s="247"/>
      <c r="E718" s="195"/>
      <c r="F718" s="201"/>
      <c r="G718" s="195"/>
      <c r="H718" s="201"/>
      <c r="I718" s="195"/>
      <c r="J718" s="201"/>
      <c r="K718" s="193"/>
      <c r="L718" s="202"/>
      <c r="M718" s="195"/>
      <c r="N718" s="195"/>
      <c r="O718" s="195"/>
      <c r="P718" s="195"/>
      <c r="Q718" s="203"/>
      <c r="R718" s="198"/>
      <c r="S718" s="199"/>
      <c r="T718" s="199"/>
      <c r="U718" s="199"/>
      <c r="V718" s="199"/>
      <c r="W718" s="199"/>
      <c r="X718" s="199"/>
    </row>
    <row r="719">
      <c r="A719" s="247"/>
      <c r="B719" s="199"/>
      <c r="C719" s="247"/>
      <c r="D719" s="247"/>
      <c r="E719" s="195"/>
      <c r="F719" s="201"/>
      <c r="G719" s="195"/>
      <c r="H719" s="201"/>
      <c r="I719" s="195"/>
      <c r="J719" s="201"/>
      <c r="K719" s="193"/>
      <c r="L719" s="202"/>
      <c r="M719" s="195"/>
      <c r="N719" s="195"/>
      <c r="O719" s="195"/>
      <c r="P719" s="195"/>
      <c r="Q719" s="203"/>
      <c r="R719" s="198"/>
      <c r="S719" s="199"/>
      <c r="T719" s="199"/>
      <c r="U719" s="199"/>
      <c r="V719" s="199"/>
      <c r="W719" s="199"/>
      <c r="X719" s="199"/>
    </row>
    <row r="720">
      <c r="A720" s="247"/>
      <c r="B720" s="199"/>
      <c r="C720" s="247"/>
      <c r="D720" s="247"/>
      <c r="E720" s="195"/>
      <c r="F720" s="201"/>
      <c r="G720" s="195"/>
      <c r="H720" s="201"/>
      <c r="I720" s="195"/>
      <c r="J720" s="201"/>
      <c r="K720" s="193"/>
      <c r="L720" s="202"/>
      <c r="M720" s="195"/>
      <c r="N720" s="195"/>
      <c r="O720" s="195"/>
      <c r="P720" s="195"/>
      <c r="Q720" s="203"/>
      <c r="R720" s="198"/>
      <c r="S720" s="199"/>
      <c r="T720" s="199"/>
      <c r="U720" s="199"/>
      <c r="V720" s="199"/>
      <c r="W720" s="199"/>
      <c r="X720" s="199"/>
    </row>
    <row r="721">
      <c r="A721" s="247"/>
      <c r="B721" s="199"/>
      <c r="C721" s="247"/>
      <c r="D721" s="247"/>
      <c r="E721" s="195"/>
      <c r="F721" s="201"/>
      <c r="G721" s="195"/>
      <c r="H721" s="201"/>
      <c r="I721" s="195"/>
      <c r="J721" s="201"/>
      <c r="K721" s="193"/>
      <c r="L721" s="202"/>
      <c r="M721" s="195"/>
      <c r="N721" s="195"/>
      <c r="O721" s="195"/>
      <c r="P721" s="195"/>
      <c r="Q721" s="203"/>
      <c r="R721" s="198"/>
      <c r="S721" s="199"/>
      <c r="T721" s="199"/>
      <c r="U721" s="199"/>
      <c r="V721" s="199"/>
      <c r="W721" s="199"/>
      <c r="X721" s="199"/>
    </row>
    <row r="722">
      <c r="A722" s="247"/>
      <c r="B722" s="199"/>
      <c r="C722" s="247"/>
      <c r="D722" s="247"/>
      <c r="E722" s="195"/>
      <c r="F722" s="201"/>
      <c r="G722" s="195"/>
      <c r="H722" s="201"/>
      <c r="I722" s="195"/>
      <c r="J722" s="201"/>
      <c r="K722" s="193"/>
      <c r="L722" s="202"/>
      <c r="M722" s="195"/>
      <c r="N722" s="195"/>
      <c r="O722" s="195"/>
      <c r="P722" s="195"/>
      <c r="Q722" s="203"/>
      <c r="R722" s="198"/>
      <c r="S722" s="199"/>
      <c r="T722" s="199"/>
      <c r="U722" s="199"/>
      <c r="V722" s="199"/>
      <c r="W722" s="199"/>
      <c r="X722" s="199"/>
    </row>
    <row r="723">
      <c r="A723" s="247"/>
      <c r="B723" s="199"/>
      <c r="C723" s="247"/>
      <c r="D723" s="247"/>
      <c r="E723" s="195"/>
      <c r="F723" s="201"/>
      <c r="G723" s="195"/>
      <c r="H723" s="201"/>
      <c r="I723" s="195"/>
      <c r="J723" s="201"/>
      <c r="K723" s="193"/>
      <c r="L723" s="202"/>
      <c r="M723" s="195"/>
      <c r="N723" s="195"/>
      <c r="O723" s="195"/>
      <c r="P723" s="195"/>
      <c r="Q723" s="203"/>
      <c r="R723" s="198"/>
      <c r="S723" s="199"/>
      <c r="T723" s="199"/>
      <c r="U723" s="199"/>
      <c r="V723" s="199"/>
      <c r="W723" s="199"/>
      <c r="X723" s="199"/>
    </row>
    <row r="724">
      <c r="A724" s="247"/>
      <c r="B724" s="199"/>
      <c r="C724" s="247"/>
      <c r="D724" s="247"/>
      <c r="E724" s="195"/>
      <c r="F724" s="201"/>
      <c r="G724" s="195"/>
      <c r="H724" s="201"/>
      <c r="I724" s="195"/>
      <c r="J724" s="201"/>
      <c r="K724" s="193"/>
      <c r="L724" s="202"/>
      <c r="M724" s="195"/>
      <c r="N724" s="195"/>
      <c r="O724" s="195"/>
      <c r="P724" s="195"/>
      <c r="Q724" s="203"/>
      <c r="R724" s="198"/>
      <c r="S724" s="199"/>
      <c r="T724" s="199"/>
      <c r="U724" s="199"/>
      <c r="V724" s="199"/>
      <c r="W724" s="199"/>
      <c r="X724" s="199"/>
    </row>
    <row r="725">
      <c r="A725" s="247"/>
      <c r="B725" s="199"/>
      <c r="C725" s="247"/>
      <c r="D725" s="247"/>
      <c r="E725" s="195"/>
      <c r="F725" s="201"/>
      <c r="G725" s="195"/>
      <c r="H725" s="201"/>
      <c r="I725" s="195"/>
      <c r="J725" s="201"/>
      <c r="K725" s="193"/>
      <c r="L725" s="202"/>
      <c r="M725" s="195"/>
      <c r="N725" s="195"/>
      <c r="O725" s="195"/>
      <c r="P725" s="195"/>
      <c r="Q725" s="203"/>
      <c r="R725" s="198"/>
      <c r="S725" s="199"/>
      <c r="T725" s="199"/>
      <c r="U725" s="199"/>
      <c r="V725" s="199"/>
      <c r="W725" s="199"/>
      <c r="X725" s="199"/>
    </row>
    <row r="726">
      <c r="A726" s="247"/>
      <c r="B726" s="199"/>
      <c r="C726" s="247"/>
      <c r="D726" s="247"/>
      <c r="E726" s="195"/>
      <c r="F726" s="201"/>
      <c r="G726" s="195"/>
      <c r="H726" s="201"/>
      <c r="I726" s="195"/>
      <c r="J726" s="201"/>
      <c r="K726" s="193"/>
      <c r="L726" s="202"/>
      <c r="M726" s="195"/>
      <c r="N726" s="195"/>
      <c r="O726" s="195"/>
      <c r="P726" s="195"/>
      <c r="Q726" s="203"/>
      <c r="R726" s="198"/>
      <c r="S726" s="199"/>
      <c r="T726" s="199"/>
      <c r="U726" s="199"/>
      <c r="V726" s="199"/>
      <c r="W726" s="199"/>
      <c r="X726" s="199"/>
    </row>
    <row r="727">
      <c r="A727" s="247"/>
      <c r="B727" s="199"/>
      <c r="C727" s="247"/>
      <c r="D727" s="247"/>
      <c r="E727" s="195"/>
      <c r="F727" s="201"/>
      <c r="G727" s="195"/>
      <c r="H727" s="201"/>
      <c r="I727" s="195"/>
      <c r="J727" s="201"/>
      <c r="K727" s="193"/>
      <c r="L727" s="202"/>
      <c r="M727" s="195"/>
      <c r="N727" s="195"/>
      <c r="O727" s="195"/>
      <c r="P727" s="195"/>
      <c r="Q727" s="203"/>
      <c r="R727" s="198"/>
      <c r="S727" s="199"/>
      <c r="T727" s="199"/>
      <c r="U727" s="199"/>
      <c r="V727" s="199"/>
      <c r="W727" s="199"/>
      <c r="X727" s="199"/>
    </row>
    <row r="728">
      <c r="A728" s="247"/>
      <c r="B728" s="199"/>
      <c r="C728" s="247"/>
      <c r="D728" s="247"/>
      <c r="E728" s="195"/>
      <c r="F728" s="201"/>
      <c r="G728" s="195"/>
      <c r="H728" s="201"/>
      <c r="I728" s="195"/>
      <c r="J728" s="201"/>
      <c r="K728" s="193"/>
      <c r="L728" s="202"/>
      <c r="M728" s="195"/>
      <c r="N728" s="195"/>
      <c r="O728" s="195"/>
      <c r="P728" s="195"/>
      <c r="Q728" s="203"/>
      <c r="R728" s="198"/>
      <c r="S728" s="199"/>
      <c r="T728" s="199"/>
      <c r="U728" s="199"/>
      <c r="V728" s="199"/>
      <c r="W728" s="199"/>
      <c r="X728" s="199"/>
    </row>
    <row r="729">
      <c r="A729" s="247"/>
      <c r="B729" s="199"/>
      <c r="C729" s="247"/>
      <c r="D729" s="247"/>
      <c r="E729" s="195"/>
      <c r="F729" s="201"/>
      <c r="G729" s="195"/>
      <c r="H729" s="201"/>
      <c r="I729" s="195"/>
      <c r="J729" s="201"/>
      <c r="K729" s="193"/>
      <c r="L729" s="202"/>
      <c r="M729" s="195"/>
      <c r="N729" s="195"/>
      <c r="O729" s="195"/>
      <c r="P729" s="195"/>
      <c r="Q729" s="203"/>
      <c r="R729" s="198"/>
      <c r="S729" s="199"/>
      <c r="T729" s="199"/>
      <c r="U729" s="199"/>
      <c r="V729" s="199"/>
      <c r="W729" s="199"/>
      <c r="X729" s="199"/>
    </row>
    <row r="730">
      <c r="A730" s="247"/>
      <c r="B730" s="199"/>
      <c r="C730" s="247"/>
      <c r="D730" s="247"/>
      <c r="E730" s="195"/>
      <c r="F730" s="201"/>
      <c r="G730" s="195"/>
      <c r="H730" s="201"/>
      <c r="I730" s="195"/>
      <c r="J730" s="201"/>
      <c r="K730" s="193"/>
      <c r="L730" s="202"/>
      <c r="M730" s="195"/>
      <c r="N730" s="195"/>
      <c r="O730" s="195"/>
      <c r="P730" s="195"/>
      <c r="Q730" s="203"/>
      <c r="R730" s="198"/>
      <c r="S730" s="199"/>
      <c r="T730" s="199"/>
      <c r="U730" s="199"/>
      <c r="V730" s="199"/>
      <c r="W730" s="199"/>
      <c r="X730" s="199"/>
    </row>
    <row r="731">
      <c r="A731" s="247"/>
      <c r="B731" s="199"/>
      <c r="C731" s="247"/>
      <c r="D731" s="247"/>
      <c r="E731" s="195"/>
      <c r="F731" s="201"/>
      <c r="G731" s="195"/>
      <c r="H731" s="201"/>
      <c r="I731" s="195"/>
      <c r="J731" s="201"/>
      <c r="K731" s="193"/>
      <c r="L731" s="202"/>
      <c r="M731" s="195"/>
      <c r="N731" s="195"/>
      <c r="O731" s="195"/>
      <c r="P731" s="195"/>
      <c r="Q731" s="203"/>
      <c r="R731" s="198"/>
      <c r="S731" s="199"/>
      <c r="T731" s="199"/>
      <c r="U731" s="199"/>
      <c r="V731" s="199"/>
      <c r="W731" s="199"/>
      <c r="X731" s="199"/>
    </row>
    <row r="732">
      <c r="A732" s="247"/>
      <c r="B732" s="199"/>
      <c r="C732" s="247"/>
      <c r="D732" s="247"/>
      <c r="E732" s="195"/>
      <c r="F732" s="201"/>
      <c r="G732" s="195"/>
      <c r="H732" s="201"/>
      <c r="I732" s="195"/>
      <c r="J732" s="201"/>
      <c r="K732" s="193"/>
      <c r="L732" s="202"/>
      <c r="M732" s="195"/>
      <c r="N732" s="195"/>
      <c r="O732" s="195"/>
      <c r="P732" s="195"/>
      <c r="Q732" s="203"/>
      <c r="R732" s="198"/>
      <c r="S732" s="199"/>
      <c r="T732" s="199"/>
      <c r="U732" s="199"/>
      <c r="V732" s="199"/>
      <c r="W732" s="199"/>
      <c r="X732" s="199"/>
    </row>
    <row r="733">
      <c r="A733" s="247"/>
      <c r="B733" s="199"/>
      <c r="C733" s="247"/>
      <c r="D733" s="247"/>
      <c r="E733" s="195"/>
      <c r="F733" s="201"/>
      <c r="G733" s="195"/>
      <c r="H733" s="201"/>
      <c r="I733" s="195"/>
      <c r="J733" s="201"/>
      <c r="K733" s="193"/>
      <c r="L733" s="202"/>
      <c r="M733" s="195"/>
      <c r="N733" s="195"/>
      <c r="O733" s="195"/>
      <c r="P733" s="195"/>
      <c r="Q733" s="203"/>
      <c r="R733" s="198"/>
      <c r="S733" s="199"/>
      <c r="T733" s="199"/>
      <c r="U733" s="199"/>
      <c r="V733" s="199"/>
      <c r="W733" s="199"/>
      <c r="X733" s="199"/>
    </row>
    <row r="734">
      <c r="A734" s="247"/>
      <c r="B734" s="199"/>
      <c r="C734" s="247"/>
      <c r="D734" s="247"/>
      <c r="E734" s="195"/>
      <c r="F734" s="201"/>
      <c r="G734" s="195"/>
      <c r="H734" s="201"/>
      <c r="I734" s="195"/>
      <c r="J734" s="201"/>
      <c r="K734" s="193"/>
      <c r="L734" s="202"/>
      <c r="M734" s="195"/>
      <c r="N734" s="195"/>
      <c r="O734" s="195"/>
      <c r="P734" s="195"/>
      <c r="Q734" s="203"/>
      <c r="R734" s="198"/>
      <c r="S734" s="199"/>
      <c r="T734" s="199"/>
      <c r="U734" s="199"/>
      <c r="V734" s="199"/>
      <c r="W734" s="199"/>
      <c r="X734" s="199"/>
    </row>
    <row r="735">
      <c r="A735" s="247"/>
      <c r="B735" s="199"/>
      <c r="C735" s="247"/>
      <c r="D735" s="247"/>
      <c r="E735" s="195"/>
      <c r="F735" s="201"/>
      <c r="G735" s="195"/>
      <c r="H735" s="201"/>
      <c r="I735" s="195"/>
      <c r="J735" s="201"/>
      <c r="K735" s="193"/>
      <c r="L735" s="202"/>
      <c r="M735" s="195"/>
      <c r="N735" s="195"/>
      <c r="O735" s="195"/>
      <c r="P735" s="195"/>
      <c r="Q735" s="203"/>
      <c r="R735" s="198"/>
      <c r="S735" s="199"/>
      <c r="T735" s="199"/>
      <c r="U735" s="199"/>
      <c r="V735" s="199"/>
      <c r="W735" s="199"/>
      <c r="X735" s="199"/>
    </row>
    <row r="736">
      <c r="A736" s="247"/>
      <c r="B736" s="199"/>
      <c r="C736" s="247"/>
      <c r="D736" s="247"/>
      <c r="E736" s="195"/>
      <c r="F736" s="201"/>
      <c r="G736" s="195"/>
      <c r="H736" s="201"/>
      <c r="I736" s="195"/>
      <c r="J736" s="201"/>
      <c r="K736" s="193"/>
      <c r="L736" s="202"/>
      <c r="M736" s="195"/>
      <c r="N736" s="195"/>
      <c r="O736" s="195"/>
      <c r="P736" s="195"/>
      <c r="Q736" s="203"/>
      <c r="R736" s="198"/>
      <c r="S736" s="199"/>
      <c r="T736" s="199"/>
      <c r="U736" s="199"/>
      <c r="V736" s="199"/>
      <c r="W736" s="199"/>
      <c r="X736" s="199"/>
    </row>
    <row r="737">
      <c r="A737" s="247"/>
      <c r="B737" s="199"/>
      <c r="C737" s="247"/>
      <c r="D737" s="247"/>
      <c r="E737" s="195"/>
      <c r="F737" s="201"/>
      <c r="G737" s="195"/>
      <c r="H737" s="201"/>
      <c r="I737" s="195"/>
      <c r="J737" s="201"/>
      <c r="K737" s="193"/>
      <c r="L737" s="202"/>
      <c r="M737" s="195"/>
      <c r="N737" s="195"/>
      <c r="O737" s="195"/>
      <c r="P737" s="195"/>
      <c r="Q737" s="203"/>
      <c r="R737" s="198"/>
      <c r="S737" s="199"/>
      <c r="T737" s="199"/>
      <c r="U737" s="199"/>
      <c r="V737" s="199"/>
      <c r="W737" s="199"/>
      <c r="X737" s="199"/>
    </row>
    <row r="738">
      <c r="A738" s="247"/>
      <c r="B738" s="199"/>
      <c r="C738" s="247"/>
      <c r="D738" s="247"/>
      <c r="E738" s="195"/>
      <c r="F738" s="201"/>
      <c r="G738" s="195"/>
      <c r="H738" s="201"/>
      <c r="I738" s="195"/>
      <c r="J738" s="201"/>
      <c r="K738" s="193"/>
      <c r="L738" s="202"/>
      <c r="M738" s="195"/>
      <c r="N738" s="195"/>
      <c r="O738" s="195"/>
      <c r="P738" s="195"/>
      <c r="Q738" s="203"/>
      <c r="R738" s="198"/>
      <c r="S738" s="199"/>
      <c r="T738" s="199"/>
      <c r="U738" s="199"/>
      <c r="V738" s="199"/>
      <c r="W738" s="199"/>
      <c r="X738" s="199"/>
    </row>
    <row r="739">
      <c r="A739" s="247"/>
      <c r="B739" s="199"/>
      <c r="C739" s="247"/>
      <c r="D739" s="247"/>
      <c r="E739" s="195"/>
      <c r="F739" s="201"/>
      <c r="G739" s="195"/>
      <c r="H739" s="201"/>
      <c r="I739" s="195"/>
      <c r="J739" s="201"/>
      <c r="K739" s="193"/>
      <c r="L739" s="202"/>
      <c r="M739" s="195"/>
      <c r="N739" s="195"/>
      <c r="O739" s="195"/>
      <c r="P739" s="195"/>
      <c r="Q739" s="203"/>
      <c r="R739" s="198"/>
      <c r="S739" s="199"/>
      <c r="T739" s="199"/>
      <c r="U739" s="199"/>
      <c r="V739" s="199"/>
      <c r="W739" s="199"/>
      <c r="X739" s="199"/>
    </row>
    <row r="740">
      <c r="A740" s="247"/>
      <c r="B740" s="199"/>
      <c r="C740" s="247"/>
      <c r="D740" s="247"/>
      <c r="E740" s="195"/>
      <c r="F740" s="201"/>
      <c r="G740" s="195"/>
      <c r="H740" s="201"/>
      <c r="I740" s="195"/>
      <c r="J740" s="201"/>
      <c r="K740" s="193"/>
      <c r="L740" s="202"/>
      <c r="M740" s="195"/>
      <c r="N740" s="195"/>
      <c r="O740" s="195"/>
      <c r="P740" s="195"/>
      <c r="Q740" s="203"/>
      <c r="R740" s="198"/>
      <c r="S740" s="199"/>
      <c r="T740" s="199"/>
      <c r="U740" s="199"/>
      <c r="V740" s="199"/>
      <c r="W740" s="199"/>
      <c r="X740" s="199"/>
    </row>
    <row r="741">
      <c r="A741" s="247"/>
      <c r="B741" s="199"/>
      <c r="C741" s="247"/>
      <c r="D741" s="247"/>
      <c r="E741" s="195"/>
      <c r="F741" s="201"/>
      <c r="G741" s="195"/>
      <c r="H741" s="201"/>
      <c r="I741" s="195"/>
      <c r="J741" s="201"/>
      <c r="K741" s="193"/>
      <c r="L741" s="202"/>
      <c r="M741" s="195"/>
      <c r="N741" s="195"/>
      <c r="O741" s="195"/>
      <c r="P741" s="195"/>
      <c r="Q741" s="203"/>
      <c r="R741" s="198"/>
      <c r="S741" s="199"/>
      <c r="T741" s="199"/>
      <c r="U741" s="199"/>
      <c r="V741" s="199"/>
      <c r="W741" s="199"/>
      <c r="X741" s="199"/>
    </row>
    <row r="742">
      <c r="A742" s="247"/>
      <c r="B742" s="199"/>
      <c r="C742" s="247"/>
      <c r="D742" s="247"/>
      <c r="E742" s="195"/>
      <c r="F742" s="201"/>
      <c r="G742" s="195"/>
      <c r="H742" s="201"/>
      <c r="I742" s="195"/>
      <c r="J742" s="201"/>
      <c r="K742" s="193"/>
      <c r="L742" s="202"/>
      <c r="M742" s="195"/>
      <c r="N742" s="195"/>
      <c r="O742" s="195"/>
      <c r="P742" s="195"/>
      <c r="Q742" s="203"/>
      <c r="R742" s="198"/>
      <c r="S742" s="199"/>
      <c r="T742" s="199"/>
      <c r="U742" s="199"/>
      <c r="V742" s="199"/>
      <c r="W742" s="199"/>
      <c r="X742" s="199"/>
    </row>
    <row r="743">
      <c r="A743" s="247"/>
      <c r="B743" s="199"/>
      <c r="C743" s="247"/>
      <c r="D743" s="247"/>
      <c r="E743" s="195"/>
      <c r="F743" s="201"/>
      <c r="G743" s="195"/>
      <c r="H743" s="201"/>
      <c r="I743" s="195"/>
      <c r="J743" s="201"/>
      <c r="K743" s="193"/>
      <c r="L743" s="202"/>
      <c r="M743" s="195"/>
      <c r="N743" s="195"/>
      <c r="O743" s="195"/>
      <c r="P743" s="195"/>
      <c r="Q743" s="203"/>
      <c r="R743" s="198"/>
      <c r="S743" s="199"/>
      <c r="T743" s="199"/>
      <c r="U743" s="199"/>
      <c r="V743" s="199"/>
      <c r="W743" s="199"/>
      <c r="X743" s="199"/>
    </row>
    <row r="744">
      <c r="A744" s="247"/>
      <c r="B744" s="199"/>
      <c r="C744" s="247"/>
      <c r="D744" s="247"/>
      <c r="E744" s="195"/>
      <c r="F744" s="201"/>
      <c r="G744" s="195"/>
      <c r="H744" s="201"/>
      <c r="I744" s="195"/>
      <c r="J744" s="201"/>
      <c r="K744" s="193"/>
      <c r="L744" s="202"/>
      <c r="M744" s="195"/>
      <c r="N744" s="195"/>
      <c r="O744" s="195"/>
      <c r="P744" s="195"/>
      <c r="Q744" s="203"/>
      <c r="R744" s="198"/>
      <c r="S744" s="199"/>
      <c r="T744" s="199"/>
      <c r="U744" s="199"/>
      <c r="V744" s="199"/>
      <c r="W744" s="199"/>
      <c r="X744" s="199"/>
    </row>
    <row r="745">
      <c r="A745" s="247"/>
      <c r="B745" s="199"/>
      <c r="C745" s="247"/>
      <c r="D745" s="247"/>
      <c r="E745" s="195"/>
      <c r="F745" s="201"/>
      <c r="G745" s="195"/>
      <c r="H745" s="201"/>
      <c r="I745" s="195"/>
      <c r="J745" s="201"/>
      <c r="K745" s="193"/>
      <c r="L745" s="202"/>
      <c r="M745" s="195"/>
      <c r="N745" s="195"/>
      <c r="O745" s="195"/>
      <c r="P745" s="195"/>
      <c r="Q745" s="203"/>
      <c r="R745" s="198"/>
      <c r="S745" s="199"/>
      <c r="T745" s="199"/>
      <c r="U745" s="199"/>
      <c r="V745" s="199"/>
      <c r="W745" s="199"/>
      <c r="X745" s="199"/>
    </row>
    <row r="746">
      <c r="A746" s="247"/>
      <c r="B746" s="199"/>
      <c r="C746" s="247"/>
      <c r="D746" s="247"/>
      <c r="E746" s="195"/>
      <c r="F746" s="201"/>
      <c r="G746" s="195"/>
      <c r="H746" s="201"/>
      <c r="I746" s="195"/>
      <c r="J746" s="201"/>
      <c r="K746" s="193"/>
      <c r="L746" s="202"/>
      <c r="M746" s="195"/>
      <c r="N746" s="195"/>
      <c r="O746" s="195"/>
      <c r="P746" s="195"/>
      <c r="Q746" s="203"/>
      <c r="R746" s="198"/>
      <c r="S746" s="199"/>
      <c r="T746" s="199"/>
      <c r="U746" s="199"/>
      <c r="V746" s="199"/>
      <c r="W746" s="199"/>
      <c r="X746" s="199"/>
    </row>
    <row r="747">
      <c r="A747" s="247"/>
      <c r="B747" s="199"/>
      <c r="C747" s="247"/>
      <c r="D747" s="247"/>
      <c r="E747" s="195"/>
      <c r="F747" s="201"/>
      <c r="G747" s="195"/>
      <c r="H747" s="201"/>
      <c r="I747" s="195"/>
      <c r="J747" s="201"/>
      <c r="K747" s="193"/>
      <c r="L747" s="202"/>
      <c r="M747" s="195"/>
      <c r="N747" s="195"/>
      <c r="O747" s="195"/>
      <c r="P747" s="195"/>
      <c r="Q747" s="203"/>
      <c r="R747" s="198"/>
      <c r="S747" s="199"/>
      <c r="T747" s="199"/>
      <c r="U747" s="199"/>
      <c r="V747" s="199"/>
      <c r="W747" s="199"/>
      <c r="X747" s="199"/>
    </row>
    <row r="748">
      <c r="A748" s="247"/>
      <c r="B748" s="199"/>
      <c r="C748" s="247"/>
      <c r="D748" s="247"/>
      <c r="E748" s="195"/>
      <c r="F748" s="201"/>
      <c r="G748" s="195"/>
      <c r="H748" s="201"/>
      <c r="I748" s="195"/>
      <c r="J748" s="201"/>
      <c r="K748" s="193"/>
      <c r="L748" s="202"/>
      <c r="M748" s="195"/>
      <c r="N748" s="195"/>
      <c r="O748" s="195"/>
      <c r="P748" s="195"/>
      <c r="Q748" s="203"/>
      <c r="R748" s="198"/>
      <c r="S748" s="199"/>
      <c r="T748" s="199"/>
      <c r="U748" s="199"/>
      <c r="V748" s="199"/>
      <c r="W748" s="199"/>
      <c r="X748" s="199"/>
    </row>
    <row r="749">
      <c r="A749" s="247"/>
      <c r="B749" s="199"/>
      <c r="C749" s="247"/>
      <c r="D749" s="247"/>
      <c r="E749" s="195"/>
      <c r="F749" s="201"/>
      <c r="G749" s="195"/>
      <c r="H749" s="201"/>
      <c r="I749" s="195"/>
      <c r="J749" s="201"/>
      <c r="K749" s="193"/>
      <c r="L749" s="202"/>
      <c r="M749" s="195"/>
      <c r="N749" s="195"/>
      <c r="O749" s="195"/>
      <c r="P749" s="195"/>
      <c r="Q749" s="203"/>
      <c r="R749" s="198"/>
      <c r="S749" s="199"/>
      <c r="T749" s="199"/>
      <c r="U749" s="199"/>
      <c r="V749" s="199"/>
      <c r="W749" s="199"/>
      <c r="X749" s="199"/>
    </row>
    <row r="750">
      <c r="A750" s="247"/>
      <c r="B750" s="199"/>
      <c r="C750" s="247"/>
      <c r="D750" s="247"/>
      <c r="E750" s="195"/>
      <c r="F750" s="201"/>
      <c r="G750" s="195"/>
      <c r="H750" s="201"/>
      <c r="I750" s="195"/>
      <c r="J750" s="201"/>
      <c r="K750" s="193"/>
      <c r="L750" s="202"/>
      <c r="M750" s="195"/>
      <c r="N750" s="195"/>
      <c r="O750" s="195"/>
      <c r="P750" s="195"/>
      <c r="Q750" s="203"/>
      <c r="R750" s="198"/>
      <c r="S750" s="199"/>
      <c r="T750" s="199"/>
      <c r="U750" s="199"/>
      <c r="V750" s="199"/>
      <c r="W750" s="199"/>
      <c r="X750" s="199"/>
    </row>
    <row r="751">
      <c r="A751" s="247"/>
      <c r="B751" s="199"/>
      <c r="C751" s="247"/>
      <c r="D751" s="247"/>
      <c r="E751" s="195"/>
      <c r="F751" s="201"/>
      <c r="G751" s="195"/>
      <c r="H751" s="201"/>
      <c r="I751" s="195"/>
      <c r="J751" s="201"/>
      <c r="K751" s="193"/>
      <c r="L751" s="202"/>
      <c r="M751" s="195"/>
      <c r="N751" s="195"/>
      <c r="O751" s="195"/>
      <c r="P751" s="195"/>
      <c r="Q751" s="203"/>
      <c r="R751" s="198"/>
      <c r="S751" s="199"/>
      <c r="T751" s="199"/>
      <c r="U751" s="199"/>
      <c r="V751" s="199"/>
      <c r="W751" s="199"/>
      <c r="X751" s="199"/>
    </row>
    <row r="752">
      <c r="A752" s="247"/>
      <c r="B752" s="199"/>
      <c r="C752" s="247"/>
      <c r="D752" s="247"/>
      <c r="E752" s="195"/>
      <c r="F752" s="201"/>
      <c r="G752" s="195"/>
      <c r="H752" s="201"/>
      <c r="I752" s="195"/>
      <c r="J752" s="201"/>
      <c r="K752" s="193"/>
      <c r="L752" s="202"/>
      <c r="M752" s="195"/>
      <c r="N752" s="195"/>
      <c r="O752" s="195"/>
      <c r="P752" s="195"/>
      <c r="Q752" s="203"/>
      <c r="R752" s="198"/>
      <c r="S752" s="199"/>
      <c r="T752" s="199"/>
      <c r="U752" s="199"/>
      <c r="V752" s="199"/>
      <c r="W752" s="199"/>
      <c r="X752" s="199"/>
    </row>
    <row r="753">
      <c r="A753" s="247"/>
      <c r="B753" s="199"/>
      <c r="C753" s="247"/>
      <c r="D753" s="247"/>
      <c r="E753" s="195"/>
      <c r="F753" s="201"/>
      <c r="G753" s="195"/>
      <c r="H753" s="201"/>
      <c r="I753" s="195"/>
      <c r="J753" s="201"/>
      <c r="K753" s="193"/>
      <c r="L753" s="202"/>
      <c r="M753" s="195"/>
      <c r="N753" s="195"/>
      <c r="O753" s="195"/>
      <c r="P753" s="195"/>
      <c r="Q753" s="203"/>
      <c r="R753" s="198"/>
      <c r="S753" s="199"/>
      <c r="T753" s="199"/>
      <c r="U753" s="199"/>
      <c r="V753" s="199"/>
      <c r="W753" s="199"/>
      <c r="X753" s="199"/>
    </row>
    <row r="754">
      <c r="A754" s="247"/>
      <c r="B754" s="199"/>
      <c r="C754" s="247"/>
      <c r="D754" s="247"/>
      <c r="E754" s="195"/>
      <c r="F754" s="201"/>
      <c r="G754" s="195"/>
      <c r="H754" s="201"/>
      <c r="I754" s="195"/>
      <c r="J754" s="201"/>
      <c r="K754" s="193"/>
      <c r="L754" s="202"/>
      <c r="M754" s="195"/>
      <c r="N754" s="195"/>
      <c r="O754" s="195"/>
      <c r="P754" s="195"/>
      <c r="Q754" s="203"/>
      <c r="R754" s="198"/>
      <c r="S754" s="199"/>
      <c r="T754" s="199"/>
      <c r="U754" s="199"/>
      <c r="V754" s="199"/>
      <c r="W754" s="199"/>
      <c r="X754" s="199"/>
    </row>
    <row r="755">
      <c r="A755" s="247"/>
      <c r="B755" s="199"/>
      <c r="C755" s="247"/>
      <c r="D755" s="247"/>
      <c r="E755" s="195"/>
      <c r="F755" s="201"/>
      <c r="G755" s="195"/>
      <c r="H755" s="201"/>
      <c r="I755" s="195"/>
      <c r="J755" s="201"/>
      <c r="K755" s="193"/>
      <c r="L755" s="202"/>
      <c r="M755" s="195"/>
      <c r="N755" s="195"/>
      <c r="O755" s="195"/>
      <c r="P755" s="195"/>
      <c r="Q755" s="203"/>
      <c r="R755" s="198"/>
      <c r="S755" s="199"/>
      <c r="T755" s="199"/>
      <c r="U755" s="199"/>
      <c r="V755" s="199"/>
      <c r="W755" s="199"/>
      <c r="X755" s="199"/>
    </row>
    <row r="756">
      <c r="A756" s="247"/>
      <c r="B756" s="199"/>
      <c r="C756" s="247"/>
      <c r="D756" s="247"/>
      <c r="E756" s="195"/>
      <c r="F756" s="201"/>
      <c r="G756" s="195"/>
      <c r="H756" s="201"/>
      <c r="I756" s="195"/>
      <c r="J756" s="201"/>
      <c r="K756" s="193"/>
      <c r="L756" s="202"/>
      <c r="M756" s="195"/>
      <c r="N756" s="195"/>
      <c r="O756" s="195"/>
      <c r="P756" s="195"/>
      <c r="Q756" s="203"/>
      <c r="R756" s="198"/>
      <c r="S756" s="199"/>
      <c r="T756" s="199"/>
      <c r="U756" s="199"/>
      <c r="V756" s="199"/>
      <c r="W756" s="199"/>
      <c r="X756" s="199"/>
    </row>
    <row r="757">
      <c r="A757" s="247"/>
      <c r="B757" s="199"/>
      <c r="C757" s="247"/>
      <c r="D757" s="247"/>
      <c r="E757" s="195"/>
      <c r="F757" s="201"/>
      <c r="G757" s="195"/>
      <c r="H757" s="201"/>
      <c r="I757" s="195"/>
      <c r="J757" s="201"/>
      <c r="K757" s="193"/>
      <c r="L757" s="202"/>
      <c r="M757" s="195"/>
      <c r="N757" s="195"/>
      <c r="O757" s="195"/>
      <c r="P757" s="195"/>
      <c r="Q757" s="203"/>
      <c r="R757" s="198"/>
      <c r="S757" s="199"/>
      <c r="T757" s="199"/>
      <c r="U757" s="199"/>
      <c r="V757" s="199"/>
      <c r="W757" s="199"/>
      <c r="X757" s="199"/>
    </row>
    <row r="758">
      <c r="A758" s="247"/>
      <c r="B758" s="199"/>
      <c r="C758" s="247"/>
      <c r="D758" s="247"/>
      <c r="E758" s="195"/>
      <c r="F758" s="201"/>
      <c r="G758" s="195"/>
      <c r="H758" s="201"/>
      <c r="I758" s="195"/>
      <c r="J758" s="201"/>
      <c r="K758" s="193"/>
      <c r="L758" s="202"/>
      <c r="M758" s="195"/>
      <c r="N758" s="195"/>
      <c r="O758" s="195"/>
      <c r="P758" s="195"/>
      <c r="Q758" s="203"/>
      <c r="R758" s="198"/>
      <c r="S758" s="199"/>
      <c r="T758" s="199"/>
      <c r="U758" s="199"/>
      <c r="V758" s="199"/>
      <c r="W758" s="199"/>
      <c r="X758" s="199"/>
    </row>
    <row r="759">
      <c r="A759" s="247"/>
      <c r="B759" s="199"/>
      <c r="C759" s="247"/>
      <c r="D759" s="247"/>
      <c r="E759" s="195"/>
      <c r="F759" s="201"/>
      <c r="G759" s="195"/>
      <c r="H759" s="201"/>
      <c r="I759" s="195"/>
      <c r="J759" s="201"/>
      <c r="K759" s="193"/>
      <c r="L759" s="202"/>
      <c r="M759" s="195"/>
      <c r="N759" s="195"/>
      <c r="O759" s="195"/>
      <c r="P759" s="195"/>
      <c r="Q759" s="203"/>
      <c r="R759" s="198"/>
      <c r="S759" s="199"/>
      <c r="T759" s="199"/>
      <c r="U759" s="199"/>
      <c r="V759" s="199"/>
      <c r="W759" s="199"/>
      <c r="X759" s="199"/>
    </row>
    <row r="760">
      <c r="A760" s="247"/>
      <c r="B760" s="199"/>
      <c r="C760" s="247"/>
      <c r="D760" s="247"/>
      <c r="E760" s="195"/>
      <c r="F760" s="201"/>
      <c r="G760" s="195"/>
      <c r="H760" s="201"/>
      <c r="I760" s="195"/>
      <c r="J760" s="201"/>
      <c r="K760" s="193"/>
      <c r="L760" s="202"/>
      <c r="M760" s="195"/>
      <c r="N760" s="195"/>
      <c r="O760" s="195"/>
      <c r="P760" s="195"/>
      <c r="Q760" s="203"/>
      <c r="R760" s="198"/>
      <c r="S760" s="199"/>
      <c r="T760" s="199"/>
      <c r="U760" s="199"/>
      <c r="V760" s="199"/>
      <c r="W760" s="199"/>
      <c r="X760" s="199"/>
    </row>
    <row r="761">
      <c r="A761" s="247"/>
      <c r="B761" s="199"/>
      <c r="C761" s="247"/>
      <c r="D761" s="247"/>
      <c r="E761" s="195"/>
      <c r="F761" s="201"/>
      <c r="G761" s="195"/>
      <c r="H761" s="201"/>
      <c r="I761" s="195"/>
      <c r="J761" s="201"/>
      <c r="K761" s="193"/>
      <c r="L761" s="202"/>
      <c r="M761" s="195"/>
      <c r="N761" s="195"/>
      <c r="O761" s="195"/>
      <c r="P761" s="195"/>
      <c r="Q761" s="203"/>
      <c r="R761" s="198"/>
      <c r="S761" s="199"/>
      <c r="T761" s="199"/>
      <c r="U761" s="199"/>
      <c r="V761" s="199"/>
      <c r="W761" s="199"/>
      <c r="X761" s="199"/>
    </row>
    <row r="762">
      <c r="A762" s="247"/>
      <c r="B762" s="199"/>
      <c r="C762" s="247"/>
      <c r="D762" s="247"/>
      <c r="E762" s="195"/>
      <c r="F762" s="201"/>
      <c r="G762" s="195"/>
      <c r="H762" s="201"/>
      <c r="I762" s="195"/>
      <c r="J762" s="201"/>
      <c r="K762" s="193"/>
      <c r="L762" s="202"/>
      <c r="M762" s="195"/>
      <c r="N762" s="195"/>
      <c r="O762" s="195"/>
      <c r="P762" s="195"/>
      <c r="Q762" s="203"/>
      <c r="R762" s="198"/>
      <c r="S762" s="199"/>
      <c r="T762" s="199"/>
      <c r="U762" s="199"/>
      <c r="V762" s="199"/>
      <c r="W762" s="199"/>
      <c r="X762" s="199"/>
    </row>
    <row r="763">
      <c r="A763" s="247"/>
      <c r="B763" s="199"/>
      <c r="C763" s="247"/>
      <c r="D763" s="247"/>
      <c r="E763" s="195"/>
      <c r="F763" s="201"/>
      <c r="G763" s="195"/>
      <c r="H763" s="201"/>
      <c r="I763" s="195"/>
      <c r="J763" s="201"/>
      <c r="K763" s="193"/>
      <c r="L763" s="202"/>
      <c r="M763" s="195"/>
      <c r="N763" s="195"/>
      <c r="O763" s="195"/>
      <c r="P763" s="195"/>
      <c r="Q763" s="203"/>
      <c r="R763" s="198"/>
      <c r="S763" s="199"/>
      <c r="T763" s="199"/>
      <c r="U763" s="199"/>
      <c r="V763" s="199"/>
      <c r="W763" s="199"/>
      <c r="X763" s="199"/>
    </row>
    <row r="764">
      <c r="A764" s="247"/>
      <c r="B764" s="199"/>
      <c r="C764" s="247"/>
      <c r="D764" s="247"/>
      <c r="E764" s="195"/>
      <c r="F764" s="201"/>
      <c r="G764" s="195"/>
      <c r="H764" s="201"/>
      <c r="I764" s="195"/>
      <c r="J764" s="201"/>
      <c r="K764" s="193"/>
      <c r="L764" s="202"/>
      <c r="M764" s="195"/>
      <c r="N764" s="195"/>
      <c r="O764" s="195"/>
      <c r="P764" s="195"/>
      <c r="Q764" s="203"/>
      <c r="R764" s="198"/>
      <c r="S764" s="199"/>
      <c r="T764" s="199"/>
      <c r="U764" s="199"/>
      <c r="V764" s="199"/>
      <c r="W764" s="199"/>
      <c r="X764" s="199"/>
    </row>
    <row r="765">
      <c r="A765" s="247"/>
      <c r="B765" s="199"/>
      <c r="C765" s="247"/>
      <c r="D765" s="247"/>
      <c r="E765" s="195"/>
      <c r="F765" s="201"/>
      <c r="G765" s="195"/>
      <c r="H765" s="201"/>
      <c r="I765" s="195"/>
      <c r="J765" s="201"/>
      <c r="K765" s="193"/>
      <c r="L765" s="202"/>
      <c r="M765" s="195"/>
      <c r="N765" s="195"/>
      <c r="O765" s="195"/>
      <c r="P765" s="195"/>
      <c r="Q765" s="203"/>
      <c r="R765" s="198"/>
      <c r="S765" s="199"/>
      <c r="T765" s="199"/>
      <c r="U765" s="199"/>
      <c r="V765" s="199"/>
      <c r="W765" s="199"/>
      <c r="X765" s="199"/>
    </row>
    <row r="766">
      <c r="A766" s="247"/>
      <c r="B766" s="199"/>
      <c r="C766" s="247"/>
      <c r="D766" s="247"/>
      <c r="E766" s="195"/>
      <c r="F766" s="201"/>
      <c r="G766" s="195"/>
      <c r="H766" s="201"/>
      <c r="I766" s="195"/>
      <c r="J766" s="201"/>
      <c r="K766" s="193"/>
      <c r="L766" s="202"/>
      <c r="M766" s="195"/>
      <c r="N766" s="195"/>
      <c r="O766" s="195"/>
      <c r="P766" s="195"/>
      <c r="Q766" s="203"/>
      <c r="R766" s="198"/>
      <c r="S766" s="199"/>
      <c r="T766" s="199"/>
      <c r="U766" s="199"/>
      <c r="V766" s="199"/>
      <c r="W766" s="199"/>
      <c r="X766" s="199"/>
    </row>
    <row r="767">
      <c r="A767" s="247"/>
      <c r="B767" s="199"/>
      <c r="C767" s="247"/>
      <c r="D767" s="247"/>
      <c r="E767" s="195"/>
      <c r="F767" s="201"/>
      <c r="G767" s="195"/>
      <c r="H767" s="201"/>
      <c r="I767" s="195"/>
      <c r="J767" s="201"/>
      <c r="K767" s="193"/>
      <c r="L767" s="202"/>
      <c r="M767" s="195"/>
      <c r="N767" s="195"/>
      <c r="O767" s="195"/>
      <c r="P767" s="195"/>
      <c r="Q767" s="203"/>
      <c r="R767" s="198"/>
      <c r="S767" s="199"/>
      <c r="T767" s="199"/>
      <c r="U767" s="199"/>
      <c r="V767" s="199"/>
      <c r="W767" s="199"/>
      <c r="X767" s="199"/>
    </row>
    <row r="768">
      <c r="A768" s="247"/>
      <c r="B768" s="199"/>
      <c r="C768" s="247"/>
      <c r="D768" s="247"/>
      <c r="E768" s="195"/>
      <c r="F768" s="201"/>
      <c r="G768" s="195"/>
      <c r="H768" s="201"/>
      <c r="I768" s="195"/>
      <c r="J768" s="201"/>
      <c r="K768" s="193"/>
      <c r="L768" s="202"/>
      <c r="M768" s="195"/>
      <c r="N768" s="195"/>
      <c r="O768" s="195"/>
      <c r="P768" s="195"/>
      <c r="Q768" s="203"/>
      <c r="R768" s="198"/>
      <c r="S768" s="199"/>
      <c r="T768" s="199"/>
      <c r="U768" s="199"/>
      <c r="V768" s="199"/>
      <c r="W768" s="199"/>
      <c r="X768" s="199"/>
    </row>
    <row r="769">
      <c r="A769" s="247"/>
      <c r="B769" s="199"/>
      <c r="C769" s="247"/>
      <c r="D769" s="247"/>
      <c r="E769" s="195"/>
      <c r="F769" s="201"/>
      <c r="G769" s="195"/>
      <c r="H769" s="201"/>
      <c r="I769" s="195"/>
      <c r="J769" s="201"/>
      <c r="K769" s="193"/>
      <c r="L769" s="202"/>
      <c r="M769" s="195"/>
      <c r="N769" s="195"/>
      <c r="O769" s="195"/>
      <c r="P769" s="195"/>
      <c r="Q769" s="203"/>
      <c r="R769" s="198"/>
      <c r="S769" s="199"/>
      <c r="T769" s="199"/>
      <c r="U769" s="199"/>
      <c r="V769" s="199"/>
      <c r="W769" s="199"/>
      <c r="X769" s="199"/>
    </row>
    <row r="770">
      <c r="A770" s="247"/>
      <c r="B770" s="199"/>
      <c r="C770" s="247"/>
      <c r="D770" s="247"/>
      <c r="E770" s="195"/>
      <c r="F770" s="201"/>
      <c r="G770" s="195"/>
      <c r="H770" s="201"/>
      <c r="I770" s="195"/>
      <c r="J770" s="201"/>
      <c r="K770" s="193"/>
      <c r="L770" s="202"/>
      <c r="M770" s="195"/>
      <c r="N770" s="195"/>
      <c r="O770" s="195"/>
      <c r="P770" s="195"/>
      <c r="Q770" s="203"/>
      <c r="R770" s="198"/>
      <c r="S770" s="199"/>
      <c r="T770" s="199"/>
      <c r="U770" s="199"/>
      <c r="V770" s="199"/>
      <c r="W770" s="199"/>
      <c r="X770" s="199"/>
    </row>
    <row r="771">
      <c r="A771" s="247"/>
      <c r="B771" s="199"/>
      <c r="C771" s="247"/>
      <c r="D771" s="247"/>
      <c r="E771" s="195"/>
      <c r="F771" s="201"/>
      <c r="G771" s="195"/>
      <c r="H771" s="201"/>
      <c r="I771" s="195"/>
      <c r="J771" s="201"/>
      <c r="K771" s="193"/>
      <c r="L771" s="202"/>
      <c r="M771" s="195"/>
      <c r="N771" s="195"/>
      <c r="O771" s="195"/>
      <c r="P771" s="195"/>
      <c r="Q771" s="203"/>
      <c r="R771" s="198"/>
      <c r="S771" s="199"/>
      <c r="T771" s="199"/>
      <c r="U771" s="199"/>
      <c r="V771" s="199"/>
      <c r="W771" s="199"/>
      <c r="X771" s="199"/>
    </row>
    <row r="772">
      <c r="A772" s="247"/>
      <c r="B772" s="199"/>
      <c r="C772" s="247"/>
      <c r="D772" s="247"/>
      <c r="E772" s="195"/>
      <c r="F772" s="201"/>
      <c r="G772" s="195"/>
      <c r="H772" s="201"/>
      <c r="I772" s="195"/>
      <c r="J772" s="201"/>
      <c r="K772" s="193"/>
      <c r="L772" s="202"/>
      <c r="M772" s="195"/>
      <c r="N772" s="195"/>
      <c r="O772" s="195"/>
      <c r="P772" s="195"/>
      <c r="Q772" s="203"/>
      <c r="R772" s="198"/>
      <c r="S772" s="199"/>
      <c r="T772" s="199"/>
      <c r="U772" s="199"/>
      <c r="V772" s="199"/>
      <c r="W772" s="199"/>
      <c r="X772" s="199"/>
    </row>
    <row r="773">
      <c r="A773" s="247"/>
      <c r="B773" s="199"/>
      <c r="C773" s="247"/>
      <c r="D773" s="247"/>
      <c r="E773" s="195"/>
      <c r="F773" s="201"/>
      <c r="G773" s="195"/>
      <c r="H773" s="201"/>
      <c r="I773" s="195"/>
      <c r="J773" s="201"/>
      <c r="K773" s="193"/>
      <c r="L773" s="202"/>
      <c r="M773" s="195"/>
      <c r="N773" s="195"/>
      <c r="O773" s="195"/>
      <c r="P773" s="195"/>
      <c r="Q773" s="203"/>
      <c r="R773" s="198"/>
      <c r="S773" s="199"/>
      <c r="T773" s="199"/>
      <c r="U773" s="199"/>
      <c r="V773" s="199"/>
      <c r="W773" s="199"/>
      <c r="X773" s="199"/>
    </row>
    <row r="774">
      <c r="A774" s="247"/>
      <c r="B774" s="199"/>
      <c r="C774" s="247"/>
      <c r="D774" s="247"/>
      <c r="E774" s="195"/>
      <c r="F774" s="201"/>
      <c r="G774" s="195"/>
      <c r="H774" s="201"/>
      <c r="I774" s="195"/>
      <c r="J774" s="201"/>
      <c r="K774" s="193"/>
      <c r="L774" s="202"/>
      <c r="M774" s="195"/>
      <c r="N774" s="195"/>
      <c r="O774" s="195"/>
      <c r="P774" s="195"/>
      <c r="Q774" s="203"/>
      <c r="R774" s="198"/>
      <c r="S774" s="199"/>
      <c r="T774" s="199"/>
      <c r="U774" s="199"/>
      <c r="V774" s="199"/>
      <c r="W774" s="199"/>
      <c r="X774" s="199"/>
    </row>
    <row r="775">
      <c r="A775" s="247"/>
      <c r="B775" s="199"/>
      <c r="C775" s="247"/>
      <c r="D775" s="247"/>
      <c r="E775" s="195"/>
      <c r="F775" s="201"/>
      <c r="G775" s="195"/>
      <c r="H775" s="201"/>
      <c r="I775" s="195"/>
      <c r="J775" s="201"/>
      <c r="K775" s="193"/>
      <c r="L775" s="202"/>
      <c r="M775" s="195"/>
      <c r="N775" s="195"/>
      <c r="O775" s="195"/>
      <c r="P775" s="195"/>
      <c r="Q775" s="203"/>
      <c r="R775" s="198"/>
      <c r="S775" s="199"/>
      <c r="T775" s="199"/>
      <c r="U775" s="199"/>
      <c r="V775" s="199"/>
      <c r="W775" s="199"/>
      <c r="X775" s="199"/>
    </row>
    <row r="776">
      <c r="A776" s="247"/>
      <c r="B776" s="199"/>
      <c r="C776" s="247"/>
      <c r="D776" s="247"/>
      <c r="E776" s="195"/>
      <c r="F776" s="201"/>
      <c r="G776" s="195"/>
      <c r="H776" s="201"/>
      <c r="I776" s="195"/>
      <c r="J776" s="201"/>
      <c r="K776" s="193"/>
      <c r="L776" s="202"/>
      <c r="M776" s="195"/>
      <c r="N776" s="195"/>
      <c r="O776" s="195"/>
      <c r="P776" s="195"/>
      <c r="Q776" s="203"/>
      <c r="R776" s="198"/>
      <c r="S776" s="199"/>
      <c r="T776" s="199"/>
      <c r="U776" s="199"/>
      <c r="V776" s="199"/>
      <c r="W776" s="199"/>
      <c r="X776" s="199"/>
    </row>
    <row r="777">
      <c r="A777" s="247"/>
      <c r="B777" s="199"/>
      <c r="C777" s="247"/>
      <c r="D777" s="247"/>
      <c r="E777" s="195"/>
      <c r="F777" s="201"/>
      <c r="G777" s="195"/>
      <c r="H777" s="201"/>
      <c r="I777" s="195"/>
      <c r="J777" s="201"/>
      <c r="K777" s="193"/>
      <c r="L777" s="202"/>
      <c r="M777" s="195"/>
      <c r="N777" s="195"/>
      <c r="O777" s="195"/>
      <c r="P777" s="195"/>
      <c r="Q777" s="203"/>
      <c r="R777" s="198"/>
      <c r="S777" s="199"/>
      <c r="T777" s="199"/>
      <c r="U777" s="199"/>
      <c r="V777" s="199"/>
      <c r="W777" s="199"/>
      <c r="X777" s="199"/>
    </row>
    <row r="778">
      <c r="A778" s="247"/>
      <c r="B778" s="199"/>
      <c r="C778" s="247"/>
      <c r="D778" s="247"/>
      <c r="E778" s="195"/>
      <c r="F778" s="201"/>
      <c r="G778" s="195"/>
      <c r="H778" s="201"/>
      <c r="I778" s="195"/>
      <c r="J778" s="201"/>
      <c r="K778" s="193"/>
      <c r="L778" s="202"/>
      <c r="M778" s="195"/>
      <c r="N778" s="195"/>
      <c r="O778" s="195"/>
      <c r="P778" s="195"/>
      <c r="Q778" s="203"/>
      <c r="R778" s="198"/>
      <c r="S778" s="199"/>
      <c r="T778" s="199"/>
      <c r="U778" s="199"/>
      <c r="V778" s="199"/>
      <c r="W778" s="199"/>
      <c r="X778" s="199"/>
    </row>
    <row r="779">
      <c r="A779" s="247"/>
      <c r="B779" s="199"/>
      <c r="C779" s="247"/>
      <c r="D779" s="247"/>
      <c r="E779" s="195"/>
      <c r="F779" s="201"/>
      <c r="G779" s="195"/>
      <c r="H779" s="201"/>
      <c r="I779" s="195"/>
      <c r="J779" s="201"/>
      <c r="K779" s="193"/>
      <c r="L779" s="202"/>
      <c r="M779" s="195"/>
      <c r="N779" s="195"/>
      <c r="O779" s="195"/>
      <c r="P779" s="195"/>
      <c r="Q779" s="203"/>
      <c r="R779" s="198"/>
      <c r="S779" s="199"/>
      <c r="T779" s="199"/>
      <c r="U779" s="199"/>
      <c r="V779" s="199"/>
      <c r="W779" s="199"/>
      <c r="X779" s="199"/>
    </row>
    <row r="780">
      <c r="A780" s="247"/>
      <c r="B780" s="199"/>
      <c r="C780" s="247"/>
      <c r="D780" s="247"/>
      <c r="E780" s="195"/>
      <c r="F780" s="201"/>
      <c r="G780" s="195"/>
      <c r="H780" s="201"/>
      <c r="I780" s="195"/>
      <c r="J780" s="201"/>
      <c r="K780" s="193"/>
      <c r="L780" s="202"/>
      <c r="M780" s="195"/>
      <c r="N780" s="195"/>
      <c r="O780" s="195"/>
      <c r="P780" s="195"/>
      <c r="Q780" s="203"/>
      <c r="R780" s="198"/>
      <c r="S780" s="199"/>
      <c r="T780" s="199"/>
      <c r="U780" s="199"/>
      <c r="V780" s="199"/>
      <c r="W780" s="199"/>
      <c r="X780" s="199"/>
    </row>
    <row r="781">
      <c r="A781" s="247"/>
      <c r="B781" s="199"/>
      <c r="C781" s="247"/>
      <c r="D781" s="247"/>
      <c r="E781" s="195"/>
      <c r="F781" s="201"/>
      <c r="G781" s="195"/>
      <c r="H781" s="201"/>
      <c r="I781" s="195"/>
      <c r="J781" s="201"/>
      <c r="K781" s="193"/>
      <c r="L781" s="202"/>
      <c r="M781" s="195"/>
      <c r="N781" s="195"/>
      <c r="O781" s="195"/>
      <c r="P781" s="195"/>
      <c r="Q781" s="203"/>
      <c r="R781" s="198"/>
      <c r="S781" s="199"/>
      <c r="T781" s="199"/>
      <c r="U781" s="199"/>
      <c r="V781" s="199"/>
      <c r="W781" s="199"/>
      <c r="X781" s="199"/>
    </row>
    <row r="782">
      <c r="A782" s="247"/>
      <c r="B782" s="199"/>
      <c r="C782" s="247"/>
      <c r="D782" s="247"/>
      <c r="E782" s="195"/>
      <c r="F782" s="201"/>
      <c r="G782" s="195"/>
      <c r="H782" s="201"/>
      <c r="I782" s="195"/>
      <c r="J782" s="201"/>
      <c r="K782" s="193"/>
      <c r="L782" s="202"/>
      <c r="M782" s="195"/>
      <c r="N782" s="195"/>
      <c r="O782" s="195"/>
      <c r="P782" s="195"/>
      <c r="Q782" s="203"/>
      <c r="R782" s="198"/>
      <c r="S782" s="199"/>
      <c r="T782" s="199"/>
      <c r="U782" s="199"/>
      <c r="V782" s="199"/>
      <c r="W782" s="199"/>
      <c r="X782" s="199"/>
    </row>
    <row r="783">
      <c r="A783" s="247"/>
      <c r="B783" s="199"/>
      <c r="C783" s="247"/>
      <c r="D783" s="247"/>
      <c r="E783" s="195"/>
      <c r="F783" s="201"/>
      <c r="G783" s="195"/>
      <c r="H783" s="201"/>
      <c r="I783" s="195"/>
      <c r="J783" s="201"/>
      <c r="K783" s="193"/>
      <c r="L783" s="202"/>
      <c r="M783" s="195"/>
      <c r="N783" s="195"/>
      <c r="O783" s="195"/>
      <c r="P783" s="195"/>
      <c r="Q783" s="203"/>
      <c r="R783" s="198"/>
      <c r="S783" s="199"/>
      <c r="T783" s="199"/>
      <c r="U783" s="199"/>
      <c r="V783" s="199"/>
      <c r="W783" s="199"/>
      <c r="X783" s="199"/>
    </row>
    <row r="784">
      <c r="A784" s="247"/>
      <c r="B784" s="199"/>
      <c r="C784" s="247"/>
      <c r="D784" s="247"/>
      <c r="E784" s="195"/>
      <c r="F784" s="201"/>
      <c r="G784" s="195"/>
      <c r="H784" s="201"/>
      <c r="I784" s="195"/>
      <c r="J784" s="201"/>
      <c r="K784" s="193"/>
      <c r="L784" s="202"/>
      <c r="M784" s="195"/>
      <c r="N784" s="195"/>
      <c r="O784" s="195"/>
      <c r="P784" s="195"/>
      <c r="Q784" s="203"/>
      <c r="R784" s="198"/>
      <c r="S784" s="199"/>
      <c r="T784" s="199"/>
      <c r="U784" s="199"/>
      <c r="V784" s="199"/>
      <c r="W784" s="199"/>
      <c r="X784" s="199"/>
    </row>
    <row r="785">
      <c r="A785" s="247"/>
      <c r="B785" s="199"/>
      <c r="C785" s="247"/>
      <c r="D785" s="247"/>
      <c r="E785" s="195"/>
      <c r="F785" s="201"/>
      <c r="G785" s="195"/>
      <c r="H785" s="201"/>
      <c r="I785" s="195"/>
      <c r="J785" s="201"/>
      <c r="K785" s="193"/>
      <c r="L785" s="202"/>
      <c r="M785" s="195"/>
      <c r="N785" s="195"/>
      <c r="O785" s="195"/>
      <c r="P785" s="195"/>
      <c r="Q785" s="203"/>
      <c r="R785" s="198"/>
      <c r="S785" s="199"/>
      <c r="T785" s="199"/>
      <c r="U785" s="199"/>
      <c r="V785" s="199"/>
      <c r="W785" s="199"/>
      <c r="X785" s="199"/>
    </row>
    <row r="786">
      <c r="A786" s="247"/>
      <c r="B786" s="199"/>
      <c r="C786" s="247"/>
      <c r="D786" s="247"/>
      <c r="E786" s="195"/>
      <c r="F786" s="201"/>
      <c r="G786" s="195"/>
      <c r="H786" s="201"/>
      <c r="I786" s="195"/>
      <c r="J786" s="201"/>
      <c r="K786" s="193"/>
      <c r="L786" s="202"/>
      <c r="M786" s="195"/>
      <c r="N786" s="195"/>
      <c r="O786" s="195"/>
      <c r="P786" s="195"/>
      <c r="Q786" s="203"/>
      <c r="R786" s="198"/>
      <c r="S786" s="199"/>
      <c r="T786" s="199"/>
      <c r="U786" s="199"/>
      <c r="V786" s="199"/>
      <c r="W786" s="199"/>
      <c r="X786" s="199"/>
    </row>
    <row r="787">
      <c r="A787" s="247"/>
      <c r="B787" s="199"/>
      <c r="C787" s="247"/>
      <c r="D787" s="247"/>
      <c r="E787" s="195"/>
      <c r="F787" s="201"/>
      <c r="G787" s="195"/>
      <c r="H787" s="201"/>
      <c r="I787" s="195"/>
      <c r="J787" s="201"/>
      <c r="K787" s="193"/>
      <c r="L787" s="202"/>
      <c r="M787" s="195"/>
      <c r="N787" s="195"/>
      <c r="O787" s="195"/>
      <c r="P787" s="195"/>
      <c r="Q787" s="203"/>
      <c r="R787" s="198"/>
      <c r="S787" s="199"/>
      <c r="T787" s="199"/>
      <c r="U787" s="199"/>
      <c r="V787" s="199"/>
      <c r="W787" s="199"/>
      <c r="X787" s="199"/>
    </row>
    <row r="788">
      <c r="A788" s="247"/>
      <c r="B788" s="199"/>
      <c r="C788" s="247"/>
      <c r="D788" s="247"/>
      <c r="E788" s="195"/>
      <c r="F788" s="201"/>
      <c r="G788" s="195"/>
      <c r="H788" s="201"/>
      <c r="I788" s="195"/>
      <c r="J788" s="201"/>
      <c r="K788" s="193"/>
      <c r="L788" s="202"/>
      <c r="M788" s="195"/>
      <c r="N788" s="195"/>
      <c r="O788" s="195"/>
      <c r="P788" s="195"/>
      <c r="Q788" s="203"/>
      <c r="R788" s="198"/>
      <c r="S788" s="199"/>
      <c r="T788" s="199"/>
      <c r="U788" s="199"/>
      <c r="V788" s="199"/>
      <c r="W788" s="199"/>
      <c r="X788" s="199"/>
    </row>
    <row r="789">
      <c r="A789" s="247"/>
      <c r="B789" s="199"/>
      <c r="C789" s="247"/>
      <c r="D789" s="247"/>
      <c r="E789" s="195"/>
      <c r="F789" s="201"/>
      <c r="G789" s="195"/>
      <c r="H789" s="201"/>
      <c r="I789" s="195"/>
      <c r="J789" s="201"/>
      <c r="K789" s="193"/>
      <c r="L789" s="202"/>
      <c r="M789" s="195"/>
      <c r="N789" s="195"/>
      <c r="O789" s="195"/>
      <c r="P789" s="195"/>
      <c r="Q789" s="203"/>
      <c r="R789" s="198"/>
      <c r="S789" s="199"/>
      <c r="T789" s="199"/>
      <c r="U789" s="199"/>
      <c r="V789" s="199"/>
      <c r="W789" s="199"/>
      <c r="X789" s="199"/>
    </row>
    <row r="790">
      <c r="A790" s="247"/>
      <c r="B790" s="199"/>
      <c r="C790" s="247"/>
      <c r="D790" s="247"/>
      <c r="E790" s="195"/>
      <c r="F790" s="201"/>
      <c r="G790" s="195"/>
      <c r="H790" s="201"/>
      <c r="I790" s="195"/>
      <c r="J790" s="201"/>
      <c r="K790" s="193"/>
      <c r="L790" s="202"/>
      <c r="M790" s="195"/>
      <c r="N790" s="195"/>
      <c r="O790" s="195"/>
      <c r="P790" s="195"/>
      <c r="Q790" s="203"/>
      <c r="R790" s="198"/>
      <c r="S790" s="199"/>
      <c r="T790" s="199"/>
      <c r="U790" s="199"/>
      <c r="V790" s="199"/>
      <c r="W790" s="199"/>
      <c r="X790" s="199"/>
    </row>
    <row r="791">
      <c r="A791" s="247"/>
      <c r="B791" s="199"/>
      <c r="C791" s="247"/>
      <c r="D791" s="247"/>
      <c r="E791" s="195"/>
      <c r="F791" s="201"/>
      <c r="G791" s="195"/>
      <c r="H791" s="201"/>
      <c r="I791" s="195"/>
      <c r="J791" s="201"/>
      <c r="K791" s="193"/>
      <c r="L791" s="202"/>
      <c r="M791" s="195"/>
      <c r="N791" s="195"/>
      <c r="O791" s="195"/>
      <c r="P791" s="195"/>
      <c r="Q791" s="203"/>
      <c r="R791" s="198"/>
      <c r="S791" s="199"/>
      <c r="T791" s="199"/>
      <c r="U791" s="199"/>
      <c r="V791" s="199"/>
      <c r="W791" s="199"/>
      <c r="X791" s="199"/>
    </row>
    <row r="792">
      <c r="A792" s="247"/>
      <c r="B792" s="199"/>
      <c r="C792" s="247"/>
      <c r="D792" s="247"/>
      <c r="E792" s="195"/>
      <c r="F792" s="201"/>
      <c r="G792" s="195"/>
      <c r="H792" s="201"/>
      <c r="I792" s="195"/>
      <c r="J792" s="201"/>
      <c r="K792" s="193"/>
      <c r="L792" s="202"/>
      <c r="M792" s="195"/>
      <c r="N792" s="195"/>
      <c r="O792" s="195"/>
      <c r="P792" s="195"/>
      <c r="Q792" s="203"/>
      <c r="R792" s="198"/>
      <c r="S792" s="199"/>
      <c r="T792" s="199"/>
      <c r="U792" s="199"/>
      <c r="V792" s="199"/>
      <c r="W792" s="199"/>
      <c r="X792" s="199"/>
    </row>
    <row r="793">
      <c r="A793" s="247"/>
      <c r="B793" s="199"/>
      <c r="C793" s="247"/>
      <c r="D793" s="247"/>
      <c r="E793" s="195"/>
      <c r="F793" s="201"/>
      <c r="G793" s="195"/>
      <c r="H793" s="201"/>
      <c r="I793" s="195"/>
      <c r="J793" s="201"/>
      <c r="K793" s="193"/>
      <c r="L793" s="202"/>
      <c r="M793" s="195"/>
      <c r="N793" s="195"/>
      <c r="O793" s="195"/>
      <c r="P793" s="195"/>
      <c r="Q793" s="203"/>
      <c r="R793" s="198"/>
      <c r="S793" s="199"/>
      <c r="T793" s="199"/>
      <c r="U793" s="199"/>
      <c r="V793" s="199"/>
      <c r="W793" s="199"/>
      <c r="X793" s="199"/>
    </row>
    <row r="794">
      <c r="A794" s="247"/>
      <c r="B794" s="199"/>
      <c r="C794" s="247"/>
      <c r="D794" s="247"/>
      <c r="E794" s="195"/>
      <c r="F794" s="201"/>
      <c r="G794" s="195"/>
      <c r="H794" s="201"/>
      <c r="I794" s="195"/>
      <c r="J794" s="201"/>
      <c r="K794" s="193"/>
      <c r="L794" s="202"/>
      <c r="M794" s="195"/>
      <c r="N794" s="195"/>
      <c r="O794" s="195"/>
      <c r="P794" s="195"/>
      <c r="Q794" s="203"/>
      <c r="R794" s="198"/>
      <c r="S794" s="199"/>
      <c r="T794" s="199"/>
      <c r="U794" s="199"/>
      <c r="V794" s="199"/>
      <c r="W794" s="199"/>
      <c r="X794" s="199"/>
    </row>
    <row r="795">
      <c r="A795" s="247"/>
      <c r="B795" s="199"/>
      <c r="C795" s="247"/>
      <c r="D795" s="247"/>
      <c r="E795" s="195"/>
      <c r="F795" s="201"/>
      <c r="G795" s="195"/>
      <c r="H795" s="201"/>
      <c r="I795" s="195"/>
      <c r="J795" s="201"/>
      <c r="K795" s="193"/>
      <c r="L795" s="202"/>
      <c r="M795" s="195"/>
      <c r="N795" s="195"/>
      <c r="O795" s="195"/>
      <c r="P795" s="195"/>
      <c r="Q795" s="203"/>
      <c r="R795" s="198"/>
      <c r="S795" s="199"/>
      <c r="T795" s="199"/>
      <c r="U795" s="199"/>
      <c r="V795" s="199"/>
      <c r="W795" s="199"/>
      <c r="X795" s="199"/>
    </row>
    <row r="796">
      <c r="A796" s="247"/>
      <c r="B796" s="199"/>
      <c r="C796" s="247"/>
      <c r="D796" s="247"/>
      <c r="E796" s="195"/>
      <c r="F796" s="201"/>
      <c r="G796" s="195"/>
      <c r="H796" s="201"/>
      <c r="I796" s="195"/>
      <c r="J796" s="201"/>
      <c r="K796" s="193"/>
      <c r="L796" s="202"/>
      <c r="M796" s="195"/>
      <c r="N796" s="195"/>
      <c r="O796" s="195"/>
      <c r="P796" s="195"/>
      <c r="Q796" s="203"/>
      <c r="R796" s="198"/>
      <c r="S796" s="199"/>
      <c r="T796" s="199"/>
      <c r="U796" s="199"/>
      <c r="V796" s="199"/>
      <c r="W796" s="199"/>
      <c r="X796" s="199"/>
    </row>
    <row r="797">
      <c r="A797" s="247"/>
      <c r="B797" s="199"/>
      <c r="C797" s="247"/>
      <c r="D797" s="247"/>
      <c r="E797" s="195"/>
      <c r="F797" s="201"/>
      <c r="G797" s="195"/>
      <c r="H797" s="201"/>
      <c r="I797" s="195"/>
      <c r="J797" s="201"/>
      <c r="K797" s="193"/>
      <c r="L797" s="202"/>
      <c r="M797" s="195"/>
      <c r="N797" s="195"/>
      <c r="O797" s="195"/>
      <c r="P797" s="195"/>
      <c r="Q797" s="203"/>
      <c r="R797" s="198"/>
      <c r="S797" s="199"/>
      <c r="T797" s="199"/>
      <c r="U797" s="199"/>
      <c r="V797" s="199"/>
      <c r="W797" s="199"/>
      <c r="X797" s="199"/>
    </row>
    <row r="798">
      <c r="A798" s="247"/>
      <c r="B798" s="199"/>
      <c r="C798" s="247"/>
      <c r="D798" s="247"/>
      <c r="E798" s="195"/>
      <c r="F798" s="201"/>
      <c r="G798" s="195"/>
      <c r="H798" s="201"/>
      <c r="I798" s="195"/>
      <c r="J798" s="201"/>
      <c r="K798" s="193"/>
      <c r="L798" s="202"/>
      <c r="M798" s="195"/>
      <c r="N798" s="195"/>
      <c r="O798" s="195"/>
      <c r="P798" s="195"/>
      <c r="Q798" s="203"/>
      <c r="R798" s="198"/>
      <c r="S798" s="199"/>
      <c r="T798" s="199"/>
      <c r="U798" s="199"/>
      <c r="V798" s="199"/>
      <c r="W798" s="199"/>
      <c r="X798" s="199"/>
    </row>
    <row r="799">
      <c r="A799" s="247"/>
      <c r="B799" s="199"/>
      <c r="C799" s="247"/>
      <c r="D799" s="247"/>
      <c r="E799" s="195"/>
      <c r="F799" s="201"/>
      <c r="G799" s="195"/>
      <c r="H799" s="201"/>
      <c r="I799" s="195"/>
      <c r="J799" s="201"/>
      <c r="K799" s="193"/>
      <c r="L799" s="202"/>
      <c r="M799" s="195"/>
      <c r="N799" s="195"/>
      <c r="O799" s="195"/>
      <c r="P799" s="195"/>
      <c r="Q799" s="203"/>
      <c r="R799" s="198"/>
      <c r="S799" s="199"/>
      <c r="T799" s="199"/>
      <c r="U799" s="199"/>
      <c r="V799" s="199"/>
      <c r="W799" s="199"/>
      <c r="X799" s="199"/>
    </row>
    <row r="800">
      <c r="A800" s="247"/>
      <c r="B800" s="199"/>
      <c r="C800" s="247"/>
      <c r="D800" s="247"/>
      <c r="E800" s="195"/>
      <c r="F800" s="201"/>
      <c r="G800" s="195"/>
      <c r="H800" s="201"/>
      <c r="I800" s="195"/>
      <c r="J800" s="201"/>
      <c r="K800" s="193"/>
      <c r="L800" s="202"/>
      <c r="M800" s="195"/>
      <c r="N800" s="195"/>
      <c r="O800" s="195"/>
      <c r="P800" s="195"/>
      <c r="Q800" s="203"/>
      <c r="R800" s="198"/>
      <c r="S800" s="199"/>
      <c r="T800" s="199"/>
      <c r="U800" s="199"/>
      <c r="V800" s="199"/>
      <c r="W800" s="199"/>
      <c r="X800" s="199"/>
    </row>
    <row r="801">
      <c r="A801" s="247"/>
      <c r="B801" s="199"/>
      <c r="C801" s="247"/>
      <c r="D801" s="247"/>
      <c r="E801" s="195"/>
      <c r="F801" s="201"/>
      <c r="G801" s="195"/>
      <c r="H801" s="201"/>
      <c r="I801" s="195"/>
      <c r="J801" s="201"/>
      <c r="K801" s="193"/>
      <c r="L801" s="202"/>
      <c r="M801" s="195"/>
      <c r="N801" s="195"/>
      <c r="O801" s="195"/>
      <c r="P801" s="195"/>
      <c r="Q801" s="203"/>
      <c r="R801" s="198"/>
      <c r="S801" s="199"/>
      <c r="T801" s="199"/>
      <c r="U801" s="199"/>
      <c r="V801" s="199"/>
      <c r="W801" s="199"/>
      <c r="X801" s="199"/>
    </row>
    <row r="802">
      <c r="A802" s="247"/>
      <c r="B802" s="199"/>
      <c r="C802" s="247"/>
      <c r="D802" s="247"/>
      <c r="E802" s="195"/>
      <c r="F802" s="201"/>
      <c r="G802" s="195"/>
      <c r="H802" s="201"/>
      <c r="I802" s="195"/>
      <c r="J802" s="201"/>
      <c r="K802" s="193"/>
      <c r="L802" s="202"/>
      <c r="M802" s="195"/>
      <c r="N802" s="195"/>
      <c r="O802" s="195"/>
      <c r="P802" s="195"/>
      <c r="Q802" s="203"/>
      <c r="R802" s="198"/>
      <c r="S802" s="199"/>
      <c r="T802" s="199"/>
      <c r="U802" s="199"/>
      <c r="V802" s="199"/>
      <c r="W802" s="199"/>
      <c r="X802" s="199"/>
    </row>
    <row r="803">
      <c r="A803" s="247"/>
      <c r="B803" s="199"/>
      <c r="C803" s="247"/>
      <c r="D803" s="247"/>
      <c r="E803" s="195"/>
      <c r="F803" s="201"/>
      <c r="G803" s="195"/>
      <c r="H803" s="201"/>
      <c r="I803" s="195"/>
      <c r="J803" s="201"/>
      <c r="K803" s="193"/>
      <c r="L803" s="202"/>
      <c r="M803" s="195"/>
      <c r="N803" s="195"/>
      <c r="O803" s="195"/>
      <c r="P803" s="195"/>
      <c r="Q803" s="203"/>
      <c r="R803" s="198"/>
      <c r="S803" s="199"/>
      <c r="T803" s="199"/>
      <c r="U803" s="199"/>
      <c r="V803" s="199"/>
      <c r="W803" s="199"/>
      <c r="X803" s="199"/>
    </row>
    <row r="804">
      <c r="A804" s="247"/>
      <c r="B804" s="199"/>
      <c r="C804" s="247"/>
      <c r="D804" s="247"/>
      <c r="E804" s="195"/>
      <c r="F804" s="201"/>
      <c r="G804" s="195"/>
      <c r="H804" s="201"/>
      <c r="I804" s="195"/>
      <c r="J804" s="201"/>
      <c r="K804" s="193"/>
      <c r="L804" s="202"/>
      <c r="M804" s="195"/>
      <c r="N804" s="195"/>
      <c r="O804" s="195"/>
      <c r="P804" s="195"/>
      <c r="Q804" s="203"/>
      <c r="R804" s="198"/>
      <c r="S804" s="199"/>
      <c r="T804" s="199"/>
      <c r="U804" s="199"/>
      <c r="V804" s="199"/>
      <c r="W804" s="199"/>
      <c r="X804" s="199"/>
    </row>
    <row r="805">
      <c r="A805" s="247"/>
      <c r="B805" s="199"/>
      <c r="C805" s="247"/>
      <c r="D805" s="247"/>
      <c r="E805" s="195"/>
      <c r="F805" s="201"/>
      <c r="G805" s="195"/>
      <c r="H805" s="201"/>
      <c r="I805" s="195"/>
      <c r="J805" s="201"/>
      <c r="K805" s="193"/>
      <c r="L805" s="202"/>
      <c r="M805" s="195"/>
      <c r="N805" s="195"/>
      <c r="O805" s="195"/>
      <c r="P805" s="195"/>
      <c r="Q805" s="203"/>
      <c r="R805" s="198"/>
      <c r="S805" s="199"/>
      <c r="T805" s="199"/>
      <c r="U805" s="199"/>
      <c r="V805" s="199"/>
      <c r="W805" s="199"/>
      <c r="X805" s="199"/>
    </row>
    <row r="806">
      <c r="A806" s="247"/>
      <c r="B806" s="199"/>
      <c r="C806" s="247"/>
      <c r="D806" s="247"/>
      <c r="E806" s="195"/>
      <c r="F806" s="201"/>
      <c r="G806" s="195"/>
      <c r="H806" s="201"/>
      <c r="I806" s="195"/>
      <c r="J806" s="201"/>
      <c r="K806" s="193"/>
      <c r="L806" s="202"/>
      <c r="M806" s="195"/>
      <c r="N806" s="195"/>
      <c r="O806" s="195"/>
      <c r="P806" s="195"/>
      <c r="Q806" s="203"/>
      <c r="R806" s="198"/>
      <c r="S806" s="199"/>
      <c r="T806" s="199"/>
      <c r="U806" s="199"/>
      <c r="V806" s="199"/>
      <c r="W806" s="199"/>
      <c r="X806" s="199"/>
    </row>
    <row r="807">
      <c r="A807" s="247"/>
      <c r="B807" s="199"/>
      <c r="C807" s="247"/>
      <c r="D807" s="247"/>
      <c r="E807" s="195"/>
      <c r="F807" s="201"/>
      <c r="G807" s="195"/>
      <c r="H807" s="201"/>
      <c r="I807" s="195"/>
      <c r="J807" s="201"/>
      <c r="K807" s="193"/>
      <c r="L807" s="202"/>
      <c r="M807" s="195"/>
      <c r="N807" s="195"/>
      <c r="O807" s="195"/>
      <c r="P807" s="195"/>
      <c r="Q807" s="203"/>
      <c r="R807" s="198"/>
      <c r="S807" s="199"/>
      <c r="T807" s="199"/>
      <c r="U807" s="199"/>
      <c r="V807" s="199"/>
      <c r="W807" s="199"/>
      <c r="X807" s="199"/>
    </row>
    <row r="808">
      <c r="A808" s="247"/>
      <c r="B808" s="199"/>
      <c r="C808" s="247"/>
      <c r="D808" s="247"/>
      <c r="E808" s="195"/>
      <c r="F808" s="201"/>
      <c r="G808" s="195"/>
      <c r="H808" s="201"/>
      <c r="I808" s="195"/>
      <c r="J808" s="201"/>
      <c r="K808" s="193"/>
      <c r="L808" s="202"/>
      <c r="M808" s="195"/>
      <c r="N808" s="195"/>
      <c r="O808" s="195"/>
      <c r="P808" s="195"/>
      <c r="Q808" s="203"/>
      <c r="R808" s="198"/>
      <c r="S808" s="199"/>
      <c r="T808" s="199"/>
      <c r="U808" s="199"/>
      <c r="V808" s="199"/>
      <c r="W808" s="199"/>
      <c r="X808" s="199"/>
    </row>
    <row r="809">
      <c r="A809" s="247"/>
      <c r="B809" s="199"/>
      <c r="C809" s="247"/>
      <c r="D809" s="247"/>
      <c r="E809" s="195"/>
      <c r="F809" s="201"/>
      <c r="G809" s="195"/>
      <c r="H809" s="201"/>
      <c r="I809" s="195"/>
      <c r="J809" s="201"/>
      <c r="K809" s="193"/>
      <c r="L809" s="202"/>
      <c r="M809" s="195"/>
      <c r="N809" s="195"/>
      <c r="O809" s="195"/>
      <c r="P809" s="195"/>
      <c r="Q809" s="203"/>
      <c r="R809" s="198"/>
      <c r="S809" s="199"/>
      <c r="T809" s="199"/>
      <c r="U809" s="199"/>
      <c r="V809" s="199"/>
      <c r="W809" s="199"/>
      <c r="X809" s="199"/>
    </row>
    <row r="810">
      <c r="A810" s="247"/>
      <c r="B810" s="199"/>
      <c r="C810" s="247"/>
      <c r="D810" s="247"/>
      <c r="E810" s="195"/>
      <c r="F810" s="201"/>
      <c r="G810" s="195"/>
      <c r="H810" s="201"/>
      <c r="I810" s="195"/>
      <c r="J810" s="201"/>
      <c r="K810" s="193"/>
      <c r="L810" s="202"/>
      <c r="M810" s="195"/>
      <c r="N810" s="195"/>
      <c r="O810" s="195"/>
      <c r="P810" s="195"/>
      <c r="Q810" s="203"/>
      <c r="R810" s="198"/>
      <c r="S810" s="199"/>
      <c r="T810" s="199"/>
      <c r="U810" s="199"/>
      <c r="V810" s="199"/>
      <c r="W810" s="199"/>
      <c r="X810" s="199"/>
    </row>
    <row r="811">
      <c r="A811" s="247"/>
      <c r="B811" s="199"/>
      <c r="C811" s="247"/>
      <c r="D811" s="247"/>
      <c r="E811" s="195"/>
      <c r="F811" s="201"/>
      <c r="G811" s="195"/>
      <c r="H811" s="201"/>
      <c r="I811" s="195"/>
      <c r="J811" s="201"/>
      <c r="K811" s="193"/>
      <c r="L811" s="202"/>
      <c r="M811" s="195"/>
      <c r="N811" s="195"/>
      <c r="O811" s="195"/>
      <c r="P811" s="195"/>
      <c r="Q811" s="203"/>
      <c r="R811" s="198"/>
      <c r="S811" s="199"/>
      <c r="T811" s="199"/>
      <c r="U811" s="199"/>
      <c r="V811" s="199"/>
      <c r="W811" s="199"/>
      <c r="X811" s="199"/>
    </row>
    <row r="812">
      <c r="A812" s="247"/>
      <c r="B812" s="199"/>
      <c r="C812" s="247"/>
      <c r="D812" s="247"/>
      <c r="E812" s="195"/>
      <c r="F812" s="201"/>
      <c r="G812" s="195"/>
      <c r="H812" s="201"/>
      <c r="I812" s="195"/>
      <c r="J812" s="201"/>
      <c r="K812" s="193"/>
      <c r="L812" s="202"/>
      <c r="M812" s="195"/>
      <c r="N812" s="195"/>
      <c r="O812" s="195"/>
      <c r="P812" s="195"/>
      <c r="Q812" s="203"/>
      <c r="R812" s="198"/>
      <c r="S812" s="199"/>
      <c r="T812" s="199"/>
      <c r="U812" s="199"/>
      <c r="V812" s="199"/>
      <c r="W812" s="199"/>
      <c r="X812" s="199"/>
    </row>
    <row r="813">
      <c r="A813" s="247"/>
      <c r="B813" s="199"/>
      <c r="C813" s="247"/>
      <c r="D813" s="247"/>
      <c r="E813" s="195"/>
      <c r="F813" s="201"/>
      <c r="G813" s="195"/>
      <c r="H813" s="201"/>
      <c r="I813" s="195"/>
      <c r="J813" s="201"/>
      <c r="K813" s="193"/>
      <c r="L813" s="202"/>
      <c r="M813" s="195"/>
      <c r="N813" s="195"/>
      <c r="O813" s="195"/>
      <c r="P813" s="195"/>
      <c r="Q813" s="203"/>
      <c r="R813" s="198"/>
      <c r="S813" s="199"/>
      <c r="T813" s="199"/>
      <c r="U813" s="199"/>
      <c r="V813" s="199"/>
      <c r="W813" s="199"/>
      <c r="X813" s="199"/>
    </row>
    <row r="814">
      <c r="A814" s="247"/>
      <c r="B814" s="199"/>
      <c r="C814" s="247"/>
      <c r="D814" s="247"/>
      <c r="E814" s="195"/>
      <c r="F814" s="201"/>
      <c r="G814" s="195"/>
      <c r="H814" s="201"/>
      <c r="I814" s="195"/>
      <c r="J814" s="201"/>
      <c r="K814" s="193"/>
      <c r="L814" s="202"/>
      <c r="M814" s="195"/>
      <c r="N814" s="195"/>
      <c r="O814" s="195"/>
      <c r="P814" s="195"/>
      <c r="Q814" s="203"/>
      <c r="R814" s="198"/>
      <c r="S814" s="199"/>
      <c r="T814" s="199"/>
      <c r="U814" s="199"/>
      <c r="V814" s="199"/>
      <c r="W814" s="199"/>
      <c r="X814" s="199"/>
    </row>
    <row r="815">
      <c r="A815" s="247"/>
      <c r="B815" s="199"/>
      <c r="C815" s="247"/>
      <c r="D815" s="247"/>
      <c r="E815" s="195"/>
      <c r="F815" s="201"/>
      <c r="G815" s="195"/>
      <c r="H815" s="201"/>
      <c r="I815" s="195"/>
      <c r="J815" s="201"/>
      <c r="K815" s="193"/>
      <c r="L815" s="202"/>
      <c r="M815" s="195"/>
      <c r="N815" s="195"/>
      <c r="O815" s="195"/>
      <c r="P815" s="195"/>
      <c r="Q815" s="203"/>
      <c r="R815" s="198"/>
      <c r="S815" s="199"/>
      <c r="T815" s="199"/>
      <c r="U815" s="199"/>
      <c r="V815" s="199"/>
      <c r="W815" s="199"/>
      <c r="X815" s="199"/>
    </row>
    <row r="816">
      <c r="A816" s="247"/>
      <c r="B816" s="199"/>
      <c r="C816" s="247"/>
      <c r="D816" s="247"/>
      <c r="E816" s="195"/>
      <c r="F816" s="201"/>
      <c r="G816" s="195"/>
      <c r="H816" s="201"/>
      <c r="I816" s="195"/>
      <c r="J816" s="201"/>
      <c r="K816" s="193"/>
      <c r="L816" s="202"/>
      <c r="M816" s="195"/>
      <c r="N816" s="195"/>
      <c r="O816" s="195"/>
      <c r="P816" s="195"/>
      <c r="Q816" s="203"/>
      <c r="R816" s="198"/>
      <c r="S816" s="199"/>
      <c r="T816" s="199"/>
      <c r="U816" s="199"/>
      <c r="V816" s="199"/>
      <c r="W816" s="199"/>
      <c r="X816" s="199"/>
    </row>
    <row r="817">
      <c r="A817" s="247"/>
      <c r="B817" s="199"/>
      <c r="C817" s="247"/>
      <c r="D817" s="247"/>
      <c r="E817" s="195"/>
      <c r="F817" s="201"/>
      <c r="G817" s="195"/>
      <c r="H817" s="201"/>
      <c r="I817" s="195"/>
      <c r="J817" s="201"/>
      <c r="K817" s="193"/>
      <c r="L817" s="202"/>
      <c r="M817" s="195"/>
      <c r="N817" s="195"/>
      <c r="O817" s="195"/>
      <c r="P817" s="195"/>
      <c r="Q817" s="203"/>
      <c r="R817" s="198"/>
      <c r="S817" s="199"/>
      <c r="T817" s="199"/>
      <c r="U817" s="199"/>
      <c r="V817" s="199"/>
      <c r="W817" s="199"/>
      <c r="X817" s="199"/>
    </row>
    <row r="818">
      <c r="A818" s="247"/>
      <c r="B818" s="199"/>
      <c r="C818" s="247"/>
      <c r="D818" s="247"/>
      <c r="E818" s="195"/>
      <c r="F818" s="201"/>
      <c r="G818" s="195"/>
      <c r="H818" s="201"/>
      <c r="I818" s="195"/>
      <c r="J818" s="201"/>
      <c r="K818" s="193"/>
      <c r="L818" s="202"/>
      <c r="M818" s="195"/>
      <c r="N818" s="195"/>
      <c r="O818" s="195"/>
      <c r="P818" s="195"/>
      <c r="Q818" s="203"/>
      <c r="R818" s="198"/>
      <c r="S818" s="199"/>
      <c r="T818" s="199"/>
      <c r="U818" s="199"/>
      <c r="V818" s="199"/>
      <c r="W818" s="199"/>
      <c r="X818" s="199"/>
    </row>
    <row r="819">
      <c r="A819" s="247"/>
      <c r="B819" s="199"/>
      <c r="C819" s="247"/>
      <c r="D819" s="247"/>
      <c r="E819" s="195"/>
      <c r="F819" s="201"/>
      <c r="G819" s="195"/>
      <c r="H819" s="201"/>
      <c r="I819" s="195"/>
      <c r="J819" s="201"/>
      <c r="K819" s="193"/>
      <c r="L819" s="202"/>
      <c r="M819" s="195"/>
      <c r="N819" s="195"/>
      <c r="O819" s="195"/>
      <c r="P819" s="195"/>
      <c r="Q819" s="203"/>
      <c r="R819" s="198"/>
      <c r="S819" s="199"/>
      <c r="T819" s="199"/>
      <c r="U819" s="199"/>
      <c r="V819" s="199"/>
      <c r="W819" s="199"/>
      <c r="X819" s="199"/>
    </row>
    <row r="820">
      <c r="A820" s="247"/>
      <c r="B820" s="199"/>
      <c r="C820" s="247"/>
      <c r="D820" s="247"/>
      <c r="E820" s="195"/>
      <c r="F820" s="201"/>
      <c r="G820" s="195"/>
      <c r="H820" s="201"/>
      <c r="I820" s="195"/>
      <c r="J820" s="201"/>
      <c r="K820" s="193"/>
      <c r="L820" s="202"/>
      <c r="M820" s="195"/>
      <c r="N820" s="195"/>
      <c r="O820" s="195"/>
      <c r="P820" s="195"/>
      <c r="Q820" s="203"/>
      <c r="R820" s="198"/>
      <c r="S820" s="199"/>
      <c r="T820" s="199"/>
      <c r="U820" s="199"/>
      <c r="V820" s="199"/>
      <c r="W820" s="199"/>
      <c r="X820" s="199"/>
    </row>
    <row r="821">
      <c r="A821" s="247"/>
      <c r="B821" s="199"/>
      <c r="C821" s="247"/>
      <c r="D821" s="247"/>
      <c r="E821" s="195"/>
      <c r="F821" s="201"/>
      <c r="G821" s="195"/>
      <c r="H821" s="201"/>
      <c r="I821" s="195"/>
      <c r="J821" s="201"/>
      <c r="K821" s="193"/>
      <c r="L821" s="202"/>
      <c r="M821" s="195"/>
      <c r="N821" s="195"/>
      <c r="O821" s="195"/>
      <c r="P821" s="195"/>
      <c r="Q821" s="203"/>
      <c r="R821" s="198"/>
      <c r="S821" s="199"/>
      <c r="T821" s="199"/>
      <c r="U821" s="199"/>
      <c r="V821" s="199"/>
      <c r="W821" s="199"/>
      <c r="X821" s="199"/>
    </row>
    <row r="822">
      <c r="A822" s="247"/>
      <c r="B822" s="199"/>
      <c r="C822" s="247"/>
      <c r="D822" s="247"/>
      <c r="E822" s="195"/>
      <c r="F822" s="201"/>
      <c r="G822" s="195"/>
      <c r="H822" s="201"/>
      <c r="I822" s="195"/>
      <c r="J822" s="201"/>
      <c r="K822" s="193"/>
      <c r="L822" s="202"/>
      <c r="M822" s="195"/>
      <c r="N822" s="195"/>
      <c r="O822" s="195"/>
      <c r="P822" s="195"/>
      <c r="Q822" s="203"/>
      <c r="R822" s="198"/>
      <c r="S822" s="199"/>
      <c r="T822" s="199"/>
      <c r="U822" s="199"/>
      <c r="V822" s="199"/>
      <c r="W822" s="199"/>
      <c r="X822" s="199"/>
    </row>
    <row r="823">
      <c r="A823" s="247"/>
      <c r="B823" s="199"/>
      <c r="C823" s="247"/>
      <c r="D823" s="247"/>
      <c r="E823" s="195"/>
      <c r="F823" s="201"/>
      <c r="G823" s="195"/>
      <c r="H823" s="201"/>
      <c r="I823" s="195"/>
      <c r="J823" s="201"/>
      <c r="K823" s="193"/>
      <c r="L823" s="202"/>
      <c r="M823" s="195"/>
      <c r="N823" s="195"/>
      <c r="O823" s="195"/>
      <c r="P823" s="195"/>
      <c r="Q823" s="203"/>
      <c r="R823" s="198"/>
      <c r="S823" s="199"/>
      <c r="T823" s="199"/>
      <c r="U823" s="199"/>
      <c r="V823" s="199"/>
      <c r="W823" s="199"/>
      <c r="X823" s="199"/>
    </row>
    <row r="824">
      <c r="A824" s="247"/>
      <c r="B824" s="199"/>
      <c r="C824" s="247"/>
      <c r="D824" s="247"/>
      <c r="E824" s="195"/>
      <c r="F824" s="201"/>
      <c r="G824" s="195"/>
      <c r="H824" s="201"/>
      <c r="I824" s="195"/>
      <c r="J824" s="201"/>
      <c r="K824" s="193"/>
      <c r="L824" s="202"/>
      <c r="M824" s="195"/>
      <c r="N824" s="195"/>
      <c r="O824" s="195"/>
      <c r="P824" s="195"/>
      <c r="Q824" s="203"/>
      <c r="R824" s="198"/>
      <c r="S824" s="199"/>
      <c r="T824" s="199"/>
      <c r="U824" s="199"/>
      <c r="V824" s="199"/>
      <c r="W824" s="199"/>
      <c r="X824" s="199"/>
    </row>
    <row r="825">
      <c r="A825" s="247"/>
      <c r="B825" s="199"/>
      <c r="C825" s="247"/>
      <c r="D825" s="247"/>
      <c r="E825" s="195"/>
      <c r="F825" s="201"/>
      <c r="G825" s="195"/>
      <c r="H825" s="201"/>
      <c r="I825" s="195"/>
      <c r="J825" s="201"/>
      <c r="K825" s="193"/>
      <c r="L825" s="202"/>
      <c r="M825" s="195"/>
      <c r="N825" s="195"/>
      <c r="O825" s="195"/>
      <c r="P825" s="195"/>
      <c r="Q825" s="203"/>
      <c r="R825" s="198"/>
      <c r="S825" s="199"/>
      <c r="T825" s="199"/>
      <c r="U825" s="199"/>
      <c r="V825" s="199"/>
      <c r="W825" s="199"/>
      <c r="X825" s="199"/>
    </row>
    <row r="826">
      <c r="A826" s="247"/>
      <c r="B826" s="199"/>
      <c r="C826" s="247"/>
      <c r="D826" s="247"/>
      <c r="E826" s="195"/>
      <c r="F826" s="201"/>
      <c r="G826" s="195"/>
      <c r="H826" s="201"/>
      <c r="I826" s="195"/>
      <c r="J826" s="201"/>
      <c r="K826" s="193"/>
      <c r="L826" s="202"/>
      <c r="M826" s="195"/>
      <c r="N826" s="195"/>
      <c r="O826" s="195"/>
      <c r="P826" s="195"/>
      <c r="Q826" s="203"/>
      <c r="R826" s="198"/>
      <c r="S826" s="199"/>
      <c r="T826" s="199"/>
      <c r="U826" s="199"/>
      <c r="V826" s="199"/>
      <c r="W826" s="199"/>
      <c r="X826" s="199"/>
    </row>
    <row r="827">
      <c r="A827" s="247"/>
      <c r="B827" s="199"/>
      <c r="C827" s="247"/>
      <c r="D827" s="247"/>
      <c r="E827" s="195"/>
      <c r="F827" s="201"/>
      <c r="G827" s="195"/>
      <c r="H827" s="201"/>
      <c r="I827" s="195"/>
      <c r="J827" s="201"/>
      <c r="K827" s="193"/>
      <c r="L827" s="202"/>
      <c r="M827" s="195"/>
      <c r="N827" s="195"/>
      <c r="O827" s="195"/>
      <c r="P827" s="195"/>
      <c r="Q827" s="203"/>
      <c r="R827" s="198"/>
      <c r="S827" s="199"/>
      <c r="T827" s="199"/>
      <c r="U827" s="199"/>
      <c r="V827" s="199"/>
      <c r="W827" s="199"/>
      <c r="X827" s="199"/>
    </row>
    <row r="828">
      <c r="A828" s="247"/>
      <c r="B828" s="199"/>
      <c r="C828" s="247"/>
      <c r="D828" s="247"/>
      <c r="E828" s="195"/>
      <c r="F828" s="201"/>
      <c r="G828" s="195"/>
      <c r="H828" s="201"/>
      <c r="I828" s="195"/>
      <c r="J828" s="201"/>
      <c r="K828" s="193"/>
      <c r="L828" s="202"/>
      <c r="M828" s="195"/>
      <c r="N828" s="195"/>
      <c r="O828" s="195"/>
      <c r="P828" s="195"/>
      <c r="Q828" s="203"/>
      <c r="R828" s="198"/>
      <c r="S828" s="199"/>
      <c r="T828" s="199"/>
      <c r="U828" s="199"/>
      <c r="V828" s="199"/>
      <c r="W828" s="199"/>
      <c r="X828" s="199"/>
    </row>
    <row r="829">
      <c r="A829" s="247"/>
      <c r="B829" s="199"/>
      <c r="C829" s="247"/>
      <c r="D829" s="247"/>
      <c r="E829" s="195"/>
      <c r="F829" s="201"/>
      <c r="G829" s="195"/>
      <c r="H829" s="201"/>
      <c r="I829" s="195"/>
      <c r="J829" s="201"/>
      <c r="K829" s="193"/>
      <c r="L829" s="202"/>
      <c r="M829" s="195"/>
      <c r="N829" s="195"/>
      <c r="O829" s="195"/>
      <c r="P829" s="195"/>
      <c r="Q829" s="203"/>
      <c r="R829" s="198"/>
      <c r="S829" s="199"/>
      <c r="T829" s="199"/>
      <c r="U829" s="199"/>
      <c r="V829" s="199"/>
      <c r="W829" s="199"/>
      <c r="X829" s="199"/>
    </row>
    <row r="830">
      <c r="A830" s="247"/>
      <c r="B830" s="199"/>
      <c r="C830" s="247"/>
      <c r="D830" s="247"/>
      <c r="E830" s="195"/>
      <c r="F830" s="201"/>
      <c r="G830" s="195"/>
      <c r="H830" s="201"/>
      <c r="I830" s="195"/>
      <c r="J830" s="201"/>
      <c r="K830" s="193"/>
      <c r="L830" s="202"/>
      <c r="M830" s="195"/>
      <c r="N830" s="195"/>
      <c r="O830" s="195"/>
      <c r="P830" s="195"/>
      <c r="Q830" s="203"/>
      <c r="R830" s="198"/>
      <c r="S830" s="199"/>
      <c r="T830" s="199"/>
      <c r="U830" s="199"/>
      <c r="V830" s="199"/>
      <c r="W830" s="199"/>
      <c r="X830" s="199"/>
    </row>
    <row r="831">
      <c r="A831" s="247"/>
      <c r="B831" s="199"/>
      <c r="C831" s="247"/>
      <c r="D831" s="247"/>
      <c r="E831" s="195"/>
      <c r="F831" s="201"/>
      <c r="G831" s="195"/>
      <c r="H831" s="201"/>
      <c r="I831" s="195"/>
      <c r="J831" s="201"/>
      <c r="K831" s="193"/>
      <c r="L831" s="202"/>
      <c r="M831" s="195"/>
      <c r="N831" s="195"/>
      <c r="O831" s="195"/>
      <c r="P831" s="195"/>
      <c r="Q831" s="203"/>
      <c r="R831" s="198"/>
      <c r="S831" s="199"/>
      <c r="T831" s="199"/>
      <c r="U831" s="199"/>
      <c r="V831" s="199"/>
      <c r="W831" s="199"/>
      <c r="X831" s="199"/>
    </row>
    <row r="832">
      <c r="A832" s="247"/>
      <c r="B832" s="199"/>
      <c r="C832" s="247"/>
      <c r="D832" s="247"/>
      <c r="E832" s="195"/>
      <c r="F832" s="201"/>
      <c r="G832" s="195"/>
      <c r="H832" s="201"/>
      <c r="I832" s="195"/>
      <c r="J832" s="201"/>
      <c r="K832" s="193"/>
      <c r="L832" s="202"/>
      <c r="M832" s="195"/>
      <c r="N832" s="195"/>
      <c r="O832" s="195"/>
      <c r="P832" s="195"/>
      <c r="Q832" s="203"/>
      <c r="R832" s="198"/>
      <c r="S832" s="199"/>
      <c r="T832" s="199"/>
      <c r="U832" s="199"/>
      <c r="V832" s="199"/>
      <c r="W832" s="199"/>
      <c r="X832" s="199"/>
    </row>
    <row r="833">
      <c r="A833" s="247"/>
      <c r="B833" s="199"/>
      <c r="C833" s="247"/>
      <c r="D833" s="247"/>
      <c r="E833" s="195"/>
      <c r="F833" s="201"/>
      <c r="G833" s="195"/>
      <c r="H833" s="201"/>
      <c r="I833" s="195"/>
      <c r="J833" s="201"/>
      <c r="K833" s="193"/>
      <c r="L833" s="202"/>
      <c r="M833" s="195"/>
      <c r="N833" s="195"/>
      <c r="O833" s="195"/>
      <c r="P833" s="195"/>
      <c r="Q833" s="203"/>
      <c r="R833" s="198"/>
      <c r="S833" s="199"/>
      <c r="T833" s="199"/>
      <c r="U833" s="199"/>
      <c r="V833" s="199"/>
      <c r="W833" s="199"/>
      <c r="X833" s="199"/>
    </row>
    <row r="834">
      <c r="A834" s="247"/>
      <c r="B834" s="199"/>
      <c r="C834" s="247"/>
      <c r="D834" s="247"/>
      <c r="E834" s="195"/>
      <c r="F834" s="201"/>
      <c r="G834" s="195"/>
      <c r="H834" s="201"/>
      <c r="I834" s="195"/>
      <c r="J834" s="201"/>
      <c r="K834" s="193"/>
      <c r="L834" s="202"/>
      <c r="M834" s="195"/>
      <c r="N834" s="195"/>
      <c r="O834" s="195"/>
      <c r="P834" s="195"/>
      <c r="Q834" s="203"/>
      <c r="R834" s="198"/>
      <c r="S834" s="199"/>
      <c r="T834" s="199"/>
      <c r="U834" s="199"/>
      <c r="V834" s="199"/>
      <c r="W834" s="199"/>
      <c r="X834" s="199"/>
    </row>
    <row r="835">
      <c r="A835" s="247"/>
      <c r="B835" s="199"/>
      <c r="C835" s="247"/>
      <c r="D835" s="247"/>
      <c r="E835" s="195"/>
      <c r="F835" s="201"/>
      <c r="G835" s="195"/>
      <c r="H835" s="201"/>
      <c r="I835" s="195"/>
      <c r="J835" s="201"/>
      <c r="K835" s="193"/>
      <c r="L835" s="202"/>
      <c r="M835" s="195"/>
      <c r="N835" s="195"/>
      <c r="O835" s="195"/>
      <c r="P835" s="195"/>
      <c r="Q835" s="203"/>
      <c r="R835" s="198"/>
      <c r="S835" s="199"/>
      <c r="T835" s="199"/>
      <c r="U835" s="199"/>
      <c r="V835" s="199"/>
      <c r="W835" s="199"/>
      <c r="X835" s="199"/>
    </row>
    <row r="836">
      <c r="A836" s="247"/>
      <c r="B836" s="199"/>
      <c r="C836" s="247"/>
      <c r="D836" s="247"/>
      <c r="E836" s="195"/>
      <c r="F836" s="201"/>
      <c r="G836" s="195"/>
      <c r="H836" s="201"/>
      <c r="I836" s="195"/>
      <c r="J836" s="201"/>
      <c r="K836" s="193"/>
      <c r="L836" s="202"/>
      <c r="M836" s="195"/>
      <c r="N836" s="195"/>
      <c r="O836" s="195"/>
      <c r="P836" s="195"/>
      <c r="Q836" s="203"/>
      <c r="R836" s="198"/>
      <c r="S836" s="199"/>
      <c r="T836" s="199"/>
      <c r="U836" s="199"/>
      <c r="V836" s="199"/>
      <c r="W836" s="199"/>
      <c r="X836" s="199"/>
    </row>
    <row r="837">
      <c r="A837" s="247"/>
      <c r="B837" s="199"/>
      <c r="C837" s="247"/>
      <c r="D837" s="247"/>
      <c r="E837" s="195"/>
      <c r="F837" s="201"/>
      <c r="G837" s="195"/>
      <c r="H837" s="201"/>
      <c r="I837" s="195"/>
      <c r="J837" s="201"/>
      <c r="K837" s="193"/>
      <c r="L837" s="202"/>
      <c r="M837" s="195"/>
      <c r="N837" s="195"/>
      <c r="O837" s="195"/>
      <c r="P837" s="195"/>
      <c r="Q837" s="203"/>
      <c r="R837" s="198"/>
      <c r="S837" s="199"/>
      <c r="T837" s="199"/>
      <c r="U837" s="199"/>
      <c r="V837" s="199"/>
      <c r="W837" s="199"/>
      <c r="X837" s="199"/>
    </row>
    <row r="838">
      <c r="A838" s="247"/>
      <c r="B838" s="199"/>
      <c r="C838" s="247"/>
      <c r="D838" s="247"/>
      <c r="E838" s="195"/>
      <c r="F838" s="201"/>
      <c r="G838" s="195"/>
      <c r="H838" s="201"/>
      <c r="I838" s="195"/>
      <c r="J838" s="201"/>
      <c r="K838" s="193"/>
      <c r="L838" s="202"/>
      <c r="M838" s="195"/>
      <c r="N838" s="195"/>
      <c r="O838" s="195"/>
      <c r="P838" s="195"/>
      <c r="Q838" s="203"/>
      <c r="R838" s="198"/>
      <c r="S838" s="199"/>
      <c r="T838" s="199"/>
      <c r="U838" s="199"/>
      <c r="V838" s="199"/>
      <c r="W838" s="199"/>
      <c r="X838" s="199"/>
    </row>
    <row r="839">
      <c r="A839" s="247"/>
      <c r="B839" s="199"/>
      <c r="C839" s="247"/>
      <c r="D839" s="247"/>
      <c r="E839" s="195"/>
      <c r="F839" s="201"/>
      <c r="G839" s="195"/>
      <c r="H839" s="201"/>
      <c r="I839" s="195"/>
      <c r="J839" s="201"/>
      <c r="K839" s="193"/>
      <c r="L839" s="202"/>
      <c r="M839" s="195"/>
      <c r="N839" s="195"/>
      <c r="O839" s="195"/>
      <c r="P839" s="195"/>
      <c r="Q839" s="203"/>
      <c r="R839" s="198"/>
      <c r="S839" s="199"/>
      <c r="T839" s="199"/>
      <c r="U839" s="199"/>
      <c r="V839" s="199"/>
      <c r="W839" s="199"/>
      <c r="X839" s="199"/>
    </row>
    <row r="840">
      <c r="A840" s="247"/>
      <c r="B840" s="199"/>
      <c r="C840" s="247"/>
      <c r="D840" s="247"/>
      <c r="E840" s="195"/>
      <c r="F840" s="201"/>
      <c r="G840" s="195"/>
      <c r="H840" s="201"/>
      <c r="I840" s="195"/>
      <c r="J840" s="201"/>
      <c r="K840" s="193"/>
      <c r="L840" s="202"/>
      <c r="M840" s="195"/>
      <c r="N840" s="195"/>
      <c r="O840" s="195"/>
      <c r="P840" s="195"/>
      <c r="Q840" s="203"/>
      <c r="R840" s="198"/>
      <c r="S840" s="199"/>
      <c r="T840" s="199"/>
      <c r="U840" s="199"/>
      <c r="V840" s="199"/>
      <c r="W840" s="199"/>
      <c r="X840" s="199"/>
    </row>
    <row r="841">
      <c r="A841" s="247"/>
      <c r="B841" s="199"/>
      <c r="C841" s="247"/>
      <c r="D841" s="247"/>
      <c r="E841" s="195"/>
      <c r="F841" s="201"/>
      <c r="G841" s="195"/>
      <c r="H841" s="201"/>
      <c r="I841" s="195"/>
      <c r="J841" s="201"/>
      <c r="K841" s="193"/>
      <c r="L841" s="202"/>
      <c r="M841" s="195"/>
      <c r="N841" s="195"/>
      <c r="O841" s="195"/>
      <c r="P841" s="195"/>
      <c r="Q841" s="203"/>
      <c r="R841" s="198"/>
      <c r="S841" s="199"/>
      <c r="T841" s="199"/>
      <c r="U841" s="199"/>
      <c r="V841" s="199"/>
      <c r="W841" s="199"/>
      <c r="X841" s="199"/>
    </row>
    <row r="842">
      <c r="A842" s="247"/>
      <c r="B842" s="199"/>
      <c r="C842" s="247"/>
      <c r="D842" s="247"/>
      <c r="E842" s="195"/>
      <c r="F842" s="201"/>
      <c r="G842" s="195"/>
      <c r="H842" s="201"/>
      <c r="I842" s="195"/>
      <c r="J842" s="201"/>
      <c r="K842" s="193"/>
      <c r="L842" s="202"/>
      <c r="M842" s="195"/>
      <c r="N842" s="195"/>
      <c r="O842" s="195"/>
      <c r="P842" s="195"/>
      <c r="Q842" s="203"/>
      <c r="R842" s="198"/>
      <c r="S842" s="199"/>
      <c r="T842" s="199"/>
      <c r="U842" s="199"/>
      <c r="V842" s="199"/>
      <c r="W842" s="199"/>
      <c r="X842" s="199"/>
    </row>
    <row r="843">
      <c r="A843" s="247"/>
      <c r="B843" s="199"/>
      <c r="C843" s="247"/>
      <c r="D843" s="247"/>
      <c r="E843" s="195"/>
      <c r="F843" s="201"/>
      <c r="G843" s="195"/>
      <c r="H843" s="201"/>
      <c r="I843" s="195"/>
      <c r="J843" s="201"/>
      <c r="K843" s="193"/>
      <c r="L843" s="202"/>
      <c r="M843" s="195"/>
      <c r="N843" s="195"/>
      <c r="O843" s="195"/>
      <c r="P843" s="195"/>
      <c r="Q843" s="203"/>
      <c r="R843" s="198"/>
      <c r="S843" s="199"/>
      <c r="T843" s="199"/>
      <c r="U843" s="199"/>
      <c r="V843" s="199"/>
      <c r="W843" s="199"/>
      <c r="X843" s="199"/>
    </row>
    <row r="844">
      <c r="A844" s="247"/>
      <c r="B844" s="199"/>
      <c r="C844" s="247"/>
      <c r="D844" s="247"/>
      <c r="E844" s="195"/>
      <c r="F844" s="201"/>
      <c r="G844" s="195"/>
      <c r="H844" s="201"/>
      <c r="I844" s="195"/>
      <c r="J844" s="201"/>
      <c r="K844" s="193"/>
      <c r="L844" s="202"/>
      <c r="M844" s="195"/>
      <c r="N844" s="195"/>
      <c r="O844" s="195"/>
      <c r="P844" s="195"/>
      <c r="Q844" s="203"/>
      <c r="R844" s="198"/>
      <c r="S844" s="199"/>
      <c r="T844" s="199"/>
      <c r="U844" s="199"/>
      <c r="V844" s="199"/>
      <c r="W844" s="199"/>
      <c r="X844" s="199"/>
    </row>
    <row r="845">
      <c r="A845" s="247"/>
      <c r="B845" s="199"/>
      <c r="C845" s="247"/>
      <c r="D845" s="247"/>
      <c r="E845" s="195"/>
      <c r="F845" s="201"/>
      <c r="G845" s="195"/>
      <c r="H845" s="201"/>
      <c r="I845" s="195"/>
      <c r="J845" s="201"/>
      <c r="K845" s="193"/>
      <c r="L845" s="202"/>
      <c r="M845" s="195"/>
      <c r="N845" s="195"/>
      <c r="O845" s="195"/>
      <c r="P845" s="195"/>
      <c r="Q845" s="203"/>
      <c r="R845" s="198"/>
      <c r="S845" s="199"/>
      <c r="T845" s="199"/>
      <c r="U845" s="199"/>
      <c r="V845" s="199"/>
      <c r="W845" s="199"/>
      <c r="X845" s="199"/>
    </row>
    <row r="846">
      <c r="A846" s="247"/>
      <c r="B846" s="199"/>
      <c r="C846" s="247"/>
      <c r="D846" s="247"/>
      <c r="E846" s="195"/>
      <c r="F846" s="201"/>
      <c r="G846" s="195"/>
      <c r="H846" s="201"/>
      <c r="I846" s="195"/>
      <c r="J846" s="201"/>
      <c r="K846" s="193"/>
      <c r="L846" s="202"/>
      <c r="M846" s="195"/>
      <c r="N846" s="195"/>
      <c r="O846" s="195"/>
      <c r="P846" s="195"/>
      <c r="Q846" s="203"/>
      <c r="R846" s="198"/>
      <c r="S846" s="199"/>
      <c r="T846" s="199"/>
      <c r="U846" s="199"/>
      <c r="V846" s="199"/>
      <c r="W846" s="199"/>
      <c r="X846" s="199"/>
    </row>
    <row r="847">
      <c r="A847" s="247"/>
      <c r="B847" s="199"/>
      <c r="C847" s="247"/>
      <c r="D847" s="247"/>
      <c r="E847" s="195"/>
      <c r="F847" s="201"/>
      <c r="G847" s="195"/>
      <c r="H847" s="201"/>
      <c r="I847" s="195"/>
      <c r="J847" s="201"/>
      <c r="K847" s="193"/>
      <c r="L847" s="202"/>
      <c r="M847" s="195"/>
      <c r="N847" s="195"/>
      <c r="O847" s="195"/>
      <c r="P847" s="195"/>
      <c r="Q847" s="203"/>
      <c r="R847" s="198"/>
      <c r="S847" s="199"/>
      <c r="T847" s="199"/>
      <c r="U847" s="199"/>
      <c r="V847" s="199"/>
      <c r="W847" s="199"/>
      <c r="X847" s="199"/>
    </row>
    <row r="848">
      <c r="A848" s="247"/>
      <c r="B848" s="199"/>
      <c r="C848" s="247"/>
      <c r="D848" s="247"/>
      <c r="E848" s="195"/>
      <c r="F848" s="201"/>
      <c r="G848" s="195"/>
      <c r="H848" s="201"/>
      <c r="I848" s="195"/>
      <c r="J848" s="201"/>
      <c r="K848" s="193"/>
      <c r="L848" s="202"/>
      <c r="M848" s="195"/>
      <c r="N848" s="195"/>
      <c r="O848" s="195"/>
      <c r="P848" s="195"/>
      <c r="Q848" s="203"/>
      <c r="R848" s="198"/>
      <c r="S848" s="199"/>
      <c r="T848" s="199"/>
      <c r="U848" s="199"/>
      <c r="V848" s="199"/>
      <c r="W848" s="199"/>
      <c r="X848" s="199"/>
    </row>
    <row r="849">
      <c r="A849" s="247"/>
      <c r="B849" s="199"/>
      <c r="C849" s="247"/>
      <c r="D849" s="247"/>
      <c r="E849" s="195"/>
      <c r="F849" s="201"/>
      <c r="G849" s="195"/>
      <c r="H849" s="201"/>
      <c r="I849" s="195"/>
      <c r="J849" s="201"/>
      <c r="K849" s="193"/>
      <c r="L849" s="202"/>
      <c r="M849" s="195"/>
      <c r="N849" s="195"/>
      <c r="O849" s="195"/>
      <c r="P849" s="195"/>
      <c r="Q849" s="203"/>
      <c r="R849" s="198"/>
      <c r="S849" s="199"/>
      <c r="T849" s="199"/>
      <c r="U849" s="199"/>
      <c r="V849" s="199"/>
      <c r="W849" s="199"/>
      <c r="X849" s="199"/>
    </row>
    <row r="850">
      <c r="A850" s="247"/>
      <c r="B850" s="199"/>
      <c r="C850" s="247"/>
      <c r="D850" s="247"/>
      <c r="E850" s="195"/>
      <c r="F850" s="201"/>
      <c r="G850" s="195"/>
      <c r="H850" s="201"/>
      <c r="I850" s="195"/>
      <c r="J850" s="201"/>
      <c r="K850" s="193"/>
      <c r="L850" s="202"/>
      <c r="M850" s="195"/>
      <c r="N850" s="195"/>
      <c r="O850" s="195"/>
      <c r="P850" s="195"/>
      <c r="Q850" s="203"/>
      <c r="R850" s="198"/>
      <c r="S850" s="199"/>
      <c r="T850" s="199"/>
      <c r="U850" s="199"/>
      <c r="V850" s="199"/>
      <c r="W850" s="199"/>
      <c r="X850" s="199"/>
    </row>
    <row r="851">
      <c r="A851" s="247"/>
      <c r="B851" s="199"/>
      <c r="C851" s="247"/>
      <c r="D851" s="247"/>
      <c r="E851" s="195"/>
      <c r="F851" s="201"/>
      <c r="G851" s="195"/>
      <c r="H851" s="201"/>
      <c r="I851" s="195"/>
      <c r="J851" s="201"/>
      <c r="K851" s="193"/>
      <c r="L851" s="202"/>
      <c r="M851" s="195"/>
      <c r="N851" s="195"/>
      <c r="O851" s="195"/>
      <c r="P851" s="195"/>
      <c r="Q851" s="203"/>
      <c r="R851" s="198"/>
      <c r="S851" s="199"/>
      <c r="T851" s="199"/>
      <c r="U851" s="199"/>
      <c r="V851" s="199"/>
      <c r="W851" s="199"/>
      <c r="X851" s="199"/>
    </row>
    <row r="852">
      <c r="A852" s="247"/>
      <c r="B852" s="199"/>
      <c r="C852" s="247"/>
      <c r="D852" s="247"/>
      <c r="E852" s="195"/>
      <c r="F852" s="201"/>
      <c r="G852" s="195"/>
      <c r="H852" s="201"/>
      <c r="I852" s="195"/>
      <c r="J852" s="201"/>
      <c r="K852" s="193"/>
      <c r="L852" s="202"/>
      <c r="M852" s="195"/>
      <c r="N852" s="195"/>
      <c r="O852" s="195"/>
      <c r="P852" s="195"/>
      <c r="Q852" s="203"/>
      <c r="R852" s="198"/>
      <c r="S852" s="199"/>
      <c r="T852" s="199"/>
      <c r="U852" s="199"/>
      <c r="V852" s="199"/>
      <c r="W852" s="199"/>
      <c r="X852" s="199"/>
    </row>
    <row r="853">
      <c r="A853" s="247"/>
      <c r="B853" s="199"/>
      <c r="C853" s="247"/>
      <c r="D853" s="247"/>
      <c r="E853" s="195"/>
      <c r="F853" s="201"/>
      <c r="G853" s="195"/>
      <c r="H853" s="201"/>
      <c r="I853" s="195"/>
      <c r="J853" s="201"/>
      <c r="K853" s="193"/>
      <c r="L853" s="202"/>
      <c r="M853" s="195"/>
      <c r="N853" s="195"/>
      <c r="O853" s="195"/>
      <c r="P853" s="195"/>
      <c r="Q853" s="203"/>
      <c r="R853" s="198"/>
      <c r="S853" s="199"/>
      <c r="T853" s="199"/>
      <c r="U853" s="199"/>
      <c r="V853" s="199"/>
      <c r="W853" s="199"/>
      <c r="X853" s="199"/>
    </row>
    <row r="854">
      <c r="A854" s="247"/>
      <c r="B854" s="199"/>
      <c r="C854" s="247"/>
      <c r="D854" s="247"/>
      <c r="E854" s="195"/>
      <c r="F854" s="201"/>
      <c r="G854" s="195"/>
      <c r="H854" s="201"/>
      <c r="I854" s="195"/>
      <c r="J854" s="201"/>
      <c r="K854" s="193"/>
      <c r="L854" s="202"/>
      <c r="M854" s="195"/>
      <c r="N854" s="195"/>
      <c r="O854" s="195"/>
      <c r="P854" s="195"/>
      <c r="Q854" s="203"/>
      <c r="R854" s="198"/>
      <c r="S854" s="199"/>
      <c r="T854" s="199"/>
      <c r="U854" s="199"/>
      <c r="V854" s="199"/>
      <c r="W854" s="199"/>
      <c r="X854" s="199"/>
    </row>
    <row r="855">
      <c r="A855" s="247"/>
      <c r="B855" s="199"/>
      <c r="C855" s="247"/>
      <c r="D855" s="247"/>
      <c r="E855" s="195"/>
      <c r="F855" s="201"/>
      <c r="G855" s="195"/>
      <c r="H855" s="201"/>
      <c r="I855" s="195"/>
      <c r="J855" s="201"/>
      <c r="K855" s="193"/>
      <c r="L855" s="202"/>
      <c r="M855" s="195"/>
      <c r="N855" s="195"/>
      <c r="O855" s="195"/>
      <c r="P855" s="195"/>
      <c r="Q855" s="203"/>
      <c r="R855" s="198"/>
      <c r="S855" s="199"/>
      <c r="T855" s="199"/>
      <c r="U855" s="199"/>
      <c r="V855" s="199"/>
      <c r="W855" s="199"/>
      <c r="X855" s="199"/>
    </row>
    <row r="856">
      <c r="A856" s="247"/>
      <c r="B856" s="199"/>
      <c r="C856" s="247"/>
      <c r="D856" s="247"/>
      <c r="E856" s="195"/>
      <c r="F856" s="201"/>
      <c r="G856" s="195"/>
      <c r="H856" s="201"/>
      <c r="I856" s="195"/>
      <c r="J856" s="201"/>
      <c r="K856" s="193"/>
      <c r="L856" s="202"/>
      <c r="M856" s="195"/>
      <c r="N856" s="195"/>
      <c r="O856" s="195"/>
      <c r="P856" s="195"/>
      <c r="Q856" s="203"/>
      <c r="R856" s="198"/>
      <c r="S856" s="199"/>
      <c r="T856" s="199"/>
      <c r="U856" s="199"/>
      <c r="V856" s="199"/>
      <c r="W856" s="199"/>
      <c r="X856" s="199"/>
    </row>
    <row r="857">
      <c r="A857" s="247"/>
      <c r="B857" s="199"/>
      <c r="C857" s="247"/>
      <c r="D857" s="247"/>
      <c r="E857" s="195"/>
      <c r="F857" s="201"/>
      <c r="G857" s="195"/>
      <c r="H857" s="201"/>
      <c r="I857" s="195"/>
      <c r="J857" s="201"/>
      <c r="K857" s="193"/>
      <c r="L857" s="202"/>
      <c r="M857" s="195"/>
      <c r="N857" s="195"/>
      <c r="O857" s="195"/>
      <c r="P857" s="195"/>
      <c r="Q857" s="203"/>
      <c r="R857" s="198"/>
      <c r="S857" s="199"/>
      <c r="T857" s="199"/>
      <c r="U857" s="199"/>
      <c r="V857" s="199"/>
      <c r="W857" s="199"/>
      <c r="X857" s="199"/>
    </row>
    <row r="858">
      <c r="A858" s="247"/>
      <c r="B858" s="199"/>
      <c r="C858" s="247"/>
      <c r="D858" s="247"/>
      <c r="E858" s="195"/>
      <c r="F858" s="201"/>
      <c r="G858" s="195"/>
      <c r="H858" s="201"/>
      <c r="I858" s="195"/>
      <c r="J858" s="201"/>
      <c r="K858" s="193"/>
      <c r="L858" s="202"/>
      <c r="M858" s="195"/>
      <c r="N858" s="195"/>
      <c r="O858" s="195"/>
      <c r="P858" s="195"/>
      <c r="Q858" s="203"/>
      <c r="R858" s="198"/>
      <c r="S858" s="199"/>
      <c r="T858" s="199"/>
      <c r="U858" s="199"/>
      <c r="V858" s="199"/>
      <c r="W858" s="199"/>
      <c r="X858" s="199"/>
    </row>
    <row r="859">
      <c r="A859" s="247"/>
      <c r="B859" s="199"/>
      <c r="C859" s="247"/>
      <c r="D859" s="247"/>
      <c r="E859" s="195"/>
      <c r="F859" s="201"/>
      <c r="G859" s="195"/>
      <c r="H859" s="201"/>
      <c r="I859" s="195"/>
      <c r="J859" s="201"/>
      <c r="K859" s="193"/>
      <c r="L859" s="202"/>
      <c r="M859" s="195"/>
      <c r="N859" s="195"/>
      <c r="O859" s="195"/>
      <c r="P859" s="195"/>
      <c r="Q859" s="203"/>
      <c r="R859" s="198"/>
      <c r="S859" s="199"/>
      <c r="T859" s="199"/>
      <c r="U859" s="199"/>
      <c r="V859" s="199"/>
      <c r="W859" s="199"/>
      <c r="X859" s="199"/>
    </row>
    <row r="860">
      <c r="A860" s="247"/>
      <c r="B860" s="199"/>
      <c r="C860" s="247"/>
      <c r="D860" s="247"/>
      <c r="E860" s="195"/>
      <c r="F860" s="201"/>
      <c r="G860" s="195"/>
      <c r="H860" s="201"/>
      <c r="I860" s="195"/>
      <c r="J860" s="201"/>
      <c r="K860" s="193"/>
      <c r="L860" s="202"/>
      <c r="M860" s="195"/>
      <c r="N860" s="195"/>
      <c r="O860" s="195"/>
      <c r="P860" s="195"/>
      <c r="Q860" s="203"/>
      <c r="R860" s="198"/>
      <c r="S860" s="199"/>
      <c r="T860" s="199"/>
      <c r="U860" s="199"/>
      <c r="V860" s="199"/>
      <c r="W860" s="199"/>
      <c r="X860" s="199"/>
    </row>
    <row r="861">
      <c r="A861" s="247"/>
      <c r="B861" s="199"/>
      <c r="C861" s="247"/>
      <c r="D861" s="247"/>
      <c r="E861" s="195"/>
      <c r="F861" s="201"/>
      <c r="G861" s="195"/>
      <c r="H861" s="201"/>
      <c r="I861" s="195"/>
      <c r="J861" s="201"/>
      <c r="K861" s="193"/>
      <c r="L861" s="202"/>
      <c r="M861" s="195"/>
      <c r="N861" s="195"/>
      <c r="O861" s="195"/>
      <c r="P861" s="195"/>
      <c r="Q861" s="203"/>
      <c r="R861" s="198"/>
      <c r="S861" s="199"/>
      <c r="T861" s="199"/>
      <c r="U861" s="199"/>
      <c r="V861" s="199"/>
      <c r="W861" s="199"/>
      <c r="X861" s="199"/>
    </row>
    <row r="862">
      <c r="A862" s="247"/>
      <c r="B862" s="199"/>
      <c r="C862" s="247"/>
      <c r="D862" s="247"/>
      <c r="E862" s="195"/>
      <c r="F862" s="201"/>
      <c r="G862" s="195"/>
      <c r="H862" s="201"/>
      <c r="I862" s="195"/>
      <c r="J862" s="201"/>
      <c r="K862" s="193"/>
      <c r="L862" s="202"/>
      <c r="M862" s="195"/>
      <c r="N862" s="195"/>
      <c r="O862" s="195"/>
      <c r="P862" s="195"/>
      <c r="Q862" s="203"/>
      <c r="R862" s="198"/>
      <c r="S862" s="199"/>
      <c r="T862" s="199"/>
      <c r="U862" s="199"/>
      <c r="V862" s="199"/>
      <c r="W862" s="199"/>
      <c r="X862" s="199"/>
    </row>
    <row r="863">
      <c r="A863" s="247"/>
      <c r="B863" s="199"/>
      <c r="C863" s="247"/>
      <c r="D863" s="247"/>
      <c r="E863" s="195"/>
      <c r="F863" s="201"/>
      <c r="G863" s="195"/>
      <c r="H863" s="201"/>
      <c r="I863" s="195"/>
      <c r="J863" s="201"/>
      <c r="K863" s="193"/>
      <c r="L863" s="202"/>
      <c r="M863" s="195"/>
      <c r="N863" s="195"/>
      <c r="O863" s="195"/>
      <c r="P863" s="195"/>
      <c r="Q863" s="203"/>
      <c r="R863" s="198"/>
      <c r="S863" s="199"/>
      <c r="T863" s="199"/>
      <c r="U863" s="199"/>
      <c r="V863" s="199"/>
      <c r="W863" s="199"/>
      <c r="X863" s="199"/>
    </row>
    <row r="864">
      <c r="A864" s="247"/>
      <c r="B864" s="199"/>
      <c r="C864" s="247"/>
      <c r="D864" s="247"/>
      <c r="E864" s="195"/>
      <c r="F864" s="201"/>
      <c r="G864" s="195"/>
      <c r="H864" s="201"/>
      <c r="I864" s="195"/>
      <c r="J864" s="201"/>
      <c r="K864" s="193"/>
      <c r="L864" s="202"/>
      <c r="M864" s="195"/>
      <c r="N864" s="195"/>
      <c r="O864" s="195"/>
      <c r="P864" s="195"/>
      <c r="Q864" s="203"/>
      <c r="R864" s="198"/>
      <c r="S864" s="199"/>
      <c r="T864" s="199"/>
      <c r="U864" s="199"/>
      <c r="V864" s="199"/>
      <c r="W864" s="199"/>
      <c r="X864" s="199"/>
    </row>
    <row r="865">
      <c r="A865" s="247"/>
      <c r="B865" s="199"/>
      <c r="C865" s="247"/>
      <c r="D865" s="247"/>
      <c r="E865" s="195"/>
      <c r="F865" s="201"/>
      <c r="G865" s="195"/>
      <c r="H865" s="201"/>
      <c r="I865" s="195"/>
      <c r="J865" s="201"/>
      <c r="K865" s="193"/>
      <c r="L865" s="202"/>
      <c r="M865" s="195"/>
      <c r="N865" s="195"/>
      <c r="O865" s="195"/>
      <c r="P865" s="195"/>
      <c r="Q865" s="203"/>
      <c r="R865" s="198"/>
      <c r="S865" s="199"/>
      <c r="T865" s="199"/>
      <c r="U865" s="199"/>
      <c r="V865" s="199"/>
      <c r="W865" s="199"/>
      <c r="X865" s="199"/>
    </row>
    <row r="866">
      <c r="A866" s="247"/>
      <c r="B866" s="199"/>
      <c r="C866" s="247"/>
      <c r="D866" s="247"/>
      <c r="E866" s="195"/>
      <c r="F866" s="201"/>
      <c r="G866" s="195"/>
      <c r="H866" s="201"/>
      <c r="I866" s="195"/>
      <c r="J866" s="201"/>
      <c r="K866" s="193"/>
      <c r="L866" s="202"/>
      <c r="M866" s="195"/>
      <c r="N866" s="195"/>
      <c r="O866" s="195"/>
      <c r="P866" s="195"/>
      <c r="Q866" s="203"/>
      <c r="R866" s="198"/>
      <c r="S866" s="199"/>
      <c r="T866" s="199"/>
      <c r="U866" s="199"/>
      <c r="V866" s="199"/>
      <c r="W866" s="199"/>
      <c r="X866" s="199"/>
    </row>
    <row r="867">
      <c r="A867" s="247"/>
      <c r="B867" s="199"/>
      <c r="C867" s="247"/>
      <c r="D867" s="247"/>
      <c r="E867" s="195"/>
      <c r="F867" s="201"/>
      <c r="G867" s="195"/>
      <c r="H867" s="201"/>
      <c r="I867" s="195"/>
      <c r="J867" s="201"/>
      <c r="K867" s="193"/>
      <c r="L867" s="202"/>
      <c r="M867" s="195"/>
      <c r="N867" s="195"/>
      <c r="O867" s="195"/>
      <c r="P867" s="195"/>
      <c r="Q867" s="203"/>
      <c r="R867" s="198"/>
      <c r="S867" s="199"/>
      <c r="T867" s="199"/>
      <c r="U867" s="199"/>
      <c r="V867" s="199"/>
      <c r="W867" s="199"/>
      <c r="X867" s="199"/>
    </row>
    <row r="868">
      <c r="A868" s="247"/>
      <c r="B868" s="199"/>
      <c r="C868" s="247"/>
      <c r="D868" s="247"/>
      <c r="E868" s="195"/>
      <c r="F868" s="201"/>
      <c r="G868" s="195"/>
      <c r="H868" s="201"/>
      <c r="I868" s="195"/>
      <c r="J868" s="201"/>
      <c r="K868" s="193"/>
      <c r="L868" s="202"/>
      <c r="M868" s="195"/>
      <c r="N868" s="195"/>
      <c r="O868" s="195"/>
      <c r="P868" s="195"/>
      <c r="Q868" s="203"/>
      <c r="R868" s="198"/>
      <c r="S868" s="199"/>
      <c r="T868" s="199"/>
      <c r="U868" s="199"/>
      <c r="V868" s="199"/>
      <c r="W868" s="199"/>
      <c r="X868" s="199"/>
    </row>
    <row r="869">
      <c r="A869" s="247"/>
      <c r="B869" s="199"/>
      <c r="C869" s="247"/>
      <c r="D869" s="247"/>
      <c r="E869" s="195"/>
      <c r="F869" s="201"/>
      <c r="G869" s="195"/>
      <c r="H869" s="201"/>
      <c r="I869" s="195"/>
      <c r="J869" s="201"/>
      <c r="K869" s="193"/>
      <c r="L869" s="202"/>
      <c r="M869" s="195"/>
      <c r="N869" s="195"/>
      <c r="O869" s="195"/>
      <c r="P869" s="195"/>
      <c r="Q869" s="203"/>
      <c r="R869" s="198"/>
      <c r="S869" s="199"/>
      <c r="T869" s="199"/>
      <c r="U869" s="199"/>
      <c r="V869" s="199"/>
      <c r="W869" s="199"/>
      <c r="X869" s="199"/>
    </row>
    <row r="870">
      <c r="A870" s="247"/>
      <c r="B870" s="199"/>
      <c r="C870" s="247"/>
      <c r="D870" s="247"/>
      <c r="E870" s="195"/>
      <c r="F870" s="201"/>
      <c r="G870" s="195"/>
      <c r="H870" s="201"/>
      <c r="I870" s="195"/>
      <c r="J870" s="201"/>
      <c r="K870" s="193"/>
      <c r="L870" s="202"/>
      <c r="M870" s="195"/>
      <c r="N870" s="195"/>
      <c r="O870" s="195"/>
      <c r="P870" s="195"/>
      <c r="Q870" s="203"/>
      <c r="R870" s="198"/>
      <c r="S870" s="199"/>
      <c r="T870" s="199"/>
      <c r="U870" s="199"/>
      <c r="V870" s="199"/>
      <c r="W870" s="199"/>
      <c r="X870" s="199"/>
    </row>
    <row r="871">
      <c r="A871" s="247"/>
      <c r="B871" s="199"/>
      <c r="C871" s="247"/>
      <c r="D871" s="247"/>
      <c r="E871" s="195"/>
      <c r="F871" s="201"/>
      <c r="G871" s="195"/>
      <c r="H871" s="201"/>
      <c r="I871" s="195"/>
      <c r="J871" s="201"/>
      <c r="K871" s="193"/>
      <c r="L871" s="202"/>
      <c r="M871" s="195"/>
      <c r="N871" s="195"/>
      <c r="O871" s="195"/>
      <c r="P871" s="195"/>
      <c r="Q871" s="203"/>
      <c r="R871" s="198"/>
      <c r="S871" s="199"/>
      <c r="T871" s="199"/>
      <c r="U871" s="199"/>
      <c r="V871" s="199"/>
      <c r="W871" s="199"/>
      <c r="X871" s="199"/>
    </row>
    <row r="872">
      <c r="A872" s="247"/>
      <c r="B872" s="199"/>
      <c r="C872" s="247"/>
      <c r="D872" s="247"/>
      <c r="E872" s="195"/>
      <c r="F872" s="201"/>
      <c r="G872" s="195"/>
      <c r="H872" s="201"/>
      <c r="I872" s="195"/>
      <c r="J872" s="201"/>
      <c r="K872" s="193"/>
      <c r="L872" s="202"/>
      <c r="M872" s="195"/>
      <c r="N872" s="195"/>
      <c r="O872" s="195"/>
      <c r="P872" s="195"/>
      <c r="Q872" s="203"/>
      <c r="R872" s="198"/>
      <c r="S872" s="199"/>
      <c r="T872" s="199"/>
      <c r="U872" s="199"/>
      <c r="V872" s="199"/>
      <c r="W872" s="199"/>
      <c r="X872" s="199"/>
    </row>
    <row r="873">
      <c r="A873" s="247"/>
      <c r="B873" s="199"/>
      <c r="C873" s="247"/>
      <c r="D873" s="247"/>
      <c r="E873" s="195"/>
      <c r="F873" s="201"/>
      <c r="G873" s="195"/>
      <c r="H873" s="201"/>
      <c r="I873" s="195"/>
      <c r="J873" s="201"/>
      <c r="K873" s="193"/>
      <c r="L873" s="202"/>
      <c r="M873" s="195"/>
      <c r="N873" s="195"/>
      <c r="O873" s="195"/>
      <c r="P873" s="195"/>
      <c r="Q873" s="203"/>
      <c r="R873" s="198"/>
      <c r="S873" s="199"/>
      <c r="T873" s="199"/>
      <c r="U873" s="199"/>
      <c r="V873" s="199"/>
      <c r="W873" s="199"/>
      <c r="X873" s="199"/>
    </row>
    <row r="874">
      <c r="A874" s="247"/>
      <c r="B874" s="199"/>
      <c r="C874" s="247"/>
      <c r="D874" s="247"/>
      <c r="E874" s="195"/>
      <c r="F874" s="201"/>
      <c r="G874" s="195"/>
      <c r="H874" s="201"/>
      <c r="I874" s="195"/>
      <c r="J874" s="201"/>
      <c r="K874" s="193"/>
      <c r="L874" s="202"/>
      <c r="M874" s="195"/>
      <c r="N874" s="195"/>
      <c r="O874" s="195"/>
      <c r="P874" s="195"/>
      <c r="Q874" s="203"/>
      <c r="R874" s="198"/>
      <c r="S874" s="199"/>
      <c r="T874" s="199"/>
      <c r="U874" s="199"/>
      <c r="V874" s="199"/>
      <c r="W874" s="199"/>
      <c r="X874" s="199"/>
    </row>
    <row r="875">
      <c r="A875" s="247"/>
      <c r="B875" s="199"/>
      <c r="C875" s="247"/>
      <c r="D875" s="247"/>
      <c r="E875" s="195"/>
      <c r="F875" s="201"/>
      <c r="G875" s="195"/>
      <c r="H875" s="201"/>
      <c r="I875" s="195"/>
      <c r="J875" s="201"/>
      <c r="K875" s="193"/>
      <c r="L875" s="202"/>
      <c r="M875" s="195"/>
      <c r="N875" s="195"/>
      <c r="O875" s="195"/>
      <c r="P875" s="195"/>
      <c r="Q875" s="203"/>
      <c r="R875" s="198"/>
      <c r="S875" s="199"/>
      <c r="T875" s="199"/>
      <c r="U875" s="199"/>
      <c r="V875" s="199"/>
      <c r="W875" s="199"/>
      <c r="X875" s="199"/>
    </row>
    <row r="876">
      <c r="A876" s="247"/>
      <c r="B876" s="199"/>
      <c r="C876" s="247"/>
      <c r="D876" s="247"/>
      <c r="E876" s="195"/>
      <c r="F876" s="201"/>
      <c r="G876" s="195"/>
      <c r="H876" s="201"/>
      <c r="I876" s="195"/>
      <c r="J876" s="201"/>
      <c r="K876" s="193"/>
      <c r="L876" s="202"/>
      <c r="M876" s="195"/>
      <c r="N876" s="195"/>
      <c r="O876" s="195"/>
      <c r="P876" s="195"/>
      <c r="Q876" s="203"/>
      <c r="R876" s="198"/>
      <c r="S876" s="199"/>
      <c r="T876" s="199"/>
      <c r="U876" s="199"/>
      <c r="V876" s="199"/>
      <c r="W876" s="199"/>
      <c r="X876" s="199"/>
    </row>
    <row r="877">
      <c r="A877" s="247"/>
      <c r="B877" s="199"/>
      <c r="C877" s="247"/>
      <c r="D877" s="247"/>
      <c r="E877" s="195"/>
      <c r="F877" s="201"/>
      <c r="G877" s="195"/>
      <c r="H877" s="201"/>
      <c r="I877" s="195"/>
      <c r="J877" s="201"/>
      <c r="K877" s="193"/>
      <c r="L877" s="202"/>
      <c r="M877" s="195"/>
      <c r="N877" s="195"/>
      <c r="O877" s="195"/>
      <c r="P877" s="195"/>
      <c r="Q877" s="203"/>
      <c r="R877" s="198"/>
      <c r="S877" s="199"/>
      <c r="T877" s="199"/>
      <c r="U877" s="199"/>
      <c r="V877" s="199"/>
      <c r="W877" s="199"/>
      <c r="X877" s="199"/>
    </row>
    <row r="878">
      <c r="A878" s="247"/>
      <c r="B878" s="199"/>
      <c r="C878" s="247"/>
      <c r="D878" s="247"/>
      <c r="E878" s="195"/>
      <c r="F878" s="201"/>
      <c r="G878" s="195"/>
      <c r="H878" s="201"/>
      <c r="I878" s="195"/>
      <c r="J878" s="201"/>
      <c r="K878" s="193"/>
      <c r="L878" s="202"/>
      <c r="M878" s="195"/>
      <c r="N878" s="195"/>
      <c r="O878" s="195"/>
      <c r="P878" s="195"/>
      <c r="Q878" s="203"/>
      <c r="R878" s="198"/>
      <c r="S878" s="199"/>
      <c r="T878" s="199"/>
      <c r="U878" s="199"/>
      <c r="V878" s="199"/>
      <c r="W878" s="199"/>
      <c r="X878" s="199"/>
    </row>
    <row r="879">
      <c r="A879" s="247"/>
      <c r="B879" s="199"/>
      <c r="C879" s="247"/>
      <c r="D879" s="247"/>
      <c r="E879" s="195"/>
      <c r="F879" s="201"/>
      <c r="G879" s="195"/>
      <c r="H879" s="201"/>
      <c r="I879" s="195"/>
      <c r="J879" s="201"/>
      <c r="K879" s="193"/>
      <c r="L879" s="202"/>
      <c r="M879" s="195"/>
      <c r="N879" s="195"/>
      <c r="O879" s="195"/>
      <c r="P879" s="195"/>
      <c r="Q879" s="203"/>
      <c r="R879" s="198"/>
      <c r="S879" s="199"/>
      <c r="T879" s="199"/>
      <c r="U879" s="199"/>
      <c r="V879" s="199"/>
      <c r="W879" s="199"/>
      <c r="X879" s="199"/>
    </row>
    <row r="880">
      <c r="A880" s="247"/>
      <c r="B880" s="199"/>
      <c r="C880" s="247"/>
      <c r="D880" s="247"/>
      <c r="E880" s="195"/>
      <c r="F880" s="201"/>
      <c r="G880" s="195"/>
      <c r="H880" s="201"/>
      <c r="I880" s="195"/>
      <c r="J880" s="201"/>
      <c r="K880" s="193"/>
      <c r="L880" s="202"/>
      <c r="M880" s="195"/>
      <c r="N880" s="195"/>
      <c r="O880" s="195"/>
      <c r="P880" s="195"/>
      <c r="Q880" s="203"/>
      <c r="R880" s="198"/>
      <c r="S880" s="199"/>
      <c r="T880" s="199"/>
      <c r="U880" s="199"/>
      <c r="V880" s="199"/>
      <c r="W880" s="199"/>
      <c r="X880" s="199"/>
    </row>
    <row r="881">
      <c r="A881" s="247"/>
      <c r="B881" s="199"/>
      <c r="C881" s="247"/>
      <c r="D881" s="247"/>
      <c r="E881" s="195"/>
      <c r="F881" s="201"/>
      <c r="G881" s="195"/>
      <c r="H881" s="201"/>
      <c r="I881" s="195"/>
      <c r="J881" s="201"/>
      <c r="K881" s="193"/>
      <c r="L881" s="202"/>
      <c r="M881" s="195"/>
      <c r="N881" s="195"/>
      <c r="O881" s="195"/>
      <c r="P881" s="195"/>
      <c r="Q881" s="203"/>
      <c r="R881" s="198"/>
      <c r="S881" s="199"/>
      <c r="T881" s="199"/>
      <c r="U881" s="199"/>
      <c r="V881" s="199"/>
      <c r="W881" s="199"/>
      <c r="X881" s="199"/>
    </row>
    <row r="882">
      <c r="A882" s="247"/>
      <c r="B882" s="199"/>
      <c r="C882" s="247"/>
      <c r="D882" s="247"/>
      <c r="E882" s="195"/>
      <c r="F882" s="201"/>
      <c r="G882" s="195"/>
      <c r="H882" s="201"/>
      <c r="I882" s="195"/>
      <c r="J882" s="201"/>
      <c r="K882" s="193"/>
      <c r="L882" s="202"/>
      <c r="M882" s="195"/>
      <c r="N882" s="195"/>
      <c r="O882" s="195"/>
      <c r="P882" s="195"/>
      <c r="Q882" s="203"/>
      <c r="R882" s="198"/>
      <c r="S882" s="199"/>
      <c r="T882" s="199"/>
      <c r="U882" s="199"/>
      <c r="V882" s="199"/>
      <c r="W882" s="199"/>
      <c r="X882" s="199"/>
    </row>
    <row r="883">
      <c r="A883" s="247"/>
      <c r="B883" s="199"/>
      <c r="C883" s="247"/>
      <c r="D883" s="247"/>
      <c r="E883" s="195"/>
      <c r="F883" s="201"/>
      <c r="G883" s="195"/>
      <c r="H883" s="201"/>
      <c r="I883" s="195"/>
      <c r="J883" s="201"/>
      <c r="K883" s="193"/>
      <c r="L883" s="202"/>
      <c r="M883" s="195"/>
      <c r="N883" s="195"/>
      <c r="O883" s="195"/>
      <c r="P883" s="195"/>
      <c r="Q883" s="203"/>
      <c r="R883" s="198"/>
      <c r="S883" s="199"/>
      <c r="T883" s="199"/>
      <c r="U883" s="199"/>
      <c r="V883" s="199"/>
      <c r="W883" s="199"/>
      <c r="X883" s="199"/>
    </row>
    <row r="884">
      <c r="A884" s="247"/>
      <c r="B884" s="199"/>
      <c r="C884" s="247"/>
      <c r="D884" s="247"/>
      <c r="E884" s="195"/>
      <c r="F884" s="201"/>
      <c r="G884" s="195"/>
      <c r="H884" s="201"/>
      <c r="I884" s="195"/>
      <c r="J884" s="201"/>
      <c r="K884" s="193"/>
      <c r="L884" s="202"/>
      <c r="M884" s="195"/>
      <c r="N884" s="195"/>
      <c r="O884" s="195"/>
      <c r="P884" s="195"/>
      <c r="Q884" s="203"/>
      <c r="R884" s="198"/>
      <c r="S884" s="199"/>
      <c r="T884" s="199"/>
      <c r="U884" s="199"/>
      <c r="V884" s="199"/>
      <c r="W884" s="199"/>
      <c r="X884" s="199"/>
    </row>
    <row r="885">
      <c r="A885" s="247"/>
      <c r="B885" s="199"/>
      <c r="C885" s="247"/>
      <c r="D885" s="247"/>
      <c r="E885" s="195"/>
      <c r="F885" s="201"/>
      <c r="G885" s="195"/>
      <c r="H885" s="201"/>
      <c r="I885" s="195"/>
      <c r="J885" s="201"/>
      <c r="K885" s="193"/>
      <c r="L885" s="202"/>
      <c r="M885" s="195"/>
      <c r="N885" s="195"/>
      <c r="O885" s="195"/>
      <c r="P885" s="195"/>
      <c r="Q885" s="203"/>
      <c r="R885" s="198"/>
      <c r="S885" s="199"/>
      <c r="T885" s="199"/>
      <c r="U885" s="199"/>
      <c r="V885" s="199"/>
      <c r="W885" s="199"/>
      <c r="X885" s="199"/>
    </row>
    <row r="886">
      <c r="A886" s="247"/>
      <c r="B886" s="199"/>
      <c r="C886" s="247"/>
      <c r="D886" s="247"/>
      <c r="E886" s="195"/>
      <c r="F886" s="201"/>
      <c r="G886" s="195"/>
      <c r="H886" s="201"/>
      <c r="I886" s="195"/>
      <c r="J886" s="201"/>
      <c r="K886" s="193"/>
      <c r="L886" s="202"/>
      <c r="M886" s="195"/>
      <c r="N886" s="195"/>
      <c r="O886" s="195"/>
      <c r="P886" s="195"/>
      <c r="Q886" s="203"/>
      <c r="R886" s="198"/>
      <c r="S886" s="199"/>
      <c r="T886" s="199"/>
      <c r="U886" s="199"/>
      <c r="V886" s="199"/>
      <c r="W886" s="199"/>
      <c r="X886" s="199"/>
    </row>
    <row r="887">
      <c r="A887" s="247"/>
      <c r="B887" s="199"/>
      <c r="C887" s="247"/>
      <c r="D887" s="247"/>
      <c r="E887" s="195"/>
      <c r="F887" s="201"/>
      <c r="G887" s="195"/>
      <c r="H887" s="201"/>
      <c r="I887" s="195"/>
      <c r="J887" s="201"/>
      <c r="K887" s="193"/>
      <c r="L887" s="202"/>
      <c r="M887" s="195"/>
      <c r="N887" s="195"/>
      <c r="O887" s="195"/>
      <c r="P887" s="195"/>
      <c r="Q887" s="203"/>
      <c r="R887" s="198"/>
      <c r="S887" s="199"/>
      <c r="T887" s="199"/>
      <c r="U887" s="199"/>
      <c r="V887" s="199"/>
      <c r="W887" s="199"/>
      <c r="X887" s="199"/>
    </row>
    <row r="888">
      <c r="A888" s="247"/>
      <c r="B888" s="199"/>
      <c r="C888" s="247"/>
      <c r="D888" s="247"/>
      <c r="E888" s="195"/>
      <c r="F888" s="201"/>
      <c r="G888" s="195"/>
      <c r="H888" s="201"/>
      <c r="I888" s="195"/>
      <c r="J888" s="201"/>
      <c r="K888" s="193"/>
      <c r="L888" s="202"/>
      <c r="M888" s="195"/>
      <c r="N888" s="195"/>
      <c r="O888" s="195"/>
      <c r="P888" s="195"/>
      <c r="Q888" s="203"/>
      <c r="R888" s="198"/>
      <c r="S888" s="199"/>
      <c r="T888" s="199"/>
      <c r="U888" s="199"/>
      <c r="V888" s="199"/>
      <c r="W888" s="199"/>
      <c r="X888" s="199"/>
    </row>
    <row r="889">
      <c r="A889" s="247"/>
      <c r="B889" s="199"/>
      <c r="C889" s="247"/>
      <c r="D889" s="247"/>
      <c r="E889" s="195"/>
      <c r="F889" s="201"/>
      <c r="G889" s="195"/>
      <c r="H889" s="201"/>
      <c r="I889" s="195"/>
      <c r="J889" s="201"/>
      <c r="K889" s="193"/>
      <c r="L889" s="202"/>
      <c r="M889" s="195"/>
      <c r="N889" s="195"/>
      <c r="O889" s="195"/>
      <c r="P889" s="195"/>
      <c r="Q889" s="203"/>
      <c r="R889" s="198"/>
      <c r="S889" s="199"/>
      <c r="T889" s="199"/>
      <c r="U889" s="199"/>
      <c r="V889" s="199"/>
      <c r="W889" s="199"/>
      <c r="X889" s="199"/>
    </row>
    <row r="890">
      <c r="A890" s="247"/>
      <c r="B890" s="199"/>
      <c r="C890" s="247"/>
      <c r="D890" s="247"/>
      <c r="E890" s="195"/>
      <c r="F890" s="201"/>
      <c r="G890" s="195"/>
      <c r="H890" s="201"/>
      <c r="I890" s="195"/>
      <c r="J890" s="201"/>
      <c r="K890" s="193"/>
      <c r="L890" s="202"/>
      <c r="M890" s="195"/>
      <c r="N890" s="195"/>
      <c r="O890" s="195"/>
      <c r="P890" s="195"/>
      <c r="Q890" s="203"/>
      <c r="R890" s="198"/>
      <c r="S890" s="199"/>
      <c r="T890" s="199"/>
      <c r="U890" s="199"/>
      <c r="V890" s="199"/>
      <c r="W890" s="199"/>
      <c r="X890" s="199"/>
    </row>
    <row r="891">
      <c r="A891" s="247"/>
      <c r="B891" s="199"/>
      <c r="C891" s="247"/>
      <c r="D891" s="247"/>
      <c r="E891" s="195"/>
      <c r="F891" s="201"/>
      <c r="G891" s="195"/>
      <c r="H891" s="201"/>
      <c r="I891" s="195"/>
      <c r="J891" s="201"/>
      <c r="K891" s="193"/>
      <c r="L891" s="202"/>
      <c r="M891" s="195"/>
      <c r="N891" s="195"/>
      <c r="O891" s="195"/>
      <c r="P891" s="195"/>
      <c r="Q891" s="203"/>
      <c r="R891" s="198"/>
      <c r="S891" s="199"/>
      <c r="T891" s="199"/>
      <c r="U891" s="199"/>
      <c r="V891" s="199"/>
      <c r="W891" s="199"/>
      <c r="X891" s="199"/>
    </row>
    <row r="892">
      <c r="A892" s="247"/>
      <c r="B892" s="199"/>
      <c r="C892" s="247"/>
      <c r="D892" s="247"/>
      <c r="E892" s="195"/>
      <c r="F892" s="201"/>
      <c r="G892" s="195"/>
      <c r="H892" s="201"/>
      <c r="I892" s="195"/>
      <c r="J892" s="201"/>
      <c r="K892" s="193"/>
      <c r="L892" s="202"/>
      <c r="M892" s="195"/>
      <c r="N892" s="195"/>
      <c r="O892" s="195"/>
      <c r="P892" s="195"/>
      <c r="Q892" s="203"/>
      <c r="R892" s="198"/>
      <c r="S892" s="199"/>
      <c r="T892" s="199"/>
      <c r="U892" s="199"/>
      <c r="V892" s="199"/>
      <c r="W892" s="199"/>
      <c r="X892" s="199"/>
    </row>
    <row r="893">
      <c r="A893" s="247"/>
      <c r="B893" s="199"/>
      <c r="C893" s="247"/>
      <c r="D893" s="247"/>
      <c r="E893" s="195"/>
      <c r="F893" s="201"/>
      <c r="G893" s="195"/>
      <c r="H893" s="201"/>
      <c r="I893" s="195"/>
      <c r="J893" s="201"/>
      <c r="K893" s="193"/>
      <c r="L893" s="202"/>
      <c r="M893" s="195"/>
      <c r="N893" s="195"/>
      <c r="O893" s="195"/>
      <c r="P893" s="195"/>
      <c r="Q893" s="203"/>
      <c r="R893" s="198"/>
      <c r="S893" s="199"/>
      <c r="T893" s="199"/>
      <c r="U893" s="199"/>
      <c r="V893" s="199"/>
      <c r="W893" s="199"/>
      <c r="X893" s="199"/>
    </row>
    <row r="894">
      <c r="A894" s="247"/>
      <c r="B894" s="199"/>
      <c r="C894" s="247"/>
      <c r="D894" s="247"/>
      <c r="E894" s="195"/>
      <c r="F894" s="201"/>
      <c r="G894" s="195"/>
      <c r="H894" s="201"/>
      <c r="I894" s="195"/>
      <c r="J894" s="201"/>
      <c r="K894" s="193"/>
      <c r="L894" s="202"/>
      <c r="M894" s="195"/>
      <c r="N894" s="195"/>
      <c r="O894" s="195"/>
      <c r="P894" s="195"/>
      <c r="Q894" s="203"/>
      <c r="R894" s="198"/>
      <c r="S894" s="199"/>
      <c r="T894" s="199"/>
      <c r="U894" s="199"/>
      <c r="V894" s="199"/>
      <c r="W894" s="199"/>
      <c r="X894" s="199"/>
    </row>
    <row r="895">
      <c r="A895" s="247"/>
      <c r="B895" s="199"/>
      <c r="C895" s="247"/>
      <c r="D895" s="247"/>
      <c r="E895" s="195"/>
      <c r="F895" s="201"/>
      <c r="G895" s="195"/>
      <c r="H895" s="201"/>
      <c r="I895" s="195"/>
      <c r="J895" s="201"/>
      <c r="K895" s="193"/>
      <c r="L895" s="202"/>
      <c r="M895" s="195"/>
      <c r="N895" s="195"/>
      <c r="O895" s="195"/>
      <c r="P895" s="195"/>
      <c r="Q895" s="203"/>
      <c r="R895" s="198"/>
      <c r="S895" s="199"/>
      <c r="T895" s="199"/>
      <c r="U895" s="199"/>
      <c r="V895" s="199"/>
      <c r="W895" s="199"/>
      <c r="X895" s="199"/>
    </row>
    <row r="896">
      <c r="A896" s="247"/>
      <c r="B896" s="199"/>
      <c r="C896" s="247"/>
      <c r="D896" s="247"/>
      <c r="E896" s="195"/>
      <c r="F896" s="201"/>
      <c r="G896" s="195"/>
      <c r="H896" s="201"/>
      <c r="I896" s="195"/>
      <c r="J896" s="201"/>
      <c r="K896" s="193"/>
      <c r="L896" s="202"/>
      <c r="M896" s="195"/>
      <c r="N896" s="195"/>
      <c r="O896" s="195"/>
      <c r="P896" s="195"/>
      <c r="Q896" s="203"/>
      <c r="R896" s="198"/>
      <c r="S896" s="199"/>
      <c r="T896" s="199"/>
      <c r="U896" s="199"/>
      <c r="V896" s="199"/>
      <c r="W896" s="199"/>
      <c r="X896" s="199"/>
    </row>
    <row r="897">
      <c r="A897" s="247"/>
      <c r="B897" s="199"/>
      <c r="C897" s="247"/>
      <c r="D897" s="247"/>
      <c r="E897" s="195"/>
      <c r="F897" s="201"/>
      <c r="G897" s="195"/>
      <c r="H897" s="201"/>
      <c r="I897" s="195"/>
      <c r="J897" s="201"/>
      <c r="K897" s="193"/>
      <c r="L897" s="202"/>
      <c r="M897" s="195"/>
      <c r="N897" s="195"/>
      <c r="O897" s="195"/>
      <c r="P897" s="195"/>
      <c r="Q897" s="203"/>
      <c r="R897" s="198"/>
      <c r="S897" s="199"/>
      <c r="T897" s="199"/>
      <c r="U897" s="199"/>
      <c r="V897" s="199"/>
      <c r="W897" s="199"/>
      <c r="X897" s="199"/>
    </row>
    <row r="898">
      <c r="A898" s="247"/>
      <c r="B898" s="199"/>
      <c r="C898" s="247"/>
      <c r="D898" s="247"/>
      <c r="E898" s="195"/>
      <c r="F898" s="201"/>
      <c r="G898" s="195"/>
      <c r="H898" s="201"/>
      <c r="I898" s="195"/>
      <c r="J898" s="201"/>
      <c r="K898" s="193"/>
      <c r="L898" s="202"/>
      <c r="M898" s="195"/>
      <c r="N898" s="195"/>
      <c r="O898" s="195"/>
      <c r="P898" s="195"/>
      <c r="Q898" s="203"/>
      <c r="R898" s="198"/>
      <c r="S898" s="199"/>
      <c r="T898" s="199"/>
      <c r="U898" s="199"/>
      <c r="V898" s="199"/>
      <c r="W898" s="199"/>
      <c r="X898" s="199"/>
    </row>
    <row r="899">
      <c r="A899" s="247"/>
      <c r="B899" s="199"/>
      <c r="C899" s="247"/>
      <c r="D899" s="247"/>
      <c r="E899" s="195"/>
      <c r="F899" s="201"/>
      <c r="G899" s="195"/>
      <c r="H899" s="201"/>
      <c r="I899" s="195"/>
      <c r="J899" s="201"/>
      <c r="K899" s="193"/>
      <c r="L899" s="202"/>
      <c r="M899" s="195"/>
      <c r="N899" s="195"/>
      <c r="O899" s="195"/>
      <c r="P899" s="195"/>
      <c r="Q899" s="203"/>
      <c r="R899" s="198"/>
      <c r="S899" s="199"/>
      <c r="T899" s="199"/>
      <c r="U899" s="199"/>
      <c r="V899" s="199"/>
      <c r="W899" s="199"/>
      <c r="X899" s="199"/>
    </row>
    <row r="900">
      <c r="A900" s="247"/>
      <c r="B900" s="199"/>
      <c r="C900" s="247"/>
      <c r="D900" s="247"/>
      <c r="E900" s="195"/>
      <c r="F900" s="201"/>
      <c r="G900" s="195"/>
      <c r="H900" s="201"/>
      <c r="I900" s="195"/>
      <c r="J900" s="201"/>
      <c r="K900" s="193"/>
      <c r="L900" s="202"/>
      <c r="M900" s="195"/>
      <c r="N900" s="195"/>
      <c r="O900" s="195"/>
      <c r="P900" s="195"/>
      <c r="Q900" s="203"/>
      <c r="R900" s="198"/>
      <c r="S900" s="199"/>
      <c r="T900" s="199"/>
      <c r="U900" s="199"/>
      <c r="V900" s="199"/>
      <c r="W900" s="199"/>
      <c r="X900" s="199"/>
    </row>
    <row r="901">
      <c r="A901" s="247"/>
      <c r="B901" s="199"/>
      <c r="C901" s="247"/>
      <c r="D901" s="247"/>
      <c r="E901" s="195"/>
      <c r="F901" s="201"/>
      <c r="G901" s="195"/>
      <c r="H901" s="201"/>
      <c r="I901" s="195"/>
      <c r="J901" s="201"/>
      <c r="K901" s="193"/>
      <c r="L901" s="202"/>
      <c r="M901" s="195"/>
      <c r="N901" s="195"/>
      <c r="O901" s="195"/>
      <c r="P901" s="195"/>
      <c r="Q901" s="203"/>
      <c r="R901" s="198"/>
      <c r="S901" s="199"/>
      <c r="T901" s="199"/>
      <c r="U901" s="199"/>
      <c r="V901" s="199"/>
      <c r="W901" s="199"/>
      <c r="X901" s="199"/>
    </row>
    <row r="902">
      <c r="A902" s="247"/>
      <c r="B902" s="199"/>
      <c r="C902" s="247"/>
      <c r="D902" s="247"/>
      <c r="E902" s="195"/>
      <c r="F902" s="201"/>
      <c r="G902" s="195"/>
      <c r="H902" s="201"/>
      <c r="I902" s="195"/>
      <c r="J902" s="201"/>
      <c r="K902" s="193"/>
      <c r="L902" s="202"/>
      <c r="M902" s="195"/>
      <c r="N902" s="195"/>
      <c r="O902" s="195"/>
      <c r="P902" s="195"/>
      <c r="Q902" s="203"/>
      <c r="R902" s="198"/>
      <c r="S902" s="199"/>
      <c r="T902" s="199"/>
      <c r="U902" s="199"/>
      <c r="V902" s="199"/>
      <c r="W902" s="199"/>
      <c r="X902" s="199"/>
    </row>
    <row r="903">
      <c r="A903" s="247"/>
      <c r="B903" s="199"/>
      <c r="C903" s="247"/>
      <c r="D903" s="247"/>
      <c r="E903" s="195"/>
      <c r="F903" s="201"/>
      <c r="G903" s="195"/>
      <c r="H903" s="201"/>
      <c r="I903" s="195"/>
      <c r="J903" s="201"/>
      <c r="K903" s="193"/>
      <c r="L903" s="202"/>
      <c r="M903" s="195"/>
      <c r="N903" s="195"/>
      <c r="O903" s="195"/>
      <c r="P903" s="195"/>
      <c r="Q903" s="203"/>
      <c r="R903" s="198"/>
      <c r="S903" s="199"/>
      <c r="T903" s="199"/>
      <c r="U903" s="199"/>
      <c r="V903" s="199"/>
      <c r="W903" s="199"/>
      <c r="X903" s="199"/>
    </row>
    <row r="904">
      <c r="A904" s="247"/>
      <c r="B904" s="199"/>
      <c r="C904" s="247"/>
      <c r="D904" s="247"/>
      <c r="E904" s="195"/>
      <c r="F904" s="201"/>
      <c r="G904" s="195"/>
      <c r="H904" s="201"/>
      <c r="I904" s="195"/>
      <c r="J904" s="201"/>
      <c r="K904" s="193"/>
      <c r="L904" s="202"/>
      <c r="M904" s="195"/>
      <c r="N904" s="195"/>
      <c r="O904" s="195"/>
      <c r="P904" s="195"/>
      <c r="Q904" s="203"/>
      <c r="R904" s="198"/>
      <c r="S904" s="199"/>
      <c r="T904" s="199"/>
      <c r="U904" s="199"/>
      <c r="V904" s="199"/>
      <c r="W904" s="199"/>
      <c r="X904" s="199"/>
    </row>
    <row r="905">
      <c r="A905" s="247"/>
      <c r="B905" s="199"/>
      <c r="C905" s="247"/>
      <c r="D905" s="247"/>
      <c r="E905" s="195"/>
      <c r="F905" s="201"/>
      <c r="G905" s="195"/>
      <c r="H905" s="201"/>
      <c r="I905" s="195"/>
      <c r="J905" s="201"/>
      <c r="K905" s="193"/>
      <c r="L905" s="202"/>
      <c r="M905" s="195"/>
      <c r="N905" s="195"/>
      <c r="O905" s="195"/>
      <c r="P905" s="195"/>
      <c r="Q905" s="203"/>
      <c r="R905" s="198"/>
      <c r="S905" s="199"/>
      <c r="T905" s="199"/>
      <c r="U905" s="199"/>
      <c r="V905" s="199"/>
      <c r="W905" s="199"/>
      <c r="X905" s="199"/>
    </row>
    <row r="906">
      <c r="A906" s="247"/>
      <c r="B906" s="199"/>
      <c r="C906" s="247"/>
      <c r="D906" s="247"/>
      <c r="E906" s="195"/>
      <c r="F906" s="201"/>
      <c r="G906" s="195"/>
      <c r="H906" s="201"/>
      <c r="I906" s="195"/>
      <c r="J906" s="201"/>
      <c r="K906" s="193"/>
      <c r="L906" s="202"/>
      <c r="M906" s="195"/>
      <c r="N906" s="195"/>
      <c r="O906" s="195"/>
      <c r="P906" s="195"/>
      <c r="Q906" s="203"/>
      <c r="R906" s="198"/>
      <c r="S906" s="199"/>
      <c r="T906" s="199"/>
      <c r="U906" s="199"/>
      <c r="V906" s="199"/>
      <c r="W906" s="199"/>
      <c r="X906" s="199"/>
    </row>
    <row r="907">
      <c r="A907" s="247"/>
      <c r="B907" s="199"/>
      <c r="C907" s="247"/>
      <c r="D907" s="247"/>
      <c r="E907" s="195"/>
      <c r="F907" s="201"/>
      <c r="G907" s="195"/>
      <c r="H907" s="201"/>
      <c r="I907" s="195"/>
      <c r="J907" s="201"/>
      <c r="K907" s="193"/>
      <c r="L907" s="202"/>
      <c r="M907" s="195"/>
      <c r="N907" s="195"/>
      <c r="O907" s="195"/>
      <c r="P907" s="195"/>
      <c r="Q907" s="203"/>
      <c r="R907" s="198"/>
      <c r="S907" s="199"/>
      <c r="T907" s="199"/>
      <c r="U907" s="199"/>
      <c r="V907" s="199"/>
      <c r="W907" s="199"/>
      <c r="X907" s="199"/>
    </row>
    <row r="908">
      <c r="A908" s="247"/>
      <c r="B908" s="199"/>
      <c r="C908" s="247"/>
      <c r="D908" s="247"/>
      <c r="E908" s="195"/>
      <c r="F908" s="201"/>
      <c r="G908" s="195"/>
      <c r="H908" s="201"/>
      <c r="I908" s="195"/>
      <c r="J908" s="201"/>
      <c r="K908" s="193"/>
      <c r="L908" s="202"/>
      <c r="M908" s="195"/>
      <c r="N908" s="195"/>
      <c r="O908" s="195"/>
      <c r="P908" s="195"/>
      <c r="Q908" s="203"/>
      <c r="R908" s="198"/>
      <c r="S908" s="199"/>
      <c r="T908" s="199"/>
      <c r="U908" s="199"/>
      <c r="V908" s="199"/>
      <c r="W908" s="199"/>
      <c r="X908" s="199"/>
    </row>
    <row r="909">
      <c r="A909" s="247"/>
      <c r="B909" s="199"/>
      <c r="C909" s="247"/>
      <c r="D909" s="247"/>
      <c r="E909" s="195"/>
      <c r="F909" s="201"/>
      <c r="G909" s="195"/>
      <c r="H909" s="201"/>
      <c r="I909" s="195"/>
      <c r="J909" s="201"/>
      <c r="K909" s="193"/>
      <c r="L909" s="202"/>
      <c r="M909" s="195"/>
      <c r="N909" s="195"/>
      <c r="O909" s="195"/>
      <c r="P909" s="195"/>
      <c r="Q909" s="203"/>
      <c r="R909" s="198"/>
      <c r="S909" s="199"/>
      <c r="T909" s="199"/>
      <c r="U909" s="199"/>
      <c r="V909" s="199"/>
      <c r="W909" s="199"/>
      <c r="X909" s="199"/>
    </row>
    <row r="910">
      <c r="A910" s="247"/>
      <c r="B910" s="199"/>
      <c r="C910" s="247"/>
      <c r="D910" s="247"/>
      <c r="E910" s="195"/>
      <c r="F910" s="201"/>
      <c r="G910" s="195"/>
      <c r="H910" s="201"/>
      <c r="I910" s="195"/>
      <c r="J910" s="201"/>
      <c r="K910" s="193"/>
      <c r="L910" s="202"/>
      <c r="M910" s="195"/>
      <c r="N910" s="195"/>
      <c r="O910" s="195"/>
      <c r="P910" s="195"/>
      <c r="Q910" s="203"/>
      <c r="R910" s="198"/>
      <c r="S910" s="199"/>
      <c r="T910" s="199"/>
      <c r="U910" s="199"/>
      <c r="V910" s="199"/>
      <c r="W910" s="199"/>
      <c r="X910" s="199"/>
    </row>
    <row r="911">
      <c r="A911" s="247"/>
      <c r="B911" s="199"/>
      <c r="C911" s="247"/>
      <c r="D911" s="247"/>
      <c r="E911" s="195"/>
      <c r="F911" s="201"/>
      <c r="G911" s="195"/>
      <c r="H911" s="201"/>
      <c r="I911" s="195"/>
      <c r="J911" s="201"/>
      <c r="K911" s="193"/>
      <c r="L911" s="202"/>
      <c r="M911" s="195"/>
      <c r="N911" s="195"/>
      <c r="O911" s="195"/>
      <c r="P911" s="195"/>
      <c r="Q911" s="203"/>
      <c r="R911" s="198"/>
      <c r="S911" s="199"/>
      <c r="T911" s="199"/>
      <c r="U911" s="199"/>
      <c r="V911" s="199"/>
      <c r="W911" s="199"/>
      <c r="X911" s="199"/>
    </row>
    <row r="912">
      <c r="A912" s="247"/>
      <c r="B912" s="199"/>
      <c r="C912" s="247"/>
      <c r="D912" s="247"/>
      <c r="E912" s="195"/>
      <c r="F912" s="201"/>
      <c r="G912" s="195"/>
      <c r="H912" s="201"/>
      <c r="I912" s="195"/>
      <c r="J912" s="201"/>
      <c r="K912" s="193"/>
      <c r="L912" s="202"/>
      <c r="M912" s="195"/>
      <c r="N912" s="195"/>
      <c r="O912" s="195"/>
      <c r="P912" s="195"/>
      <c r="Q912" s="203"/>
      <c r="R912" s="198"/>
      <c r="S912" s="199"/>
      <c r="T912" s="199"/>
      <c r="U912" s="199"/>
      <c r="V912" s="199"/>
      <c r="W912" s="199"/>
      <c r="X912" s="199"/>
    </row>
    <row r="913">
      <c r="A913" s="247"/>
      <c r="B913" s="199"/>
      <c r="C913" s="247"/>
      <c r="D913" s="247"/>
      <c r="E913" s="195"/>
      <c r="F913" s="201"/>
      <c r="G913" s="195"/>
      <c r="H913" s="201"/>
      <c r="I913" s="195"/>
      <c r="J913" s="201"/>
      <c r="K913" s="193"/>
      <c r="L913" s="202"/>
      <c r="M913" s="195"/>
      <c r="N913" s="195"/>
      <c r="O913" s="195"/>
      <c r="P913" s="195"/>
      <c r="Q913" s="203"/>
      <c r="R913" s="198"/>
      <c r="S913" s="199"/>
      <c r="T913" s="199"/>
      <c r="U913" s="199"/>
      <c r="V913" s="199"/>
      <c r="W913" s="199"/>
      <c r="X913" s="199"/>
    </row>
    <row r="914">
      <c r="A914" s="247"/>
      <c r="B914" s="199"/>
      <c r="C914" s="247"/>
      <c r="D914" s="247"/>
      <c r="E914" s="195"/>
      <c r="F914" s="201"/>
      <c r="G914" s="195"/>
      <c r="H914" s="201"/>
      <c r="I914" s="195"/>
      <c r="J914" s="201"/>
      <c r="K914" s="193"/>
      <c r="L914" s="202"/>
      <c r="M914" s="195"/>
      <c r="N914" s="195"/>
      <c r="O914" s="195"/>
      <c r="P914" s="195"/>
      <c r="Q914" s="203"/>
      <c r="R914" s="198"/>
      <c r="S914" s="199"/>
      <c r="T914" s="199"/>
      <c r="U914" s="199"/>
      <c r="V914" s="199"/>
      <c r="W914" s="199"/>
      <c r="X914" s="199"/>
    </row>
    <row r="915">
      <c r="A915" s="247"/>
      <c r="B915" s="199"/>
      <c r="C915" s="247"/>
      <c r="D915" s="247"/>
      <c r="E915" s="195"/>
      <c r="F915" s="201"/>
      <c r="G915" s="195"/>
      <c r="H915" s="201"/>
      <c r="I915" s="195"/>
      <c r="J915" s="201"/>
      <c r="K915" s="193"/>
      <c r="L915" s="202"/>
      <c r="M915" s="195"/>
      <c r="N915" s="195"/>
      <c r="O915" s="195"/>
      <c r="P915" s="195"/>
      <c r="Q915" s="203"/>
      <c r="R915" s="198"/>
      <c r="S915" s="199"/>
      <c r="T915" s="199"/>
      <c r="U915" s="199"/>
      <c r="V915" s="199"/>
      <c r="W915" s="199"/>
      <c r="X915" s="199"/>
    </row>
    <row r="916">
      <c r="A916" s="247"/>
      <c r="B916" s="199"/>
      <c r="C916" s="247"/>
      <c r="D916" s="247"/>
      <c r="E916" s="195"/>
      <c r="F916" s="201"/>
      <c r="G916" s="195"/>
      <c r="H916" s="201"/>
      <c r="I916" s="195"/>
      <c r="J916" s="201"/>
      <c r="K916" s="193"/>
      <c r="L916" s="202"/>
      <c r="M916" s="195"/>
      <c r="N916" s="195"/>
      <c r="O916" s="195"/>
      <c r="P916" s="195"/>
      <c r="Q916" s="203"/>
      <c r="R916" s="198"/>
      <c r="S916" s="199"/>
      <c r="T916" s="199"/>
      <c r="U916" s="199"/>
      <c r="V916" s="199"/>
      <c r="W916" s="199"/>
      <c r="X916" s="199"/>
    </row>
    <row r="917">
      <c r="A917" s="247"/>
      <c r="B917" s="199"/>
      <c r="C917" s="247"/>
      <c r="D917" s="247"/>
      <c r="E917" s="195"/>
      <c r="F917" s="201"/>
      <c r="G917" s="195"/>
      <c r="H917" s="201"/>
      <c r="I917" s="195"/>
      <c r="J917" s="201"/>
      <c r="K917" s="193"/>
      <c r="L917" s="202"/>
      <c r="M917" s="195"/>
      <c r="N917" s="195"/>
      <c r="O917" s="195"/>
      <c r="P917" s="195"/>
      <c r="Q917" s="203"/>
      <c r="R917" s="198"/>
      <c r="S917" s="199"/>
      <c r="T917" s="199"/>
      <c r="U917" s="199"/>
      <c r="V917" s="199"/>
      <c r="W917" s="199"/>
      <c r="X917" s="199"/>
    </row>
    <row r="918">
      <c r="A918" s="247"/>
      <c r="B918" s="199"/>
      <c r="C918" s="247"/>
      <c r="D918" s="247"/>
      <c r="E918" s="195"/>
      <c r="F918" s="201"/>
      <c r="G918" s="195"/>
      <c r="H918" s="201"/>
      <c r="I918" s="195"/>
      <c r="J918" s="201"/>
      <c r="K918" s="193"/>
      <c r="L918" s="202"/>
      <c r="M918" s="195"/>
      <c r="N918" s="195"/>
      <c r="O918" s="195"/>
      <c r="P918" s="195"/>
      <c r="Q918" s="203"/>
      <c r="R918" s="198"/>
      <c r="S918" s="199"/>
      <c r="T918" s="199"/>
      <c r="U918" s="199"/>
      <c r="V918" s="199"/>
      <c r="W918" s="199"/>
      <c r="X918" s="199"/>
    </row>
    <row r="919">
      <c r="A919" s="247"/>
      <c r="B919" s="199"/>
      <c r="C919" s="247"/>
      <c r="D919" s="247"/>
      <c r="E919" s="195"/>
      <c r="F919" s="201"/>
      <c r="G919" s="195"/>
      <c r="H919" s="201"/>
      <c r="I919" s="195"/>
      <c r="J919" s="201"/>
      <c r="K919" s="193"/>
      <c r="L919" s="202"/>
      <c r="M919" s="195"/>
      <c r="N919" s="195"/>
      <c r="O919" s="195"/>
      <c r="P919" s="195"/>
      <c r="Q919" s="203"/>
      <c r="R919" s="198"/>
      <c r="S919" s="199"/>
      <c r="T919" s="199"/>
      <c r="U919" s="199"/>
      <c r="V919" s="199"/>
      <c r="W919" s="199"/>
      <c r="X919" s="199"/>
    </row>
    <row r="920">
      <c r="A920" s="247"/>
      <c r="B920" s="199"/>
      <c r="C920" s="247"/>
      <c r="D920" s="247"/>
      <c r="E920" s="195"/>
      <c r="F920" s="201"/>
      <c r="G920" s="195"/>
      <c r="H920" s="201"/>
      <c r="I920" s="195"/>
      <c r="J920" s="201"/>
      <c r="K920" s="193"/>
      <c r="L920" s="202"/>
      <c r="M920" s="195"/>
      <c r="N920" s="195"/>
      <c r="O920" s="195"/>
      <c r="P920" s="195"/>
      <c r="Q920" s="203"/>
      <c r="R920" s="198"/>
      <c r="S920" s="199"/>
      <c r="T920" s="199"/>
      <c r="U920" s="199"/>
      <c r="V920" s="199"/>
      <c r="W920" s="199"/>
      <c r="X920" s="199"/>
    </row>
    <row r="921">
      <c r="A921" s="247"/>
      <c r="B921" s="199"/>
      <c r="C921" s="247"/>
      <c r="D921" s="247"/>
      <c r="E921" s="195"/>
      <c r="F921" s="201"/>
      <c r="G921" s="195"/>
      <c r="H921" s="201"/>
      <c r="I921" s="195"/>
      <c r="J921" s="201"/>
      <c r="K921" s="193"/>
      <c r="L921" s="202"/>
      <c r="M921" s="195"/>
      <c r="N921" s="195"/>
      <c r="O921" s="195"/>
      <c r="P921" s="195"/>
      <c r="Q921" s="203"/>
      <c r="R921" s="198"/>
      <c r="S921" s="199"/>
      <c r="T921" s="199"/>
      <c r="U921" s="199"/>
      <c r="V921" s="199"/>
      <c r="W921" s="199"/>
      <c r="X921" s="199"/>
    </row>
    <row r="922">
      <c r="A922" s="247"/>
      <c r="B922" s="199"/>
      <c r="C922" s="247"/>
      <c r="D922" s="247"/>
      <c r="E922" s="195"/>
      <c r="F922" s="201"/>
      <c r="G922" s="195"/>
      <c r="H922" s="201"/>
      <c r="I922" s="195"/>
      <c r="J922" s="201"/>
      <c r="K922" s="193"/>
      <c r="L922" s="202"/>
      <c r="M922" s="195"/>
      <c r="N922" s="195"/>
      <c r="O922" s="195"/>
      <c r="P922" s="195"/>
      <c r="Q922" s="203"/>
      <c r="R922" s="198"/>
      <c r="S922" s="199"/>
      <c r="T922" s="199"/>
      <c r="U922" s="199"/>
      <c r="V922" s="199"/>
      <c r="W922" s="199"/>
      <c r="X922" s="199"/>
    </row>
    <row r="923">
      <c r="A923" s="247"/>
      <c r="B923" s="199"/>
      <c r="C923" s="247"/>
      <c r="D923" s="247"/>
      <c r="E923" s="195"/>
      <c r="F923" s="201"/>
      <c r="G923" s="195"/>
      <c r="H923" s="201"/>
      <c r="I923" s="195"/>
      <c r="J923" s="201"/>
      <c r="K923" s="193"/>
      <c r="L923" s="202"/>
      <c r="M923" s="195"/>
      <c r="N923" s="195"/>
      <c r="O923" s="195"/>
      <c r="P923" s="195"/>
      <c r="Q923" s="203"/>
      <c r="R923" s="198"/>
      <c r="S923" s="199"/>
      <c r="T923" s="199"/>
      <c r="U923" s="199"/>
      <c r="V923" s="199"/>
      <c r="W923" s="199"/>
      <c r="X923" s="199"/>
    </row>
    <row r="924">
      <c r="A924" s="247"/>
      <c r="B924" s="199"/>
      <c r="C924" s="247"/>
      <c r="D924" s="247"/>
      <c r="E924" s="195"/>
      <c r="F924" s="201"/>
      <c r="G924" s="195"/>
      <c r="H924" s="201"/>
      <c r="I924" s="195"/>
      <c r="J924" s="201"/>
      <c r="K924" s="193"/>
      <c r="L924" s="202"/>
      <c r="M924" s="195"/>
      <c r="N924" s="195"/>
      <c r="O924" s="195"/>
      <c r="P924" s="195"/>
      <c r="Q924" s="203"/>
      <c r="R924" s="198"/>
      <c r="S924" s="199"/>
      <c r="T924" s="199"/>
      <c r="U924" s="199"/>
      <c r="V924" s="199"/>
      <c r="W924" s="199"/>
      <c r="X924" s="199"/>
    </row>
    <row r="925">
      <c r="A925" s="247"/>
      <c r="B925" s="199"/>
      <c r="C925" s="247"/>
      <c r="D925" s="247"/>
      <c r="E925" s="195"/>
      <c r="F925" s="201"/>
      <c r="G925" s="195"/>
      <c r="H925" s="201"/>
      <c r="I925" s="195"/>
      <c r="J925" s="201"/>
      <c r="K925" s="193"/>
      <c r="L925" s="202"/>
      <c r="M925" s="195"/>
      <c r="N925" s="195"/>
      <c r="O925" s="195"/>
      <c r="P925" s="195"/>
      <c r="Q925" s="203"/>
      <c r="R925" s="198"/>
      <c r="S925" s="199"/>
      <c r="T925" s="199"/>
      <c r="U925" s="199"/>
      <c r="V925" s="199"/>
      <c r="W925" s="199"/>
      <c r="X925" s="199"/>
    </row>
    <row r="926">
      <c r="A926" s="247"/>
      <c r="B926" s="199"/>
      <c r="C926" s="247"/>
      <c r="D926" s="247"/>
      <c r="E926" s="195"/>
      <c r="F926" s="201"/>
      <c r="G926" s="195"/>
      <c r="H926" s="201"/>
      <c r="I926" s="195"/>
      <c r="J926" s="201"/>
      <c r="K926" s="193"/>
      <c r="L926" s="202"/>
      <c r="M926" s="195"/>
      <c r="N926" s="195"/>
      <c r="O926" s="195"/>
      <c r="P926" s="195"/>
      <c r="Q926" s="203"/>
      <c r="R926" s="198"/>
      <c r="S926" s="199"/>
      <c r="T926" s="199"/>
      <c r="U926" s="199"/>
      <c r="V926" s="199"/>
      <c r="W926" s="199"/>
      <c r="X926" s="199"/>
    </row>
    <row r="927">
      <c r="A927" s="247"/>
      <c r="B927" s="199"/>
      <c r="C927" s="247"/>
      <c r="D927" s="247"/>
      <c r="E927" s="195"/>
      <c r="F927" s="201"/>
      <c r="G927" s="195"/>
      <c r="H927" s="201"/>
      <c r="I927" s="195"/>
      <c r="J927" s="201"/>
      <c r="K927" s="193"/>
      <c r="L927" s="202"/>
      <c r="M927" s="195"/>
      <c r="N927" s="195"/>
      <c r="O927" s="195"/>
      <c r="P927" s="195"/>
      <c r="Q927" s="203"/>
      <c r="R927" s="198"/>
      <c r="S927" s="199"/>
      <c r="T927" s="199"/>
      <c r="U927" s="199"/>
      <c r="V927" s="199"/>
      <c r="W927" s="199"/>
      <c r="X927" s="199"/>
    </row>
    <row r="928">
      <c r="A928" s="247"/>
      <c r="B928" s="199"/>
      <c r="C928" s="247"/>
      <c r="D928" s="247"/>
      <c r="E928" s="195"/>
      <c r="F928" s="201"/>
      <c r="G928" s="195"/>
      <c r="H928" s="201"/>
      <c r="I928" s="195"/>
      <c r="J928" s="201"/>
      <c r="K928" s="193"/>
      <c r="L928" s="202"/>
      <c r="M928" s="195"/>
      <c r="N928" s="195"/>
      <c r="O928" s="195"/>
      <c r="P928" s="195"/>
      <c r="Q928" s="203"/>
      <c r="R928" s="198"/>
      <c r="S928" s="199"/>
      <c r="T928" s="199"/>
      <c r="U928" s="199"/>
      <c r="V928" s="199"/>
      <c r="W928" s="199"/>
      <c r="X928" s="199"/>
    </row>
    <row r="929">
      <c r="A929" s="247"/>
      <c r="B929" s="199"/>
      <c r="C929" s="247"/>
      <c r="D929" s="247"/>
      <c r="E929" s="195"/>
      <c r="F929" s="201"/>
      <c r="G929" s="195"/>
      <c r="H929" s="201"/>
      <c r="I929" s="195"/>
      <c r="J929" s="201"/>
      <c r="K929" s="193"/>
      <c r="L929" s="202"/>
      <c r="M929" s="195"/>
      <c r="N929" s="195"/>
      <c r="O929" s="195"/>
      <c r="P929" s="195"/>
      <c r="Q929" s="203"/>
      <c r="R929" s="198"/>
      <c r="S929" s="199"/>
      <c r="T929" s="199"/>
      <c r="U929" s="199"/>
      <c r="V929" s="199"/>
      <c r="W929" s="199"/>
      <c r="X929" s="199"/>
    </row>
    <row r="930">
      <c r="A930" s="247"/>
      <c r="B930" s="199"/>
      <c r="C930" s="247"/>
      <c r="D930" s="247"/>
      <c r="E930" s="195"/>
      <c r="F930" s="201"/>
      <c r="G930" s="195"/>
      <c r="H930" s="201"/>
      <c r="I930" s="195"/>
      <c r="J930" s="201"/>
      <c r="K930" s="193"/>
      <c r="L930" s="202"/>
      <c r="M930" s="195"/>
      <c r="N930" s="195"/>
      <c r="O930" s="195"/>
      <c r="P930" s="195"/>
      <c r="Q930" s="203"/>
      <c r="R930" s="198"/>
      <c r="S930" s="199"/>
      <c r="T930" s="199"/>
      <c r="U930" s="199"/>
      <c r="V930" s="199"/>
      <c r="W930" s="199"/>
      <c r="X930" s="199"/>
    </row>
    <row r="931">
      <c r="A931" s="247"/>
      <c r="B931" s="199"/>
      <c r="C931" s="247"/>
      <c r="D931" s="247"/>
      <c r="E931" s="195"/>
      <c r="F931" s="201"/>
      <c r="G931" s="195"/>
      <c r="H931" s="201"/>
      <c r="I931" s="195"/>
      <c r="J931" s="201"/>
      <c r="K931" s="193"/>
      <c r="L931" s="202"/>
      <c r="M931" s="195"/>
      <c r="N931" s="195"/>
      <c r="O931" s="195"/>
      <c r="P931" s="195"/>
      <c r="Q931" s="203"/>
      <c r="R931" s="198"/>
      <c r="S931" s="199"/>
      <c r="T931" s="199"/>
      <c r="U931" s="199"/>
      <c r="V931" s="199"/>
      <c r="W931" s="199"/>
      <c r="X931" s="199"/>
    </row>
    <row r="932">
      <c r="A932" s="247"/>
      <c r="B932" s="199"/>
      <c r="C932" s="247"/>
      <c r="D932" s="247"/>
      <c r="E932" s="195"/>
      <c r="F932" s="201"/>
      <c r="G932" s="195"/>
      <c r="H932" s="201"/>
      <c r="I932" s="195"/>
      <c r="J932" s="201"/>
      <c r="K932" s="193"/>
      <c r="L932" s="202"/>
      <c r="M932" s="195"/>
      <c r="N932" s="195"/>
      <c r="O932" s="195"/>
      <c r="P932" s="195"/>
      <c r="Q932" s="203"/>
      <c r="R932" s="198"/>
      <c r="S932" s="199"/>
      <c r="T932" s="199"/>
      <c r="U932" s="199"/>
      <c r="V932" s="199"/>
      <c r="W932" s="199"/>
      <c r="X932" s="199"/>
    </row>
    <row r="933">
      <c r="A933" s="247"/>
      <c r="B933" s="199"/>
      <c r="C933" s="247"/>
      <c r="D933" s="247"/>
      <c r="E933" s="195"/>
      <c r="F933" s="201"/>
      <c r="G933" s="195"/>
      <c r="H933" s="201"/>
      <c r="I933" s="195"/>
      <c r="J933" s="201"/>
      <c r="K933" s="193"/>
      <c r="L933" s="202"/>
      <c r="M933" s="195"/>
      <c r="N933" s="195"/>
      <c r="O933" s="195"/>
      <c r="P933" s="195"/>
      <c r="Q933" s="203"/>
      <c r="R933" s="198"/>
      <c r="S933" s="199"/>
      <c r="T933" s="199"/>
      <c r="U933" s="199"/>
      <c r="V933" s="199"/>
      <c r="W933" s="199"/>
      <c r="X933" s="199"/>
    </row>
    <row r="934">
      <c r="A934" s="247"/>
      <c r="B934" s="199"/>
      <c r="C934" s="247"/>
      <c r="D934" s="247"/>
      <c r="E934" s="195"/>
      <c r="F934" s="201"/>
      <c r="G934" s="195"/>
      <c r="H934" s="201"/>
      <c r="I934" s="195"/>
      <c r="J934" s="201"/>
      <c r="K934" s="193"/>
      <c r="L934" s="202"/>
      <c r="M934" s="195"/>
      <c r="N934" s="195"/>
      <c r="O934" s="195"/>
      <c r="P934" s="195"/>
      <c r="Q934" s="203"/>
      <c r="R934" s="198"/>
      <c r="S934" s="199"/>
      <c r="T934" s="199"/>
      <c r="U934" s="199"/>
      <c r="V934" s="199"/>
      <c r="W934" s="199"/>
      <c r="X934" s="199"/>
    </row>
    <row r="935">
      <c r="A935" s="247"/>
      <c r="B935" s="199"/>
      <c r="C935" s="247"/>
      <c r="D935" s="247"/>
      <c r="E935" s="195"/>
      <c r="F935" s="201"/>
      <c r="G935" s="195"/>
      <c r="H935" s="201"/>
      <c r="I935" s="195"/>
      <c r="J935" s="201"/>
      <c r="K935" s="193"/>
      <c r="L935" s="202"/>
      <c r="M935" s="195"/>
      <c r="N935" s="195"/>
      <c r="O935" s="195"/>
      <c r="P935" s="195"/>
      <c r="Q935" s="203"/>
      <c r="R935" s="198"/>
      <c r="S935" s="199"/>
      <c r="T935" s="199"/>
      <c r="U935" s="199"/>
      <c r="V935" s="199"/>
      <c r="W935" s="199"/>
      <c r="X935" s="199"/>
    </row>
    <row r="936">
      <c r="A936" s="247"/>
      <c r="B936" s="199"/>
      <c r="C936" s="247"/>
      <c r="D936" s="247"/>
      <c r="E936" s="195"/>
      <c r="F936" s="201"/>
      <c r="G936" s="195"/>
      <c r="H936" s="201"/>
      <c r="I936" s="195"/>
      <c r="J936" s="201"/>
      <c r="K936" s="193"/>
      <c r="L936" s="202"/>
      <c r="M936" s="195"/>
      <c r="N936" s="195"/>
      <c r="O936" s="195"/>
      <c r="P936" s="195"/>
      <c r="Q936" s="203"/>
      <c r="R936" s="198"/>
      <c r="S936" s="199"/>
      <c r="T936" s="199"/>
      <c r="U936" s="199"/>
      <c r="V936" s="199"/>
      <c r="W936" s="199"/>
      <c r="X936" s="199"/>
    </row>
    <row r="937">
      <c r="A937" s="247"/>
      <c r="B937" s="199"/>
      <c r="C937" s="247"/>
      <c r="D937" s="247"/>
      <c r="E937" s="195"/>
      <c r="F937" s="201"/>
      <c r="G937" s="195"/>
      <c r="H937" s="201"/>
      <c r="I937" s="195"/>
      <c r="J937" s="201"/>
      <c r="K937" s="193"/>
      <c r="L937" s="202"/>
      <c r="M937" s="195"/>
      <c r="N937" s="195"/>
      <c r="O937" s="195"/>
      <c r="P937" s="195"/>
      <c r="Q937" s="203"/>
      <c r="R937" s="198"/>
      <c r="S937" s="199"/>
      <c r="T937" s="199"/>
      <c r="U937" s="199"/>
      <c r="V937" s="199"/>
      <c r="W937" s="199"/>
      <c r="X937" s="199"/>
    </row>
    <row r="938">
      <c r="A938" s="247"/>
      <c r="B938" s="199"/>
      <c r="C938" s="247"/>
      <c r="D938" s="247"/>
      <c r="E938" s="195"/>
      <c r="F938" s="201"/>
      <c r="G938" s="195"/>
      <c r="H938" s="201"/>
      <c r="I938" s="195"/>
      <c r="J938" s="201"/>
      <c r="K938" s="193"/>
      <c r="L938" s="202"/>
      <c r="M938" s="195"/>
      <c r="N938" s="195"/>
      <c r="O938" s="195"/>
      <c r="P938" s="195"/>
      <c r="Q938" s="203"/>
      <c r="R938" s="198"/>
      <c r="S938" s="199"/>
      <c r="T938" s="199"/>
      <c r="U938" s="199"/>
      <c r="V938" s="199"/>
      <c r="W938" s="199"/>
      <c r="X938" s="199"/>
    </row>
    <row r="939">
      <c r="A939" s="247"/>
      <c r="B939" s="199"/>
      <c r="C939" s="247"/>
      <c r="D939" s="247"/>
      <c r="E939" s="195"/>
      <c r="F939" s="201"/>
      <c r="G939" s="195"/>
      <c r="H939" s="201"/>
      <c r="I939" s="195"/>
      <c r="J939" s="201"/>
      <c r="K939" s="193"/>
      <c r="L939" s="202"/>
      <c r="M939" s="195"/>
      <c r="N939" s="195"/>
      <c r="O939" s="195"/>
      <c r="P939" s="195"/>
      <c r="Q939" s="203"/>
      <c r="R939" s="198"/>
      <c r="S939" s="199"/>
      <c r="T939" s="199"/>
      <c r="U939" s="199"/>
      <c r="V939" s="199"/>
      <c r="W939" s="199"/>
      <c r="X939" s="199"/>
    </row>
    <row r="940">
      <c r="A940" s="247"/>
      <c r="B940" s="199"/>
      <c r="C940" s="247"/>
      <c r="D940" s="247"/>
      <c r="E940" s="195"/>
      <c r="F940" s="201"/>
      <c r="G940" s="195"/>
      <c r="H940" s="201"/>
      <c r="I940" s="195"/>
      <c r="J940" s="201"/>
      <c r="K940" s="193"/>
      <c r="L940" s="202"/>
      <c r="M940" s="195"/>
      <c r="N940" s="195"/>
      <c r="O940" s="195"/>
      <c r="P940" s="195"/>
      <c r="Q940" s="203"/>
      <c r="R940" s="198"/>
      <c r="S940" s="199"/>
      <c r="T940" s="199"/>
      <c r="U940" s="199"/>
      <c r="V940" s="199"/>
      <c r="W940" s="199"/>
      <c r="X940" s="199"/>
    </row>
    <row r="941">
      <c r="A941" s="247"/>
      <c r="B941" s="199"/>
      <c r="C941" s="247"/>
      <c r="D941" s="247"/>
      <c r="E941" s="195"/>
      <c r="F941" s="201"/>
      <c r="G941" s="195"/>
      <c r="H941" s="201"/>
      <c r="I941" s="195"/>
      <c r="J941" s="201"/>
      <c r="K941" s="193"/>
      <c r="L941" s="202"/>
      <c r="M941" s="195"/>
      <c r="N941" s="195"/>
      <c r="O941" s="195"/>
      <c r="P941" s="195"/>
      <c r="Q941" s="203"/>
      <c r="R941" s="198"/>
      <c r="S941" s="199"/>
      <c r="T941" s="199"/>
      <c r="U941" s="199"/>
      <c r="V941" s="199"/>
      <c r="W941" s="199"/>
      <c r="X941" s="199"/>
    </row>
    <row r="942">
      <c r="A942" s="247"/>
      <c r="B942" s="199"/>
      <c r="C942" s="247"/>
      <c r="D942" s="247"/>
      <c r="E942" s="195"/>
      <c r="F942" s="201"/>
      <c r="G942" s="195"/>
      <c r="H942" s="201"/>
      <c r="I942" s="195"/>
      <c r="J942" s="201"/>
      <c r="K942" s="193"/>
      <c r="L942" s="202"/>
      <c r="M942" s="195"/>
      <c r="N942" s="195"/>
      <c r="O942" s="195"/>
      <c r="P942" s="195"/>
      <c r="Q942" s="203"/>
      <c r="R942" s="198"/>
      <c r="S942" s="199"/>
      <c r="T942" s="199"/>
      <c r="U942" s="199"/>
      <c r="V942" s="199"/>
      <c r="W942" s="199"/>
      <c r="X942" s="199"/>
    </row>
    <row r="943">
      <c r="A943" s="247"/>
      <c r="B943" s="199"/>
      <c r="C943" s="247"/>
      <c r="D943" s="247"/>
      <c r="E943" s="195"/>
      <c r="F943" s="201"/>
      <c r="G943" s="195"/>
      <c r="H943" s="201"/>
      <c r="I943" s="195"/>
      <c r="J943" s="201"/>
      <c r="K943" s="193"/>
      <c r="L943" s="202"/>
      <c r="M943" s="195"/>
      <c r="N943" s="195"/>
      <c r="O943" s="195"/>
      <c r="P943" s="195"/>
      <c r="Q943" s="203"/>
      <c r="R943" s="198"/>
      <c r="S943" s="199"/>
      <c r="T943" s="199"/>
      <c r="U943" s="199"/>
      <c r="V943" s="199"/>
      <c r="W943" s="199"/>
      <c r="X943" s="199"/>
    </row>
    <row r="944">
      <c r="A944" s="247"/>
      <c r="B944" s="199"/>
      <c r="C944" s="247"/>
      <c r="D944" s="247"/>
      <c r="E944" s="195"/>
      <c r="F944" s="201"/>
      <c r="G944" s="195"/>
      <c r="H944" s="201"/>
      <c r="I944" s="195"/>
      <c r="J944" s="201"/>
      <c r="K944" s="193"/>
      <c r="L944" s="202"/>
      <c r="M944" s="195"/>
      <c r="N944" s="195"/>
      <c r="O944" s="195"/>
      <c r="P944" s="195"/>
      <c r="Q944" s="203"/>
      <c r="R944" s="198"/>
      <c r="S944" s="199"/>
      <c r="T944" s="199"/>
      <c r="U944" s="199"/>
      <c r="V944" s="199"/>
      <c r="W944" s="199"/>
      <c r="X944" s="199"/>
    </row>
    <row r="945">
      <c r="A945" s="247"/>
      <c r="B945" s="199"/>
      <c r="C945" s="247"/>
      <c r="D945" s="247"/>
      <c r="E945" s="195"/>
      <c r="F945" s="201"/>
      <c r="G945" s="195"/>
      <c r="H945" s="201"/>
      <c r="I945" s="195"/>
      <c r="J945" s="201"/>
      <c r="K945" s="193"/>
      <c r="L945" s="202"/>
      <c r="M945" s="195"/>
      <c r="N945" s="195"/>
      <c r="O945" s="195"/>
      <c r="P945" s="195"/>
      <c r="Q945" s="203"/>
      <c r="R945" s="198"/>
      <c r="S945" s="199"/>
      <c r="T945" s="199"/>
      <c r="U945" s="199"/>
      <c r="V945" s="199"/>
      <c r="W945" s="199"/>
      <c r="X945" s="199"/>
    </row>
    <row r="946">
      <c r="A946" s="247"/>
      <c r="B946" s="199"/>
      <c r="C946" s="247"/>
      <c r="D946" s="247"/>
      <c r="E946" s="195"/>
      <c r="F946" s="201"/>
      <c r="G946" s="195"/>
      <c r="H946" s="201"/>
      <c r="I946" s="195"/>
      <c r="J946" s="201"/>
      <c r="K946" s="193"/>
      <c r="L946" s="202"/>
      <c r="M946" s="195"/>
      <c r="N946" s="195"/>
      <c r="O946" s="195"/>
      <c r="P946" s="195"/>
      <c r="Q946" s="203"/>
      <c r="R946" s="198"/>
      <c r="S946" s="199"/>
      <c r="T946" s="199"/>
      <c r="U946" s="199"/>
      <c r="V946" s="199"/>
      <c r="W946" s="199"/>
      <c r="X946" s="199"/>
    </row>
    <row r="947">
      <c r="A947" s="247"/>
      <c r="B947" s="199"/>
      <c r="C947" s="247"/>
      <c r="D947" s="247"/>
      <c r="E947" s="195"/>
      <c r="F947" s="201"/>
      <c r="G947" s="195"/>
      <c r="H947" s="201"/>
      <c r="I947" s="195"/>
      <c r="J947" s="201"/>
      <c r="K947" s="193"/>
      <c r="L947" s="202"/>
      <c r="M947" s="195"/>
      <c r="N947" s="195"/>
      <c r="O947" s="195"/>
      <c r="P947" s="195"/>
      <c r="Q947" s="203"/>
      <c r="R947" s="198"/>
      <c r="S947" s="199"/>
      <c r="T947" s="199"/>
      <c r="U947" s="199"/>
      <c r="V947" s="199"/>
      <c r="W947" s="199"/>
      <c r="X947" s="199"/>
    </row>
    <row r="948">
      <c r="A948" s="247"/>
      <c r="B948" s="199"/>
      <c r="C948" s="247"/>
      <c r="D948" s="247"/>
      <c r="E948" s="195"/>
      <c r="F948" s="201"/>
      <c r="G948" s="195"/>
      <c r="H948" s="201"/>
      <c r="I948" s="195"/>
      <c r="J948" s="201"/>
      <c r="K948" s="193"/>
      <c r="L948" s="202"/>
      <c r="M948" s="195"/>
      <c r="N948" s="195"/>
      <c r="O948" s="195"/>
      <c r="P948" s="195"/>
      <c r="Q948" s="203"/>
      <c r="R948" s="198"/>
      <c r="S948" s="199"/>
      <c r="T948" s="199"/>
      <c r="U948" s="199"/>
      <c r="V948" s="199"/>
      <c r="W948" s="199"/>
      <c r="X948" s="199"/>
    </row>
    <row r="949">
      <c r="A949" s="247"/>
      <c r="B949" s="199"/>
      <c r="C949" s="247"/>
      <c r="D949" s="247"/>
      <c r="E949" s="195"/>
      <c r="F949" s="201"/>
      <c r="G949" s="195"/>
      <c r="H949" s="201"/>
      <c r="I949" s="195"/>
      <c r="J949" s="201"/>
      <c r="K949" s="193"/>
      <c r="L949" s="202"/>
      <c r="M949" s="195"/>
      <c r="N949" s="195"/>
      <c r="O949" s="195"/>
      <c r="P949" s="195"/>
      <c r="Q949" s="203"/>
      <c r="R949" s="198"/>
      <c r="S949" s="199"/>
      <c r="T949" s="199"/>
      <c r="U949" s="199"/>
      <c r="V949" s="199"/>
      <c r="W949" s="199"/>
      <c r="X949" s="199"/>
    </row>
    <row r="950">
      <c r="A950" s="247"/>
      <c r="B950" s="199"/>
      <c r="C950" s="247"/>
      <c r="D950" s="247"/>
      <c r="E950" s="195"/>
      <c r="F950" s="201"/>
      <c r="G950" s="195"/>
      <c r="H950" s="201"/>
      <c r="I950" s="195"/>
      <c r="J950" s="201"/>
      <c r="K950" s="193"/>
      <c r="L950" s="202"/>
      <c r="M950" s="195"/>
      <c r="N950" s="195"/>
      <c r="O950" s="195"/>
      <c r="P950" s="195"/>
      <c r="Q950" s="203"/>
      <c r="R950" s="198"/>
      <c r="S950" s="199"/>
      <c r="T950" s="199"/>
      <c r="U950" s="199"/>
      <c r="V950" s="199"/>
      <c r="W950" s="199"/>
      <c r="X950" s="199"/>
    </row>
    <row r="951">
      <c r="A951" s="247"/>
      <c r="B951" s="199"/>
      <c r="C951" s="247"/>
      <c r="D951" s="247"/>
      <c r="E951" s="195"/>
      <c r="F951" s="201"/>
      <c r="G951" s="195"/>
      <c r="H951" s="201"/>
      <c r="I951" s="195"/>
      <c r="J951" s="201"/>
      <c r="K951" s="193"/>
      <c r="L951" s="202"/>
      <c r="M951" s="195"/>
      <c r="N951" s="195"/>
      <c r="O951" s="195"/>
      <c r="P951" s="195"/>
      <c r="Q951" s="203"/>
      <c r="R951" s="198"/>
      <c r="S951" s="199"/>
      <c r="T951" s="199"/>
      <c r="U951" s="199"/>
      <c r="V951" s="199"/>
      <c r="W951" s="199"/>
      <c r="X951" s="199"/>
    </row>
    <row r="952">
      <c r="A952" s="247"/>
      <c r="B952" s="199"/>
      <c r="C952" s="247"/>
      <c r="D952" s="247"/>
      <c r="E952" s="195"/>
      <c r="F952" s="201"/>
      <c r="G952" s="195"/>
      <c r="H952" s="201"/>
      <c r="I952" s="195"/>
      <c r="J952" s="201"/>
      <c r="K952" s="193"/>
      <c r="L952" s="202"/>
      <c r="M952" s="195"/>
      <c r="N952" s="195"/>
      <c r="O952" s="195"/>
      <c r="P952" s="195"/>
      <c r="Q952" s="203"/>
      <c r="R952" s="198"/>
      <c r="S952" s="199"/>
      <c r="T952" s="199"/>
      <c r="U952" s="199"/>
      <c r="V952" s="199"/>
      <c r="W952" s="199"/>
      <c r="X952" s="199"/>
    </row>
    <row r="953">
      <c r="A953" s="247"/>
      <c r="B953" s="199"/>
      <c r="C953" s="247"/>
      <c r="D953" s="247"/>
      <c r="E953" s="195"/>
      <c r="F953" s="201"/>
      <c r="G953" s="195"/>
      <c r="H953" s="201"/>
      <c r="I953" s="195"/>
      <c r="J953" s="201"/>
      <c r="K953" s="193"/>
      <c r="L953" s="202"/>
      <c r="M953" s="195"/>
      <c r="N953" s="195"/>
      <c r="O953" s="195"/>
      <c r="P953" s="195"/>
      <c r="Q953" s="203"/>
      <c r="R953" s="198"/>
      <c r="S953" s="199"/>
      <c r="T953" s="199"/>
      <c r="U953" s="199"/>
      <c r="V953" s="199"/>
      <c r="W953" s="199"/>
      <c r="X953" s="199"/>
    </row>
    <row r="954">
      <c r="A954" s="247"/>
      <c r="B954" s="199"/>
      <c r="C954" s="247"/>
      <c r="D954" s="247"/>
      <c r="E954" s="195"/>
      <c r="F954" s="201"/>
      <c r="G954" s="195"/>
      <c r="H954" s="201"/>
      <c r="I954" s="195"/>
      <c r="J954" s="201"/>
      <c r="K954" s="193"/>
      <c r="L954" s="202"/>
      <c r="M954" s="195"/>
      <c r="N954" s="195"/>
      <c r="O954" s="195"/>
      <c r="P954" s="195"/>
      <c r="Q954" s="203"/>
      <c r="R954" s="198"/>
      <c r="S954" s="199"/>
      <c r="T954" s="199"/>
      <c r="U954" s="199"/>
      <c r="V954" s="199"/>
      <c r="W954" s="199"/>
      <c r="X954" s="199"/>
    </row>
    <row r="955">
      <c r="A955" s="247"/>
      <c r="B955" s="199"/>
      <c r="C955" s="247"/>
      <c r="D955" s="247"/>
      <c r="E955" s="195"/>
      <c r="F955" s="201"/>
      <c r="G955" s="195"/>
      <c r="H955" s="201"/>
      <c r="I955" s="195"/>
      <c r="J955" s="201"/>
      <c r="K955" s="193"/>
      <c r="L955" s="202"/>
      <c r="M955" s="195"/>
      <c r="N955" s="195"/>
      <c r="O955" s="195"/>
      <c r="P955" s="195"/>
      <c r="Q955" s="203"/>
      <c r="R955" s="198"/>
      <c r="S955" s="199"/>
      <c r="T955" s="199"/>
      <c r="U955" s="199"/>
      <c r="V955" s="199"/>
      <c r="W955" s="199"/>
      <c r="X955" s="199"/>
    </row>
    <row r="956">
      <c r="A956" s="247"/>
      <c r="B956" s="199"/>
      <c r="C956" s="247"/>
      <c r="D956" s="247"/>
      <c r="E956" s="195"/>
      <c r="F956" s="201"/>
      <c r="G956" s="195"/>
      <c r="H956" s="201"/>
      <c r="I956" s="195"/>
      <c r="J956" s="201"/>
      <c r="K956" s="193"/>
      <c r="L956" s="202"/>
      <c r="M956" s="195"/>
      <c r="N956" s="195"/>
      <c r="O956" s="195"/>
      <c r="P956" s="195"/>
      <c r="Q956" s="203"/>
      <c r="R956" s="198"/>
      <c r="S956" s="199"/>
      <c r="T956" s="199"/>
      <c r="U956" s="199"/>
      <c r="V956" s="199"/>
      <c r="W956" s="199"/>
      <c r="X956" s="199"/>
    </row>
    <row r="957">
      <c r="A957" s="247"/>
      <c r="B957" s="199"/>
      <c r="C957" s="247"/>
      <c r="D957" s="247"/>
      <c r="E957" s="195"/>
      <c r="F957" s="201"/>
      <c r="G957" s="195"/>
      <c r="H957" s="201"/>
      <c r="I957" s="195"/>
      <c r="J957" s="201"/>
      <c r="K957" s="193"/>
      <c r="L957" s="202"/>
      <c r="M957" s="195"/>
      <c r="N957" s="195"/>
      <c r="O957" s="195"/>
      <c r="P957" s="195"/>
      <c r="Q957" s="203"/>
      <c r="R957" s="198"/>
      <c r="S957" s="199"/>
      <c r="T957" s="199"/>
      <c r="U957" s="199"/>
      <c r="V957" s="199"/>
      <c r="W957" s="199"/>
      <c r="X957" s="199"/>
    </row>
    <row r="958">
      <c r="A958" s="247"/>
      <c r="B958" s="199"/>
      <c r="C958" s="247"/>
      <c r="D958" s="247"/>
      <c r="E958" s="195"/>
      <c r="F958" s="201"/>
      <c r="G958" s="195"/>
      <c r="H958" s="201"/>
      <c r="I958" s="195"/>
      <c r="J958" s="201"/>
      <c r="K958" s="193"/>
      <c r="L958" s="202"/>
      <c r="M958" s="195"/>
      <c r="N958" s="195"/>
      <c r="O958" s="195"/>
      <c r="P958" s="195"/>
      <c r="Q958" s="203"/>
      <c r="R958" s="198"/>
      <c r="S958" s="199"/>
      <c r="T958" s="199"/>
      <c r="U958" s="199"/>
      <c r="V958" s="199"/>
      <c r="W958" s="199"/>
      <c r="X958" s="199"/>
    </row>
    <row r="959">
      <c r="A959" s="247"/>
      <c r="B959" s="199"/>
      <c r="C959" s="247"/>
      <c r="D959" s="247"/>
      <c r="E959" s="195"/>
      <c r="F959" s="201"/>
      <c r="G959" s="195"/>
      <c r="H959" s="201"/>
      <c r="I959" s="195"/>
      <c r="J959" s="201"/>
      <c r="K959" s="193"/>
      <c r="L959" s="202"/>
      <c r="M959" s="195"/>
      <c r="N959" s="195"/>
      <c r="O959" s="195"/>
      <c r="P959" s="195"/>
      <c r="Q959" s="203"/>
      <c r="R959" s="198"/>
      <c r="S959" s="199"/>
      <c r="T959" s="199"/>
      <c r="U959" s="199"/>
      <c r="V959" s="199"/>
      <c r="W959" s="199"/>
      <c r="X959" s="199"/>
    </row>
    <row r="960">
      <c r="A960" s="247"/>
      <c r="B960" s="199"/>
      <c r="C960" s="247"/>
      <c r="D960" s="247"/>
      <c r="E960" s="195"/>
      <c r="F960" s="201"/>
      <c r="G960" s="195"/>
      <c r="H960" s="201"/>
      <c r="I960" s="195"/>
      <c r="J960" s="201"/>
      <c r="K960" s="193"/>
      <c r="L960" s="202"/>
      <c r="M960" s="195"/>
      <c r="N960" s="195"/>
      <c r="O960" s="195"/>
      <c r="P960" s="195"/>
      <c r="Q960" s="203"/>
      <c r="R960" s="198"/>
      <c r="S960" s="199"/>
      <c r="T960" s="199"/>
      <c r="U960" s="199"/>
      <c r="V960" s="199"/>
      <c r="W960" s="199"/>
      <c r="X960" s="199"/>
    </row>
    <row r="961">
      <c r="A961" s="247"/>
      <c r="B961" s="199"/>
      <c r="C961" s="247"/>
      <c r="D961" s="247"/>
      <c r="E961" s="195"/>
      <c r="F961" s="201"/>
      <c r="G961" s="195"/>
      <c r="H961" s="201"/>
      <c r="I961" s="195"/>
      <c r="J961" s="201"/>
      <c r="K961" s="193"/>
      <c r="L961" s="202"/>
      <c r="M961" s="195"/>
      <c r="N961" s="195"/>
      <c r="O961" s="195"/>
      <c r="P961" s="195"/>
      <c r="Q961" s="203"/>
      <c r="R961" s="198"/>
      <c r="S961" s="199"/>
      <c r="T961" s="199"/>
      <c r="U961" s="199"/>
      <c r="V961" s="199"/>
      <c r="W961" s="199"/>
      <c r="X961" s="199"/>
    </row>
    <row r="962">
      <c r="A962" s="247"/>
      <c r="B962" s="199"/>
      <c r="C962" s="247"/>
      <c r="D962" s="247"/>
      <c r="E962" s="195"/>
      <c r="F962" s="201"/>
      <c r="G962" s="195"/>
      <c r="H962" s="201"/>
      <c r="I962" s="195"/>
      <c r="J962" s="201"/>
      <c r="K962" s="193"/>
      <c r="L962" s="202"/>
      <c r="M962" s="195"/>
      <c r="N962" s="195"/>
      <c r="O962" s="195"/>
      <c r="P962" s="195"/>
      <c r="Q962" s="203"/>
      <c r="R962" s="198"/>
      <c r="S962" s="199"/>
      <c r="T962" s="199"/>
      <c r="U962" s="199"/>
      <c r="V962" s="199"/>
      <c r="W962" s="199"/>
      <c r="X962" s="199"/>
    </row>
    <row r="963">
      <c r="A963" s="247"/>
      <c r="B963" s="199"/>
      <c r="C963" s="247"/>
      <c r="D963" s="247"/>
      <c r="E963" s="195"/>
      <c r="F963" s="201"/>
      <c r="G963" s="195"/>
      <c r="H963" s="201"/>
      <c r="I963" s="195"/>
      <c r="J963" s="201"/>
      <c r="K963" s="193"/>
      <c r="L963" s="202"/>
      <c r="M963" s="195"/>
      <c r="N963" s="195"/>
      <c r="O963" s="195"/>
      <c r="P963" s="195"/>
      <c r="Q963" s="203"/>
      <c r="R963" s="198"/>
      <c r="S963" s="199"/>
      <c r="T963" s="199"/>
      <c r="U963" s="199"/>
      <c r="V963" s="199"/>
      <c r="W963" s="199"/>
      <c r="X963" s="199"/>
    </row>
    <row r="964">
      <c r="A964" s="247"/>
      <c r="B964" s="199"/>
      <c r="C964" s="247"/>
      <c r="D964" s="247"/>
      <c r="E964" s="195"/>
      <c r="F964" s="201"/>
      <c r="G964" s="195"/>
      <c r="H964" s="201"/>
      <c r="I964" s="195"/>
      <c r="J964" s="201"/>
      <c r="K964" s="193"/>
      <c r="L964" s="202"/>
      <c r="M964" s="195"/>
      <c r="N964" s="195"/>
      <c r="O964" s="195"/>
      <c r="P964" s="195"/>
      <c r="Q964" s="203"/>
      <c r="R964" s="198"/>
      <c r="S964" s="199"/>
      <c r="T964" s="199"/>
      <c r="U964" s="199"/>
      <c r="V964" s="199"/>
      <c r="W964" s="199"/>
      <c r="X964" s="199"/>
    </row>
    <row r="965">
      <c r="A965" s="247"/>
      <c r="B965" s="199"/>
      <c r="C965" s="247"/>
      <c r="D965" s="247"/>
      <c r="E965" s="195"/>
      <c r="F965" s="201"/>
      <c r="G965" s="195"/>
      <c r="H965" s="201"/>
      <c r="I965" s="195"/>
      <c r="J965" s="201"/>
      <c r="K965" s="193"/>
      <c r="L965" s="202"/>
      <c r="M965" s="195"/>
      <c r="N965" s="195"/>
      <c r="O965" s="195"/>
      <c r="P965" s="195"/>
      <c r="Q965" s="203"/>
      <c r="R965" s="198"/>
      <c r="S965" s="199"/>
      <c r="T965" s="199"/>
      <c r="U965" s="199"/>
      <c r="V965" s="199"/>
      <c r="W965" s="199"/>
      <c r="X965" s="199"/>
    </row>
    <row r="966">
      <c r="A966" s="247"/>
      <c r="B966" s="199"/>
      <c r="C966" s="247"/>
      <c r="D966" s="247"/>
      <c r="E966" s="195"/>
      <c r="F966" s="201"/>
      <c r="G966" s="195"/>
      <c r="H966" s="201"/>
      <c r="I966" s="195"/>
      <c r="J966" s="201"/>
      <c r="K966" s="193"/>
      <c r="L966" s="202"/>
      <c r="M966" s="195"/>
      <c r="N966" s="195"/>
      <c r="O966" s="195"/>
      <c r="P966" s="195"/>
      <c r="Q966" s="203"/>
      <c r="R966" s="198"/>
      <c r="S966" s="199"/>
      <c r="T966" s="199"/>
      <c r="U966" s="199"/>
      <c r="V966" s="199"/>
      <c r="W966" s="199"/>
      <c r="X966" s="199"/>
    </row>
    <row r="967">
      <c r="A967" s="247"/>
      <c r="B967" s="199"/>
      <c r="C967" s="247"/>
      <c r="D967" s="247"/>
      <c r="E967" s="195"/>
      <c r="F967" s="201"/>
      <c r="G967" s="195"/>
      <c r="H967" s="201"/>
      <c r="I967" s="195"/>
      <c r="J967" s="201"/>
      <c r="K967" s="193"/>
      <c r="L967" s="202"/>
      <c r="M967" s="195"/>
      <c r="N967" s="195"/>
      <c r="O967" s="195"/>
      <c r="P967" s="195"/>
      <c r="Q967" s="203"/>
      <c r="R967" s="198"/>
      <c r="S967" s="199"/>
      <c r="T967" s="199"/>
      <c r="U967" s="199"/>
      <c r="V967" s="199"/>
      <c r="W967" s="199"/>
      <c r="X967" s="199"/>
    </row>
    <row r="968">
      <c r="A968" s="247"/>
      <c r="B968" s="199"/>
      <c r="C968" s="247"/>
      <c r="D968" s="247"/>
      <c r="E968" s="195"/>
      <c r="F968" s="201"/>
      <c r="G968" s="195"/>
      <c r="H968" s="201"/>
      <c r="I968" s="195"/>
      <c r="J968" s="201"/>
      <c r="K968" s="193"/>
      <c r="L968" s="202"/>
      <c r="M968" s="195"/>
      <c r="N968" s="195"/>
      <c r="O968" s="195"/>
      <c r="P968" s="195"/>
      <c r="Q968" s="203"/>
      <c r="R968" s="198"/>
      <c r="S968" s="199"/>
      <c r="T968" s="199"/>
      <c r="U968" s="199"/>
      <c r="V968" s="199"/>
      <c r="W968" s="199"/>
      <c r="X968" s="199"/>
    </row>
    <row r="969">
      <c r="A969" s="247"/>
      <c r="B969" s="199"/>
      <c r="C969" s="247"/>
      <c r="D969" s="247"/>
      <c r="E969" s="195"/>
      <c r="F969" s="201"/>
      <c r="G969" s="195"/>
      <c r="H969" s="201"/>
      <c r="I969" s="195"/>
      <c r="J969" s="201"/>
      <c r="K969" s="193"/>
      <c r="L969" s="202"/>
      <c r="M969" s="195"/>
      <c r="N969" s="195"/>
      <c r="O969" s="195"/>
      <c r="P969" s="195"/>
      <c r="Q969" s="203"/>
      <c r="R969" s="198"/>
      <c r="S969" s="199"/>
      <c r="T969" s="199"/>
      <c r="U969" s="199"/>
      <c r="V969" s="199"/>
      <c r="W969" s="199"/>
      <c r="X969" s="199"/>
    </row>
    <row r="970">
      <c r="A970" s="247"/>
      <c r="B970" s="199"/>
      <c r="C970" s="247"/>
      <c r="D970" s="247"/>
      <c r="E970" s="195"/>
      <c r="F970" s="201"/>
      <c r="G970" s="195"/>
      <c r="H970" s="201"/>
      <c r="I970" s="195"/>
      <c r="J970" s="201"/>
      <c r="K970" s="193"/>
      <c r="L970" s="202"/>
      <c r="M970" s="195"/>
      <c r="N970" s="195"/>
      <c r="O970" s="195"/>
      <c r="P970" s="195"/>
      <c r="Q970" s="203"/>
      <c r="R970" s="198"/>
      <c r="S970" s="199"/>
      <c r="T970" s="199"/>
      <c r="U970" s="199"/>
      <c r="V970" s="199"/>
      <c r="W970" s="199"/>
      <c r="X970" s="199"/>
    </row>
    <row r="971">
      <c r="A971" s="247"/>
      <c r="B971" s="199"/>
      <c r="C971" s="247"/>
      <c r="D971" s="247"/>
      <c r="E971" s="195"/>
      <c r="F971" s="201"/>
      <c r="G971" s="195"/>
      <c r="H971" s="201"/>
      <c r="I971" s="195"/>
      <c r="J971" s="201"/>
      <c r="K971" s="193"/>
      <c r="L971" s="202"/>
      <c r="M971" s="195"/>
      <c r="N971" s="195"/>
      <c r="O971" s="195"/>
      <c r="P971" s="195"/>
      <c r="Q971" s="203"/>
      <c r="R971" s="198"/>
      <c r="S971" s="199"/>
      <c r="T971" s="199"/>
      <c r="U971" s="199"/>
      <c r="V971" s="199"/>
      <c r="W971" s="199"/>
      <c r="X971" s="199"/>
    </row>
    <row r="972">
      <c r="A972" s="247"/>
      <c r="B972" s="199"/>
      <c r="C972" s="247"/>
      <c r="D972" s="247"/>
      <c r="E972" s="195"/>
      <c r="F972" s="201"/>
      <c r="G972" s="195"/>
      <c r="H972" s="201"/>
      <c r="I972" s="195"/>
      <c r="J972" s="201"/>
      <c r="K972" s="193"/>
      <c r="L972" s="202"/>
      <c r="M972" s="195"/>
      <c r="N972" s="195"/>
      <c r="O972" s="195"/>
      <c r="P972" s="195"/>
      <c r="Q972" s="203"/>
      <c r="R972" s="198"/>
      <c r="S972" s="199"/>
      <c r="T972" s="199"/>
      <c r="U972" s="199"/>
      <c r="V972" s="199"/>
      <c r="W972" s="199"/>
      <c r="X972" s="199"/>
    </row>
    <row r="973">
      <c r="A973" s="247"/>
      <c r="B973" s="199"/>
      <c r="C973" s="247"/>
      <c r="D973" s="247"/>
      <c r="E973" s="195"/>
      <c r="F973" s="201"/>
      <c r="G973" s="195"/>
      <c r="H973" s="201"/>
      <c r="I973" s="195"/>
      <c r="J973" s="201"/>
      <c r="K973" s="193"/>
      <c r="L973" s="202"/>
      <c r="M973" s="195"/>
      <c r="N973" s="195"/>
      <c r="O973" s="195"/>
      <c r="P973" s="195"/>
      <c r="Q973" s="203"/>
      <c r="R973" s="198"/>
      <c r="S973" s="199"/>
      <c r="T973" s="199"/>
      <c r="U973" s="199"/>
      <c r="V973" s="199"/>
      <c r="W973" s="199"/>
      <c r="X973" s="199"/>
    </row>
    <row r="974">
      <c r="A974" s="247"/>
      <c r="B974" s="199"/>
      <c r="C974" s="247"/>
      <c r="D974" s="247"/>
      <c r="E974" s="195"/>
      <c r="F974" s="201"/>
      <c r="G974" s="195"/>
      <c r="H974" s="201"/>
      <c r="I974" s="195"/>
      <c r="J974" s="201"/>
      <c r="K974" s="193"/>
      <c r="L974" s="202"/>
      <c r="M974" s="195"/>
      <c r="N974" s="195"/>
      <c r="O974" s="195"/>
      <c r="P974" s="195"/>
      <c r="Q974" s="203"/>
      <c r="R974" s="198"/>
      <c r="S974" s="199"/>
      <c r="T974" s="199"/>
      <c r="U974" s="199"/>
      <c r="V974" s="199"/>
      <c r="W974" s="199"/>
      <c r="X974" s="199"/>
    </row>
    <row r="975">
      <c r="A975" s="247"/>
      <c r="B975" s="199"/>
      <c r="C975" s="247"/>
      <c r="D975" s="247"/>
      <c r="E975" s="195"/>
      <c r="F975" s="201"/>
      <c r="G975" s="195"/>
      <c r="H975" s="201"/>
      <c r="I975" s="195"/>
      <c r="J975" s="201"/>
      <c r="K975" s="193"/>
      <c r="L975" s="202"/>
      <c r="M975" s="195"/>
      <c r="N975" s="195"/>
      <c r="O975" s="195"/>
      <c r="P975" s="195"/>
      <c r="Q975" s="203"/>
      <c r="R975" s="198"/>
      <c r="S975" s="199"/>
      <c r="T975" s="199"/>
      <c r="U975" s="199"/>
      <c r="V975" s="199"/>
      <c r="W975" s="199"/>
      <c r="X975" s="199"/>
    </row>
    <row r="976">
      <c r="A976" s="247"/>
      <c r="B976" s="199"/>
      <c r="C976" s="247"/>
      <c r="D976" s="247"/>
      <c r="E976" s="195"/>
      <c r="F976" s="201"/>
      <c r="G976" s="195"/>
      <c r="H976" s="201"/>
      <c r="I976" s="195"/>
      <c r="J976" s="201"/>
      <c r="K976" s="193"/>
      <c r="L976" s="202"/>
      <c r="M976" s="195"/>
      <c r="N976" s="195"/>
      <c r="O976" s="195"/>
      <c r="P976" s="195"/>
      <c r="Q976" s="203"/>
      <c r="R976" s="198"/>
      <c r="S976" s="199"/>
      <c r="T976" s="199"/>
      <c r="U976" s="199"/>
      <c r="V976" s="199"/>
      <c r="W976" s="199"/>
      <c r="X976" s="199"/>
    </row>
    <row r="977">
      <c r="A977" s="247"/>
      <c r="B977" s="199"/>
      <c r="C977" s="247"/>
      <c r="D977" s="247"/>
      <c r="E977" s="195"/>
      <c r="F977" s="201"/>
      <c r="G977" s="195"/>
      <c r="H977" s="201"/>
      <c r="I977" s="195"/>
      <c r="J977" s="201"/>
      <c r="K977" s="193"/>
      <c r="L977" s="202"/>
      <c r="M977" s="195"/>
      <c r="N977" s="195"/>
      <c r="O977" s="195"/>
      <c r="P977" s="195"/>
      <c r="Q977" s="203"/>
      <c r="R977" s="198"/>
      <c r="S977" s="199"/>
      <c r="T977" s="199"/>
      <c r="U977" s="199"/>
      <c r="V977" s="199"/>
      <c r="W977" s="199"/>
      <c r="X977" s="199"/>
    </row>
    <row r="978">
      <c r="A978" s="247"/>
      <c r="B978" s="199"/>
      <c r="C978" s="247"/>
      <c r="D978" s="247"/>
      <c r="E978" s="195"/>
      <c r="F978" s="201"/>
      <c r="G978" s="195"/>
      <c r="H978" s="201"/>
      <c r="I978" s="195"/>
      <c r="J978" s="201"/>
      <c r="K978" s="193"/>
      <c r="L978" s="202"/>
      <c r="M978" s="195"/>
      <c r="N978" s="195"/>
      <c r="O978" s="195"/>
      <c r="P978" s="195"/>
      <c r="Q978" s="203"/>
      <c r="R978" s="198"/>
      <c r="S978" s="199"/>
      <c r="T978" s="199"/>
      <c r="U978" s="199"/>
      <c r="V978" s="199"/>
      <c r="W978" s="199"/>
      <c r="X978" s="199"/>
    </row>
    <row r="979">
      <c r="A979" s="247"/>
      <c r="B979" s="199"/>
      <c r="C979" s="247"/>
      <c r="D979" s="247"/>
      <c r="E979" s="195"/>
      <c r="F979" s="201"/>
      <c r="G979" s="195"/>
      <c r="H979" s="201"/>
      <c r="I979" s="195"/>
      <c r="J979" s="201"/>
      <c r="K979" s="193"/>
      <c r="L979" s="202"/>
      <c r="M979" s="195"/>
      <c r="N979" s="195"/>
      <c r="O979" s="195"/>
      <c r="P979" s="195"/>
      <c r="Q979" s="203"/>
      <c r="R979" s="198"/>
      <c r="S979" s="199"/>
      <c r="T979" s="199"/>
      <c r="U979" s="199"/>
      <c r="V979" s="199"/>
      <c r="W979" s="199"/>
      <c r="X979" s="199"/>
    </row>
    <row r="980">
      <c r="A980" s="247"/>
      <c r="B980" s="199"/>
      <c r="C980" s="247"/>
      <c r="D980" s="247"/>
      <c r="E980" s="195"/>
      <c r="F980" s="201"/>
      <c r="G980" s="195"/>
      <c r="H980" s="201"/>
      <c r="I980" s="195"/>
      <c r="J980" s="201"/>
      <c r="K980" s="193"/>
      <c r="L980" s="202"/>
      <c r="M980" s="195"/>
      <c r="N980" s="195"/>
      <c r="O980" s="195"/>
      <c r="P980" s="195"/>
      <c r="Q980" s="203"/>
      <c r="R980" s="198"/>
      <c r="S980" s="199"/>
      <c r="T980" s="199"/>
      <c r="U980" s="199"/>
      <c r="V980" s="199"/>
      <c r="W980" s="199"/>
      <c r="X980" s="199"/>
    </row>
    <row r="981">
      <c r="A981" s="247"/>
      <c r="B981" s="199"/>
      <c r="C981" s="247"/>
      <c r="D981" s="247"/>
      <c r="E981" s="195"/>
      <c r="F981" s="201"/>
      <c r="G981" s="195"/>
      <c r="H981" s="201"/>
      <c r="I981" s="195"/>
      <c r="J981" s="201"/>
      <c r="K981" s="193"/>
      <c r="L981" s="202"/>
      <c r="M981" s="195"/>
      <c r="N981" s="195"/>
      <c r="O981" s="195"/>
      <c r="P981" s="195"/>
      <c r="Q981" s="203"/>
      <c r="R981" s="198"/>
      <c r="S981" s="199"/>
      <c r="T981" s="199"/>
      <c r="U981" s="199"/>
      <c r="V981" s="199"/>
      <c r="W981" s="199"/>
      <c r="X981" s="199"/>
    </row>
    <row r="982">
      <c r="A982" s="247"/>
      <c r="B982" s="199"/>
      <c r="C982" s="247"/>
      <c r="D982" s="247"/>
      <c r="E982" s="195"/>
      <c r="F982" s="201"/>
      <c r="G982" s="195"/>
      <c r="H982" s="201"/>
      <c r="I982" s="195"/>
      <c r="J982" s="201"/>
      <c r="K982" s="193"/>
      <c r="L982" s="202"/>
      <c r="M982" s="195"/>
      <c r="N982" s="195"/>
      <c r="O982" s="195"/>
      <c r="P982" s="195"/>
      <c r="Q982" s="203"/>
      <c r="R982" s="198"/>
      <c r="S982" s="199"/>
      <c r="T982" s="199"/>
      <c r="U982" s="199"/>
      <c r="V982" s="199"/>
      <c r="W982" s="199"/>
      <c r="X982" s="199"/>
    </row>
    <row r="983">
      <c r="A983" s="247"/>
      <c r="B983" s="199"/>
      <c r="C983" s="247"/>
      <c r="D983" s="247"/>
      <c r="E983" s="195"/>
      <c r="F983" s="201"/>
      <c r="G983" s="195"/>
      <c r="H983" s="201"/>
      <c r="I983" s="195"/>
      <c r="J983" s="201"/>
      <c r="K983" s="193"/>
      <c r="L983" s="202"/>
      <c r="M983" s="195"/>
      <c r="N983" s="195"/>
      <c r="O983" s="195"/>
      <c r="P983" s="195"/>
      <c r="Q983" s="203"/>
      <c r="R983" s="198"/>
      <c r="S983" s="199"/>
      <c r="T983" s="199"/>
      <c r="U983" s="199"/>
      <c r="V983" s="199"/>
      <c r="W983" s="199"/>
      <c r="X983" s="199"/>
    </row>
    <row r="984">
      <c r="A984" s="247"/>
      <c r="B984" s="199"/>
      <c r="C984" s="247"/>
      <c r="D984" s="247"/>
      <c r="E984" s="195"/>
      <c r="F984" s="201"/>
      <c r="G984" s="195"/>
      <c r="H984" s="201"/>
      <c r="I984" s="195"/>
      <c r="J984" s="201"/>
      <c r="K984" s="193"/>
      <c r="L984" s="202"/>
      <c r="M984" s="195"/>
      <c r="N984" s="195"/>
      <c r="O984" s="195"/>
      <c r="P984" s="195"/>
      <c r="Q984" s="203"/>
      <c r="R984" s="198"/>
      <c r="S984" s="199"/>
      <c r="T984" s="199"/>
      <c r="U984" s="199"/>
      <c r="V984" s="199"/>
      <c r="W984" s="199"/>
      <c r="X984" s="199"/>
    </row>
    <row r="985">
      <c r="A985" s="247"/>
      <c r="B985" s="199"/>
      <c r="C985" s="247"/>
      <c r="D985" s="247"/>
      <c r="E985" s="195"/>
      <c r="F985" s="201"/>
      <c r="G985" s="195"/>
      <c r="H985" s="201"/>
      <c r="I985" s="195"/>
      <c r="J985" s="201"/>
      <c r="K985" s="193"/>
      <c r="L985" s="202"/>
      <c r="M985" s="195"/>
      <c r="N985" s="195"/>
      <c r="O985" s="195"/>
      <c r="P985" s="195"/>
      <c r="Q985" s="203"/>
      <c r="R985" s="198"/>
      <c r="S985" s="199"/>
      <c r="T985" s="199"/>
      <c r="U985" s="199"/>
      <c r="V985" s="199"/>
      <c r="W985" s="199"/>
      <c r="X985" s="199"/>
    </row>
    <row r="986">
      <c r="A986" s="247"/>
      <c r="B986" s="199"/>
      <c r="C986" s="247"/>
      <c r="D986" s="247"/>
      <c r="E986" s="195"/>
      <c r="F986" s="201"/>
      <c r="G986" s="195"/>
      <c r="H986" s="201"/>
      <c r="I986" s="195"/>
      <c r="J986" s="201"/>
      <c r="K986" s="193"/>
      <c r="L986" s="202"/>
      <c r="M986" s="195"/>
      <c r="N986" s="195"/>
      <c r="O986" s="195"/>
      <c r="P986" s="195"/>
      <c r="Q986" s="203"/>
      <c r="R986" s="198"/>
      <c r="S986" s="199"/>
      <c r="T986" s="199"/>
      <c r="U986" s="199"/>
      <c r="V986" s="199"/>
      <c r="W986" s="199"/>
      <c r="X986" s="199"/>
    </row>
    <row r="987">
      <c r="A987" s="247"/>
      <c r="B987" s="199"/>
      <c r="C987" s="247"/>
      <c r="D987" s="247"/>
      <c r="E987" s="195"/>
      <c r="F987" s="201"/>
      <c r="G987" s="195"/>
      <c r="H987" s="201"/>
      <c r="I987" s="195"/>
      <c r="J987" s="201"/>
      <c r="K987" s="193"/>
      <c r="L987" s="202"/>
      <c r="M987" s="195"/>
      <c r="N987" s="195"/>
      <c r="O987" s="195"/>
      <c r="P987" s="195"/>
      <c r="Q987" s="203"/>
      <c r="R987" s="198"/>
      <c r="S987" s="199"/>
      <c r="T987" s="199"/>
      <c r="U987" s="199"/>
      <c r="V987" s="199"/>
      <c r="W987" s="199"/>
      <c r="X987" s="199"/>
    </row>
    <row r="988">
      <c r="A988" s="247"/>
      <c r="B988" s="199"/>
      <c r="C988" s="247"/>
      <c r="D988" s="247"/>
      <c r="E988" s="195"/>
      <c r="F988" s="201"/>
      <c r="G988" s="195"/>
      <c r="H988" s="201"/>
      <c r="I988" s="195"/>
      <c r="J988" s="201"/>
      <c r="K988" s="193"/>
      <c r="L988" s="202"/>
      <c r="M988" s="195"/>
      <c r="N988" s="195"/>
      <c r="O988" s="195"/>
      <c r="P988" s="195"/>
      <c r="Q988" s="203"/>
      <c r="R988" s="198"/>
      <c r="S988" s="199"/>
      <c r="T988" s="199"/>
      <c r="U988" s="199"/>
      <c r="V988" s="199"/>
      <c r="W988" s="199"/>
      <c r="X988" s="199"/>
    </row>
    <row r="989">
      <c r="A989" s="247"/>
      <c r="B989" s="199"/>
      <c r="C989" s="247"/>
      <c r="D989" s="247"/>
      <c r="E989" s="195"/>
      <c r="F989" s="201"/>
      <c r="G989" s="195"/>
      <c r="H989" s="201"/>
      <c r="I989" s="195"/>
      <c r="J989" s="201"/>
      <c r="K989" s="193"/>
      <c r="L989" s="202"/>
      <c r="M989" s="195"/>
      <c r="N989" s="195"/>
      <c r="O989" s="195"/>
      <c r="P989" s="195"/>
      <c r="Q989" s="203"/>
      <c r="R989" s="198"/>
      <c r="S989" s="199"/>
      <c r="T989" s="199"/>
      <c r="U989" s="199"/>
      <c r="V989" s="199"/>
      <c r="W989" s="199"/>
      <c r="X989" s="199"/>
    </row>
    <row r="990">
      <c r="A990" s="247"/>
      <c r="B990" s="199"/>
      <c r="C990" s="247"/>
      <c r="D990" s="247"/>
      <c r="E990" s="195"/>
      <c r="F990" s="201"/>
      <c r="G990" s="195"/>
      <c r="H990" s="201"/>
      <c r="I990" s="195"/>
      <c r="J990" s="201"/>
      <c r="K990" s="193"/>
      <c r="L990" s="202"/>
      <c r="M990" s="195"/>
      <c r="N990" s="195"/>
      <c r="O990" s="195"/>
      <c r="P990" s="195"/>
      <c r="Q990" s="203"/>
      <c r="R990" s="198"/>
      <c r="S990" s="199"/>
      <c r="T990" s="199"/>
      <c r="U990" s="199"/>
      <c r="V990" s="199"/>
      <c r="W990" s="199"/>
      <c r="X990" s="199"/>
    </row>
    <row r="991">
      <c r="A991" s="247"/>
      <c r="B991" s="199"/>
      <c r="C991" s="247"/>
      <c r="D991" s="247"/>
      <c r="E991" s="195"/>
      <c r="F991" s="201"/>
      <c r="G991" s="195"/>
      <c r="H991" s="201"/>
      <c r="I991" s="195"/>
      <c r="J991" s="201"/>
      <c r="K991" s="193"/>
      <c r="L991" s="202"/>
      <c r="M991" s="195"/>
      <c r="N991" s="195"/>
      <c r="O991" s="195"/>
      <c r="P991" s="195"/>
      <c r="Q991" s="203"/>
      <c r="R991" s="198"/>
      <c r="S991" s="199"/>
      <c r="T991" s="199"/>
      <c r="U991" s="199"/>
      <c r="V991" s="199"/>
      <c r="W991" s="199"/>
      <c r="X991" s="199"/>
    </row>
    <row r="992">
      <c r="A992" s="247"/>
      <c r="B992" s="199"/>
      <c r="C992" s="247"/>
      <c r="D992" s="247"/>
      <c r="E992" s="195"/>
      <c r="F992" s="201"/>
      <c r="G992" s="195"/>
      <c r="H992" s="201"/>
      <c r="I992" s="195"/>
      <c r="J992" s="201"/>
      <c r="K992" s="193"/>
      <c r="L992" s="202"/>
      <c r="M992" s="195"/>
      <c r="N992" s="195"/>
      <c r="O992" s="195"/>
      <c r="P992" s="195"/>
      <c r="Q992" s="203"/>
      <c r="R992" s="198"/>
      <c r="S992" s="199"/>
      <c r="T992" s="199"/>
      <c r="U992" s="199"/>
      <c r="V992" s="199"/>
      <c r="W992" s="199"/>
      <c r="X992" s="199"/>
    </row>
    <row r="993">
      <c r="A993" s="247"/>
      <c r="B993" s="199"/>
      <c r="C993" s="247"/>
      <c r="D993" s="247"/>
      <c r="E993" s="195"/>
      <c r="F993" s="201"/>
      <c r="G993" s="195"/>
      <c r="H993" s="201"/>
      <c r="I993" s="195"/>
      <c r="J993" s="201"/>
      <c r="K993" s="193"/>
      <c r="L993" s="202"/>
      <c r="M993" s="195"/>
      <c r="N993" s="195"/>
      <c r="O993" s="195"/>
      <c r="P993" s="195"/>
      <c r="Q993" s="203"/>
      <c r="R993" s="198"/>
      <c r="S993" s="199"/>
      <c r="T993" s="199"/>
      <c r="U993" s="199"/>
      <c r="V993" s="199"/>
      <c r="W993" s="199"/>
      <c r="X993" s="199"/>
    </row>
    <row r="994">
      <c r="A994" s="247"/>
      <c r="B994" s="199"/>
      <c r="C994" s="247"/>
      <c r="D994" s="247"/>
      <c r="E994" s="195"/>
      <c r="F994" s="201"/>
      <c r="G994" s="195"/>
      <c r="H994" s="201"/>
      <c r="I994" s="195"/>
      <c r="J994" s="201"/>
      <c r="K994" s="193"/>
      <c r="L994" s="202"/>
      <c r="M994" s="195"/>
      <c r="N994" s="195"/>
      <c r="O994" s="195"/>
      <c r="P994" s="195"/>
      <c r="Q994" s="203"/>
      <c r="R994" s="198"/>
      <c r="S994" s="199"/>
      <c r="T994" s="199"/>
      <c r="U994" s="199"/>
      <c r="V994" s="199"/>
      <c r="W994" s="199"/>
      <c r="X994" s="199"/>
    </row>
  </sheetData>
  <mergeCells count="34">
    <mergeCell ref="H1:H2"/>
    <mergeCell ref="I1:I2"/>
    <mergeCell ref="J1:J2"/>
    <mergeCell ref="K1:K2"/>
    <mergeCell ref="L1:Q1"/>
    <mergeCell ref="S1:X1"/>
    <mergeCell ref="A3:X3"/>
    <mergeCell ref="A1:A2"/>
    <mergeCell ref="B1:B2"/>
    <mergeCell ref="C1:C2"/>
    <mergeCell ref="D1:D2"/>
    <mergeCell ref="E1:E2"/>
    <mergeCell ref="F1:F2"/>
    <mergeCell ref="G1:G2"/>
    <mergeCell ref="P4:P21"/>
    <mergeCell ref="W4:W21"/>
    <mergeCell ref="A22:R22"/>
    <mergeCell ref="P23:P29"/>
    <mergeCell ref="W23:W29"/>
    <mergeCell ref="A30:R30"/>
    <mergeCell ref="W31:W40"/>
    <mergeCell ref="P46:P52"/>
    <mergeCell ref="P55:P65"/>
    <mergeCell ref="W55:W65"/>
    <mergeCell ref="P67:P74"/>
    <mergeCell ref="W67:W73"/>
    <mergeCell ref="P31:P40"/>
    <mergeCell ref="A41:R41"/>
    <mergeCell ref="P42:P44"/>
    <mergeCell ref="W42:W44"/>
    <mergeCell ref="A45:R45"/>
    <mergeCell ref="W46:W52"/>
    <mergeCell ref="A54:R54"/>
    <mergeCell ref="A66:R66"/>
  </mergeCells>
  <hyperlinks>
    <hyperlink r:id="rId1" ref="F4"/>
    <hyperlink r:id="rId2" ref="H4"/>
    <hyperlink r:id="rId3" ref="J4"/>
    <hyperlink r:id="rId4" ref="F5"/>
    <hyperlink r:id="rId5" ref="H5"/>
    <hyperlink r:id="rId6" ref="J5"/>
    <hyperlink r:id="rId7" ref="F8"/>
    <hyperlink r:id="rId8" ref="H8"/>
    <hyperlink r:id="rId9" ref="J8"/>
    <hyperlink r:id="rId10" ref="F13"/>
    <hyperlink r:id="rId11" ref="H13"/>
    <hyperlink r:id="rId12" ref="J13"/>
    <hyperlink r:id="rId13" ref="F14"/>
    <hyperlink r:id="rId14" ref="H14"/>
    <hyperlink r:id="rId15" ref="J14"/>
    <hyperlink r:id="rId16" ref="F15"/>
    <hyperlink r:id="rId17" ref="H15"/>
    <hyperlink r:id="rId18" ref="J15"/>
    <hyperlink r:id="rId19" ref="F16"/>
    <hyperlink r:id="rId20" ref="H16"/>
    <hyperlink r:id="rId21" ref="J16"/>
    <hyperlink r:id="rId22" ref="F17"/>
    <hyperlink r:id="rId23" ref="H17"/>
    <hyperlink r:id="rId24" ref="J17"/>
    <hyperlink r:id="rId25" ref="F18"/>
    <hyperlink r:id="rId26" ref="H18"/>
    <hyperlink r:id="rId27" ref="J18"/>
    <hyperlink r:id="rId28" ref="F19"/>
    <hyperlink r:id="rId29" ref="H19"/>
    <hyperlink r:id="rId30" ref="J19"/>
    <hyperlink r:id="rId31" ref="F20"/>
    <hyperlink r:id="rId32" ref="H20"/>
    <hyperlink r:id="rId33" ref="F23"/>
    <hyperlink r:id="rId34" ref="H23"/>
    <hyperlink r:id="rId35" ref="J23"/>
    <hyperlink r:id="rId36" ref="F24"/>
    <hyperlink r:id="rId37" ref="H24"/>
    <hyperlink r:id="rId38" ref="J24"/>
    <hyperlink r:id="rId39" ref="F25"/>
    <hyperlink r:id="rId40" ref="F26"/>
    <hyperlink r:id="rId41" ref="F27"/>
    <hyperlink r:id="rId42" ref="H27"/>
    <hyperlink r:id="rId43" ref="J27"/>
    <hyperlink r:id="rId44" ref="F28"/>
    <hyperlink r:id="rId45" ref="J28"/>
    <hyperlink r:id="rId46" ref="F31"/>
    <hyperlink r:id="rId47" ref="H31"/>
    <hyperlink r:id="rId48" ref="J31"/>
    <hyperlink r:id="rId49" ref="F32"/>
    <hyperlink r:id="rId50" ref="H32"/>
    <hyperlink r:id="rId51" ref="J32"/>
    <hyperlink r:id="rId52" ref="F33"/>
    <hyperlink r:id="rId53" ref="H33"/>
    <hyperlink r:id="rId54" ref="J33"/>
    <hyperlink r:id="rId55" ref="F34"/>
    <hyperlink r:id="rId56" ref="H34"/>
    <hyperlink r:id="rId57" ref="J34"/>
    <hyperlink r:id="rId58" ref="F35"/>
    <hyperlink r:id="rId59" ref="H35"/>
    <hyperlink r:id="rId60" ref="J35"/>
    <hyperlink r:id="rId61" ref="F36"/>
    <hyperlink r:id="rId62" ref="H36"/>
    <hyperlink r:id="rId63" ref="J36"/>
    <hyperlink r:id="rId64" ref="F37"/>
    <hyperlink r:id="rId65" ref="H37"/>
    <hyperlink r:id="rId66" ref="J37"/>
    <hyperlink r:id="rId67" ref="F38"/>
    <hyperlink r:id="rId68" ref="H38"/>
    <hyperlink r:id="rId69" ref="J38"/>
    <hyperlink r:id="rId70" ref="F39"/>
    <hyperlink r:id="rId71" ref="H39"/>
    <hyperlink r:id="rId72" ref="F46"/>
    <hyperlink r:id="rId73" ref="H46"/>
    <hyperlink r:id="rId74" ref="J46"/>
    <hyperlink r:id="rId75" ref="F47"/>
    <hyperlink r:id="rId76" ref="H47"/>
    <hyperlink r:id="rId77" ref="J47"/>
    <hyperlink r:id="rId78" ref="F48"/>
    <hyperlink r:id="rId79" ref="H48"/>
    <hyperlink r:id="rId80" ref="J48"/>
    <hyperlink r:id="rId81" ref="F49"/>
    <hyperlink r:id="rId82" ref="H49"/>
    <hyperlink r:id="rId83" ref="J49"/>
    <hyperlink r:id="rId84" ref="F50"/>
    <hyperlink r:id="rId85" ref="H50"/>
    <hyperlink r:id="rId86" ref="J50"/>
    <hyperlink r:id="rId87" ref="F51"/>
    <hyperlink r:id="rId88" ref="H51"/>
    <hyperlink r:id="rId89" ref="J51"/>
    <hyperlink r:id="rId90" ref="F52"/>
    <hyperlink r:id="rId91" ref="H52"/>
    <hyperlink r:id="rId92" ref="J52"/>
    <hyperlink r:id="rId93" ref="F55"/>
    <hyperlink r:id="rId94" ref="H55"/>
    <hyperlink r:id="rId95" ref="J55"/>
    <hyperlink r:id="rId96" ref="F56"/>
    <hyperlink r:id="rId97" ref="H56"/>
    <hyperlink r:id="rId98" ref="J56"/>
    <hyperlink r:id="rId99" ref="F57"/>
    <hyperlink r:id="rId100" ref="H57"/>
    <hyperlink r:id="rId101" ref="J57"/>
    <hyperlink r:id="rId102" ref="F58"/>
    <hyperlink r:id="rId103" ref="H58"/>
    <hyperlink r:id="rId104" ref="J58"/>
    <hyperlink r:id="rId105" ref="F59"/>
    <hyperlink r:id="rId106" ref="H59"/>
    <hyperlink r:id="rId107" ref="J59"/>
    <hyperlink r:id="rId108" ref="F60"/>
    <hyperlink r:id="rId109" ref="F61"/>
    <hyperlink r:id="rId110" ref="F62"/>
    <hyperlink r:id="rId111" ref="F63"/>
    <hyperlink r:id="rId112" ref="F64"/>
    <hyperlink r:id="rId113" ref="F65"/>
    <hyperlink r:id="rId114" ref="F67"/>
    <hyperlink r:id="rId115" ref="H67"/>
    <hyperlink r:id="rId116" ref="J67"/>
    <hyperlink r:id="rId117" ref="F68"/>
    <hyperlink r:id="rId118" ref="H68"/>
    <hyperlink r:id="rId119" ref="J68"/>
    <hyperlink r:id="rId120" ref="F69"/>
    <hyperlink r:id="rId121" ref="H69"/>
    <hyperlink r:id="rId122" ref="J69"/>
    <hyperlink r:id="rId123" ref="F70"/>
    <hyperlink r:id="rId124" ref="H70"/>
    <hyperlink r:id="rId125" ref="J70"/>
    <hyperlink r:id="rId126" ref="F72"/>
    <hyperlink r:id="rId127" ref="H72"/>
    <hyperlink r:id="rId128" ref="J72"/>
    <hyperlink r:id="rId129" ref="F73"/>
    <hyperlink r:id="rId130" ref="H73"/>
    <hyperlink r:id="rId131" ref="J73"/>
    <hyperlink r:id="rId132" ref="F74"/>
    <hyperlink r:id="rId133" ref="H74"/>
    <hyperlink r:id="rId134" ref="J74"/>
  </hyperlinks>
  <drawing r:id="rId1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22"/>
    <col customWidth="1" min="2" max="2" width="8.11"/>
    <col customWidth="1" min="3" max="3" width="27.89"/>
    <col customWidth="1" min="6" max="8" width="16.78"/>
  </cols>
  <sheetData>
    <row r="1" ht="30.0" customHeight="1">
      <c r="A1" s="248" t="s">
        <v>1</v>
      </c>
      <c r="B1" s="248" t="s">
        <v>1172</v>
      </c>
      <c r="C1" s="248" t="s">
        <v>1474</v>
      </c>
      <c r="D1" s="248" t="s">
        <v>1174</v>
      </c>
      <c r="E1" s="248" t="s">
        <v>1221</v>
      </c>
      <c r="F1" s="248" t="s">
        <v>1475</v>
      </c>
      <c r="G1" s="249" t="s">
        <v>1476</v>
      </c>
      <c r="H1" s="250" t="s">
        <v>1477</v>
      </c>
    </row>
    <row r="2" ht="42.0" customHeight="1">
      <c r="A2" s="251"/>
      <c r="B2" s="251"/>
      <c r="C2" s="251"/>
      <c r="D2" s="251"/>
      <c r="E2" s="251"/>
      <c r="F2" s="251"/>
      <c r="G2" s="251"/>
      <c r="H2" s="252" t="s">
        <v>1478</v>
      </c>
    </row>
    <row r="3">
      <c r="A3" s="248" t="s">
        <v>1479</v>
      </c>
      <c r="B3" s="253">
        <v>1.0</v>
      </c>
      <c r="C3" s="254" t="s">
        <v>1480</v>
      </c>
      <c r="D3" s="253">
        <v>2.0</v>
      </c>
      <c r="E3" s="255" t="s">
        <v>1481</v>
      </c>
      <c r="F3" s="254" t="s">
        <v>1482</v>
      </c>
      <c r="G3" s="256"/>
      <c r="H3" s="257"/>
    </row>
    <row r="4">
      <c r="A4" s="258"/>
      <c r="B4" s="253">
        <v>2.0</v>
      </c>
      <c r="C4" s="254" t="s">
        <v>1483</v>
      </c>
      <c r="D4" s="253">
        <v>1.0</v>
      </c>
      <c r="E4" s="255" t="s">
        <v>1481</v>
      </c>
      <c r="F4" s="254" t="s">
        <v>1484</v>
      </c>
      <c r="G4" s="256"/>
      <c r="H4" s="257"/>
    </row>
    <row r="5">
      <c r="A5" s="258"/>
      <c r="B5" s="253">
        <v>3.0</v>
      </c>
      <c r="C5" s="254" t="s">
        <v>1485</v>
      </c>
      <c r="D5" s="253">
        <v>1.0</v>
      </c>
      <c r="E5" s="255" t="s">
        <v>1481</v>
      </c>
      <c r="F5" s="254" t="s">
        <v>1484</v>
      </c>
      <c r="G5" s="256"/>
      <c r="H5" s="257"/>
    </row>
    <row r="6">
      <c r="A6" s="258"/>
      <c r="B6" s="253">
        <v>4.0</v>
      </c>
      <c r="C6" s="254" t="s">
        <v>1486</v>
      </c>
      <c r="D6" s="253">
        <v>1.0</v>
      </c>
      <c r="E6" s="255" t="s">
        <v>1481</v>
      </c>
      <c r="F6" s="254" t="s">
        <v>1484</v>
      </c>
      <c r="G6" s="256"/>
      <c r="H6" s="257"/>
    </row>
    <row r="7">
      <c r="A7" s="258"/>
      <c r="B7" s="253">
        <v>5.0</v>
      </c>
      <c r="C7" s="254" t="s">
        <v>1487</v>
      </c>
      <c r="D7" s="253">
        <v>1.0</v>
      </c>
      <c r="E7" s="255" t="s">
        <v>1481</v>
      </c>
      <c r="F7" s="254" t="s">
        <v>1484</v>
      </c>
      <c r="G7" s="256"/>
      <c r="H7" s="257"/>
    </row>
    <row r="8">
      <c r="A8" s="258"/>
      <c r="B8" s="253">
        <v>6.0</v>
      </c>
      <c r="C8" s="254" t="s">
        <v>1488</v>
      </c>
      <c r="D8" s="253">
        <v>1.0</v>
      </c>
      <c r="E8" s="255" t="s">
        <v>1481</v>
      </c>
      <c r="F8" s="254" t="s">
        <v>1482</v>
      </c>
      <c r="G8" s="256"/>
      <c r="H8" s="257"/>
    </row>
    <row r="9">
      <c r="A9" s="258"/>
      <c r="B9" s="253">
        <v>7.0</v>
      </c>
      <c r="C9" s="254" t="s">
        <v>1489</v>
      </c>
      <c r="D9" s="253">
        <v>1.0</v>
      </c>
      <c r="E9" s="255" t="s">
        <v>1481</v>
      </c>
      <c r="F9" s="254" t="s">
        <v>1484</v>
      </c>
      <c r="G9" s="256"/>
      <c r="H9" s="257"/>
    </row>
    <row r="10">
      <c r="A10" s="258"/>
      <c r="B10" s="253">
        <v>8.0</v>
      </c>
      <c r="C10" s="254" t="s">
        <v>1488</v>
      </c>
      <c r="D10" s="253">
        <v>1.0</v>
      </c>
      <c r="E10" s="255" t="s">
        <v>1481</v>
      </c>
      <c r="F10" s="254" t="s">
        <v>1484</v>
      </c>
      <c r="G10" s="256"/>
      <c r="H10" s="257"/>
    </row>
    <row r="11">
      <c r="A11" s="258"/>
      <c r="B11" s="253">
        <v>9.0</v>
      </c>
      <c r="C11" s="254" t="s">
        <v>1490</v>
      </c>
      <c r="D11" s="253">
        <v>1.0</v>
      </c>
      <c r="E11" s="255" t="s">
        <v>1481</v>
      </c>
      <c r="F11" s="254" t="s">
        <v>1484</v>
      </c>
      <c r="G11" s="256"/>
      <c r="H11" s="257"/>
    </row>
    <row r="12">
      <c r="A12" s="258"/>
      <c r="B12" s="253">
        <v>10.0</v>
      </c>
      <c r="C12" s="254" t="s">
        <v>1491</v>
      </c>
      <c r="D12" s="253">
        <v>1.0</v>
      </c>
      <c r="E12" s="255" t="s">
        <v>1481</v>
      </c>
      <c r="F12" s="254" t="s">
        <v>1484</v>
      </c>
      <c r="G12" s="256"/>
      <c r="H12" s="257"/>
    </row>
    <row r="13">
      <c r="A13" s="258"/>
      <c r="B13" s="253">
        <v>11.0</v>
      </c>
      <c r="C13" s="254" t="s">
        <v>1488</v>
      </c>
      <c r="D13" s="253">
        <v>1.0</v>
      </c>
      <c r="E13" s="255" t="s">
        <v>1481</v>
      </c>
      <c r="F13" s="254" t="s">
        <v>1484</v>
      </c>
      <c r="G13" s="256"/>
      <c r="H13" s="257"/>
    </row>
    <row r="14">
      <c r="A14" s="258"/>
      <c r="B14" s="253">
        <v>12.0</v>
      </c>
      <c r="C14" s="254" t="s">
        <v>1492</v>
      </c>
      <c r="D14" s="253">
        <v>1.0</v>
      </c>
      <c r="E14" s="255" t="s">
        <v>1481</v>
      </c>
      <c r="F14" s="254" t="s">
        <v>1484</v>
      </c>
      <c r="G14" s="256"/>
      <c r="H14" s="257"/>
    </row>
    <row r="15">
      <c r="A15" s="258"/>
      <c r="B15" s="253">
        <v>13.0</v>
      </c>
      <c r="C15" s="254" t="s">
        <v>1493</v>
      </c>
      <c r="D15" s="253">
        <v>1.0</v>
      </c>
      <c r="E15" s="255" t="s">
        <v>1481</v>
      </c>
      <c r="F15" s="254" t="s">
        <v>1484</v>
      </c>
      <c r="G15" s="256"/>
      <c r="H15" s="257"/>
    </row>
    <row r="16">
      <c r="A16" s="258"/>
      <c r="B16" s="253">
        <v>14.0</v>
      </c>
      <c r="C16" s="254" t="s">
        <v>1490</v>
      </c>
      <c r="D16" s="253">
        <v>1.0</v>
      </c>
      <c r="E16" s="255" t="s">
        <v>1481</v>
      </c>
      <c r="F16" s="254" t="s">
        <v>1484</v>
      </c>
      <c r="G16" s="256"/>
      <c r="H16" s="257"/>
    </row>
    <row r="17">
      <c r="A17" s="258"/>
      <c r="B17" s="253">
        <v>15.0</v>
      </c>
      <c r="C17" s="254" t="s">
        <v>1494</v>
      </c>
      <c r="D17" s="253">
        <v>1.0</v>
      </c>
      <c r="E17" s="255" t="s">
        <v>1481</v>
      </c>
      <c r="F17" s="254" t="s">
        <v>1484</v>
      </c>
      <c r="G17" s="256"/>
      <c r="H17" s="257"/>
    </row>
    <row r="18">
      <c r="A18" s="258"/>
      <c r="B18" s="253">
        <v>16.0</v>
      </c>
      <c r="C18" s="254" t="s">
        <v>1495</v>
      </c>
      <c r="D18" s="253">
        <v>1.0</v>
      </c>
      <c r="E18" s="255" t="s">
        <v>1481</v>
      </c>
      <c r="F18" s="254" t="s">
        <v>1484</v>
      </c>
      <c r="G18" s="256"/>
      <c r="H18" s="257"/>
    </row>
    <row r="19">
      <c r="A19" s="258"/>
      <c r="B19" s="253">
        <v>17.0</v>
      </c>
      <c r="C19" s="254" t="s">
        <v>1496</v>
      </c>
      <c r="D19" s="253">
        <v>1.0</v>
      </c>
      <c r="E19" s="255" t="s">
        <v>1481</v>
      </c>
      <c r="F19" s="254" t="s">
        <v>1484</v>
      </c>
      <c r="G19" s="256"/>
      <c r="H19" s="257"/>
    </row>
    <row r="20">
      <c r="A20" s="258"/>
      <c r="B20" s="253">
        <v>18.0</v>
      </c>
      <c r="C20" s="254" t="s">
        <v>1497</v>
      </c>
      <c r="D20" s="253">
        <v>1.0</v>
      </c>
      <c r="E20" s="255" t="s">
        <v>1481</v>
      </c>
      <c r="F20" s="254" t="s">
        <v>1484</v>
      </c>
      <c r="G20" s="256"/>
      <c r="H20" s="257"/>
    </row>
    <row r="21">
      <c r="A21" s="258"/>
      <c r="B21" s="253">
        <v>19.0</v>
      </c>
      <c r="C21" s="254" t="s">
        <v>1498</v>
      </c>
      <c r="D21" s="253">
        <v>1.0</v>
      </c>
      <c r="E21" s="255" t="s">
        <v>1481</v>
      </c>
      <c r="F21" s="254" t="s">
        <v>1482</v>
      </c>
      <c r="G21" s="256"/>
      <c r="H21" s="257"/>
    </row>
    <row r="22">
      <c r="A22" s="258"/>
      <c r="B22" s="253">
        <v>20.0</v>
      </c>
      <c r="C22" s="254" t="s">
        <v>1499</v>
      </c>
      <c r="D22" s="253">
        <v>1.0</v>
      </c>
      <c r="E22" s="255" t="s">
        <v>1481</v>
      </c>
      <c r="F22" s="254" t="s">
        <v>1482</v>
      </c>
      <c r="G22" s="256"/>
      <c r="H22" s="257"/>
    </row>
    <row r="23">
      <c r="A23" s="258"/>
      <c r="B23" s="253">
        <v>21.0</v>
      </c>
      <c r="C23" s="254" t="s">
        <v>1494</v>
      </c>
      <c r="D23" s="253">
        <v>1.0</v>
      </c>
      <c r="E23" s="255" t="s">
        <v>1481</v>
      </c>
      <c r="F23" s="254" t="s">
        <v>1484</v>
      </c>
      <c r="G23" s="256"/>
      <c r="H23" s="257"/>
    </row>
    <row r="24">
      <c r="A24" s="258"/>
      <c r="B24" s="253">
        <v>22.0</v>
      </c>
      <c r="C24" s="254" t="s">
        <v>1500</v>
      </c>
      <c r="D24" s="253">
        <v>1.0</v>
      </c>
      <c r="E24" s="255" t="s">
        <v>1481</v>
      </c>
      <c r="F24" s="254" t="s">
        <v>1484</v>
      </c>
      <c r="G24" s="256"/>
      <c r="H24" s="257"/>
    </row>
    <row r="25">
      <c r="A25" s="258"/>
      <c r="B25" s="253">
        <v>23.0</v>
      </c>
      <c r="C25" s="254" t="s">
        <v>1501</v>
      </c>
      <c r="D25" s="253">
        <v>1.0</v>
      </c>
      <c r="E25" s="255" t="s">
        <v>1244</v>
      </c>
      <c r="F25" s="254" t="s">
        <v>1484</v>
      </c>
      <c r="G25" s="256"/>
      <c r="H25" s="257"/>
    </row>
    <row r="26">
      <c r="A26" s="258"/>
      <c r="B26" s="253">
        <v>24.0</v>
      </c>
      <c r="C26" s="254" t="s">
        <v>1502</v>
      </c>
      <c r="D26" s="253">
        <v>1.0</v>
      </c>
      <c r="E26" s="255" t="s">
        <v>1481</v>
      </c>
      <c r="F26" s="254" t="s">
        <v>1484</v>
      </c>
      <c r="G26" s="256"/>
      <c r="H26" s="257"/>
    </row>
    <row r="27">
      <c r="A27" s="258"/>
      <c r="B27" s="253">
        <v>25.0</v>
      </c>
      <c r="C27" s="254" t="s">
        <v>1503</v>
      </c>
      <c r="D27" s="253">
        <v>1.0</v>
      </c>
      <c r="E27" s="255" t="s">
        <v>1481</v>
      </c>
      <c r="F27" s="254" t="s">
        <v>1482</v>
      </c>
      <c r="G27" s="256"/>
      <c r="H27" s="257"/>
    </row>
    <row r="28">
      <c r="A28" s="258"/>
      <c r="B28" s="253">
        <v>26.0</v>
      </c>
      <c r="C28" s="254" t="s">
        <v>1488</v>
      </c>
      <c r="D28" s="253">
        <v>1.0</v>
      </c>
      <c r="E28" s="255" t="s">
        <v>1481</v>
      </c>
      <c r="F28" s="254" t="s">
        <v>1504</v>
      </c>
      <c r="G28" s="256"/>
      <c r="H28" s="257"/>
    </row>
    <row r="29">
      <c r="A29" s="258"/>
      <c r="B29" s="253">
        <v>27.0</v>
      </c>
      <c r="C29" s="254" t="s">
        <v>1505</v>
      </c>
      <c r="D29" s="253">
        <v>1.0</v>
      </c>
      <c r="E29" s="255" t="s">
        <v>1481</v>
      </c>
      <c r="F29" s="254" t="s">
        <v>1484</v>
      </c>
      <c r="G29" s="256"/>
      <c r="H29" s="257"/>
    </row>
    <row r="30">
      <c r="A30" s="258"/>
      <c r="B30" s="253">
        <v>28.0</v>
      </c>
      <c r="C30" s="254" t="s">
        <v>1506</v>
      </c>
      <c r="D30" s="253">
        <v>1.0</v>
      </c>
      <c r="E30" s="255" t="s">
        <v>1481</v>
      </c>
      <c r="F30" s="254" t="s">
        <v>1484</v>
      </c>
      <c r="G30" s="256"/>
      <c r="H30" s="257"/>
    </row>
    <row r="31">
      <c r="A31" s="258"/>
      <c r="B31" s="253">
        <v>29.0</v>
      </c>
      <c r="C31" s="254" t="s">
        <v>1488</v>
      </c>
      <c r="D31" s="253">
        <v>1.0</v>
      </c>
      <c r="E31" s="255" t="s">
        <v>1481</v>
      </c>
      <c r="F31" s="254" t="s">
        <v>1484</v>
      </c>
      <c r="G31" s="256"/>
      <c r="H31" s="257"/>
    </row>
    <row r="32">
      <c r="A32" s="258"/>
      <c r="B32" s="253">
        <v>30.0</v>
      </c>
      <c r="C32" s="254" t="s">
        <v>1507</v>
      </c>
      <c r="D32" s="253">
        <v>1.0</v>
      </c>
      <c r="E32" s="255" t="s">
        <v>1481</v>
      </c>
      <c r="F32" s="254" t="s">
        <v>1508</v>
      </c>
      <c r="G32" s="256"/>
      <c r="H32" s="257"/>
    </row>
    <row r="33">
      <c r="A33" s="258"/>
      <c r="B33" s="253">
        <v>31.0</v>
      </c>
      <c r="C33" s="254" t="s">
        <v>1509</v>
      </c>
      <c r="D33" s="253">
        <v>1.0</v>
      </c>
      <c r="E33" s="255" t="s">
        <v>1481</v>
      </c>
      <c r="F33" s="254" t="s">
        <v>1484</v>
      </c>
      <c r="G33" s="256"/>
      <c r="H33" s="257"/>
    </row>
    <row r="34">
      <c r="A34" s="258"/>
      <c r="B34" s="253">
        <v>32.0</v>
      </c>
      <c r="C34" s="254" t="s">
        <v>1510</v>
      </c>
      <c r="D34" s="253">
        <v>1.0</v>
      </c>
      <c r="E34" s="255" t="s">
        <v>1481</v>
      </c>
      <c r="F34" s="254" t="s">
        <v>1484</v>
      </c>
      <c r="G34" s="256"/>
      <c r="H34" s="257"/>
    </row>
    <row r="35">
      <c r="A35" s="258"/>
      <c r="B35" s="253">
        <v>33.0</v>
      </c>
      <c r="C35" s="254" t="s">
        <v>1511</v>
      </c>
      <c r="D35" s="253">
        <v>1.0</v>
      </c>
      <c r="E35" s="255" t="s">
        <v>1481</v>
      </c>
      <c r="F35" s="254" t="s">
        <v>1484</v>
      </c>
      <c r="G35" s="256"/>
      <c r="H35" s="257"/>
    </row>
    <row r="36">
      <c r="A36" s="258"/>
      <c r="B36" s="253">
        <v>34.0</v>
      </c>
      <c r="C36" s="254" t="s">
        <v>1512</v>
      </c>
      <c r="D36" s="253">
        <v>1.0</v>
      </c>
      <c r="E36" s="255" t="s">
        <v>1481</v>
      </c>
      <c r="F36" s="254" t="s">
        <v>1484</v>
      </c>
      <c r="G36" s="256"/>
      <c r="H36" s="257"/>
    </row>
    <row r="37">
      <c r="A37" s="258"/>
      <c r="B37" s="253">
        <v>35.0</v>
      </c>
      <c r="C37" s="254" t="s">
        <v>1513</v>
      </c>
      <c r="D37" s="253">
        <v>1.0</v>
      </c>
      <c r="E37" s="255" t="s">
        <v>1481</v>
      </c>
      <c r="F37" s="254" t="s">
        <v>1508</v>
      </c>
      <c r="G37" s="256"/>
      <c r="H37" s="257"/>
    </row>
    <row r="38">
      <c r="A38" s="258"/>
      <c r="B38" s="253">
        <v>36.0</v>
      </c>
      <c r="C38" s="254" t="s">
        <v>1514</v>
      </c>
      <c r="D38" s="253">
        <v>1.0</v>
      </c>
      <c r="E38" s="255" t="s">
        <v>1481</v>
      </c>
      <c r="F38" s="254" t="s">
        <v>1508</v>
      </c>
      <c r="G38" s="256"/>
      <c r="H38" s="257"/>
    </row>
    <row r="39">
      <c r="A39" s="258"/>
      <c r="B39" s="253">
        <v>37.0</v>
      </c>
      <c r="C39" s="254" t="s">
        <v>1515</v>
      </c>
      <c r="D39" s="253">
        <v>13.0</v>
      </c>
      <c r="E39" s="255" t="s">
        <v>1481</v>
      </c>
      <c r="F39" s="254" t="s">
        <v>1504</v>
      </c>
      <c r="G39" s="256"/>
      <c r="H39" s="257"/>
    </row>
    <row r="40">
      <c r="A40" s="258"/>
      <c r="B40" s="253">
        <v>38.0</v>
      </c>
      <c r="C40" s="254" t="s">
        <v>1516</v>
      </c>
      <c r="D40" s="253">
        <v>1.0</v>
      </c>
      <c r="E40" s="255" t="s">
        <v>1481</v>
      </c>
      <c r="F40" s="254" t="s">
        <v>1484</v>
      </c>
      <c r="G40" s="256"/>
      <c r="H40" s="257"/>
    </row>
    <row r="41">
      <c r="A41" s="258"/>
      <c r="B41" s="253">
        <v>39.0</v>
      </c>
      <c r="C41" s="254" t="s">
        <v>1517</v>
      </c>
      <c r="D41" s="253">
        <v>1.0</v>
      </c>
      <c r="E41" s="255" t="s">
        <v>1481</v>
      </c>
      <c r="F41" s="254" t="s">
        <v>1484</v>
      </c>
      <c r="G41" s="256"/>
      <c r="H41" s="257"/>
    </row>
    <row r="42">
      <c r="A42" s="258"/>
      <c r="B42" s="253">
        <v>40.0</v>
      </c>
      <c r="C42" s="254" t="s">
        <v>1518</v>
      </c>
      <c r="D42" s="253">
        <v>1.0</v>
      </c>
      <c r="E42" s="255" t="s">
        <v>1481</v>
      </c>
      <c r="F42" s="254" t="s">
        <v>1484</v>
      </c>
      <c r="G42" s="256"/>
      <c r="H42" s="257"/>
    </row>
    <row r="43">
      <c r="A43" s="251"/>
      <c r="B43" s="259">
        <v>41.0</v>
      </c>
      <c r="C43" s="260" t="s">
        <v>1519</v>
      </c>
      <c r="D43" s="259">
        <v>2.0</v>
      </c>
      <c r="E43" s="261" t="s">
        <v>1481</v>
      </c>
      <c r="F43" s="260" t="s">
        <v>1484</v>
      </c>
      <c r="G43" s="262"/>
      <c r="H43" s="263"/>
    </row>
    <row r="44">
      <c r="A44" s="264" t="s">
        <v>1520</v>
      </c>
      <c r="B44" s="265">
        <v>1.0</v>
      </c>
      <c r="C44" s="266" t="s">
        <v>1521</v>
      </c>
      <c r="D44" s="267"/>
      <c r="E44" s="268"/>
      <c r="F44" s="269"/>
      <c r="G44" s="270"/>
      <c r="H44" s="271"/>
    </row>
    <row r="45">
      <c r="A45" s="258"/>
      <c r="B45" s="272"/>
      <c r="C45" s="254" t="s">
        <v>1522</v>
      </c>
      <c r="D45" s="272"/>
      <c r="E45" s="272"/>
      <c r="F45" s="273"/>
      <c r="G45" s="256"/>
      <c r="H45" s="274"/>
    </row>
    <row r="46">
      <c r="A46" s="258"/>
      <c r="B46" s="253">
        <v>2.0</v>
      </c>
      <c r="C46" s="254" t="s">
        <v>1523</v>
      </c>
      <c r="D46" s="253">
        <v>1.0</v>
      </c>
      <c r="E46" s="255" t="s">
        <v>1481</v>
      </c>
      <c r="F46" s="254" t="s">
        <v>1524</v>
      </c>
      <c r="G46" s="256"/>
      <c r="H46" s="274"/>
    </row>
    <row r="47">
      <c r="A47" s="258"/>
      <c r="B47" s="253">
        <v>3.0</v>
      </c>
      <c r="C47" s="254" t="s">
        <v>1525</v>
      </c>
      <c r="D47" s="253">
        <v>4.0</v>
      </c>
      <c r="E47" s="255" t="s">
        <v>1481</v>
      </c>
      <c r="F47" s="254" t="s">
        <v>1524</v>
      </c>
      <c r="G47" s="256"/>
      <c r="H47" s="274"/>
    </row>
    <row r="48">
      <c r="A48" s="258"/>
      <c r="B48" s="253">
        <v>4.0</v>
      </c>
      <c r="C48" s="254" t="s">
        <v>1496</v>
      </c>
      <c r="D48" s="253">
        <v>5.0</v>
      </c>
      <c r="E48" s="255" t="s">
        <v>1481</v>
      </c>
      <c r="F48" s="254" t="s">
        <v>1524</v>
      </c>
      <c r="G48" s="256"/>
      <c r="H48" s="274"/>
    </row>
    <row r="49">
      <c r="A49" s="258"/>
      <c r="B49" s="253">
        <v>5.0</v>
      </c>
      <c r="C49" s="254" t="s">
        <v>1526</v>
      </c>
      <c r="D49" s="253">
        <v>2.0</v>
      </c>
      <c r="E49" s="255" t="s">
        <v>1481</v>
      </c>
      <c r="F49" s="254" t="s">
        <v>1524</v>
      </c>
      <c r="G49" s="256"/>
      <c r="H49" s="274"/>
    </row>
    <row r="50">
      <c r="A50" s="258"/>
      <c r="B50" s="253">
        <v>6.0</v>
      </c>
      <c r="C50" s="254" t="s">
        <v>1517</v>
      </c>
      <c r="D50" s="253">
        <v>1.0</v>
      </c>
      <c r="E50" s="255" t="s">
        <v>1481</v>
      </c>
      <c r="F50" s="254" t="s">
        <v>1524</v>
      </c>
      <c r="G50" s="256"/>
      <c r="H50" s="274"/>
    </row>
    <row r="51">
      <c r="A51" s="258"/>
      <c r="B51" s="253">
        <v>7.0</v>
      </c>
      <c r="C51" s="254" t="s">
        <v>1527</v>
      </c>
      <c r="D51" s="253">
        <v>1.0</v>
      </c>
      <c r="E51" s="255" t="s">
        <v>1481</v>
      </c>
      <c r="F51" s="254" t="s">
        <v>1524</v>
      </c>
      <c r="G51" s="256"/>
      <c r="H51" s="274"/>
    </row>
    <row r="52">
      <c r="A52" s="275"/>
      <c r="B52" s="276">
        <v>8.0</v>
      </c>
      <c r="C52" s="277" t="s">
        <v>1528</v>
      </c>
      <c r="D52" s="276">
        <v>1.0</v>
      </c>
      <c r="E52" s="278" t="s">
        <v>1481</v>
      </c>
      <c r="F52" s="277" t="s">
        <v>1524</v>
      </c>
      <c r="G52" s="279"/>
      <c r="H52" s="280"/>
    </row>
    <row r="53">
      <c r="A53" s="281" t="s">
        <v>1529</v>
      </c>
      <c r="B53" s="282">
        <v>1.0</v>
      </c>
      <c r="C53" s="283" t="s">
        <v>1530</v>
      </c>
      <c r="D53" s="282">
        <v>1.0</v>
      </c>
      <c r="E53" s="284" t="s">
        <v>1190</v>
      </c>
      <c r="F53" s="283" t="s">
        <v>1524</v>
      </c>
      <c r="G53" s="285"/>
      <c r="H53" s="286"/>
    </row>
    <row r="54">
      <c r="A54" s="258"/>
      <c r="B54" s="253">
        <v>2.0</v>
      </c>
      <c r="C54" s="254" t="s">
        <v>1531</v>
      </c>
      <c r="D54" s="253">
        <v>1.0</v>
      </c>
      <c r="E54" s="255" t="s">
        <v>1244</v>
      </c>
      <c r="F54" s="254" t="s">
        <v>1532</v>
      </c>
      <c r="G54" s="256"/>
      <c r="H54" s="274"/>
    </row>
    <row r="55">
      <c r="A55" s="258"/>
      <c r="B55" s="253">
        <v>3.0</v>
      </c>
      <c r="C55" s="254" t="s">
        <v>1533</v>
      </c>
      <c r="D55" s="253">
        <v>10.0</v>
      </c>
      <c r="E55" s="255" t="s">
        <v>1190</v>
      </c>
      <c r="F55" s="254" t="s">
        <v>1534</v>
      </c>
      <c r="G55" s="256"/>
      <c r="H55" s="274"/>
    </row>
    <row r="56">
      <c r="A56" s="258"/>
      <c r="B56" s="253">
        <v>4.0</v>
      </c>
      <c r="C56" s="254" t="s">
        <v>1533</v>
      </c>
      <c r="D56" s="253">
        <v>1.0</v>
      </c>
      <c r="E56" s="255" t="s">
        <v>1190</v>
      </c>
      <c r="F56" s="254" t="s">
        <v>1484</v>
      </c>
      <c r="G56" s="256"/>
      <c r="H56" s="274"/>
    </row>
    <row r="57">
      <c r="A57" s="258"/>
      <c r="B57" s="253">
        <v>5.0</v>
      </c>
      <c r="C57" s="254" t="s">
        <v>1535</v>
      </c>
      <c r="D57" s="253">
        <v>6.0</v>
      </c>
      <c r="E57" s="255" t="s">
        <v>1190</v>
      </c>
      <c r="F57" s="254" t="s">
        <v>1534</v>
      </c>
      <c r="G57" s="256"/>
      <c r="H57" s="274"/>
    </row>
    <row r="58">
      <c r="A58" s="258"/>
      <c r="B58" s="253">
        <v>6.0</v>
      </c>
      <c r="C58" s="254" t="s">
        <v>1536</v>
      </c>
      <c r="D58" s="253">
        <v>1.0</v>
      </c>
      <c r="E58" s="255" t="s">
        <v>1190</v>
      </c>
      <c r="F58" s="254" t="s">
        <v>1524</v>
      </c>
      <c r="G58" s="256"/>
      <c r="H58" s="274"/>
    </row>
    <row r="59">
      <c r="A59" s="258"/>
      <c r="B59" s="253">
        <v>7.0</v>
      </c>
      <c r="C59" s="254" t="s">
        <v>1537</v>
      </c>
      <c r="D59" s="253">
        <v>1.0</v>
      </c>
      <c r="E59" s="255" t="s">
        <v>1190</v>
      </c>
      <c r="F59" s="254" t="s">
        <v>1534</v>
      </c>
      <c r="G59" s="256"/>
      <c r="H59" s="274"/>
    </row>
    <row r="60">
      <c r="A60" s="258"/>
      <c r="B60" s="253">
        <v>8.0</v>
      </c>
      <c r="C60" s="254" t="s">
        <v>1538</v>
      </c>
      <c r="D60" s="253">
        <v>13.0</v>
      </c>
      <c r="E60" s="255" t="s">
        <v>1190</v>
      </c>
      <c r="F60" s="254" t="s">
        <v>1524</v>
      </c>
      <c r="G60" s="256"/>
      <c r="H60" s="274"/>
    </row>
    <row r="61">
      <c r="A61" s="258"/>
      <c r="B61" s="253">
        <v>9.0</v>
      </c>
      <c r="C61" s="254" t="s">
        <v>1539</v>
      </c>
      <c r="D61" s="253">
        <v>4.0</v>
      </c>
      <c r="E61" s="255" t="s">
        <v>1190</v>
      </c>
      <c r="F61" s="254" t="s">
        <v>1524</v>
      </c>
      <c r="G61" s="256"/>
      <c r="H61" s="274"/>
    </row>
    <row r="62">
      <c r="A62" s="258"/>
      <c r="B62" s="253">
        <v>10.0</v>
      </c>
      <c r="C62" s="254" t="s">
        <v>1540</v>
      </c>
      <c r="D62" s="253">
        <v>1.0</v>
      </c>
      <c r="E62" s="255" t="s">
        <v>1190</v>
      </c>
      <c r="F62" s="254" t="s">
        <v>1524</v>
      </c>
      <c r="G62" s="256"/>
      <c r="H62" s="274"/>
    </row>
    <row r="63">
      <c r="A63" s="258"/>
      <c r="B63" s="253">
        <v>11.0</v>
      </c>
      <c r="C63" s="254" t="s">
        <v>1541</v>
      </c>
      <c r="D63" s="253">
        <v>1.0</v>
      </c>
      <c r="E63" s="255" t="s">
        <v>1190</v>
      </c>
      <c r="F63" s="254" t="s">
        <v>1524</v>
      </c>
      <c r="G63" s="256"/>
      <c r="H63" s="274"/>
    </row>
    <row r="64">
      <c r="A64" s="258"/>
      <c r="B64" s="253">
        <v>12.0</v>
      </c>
      <c r="C64" s="254" t="s">
        <v>1542</v>
      </c>
      <c r="D64" s="253">
        <v>1.0</v>
      </c>
      <c r="E64" s="255" t="s">
        <v>1190</v>
      </c>
      <c r="F64" s="254" t="s">
        <v>1524</v>
      </c>
      <c r="G64" s="256"/>
      <c r="H64" s="274"/>
    </row>
    <row r="65">
      <c r="A65" s="258"/>
      <c r="B65" s="253">
        <v>13.0</v>
      </c>
      <c r="C65" s="254" t="s">
        <v>1543</v>
      </c>
      <c r="D65" s="253">
        <v>32.0</v>
      </c>
      <c r="E65" s="255" t="s">
        <v>1190</v>
      </c>
      <c r="F65" s="254" t="s">
        <v>1524</v>
      </c>
      <c r="G65" s="256"/>
      <c r="H65" s="274"/>
    </row>
    <row r="66">
      <c r="A66" s="258"/>
      <c r="B66" s="253">
        <v>14.0</v>
      </c>
      <c r="C66" s="254" t="s">
        <v>1544</v>
      </c>
      <c r="D66" s="253">
        <v>31.0</v>
      </c>
      <c r="E66" s="255" t="s">
        <v>1190</v>
      </c>
      <c r="F66" s="254" t="s">
        <v>1524</v>
      </c>
      <c r="G66" s="256"/>
      <c r="H66" s="274"/>
    </row>
    <row r="67">
      <c r="A67" s="258"/>
      <c r="B67" s="253">
        <v>15.0</v>
      </c>
      <c r="C67" s="254" t="s">
        <v>1545</v>
      </c>
      <c r="D67" s="253">
        <v>15.0</v>
      </c>
      <c r="E67" s="255" t="s">
        <v>1190</v>
      </c>
      <c r="F67" s="254" t="s">
        <v>1524</v>
      </c>
      <c r="G67" s="256"/>
      <c r="H67" s="274"/>
    </row>
    <row r="68">
      <c r="A68" s="258"/>
      <c r="B68" s="253">
        <v>16.0</v>
      </c>
      <c r="C68" s="254" t="s">
        <v>1546</v>
      </c>
      <c r="D68" s="253">
        <v>29.0</v>
      </c>
      <c r="E68" s="255" t="s">
        <v>1190</v>
      </c>
      <c r="F68" s="254" t="s">
        <v>1524</v>
      </c>
      <c r="G68" s="256"/>
      <c r="H68" s="274"/>
    </row>
    <row r="69">
      <c r="A69" s="258"/>
      <c r="B69" s="253">
        <v>17.0</v>
      </c>
      <c r="C69" s="254" t="s">
        <v>1547</v>
      </c>
      <c r="D69" s="253">
        <v>16.0</v>
      </c>
      <c r="E69" s="255" t="s">
        <v>1190</v>
      </c>
      <c r="F69" s="254" t="s">
        <v>1524</v>
      </c>
      <c r="G69" s="256"/>
      <c r="H69" s="274"/>
    </row>
    <row r="70">
      <c r="A70" s="258"/>
      <c r="B70" s="253">
        <v>18.0</v>
      </c>
      <c r="C70" s="254" t="s">
        <v>1548</v>
      </c>
      <c r="D70" s="253">
        <v>14.0</v>
      </c>
      <c r="E70" s="255" t="s">
        <v>1190</v>
      </c>
      <c r="F70" s="254" t="s">
        <v>1524</v>
      </c>
      <c r="G70" s="256"/>
      <c r="H70" s="274"/>
    </row>
    <row r="71">
      <c r="A71" s="258"/>
      <c r="B71" s="253">
        <v>19.0</v>
      </c>
      <c r="C71" s="254" t="s">
        <v>1549</v>
      </c>
      <c r="D71" s="253">
        <v>2.0</v>
      </c>
      <c r="E71" s="255" t="s">
        <v>1190</v>
      </c>
      <c r="F71" s="254" t="s">
        <v>1524</v>
      </c>
      <c r="G71" s="256"/>
      <c r="H71" s="274"/>
    </row>
    <row r="72">
      <c r="A72" s="258"/>
      <c r="B72" s="253">
        <v>20.0</v>
      </c>
      <c r="C72" s="254" t="s">
        <v>1549</v>
      </c>
      <c r="D72" s="253">
        <v>1.0</v>
      </c>
      <c r="E72" s="255" t="s">
        <v>1190</v>
      </c>
      <c r="F72" s="254" t="s">
        <v>1534</v>
      </c>
      <c r="G72" s="256"/>
      <c r="H72" s="274"/>
    </row>
    <row r="73">
      <c r="A73" s="258"/>
      <c r="B73" s="253">
        <v>21.0</v>
      </c>
      <c r="C73" s="254" t="s">
        <v>1550</v>
      </c>
      <c r="D73" s="253">
        <v>1.0</v>
      </c>
      <c r="E73" s="255" t="s">
        <v>1190</v>
      </c>
      <c r="F73" s="254" t="s">
        <v>1524</v>
      </c>
      <c r="G73" s="256"/>
      <c r="H73" s="274"/>
    </row>
    <row r="74">
      <c r="A74" s="251"/>
      <c r="B74" s="259">
        <v>22.0</v>
      </c>
      <c r="C74" s="260" t="s">
        <v>1551</v>
      </c>
      <c r="D74" s="259">
        <v>1.0</v>
      </c>
      <c r="E74" s="261" t="s">
        <v>1190</v>
      </c>
      <c r="F74" s="260" t="s">
        <v>1524</v>
      </c>
      <c r="G74" s="262"/>
      <c r="H74" s="287"/>
    </row>
    <row r="75">
      <c r="A75" s="264" t="s">
        <v>1552</v>
      </c>
      <c r="B75" s="265">
        <v>1.0</v>
      </c>
      <c r="C75" s="288" t="s">
        <v>1553</v>
      </c>
      <c r="D75" s="265">
        <v>1.0</v>
      </c>
      <c r="E75" s="289" t="s">
        <v>1190</v>
      </c>
      <c r="F75" s="288" t="s">
        <v>1554</v>
      </c>
      <c r="G75" s="270"/>
      <c r="H75" s="271"/>
    </row>
    <row r="76">
      <c r="A76" s="258"/>
      <c r="B76" s="253">
        <v>2.0</v>
      </c>
      <c r="C76" s="254" t="s">
        <v>1555</v>
      </c>
      <c r="D76" s="253">
        <v>1.0</v>
      </c>
      <c r="E76" s="255" t="s">
        <v>1190</v>
      </c>
      <c r="F76" s="254" t="s">
        <v>1554</v>
      </c>
      <c r="G76" s="256"/>
      <c r="H76" s="274"/>
    </row>
    <row r="77">
      <c r="A77" s="258"/>
      <c r="B77" s="253">
        <v>3.0</v>
      </c>
      <c r="C77" s="254" t="s">
        <v>1556</v>
      </c>
      <c r="D77" s="253">
        <v>1.0</v>
      </c>
      <c r="E77" s="255" t="s">
        <v>1190</v>
      </c>
      <c r="F77" s="254" t="s">
        <v>1554</v>
      </c>
      <c r="G77" s="256"/>
      <c r="H77" s="274"/>
    </row>
    <row r="78">
      <c r="A78" s="258"/>
      <c r="B78" s="253">
        <v>4.0</v>
      </c>
      <c r="C78" s="254" t="s">
        <v>1557</v>
      </c>
      <c r="D78" s="253">
        <v>1.0</v>
      </c>
      <c r="E78" s="255" t="s">
        <v>1190</v>
      </c>
      <c r="F78" s="254" t="s">
        <v>1554</v>
      </c>
      <c r="G78" s="256"/>
      <c r="H78" s="274"/>
    </row>
    <row r="79">
      <c r="A79" s="258"/>
      <c r="B79" s="253">
        <v>5.0</v>
      </c>
      <c r="C79" s="254" t="s">
        <v>1558</v>
      </c>
      <c r="D79" s="253">
        <v>1.0</v>
      </c>
      <c r="E79" s="255" t="s">
        <v>1190</v>
      </c>
      <c r="F79" s="254" t="s">
        <v>1554</v>
      </c>
      <c r="G79" s="256"/>
      <c r="H79" s="274"/>
    </row>
    <row r="80">
      <c r="A80" s="258"/>
      <c r="B80" s="253">
        <v>6.0</v>
      </c>
      <c r="C80" s="254" t="s">
        <v>1559</v>
      </c>
      <c r="D80" s="253">
        <v>2.0</v>
      </c>
      <c r="E80" s="255" t="s">
        <v>1190</v>
      </c>
      <c r="F80" s="254" t="s">
        <v>1508</v>
      </c>
      <c r="G80" s="256"/>
      <c r="H80" s="274"/>
    </row>
    <row r="81">
      <c r="A81" s="258"/>
      <c r="B81" s="253">
        <v>7.0</v>
      </c>
      <c r="C81" s="254" t="s">
        <v>1560</v>
      </c>
      <c r="D81" s="253">
        <v>2.0</v>
      </c>
      <c r="E81" s="255" t="s">
        <v>1190</v>
      </c>
      <c r="F81" s="254" t="s">
        <v>1508</v>
      </c>
      <c r="G81" s="256"/>
      <c r="H81" s="274"/>
    </row>
    <row r="82">
      <c r="A82" s="258"/>
      <c r="B82" s="253">
        <v>8.0</v>
      </c>
      <c r="C82" s="254" t="s">
        <v>1561</v>
      </c>
      <c r="D82" s="253">
        <v>1.0</v>
      </c>
      <c r="E82" s="255" t="s">
        <v>1190</v>
      </c>
      <c r="F82" s="254" t="s">
        <v>1508</v>
      </c>
      <c r="G82" s="256"/>
      <c r="H82" s="274"/>
    </row>
    <row r="83">
      <c r="A83" s="258"/>
      <c r="B83" s="253">
        <v>9.0</v>
      </c>
      <c r="C83" s="254" t="s">
        <v>1562</v>
      </c>
      <c r="D83" s="253">
        <v>3.0</v>
      </c>
      <c r="E83" s="255" t="s">
        <v>1190</v>
      </c>
      <c r="F83" s="254" t="s">
        <v>1508</v>
      </c>
      <c r="G83" s="256"/>
      <c r="H83" s="274"/>
    </row>
    <row r="84">
      <c r="A84" s="258"/>
      <c r="B84" s="253">
        <v>10.0</v>
      </c>
      <c r="C84" s="254" t="s">
        <v>1563</v>
      </c>
      <c r="D84" s="253">
        <v>1.0</v>
      </c>
      <c r="E84" s="255" t="s">
        <v>1190</v>
      </c>
      <c r="F84" s="254" t="s">
        <v>1508</v>
      </c>
      <c r="G84" s="256"/>
      <c r="H84" s="274"/>
    </row>
    <row r="85">
      <c r="A85" s="258"/>
      <c r="B85" s="253">
        <v>11.0</v>
      </c>
      <c r="C85" s="254" t="s">
        <v>1564</v>
      </c>
      <c r="D85" s="253">
        <v>7.0</v>
      </c>
      <c r="E85" s="255" t="s">
        <v>1190</v>
      </c>
      <c r="F85" s="254" t="s">
        <v>1508</v>
      </c>
      <c r="G85" s="256"/>
      <c r="H85" s="274"/>
    </row>
    <row r="86">
      <c r="A86" s="275"/>
      <c r="B86" s="276">
        <v>12.0</v>
      </c>
      <c r="C86" s="277" t="s">
        <v>1565</v>
      </c>
      <c r="D86" s="276">
        <v>9.0</v>
      </c>
      <c r="E86" s="278" t="s">
        <v>1190</v>
      </c>
      <c r="F86" s="277" t="s">
        <v>1508</v>
      </c>
      <c r="G86" s="279"/>
      <c r="H86" s="280"/>
    </row>
    <row r="87">
      <c r="A87" s="290" t="s">
        <v>1566</v>
      </c>
      <c r="B87" s="284">
        <v>1.0</v>
      </c>
      <c r="C87" s="291" t="s">
        <v>1567</v>
      </c>
      <c r="D87" s="284">
        <v>3.0</v>
      </c>
      <c r="E87" s="284" t="s">
        <v>1190</v>
      </c>
      <c r="F87" s="291" t="s">
        <v>1524</v>
      </c>
      <c r="G87" s="285"/>
      <c r="H87" s="286"/>
    </row>
    <row r="88">
      <c r="A88" s="258"/>
      <c r="B88" s="255">
        <v>2.0</v>
      </c>
      <c r="C88" s="292" t="s">
        <v>1568</v>
      </c>
      <c r="D88" s="255">
        <v>7.0</v>
      </c>
      <c r="E88" s="255" t="s">
        <v>1190</v>
      </c>
      <c r="F88" s="292" t="s">
        <v>1569</v>
      </c>
      <c r="G88" s="256"/>
      <c r="H88" s="274"/>
    </row>
    <row r="89">
      <c r="A89" s="258"/>
      <c r="B89" s="255">
        <v>3.0</v>
      </c>
      <c r="C89" s="292" t="s">
        <v>1570</v>
      </c>
      <c r="D89" s="255">
        <v>2.0</v>
      </c>
      <c r="E89" s="255" t="s">
        <v>1190</v>
      </c>
      <c r="F89" s="292" t="s">
        <v>1524</v>
      </c>
      <c r="G89" s="293">
        <v>45968.0</v>
      </c>
      <c r="H89" s="294" t="s">
        <v>1571</v>
      </c>
    </row>
    <row r="90">
      <c r="A90" s="258"/>
      <c r="B90" s="255">
        <v>4.0</v>
      </c>
      <c r="C90" s="292" t="s">
        <v>1572</v>
      </c>
      <c r="D90" s="255">
        <v>1.0</v>
      </c>
      <c r="E90" s="255" t="s">
        <v>1190</v>
      </c>
      <c r="F90" s="292" t="s">
        <v>1524</v>
      </c>
      <c r="G90" s="256"/>
      <c r="H90" s="274"/>
    </row>
    <row r="91">
      <c r="A91" s="258"/>
      <c r="B91" s="255">
        <v>5.0</v>
      </c>
      <c r="C91" s="292" t="s">
        <v>1573</v>
      </c>
      <c r="D91" s="255">
        <v>1.0</v>
      </c>
      <c r="E91" s="255" t="s">
        <v>1190</v>
      </c>
      <c r="F91" s="292" t="s">
        <v>1524</v>
      </c>
      <c r="G91" s="256"/>
      <c r="H91" s="274"/>
    </row>
    <row r="92">
      <c r="A92" s="258"/>
      <c r="B92" s="255">
        <v>6.0</v>
      </c>
      <c r="C92" s="292" t="s">
        <v>1574</v>
      </c>
      <c r="D92" s="255">
        <v>3.0</v>
      </c>
      <c r="E92" s="255" t="s">
        <v>1190</v>
      </c>
      <c r="F92" s="292" t="s">
        <v>1524</v>
      </c>
      <c r="G92" s="256"/>
      <c r="H92" s="274"/>
    </row>
    <row r="93">
      <c r="A93" s="258"/>
      <c r="B93" s="255">
        <v>7.0</v>
      </c>
      <c r="C93" s="292" t="s">
        <v>1575</v>
      </c>
      <c r="D93" s="255">
        <v>2.0</v>
      </c>
      <c r="E93" s="255" t="s">
        <v>1190</v>
      </c>
      <c r="F93" s="292" t="s">
        <v>1524</v>
      </c>
      <c r="G93" s="256"/>
      <c r="H93" s="274"/>
    </row>
    <row r="94">
      <c r="A94" s="258"/>
      <c r="B94" s="255">
        <v>8.0</v>
      </c>
      <c r="C94" s="292" t="s">
        <v>1576</v>
      </c>
      <c r="D94" s="255">
        <v>3.0</v>
      </c>
      <c r="E94" s="255" t="s">
        <v>1190</v>
      </c>
      <c r="F94" s="292" t="s">
        <v>1508</v>
      </c>
      <c r="G94" s="256"/>
      <c r="H94" s="274"/>
    </row>
    <row r="95">
      <c r="A95" s="258"/>
      <c r="B95" s="255">
        <v>9.0</v>
      </c>
      <c r="C95" s="292" t="s">
        <v>1577</v>
      </c>
      <c r="D95" s="255">
        <v>2.0</v>
      </c>
      <c r="E95" s="255" t="s">
        <v>1190</v>
      </c>
      <c r="F95" s="292" t="s">
        <v>1484</v>
      </c>
      <c r="G95" s="256"/>
      <c r="H95" s="274"/>
    </row>
    <row r="96">
      <c r="A96" s="258"/>
      <c r="B96" s="255">
        <v>10.0</v>
      </c>
      <c r="C96" s="292" t="s">
        <v>1578</v>
      </c>
      <c r="D96" s="255">
        <v>16.0</v>
      </c>
      <c r="E96" s="255" t="s">
        <v>1190</v>
      </c>
      <c r="F96" s="292" t="s">
        <v>1524</v>
      </c>
      <c r="G96" s="256"/>
      <c r="H96" s="274"/>
    </row>
    <row r="97">
      <c r="A97" s="258"/>
      <c r="B97" s="255">
        <v>11.0</v>
      </c>
      <c r="C97" s="292" t="s">
        <v>1579</v>
      </c>
      <c r="D97" s="255">
        <v>1.0</v>
      </c>
      <c r="E97" s="255" t="s">
        <v>1190</v>
      </c>
      <c r="F97" s="292" t="s">
        <v>1508</v>
      </c>
      <c r="G97" s="256"/>
      <c r="H97" s="274"/>
    </row>
    <row r="98">
      <c r="A98" s="258"/>
      <c r="B98" s="255">
        <v>12.0</v>
      </c>
      <c r="C98" s="292" t="s">
        <v>1580</v>
      </c>
      <c r="D98" s="255">
        <v>1.0</v>
      </c>
      <c r="E98" s="255" t="s">
        <v>1244</v>
      </c>
      <c r="F98" s="292" t="s">
        <v>1508</v>
      </c>
      <c r="G98" s="256"/>
      <c r="H98" s="274"/>
    </row>
    <row r="99">
      <c r="A99" s="258"/>
      <c r="B99" s="255">
        <v>13.0</v>
      </c>
      <c r="C99" s="292" t="s">
        <v>1581</v>
      </c>
      <c r="D99" s="255">
        <v>1.0</v>
      </c>
      <c r="E99" s="255" t="s">
        <v>1190</v>
      </c>
      <c r="F99" s="292" t="s">
        <v>1484</v>
      </c>
      <c r="G99" s="293">
        <v>45968.0</v>
      </c>
      <c r="H99" s="294" t="s">
        <v>1571</v>
      </c>
    </row>
    <row r="100">
      <c r="A100" s="258"/>
      <c r="B100" s="255">
        <v>14.0</v>
      </c>
      <c r="C100" s="292" t="s">
        <v>1582</v>
      </c>
      <c r="D100" s="255">
        <v>5.0</v>
      </c>
      <c r="E100" s="255" t="s">
        <v>1190</v>
      </c>
      <c r="F100" s="292" t="s">
        <v>1484</v>
      </c>
      <c r="G100" s="256"/>
      <c r="H100" s="274"/>
    </row>
    <row r="101">
      <c r="A101" s="258"/>
      <c r="B101" s="255">
        <v>15.0</v>
      </c>
      <c r="C101" s="292" t="s">
        <v>1583</v>
      </c>
      <c r="D101" s="255">
        <v>1.0</v>
      </c>
      <c r="E101" s="255" t="s">
        <v>1584</v>
      </c>
      <c r="F101" s="292" t="s">
        <v>1484</v>
      </c>
      <c r="G101" s="256"/>
      <c r="H101" s="274"/>
    </row>
    <row r="102">
      <c r="A102" s="258"/>
      <c r="B102" s="255">
        <v>16.0</v>
      </c>
      <c r="C102" s="292" t="s">
        <v>1585</v>
      </c>
      <c r="D102" s="255">
        <v>3.0</v>
      </c>
      <c r="E102" s="255" t="s">
        <v>1190</v>
      </c>
      <c r="F102" s="292" t="s">
        <v>1508</v>
      </c>
      <c r="G102" s="256"/>
      <c r="H102" s="274"/>
    </row>
    <row r="103">
      <c r="A103" s="258"/>
      <c r="B103" s="255">
        <v>17.0</v>
      </c>
      <c r="C103" s="292" t="s">
        <v>1586</v>
      </c>
      <c r="D103" s="255">
        <v>1.0</v>
      </c>
      <c r="E103" s="255" t="s">
        <v>1190</v>
      </c>
      <c r="F103" s="292" t="s">
        <v>1524</v>
      </c>
      <c r="G103" s="256"/>
      <c r="H103" s="274"/>
    </row>
    <row r="104">
      <c r="A104" s="258"/>
      <c r="B104" s="255">
        <v>18.0</v>
      </c>
      <c r="C104" s="292" t="s">
        <v>1587</v>
      </c>
      <c r="D104" s="255">
        <v>1.0</v>
      </c>
      <c r="E104" s="255" t="s">
        <v>1190</v>
      </c>
      <c r="F104" s="292" t="s">
        <v>1524</v>
      </c>
      <c r="G104" s="256"/>
      <c r="H104" s="274"/>
    </row>
    <row r="105">
      <c r="A105" s="258"/>
      <c r="B105" s="255">
        <v>19.0</v>
      </c>
      <c r="C105" s="292" t="s">
        <v>1588</v>
      </c>
      <c r="D105" s="255">
        <v>1.0</v>
      </c>
      <c r="E105" s="255" t="s">
        <v>1190</v>
      </c>
      <c r="F105" s="292" t="s">
        <v>1524</v>
      </c>
      <c r="G105" s="256"/>
      <c r="H105" s="274"/>
    </row>
    <row r="106">
      <c r="A106" s="258"/>
      <c r="B106" s="255">
        <v>20.0</v>
      </c>
      <c r="C106" s="292" t="s">
        <v>1589</v>
      </c>
      <c r="D106" s="255">
        <v>1.0</v>
      </c>
      <c r="E106" s="255" t="s">
        <v>1190</v>
      </c>
      <c r="F106" s="292" t="s">
        <v>1524</v>
      </c>
      <c r="G106" s="256"/>
      <c r="H106" s="274"/>
    </row>
    <row r="107">
      <c r="A107" s="258"/>
      <c r="B107" s="255">
        <v>21.0</v>
      </c>
      <c r="C107" s="292" t="s">
        <v>1590</v>
      </c>
      <c r="D107" s="255">
        <v>1.0</v>
      </c>
      <c r="E107" s="255" t="s">
        <v>1190</v>
      </c>
      <c r="F107" s="292" t="s">
        <v>1524</v>
      </c>
      <c r="G107" s="256"/>
      <c r="H107" s="274"/>
    </row>
    <row r="108">
      <c r="A108" s="258"/>
      <c r="B108" s="255">
        <v>22.0</v>
      </c>
      <c r="C108" s="292" t="s">
        <v>1591</v>
      </c>
      <c r="D108" s="255">
        <v>1.0</v>
      </c>
      <c r="E108" s="255" t="s">
        <v>1190</v>
      </c>
      <c r="F108" s="292" t="s">
        <v>1508</v>
      </c>
      <c r="G108" s="256"/>
      <c r="H108" s="274"/>
    </row>
    <row r="109">
      <c r="A109" s="258"/>
      <c r="B109" s="255">
        <v>23.0</v>
      </c>
      <c r="C109" s="292" t="s">
        <v>1592</v>
      </c>
      <c r="D109" s="255">
        <v>1.0</v>
      </c>
      <c r="E109" s="255" t="s">
        <v>1190</v>
      </c>
      <c r="F109" s="292" t="s">
        <v>1508</v>
      </c>
      <c r="G109" s="256"/>
      <c r="H109" s="274"/>
    </row>
    <row r="110">
      <c r="A110" s="258"/>
      <c r="B110" s="255">
        <v>24.0</v>
      </c>
      <c r="C110" s="292" t="s">
        <v>1593</v>
      </c>
      <c r="D110" s="255">
        <v>1.0</v>
      </c>
      <c r="E110" s="255" t="s">
        <v>1190</v>
      </c>
      <c r="F110" s="292" t="s">
        <v>1508</v>
      </c>
      <c r="G110" s="256"/>
      <c r="H110" s="274"/>
    </row>
    <row r="111">
      <c r="A111" s="258"/>
      <c r="B111" s="255">
        <v>25.0</v>
      </c>
      <c r="C111" s="292" t="s">
        <v>1594</v>
      </c>
      <c r="D111" s="255">
        <v>1.0</v>
      </c>
      <c r="E111" s="255" t="s">
        <v>1190</v>
      </c>
      <c r="F111" s="292" t="s">
        <v>1508</v>
      </c>
      <c r="G111" s="256"/>
      <c r="H111" s="274"/>
    </row>
    <row r="112">
      <c r="A112" s="258"/>
      <c r="B112" s="255">
        <v>26.0</v>
      </c>
      <c r="C112" s="292" t="s">
        <v>1595</v>
      </c>
      <c r="D112" s="255">
        <v>1.0</v>
      </c>
      <c r="E112" s="255" t="s">
        <v>1190</v>
      </c>
      <c r="F112" s="292" t="s">
        <v>1508</v>
      </c>
      <c r="G112" s="256"/>
      <c r="H112" s="274"/>
    </row>
    <row r="113">
      <c r="A113" s="258"/>
      <c r="B113" s="255">
        <v>27.0</v>
      </c>
      <c r="C113" s="292" t="s">
        <v>1596</v>
      </c>
      <c r="D113" s="255">
        <v>1.0</v>
      </c>
      <c r="E113" s="255" t="s">
        <v>1190</v>
      </c>
      <c r="F113" s="292" t="s">
        <v>1508</v>
      </c>
      <c r="G113" s="256"/>
      <c r="H113" s="274"/>
    </row>
    <row r="114">
      <c r="A114" s="258"/>
      <c r="B114" s="261">
        <v>28.0</v>
      </c>
      <c r="C114" s="295" t="s">
        <v>1597</v>
      </c>
      <c r="D114" s="261">
        <v>3.0</v>
      </c>
      <c r="E114" s="261" t="s">
        <v>1221</v>
      </c>
      <c r="F114" s="295" t="s">
        <v>1224</v>
      </c>
      <c r="G114" s="296">
        <v>45968.0</v>
      </c>
      <c r="H114" s="297" t="s">
        <v>1571</v>
      </c>
    </row>
    <row r="115">
      <c r="A115" s="298" t="s">
        <v>1598</v>
      </c>
      <c r="B115" s="289">
        <v>29.0</v>
      </c>
      <c r="C115" s="299" t="s">
        <v>1599</v>
      </c>
      <c r="D115" s="289">
        <v>1.0</v>
      </c>
      <c r="E115" s="289" t="s">
        <v>1221</v>
      </c>
      <c r="F115" s="299" t="s">
        <v>1224</v>
      </c>
      <c r="G115" s="300">
        <v>45968.0</v>
      </c>
      <c r="H115" s="301" t="s">
        <v>1571</v>
      </c>
    </row>
    <row r="116">
      <c r="A116" s="258"/>
      <c r="B116" s="255">
        <v>30.0</v>
      </c>
      <c r="C116" s="292" t="s">
        <v>1600</v>
      </c>
      <c r="D116" s="255">
        <v>1.0</v>
      </c>
      <c r="E116" s="255" t="s">
        <v>1221</v>
      </c>
      <c r="F116" s="292" t="s">
        <v>1224</v>
      </c>
      <c r="G116" s="293">
        <v>45968.0</v>
      </c>
      <c r="H116" s="294" t="s">
        <v>1571</v>
      </c>
    </row>
    <row r="117">
      <c r="A117" s="258"/>
      <c r="B117" s="255">
        <v>31.0</v>
      </c>
      <c r="C117" s="292" t="s">
        <v>1601</v>
      </c>
      <c r="D117" s="255">
        <v>1.0</v>
      </c>
      <c r="E117" s="255" t="s">
        <v>1221</v>
      </c>
      <c r="F117" s="292"/>
      <c r="G117" s="293">
        <v>45971.0</v>
      </c>
      <c r="H117" s="294" t="s">
        <v>1602</v>
      </c>
    </row>
    <row r="118">
      <c r="A118" s="258"/>
      <c r="B118" s="255">
        <v>32.0</v>
      </c>
      <c r="C118" s="292" t="s">
        <v>1603</v>
      </c>
      <c r="D118" s="255">
        <v>1.0</v>
      </c>
      <c r="E118" s="255" t="s">
        <v>1221</v>
      </c>
      <c r="F118" s="302"/>
      <c r="G118" s="293">
        <v>45971.0</v>
      </c>
      <c r="H118" s="294" t="s">
        <v>1602</v>
      </c>
    </row>
    <row r="119">
      <c r="A119" s="258"/>
      <c r="B119" s="255">
        <v>33.0</v>
      </c>
      <c r="C119" s="292" t="s">
        <v>1604</v>
      </c>
      <c r="D119" s="255">
        <v>1.0</v>
      </c>
      <c r="E119" s="255" t="s">
        <v>1221</v>
      </c>
      <c r="F119" s="302"/>
      <c r="G119" s="293">
        <v>45971.0</v>
      </c>
      <c r="H119" s="294" t="s">
        <v>1602</v>
      </c>
    </row>
    <row r="120">
      <c r="A120" s="258"/>
      <c r="B120" s="255">
        <v>34.0</v>
      </c>
      <c r="C120" s="292" t="s">
        <v>1605</v>
      </c>
      <c r="D120" s="255">
        <v>1.0</v>
      </c>
      <c r="E120" s="255" t="s">
        <v>1221</v>
      </c>
      <c r="F120" s="302"/>
      <c r="G120" s="293">
        <v>45971.0</v>
      </c>
      <c r="H120" s="294" t="s">
        <v>1602</v>
      </c>
    </row>
    <row r="121">
      <c r="A121" s="258"/>
      <c r="B121" s="255">
        <v>35.0</v>
      </c>
      <c r="C121" s="292" t="s">
        <v>1606</v>
      </c>
      <c r="D121" s="255">
        <v>1.0</v>
      </c>
      <c r="E121" s="255" t="s">
        <v>1221</v>
      </c>
      <c r="F121" s="302"/>
      <c r="G121" s="293">
        <v>45971.0</v>
      </c>
      <c r="H121" s="294" t="s">
        <v>1602</v>
      </c>
    </row>
    <row r="122">
      <c r="A122" s="258"/>
      <c r="B122" s="255">
        <v>36.0</v>
      </c>
      <c r="C122" s="292" t="s">
        <v>1607</v>
      </c>
      <c r="D122" s="255">
        <v>1.0</v>
      </c>
      <c r="E122" s="255" t="s">
        <v>1221</v>
      </c>
      <c r="F122" s="302"/>
      <c r="G122" s="293">
        <v>45972.0</v>
      </c>
      <c r="H122" s="294" t="s">
        <v>1608</v>
      </c>
    </row>
    <row r="123">
      <c r="A123" s="258"/>
      <c r="B123" s="255">
        <v>37.0</v>
      </c>
      <c r="C123" s="292" t="s">
        <v>1609</v>
      </c>
      <c r="D123" s="255">
        <v>1.0</v>
      </c>
      <c r="E123" s="255" t="s">
        <v>1221</v>
      </c>
      <c r="F123" s="302"/>
      <c r="G123" s="293">
        <v>45972.0</v>
      </c>
      <c r="H123" s="294" t="s">
        <v>1610</v>
      </c>
    </row>
    <row r="124">
      <c r="A124" s="303"/>
      <c r="B124" s="304"/>
      <c r="C124" s="305"/>
      <c r="D124" s="304"/>
      <c r="E124" s="304"/>
      <c r="F124" s="305"/>
      <c r="G124" s="306"/>
      <c r="H124" s="307"/>
    </row>
    <row r="125">
      <c r="A125" s="303"/>
      <c r="B125" s="304"/>
      <c r="C125" s="305"/>
      <c r="D125" s="304"/>
      <c r="E125" s="304"/>
      <c r="F125" s="305"/>
      <c r="G125" s="306"/>
      <c r="H125" s="307"/>
    </row>
    <row r="126">
      <c r="A126" s="303"/>
      <c r="B126" s="304"/>
      <c r="C126" s="305"/>
      <c r="D126" s="304"/>
      <c r="E126" s="304"/>
      <c r="F126" s="305"/>
      <c r="G126" s="306"/>
      <c r="H126" s="307"/>
    </row>
    <row r="127">
      <c r="A127" s="303"/>
      <c r="B127" s="304"/>
      <c r="C127" s="305"/>
      <c r="D127" s="304"/>
      <c r="E127" s="304"/>
      <c r="F127" s="305"/>
      <c r="G127" s="306"/>
      <c r="H127" s="307"/>
    </row>
    <row r="128">
      <c r="A128" s="303"/>
      <c r="B128" s="304"/>
      <c r="C128" s="305"/>
      <c r="D128" s="304"/>
      <c r="E128" s="304"/>
      <c r="F128" s="305"/>
      <c r="G128" s="306"/>
      <c r="H128" s="307"/>
    </row>
    <row r="129">
      <c r="A129" s="303"/>
      <c r="B129" s="304"/>
      <c r="C129" s="305"/>
      <c r="D129" s="304"/>
      <c r="E129" s="304"/>
      <c r="F129" s="305"/>
      <c r="G129" s="306"/>
      <c r="H129" s="307"/>
    </row>
    <row r="130">
      <c r="A130" s="303"/>
      <c r="B130" s="304"/>
      <c r="C130" s="305"/>
      <c r="D130" s="304"/>
      <c r="E130" s="304"/>
      <c r="F130" s="305"/>
      <c r="G130" s="306"/>
      <c r="H130" s="307"/>
    </row>
    <row r="131">
      <c r="A131" s="303"/>
      <c r="B131" s="304"/>
      <c r="C131" s="305"/>
      <c r="D131" s="304"/>
      <c r="E131" s="304"/>
      <c r="F131" s="305"/>
      <c r="G131" s="306"/>
      <c r="H131" s="307"/>
    </row>
    <row r="132">
      <c r="A132" s="303"/>
      <c r="B132" s="304"/>
      <c r="C132" s="305"/>
      <c r="D132" s="304"/>
      <c r="E132" s="304"/>
      <c r="F132" s="305"/>
      <c r="G132" s="306"/>
      <c r="H132" s="307"/>
    </row>
    <row r="133">
      <c r="A133" s="303"/>
      <c r="B133" s="304"/>
      <c r="C133" s="305"/>
      <c r="D133" s="304"/>
      <c r="E133" s="304"/>
      <c r="F133" s="305"/>
      <c r="G133" s="306"/>
      <c r="H133" s="307"/>
    </row>
    <row r="134">
      <c r="A134" s="303"/>
      <c r="B134" s="304"/>
      <c r="C134" s="305"/>
      <c r="D134" s="304"/>
      <c r="E134" s="304"/>
      <c r="F134" s="305"/>
      <c r="G134" s="306"/>
      <c r="H134" s="307"/>
    </row>
    <row r="135">
      <c r="A135" s="303"/>
      <c r="B135" s="304"/>
      <c r="C135" s="305"/>
      <c r="D135" s="304"/>
      <c r="E135" s="304"/>
      <c r="F135" s="305"/>
      <c r="G135" s="306"/>
      <c r="H135" s="307"/>
    </row>
    <row r="136">
      <c r="A136" s="303"/>
      <c r="B136" s="304"/>
      <c r="C136" s="305"/>
      <c r="D136" s="304"/>
      <c r="E136" s="304"/>
      <c r="F136" s="305"/>
      <c r="G136" s="306"/>
      <c r="H136" s="307"/>
    </row>
    <row r="137">
      <c r="A137" s="303"/>
      <c r="B137" s="304"/>
      <c r="C137" s="305"/>
      <c r="D137" s="304"/>
      <c r="E137" s="304"/>
      <c r="F137" s="305"/>
      <c r="G137" s="306"/>
      <c r="H137" s="307"/>
    </row>
    <row r="138">
      <c r="A138" s="303"/>
      <c r="B138" s="304"/>
      <c r="C138" s="305"/>
      <c r="D138" s="304"/>
      <c r="E138" s="304"/>
      <c r="F138" s="305"/>
      <c r="G138" s="306"/>
      <c r="H138" s="307"/>
    </row>
    <row r="139">
      <c r="A139" s="303"/>
      <c r="B139" s="304"/>
      <c r="C139" s="305"/>
      <c r="D139" s="304"/>
      <c r="E139" s="304"/>
      <c r="F139" s="305"/>
      <c r="G139" s="306"/>
      <c r="H139" s="307"/>
    </row>
    <row r="140">
      <c r="A140" s="303"/>
      <c r="B140" s="304"/>
      <c r="C140" s="305"/>
      <c r="D140" s="304"/>
      <c r="E140" s="304"/>
      <c r="F140" s="305"/>
      <c r="G140" s="306"/>
      <c r="H140" s="307"/>
    </row>
    <row r="141">
      <c r="A141" s="303"/>
      <c r="B141" s="304"/>
      <c r="C141" s="305"/>
      <c r="D141" s="304"/>
      <c r="E141" s="304"/>
      <c r="F141" s="305"/>
      <c r="G141" s="306"/>
      <c r="H141" s="307"/>
    </row>
    <row r="142">
      <c r="A142" s="303"/>
      <c r="B142" s="304"/>
      <c r="C142" s="305"/>
      <c r="D142" s="304"/>
      <c r="E142" s="304"/>
      <c r="F142" s="305"/>
      <c r="G142" s="306"/>
      <c r="H142" s="307"/>
    </row>
    <row r="143">
      <c r="A143" s="303"/>
      <c r="B143" s="304"/>
      <c r="C143" s="305"/>
      <c r="D143" s="304"/>
      <c r="E143" s="304"/>
      <c r="F143" s="305"/>
      <c r="G143" s="306"/>
      <c r="H143" s="307"/>
    </row>
    <row r="144">
      <c r="A144" s="303"/>
      <c r="B144" s="304"/>
      <c r="C144" s="305"/>
      <c r="D144" s="304"/>
      <c r="E144" s="304"/>
      <c r="F144" s="305"/>
      <c r="G144" s="306"/>
      <c r="H144" s="307"/>
    </row>
    <row r="145">
      <c r="A145" s="303"/>
      <c r="B145" s="304"/>
      <c r="C145" s="305"/>
      <c r="D145" s="304"/>
      <c r="E145" s="304"/>
      <c r="F145" s="305"/>
      <c r="G145" s="306"/>
      <c r="H145" s="307"/>
    </row>
    <row r="146">
      <c r="A146" s="303"/>
      <c r="B146" s="304"/>
      <c r="C146" s="305"/>
      <c r="D146" s="304"/>
      <c r="E146" s="304"/>
      <c r="F146" s="305"/>
      <c r="G146" s="306"/>
      <c r="H146" s="307"/>
    </row>
    <row r="147">
      <c r="A147" s="303"/>
      <c r="B147" s="304"/>
      <c r="C147" s="305"/>
      <c r="D147" s="304"/>
      <c r="E147" s="304"/>
      <c r="F147" s="305"/>
      <c r="G147" s="306"/>
      <c r="H147" s="307"/>
    </row>
    <row r="148">
      <c r="A148" s="303"/>
      <c r="B148" s="304"/>
      <c r="C148" s="305"/>
      <c r="D148" s="304"/>
      <c r="E148" s="304"/>
      <c r="F148" s="305"/>
      <c r="G148" s="306"/>
      <c r="H148" s="307"/>
    </row>
    <row r="149">
      <c r="A149" s="303"/>
      <c r="B149" s="304"/>
      <c r="C149" s="305"/>
      <c r="D149" s="304"/>
      <c r="E149" s="304"/>
      <c r="F149" s="305"/>
      <c r="G149" s="306"/>
      <c r="H149" s="307"/>
    </row>
    <row r="150">
      <c r="A150" s="303"/>
      <c r="B150" s="304"/>
      <c r="C150" s="305"/>
      <c r="D150" s="304"/>
      <c r="E150" s="304"/>
      <c r="F150" s="305"/>
      <c r="G150" s="306"/>
      <c r="H150" s="307"/>
    </row>
    <row r="151">
      <c r="A151" s="303"/>
      <c r="B151" s="304"/>
      <c r="C151" s="305"/>
      <c r="D151" s="304"/>
      <c r="E151" s="304"/>
      <c r="F151" s="305"/>
      <c r="G151" s="306"/>
      <c r="H151" s="307"/>
    </row>
    <row r="152">
      <c r="A152" s="303"/>
      <c r="B152" s="304"/>
      <c r="C152" s="305"/>
      <c r="D152" s="304"/>
      <c r="E152" s="304"/>
      <c r="F152" s="305"/>
      <c r="G152" s="306"/>
      <c r="H152" s="307"/>
    </row>
    <row r="153">
      <c r="A153" s="303"/>
      <c r="B153" s="304"/>
      <c r="C153" s="305"/>
      <c r="D153" s="304"/>
      <c r="E153" s="304"/>
      <c r="F153" s="305"/>
      <c r="G153" s="306"/>
      <c r="H153" s="307"/>
    </row>
    <row r="154">
      <c r="A154" s="303"/>
      <c r="B154" s="304"/>
      <c r="C154" s="305"/>
      <c r="D154" s="304"/>
      <c r="E154" s="304"/>
      <c r="F154" s="305"/>
      <c r="G154" s="306"/>
      <c r="H154" s="307"/>
    </row>
    <row r="155">
      <c r="A155" s="303"/>
      <c r="B155" s="304"/>
      <c r="C155" s="305"/>
      <c r="D155" s="304"/>
      <c r="E155" s="304"/>
      <c r="F155" s="305"/>
      <c r="G155" s="306"/>
      <c r="H155" s="307"/>
    </row>
    <row r="156">
      <c r="A156" s="303"/>
      <c r="B156" s="304"/>
      <c r="C156" s="305"/>
      <c r="D156" s="304"/>
      <c r="E156" s="304"/>
      <c r="F156" s="305"/>
      <c r="G156" s="306"/>
      <c r="H156" s="307"/>
    </row>
    <row r="157">
      <c r="A157" s="303"/>
      <c r="B157" s="304"/>
      <c r="C157" s="305"/>
      <c r="D157" s="304"/>
      <c r="E157" s="304"/>
      <c r="F157" s="305"/>
      <c r="G157" s="306"/>
      <c r="H157" s="307"/>
    </row>
    <row r="158">
      <c r="A158" s="303"/>
      <c r="B158" s="304"/>
      <c r="C158" s="305"/>
      <c r="D158" s="304"/>
      <c r="E158" s="304"/>
      <c r="F158" s="305"/>
      <c r="G158" s="306"/>
      <c r="H158" s="307"/>
    </row>
    <row r="159">
      <c r="A159" s="303"/>
      <c r="B159" s="304"/>
      <c r="C159" s="305"/>
      <c r="D159" s="304"/>
      <c r="E159" s="304"/>
      <c r="F159" s="305"/>
      <c r="G159" s="306"/>
      <c r="H159" s="307"/>
    </row>
    <row r="160">
      <c r="A160" s="303"/>
      <c r="B160" s="304"/>
      <c r="C160" s="305"/>
      <c r="D160" s="304"/>
      <c r="E160" s="304"/>
      <c r="F160" s="305"/>
      <c r="G160" s="306"/>
      <c r="H160" s="307"/>
    </row>
    <row r="161">
      <c r="A161" s="303"/>
      <c r="B161" s="304"/>
      <c r="C161" s="305"/>
      <c r="D161" s="304"/>
      <c r="E161" s="304"/>
      <c r="F161" s="305"/>
      <c r="G161" s="306"/>
      <c r="H161" s="307"/>
    </row>
    <row r="162">
      <c r="A162" s="303"/>
      <c r="B162" s="304"/>
      <c r="C162" s="305"/>
      <c r="D162" s="304"/>
      <c r="E162" s="304"/>
      <c r="F162" s="305"/>
      <c r="G162" s="306"/>
      <c r="H162" s="307"/>
    </row>
    <row r="163">
      <c r="A163" s="303"/>
      <c r="B163" s="304"/>
      <c r="C163" s="305"/>
      <c r="D163" s="304"/>
      <c r="E163" s="304"/>
      <c r="F163" s="305"/>
      <c r="G163" s="306"/>
      <c r="H163" s="307"/>
    </row>
    <row r="164">
      <c r="A164" s="303"/>
      <c r="B164" s="304"/>
      <c r="C164" s="305"/>
      <c r="D164" s="304"/>
      <c r="E164" s="304"/>
      <c r="F164" s="305"/>
      <c r="G164" s="306"/>
      <c r="H164" s="307"/>
    </row>
    <row r="165">
      <c r="A165" s="303"/>
      <c r="B165" s="304"/>
      <c r="C165" s="305"/>
      <c r="D165" s="304"/>
      <c r="E165" s="304"/>
      <c r="F165" s="305"/>
      <c r="G165" s="306"/>
      <c r="H165" s="307"/>
    </row>
    <row r="166">
      <c r="A166" s="303"/>
      <c r="B166" s="304"/>
      <c r="C166" s="305"/>
      <c r="D166" s="304"/>
      <c r="E166" s="304"/>
      <c r="F166" s="305"/>
      <c r="G166" s="306"/>
      <c r="H166" s="307"/>
    </row>
    <row r="167">
      <c r="A167" s="303"/>
      <c r="B167" s="304"/>
      <c r="C167" s="305"/>
      <c r="D167" s="304"/>
      <c r="E167" s="304"/>
      <c r="F167" s="305"/>
      <c r="G167" s="306"/>
      <c r="H167" s="307"/>
    </row>
    <row r="168">
      <c r="A168" s="303"/>
      <c r="B168" s="304"/>
      <c r="C168" s="305"/>
      <c r="D168" s="304"/>
      <c r="E168" s="304"/>
      <c r="F168" s="305"/>
      <c r="G168" s="306"/>
      <c r="H168" s="307"/>
    </row>
    <row r="169">
      <c r="A169" s="303"/>
      <c r="B169" s="304"/>
      <c r="C169" s="305"/>
      <c r="D169" s="304"/>
      <c r="E169" s="304"/>
      <c r="F169" s="305"/>
      <c r="G169" s="306"/>
      <c r="H169" s="307"/>
    </row>
    <row r="170">
      <c r="A170" s="303"/>
      <c r="B170" s="304"/>
      <c r="C170" s="305"/>
      <c r="D170" s="304"/>
      <c r="E170" s="304"/>
      <c r="F170" s="305"/>
      <c r="G170" s="306"/>
      <c r="H170" s="307"/>
    </row>
    <row r="171">
      <c r="A171" s="303"/>
      <c r="B171" s="304"/>
      <c r="C171" s="305"/>
      <c r="D171" s="304"/>
      <c r="E171" s="304"/>
      <c r="F171" s="305"/>
      <c r="G171" s="306"/>
      <c r="H171" s="307"/>
    </row>
    <row r="172">
      <c r="A172" s="303"/>
      <c r="B172" s="304"/>
      <c r="C172" s="305"/>
      <c r="D172" s="304"/>
      <c r="E172" s="304"/>
      <c r="F172" s="305"/>
      <c r="G172" s="306"/>
      <c r="H172" s="307"/>
    </row>
    <row r="173">
      <c r="A173" s="303"/>
      <c r="B173" s="304"/>
      <c r="C173" s="305"/>
      <c r="D173" s="304"/>
      <c r="E173" s="304"/>
      <c r="F173" s="305"/>
      <c r="G173" s="306"/>
      <c r="H173" s="307"/>
    </row>
    <row r="174">
      <c r="A174" s="303"/>
      <c r="B174" s="304"/>
      <c r="C174" s="305"/>
      <c r="D174" s="304"/>
      <c r="E174" s="304"/>
      <c r="F174" s="305"/>
      <c r="G174" s="306"/>
      <c r="H174" s="307"/>
    </row>
    <row r="175">
      <c r="A175" s="303"/>
      <c r="B175" s="304"/>
      <c r="C175" s="305"/>
      <c r="D175" s="304"/>
      <c r="E175" s="304"/>
      <c r="F175" s="305"/>
      <c r="G175" s="306"/>
      <c r="H175" s="307"/>
    </row>
    <row r="176">
      <c r="A176" s="303"/>
      <c r="B176" s="304"/>
      <c r="C176" s="305"/>
      <c r="D176" s="304"/>
      <c r="E176" s="304"/>
      <c r="F176" s="305"/>
      <c r="G176" s="306"/>
      <c r="H176" s="307"/>
    </row>
    <row r="177">
      <c r="A177" s="303"/>
      <c r="B177" s="304"/>
      <c r="C177" s="305"/>
      <c r="D177" s="304"/>
      <c r="E177" s="304"/>
      <c r="F177" s="305"/>
      <c r="G177" s="306"/>
      <c r="H177" s="307"/>
    </row>
    <row r="178">
      <c r="A178" s="303"/>
      <c r="B178" s="304"/>
      <c r="C178" s="305"/>
      <c r="D178" s="304"/>
      <c r="E178" s="304"/>
      <c r="F178" s="305"/>
      <c r="G178" s="306"/>
      <c r="H178" s="307"/>
    </row>
    <row r="179">
      <c r="A179" s="303"/>
      <c r="B179" s="304"/>
      <c r="C179" s="305"/>
      <c r="D179" s="304"/>
      <c r="E179" s="304"/>
      <c r="F179" s="305"/>
      <c r="G179" s="306"/>
      <c r="H179" s="307"/>
    </row>
    <row r="180">
      <c r="A180" s="303"/>
      <c r="B180" s="304"/>
      <c r="C180" s="305"/>
      <c r="D180" s="304"/>
      <c r="E180" s="304"/>
      <c r="F180" s="305"/>
      <c r="G180" s="306"/>
      <c r="H180" s="307"/>
    </row>
    <row r="181">
      <c r="A181" s="303"/>
      <c r="B181" s="304"/>
      <c r="C181" s="305"/>
      <c r="D181" s="304"/>
      <c r="E181" s="304"/>
      <c r="F181" s="305"/>
      <c r="G181" s="306"/>
      <c r="H181" s="307"/>
    </row>
    <row r="182">
      <c r="A182" s="303"/>
      <c r="B182" s="304"/>
      <c r="C182" s="305"/>
      <c r="D182" s="304"/>
      <c r="E182" s="304"/>
      <c r="F182" s="305"/>
      <c r="G182" s="306"/>
      <c r="H182" s="307"/>
    </row>
    <row r="183">
      <c r="A183" s="303"/>
      <c r="B183" s="304"/>
      <c r="C183" s="305"/>
      <c r="D183" s="304"/>
      <c r="E183" s="304"/>
      <c r="F183" s="305"/>
      <c r="G183" s="306"/>
      <c r="H183" s="307"/>
    </row>
    <row r="184">
      <c r="A184" s="303"/>
      <c r="B184" s="304"/>
      <c r="C184" s="305"/>
      <c r="D184" s="304"/>
      <c r="E184" s="304"/>
      <c r="F184" s="305"/>
      <c r="G184" s="306"/>
      <c r="H184" s="307"/>
    </row>
    <row r="185">
      <c r="A185" s="303"/>
      <c r="B185" s="304"/>
      <c r="C185" s="305"/>
      <c r="D185" s="304"/>
      <c r="E185" s="304"/>
      <c r="F185" s="305"/>
      <c r="G185" s="306"/>
      <c r="H185" s="307"/>
    </row>
    <row r="186">
      <c r="A186" s="303"/>
      <c r="B186" s="304"/>
      <c r="C186" s="305"/>
      <c r="D186" s="304"/>
      <c r="E186" s="304"/>
      <c r="F186" s="305"/>
      <c r="G186" s="306"/>
      <c r="H186" s="307"/>
    </row>
    <row r="187">
      <c r="A187" s="303"/>
      <c r="B187" s="304"/>
      <c r="C187" s="305"/>
      <c r="D187" s="304"/>
      <c r="E187" s="304"/>
      <c r="F187" s="305"/>
      <c r="G187" s="306"/>
      <c r="H187" s="307"/>
    </row>
    <row r="188">
      <c r="A188" s="303"/>
      <c r="B188" s="304"/>
      <c r="C188" s="305"/>
      <c r="D188" s="304"/>
      <c r="E188" s="304"/>
      <c r="F188" s="305"/>
      <c r="G188" s="306"/>
      <c r="H188" s="307"/>
    </row>
    <row r="189">
      <c r="A189" s="303"/>
      <c r="B189" s="304"/>
      <c r="C189" s="305"/>
      <c r="D189" s="304"/>
      <c r="E189" s="304"/>
      <c r="F189" s="305"/>
      <c r="G189" s="306"/>
      <c r="H189" s="307"/>
    </row>
    <row r="190">
      <c r="A190" s="303"/>
      <c r="B190" s="304"/>
      <c r="C190" s="305"/>
      <c r="D190" s="304"/>
      <c r="E190" s="304"/>
      <c r="F190" s="305"/>
      <c r="G190" s="306"/>
      <c r="H190" s="307"/>
    </row>
    <row r="191">
      <c r="A191" s="303"/>
      <c r="B191" s="304"/>
      <c r="C191" s="305"/>
      <c r="D191" s="304"/>
      <c r="E191" s="304"/>
      <c r="F191" s="305"/>
      <c r="G191" s="306"/>
      <c r="H191" s="307"/>
    </row>
    <row r="192">
      <c r="A192" s="303"/>
      <c r="B192" s="304"/>
      <c r="C192" s="305"/>
      <c r="D192" s="304"/>
      <c r="E192" s="304"/>
      <c r="F192" s="305"/>
      <c r="G192" s="306"/>
      <c r="H192" s="307"/>
    </row>
    <row r="193">
      <c r="A193" s="303"/>
      <c r="B193" s="304"/>
      <c r="C193" s="305"/>
      <c r="D193" s="304"/>
      <c r="E193" s="304"/>
      <c r="F193" s="305"/>
      <c r="G193" s="306"/>
      <c r="H193" s="307"/>
    </row>
    <row r="194">
      <c r="A194" s="303"/>
      <c r="B194" s="304"/>
      <c r="C194" s="305"/>
      <c r="D194" s="304"/>
      <c r="E194" s="304"/>
      <c r="F194" s="305"/>
      <c r="G194" s="306"/>
      <c r="H194" s="307"/>
    </row>
    <row r="195">
      <c r="A195" s="303"/>
      <c r="B195" s="304"/>
      <c r="C195" s="305"/>
      <c r="D195" s="304"/>
      <c r="E195" s="304"/>
      <c r="F195" s="305"/>
      <c r="G195" s="306"/>
      <c r="H195" s="307"/>
    </row>
    <row r="196">
      <c r="A196" s="303"/>
      <c r="B196" s="304"/>
      <c r="C196" s="305"/>
      <c r="D196" s="304"/>
      <c r="E196" s="304"/>
      <c r="F196" s="305"/>
      <c r="G196" s="306"/>
      <c r="H196" s="307"/>
    </row>
    <row r="197">
      <c r="A197" s="303"/>
      <c r="B197" s="304"/>
      <c r="C197" s="305"/>
      <c r="D197" s="304"/>
      <c r="E197" s="304"/>
      <c r="F197" s="305"/>
      <c r="G197" s="306"/>
      <c r="H197" s="307"/>
    </row>
    <row r="198">
      <c r="A198" s="303"/>
      <c r="B198" s="304"/>
      <c r="C198" s="305"/>
      <c r="D198" s="304"/>
      <c r="E198" s="304"/>
      <c r="F198" s="305"/>
      <c r="G198" s="306"/>
      <c r="H198" s="307"/>
    </row>
    <row r="199">
      <c r="A199" s="303"/>
      <c r="B199" s="304"/>
      <c r="C199" s="305"/>
      <c r="D199" s="304"/>
      <c r="E199" s="304"/>
      <c r="F199" s="305"/>
      <c r="G199" s="306"/>
      <c r="H199" s="307"/>
    </row>
    <row r="200">
      <c r="A200" s="303"/>
      <c r="B200" s="304"/>
      <c r="C200" s="305"/>
      <c r="D200" s="304"/>
      <c r="E200" s="304"/>
      <c r="F200" s="305"/>
      <c r="G200" s="306"/>
      <c r="H200" s="307"/>
    </row>
    <row r="201">
      <c r="A201" s="303"/>
      <c r="B201" s="304"/>
      <c r="C201" s="305"/>
      <c r="D201" s="304"/>
      <c r="E201" s="304"/>
      <c r="F201" s="305"/>
      <c r="G201" s="306"/>
      <c r="H201" s="307"/>
    </row>
    <row r="202">
      <c r="A202" s="303"/>
      <c r="B202" s="304"/>
      <c r="C202" s="305"/>
      <c r="D202" s="304"/>
      <c r="E202" s="304"/>
      <c r="F202" s="305"/>
      <c r="G202" s="306"/>
      <c r="H202" s="307"/>
    </row>
    <row r="203">
      <c r="A203" s="303"/>
      <c r="B203" s="304"/>
      <c r="C203" s="305"/>
      <c r="D203" s="304"/>
      <c r="E203" s="304"/>
      <c r="F203" s="305"/>
      <c r="G203" s="306"/>
      <c r="H203" s="307"/>
    </row>
    <row r="204">
      <c r="A204" s="303"/>
      <c r="B204" s="304"/>
      <c r="C204" s="305"/>
      <c r="D204" s="304"/>
      <c r="E204" s="304"/>
      <c r="F204" s="305"/>
      <c r="G204" s="306"/>
      <c r="H204" s="307"/>
    </row>
    <row r="205">
      <c r="A205" s="303"/>
      <c r="B205" s="304"/>
      <c r="C205" s="305"/>
      <c r="D205" s="304"/>
      <c r="E205" s="304"/>
      <c r="F205" s="305"/>
      <c r="G205" s="306"/>
      <c r="H205" s="307"/>
    </row>
    <row r="206">
      <c r="A206" s="303"/>
      <c r="B206" s="304"/>
      <c r="C206" s="305"/>
      <c r="D206" s="304"/>
      <c r="E206" s="304"/>
      <c r="F206" s="305"/>
      <c r="G206" s="306"/>
      <c r="H206" s="307"/>
    </row>
    <row r="207">
      <c r="A207" s="303"/>
      <c r="B207" s="304"/>
      <c r="C207" s="305"/>
      <c r="D207" s="304"/>
      <c r="E207" s="304"/>
      <c r="F207" s="305"/>
      <c r="G207" s="306"/>
      <c r="H207" s="307"/>
    </row>
    <row r="208">
      <c r="A208" s="303"/>
      <c r="B208" s="304"/>
      <c r="C208" s="305"/>
      <c r="D208" s="304"/>
      <c r="E208" s="304"/>
      <c r="F208" s="305"/>
      <c r="G208" s="306"/>
      <c r="H208" s="307"/>
    </row>
    <row r="209">
      <c r="A209" s="303"/>
      <c r="B209" s="304"/>
      <c r="C209" s="305"/>
      <c r="D209" s="304"/>
      <c r="E209" s="304"/>
      <c r="F209" s="305"/>
      <c r="G209" s="306"/>
      <c r="H209" s="307"/>
    </row>
    <row r="210">
      <c r="A210" s="303"/>
      <c r="B210" s="304"/>
      <c r="C210" s="305"/>
      <c r="D210" s="304"/>
      <c r="E210" s="304"/>
      <c r="F210" s="305"/>
      <c r="G210" s="306"/>
      <c r="H210" s="307"/>
    </row>
    <row r="211">
      <c r="A211" s="303"/>
      <c r="B211" s="304"/>
      <c r="C211" s="305"/>
      <c r="D211" s="304"/>
      <c r="E211" s="304"/>
      <c r="F211" s="305"/>
      <c r="G211" s="306"/>
      <c r="H211" s="307"/>
    </row>
    <row r="212">
      <c r="A212" s="303"/>
      <c r="B212" s="304"/>
      <c r="C212" s="305"/>
      <c r="D212" s="304"/>
      <c r="E212" s="304"/>
      <c r="F212" s="305"/>
      <c r="G212" s="306"/>
      <c r="H212" s="307"/>
    </row>
    <row r="213">
      <c r="A213" s="303"/>
      <c r="B213" s="304"/>
      <c r="C213" s="305"/>
      <c r="D213" s="304"/>
      <c r="E213" s="304"/>
      <c r="F213" s="305"/>
      <c r="G213" s="306"/>
      <c r="H213" s="307"/>
    </row>
    <row r="214">
      <c r="A214" s="303"/>
      <c r="B214" s="304"/>
      <c r="C214" s="305"/>
      <c r="D214" s="304"/>
      <c r="E214" s="304"/>
      <c r="F214" s="305"/>
      <c r="G214" s="306"/>
      <c r="H214" s="307"/>
    </row>
    <row r="215">
      <c r="A215" s="303"/>
      <c r="B215" s="304"/>
      <c r="C215" s="305"/>
      <c r="D215" s="304"/>
      <c r="E215" s="304"/>
      <c r="F215" s="305"/>
      <c r="G215" s="306"/>
      <c r="H215" s="307"/>
    </row>
    <row r="216">
      <c r="A216" s="303"/>
      <c r="B216" s="304"/>
      <c r="C216" s="305"/>
      <c r="D216" s="304"/>
      <c r="E216" s="304"/>
      <c r="F216" s="305"/>
      <c r="G216" s="306"/>
      <c r="H216" s="307"/>
    </row>
    <row r="217">
      <c r="A217" s="303"/>
      <c r="B217" s="304"/>
      <c r="C217" s="305"/>
      <c r="D217" s="304"/>
      <c r="E217" s="304"/>
      <c r="F217" s="305"/>
      <c r="G217" s="306"/>
      <c r="H217" s="307"/>
    </row>
    <row r="218">
      <c r="A218" s="303"/>
      <c r="B218" s="304"/>
      <c r="C218" s="305"/>
      <c r="D218" s="304"/>
      <c r="E218" s="304"/>
      <c r="F218" s="305"/>
      <c r="G218" s="306"/>
      <c r="H218" s="307"/>
    </row>
    <row r="219">
      <c r="A219" s="303"/>
      <c r="B219" s="304"/>
      <c r="C219" s="305"/>
      <c r="D219" s="304"/>
      <c r="E219" s="304"/>
      <c r="F219" s="305"/>
      <c r="G219" s="306"/>
      <c r="H219" s="307"/>
    </row>
    <row r="220">
      <c r="A220" s="303"/>
      <c r="B220" s="304"/>
      <c r="C220" s="305"/>
      <c r="D220" s="304"/>
      <c r="E220" s="304"/>
      <c r="F220" s="305"/>
      <c r="G220" s="306"/>
      <c r="H220" s="307"/>
    </row>
    <row r="221">
      <c r="A221" s="303"/>
      <c r="B221" s="304"/>
      <c r="C221" s="305"/>
      <c r="D221" s="304"/>
      <c r="E221" s="304"/>
      <c r="F221" s="305"/>
      <c r="G221" s="306"/>
      <c r="H221" s="307"/>
    </row>
    <row r="222">
      <c r="A222" s="303"/>
      <c r="B222" s="304"/>
      <c r="C222" s="305"/>
      <c r="D222" s="304"/>
      <c r="E222" s="304"/>
      <c r="F222" s="305"/>
      <c r="G222" s="306"/>
      <c r="H222" s="307"/>
    </row>
    <row r="223">
      <c r="A223" s="303"/>
      <c r="B223" s="304"/>
      <c r="C223" s="305"/>
      <c r="D223" s="304"/>
      <c r="E223" s="304"/>
      <c r="F223" s="305"/>
      <c r="G223" s="306"/>
      <c r="H223" s="307"/>
    </row>
    <row r="224">
      <c r="A224" s="303"/>
      <c r="B224" s="304"/>
      <c r="C224" s="305"/>
      <c r="D224" s="304"/>
      <c r="E224" s="304"/>
      <c r="F224" s="305"/>
      <c r="G224" s="306"/>
      <c r="H224" s="307"/>
    </row>
    <row r="225">
      <c r="A225" s="303"/>
      <c r="B225" s="304"/>
      <c r="C225" s="305"/>
      <c r="D225" s="304"/>
      <c r="E225" s="304"/>
      <c r="F225" s="305"/>
      <c r="G225" s="306"/>
      <c r="H225" s="307"/>
    </row>
    <row r="226">
      <c r="A226" s="303"/>
      <c r="B226" s="304"/>
      <c r="C226" s="305"/>
      <c r="D226" s="304"/>
      <c r="E226" s="304"/>
      <c r="F226" s="305"/>
      <c r="G226" s="306"/>
      <c r="H226" s="307"/>
    </row>
    <row r="227">
      <c r="A227" s="303"/>
      <c r="B227" s="304"/>
      <c r="C227" s="305"/>
      <c r="D227" s="304"/>
      <c r="E227" s="304"/>
      <c r="F227" s="305"/>
      <c r="G227" s="306"/>
      <c r="H227" s="307"/>
    </row>
    <row r="228">
      <c r="A228" s="303"/>
      <c r="B228" s="304"/>
      <c r="C228" s="305"/>
      <c r="D228" s="304"/>
      <c r="E228" s="304"/>
      <c r="F228" s="305"/>
      <c r="G228" s="306"/>
      <c r="H228" s="307"/>
    </row>
    <row r="229">
      <c r="A229" s="303"/>
      <c r="B229" s="304"/>
      <c r="C229" s="305"/>
      <c r="D229" s="304"/>
      <c r="E229" s="304"/>
      <c r="F229" s="305"/>
      <c r="G229" s="306"/>
      <c r="H229" s="307"/>
    </row>
    <row r="230">
      <c r="A230" s="303"/>
      <c r="B230" s="304"/>
      <c r="C230" s="305"/>
      <c r="D230" s="304"/>
      <c r="E230" s="304"/>
      <c r="F230" s="305"/>
      <c r="G230" s="306"/>
      <c r="H230" s="307"/>
    </row>
    <row r="231">
      <c r="A231" s="303"/>
      <c r="B231" s="304"/>
      <c r="C231" s="305"/>
      <c r="D231" s="304"/>
      <c r="E231" s="304"/>
      <c r="F231" s="305"/>
      <c r="G231" s="306"/>
      <c r="H231" s="307"/>
    </row>
    <row r="232">
      <c r="A232" s="303"/>
      <c r="B232" s="304"/>
      <c r="C232" s="305"/>
      <c r="D232" s="304"/>
      <c r="E232" s="304"/>
      <c r="F232" s="305"/>
      <c r="G232" s="306"/>
      <c r="H232" s="307"/>
    </row>
    <row r="233">
      <c r="A233" s="303"/>
      <c r="B233" s="304"/>
      <c r="C233" s="305"/>
      <c r="D233" s="304"/>
      <c r="E233" s="304"/>
      <c r="F233" s="305"/>
      <c r="G233" s="306"/>
      <c r="H233" s="307"/>
    </row>
    <row r="234">
      <c r="A234" s="303"/>
      <c r="B234" s="304"/>
      <c r="C234" s="305"/>
      <c r="D234" s="304"/>
      <c r="E234" s="304"/>
      <c r="F234" s="305"/>
      <c r="G234" s="306"/>
      <c r="H234" s="307"/>
    </row>
    <row r="235">
      <c r="A235" s="303"/>
      <c r="B235" s="304"/>
      <c r="C235" s="305"/>
      <c r="D235" s="304"/>
      <c r="E235" s="304"/>
      <c r="F235" s="305"/>
      <c r="G235" s="306"/>
      <c r="H235" s="307"/>
    </row>
    <row r="236">
      <c r="A236" s="303"/>
      <c r="B236" s="304"/>
      <c r="C236" s="305"/>
      <c r="D236" s="304"/>
      <c r="E236" s="304"/>
      <c r="F236" s="305"/>
      <c r="G236" s="306"/>
      <c r="H236" s="307"/>
    </row>
    <row r="237">
      <c r="A237" s="303"/>
      <c r="B237" s="304"/>
      <c r="C237" s="305"/>
      <c r="D237" s="304"/>
      <c r="E237" s="304"/>
      <c r="F237" s="305"/>
      <c r="G237" s="306"/>
      <c r="H237" s="307"/>
    </row>
    <row r="238">
      <c r="A238" s="303"/>
      <c r="B238" s="304"/>
      <c r="C238" s="305"/>
      <c r="D238" s="304"/>
      <c r="E238" s="304"/>
      <c r="F238" s="305"/>
      <c r="G238" s="306"/>
      <c r="H238" s="307"/>
    </row>
    <row r="239">
      <c r="A239" s="303"/>
      <c r="B239" s="304"/>
      <c r="C239" s="305"/>
      <c r="D239" s="304"/>
      <c r="E239" s="304"/>
      <c r="F239" s="305"/>
      <c r="G239" s="306"/>
      <c r="H239" s="307"/>
    </row>
    <row r="240">
      <c r="A240" s="303"/>
      <c r="B240" s="304"/>
      <c r="C240" s="305"/>
      <c r="D240" s="304"/>
      <c r="E240" s="304"/>
      <c r="F240" s="305"/>
      <c r="G240" s="306"/>
      <c r="H240" s="307"/>
    </row>
    <row r="241">
      <c r="A241" s="303"/>
      <c r="B241" s="304"/>
      <c r="C241" s="305"/>
      <c r="D241" s="304"/>
      <c r="E241" s="304"/>
      <c r="F241" s="305"/>
      <c r="G241" s="306"/>
      <c r="H241" s="307"/>
    </row>
    <row r="242">
      <c r="A242" s="303"/>
      <c r="B242" s="304"/>
      <c r="C242" s="305"/>
      <c r="D242" s="304"/>
      <c r="E242" s="304"/>
      <c r="F242" s="305"/>
      <c r="G242" s="306"/>
      <c r="H242" s="307"/>
    </row>
    <row r="243">
      <c r="A243" s="303"/>
      <c r="B243" s="304"/>
      <c r="C243" s="305"/>
      <c r="D243" s="304"/>
      <c r="E243" s="304"/>
      <c r="F243" s="305"/>
      <c r="G243" s="306"/>
      <c r="H243" s="307"/>
    </row>
    <row r="244">
      <c r="A244" s="303"/>
      <c r="B244" s="304"/>
      <c r="C244" s="305"/>
      <c r="D244" s="304"/>
      <c r="E244" s="304"/>
      <c r="F244" s="305"/>
      <c r="G244" s="306"/>
      <c r="H244" s="307"/>
    </row>
    <row r="245">
      <c r="A245" s="303"/>
      <c r="B245" s="304"/>
      <c r="C245" s="305"/>
      <c r="D245" s="304"/>
      <c r="E245" s="304"/>
      <c r="F245" s="305"/>
      <c r="G245" s="306"/>
      <c r="H245" s="307"/>
    </row>
    <row r="246">
      <c r="A246" s="303"/>
      <c r="B246" s="304"/>
      <c r="C246" s="305"/>
      <c r="D246" s="304"/>
      <c r="E246" s="304"/>
      <c r="F246" s="305"/>
      <c r="G246" s="306"/>
      <c r="H246" s="307"/>
    </row>
    <row r="247">
      <c r="A247" s="303"/>
      <c r="B247" s="304"/>
      <c r="C247" s="305"/>
      <c r="D247" s="304"/>
      <c r="E247" s="304"/>
      <c r="F247" s="305"/>
      <c r="G247" s="306"/>
      <c r="H247" s="307"/>
    </row>
    <row r="248">
      <c r="A248" s="303"/>
      <c r="B248" s="304"/>
      <c r="C248" s="305"/>
      <c r="D248" s="304"/>
      <c r="E248" s="304"/>
      <c r="F248" s="305"/>
      <c r="G248" s="306"/>
      <c r="H248" s="307"/>
    </row>
    <row r="249">
      <c r="A249" s="303"/>
      <c r="B249" s="304"/>
      <c r="C249" s="305"/>
      <c r="D249" s="304"/>
      <c r="E249" s="304"/>
      <c r="F249" s="305"/>
      <c r="G249" s="306"/>
      <c r="H249" s="307"/>
    </row>
    <row r="250">
      <c r="A250" s="303"/>
      <c r="B250" s="304"/>
      <c r="C250" s="305"/>
      <c r="D250" s="304"/>
      <c r="E250" s="304"/>
      <c r="F250" s="305"/>
      <c r="G250" s="306"/>
      <c r="H250" s="307"/>
    </row>
    <row r="251">
      <c r="A251" s="303"/>
      <c r="B251" s="304"/>
      <c r="C251" s="305"/>
      <c r="D251" s="304"/>
      <c r="E251" s="304"/>
      <c r="F251" s="305"/>
      <c r="G251" s="306"/>
      <c r="H251" s="307"/>
    </row>
    <row r="252">
      <c r="A252" s="303"/>
      <c r="B252" s="304"/>
      <c r="C252" s="305"/>
      <c r="D252" s="304"/>
      <c r="E252" s="304"/>
      <c r="F252" s="305"/>
      <c r="G252" s="306"/>
      <c r="H252" s="307"/>
    </row>
    <row r="253">
      <c r="A253" s="303"/>
      <c r="B253" s="304"/>
      <c r="C253" s="305"/>
      <c r="D253" s="304"/>
      <c r="E253" s="304"/>
      <c r="F253" s="305"/>
      <c r="G253" s="306"/>
      <c r="H253" s="307"/>
    </row>
    <row r="254">
      <c r="A254" s="303"/>
      <c r="B254" s="304"/>
      <c r="C254" s="305"/>
      <c r="D254" s="304"/>
      <c r="E254" s="304"/>
      <c r="F254" s="305"/>
      <c r="G254" s="306"/>
      <c r="H254" s="307"/>
    </row>
    <row r="255">
      <c r="A255" s="303"/>
      <c r="B255" s="304"/>
      <c r="C255" s="305"/>
      <c r="D255" s="304"/>
      <c r="E255" s="304"/>
      <c r="F255" s="305"/>
      <c r="G255" s="306"/>
      <c r="H255" s="307"/>
    </row>
    <row r="256">
      <c r="A256" s="303"/>
      <c r="B256" s="304"/>
      <c r="C256" s="305"/>
      <c r="D256" s="304"/>
      <c r="E256" s="304"/>
      <c r="F256" s="305"/>
      <c r="G256" s="306"/>
      <c r="H256" s="307"/>
    </row>
    <row r="257">
      <c r="A257" s="303"/>
      <c r="B257" s="304"/>
      <c r="C257" s="305"/>
      <c r="D257" s="304"/>
      <c r="E257" s="304"/>
      <c r="F257" s="305"/>
      <c r="G257" s="306"/>
      <c r="H257" s="307"/>
    </row>
    <row r="258">
      <c r="A258" s="303"/>
      <c r="B258" s="304"/>
      <c r="C258" s="305"/>
      <c r="D258" s="304"/>
      <c r="E258" s="304"/>
      <c r="F258" s="305"/>
      <c r="G258" s="306"/>
      <c r="H258" s="307"/>
    </row>
    <row r="259">
      <c r="A259" s="303"/>
      <c r="B259" s="304"/>
      <c r="C259" s="305"/>
      <c r="D259" s="304"/>
      <c r="E259" s="304"/>
      <c r="F259" s="305"/>
      <c r="G259" s="306"/>
      <c r="H259" s="307"/>
    </row>
    <row r="260">
      <c r="A260" s="303"/>
      <c r="B260" s="304"/>
      <c r="C260" s="305"/>
      <c r="D260" s="304"/>
      <c r="E260" s="304"/>
      <c r="F260" s="305"/>
      <c r="G260" s="306"/>
      <c r="H260" s="307"/>
    </row>
    <row r="261">
      <c r="A261" s="303"/>
      <c r="B261" s="304"/>
      <c r="C261" s="305"/>
      <c r="D261" s="304"/>
      <c r="E261" s="304"/>
      <c r="F261" s="305"/>
      <c r="G261" s="306"/>
      <c r="H261" s="307"/>
    </row>
    <row r="262">
      <c r="A262" s="303"/>
      <c r="B262" s="304"/>
      <c r="C262" s="305"/>
      <c r="D262" s="304"/>
      <c r="E262" s="304"/>
      <c r="F262" s="305"/>
      <c r="G262" s="306"/>
      <c r="H262" s="307"/>
    </row>
    <row r="263">
      <c r="A263" s="303"/>
      <c r="B263" s="304"/>
      <c r="C263" s="305"/>
      <c r="D263" s="304"/>
      <c r="E263" s="304"/>
      <c r="F263" s="305"/>
      <c r="G263" s="306"/>
      <c r="H263" s="307"/>
    </row>
    <row r="264">
      <c r="A264" s="303"/>
      <c r="B264" s="304"/>
      <c r="C264" s="305"/>
      <c r="D264" s="304"/>
      <c r="E264" s="304"/>
      <c r="F264" s="305"/>
      <c r="G264" s="306"/>
      <c r="H264" s="307"/>
    </row>
    <row r="265">
      <c r="A265" s="303"/>
      <c r="B265" s="304"/>
      <c r="C265" s="305"/>
      <c r="D265" s="304"/>
      <c r="E265" s="304"/>
      <c r="F265" s="305"/>
      <c r="G265" s="306"/>
      <c r="H265" s="307"/>
    </row>
    <row r="266">
      <c r="A266" s="303"/>
      <c r="B266" s="304"/>
      <c r="C266" s="305"/>
      <c r="D266" s="304"/>
      <c r="E266" s="304"/>
      <c r="F266" s="305"/>
      <c r="G266" s="306"/>
      <c r="H266" s="307"/>
    </row>
    <row r="267">
      <c r="A267" s="303"/>
      <c r="B267" s="304"/>
      <c r="C267" s="305"/>
      <c r="D267" s="304"/>
      <c r="E267" s="304"/>
      <c r="F267" s="305"/>
      <c r="G267" s="306"/>
      <c r="H267" s="307"/>
    </row>
    <row r="268">
      <c r="A268" s="303"/>
      <c r="B268" s="304"/>
      <c r="C268" s="305"/>
      <c r="D268" s="304"/>
      <c r="E268" s="304"/>
      <c r="F268" s="305"/>
      <c r="G268" s="306"/>
      <c r="H268" s="307"/>
    </row>
    <row r="269">
      <c r="A269" s="303"/>
      <c r="B269" s="304"/>
      <c r="C269" s="305"/>
      <c r="D269" s="304"/>
      <c r="E269" s="304"/>
      <c r="F269" s="305"/>
      <c r="G269" s="306"/>
      <c r="H269" s="307"/>
    </row>
    <row r="270">
      <c r="A270" s="303"/>
      <c r="B270" s="304"/>
      <c r="C270" s="305"/>
      <c r="D270" s="304"/>
      <c r="E270" s="304"/>
      <c r="F270" s="305"/>
      <c r="G270" s="306"/>
      <c r="H270" s="307"/>
    </row>
    <row r="271">
      <c r="A271" s="303"/>
      <c r="B271" s="304"/>
      <c r="C271" s="305"/>
      <c r="D271" s="304"/>
      <c r="E271" s="304"/>
      <c r="F271" s="305"/>
      <c r="G271" s="306"/>
      <c r="H271" s="307"/>
    </row>
    <row r="272">
      <c r="A272" s="303"/>
      <c r="B272" s="304"/>
      <c r="C272" s="305"/>
      <c r="D272" s="304"/>
      <c r="E272" s="304"/>
      <c r="F272" s="305"/>
      <c r="G272" s="306"/>
      <c r="H272" s="307"/>
    </row>
    <row r="273">
      <c r="A273" s="303"/>
      <c r="B273" s="304"/>
      <c r="C273" s="305"/>
      <c r="D273" s="304"/>
      <c r="E273" s="304"/>
      <c r="F273" s="305"/>
      <c r="G273" s="306"/>
      <c r="H273" s="307"/>
    </row>
    <row r="274">
      <c r="A274" s="303"/>
      <c r="B274" s="304"/>
      <c r="C274" s="305"/>
      <c r="D274" s="304"/>
      <c r="E274" s="304"/>
      <c r="F274" s="305"/>
      <c r="G274" s="306"/>
      <c r="H274" s="307"/>
    </row>
    <row r="275">
      <c r="A275" s="303"/>
      <c r="B275" s="304"/>
      <c r="C275" s="305"/>
      <c r="D275" s="304"/>
      <c r="E275" s="304"/>
      <c r="F275" s="305"/>
      <c r="G275" s="306"/>
      <c r="H275" s="307"/>
    </row>
    <row r="276">
      <c r="A276" s="303"/>
      <c r="B276" s="304"/>
      <c r="C276" s="305"/>
      <c r="D276" s="304"/>
      <c r="E276" s="304"/>
      <c r="F276" s="305"/>
      <c r="G276" s="306"/>
      <c r="H276" s="307"/>
    </row>
    <row r="277">
      <c r="A277" s="303"/>
      <c r="B277" s="304"/>
      <c r="C277" s="305"/>
      <c r="D277" s="304"/>
      <c r="E277" s="304"/>
      <c r="F277" s="305"/>
      <c r="G277" s="306"/>
      <c r="H277" s="307"/>
    </row>
    <row r="278">
      <c r="A278" s="303"/>
      <c r="B278" s="304"/>
      <c r="C278" s="305"/>
      <c r="D278" s="304"/>
      <c r="E278" s="304"/>
      <c r="F278" s="305"/>
      <c r="G278" s="306"/>
      <c r="H278" s="307"/>
    </row>
    <row r="279">
      <c r="A279" s="303"/>
      <c r="B279" s="304"/>
      <c r="C279" s="305"/>
      <c r="D279" s="304"/>
      <c r="E279" s="304"/>
      <c r="F279" s="305"/>
      <c r="G279" s="306"/>
      <c r="H279" s="307"/>
    </row>
    <row r="280">
      <c r="A280" s="303"/>
      <c r="B280" s="304"/>
      <c r="C280" s="305"/>
      <c r="D280" s="304"/>
      <c r="E280" s="304"/>
      <c r="F280" s="305"/>
      <c r="G280" s="306"/>
      <c r="H280" s="307"/>
    </row>
    <row r="281">
      <c r="A281" s="303"/>
      <c r="B281" s="304"/>
      <c r="C281" s="305"/>
      <c r="D281" s="304"/>
      <c r="E281" s="304"/>
      <c r="F281" s="305"/>
      <c r="G281" s="306"/>
      <c r="H281" s="307"/>
    </row>
    <row r="282">
      <c r="A282" s="303"/>
      <c r="B282" s="304"/>
      <c r="C282" s="305"/>
      <c r="D282" s="304"/>
      <c r="E282" s="304"/>
      <c r="F282" s="305"/>
      <c r="G282" s="306"/>
      <c r="H282" s="307"/>
    </row>
    <row r="283">
      <c r="A283" s="303"/>
      <c r="B283" s="304"/>
      <c r="C283" s="305"/>
      <c r="D283" s="304"/>
      <c r="E283" s="304"/>
      <c r="F283" s="305"/>
      <c r="G283" s="306"/>
      <c r="H283" s="307"/>
    </row>
    <row r="284">
      <c r="A284" s="303"/>
      <c r="B284" s="304"/>
      <c r="C284" s="305"/>
      <c r="D284" s="304"/>
      <c r="E284" s="304"/>
      <c r="F284" s="305"/>
      <c r="G284" s="306"/>
      <c r="H284" s="307"/>
    </row>
    <row r="285">
      <c r="A285" s="303"/>
      <c r="B285" s="304"/>
      <c r="C285" s="305"/>
      <c r="D285" s="304"/>
      <c r="E285" s="304"/>
      <c r="F285" s="305"/>
      <c r="G285" s="306"/>
      <c r="H285" s="307"/>
    </row>
    <row r="286">
      <c r="A286" s="303"/>
      <c r="B286" s="304"/>
      <c r="C286" s="305"/>
      <c r="D286" s="304"/>
      <c r="E286" s="304"/>
      <c r="F286" s="305"/>
      <c r="G286" s="306"/>
      <c r="H286" s="307"/>
    </row>
    <row r="287">
      <c r="A287" s="303"/>
      <c r="B287" s="304"/>
      <c r="C287" s="305"/>
      <c r="D287" s="304"/>
      <c r="E287" s="304"/>
      <c r="F287" s="305"/>
      <c r="G287" s="306"/>
      <c r="H287" s="307"/>
    </row>
    <row r="288">
      <c r="A288" s="303"/>
      <c r="B288" s="304"/>
      <c r="C288" s="305"/>
      <c r="D288" s="304"/>
      <c r="E288" s="304"/>
      <c r="F288" s="305"/>
      <c r="G288" s="306"/>
      <c r="H288" s="307"/>
    </row>
    <row r="289">
      <c r="A289" s="303"/>
      <c r="B289" s="304"/>
      <c r="C289" s="305"/>
      <c r="D289" s="304"/>
      <c r="E289" s="304"/>
      <c r="F289" s="305"/>
      <c r="G289" s="306"/>
      <c r="H289" s="307"/>
    </row>
    <row r="290">
      <c r="A290" s="303"/>
      <c r="B290" s="304"/>
      <c r="C290" s="305"/>
      <c r="D290" s="304"/>
      <c r="E290" s="304"/>
      <c r="F290" s="305"/>
      <c r="G290" s="306"/>
      <c r="H290" s="307"/>
    </row>
    <row r="291">
      <c r="A291" s="303"/>
      <c r="B291" s="304"/>
      <c r="C291" s="305"/>
      <c r="D291" s="304"/>
      <c r="E291" s="304"/>
      <c r="F291" s="305"/>
      <c r="G291" s="306"/>
      <c r="H291" s="307"/>
    </row>
    <row r="292">
      <c r="A292" s="303"/>
      <c r="B292" s="304"/>
      <c r="C292" s="305"/>
      <c r="D292" s="304"/>
      <c r="E292" s="304"/>
      <c r="F292" s="305"/>
      <c r="G292" s="306"/>
      <c r="H292" s="307"/>
    </row>
    <row r="293">
      <c r="A293" s="303"/>
      <c r="B293" s="304"/>
      <c r="C293" s="305"/>
      <c r="D293" s="304"/>
      <c r="E293" s="304"/>
      <c r="F293" s="305"/>
      <c r="G293" s="306"/>
      <c r="H293" s="307"/>
    </row>
    <row r="294">
      <c r="A294" s="303"/>
      <c r="B294" s="304"/>
      <c r="C294" s="305"/>
      <c r="D294" s="304"/>
      <c r="E294" s="304"/>
      <c r="F294" s="305"/>
      <c r="G294" s="306"/>
      <c r="H294" s="307"/>
    </row>
    <row r="295">
      <c r="A295" s="303"/>
      <c r="B295" s="304"/>
      <c r="C295" s="305"/>
      <c r="D295" s="304"/>
      <c r="E295" s="304"/>
      <c r="F295" s="305"/>
      <c r="G295" s="306"/>
      <c r="H295" s="307"/>
    </row>
    <row r="296">
      <c r="A296" s="303"/>
      <c r="B296" s="304"/>
      <c r="C296" s="305"/>
      <c r="D296" s="304"/>
      <c r="E296" s="304"/>
      <c r="F296" s="305"/>
      <c r="G296" s="306"/>
      <c r="H296" s="307"/>
    </row>
    <row r="297">
      <c r="A297" s="303"/>
      <c r="B297" s="304"/>
      <c r="C297" s="305"/>
      <c r="D297" s="304"/>
      <c r="E297" s="304"/>
      <c r="F297" s="305"/>
      <c r="G297" s="306"/>
      <c r="H297" s="307"/>
    </row>
    <row r="298">
      <c r="A298" s="303"/>
      <c r="B298" s="304"/>
      <c r="C298" s="305"/>
      <c r="D298" s="304"/>
      <c r="E298" s="304"/>
      <c r="F298" s="305"/>
      <c r="G298" s="306"/>
      <c r="H298" s="307"/>
    </row>
    <row r="299">
      <c r="A299" s="303"/>
      <c r="B299" s="304"/>
      <c r="C299" s="305"/>
      <c r="D299" s="304"/>
      <c r="E299" s="304"/>
      <c r="F299" s="305"/>
      <c r="G299" s="306"/>
      <c r="H299" s="307"/>
    </row>
    <row r="300">
      <c r="A300" s="303"/>
      <c r="B300" s="304"/>
      <c r="C300" s="305"/>
      <c r="D300" s="304"/>
      <c r="E300" s="304"/>
      <c r="F300" s="305"/>
      <c r="G300" s="306"/>
      <c r="H300" s="307"/>
    </row>
    <row r="301">
      <c r="A301" s="303"/>
      <c r="B301" s="304"/>
      <c r="C301" s="305"/>
      <c r="D301" s="304"/>
      <c r="E301" s="304"/>
      <c r="F301" s="305"/>
      <c r="G301" s="306"/>
      <c r="H301" s="307"/>
    </row>
    <row r="302">
      <c r="A302" s="303"/>
      <c r="B302" s="304"/>
      <c r="C302" s="305"/>
      <c r="D302" s="304"/>
      <c r="E302" s="304"/>
      <c r="F302" s="305"/>
      <c r="G302" s="306"/>
      <c r="H302" s="307"/>
    </row>
    <row r="303">
      <c r="A303" s="303"/>
      <c r="B303" s="304"/>
      <c r="C303" s="305"/>
      <c r="D303" s="304"/>
      <c r="E303" s="304"/>
      <c r="F303" s="305"/>
      <c r="G303" s="306"/>
      <c r="H303" s="307"/>
    </row>
    <row r="304">
      <c r="A304" s="303"/>
      <c r="B304" s="304"/>
      <c r="C304" s="305"/>
      <c r="D304" s="304"/>
      <c r="E304" s="304"/>
      <c r="F304" s="305"/>
      <c r="G304" s="306"/>
      <c r="H304" s="307"/>
    </row>
    <row r="305">
      <c r="A305" s="303"/>
      <c r="B305" s="304"/>
      <c r="C305" s="305"/>
      <c r="D305" s="304"/>
      <c r="E305" s="304"/>
      <c r="F305" s="305"/>
      <c r="G305" s="306"/>
      <c r="H305" s="307"/>
    </row>
    <row r="306">
      <c r="A306" s="303"/>
      <c r="B306" s="304"/>
      <c r="C306" s="305"/>
      <c r="D306" s="304"/>
      <c r="E306" s="304"/>
      <c r="F306" s="305"/>
      <c r="G306" s="306"/>
      <c r="H306" s="307"/>
    </row>
    <row r="307">
      <c r="A307" s="303"/>
      <c r="B307" s="304"/>
      <c r="C307" s="305"/>
      <c r="D307" s="304"/>
      <c r="E307" s="304"/>
      <c r="F307" s="305"/>
      <c r="G307" s="306"/>
      <c r="H307" s="307"/>
    </row>
    <row r="308">
      <c r="A308" s="303"/>
      <c r="B308" s="304"/>
      <c r="C308" s="305"/>
      <c r="D308" s="304"/>
      <c r="E308" s="304"/>
      <c r="F308" s="305"/>
      <c r="G308" s="306"/>
      <c r="H308" s="307"/>
    </row>
    <row r="309">
      <c r="A309" s="303"/>
      <c r="B309" s="304"/>
      <c r="C309" s="305"/>
      <c r="D309" s="304"/>
      <c r="E309" s="304"/>
      <c r="F309" s="305"/>
      <c r="G309" s="306"/>
      <c r="H309" s="307"/>
    </row>
    <row r="310">
      <c r="A310" s="303"/>
      <c r="B310" s="304"/>
      <c r="C310" s="305"/>
      <c r="D310" s="304"/>
      <c r="E310" s="304"/>
      <c r="F310" s="305"/>
      <c r="G310" s="306"/>
      <c r="H310" s="307"/>
    </row>
    <row r="311">
      <c r="A311" s="303"/>
      <c r="B311" s="304"/>
      <c r="C311" s="305"/>
      <c r="D311" s="304"/>
      <c r="E311" s="304"/>
      <c r="F311" s="305"/>
      <c r="G311" s="306"/>
      <c r="H311" s="307"/>
    </row>
    <row r="312">
      <c r="A312" s="303"/>
      <c r="B312" s="304"/>
      <c r="C312" s="305"/>
      <c r="D312" s="304"/>
      <c r="E312" s="304"/>
      <c r="F312" s="305"/>
      <c r="G312" s="306"/>
      <c r="H312" s="307"/>
    </row>
    <row r="313">
      <c r="A313" s="303"/>
      <c r="B313" s="304"/>
      <c r="C313" s="305"/>
      <c r="D313" s="304"/>
      <c r="E313" s="304"/>
      <c r="F313" s="305"/>
      <c r="G313" s="306"/>
      <c r="H313" s="307"/>
    </row>
    <row r="314">
      <c r="A314" s="303"/>
      <c r="B314" s="304"/>
      <c r="C314" s="305"/>
      <c r="D314" s="304"/>
      <c r="E314" s="304"/>
      <c r="F314" s="305"/>
      <c r="G314" s="306"/>
      <c r="H314" s="307"/>
    </row>
    <row r="315">
      <c r="A315" s="303"/>
      <c r="B315" s="304"/>
      <c r="C315" s="305"/>
      <c r="D315" s="304"/>
      <c r="E315" s="304"/>
      <c r="F315" s="305"/>
      <c r="G315" s="306"/>
      <c r="H315" s="307"/>
    </row>
    <row r="316">
      <c r="A316" s="303"/>
      <c r="B316" s="304"/>
      <c r="C316" s="305"/>
      <c r="D316" s="304"/>
      <c r="E316" s="304"/>
      <c r="F316" s="305"/>
      <c r="G316" s="306"/>
      <c r="H316" s="307"/>
    </row>
    <row r="317">
      <c r="A317" s="303"/>
      <c r="B317" s="304"/>
      <c r="C317" s="305"/>
      <c r="D317" s="304"/>
      <c r="E317" s="304"/>
      <c r="F317" s="305"/>
      <c r="G317" s="306"/>
      <c r="H317" s="307"/>
    </row>
    <row r="318">
      <c r="A318" s="303"/>
      <c r="B318" s="304"/>
      <c r="C318" s="305"/>
      <c r="D318" s="304"/>
      <c r="E318" s="304"/>
      <c r="F318" s="305"/>
      <c r="G318" s="306"/>
      <c r="H318" s="307"/>
    </row>
    <row r="319">
      <c r="A319" s="303"/>
      <c r="B319" s="304"/>
      <c r="C319" s="305"/>
      <c r="D319" s="304"/>
      <c r="E319" s="304"/>
      <c r="F319" s="305"/>
      <c r="G319" s="306"/>
      <c r="H319" s="307"/>
    </row>
    <row r="320">
      <c r="A320" s="303"/>
      <c r="B320" s="304"/>
      <c r="C320" s="305"/>
      <c r="D320" s="304"/>
      <c r="E320" s="304"/>
      <c r="F320" s="305"/>
      <c r="G320" s="306"/>
      <c r="H320" s="307"/>
    </row>
    <row r="321">
      <c r="A321" s="303"/>
      <c r="B321" s="304"/>
      <c r="C321" s="305"/>
      <c r="D321" s="304"/>
      <c r="E321" s="304"/>
      <c r="F321" s="305"/>
      <c r="G321" s="306"/>
      <c r="H321" s="307"/>
    </row>
    <row r="322">
      <c r="A322" s="303"/>
      <c r="B322" s="304"/>
      <c r="C322" s="305"/>
      <c r="D322" s="304"/>
      <c r="E322" s="304"/>
      <c r="F322" s="305"/>
      <c r="G322" s="306"/>
      <c r="H322" s="307"/>
    </row>
    <row r="323">
      <c r="A323" s="303"/>
      <c r="B323" s="304"/>
      <c r="C323" s="305"/>
      <c r="D323" s="304"/>
      <c r="E323" s="304"/>
      <c r="F323" s="305"/>
      <c r="G323" s="306"/>
      <c r="H323" s="307"/>
    </row>
    <row r="324">
      <c r="A324" s="303"/>
      <c r="B324" s="304"/>
      <c r="C324" s="305"/>
      <c r="D324" s="304"/>
      <c r="E324" s="304"/>
      <c r="F324" s="305"/>
      <c r="G324" s="306"/>
      <c r="H324" s="307"/>
    </row>
    <row r="325">
      <c r="A325" s="303"/>
      <c r="B325" s="304"/>
      <c r="C325" s="305"/>
      <c r="D325" s="304"/>
      <c r="E325" s="304"/>
      <c r="F325" s="305"/>
      <c r="G325" s="306"/>
      <c r="H325" s="307"/>
    </row>
    <row r="326">
      <c r="A326" s="303"/>
      <c r="B326" s="304"/>
      <c r="C326" s="305"/>
      <c r="D326" s="304"/>
      <c r="E326" s="304"/>
      <c r="F326" s="305"/>
      <c r="G326" s="306"/>
      <c r="H326" s="307"/>
    </row>
    <row r="327">
      <c r="A327" s="303"/>
      <c r="B327" s="304"/>
      <c r="C327" s="305"/>
      <c r="D327" s="304"/>
      <c r="E327" s="304"/>
      <c r="F327" s="305"/>
      <c r="G327" s="306"/>
      <c r="H327" s="307"/>
    </row>
    <row r="328">
      <c r="A328" s="303"/>
      <c r="B328" s="304"/>
      <c r="C328" s="305"/>
      <c r="D328" s="304"/>
      <c r="E328" s="304"/>
      <c r="F328" s="305"/>
      <c r="G328" s="306"/>
      <c r="H328" s="307"/>
    </row>
    <row r="329">
      <c r="A329" s="303"/>
      <c r="B329" s="304"/>
      <c r="C329" s="305"/>
      <c r="D329" s="304"/>
      <c r="E329" s="304"/>
      <c r="F329" s="305"/>
      <c r="G329" s="306"/>
      <c r="H329" s="307"/>
    </row>
    <row r="330">
      <c r="A330" s="303"/>
      <c r="B330" s="304"/>
      <c r="C330" s="305"/>
      <c r="D330" s="304"/>
      <c r="E330" s="304"/>
      <c r="F330" s="305"/>
      <c r="G330" s="306"/>
      <c r="H330" s="307"/>
    </row>
    <row r="331">
      <c r="A331" s="303"/>
      <c r="B331" s="304"/>
      <c r="C331" s="305"/>
      <c r="D331" s="304"/>
      <c r="E331" s="304"/>
      <c r="F331" s="305"/>
      <c r="G331" s="306"/>
      <c r="H331" s="307"/>
    </row>
    <row r="332">
      <c r="A332" s="303"/>
      <c r="B332" s="304"/>
      <c r="C332" s="305"/>
      <c r="D332" s="304"/>
      <c r="E332" s="304"/>
      <c r="F332" s="305"/>
      <c r="G332" s="306"/>
      <c r="H332" s="307"/>
    </row>
    <row r="333">
      <c r="A333" s="303"/>
      <c r="B333" s="304"/>
      <c r="C333" s="305"/>
      <c r="D333" s="304"/>
      <c r="E333" s="304"/>
      <c r="F333" s="305"/>
      <c r="G333" s="306"/>
      <c r="H333" s="307"/>
    </row>
    <row r="334">
      <c r="A334" s="303"/>
      <c r="B334" s="304"/>
      <c r="C334" s="305"/>
      <c r="D334" s="304"/>
      <c r="E334" s="304"/>
      <c r="F334" s="305"/>
      <c r="G334" s="306"/>
      <c r="H334" s="307"/>
    </row>
    <row r="335">
      <c r="A335" s="303"/>
      <c r="B335" s="304"/>
      <c r="C335" s="305"/>
      <c r="D335" s="304"/>
      <c r="E335" s="304"/>
      <c r="F335" s="305"/>
      <c r="G335" s="306"/>
      <c r="H335" s="307"/>
    </row>
    <row r="336">
      <c r="A336" s="303"/>
      <c r="B336" s="304"/>
      <c r="C336" s="305"/>
      <c r="D336" s="304"/>
      <c r="E336" s="304"/>
      <c r="F336" s="305"/>
      <c r="G336" s="306"/>
      <c r="H336" s="307"/>
    </row>
    <row r="337">
      <c r="A337" s="303"/>
      <c r="B337" s="304"/>
      <c r="C337" s="305"/>
      <c r="D337" s="304"/>
      <c r="E337" s="304"/>
      <c r="F337" s="305"/>
      <c r="G337" s="306"/>
      <c r="H337" s="307"/>
    </row>
    <row r="338">
      <c r="A338" s="303"/>
      <c r="B338" s="304"/>
      <c r="C338" s="305"/>
      <c r="D338" s="304"/>
      <c r="E338" s="304"/>
      <c r="F338" s="305"/>
      <c r="G338" s="306"/>
      <c r="H338" s="307"/>
    </row>
    <row r="339">
      <c r="A339" s="303"/>
      <c r="B339" s="304"/>
      <c r="C339" s="305"/>
      <c r="D339" s="304"/>
      <c r="E339" s="304"/>
      <c r="F339" s="305"/>
      <c r="G339" s="306"/>
      <c r="H339" s="307"/>
    </row>
    <row r="340">
      <c r="A340" s="303"/>
      <c r="B340" s="304"/>
      <c r="C340" s="305"/>
      <c r="D340" s="304"/>
      <c r="E340" s="304"/>
      <c r="F340" s="305"/>
      <c r="G340" s="306"/>
      <c r="H340" s="307"/>
    </row>
    <row r="341">
      <c r="A341" s="303"/>
      <c r="B341" s="304"/>
      <c r="C341" s="305"/>
      <c r="D341" s="304"/>
      <c r="E341" s="304"/>
      <c r="F341" s="305"/>
      <c r="G341" s="306"/>
      <c r="H341" s="307"/>
    </row>
    <row r="342">
      <c r="A342" s="303"/>
      <c r="B342" s="304"/>
      <c r="C342" s="305"/>
      <c r="D342" s="304"/>
      <c r="E342" s="304"/>
      <c r="F342" s="305"/>
      <c r="G342" s="306"/>
      <c r="H342" s="307"/>
    </row>
    <row r="343">
      <c r="A343" s="303"/>
      <c r="B343" s="304"/>
      <c r="C343" s="305"/>
      <c r="D343" s="304"/>
      <c r="E343" s="304"/>
      <c r="F343" s="305"/>
      <c r="G343" s="306"/>
      <c r="H343" s="307"/>
    </row>
    <row r="344">
      <c r="A344" s="303"/>
      <c r="B344" s="304"/>
      <c r="C344" s="305"/>
      <c r="D344" s="304"/>
      <c r="E344" s="304"/>
      <c r="F344" s="305"/>
      <c r="G344" s="306"/>
      <c r="H344" s="307"/>
    </row>
    <row r="345">
      <c r="A345" s="303"/>
      <c r="B345" s="304"/>
      <c r="C345" s="305"/>
      <c r="D345" s="304"/>
      <c r="E345" s="304"/>
      <c r="F345" s="305"/>
      <c r="G345" s="306"/>
      <c r="H345" s="307"/>
    </row>
    <row r="346">
      <c r="A346" s="303"/>
      <c r="B346" s="304"/>
      <c r="C346" s="305"/>
      <c r="D346" s="304"/>
      <c r="E346" s="304"/>
      <c r="F346" s="305"/>
      <c r="G346" s="306"/>
      <c r="H346" s="307"/>
    </row>
    <row r="347">
      <c r="A347" s="303"/>
      <c r="B347" s="304"/>
      <c r="C347" s="305"/>
      <c r="D347" s="304"/>
      <c r="E347" s="304"/>
      <c r="F347" s="305"/>
      <c r="G347" s="306"/>
      <c r="H347" s="307"/>
    </row>
    <row r="348">
      <c r="A348" s="303"/>
      <c r="B348" s="304"/>
      <c r="C348" s="305"/>
      <c r="D348" s="304"/>
      <c r="E348" s="304"/>
      <c r="F348" s="305"/>
      <c r="G348" s="306"/>
      <c r="H348" s="307"/>
    </row>
    <row r="349">
      <c r="A349" s="303"/>
      <c r="B349" s="304"/>
      <c r="C349" s="305"/>
      <c r="D349" s="304"/>
      <c r="E349" s="304"/>
      <c r="F349" s="305"/>
      <c r="G349" s="306"/>
      <c r="H349" s="307"/>
    </row>
    <row r="350">
      <c r="A350" s="303"/>
      <c r="B350" s="304"/>
      <c r="C350" s="305"/>
      <c r="D350" s="304"/>
      <c r="E350" s="304"/>
      <c r="F350" s="305"/>
      <c r="G350" s="306"/>
      <c r="H350" s="307"/>
    </row>
    <row r="351">
      <c r="A351" s="303"/>
      <c r="B351" s="304"/>
      <c r="C351" s="305"/>
      <c r="D351" s="304"/>
      <c r="E351" s="304"/>
      <c r="F351" s="305"/>
      <c r="G351" s="306"/>
      <c r="H351" s="307"/>
    </row>
    <row r="352">
      <c r="A352" s="303"/>
      <c r="B352" s="304"/>
      <c r="C352" s="305"/>
      <c r="D352" s="304"/>
      <c r="E352" s="304"/>
      <c r="F352" s="305"/>
      <c r="G352" s="306"/>
      <c r="H352" s="307"/>
    </row>
    <row r="353">
      <c r="A353" s="303"/>
      <c r="B353" s="304"/>
      <c r="C353" s="305"/>
      <c r="D353" s="304"/>
      <c r="E353" s="304"/>
      <c r="F353" s="305"/>
      <c r="G353" s="306"/>
      <c r="H353" s="307"/>
    </row>
    <row r="354">
      <c r="A354" s="303"/>
      <c r="B354" s="304"/>
      <c r="C354" s="305"/>
      <c r="D354" s="304"/>
      <c r="E354" s="304"/>
      <c r="F354" s="305"/>
      <c r="G354" s="306"/>
      <c r="H354" s="307"/>
    </row>
    <row r="355">
      <c r="A355" s="303"/>
      <c r="B355" s="304"/>
      <c r="C355" s="305"/>
      <c r="D355" s="304"/>
      <c r="E355" s="304"/>
      <c r="F355" s="305"/>
      <c r="G355" s="306"/>
      <c r="H355" s="307"/>
    </row>
    <row r="356">
      <c r="A356" s="303"/>
      <c r="B356" s="304"/>
      <c r="C356" s="305"/>
      <c r="D356" s="304"/>
      <c r="E356" s="304"/>
      <c r="F356" s="305"/>
      <c r="G356" s="306"/>
      <c r="H356" s="307"/>
    </row>
    <row r="357">
      <c r="A357" s="303"/>
      <c r="B357" s="304"/>
      <c r="C357" s="305"/>
      <c r="D357" s="304"/>
      <c r="E357" s="304"/>
      <c r="F357" s="305"/>
      <c r="G357" s="306"/>
      <c r="H357" s="307"/>
    </row>
    <row r="358">
      <c r="A358" s="303"/>
      <c r="B358" s="304"/>
      <c r="C358" s="305"/>
      <c r="D358" s="304"/>
      <c r="E358" s="304"/>
      <c r="F358" s="305"/>
      <c r="G358" s="306"/>
      <c r="H358" s="307"/>
    </row>
    <row r="359">
      <c r="A359" s="303"/>
      <c r="B359" s="304"/>
      <c r="C359" s="305"/>
      <c r="D359" s="304"/>
      <c r="E359" s="304"/>
      <c r="F359" s="305"/>
      <c r="G359" s="306"/>
      <c r="H359" s="307"/>
    </row>
    <row r="360">
      <c r="A360" s="303"/>
      <c r="B360" s="304"/>
      <c r="C360" s="305"/>
      <c r="D360" s="304"/>
      <c r="E360" s="304"/>
      <c r="F360" s="305"/>
      <c r="G360" s="306"/>
      <c r="H360" s="307"/>
    </row>
    <row r="361">
      <c r="A361" s="303"/>
      <c r="B361" s="304"/>
      <c r="C361" s="305"/>
      <c r="D361" s="304"/>
      <c r="E361" s="304"/>
      <c r="F361" s="305"/>
      <c r="G361" s="306"/>
      <c r="H361" s="307"/>
    </row>
    <row r="362">
      <c r="A362" s="303"/>
      <c r="B362" s="304"/>
      <c r="C362" s="305"/>
      <c r="D362" s="304"/>
      <c r="E362" s="304"/>
      <c r="F362" s="305"/>
      <c r="G362" s="306"/>
      <c r="H362" s="307"/>
    </row>
    <row r="363">
      <c r="A363" s="303"/>
      <c r="B363" s="304"/>
      <c r="C363" s="305"/>
      <c r="D363" s="304"/>
      <c r="E363" s="304"/>
      <c r="F363" s="305"/>
      <c r="G363" s="306"/>
      <c r="H363" s="307"/>
    </row>
    <row r="364">
      <c r="A364" s="303"/>
      <c r="B364" s="304"/>
      <c r="C364" s="305"/>
      <c r="D364" s="304"/>
      <c r="E364" s="304"/>
      <c r="F364" s="305"/>
      <c r="G364" s="306"/>
      <c r="H364" s="307"/>
    </row>
    <row r="365">
      <c r="A365" s="303"/>
      <c r="B365" s="304"/>
      <c r="C365" s="305"/>
      <c r="D365" s="304"/>
      <c r="E365" s="304"/>
      <c r="F365" s="305"/>
      <c r="G365" s="306"/>
      <c r="H365" s="307"/>
    </row>
    <row r="366">
      <c r="A366" s="303"/>
      <c r="B366" s="304"/>
      <c r="C366" s="305"/>
      <c r="D366" s="304"/>
      <c r="E366" s="304"/>
      <c r="F366" s="305"/>
      <c r="G366" s="306"/>
      <c r="H366" s="307"/>
    </row>
    <row r="367">
      <c r="A367" s="303"/>
      <c r="B367" s="304"/>
      <c r="C367" s="305"/>
      <c r="D367" s="304"/>
      <c r="E367" s="304"/>
      <c r="F367" s="305"/>
      <c r="G367" s="306"/>
      <c r="H367" s="307"/>
    </row>
    <row r="368">
      <c r="A368" s="303"/>
      <c r="B368" s="304"/>
      <c r="C368" s="305"/>
      <c r="D368" s="304"/>
      <c r="E368" s="304"/>
      <c r="F368" s="305"/>
      <c r="G368" s="306"/>
      <c r="H368" s="307"/>
    </row>
    <row r="369">
      <c r="A369" s="303"/>
      <c r="B369" s="304"/>
      <c r="C369" s="305"/>
      <c r="D369" s="304"/>
      <c r="E369" s="304"/>
      <c r="F369" s="305"/>
      <c r="G369" s="306"/>
      <c r="H369" s="307"/>
    </row>
    <row r="370">
      <c r="A370" s="303"/>
      <c r="B370" s="304"/>
      <c r="C370" s="305"/>
      <c r="D370" s="304"/>
      <c r="E370" s="304"/>
      <c r="F370" s="305"/>
      <c r="G370" s="306"/>
      <c r="H370" s="307"/>
    </row>
    <row r="371">
      <c r="A371" s="303"/>
      <c r="B371" s="304"/>
      <c r="C371" s="305"/>
      <c r="D371" s="304"/>
      <c r="E371" s="304"/>
      <c r="F371" s="305"/>
      <c r="G371" s="306"/>
      <c r="H371" s="307"/>
    </row>
    <row r="372">
      <c r="A372" s="303"/>
      <c r="B372" s="304"/>
      <c r="C372" s="305"/>
      <c r="D372" s="304"/>
      <c r="E372" s="304"/>
      <c r="F372" s="305"/>
      <c r="G372" s="306"/>
      <c r="H372" s="307"/>
    </row>
    <row r="373">
      <c r="A373" s="303"/>
      <c r="B373" s="304"/>
      <c r="C373" s="305"/>
      <c r="D373" s="304"/>
      <c r="E373" s="304"/>
      <c r="F373" s="305"/>
      <c r="G373" s="306"/>
      <c r="H373" s="307"/>
    </row>
    <row r="374">
      <c r="A374" s="303"/>
      <c r="B374" s="304"/>
      <c r="C374" s="305"/>
      <c r="D374" s="304"/>
      <c r="E374" s="304"/>
      <c r="F374" s="305"/>
      <c r="G374" s="306"/>
      <c r="H374" s="307"/>
    </row>
    <row r="375">
      <c r="A375" s="303"/>
      <c r="B375" s="304"/>
      <c r="C375" s="305"/>
      <c r="D375" s="304"/>
      <c r="E375" s="304"/>
      <c r="F375" s="305"/>
      <c r="G375" s="306"/>
      <c r="H375" s="307"/>
    </row>
    <row r="376">
      <c r="A376" s="303"/>
      <c r="B376" s="304"/>
      <c r="C376" s="305"/>
      <c r="D376" s="304"/>
      <c r="E376" s="304"/>
      <c r="F376" s="305"/>
      <c r="G376" s="306"/>
      <c r="H376" s="307"/>
    </row>
    <row r="377">
      <c r="A377" s="303"/>
      <c r="B377" s="304"/>
      <c r="C377" s="305"/>
      <c r="D377" s="304"/>
      <c r="E377" s="304"/>
      <c r="F377" s="305"/>
      <c r="G377" s="306"/>
      <c r="H377" s="307"/>
    </row>
    <row r="378">
      <c r="A378" s="303"/>
      <c r="B378" s="304"/>
      <c r="C378" s="305"/>
      <c r="D378" s="304"/>
      <c r="E378" s="304"/>
      <c r="F378" s="305"/>
      <c r="G378" s="306"/>
      <c r="H378" s="307"/>
    </row>
    <row r="379">
      <c r="A379" s="303"/>
      <c r="B379" s="304"/>
      <c r="C379" s="305"/>
      <c r="D379" s="304"/>
      <c r="E379" s="304"/>
      <c r="F379" s="305"/>
      <c r="G379" s="306"/>
      <c r="H379" s="307"/>
    </row>
    <row r="380">
      <c r="A380" s="303"/>
      <c r="B380" s="304"/>
      <c r="C380" s="305"/>
      <c r="D380" s="304"/>
      <c r="E380" s="304"/>
      <c r="F380" s="305"/>
      <c r="G380" s="306"/>
      <c r="H380" s="307"/>
    </row>
    <row r="381">
      <c r="A381" s="303"/>
      <c r="B381" s="304"/>
      <c r="C381" s="305"/>
      <c r="D381" s="304"/>
      <c r="E381" s="304"/>
      <c r="F381" s="305"/>
      <c r="G381" s="306"/>
      <c r="H381" s="307"/>
    </row>
    <row r="382">
      <c r="A382" s="303"/>
      <c r="B382" s="304"/>
      <c r="C382" s="305"/>
      <c r="D382" s="304"/>
      <c r="E382" s="304"/>
      <c r="F382" s="305"/>
      <c r="G382" s="306"/>
      <c r="H382" s="307"/>
    </row>
    <row r="383">
      <c r="A383" s="303"/>
      <c r="B383" s="304"/>
      <c r="C383" s="305"/>
      <c r="D383" s="304"/>
      <c r="E383" s="304"/>
      <c r="F383" s="305"/>
      <c r="G383" s="306"/>
      <c r="H383" s="307"/>
    </row>
    <row r="384">
      <c r="A384" s="303"/>
      <c r="B384" s="304"/>
      <c r="C384" s="305"/>
      <c r="D384" s="304"/>
      <c r="E384" s="304"/>
      <c r="F384" s="305"/>
      <c r="G384" s="306"/>
      <c r="H384" s="307"/>
    </row>
    <row r="385">
      <c r="A385" s="303"/>
      <c r="B385" s="304"/>
      <c r="C385" s="305"/>
      <c r="D385" s="304"/>
      <c r="E385" s="304"/>
      <c r="F385" s="305"/>
      <c r="G385" s="306"/>
      <c r="H385" s="307"/>
    </row>
    <row r="386">
      <c r="A386" s="303"/>
      <c r="B386" s="304"/>
      <c r="C386" s="305"/>
      <c r="D386" s="304"/>
      <c r="E386" s="304"/>
      <c r="F386" s="305"/>
      <c r="G386" s="306"/>
      <c r="H386" s="307"/>
    </row>
    <row r="387">
      <c r="A387" s="303"/>
      <c r="B387" s="304"/>
      <c r="C387" s="305"/>
      <c r="D387" s="304"/>
      <c r="E387" s="304"/>
      <c r="F387" s="305"/>
      <c r="G387" s="306"/>
      <c r="H387" s="307"/>
    </row>
    <row r="388">
      <c r="A388" s="303"/>
      <c r="B388" s="304"/>
      <c r="C388" s="305"/>
      <c r="D388" s="304"/>
      <c r="E388" s="304"/>
      <c r="F388" s="305"/>
      <c r="G388" s="306"/>
      <c r="H388" s="307"/>
    </row>
    <row r="389">
      <c r="A389" s="303"/>
      <c r="B389" s="304"/>
      <c r="C389" s="305"/>
      <c r="D389" s="304"/>
      <c r="E389" s="304"/>
      <c r="F389" s="305"/>
      <c r="G389" s="306"/>
      <c r="H389" s="307"/>
    </row>
    <row r="390">
      <c r="A390" s="303"/>
      <c r="B390" s="304"/>
      <c r="C390" s="305"/>
      <c r="D390" s="304"/>
      <c r="E390" s="304"/>
      <c r="F390" s="305"/>
      <c r="G390" s="306"/>
      <c r="H390" s="307"/>
    </row>
    <row r="391">
      <c r="A391" s="303"/>
      <c r="B391" s="304"/>
      <c r="C391" s="305"/>
      <c r="D391" s="304"/>
      <c r="E391" s="304"/>
      <c r="F391" s="305"/>
      <c r="G391" s="306"/>
      <c r="H391" s="307"/>
    </row>
    <row r="392">
      <c r="A392" s="303"/>
      <c r="B392" s="304"/>
      <c r="C392" s="305"/>
      <c r="D392" s="304"/>
      <c r="E392" s="304"/>
      <c r="F392" s="305"/>
      <c r="G392" s="306"/>
      <c r="H392" s="307"/>
    </row>
    <row r="393">
      <c r="A393" s="303"/>
      <c r="B393" s="304"/>
      <c r="C393" s="305"/>
      <c r="D393" s="304"/>
      <c r="E393" s="304"/>
      <c r="F393" s="305"/>
      <c r="G393" s="306"/>
      <c r="H393" s="307"/>
    </row>
    <row r="394">
      <c r="A394" s="303"/>
      <c r="B394" s="304"/>
      <c r="C394" s="305"/>
      <c r="D394" s="304"/>
      <c r="E394" s="304"/>
      <c r="F394" s="305"/>
      <c r="G394" s="306"/>
      <c r="H394" s="307"/>
    </row>
    <row r="395">
      <c r="A395" s="303"/>
      <c r="B395" s="304"/>
      <c r="C395" s="305"/>
      <c r="D395" s="304"/>
      <c r="E395" s="304"/>
      <c r="F395" s="305"/>
      <c r="G395" s="306"/>
      <c r="H395" s="307"/>
    </row>
    <row r="396">
      <c r="A396" s="303"/>
      <c r="B396" s="304"/>
      <c r="C396" s="305"/>
      <c r="D396" s="304"/>
      <c r="E396" s="304"/>
      <c r="F396" s="305"/>
      <c r="G396" s="306"/>
      <c r="H396" s="307"/>
    </row>
    <row r="397">
      <c r="A397" s="303"/>
      <c r="B397" s="304"/>
      <c r="C397" s="305"/>
      <c r="D397" s="304"/>
      <c r="E397" s="304"/>
      <c r="F397" s="305"/>
      <c r="G397" s="306"/>
      <c r="H397" s="307"/>
    </row>
    <row r="398">
      <c r="A398" s="303"/>
      <c r="B398" s="304"/>
      <c r="C398" s="305"/>
      <c r="D398" s="304"/>
      <c r="E398" s="304"/>
      <c r="F398" s="305"/>
      <c r="G398" s="306"/>
      <c r="H398" s="307"/>
    </row>
    <row r="399">
      <c r="A399" s="303"/>
      <c r="B399" s="304"/>
      <c r="C399" s="305"/>
      <c r="D399" s="304"/>
      <c r="E399" s="304"/>
      <c r="F399" s="305"/>
      <c r="G399" s="306"/>
      <c r="H399" s="307"/>
    </row>
    <row r="400">
      <c r="A400" s="303"/>
      <c r="B400" s="304"/>
      <c r="C400" s="305"/>
      <c r="D400" s="304"/>
      <c r="E400" s="304"/>
      <c r="F400" s="305"/>
      <c r="G400" s="306"/>
      <c r="H400" s="307"/>
    </row>
    <row r="401">
      <c r="A401" s="303"/>
      <c r="B401" s="304"/>
      <c r="C401" s="305"/>
      <c r="D401" s="304"/>
      <c r="E401" s="304"/>
      <c r="F401" s="305"/>
      <c r="G401" s="306"/>
      <c r="H401" s="307"/>
    </row>
    <row r="402">
      <c r="A402" s="303"/>
      <c r="B402" s="304"/>
      <c r="C402" s="305"/>
      <c r="D402" s="304"/>
      <c r="E402" s="304"/>
      <c r="F402" s="305"/>
      <c r="G402" s="306"/>
      <c r="H402" s="307"/>
    </row>
    <row r="403">
      <c r="A403" s="303"/>
      <c r="B403" s="304"/>
      <c r="C403" s="305"/>
      <c r="D403" s="304"/>
      <c r="E403" s="304"/>
      <c r="F403" s="305"/>
      <c r="G403" s="306"/>
      <c r="H403" s="307"/>
    </row>
    <row r="404">
      <c r="A404" s="303"/>
      <c r="B404" s="304"/>
      <c r="C404" s="305"/>
      <c r="D404" s="304"/>
      <c r="E404" s="304"/>
      <c r="F404" s="305"/>
      <c r="G404" s="306"/>
      <c r="H404" s="307"/>
    </row>
    <row r="405">
      <c r="A405" s="303"/>
      <c r="B405" s="304"/>
      <c r="C405" s="305"/>
      <c r="D405" s="304"/>
      <c r="E405" s="304"/>
      <c r="F405" s="305"/>
      <c r="G405" s="306"/>
      <c r="H405" s="307"/>
    </row>
    <row r="406">
      <c r="A406" s="303"/>
      <c r="B406" s="304"/>
      <c r="C406" s="305"/>
      <c r="D406" s="304"/>
      <c r="E406" s="304"/>
      <c r="F406" s="305"/>
      <c r="G406" s="306"/>
      <c r="H406" s="307"/>
    </row>
    <row r="407">
      <c r="A407" s="303"/>
      <c r="B407" s="304"/>
      <c r="C407" s="305"/>
      <c r="D407" s="304"/>
      <c r="E407" s="304"/>
      <c r="F407" s="305"/>
      <c r="G407" s="306"/>
      <c r="H407" s="307"/>
    </row>
    <row r="408">
      <c r="A408" s="303"/>
      <c r="B408" s="304"/>
      <c r="C408" s="305"/>
      <c r="D408" s="304"/>
      <c r="E408" s="304"/>
      <c r="F408" s="305"/>
      <c r="G408" s="306"/>
      <c r="H408" s="307"/>
    </row>
    <row r="409">
      <c r="A409" s="303"/>
      <c r="B409" s="304"/>
      <c r="C409" s="305"/>
      <c r="D409" s="304"/>
      <c r="E409" s="304"/>
      <c r="F409" s="305"/>
      <c r="G409" s="306"/>
      <c r="H409" s="307"/>
    </row>
    <row r="410">
      <c r="A410" s="303"/>
      <c r="B410" s="304"/>
      <c r="C410" s="305"/>
      <c r="D410" s="304"/>
      <c r="E410" s="304"/>
      <c r="F410" s="305"/>
      <c r="G410" s="306"/>
      <c r="H410" s="307"/>
    </row>
    <row r="411">
      <c r="A411" s="303"/>
      <c r="B411" s="304"/>
      <c r="C411" s="305"/>
      <c r="D411" s="304"/>
      <c r="E411" s="304"/>
      <c r="F411" s="305"/>
      <c r="G411" s="306"/>
      <c r="H411" s="307"/>
    </row>
    <row r="412">
      <c r="A412" s="303"/>
      <c r="B412" s="304"/>
      <c r="C412" s="305"/>
      <c r="D412" s="304"/>
      <c r="E412" s="304"/>
      <c r="F412" s="305"/>
      <c r="G412" s="306"/>
      <c r="H412" s="307"/>
    </row>
    <row r="413">
      <c r="A413" s="303"/>
      <c r="B413" s="304"/>
      <c r="C413" s="305"/>
      <c r="D413" s="304"/>
      <c r="E413" s="304"/>
      <c r="F413" s="305"/>
      <c r="G413" s="306"/>
      <c r="H413" s="307"/>
    </row>
    <row r="414">
      <c r="A414" s="303"/>
      <c r="B414" s="304"/>
      <c r="C414" s="305"/>
      <c r="D414" s="304"/>
      <c r="E414" s="304"/>
      <c r="F414" s="305"/>
      <c r="G414" s="306"/>
      <c r="H414" s="307"/>
    </row>
    <row r="415">
      <c r="A415" s="303"/>
      <c r="B415" s="304"/>
      <c r="C415" s="305"/>
      <c r="D415" s="304"/>
      <c r="E415" s="304"/>
      <c r="F415" s="305"/>
      <c r="G415" s="306"/>
      <c r="H415" s="307"/>
    </row>
    <row r="416">
      <c r="A416" s="303"/>
      <c r="B416" s="304"/>
      <c r="C416" s="305"/>
      <c r="D416" s="304"/>
      <c r="E416" s="304"/>
      <c r="F416" s="305"/>
      <c r="G416" s="306"/>
      <c r="H416" s="307"/>
    </row>
    <row r="417">
      <c r="A417" s="303"/>
      <c r="B417" s="304"/>
      <c r="C417" s="305"/>
      <c r="D417" s="304"/>
      <c r="E417" s="304"/>
      <c r="F417" s="305"/>
      <c r="G417" s="306"/>
      <c r="H417" s="307"/>
    </row>
    <row r="418">
      <c r="A418" s="303"/>
      <c r="B418" s="304"/>
      <c r="C418" s="305"/>
      <c r="D418" s="304"/>
      <c r="E418" s="304"/>
      <c r="F418" s="305"/>
      <c r="G418" s="306"/>
      <c r="H418" s="307"/>
    </row>
    <row r="419">
      <c r="A419" s="303"/>
      <c r="B419" s="304"/>
      <c r="C419" s="305"/>
      <c r="D419" s="304"/>
      <c r="E419" s="304"/>
      <c r="F419" s="305"/>
      <c r="G419" s="306"/>
      <c r="H419" s="307"/>
    </row>
    <row r="420">
      <c r="A420" s="303"/>
      <c r="B420" s="304"/>
      <c r="C420" s="305"/>
      <c r="D420" s="304"/>
      <c r="E420" s="304"/>
      <c r="F420" s="305"/>
      <c r="G420" s="306"/>
      <c r="H420" s="307"/>
    </row>
    <row r="421">
      <c r="A421" s="303"/>
      <c r="B421" s="304"/>
      <c r="C421" s="305"/>
      <c r="D421" s="304"/>
      <c r="E421" s="304"/>
      <c r="F421" s="305"/>
      <c r="G421" s="306"/>
      <c r="H421" s="307"/>
    </row>
    <row r="422">
      <c r="A422" s="303"/>
      <c r="B422" s="304"/>
      <c r="C422" s="305"/>
      <c r="D422" s="304"/>
      <c r="E422" s="304"/>
      <c r="F422" s="305"/>
      <c r="G422" s="306"/>
      <c r="H422" s="307"/>
    </row>
    <row r="423">
      <c r="A423" s="303"/>
      <c r="B423" s="304"/>
      <c r="C423" s="305"/>
      <c r="D423" s="304"/>
      <c r="E423" s="304"/>
      <c r="F423" s="305"/>
      <c r="G423" s="306"/>
      <c r="H423" s="307"/>
    </row>
    <row r="424">
      <c r="A424" s="303"/>
      <c r="B424" s="304"/>
      <c r="C424" s="305"/>
      <c r="D424" s="304"/>
      <c r="E424" s="304"/>
      <c r="F424" s="305"/>
      <c r="G424" s="306"/>
      <c r="H424" s="307"/>
    </row>
    <row r="425">
      <c r="A425" s="303"/>
      <c r="B425" s="304"/>
      <c r="C425" s="305"/>
      <c r="D425" s="304"/>
      <c r="E425" s="304"/>
      <c r="F425" s="305"/>
      <c r="G425" s="306"/>
      <c r="H425" s="307"/>
    </row>
    <row r="426">
      <c r="A426" s="303"/>
      <c r="B426" s="304"/>
      <c r="C426" s="305"/>
      <c r="D426" s="304"/>
      <c r="E426" s="304"/>
      <c r="F426" s="305"/>
      <c r="G426" s="306"/>
      <c r="H426" s="307"/>
    </row>
    <row r="427">
      <c r="A427" s="303"/>
      <c r="B427" s="304"/>
      <c r="C427" s="305"/>
      <c r="D427" s="304"/>
      <c r="E427" s="304"/>
      <c r="F427" s="305"/>
      <c r="G427" s="306"/>
      <c r="H427" s="307"/>
    </row>
    <row r="428">
      <c r="A428" s="303"/>
      <c r="B428" s="304"/>
      <c r="C428" s="305"/>
      <c r="D428" s="304"/>
      <c r="E428" s="304"/>
      <c r="F428" s="305"/>
      <c r="G428" s="306"/>
      <c r="H428" s="307"/>
    </row>
    <row r="429">
      <c r="A429" s="303"/>
      <c r="B429" s="304"/>
      <c r="C429" s="305"/>
      <c r="D429" s="304"/>
      <c r="E429" s="304"/>
      <c r="F429" s="305"/>
      <c r="G429" s="306"/>
      <c r="H429" s="307"/>
    </row>
    <row r="430">
      <c r="A430" s="303"/>
      <c r="B430" s="304"/>
      <c r="C430" s="305"/>
      <c r="D430" s="304"/>
      <c r="E430" s="304"/>
      <c r="F430" s="305"/>
      <c r="G430" s="306"/>
      <c r="H430" s="307"/>
    </row>
    <row r="431">
      <c r="A431" s="303"/>
      <c r="B431" s="304"/>
      <c r="C431" s="305"/>
      <c r="D431" s="304"/>
      <c r="E431" s="304"/>
      <c r="F431" s="305"/>
      <c r="G431" s="306"/>
      <c r="H431" s="307"/>
    </row>
    <row r="432">
      <c r="A432" s="303"/>
      <c r="B432" s="304"/>
      <c r="C432" s="305"/>
      <c r="D432" s="304"/>
      <c r="E432" s="304"/>
      <c r="F432" s="305"/>
      <c r="G432" s="306"/>
      <c r="H432" s="307"/>
    </row>
    <row r="433">
      <c r="A433" s="303"/>
      <c r="B433" s="304"/>
      <c r="C433" s="305"/>
      <c r="D433" s="304"/>
      <c r="E433" s="304"/>
      <c r="F433" s="305"/>
      <c r="G433" s="306"/>
      <c r="H433" s="307"/>
    </row>
    <row r="434">
      <c r="A434" s="303"/>
      <c r="B434" s="304"/>
      <c r="C434" s="305"/>
      <c r="D434" s="304"/>
      <c r="E434" s="304"/>
      <c r="F434" s="305"/>
      <c r="G434" s="306"/>
      <c r="H434" s="307"/>
    </row>
    <row r="435">
      <c r="A435" s="303"/>
      <c r="B435" s="304"/>
      <c r="C435" s="305"/>
      <c r="D435" s="304"/>
      <c r="E435" s="304"/>
      <c r="F435" s="305"/>
      <c r="G435" s="306"/>
      <c r="H435" s="307"/>
    </row>
    <row r="436">
      <c r="A436" s="303"/>
      <c r="B436" s="304"/>
      <c r="C436" s="305"/>
      <c r="D436" s="304"/>
      <c r="E436" s="304"/>
      <c r="F436" s="305"/>
      <c r="G436" s="306"/>
      <c r="H436" s="307"/>
    </row>
    <row r="437">
      <c r="A437" s="303"/>
      <c r="B437" s="304"/>
      <c r="C437" s="305"/>
      <c r="D437" s="304"/>
      <c r="E437" s="304"/>
      <c r="F437" s="305"/>
      <c r="G437" s="306"/>
      <c r="H437" s="307"/>
    </row>
    <row r="438">
      <c r="A438" s="303"/>
      <c r="B438" s="304"/>
      <c r="C438" s="305"/>
      <c r="D438" s="304"/>
      <c r="E438" s="304"/>
      <c r="F438" s="305"/>
      <c r="G438" s="306"/>
      <c r="H438" s="307"/>
    </row>
    <row r="439">
      <c r="A439" s="303"/>
      <c r="B439" s="304"/>
      <c r="C439" s="305"/>
      <c r="D439" s="304"/>
      <c r="E439" s="304"/>
      <c r="F439" s="305"/>
      <c r="G439" s="306"/>
      <c r="H439" s="307"/>
    </row>
    <row r="440">
      <c r="A440" s="303"/>
      <c r="B440" s="304"/>
      <c r="C440" s="305"/>
      <c r="D440" s="304"/>
      <c r="E440" s="304"/>
      <c r="F440" s="305"/>
      <c r="G440" s="306"/>
      <c r="H440" s="307"/>
    </row>
    <row r="441">
      <c r="A441" s="303"/>
      <c r="B441" s="304"/>
      <c r="C441" s="305"/>
      <c r="D441" s="304"/>
      <c r="E441" s="304"/>
      <c r="F441" s="305"/>
      <c r="G441" s="306"/>
      <c r="H441" s="307"/>
    </row>
    <row r="442">
      <c r="A442" s="303"/>
      <c r="B442" s="304"/>
      <c r="C442" s="305"/>
      <c r="D442" s="304"/>
      <c r="E442" s="304"/>
      <c r="F442" s="305"/>
      <c r="G442" s="306"/>
      <c r="H442" s="307"/>
    </row>
    <row r="443">
      <c r="A443" s="303"/>
      <c r="B443" s="304"/>
      <c r="C443" s="305"/>
      <c r="D443" s="304"/>
      <c r="E443" s="304"/>
      <c r="F443" s="305"/>
      <c r="G443" s="306"/>
      <c r="H443" s="307"/>
    </row>
    <row r="444">
      <c r="A444" s="303"/>
      <c r="B444" s="304"/>
      <c r="C444" s="305"/>
      <c r="D444" s="304"/>
      <c r="E444" s="304"/>
      <c r="F444" s="305"/>
      <c r="G444" s="306"/>
      <c r="H444" s="307"/>
    </row>
    <row r="445">
      <c r="A445" s="303"/>
      <c r="B445" s="304"/>
      <c r="C445" s="305"/>
      <c r="D445" s="304"/>
      <c r="E445" s="304"/>
      <c r="F445" s="305"/>
      <c r="G445" s="306"/>
      <c r="H445" s="307"/>
    </row>
    <row r="446">
      <c r="A446" s="303"/>
      <c r="B446" s="304"/>
      <c r="C446" s="305"/>
      <c r="D446" s="304"/>
      <c r="E446" s="304"/>
      <c r="F446" s="305"/>
      <c r="G446" s="306"/>
      <c r="H446" s="307"/>
    </row>
    <row r="447">
      <c r="A447" s="303"/>
      <c r="B447" s="304"/>
      <c r="C447" s="305"/>
      <c r="D447" s="304"/>
      <c r="E447" s="304"/>
      <c r="F447" s="305"/>
      <c r="G447" s="306"/>
      <c r="H447" s="307"/>
    </row>
    <row r="448">
      <c r="A448" s="303"/>
      <c r="B448" s="304"/>
      <c r="C448" s="305"/>
      <c r="D448" s="304"/>
      <c r="E448" s="304"/>
      <c r="F448" s="305"/>
      <c r="G448" s="306"/>
      <c r="H448" s="307"/>
    </row>
    <row r="449">
      <c r="A449" s="303"/>
      <c r="B449" s="304"/>
      <c r="C449" s="305"/>
      <c r="D449" s="304"/>
      <c r="E449" s="304"/>
      <c r="F449" s="305"/>
      <c r="G449" s="306"/>
      <c r="H449" s="307"/>
    </row>
    <row r="450">
      <c r="A450" s="303"/>
      <c r="B450" s="304"/>
      <c r="C450" s="305"/>
      <c r="D450" s="304"/>
      <c r="E450" s="304"/>
      <c r="F450" s="305"/>
      <c r="G450" s="306"/>
      <c r="H450" s="307"/>
    </row>
    <row r="451">
      <c r="A451" s="303"/>
      <c r="B451" s="304"/>
      <c r="C451" s="305"/>
      <c r="D451" s="304"/>
      <c r="E451" s="304"/>
      <c r="F451" s="305"/>
      <c r="G451" s="306"/>
      <c r="H451" s="307"/>
    </row>
    <row r="452">
      <c r="A452" s="303"/>
      <c r="B452" s="304"/>
      <c r="C452" s="305"/>
      <c r="D452" s="304"/>
      <c r="E452" s="304"/>
      <c r="F452" s="305"/>
      <c r="G452" s="306"/>
      <c r="H452" s="307"/>
    </row>
    <row r="453">
      <c r="A453" s="303"/>
      <c r="B453" s="304"/>
      <c r="C453" s="305"/>
      <c r="D453" s="304"/>
      <c r="E453" s="304"/>
      <c r="F453" s="305"/>
      <c r="G453" s="306"/>
      <c r="H453" s="307"/>
    </row>
    <row r="454">
      <c r="A454" s="303"/>
      <c r="B454" s="304"/>
      <c r="C454" s="305"/>
      <c r="D454" s="304"/>
      <c r="E454" s="304"/>
      <c r="F454" s="305"/>
      <c r="G454" s="306"/>
      <c r="H454" s="307"/>
    </row>
    <row r="455">
      <c r="A455" s="303"/>
      <c r="B455" s="304"/>
      <c r="C455" s="305"/>
      <c r="D455" s="304"/>
      <c r="E455" s="304"/>
      <c r="F455" s="305"/>
      <c r="G455" s="306"/>
      <c r="H455" s="307"/>
    </row>
    <row r="456">
      <c r="A456" s="303"/>
      <c r="B456" s="304"/>
      <c r="C456" s="305"/>
      <c r="D456" s="304"/>
      <c r="E456" s="304"/>
      <c r="F456" s="305"/>
      <c r="G456" s="306"/>
      <c r="H456" s="307"/>
    </row>
    <row r="457">
      <c r="A457" s="303"/>
      <c r="B457" s="304"/>
      <c r="C457" s="305"/>
      <c r="D457" s="304"/>
      <c r="E457" s="304"/>
      <c r="F457" s="305"/>
      <c r="G457" s="306"/>
      <c r="H457" s="307"/>
    </row>
    <row r="458">
      <c r="A458" s="303"/>
      <c r="B458" s="304"/>
      <c r="C458" s="305"/>
      <c r="D458" s="304"/>
      <c r="E458" s="304"/>
      <c r="F458" s="305"/>
      <c r="G458" s="306"/>
      <c r="H458" s="307"/>
    </row>
    <row r="459">
      <c r="A459" s="303"/>
      <c r="B459" s="304"/>
      <c r="C459" s="305"/>
      <c r="D459" s="304"/>
      <c r="E459" s="304"/>
      <c r="F459" s="305"/>
      <c r="G459" s="306"/>
      <c r="H459" s="307"/>
    </row>
    <row r="460">
      <c r="A460" s="303"/>
      <c r="B460" s="304"/>
      <c r="C460" s="305"/>
      <c r="D460" s="304"/>
      <c r="E460" s="304"/>
      <c r="F460" s="305"/>
      <c r="G460" s="306"/>
      <c r="H460" s="307"/>
    </row>
    <row r="461">
      <c r="A461" s="303"/>
      <c r="B461" s="304"/>
      <c r="C461" s="305"/>
      <c r="D461" s="304"/>
      <c r="E461" s="304"/>
      <c r="F461" s="305"/>
      <c r="G461" s="306"/>
      <c r="H461" s="307"/>
    </row>
    <row r="462">
      <c r="A462" s="303"/>
      <c r="B462" s="304"/>
      <c r="C462" s="305"/>
      <c r="D462" s="304"/>
      <c r="E462" s="304"/>
      <c r="F462" s="305"/>
      <c r="G462" s="306"/>
      <c r="H462" s="307"/>
    </row>
    <row r="463">
      <c r="A463" s="303"/>
      <c r="B463" s="304"/>
      <c r="C463" s="305"/>
      <c r="D463" s="304"/>
      <c r="E463" s="304"/>
      <c r="F463" s="305"/>
      <c r="G463" s="306"/>
      <c r="H463" s="307"/>
    </row>
    <row r="464">
      <c r="A464" s="303"/>
      <c r="B464" s="304"/>
      <c r="C464" s="305"/>
      <c r="D464" s="304"/>
      <c r="E464" s="304"/>
      <c r="F464" s="305"/>
      <c r="G464" s="306"/>
      <c r="H464" s="307"/>
    </row>
    <row r="465">
      <c r="A465" s="303"/>
      <c r="B465" s="304"/>
      <c r="C465" s="305"/>
      <c r="D465" s="304"/>
      <c r="E465" s="304"/>
      <c r="F465" s="305"/>
      <c r="G465" s="306"/>
      <c r="H465" s="307"/>
    </row>
    <row r="466">
      <c r="A466" s="303"/>
      <c r="B466" s="304"/>
      <c r="C466" s="305"/>
      <c r="D466" s="304"/>
      <c r="E466" s="304"/>
      <c r="F466" s="305"/>
      <c r="G466" s="306"/>
      <c r="H466" s="307"/>
    </row>
    <row r="467">
      <c r="A467" s="303"/>
      <c r="B467" s="304"/>
      <c r="C467" s="305"/>
      <c r="D467" s="304"/>
      <c r="E467" s="304"/>
      <c r="F467" s="305"/>
      <c r="G467" s="306"/>
      <c r="H467" s="307"/>
    </row>
    <row r="468">
      <c r="A468" s="303"/>
      <c r="B468" s="304"/>
      <c r="C468" s="305"/>
      <c r="D468" s="304"/>
      <c r="E468" s="304"/>
      <c r="F468" s="305"/>
      <c r="G468" s="306"/>
      <c r="H468" s="307"/>
    </row>
    <row r="469">
      <c r="A469" s="303"/>
      <c r="B469" s="304"/>
      <c r="C469" s="305"/>
      <c r="D469" s="304"/>
      <c r="E469" s="304"/>
      <c r="F469" s="305"/>
      <c r="G469" s="306"/>
      <c r="H469" s="307"/>
    </row>
    <row r="470">
      <c r="A470" s="303"/>
      <c r="B470" s="304"/>
      <c r="C470" s="305"/>
      <c r="D470" s="304"/>
      <c r="E470" s="304"/>
      <c r="F470" s="305"/>
      <c r="G470" s="306"/>
      <c r="H470" s="307"/>
    </row>
    <row r="471">
      <c r="A471" s="303"/>
      <c r="B471" s="304"/>
      <c r="C471" s="305"/>
      <c r="D471" s="304"/>
      <c r="E471" s="304"/>
      <c r="F471" s="305"/>
      <c r="G471" s="306"/>
      <c r="H471" s="307"/>
    </row>
    <row r="472">
      <c r="A472" s="303"/>
      <c r="B472" s="304"/>
      <c r="C472" s="305"/>
      <c r="D472" s="304"/>
      <c r="E472" s="304"/>
      <c r="F472" s="305"/>
      <c r="G472" s="306"/>
      <c r="H472" s="307"/>
    </row>
    <row r="473">
      <c r="A473" s="303"/>
      <c r="B473" s="304"/>
      <c r="C473" s="305"/>
      <c r="D473" s="304"/>
      <c r="E473" s="304"/>
      <c r="F473" s="305"/>
      <c r="G473" s="306"/>
      <c r="H473" s="307"/>
    </row>
    <row r="474">
      <c r="A474" s="303"/>
      <c r="B474" s="304"/>
      <c r="C474" s="305"/>
      <c r="D474" s="304"/>
      <c r="E474" s="304"/>
      <c r="F474" s="305"/>
      <c r="G474" s="306"/>
      <c r="H474" s="307"/>
    </row>
    <row r="475">
      <c r="A475" s="303"/>
      <c r="B475" s="304"/>
      <c r="C475" s="305"/>
      <c r="D475" s="304"/>
      <c r="E475" s="304"/>
      <c r="F475" s="305"/>
      <c r="G475" s="306"/>
      <c r="H475" s="307"/>
    </row>
    <row r="476">
      <c r="A476" s="303"/>
      <c r="B476" s="304"/>
      <c r="C476" s="305"/>
      <c r="D476" s="304"/>
      <c r="E476" s="304"/>
      <c r="F476" s="305"/>
      <c r="G476" s="306"/>
      <c r="H476" s="307"/>
    </row>
    <row r="477">
      <c r="A477" s="303"/>
      <c r="B477" s="304"/>
      <c r="C477" s="305"/>
      <c r="D477" s="304"/>
      <c r="E477" s="304"/>
      <c r="F477" s="305"/>
      <c r="G477" s="306"/>
      <c r="H477" s="307"/>
    </row>
    <row r="478">
      <c r="A478" s="303"/>
      <c r="B478" s="304"/>
      <c r="C478" s="305"/>
      <c r="D478" s="304"/>
      <c r="E478" s="304"/>
      <c r="F478" s="305"/>
      <c r="G478" s="306"/>
      <c r="H478" s="307"/>
    </row>
    <row r="479">
      <c r="A479" s="303"/>
      <c r="B479" s="304"/>
      <c r="C479" s="305"/>
      <c r="D479" s="304"/>
      <c r="E479" s="304"/>
      <c r="F479" s="305"/>
      <c r="G479" s="306"/>
      <c r="H479" s="307"/>
    </row>
    <row r="480">
      <c r="A480" s="303"/>
      <c r="B480" s="304"/>
      <c r="C480" s="305"/>
      <c r="D480" s="304"/>
      <c r="E480" s="304"/>
      <c r="F480" s="305"/>
      <c r="G480" s="306"/>
      <c r="H480" s="307"/>
    </row>
    <row r="481">
      <c r="A481" s="303"/>
      <c r="B481" s="304"/>
      <c r="C481" s="305"/>
      <c r="D481" s="304"/>
      <c r="E481" s="304"/>
      <c r="F481" s="305"/>
      <c r="G481" s="306"/>
      <c r="H481" s="307"/>
    </row>
    <row r="482">
      <c r="A482" s="303"/>
      <c r="B482" s="304"/>
      <c r="C482" s="305"/>
      <c r="D482" s="304"/>
      <c r="E482" s="304"/>
      <c r="F482" s="305"/>
      <c r="G482" s="306"/>
      <c r="H482" s="307"/>
    </row>
    <row r="483">
      <c r="A483" s="303"/>
      <c r="B483" s="304"/>
      <c r="C483" s="305"/>
      <c r="D483" s="304"/>
      <c r="E483" s="304"/>
      <c r="F483" s="305"/>
      <c r="G483" s="306"/>
      <c r="H483" s="307"/>
    </row>
    <row r="484">
      <c r="A484" s="303"/>
      <c r="B484" s="304"/>
      <c r="C484" s="305"/>
      <c r="D484" s="304"/>
      <c r="E484" s="304"/>
      <c r="F484" s="305"/>
      <c r="G484" s="306"/>
      <c r="H484" s="307"/>
    </row>
    <row r="485">
      <c r="A485" s="303"/>
      <c r="B485" s="304"/>
      <c r="C485" s="305"/>
      <c r="D485" s="304"/>
      <c r="E485" s="304"/>
      <c r="F485" s="305"/>
      <c r="G485" s="306"/>
      <c r="H485" s="307"/>
    </row>
    <row r="486">
      <c r="A486" s="303"/>
      <c r="B486" s="304"/>
      <c r="C486" s="305"/>
      <c r="D486" s="304"/>
      <c r="E486" s="304"/>
      <c r="F486" s="305"/>
      <c r="G486" s="306"/>
      <c r="H486" s="307"/>
    </row>
    <row r="487">
      <c r="A487" s="303"/>
      <c r="B487" s="304"/>
      <c r="C487" s="305"/>
      <c r="D487" s="304"/>
      <c r="E487" s="304"/>
      <c r="F487" s="305"/>
      <c r="G487" s="306"/>
      <c r="H487" s="307"/>
    </row>
    <row r="488">
      <c r="A488" s="303"/>
      <c r="B488" s="304"/>
      <c r="C488" s="305"/>
      <c r="D488" s="304"/>
      <c r="E488" s="304"/>
      <c r="F488" s="305"/>
      <c r="G488" s="306"/>
      <c r="H488" s="307"/>
    </row>
    <row r="489">
      <c r="A489" s="303"/>
      <c r="B489" s="304"/>
      <c r="C489" s="305"/>
      <c r="D489" s="304"/>
      <c r="E489" s="304"/>
      <c r="F489" s="305"/>
      <c r="G489" s="306"/>
      <c r="H489" s="307"/>
    </row>
    <row r="490">
      <c r="A490" s="303"/>
      <c r="B490" s="304"/>
      <c r="C490" s="305"/>
      <c r="D490" s="304"/>
      <c r="E490" s="304"/>
      <c r="F490" s="305"/>
      <c r="G490" s="306"/>
      <c r="H490" s="307"/>
    </row>
    <row r="491">
      <c r="A491" s="303"/>
      <c r="B491" s="304"/>
      <c r="C491" s="305"/>
      <c r="D491" s="304"/>
      <c r="E491" s="304"/>
      <c r="F491" s="305"/>
      <c r="G491" s="306"/>
      <c r="H491" s="307"/>
    </row>
    <row r="492">
      <c r="A492" s="303"/>
      <c r="B492" s="304"/>
      <c r="C492" s="305"/>
      <c r="D492" s="304"/>
      <c r="E492" s="304"/>
      <c r="F492" s="305"/>
      <c r="G492" s="306"/>
      <c r="H492" s="307"/>
    </row>
    <row r="493">
      <c r="A493" s="303"/>
      <c r="B493" s="304"/>
      <c r="C493" s="305"/>
      <c r="D493" s="304"/>
      <c r="E493" s="304"/>
      <c r="F493" s="305"/>
      <c r="G493" s="306"/>
      <c r="H493" s="307"/>
    </row>
    <row r="494">
      <c r="A494" s="303"/>
      <c r="B494" s="304"/>
      <c r="C494" s="305"/>
      <c r="D494" s="304"/>
      <c r="E494" s="304"/>
      <c r="F494" s="305"/>
      <c r="G494" s="306"/>
      <c r="H494" s="307"/>
    </row>
    <row r="495">
      <c r="A495" s="303"/>
      <c r="B495" s="304"/>
      <c r="C495" s="305"/>
      <c r="D495" s="304"/>
      <c r="E495" s="304"/>
      <c r="F495" s="305"/>
      <c r="G495" s="306"/>
      <c r="H495" s="307"/>
    </row>
    <row r="496">
      <c r="A496" s="303"/>
      <c r="B496" s="304"/>
      <c r="C496" s="305"/>
      <c r="D496" s="304"/>
      <c r="E496" s="304"/>
      <c r="F496" s="305"/>
      <c r="G496" s="306"/>
      <c r="H496" s="307"/>
    </row>
    <row r="497">
      <c r="A497" s="303"/>
      <c r="B497" s="304"/>
      <c r="C497" s="305"/>
      <c r="D497" s="304"/>
      <c r="E497" s="304"/>
      <c r="F497" s="305"/>
      <c r="G497" s="306"/>
      <c r="H497" s="307"/>
    </row>
    <row r="498">
      <c r="A498" s="303"/>
      <c r="B498" s="304"/>
      <c r="C498" s="305"/>
      <c r="D498" s="304"/>
      <c r="E498" s="304"/>
      <c r="F498" s="305"/>
      <c r="G498" s="306"/>
      <c r="H498" s="307"/>
    </row>
    <row r="499">
      <c r="A499" s="303"/>
      <c r="B499" s="304"/>
      <c r="C499" s="305"/>
      <c r="D499" s="304"/>
      <c r="E499" s="304"/>
      <c r="F499" s="305"/>
      <c r="G499" s="306"/>
      <c r="H499" s="307"/>
    </row>
    <row r="500">
      <c r="A500" s="303"/>
      <c r="B500" s="304"/>
      <c r="C500" s="305"/>
      <c r="D500" s="304"/>
      <c r="E500" s="304"/>
      <c r="F500" s="305"/>
      <c r="G500" s="306"/>
      <c r="H500" s="307"/>
    </row>
    <row r="501">
      <c r="A501" s="303"/>
      <c r="B501" s="304"/>
      <c r="C501" s="305"/>
      <c r="D501" s="304"/>
      <c r="E501" s="304"/>
      <c r="F501" s="305"/>
      <c r="G501" s="306"/>
      <c r="H501" s="307"/>
    </row>
    <row r="502">
      <c r="A502" s="303"/>
      <c r="B502" s="304"/>
      <c r="C502" s="305"/>
      <c r="D502" s="304"/>
      <c r="E502" s="304"/>
      <c r="F502" s="305"/>
      <c r="G502" s="306"/>
      <c r="H502" s="307"/>
    </row>
    <row r="503">
      <c r="A503" s="303"/>
      <c r="B503" s="304"/>
      <c r="C503" s="305"/>
      <c r="D503" s="304"/>
      <c r="E503" s="304"/>
      <c r="F503" s="305"/>
      <c r="G503" s="306"/>
      <c r="H503" s="307"/>
    </row>
    <row r="504">
      <c r="A504" s="303"/>
      <c r="B504" s="304"/>
      <c r="C504" s="305"/>
      <c r="D504" s="304"/>
      <c r="E504" s="304"/>
      <c r="F504" s="305"/>
      <c r="G504" s="306"/>
      <c r="H504" s="307"/>
    </row>
    <row r="505">
      <c r="A505" s="303"/>
      <c r="B505" s="304"/>
      <c r="C505" s="305"/>
      <c r="D505" s="304"/>
      <c r="E505" s="304"/>
      <c r="F505" s="305"/>
      <c r="G505" s="306"/>
      <c r="H505" s="307"/>
    </row>
    <row r="506">
      <c r="A506" s="303"/>
      <c r="B506" s="304"/>
      <c r="C506" s="305"/>
      <c r="D506" s="304"/>
      <c r="E506" s="304"/>
      <c r="F506" s="305"/>
      <c r="G506" s="306"/>
      <c r="H506" s="307"/>
    </row>
    <row r="507">
      <c r="A507" s="303"/>
      <c r="B507" s="304"/>
      <c r="C507" s="305"/>
      <c r="D507" s="304"/>
      <c r="E507" s="304"/>
      <c r="F507" s="305"/>
      <c r="G507" s="306"/>
      <c r="H507" s="307"/>
    </row>
    <row r="508">
      <c r="A508" s="303"/>
      <c r="B508" s="304"/>
      <c r="C508" s="305"/>
      <c r="D508" s="304"/>
      <c r="E508" s="304"/>
      <c r="F508" s="305"/>
      <c r="G508" s="306"/>
      <c r="H508" s="307"/>
    </row>
    <row r="509">
      <c r="A509" s="303"/>
      <c r="B509" s="304"/>
      <c r="C509" s="305"/>
      <c r="D509" s="304"/>
      <c r="E509" s="304"/>
      <c r="F509" s="305"/>
      <c r="G509" s="306"/>
      <c r="H509" s="307"/>
    </row>
    <row r="510">
      <c r="A510" s="303"/>
      <c r="B510" s="304"/>
      <c r="C510" s="305"/>
      <c r="D510" s="304"/>
      <c r="E510" s="304"/>
      <c r="F510" s="305"/>
      <c r="G510" s="306"/>
      <c r="H510" s="307"/>
    </row>
    <row r="511">
      <c r="A511" s="303"/>
      <c r="B511" s="304"/>
      <c r="C511" s="305"/>
      <c r="D511" s="304"/>
      <c r="E511" s="304"/>
      <c r="F511" s="305"/>
      <c r="G511" s="306"/>
      <c r="H511" s="307"/>
    </row>
    <row r="512">
      <c r="A512" s="303"/>
      <c r="B512" s="304"/>
      <c r="C512" s="305"/>
      <c r="D512" s="304"/>
      <c r="E512" s="304"/>
      <c r="F512" s="305"/>
      <c r="G512" s="306"/>
      <c r="H512" s="307"/>
    </row>
    <row r="513">
      <c r="A513" s="303"/>
      <c r="B513" s="304"/>
      <c r="C513" s="305"/>
      <c r="D513" s="304"/>
      <c r="E513" s="304"/>
      <c r="F513" s="305"/>
      <c r="G513" s="306"/>
      <c r="H513" s="307"/>
    </row>
    <row r="514">
      <c r="A514" s="303"/>
      <c r="B514" s="304"/>
      <c r="C514" s="305"/>
      <c r="D514" s="304"/>
      <c r="E514" s="304"/>
      <c r="F514" s="305"/>
      <c r="G514" s="306"/>
      <c r="H514" s="307"/>
    </row>
    <row r="515">
      <c r="A515" s="303"/>
      <c r="B515" s="304"/>
      <c r="C515" s="305"/>
      <c r="D515" s="304"/>
      <c r="E515" s="304"/>
      <c r="F515" s="305"/>
      <c r="G515" s="306"/>
      <c r="H515" s="307"/>
    </row>
    <row r="516">
      <c r="A516" s="303"/>
      <c r="B516" s="304"/>
      <c r="C516" s="305"/>
      <c r="D516" s="304"/>
      <c r="E516" s="304"/>
      <c r="F516" s="305"/>
      <c r="G516" s="306"/>
      <c r="H516" s="307"/>
    </row>
    <row r="517">
      <c r="A517" s="303"/>
      <c r="B517" s="304"/>
      <c r="C517" s="305"/>
      <c r="D517" s="304"/>
      <c r="E517" s="304"/>
      <c r="F517" s="305"/>
      <c r="G517" s="306"/>
      <c r="H517" s="307"/>
    </row>
    <row r="518">
      <c r="A518" s="303"/>
      <c r="B518" s="304"/>
      <c r="C518" s="305"/>
      <c r="D518" s="304"/>
      <c r="E518" s="304"/>
      <c r="F518" s="305"/>
      <c r="G518" s="306"/>
      <c r="H518" s="307"/>
    </row>
    <row r="519">
      <c r="A519" s="303"/>
      <c r="B519" s="304"/>
      <c r="C519" s="305"/>
      <c r="D519" s="304"/>
      <c r="E519" s="304"/>
      <c r="F519" s="305"/>
      <c r="G519" s="306"/>
      <c r="H519" s="307"/>
    </row>
    <row r="520">
      <c r="A520" s="303"/>
      <c r="B520" s="304"/>
      <c r="C520" s="305"/>
      <c r="D520" s="304"/>
      <c r="E520" s="304"/>
      <c r="F520" s="305"/>
      <c r="G520" s="306"/>
      <c r="H520" s="307"/>
    </row>
    <row r="521">
      <c r="A521" s="303"/>
      <c r="B521" s="304"/>
      <c r="C521" s="305"/>
      <c r="D521" s="304"/>
      <c r="E521" s="304"/>
      <c r="F521" s="305"/>
      <c r="G521" s="306"/>
      <c r="H521" s="307"/>
    </row>
    <row r="522">
      <c r="A522" s="303"/>
      <c r="B522" s="304"/>
      <c r="C522" s="305"/>
      <c r="D522" s="304"/>
      <c r="E522" s="304"/>
      <c r="F522" s="305"/>
      <c r="G522" s="306"/>
      <c r="H522" s="307"/>
    </row>
    <row r="523">
      <c r="A523" s="303"/>
      <c r="B523" s="304"/>
      <c r="C523" s="305"/>
      <c r="D523" s="304"/>
      <c r="E523" s="304"/>
      <c r="F523" s="305"/>
      <c r="G523" s="306"/>
      <c r="H523" s="307"/>
    </row>
    <row r="524">
      <c r="A524" s="303"/>
      <c r="B524" s="304"/>
      <c r="C524" s="305"/>
      <c r="D524" s="304"/>
      <c r="E524" s="304"/>
      <c r="F524" s="305"/>
      <c r="G524" s="306"/>
      <c r="H524" s="307"/>
    </row>
    <row r="525">
      <c r="A525" s="303"/>
      <c r="B525" s="304"/>
      <c r="C525" s="305"/>
      <c r="D525" s="304"/>
      <c r="E525" s="304"/>
      <c r="F525" s="305"/>
      <c r="G525" s="306"/>
      <c r="H525" s="307"/>
    </row>
    <row r="526">
      <c r="A526" s="303"/>
      <c r="B526" s="304"/>
      <c r="C526" s="305"/>
      <c r="D526" s="304"/>
      <c r="E526" s="304"/>
      <c r="F526" s="305"/>
      <c r="G526" s="306"/>
      <c r="H526" s="307"/>
    </row>
    <row r="527">
      <c r="A527" s="303"/>
      <c r="B527" s="304"/>
      <c r="C527" s="305"/>
      <c r="D527" s="304"/>
      <c r="E527" s="304"/>
      <c r="F527" s="305"/>
      <c r="G527" s="306"/>
      <c r="H527" s="307"/>
    </row>
    <row r="528">
      <c r="A528" s="303"/>
      <c r="B528" s="304"/>
      <c r="C528" s="305"/>
      <c r="D528" s="304"/>
      <c r="E528" s="304"/>
      <c r="F528" s="305"/>
      <c r="G528" s="306"/>
      <c r="H528" s="307"/>
    </row>
    <row r="529">
      <c r="A529" s="303"/>
      <c r="B529" s="304"/>
      <c r="C529" s="305"/>
      <c r="D529" s="304"/>
      <c r="E529" s="304"/>
      <c r="F529" s="305"/>
      <c r="G529" s="306"/>
      <c r="H529" s="307"/>
    </row>
    <row r="530">
      <c r="A530" s="303"/>
      <c r="B530" s="304"/>
      <c r="C530" s="305"/>
      <c r="D530" s="304"/>
      <c r="E530" s="304"/>
      <c r="F530" s="305"/>
      <c r="G530" s="306"/>
      <c r="H530" s="307"/>
    </row>
    <row r="531">
      <c r="A531" s="303"/>
      <c r="B531" s="304"/>
      <c r="C531" s="305"/>
      <c r="D531" s="304"/>
      <c r="E531" s="304"/>
      <c r="F531" s="305"/>
      <c r="G531" s="306"/>
      <c r="H531" s="307"/>
    </row>
    <row r="532">
      <c r="A532" s="303"/>
      <c r="B532" s="304"/>
      <c r="C532" s="305"/>
      <c r="D532" s="304"/>
      <c r="E532" s="304"/>
      <c r="F532" s="305"/>
      <c r="G532" s="306"/>
      <c r="H532" s="307"/>
    </row>
    <row r="533">
      <c r="A533" s="303"/>
      <c r="B533" s="304"/>
      <c r="C533" s="305"/>
      <c r="D533" s="304"/>
      <c r="E533" s="304"/>
      <c r="F533" s="305"/>
      <c r="G533" s="306"/>
      <c r="H533" s="307"/>
    </row>
    <row r="534">
      <c r="A534" s="303"/>
      <c r="B534" s="304"/>
      <c r="C534" s="305"/>
      <c r="D534" s="304"/>
      <c r="E534" s="304"/>
      <c r="F534" s="305"/>
      <c r="G534" s="306"/>
      <c r="H534" s="307"/>
    </row>
    <row r="535">
      <c r="A535" s="303"/>
      <c r="B535" s="304"/>
      <c r="C535" s="305"/>
      <c r="D535" s="304"/>
      <c r="E535" s="304"/>
      <c r="F535" s="305"/>
      <c r="G535" s="306"/>
      <c r="H535" s="307"/>
    </row>
    <row r="536">
      <c r="A536" s="303"/>
      <c r="B536" s="304"/>
      <c r="C536" s="305"/>
      <c r="D536" s="304"/>
      <c r="E536" s="304"/>
      <c r="F536" s="305"/>
      <c r="G536" s="306"/>
      <c r="H536" s="307"/>
    </row>
    <row r="537">
      <c r="A537" s="303"/>
      <c r="B537" s="304"/>
      <c r="C537" s="305"/>
      <c r="D537" s="304"/>
      <c r="E537" s="304"/>
      <c r="F537" s="305"/>
      <c r="G537" s="306"/>
      <c r="H537" s="307"/>
    </row>
    <row r="538">
      <c r="A538" s="303"/>
      <c r="B538" s="304"/>
      <c r="C538" s="305"/>
      <c r="D538" s="304"/>
      <c r="E538" s="304"/>
      <c r="F538" s="305"/>
      <c r="G538" s="306"/>
      <c r="H538" s="307"/>
    </row>
    <row r="539">
      <c r="A539" s="303"/>
      <c r="B539" s="304"/>
      <c r="C539" s="305"/>
      <c r="D539" s="304"/>
      <c r="E539" s="304"/>
      <c r="F539" s="305"/>
      <c r="G539" s="306"/>
      <c r="H539" s="307"/>
    </row>
    <row r="540">
      <c r="A540" s="303"/>
      <c r="B540" s="304"/>
      <c r="C540" s="305"/>
      <c r="D540" s="304"/>
      <c r="E540" s="304"/>
      <c r="F540" s="305"/>
      <c r="G540" s="306"/>
      <c r="H540" s="307"/>
    </row>
    <row r="541">
      <c r="A541" s="303"/>
      <c r="B541" s="304"/>
      <c r="C541" s="305"/>
      <c r="D541" s="304"/>
      <c r="E541" s="304"/>
      <c r="F541" s="305"/>
      <c r="G541" s="306"/>
      <c r="H541" s="307"/>
    </row>
    <row r="542">
      <c r="A542" s="303"/>
      <c r="B542" s="304"/>
      <c r="C542" s="305"/>
      <c r="D542" s="304"/>
      <c r="E542" s="304"/>
      <c r="F542" s="305"/>
      <c r="G542" s="306"/>
      <c r="H542" s="307"/>
    </row>
    <row r="543">
      <c r="A543" s="303"/>
      <c r="B543" s="304"/>
      <c r="C543" s="305"/>
      <c r="D543" s="304"/>
      <c r="E543" s="304"/>
      <c r="F543" s="305"/>
      <c r="G543" s="306"/>
      <c r="H543" s="307"/>
    </row>
    <row r="544">
      <c r="A544" s="303"/>
      <c r="B544" s="304"/>
      <c r="C544" s="305"/>
      <c r="D544" s="304"/>
      <c r="E544" s="304"/>
      <c r="F544" s="305"/>
      <c r="G544" s="306"/>
      <c r="H544" s="307"/>
    </row>
    <row r="545">
      <c r="A545" s="303"/>
      <c r="B545" s="304"/>
      <c r="C545" s="305"/>
      <c r="D545" s="304"/>
      <c r="E545" s="304"/>
      <c r="F545" s="305"/>
      <c r="G545" s="306"/>
      <c r="H545" s="307"/>
    </row>
    <row r="546">
      <c r="A546" s="303"/>
      <c r="B546" s="304"/>
      <c r="C546" s="305"/>
      <c r="D546" s="304"/>
      <c r="E546" s="304"/>
      <c r="F546" s="305"/>
      <c r="G546" s="306"/>
      <c r="H546" s="307"/>
    </row>
    <row r="547">
      <c r="A547" s="303"/>
      <c r="B547" s="304"/>
      <c r="C547" s="305"/>
      <c r="D547" s="304"/>
      <c r="E547" s="304"/>
      <c r="F547" s="305"/>
      <c r="G547" s="306"/>
      <c r="H547" s="307"/>
    </row>
    <row r="548">
      <c r="A548" s="303"/>
      <c r="B548" s="304"/>
      <c r="C548" s="305"/>
      <c r="D548" s="304"/>
      <c r="E548" s="304"/>
      <c r="F548" s="305"/>
      <c r="G548" s="306"/>
      <c r="H548" s="307"/>
    </row>
    <row r="549">
      <c r="A549" s="303"/>
      <c r="B549" s="304"/>
      <c r="C549" s="305"/>
      <c r="D549" s="304"/>
      <c r="E549" s="304"/>
      <c r="F549" s="305"/>
      <c r="G549" s="306"/>
      <c r="H549" s="307"/>
    </row>
    <row r="550">
      <c r="A550" s="303"/>
      <c r="B550" s="304"/>
      <c r="C550" s="305"/>
      <c r="D550" s="304"/>
      <c r="E550" s="304"/>
      <c r="F550" s="305"/>
      <c r="G550" s="306"/>
      <c r="H550" s="307"/>
    </row>
    <row r="551">
      <c r="A551" s="303"/>
      <c r="B551" s="304"/>
      <c r="C551" s="305"/>
      <c r="D551" s="304"/>
      <c r="E551" s="304"/>
      <c r="F551" s="305"/>
      <c r="G551" s="306"/>
      <c r="H551" s="307"/>
    </row>
    <row r="552">
      <c r="A552" s="303"/>
      <c r="B552" s="304"/>
      <c r="C552" s="305"/>
      <c r="D552" s="304"/>
      <c r="E552" s="304"/>
      <c r="F552" s="305"/>
      <c r="G552" s="306"/>
      <c r="H552" s="307"/>
    </row>
    <row r="553">
      <c r="A553" s="303"/>
      <c r="B553" s="304"/>
      <c r="C553" s="305"/>
      <c r="D553" s="304"/>
      <c r="E553" s="304"/>
      <c r="F553" s="305"/>
      <c r="G553" s="306"/>
      <c r="H553" s="307"/>
    </row>
    <row r="554">
      <c r="A554" s="303"/>
      <c r="B554" s="304"/>
      <c r="C554" s="305"/>
      <c r="D554" s="304"/>
      <c r="E554" s="304"/>
      <c r="F554" s="305"/>
      <c r="G554" s="306"/>
      <c r="H554" s="307"/>
    </row>
    <row r="555">
      <c r="A555" s="303"/>
      <c r="B555" s="304"/>
      <c r="C555" s="305"/>
      <c r="D555" s="304"/>
      <c r="E555" s="304"/>
      <c r="F555" s="305"/>
      <c r="G555" s="306"/>
      <c r="H555" s="307"/>
    </row>
    <row r="556">
      <c r="A556" s="303"/>
      <c r="B556" s="304"/>
      <c r="C556" s="305"/>
      <c r="D556" s="304"/>
      <c r="E556" s="304"/>
      <c r="F556" s="305"/>
      <c r="G556" s="306"/>
      <c r="H556" s="307"/>
    </row>
    <row r="557">
      <c r="A557" s="303"/>
      <c r="B557" s="304"/>
      <c r="C557" s="305"/>
      <c r="D557" s="304"/>
      <c r="E557" s="304"/>
      <c r="F557" s="305"/>
      <c r="G557" s="306"/>
      <c r="H557" s="307"/>
    </row>
    <row r="558">
      <c r="A558" s="303"/>
      <c r="B558" s="304"/>
      <c r="C558" s="305"/>
      <c r="D558" s="304"/>
      <c r="E558" s="304"/>
      <c r="F558" s="305"/>
      <c r="G558" s="306"/>
      <c r="H558" s="307"/>
    </row>
    <row r="559">
      <c r="A559" s="303"/>
      <c r="B559" s="304"/>
      <c r="C559" s="305"/>
      <c r="D559" s="304"/>
      <c r="E559" s="304"/>
      <c r="F559" s="305"/>
      <c r="G559" s="306"/>
      <c r="H559" s="307"/>
    </row>
    <row r="560">
      <c r="A560" s="303"/>
      <c r="B560" s="304"/>
      <c r="C560" s="305"/>
      <c r="D560" s="304"/>
      <c r="E560" s="304"/>
      <c r="F560" s="305"/>
      <c r="G560" s="306"/>
      <c r="H560" s="307"/>
    </row>
    <row r="561">
      <c r="A561" s="303"/>
      <c r="B561" s="304"/>
      <c r="C561" s="305"/>
      <c r="D561" s="304"/>
      <c r="E561" s="304"/>
      <c r="F561" s="305"/>
      <c r="G561" s="306"/>
      <c r="H561" s="307"/>
    </row>
    <row r="562">
      <c r="A562" s="303"/>
      <c r="B562" s="304"/>
      <c r="C562" s="305"/>
      <c r="D562" s="304"/>
      <c r="E562" s="304"/>
      <c r="F562" s="305"/>
      <c r="G562" s="306"/>
      <c r="H562" s="307"/>
    </row>
    <row r="563">
      <c r="A563" s="303"/>
      <c r="B563" s="304"/>
      <c r="C563" s="305"/>
      <c r="D563" s="304"/>
      <c r="E563" s="304"/>
      <c r="F563" s="305"/>
      <c r="G563" s="306"/>
      <c r="H563" s="307"/>
    </row>
    <row r="564">
      <c r="A564" s="303"/>
      <c r="B564" s="304"/>
      <c r="C564" s="305"/>
      <c r="D564" s="304"/>
      <c r="E564" s="304"/>
      <c r="F564" s="305"/>
      <c r="G564" s="306"/>
      <c r="H564" s="307"/>
    </row>
    <row r="565">
      <c r="A565" s="303"/>
      <c r="B565" s="304"/>
      <c r="C565" s="305"/>
      <c r="D565" s="304"/>
      <c r="E565" s="304"/>
      <c r="F565" s="305"/>
      <c r="G565" s="306"/>
      <c r="H565" s="307"/>
    </row>
    <row r="566">
      <c r="A566" s="303"/>
      <c r="B566" s="304"/>
      <c r="C566" s="305"/>
      <c r="D566" s="304"/>
      <c r="E566" s="304"/>
      <c r="F566" s="305"/>
      <c r="G566" s="306"/>
      <c r="H566" s="307"/>
    </row>
    <row r="567">
      <c r="A567" s="303"/>
      <c r="B567" s="304"/>
      <c r="C567" s="305"/>
      <c r="D567" s="304"/>
      <c r="E567" s="304"/>
      <c r="F567" s="305"/>
      <c r="G567" s="306"/>
      <c r="H567" s="307"/>
    </row>
    <row r="568">
      <c r="A568" s="303"/>
      <c r="B568" s="304"/>
      <c r="C568" s="305"/>
      <c r="D568" s="304"/>
      <c r="E568" s="304"/>
      <c r="F568" s="305"/>
      <c r="G568" s="306"/>
      <c r="H568" s="307"/>
    </row>
    <row r="569">
      <c r="A569" s="303"/>
      <c r="B569" s="304"/>
      <c r="C569" s="305"/>
      <c r="D569" s="304"/>
      <c r="E569" s="304"/>
      <c r="F569" s="305"/>
      <c r="G569" s="306"/>
      <c r="H569" s="307"/>
    </row>
    <row r="570">
      <c r="A570" s="303"/>
      <c r="B570" s="304"/>
      <c r="C570" s="305"/>
      <c r="D570" s="304"/>
      <c r="E570" s="304"/>
      <c r="F570" s="305"/>
      <c r="G570" s="306"/>
      <c r="H570" s="307"/>
    </row>
    <row r="571">
      <c r="A571" s="303"/>
      <c r="B571" s="304"/>
      <c r="C571" s="305"/>
      <c r="D571" s="304"/>
      <c r="E571" s="304"/>
      <c r="F571" s="305"/>
      <c r="G571" s="306"/>
      <c r="H571" s="307"/>
    </row>
    <row r="572">
      <c r="A572" s="303"/>
      <c r="B572" s="304"/>
      <c r="C572" s="305"/>
      <c r="D572" s="304"/>
      <c r="E572" s="304"/>
      <c r="F572" s="305"/>
      <c r="G572" s="306"/>
      <c r="H572" s="307"/>
    </row>
    <row r="573">
      <c r="A573" s="303"/>
      <c r="B573" s="304"/>
      <c r="C573" s="305"/>
      <c r="D573" s="304"/>
      <c r="E573" s="304"/>
      <c r="F573" s="305"/>
      <c r="G573" s="306"/>
      <c r="H573" s="307"/>
    </row>
    <row r="574">
      <c r="A574" s="303"/>
      <c r="B574" s="304"/>
      <c r="C574" s="305"/>
      <c r="D574" s="304"/>
      <c r="E574" s="304"/>
      <c r="F574" s="305"/>
      <c r="G574" s="306"/>
      <c r="H574" s="307"/>
    </row>
    <row r="575">
      <c r="A575" s="303"/>
      <c r="B575" s="304"/>
      <c r="C575" s="305"/>
      <c r="D575" s="304"/>
      <c r="E575" s="304"/>
      <c r="F575" s="305"/>
      <c r="G575" s="306"/>
      <c r="H575" s="307"/>
    </row>
    <row r="576">
      <c r="A576" s="303"/>
      <c r="B576" s="304"/>
      <c r="C576" s="305"/>
      <c r="D576" s="304"/>
      <c r="E576" s="304"/>
      <c r="F576" s="305"/>
      <c r="G576" s="306"/>
      <c r="H576" s="307"/>
    </row>
    <row r="577">
      <c r="A577" s="303"/>
      <c r="B577" s="304"/>
      <c r="C577" s="305"/>
      <c r="D577" s="304"/>
      <c r="E577" s="304"/>
      <c r="F577" s="305"/>
      <c r="G577" s="306"/>
      <c r="H577" s="307"/>
    </row>
    <row r="578">
      <c r="A578" s="303"/>
      <c r="B578" s="304"/>
      <c r="C578" s="305"/>
      <c r="D578" s="304"/>
      <c r="E578" s="304"/>
      <c r="F578" s="305"/>
      <c r="G578" s="306"/>
      <c r="H578" s="307"/>
    </row>
    <row r="579">
      <c r="A579" s="303"/>
      <c r="B579" s="304"/>
      <c r="C579" s="305"/>
      <c r="D579" s="304"/>
      <c r="E579" s="304"/>
      <c r="F579" s="305"/>
      <c r="G579" s="306"/>
      <c r="H579" s="307"/>
    </row>
    <row r="580">
      <c r="A580" s="303"/>
      <c r="B580" s="304"/>
      <c r="C580" s="305"/>
      <c r="D580" s="304"/>
      <c r="E580" s="304"/>
      <c r="F580" s="305"/>
      <c r="G580" s="306"/>
      <c r="H580" s="307"/>
    </row>
    <row r="581">
      <c r="A581" s="303"/>
      <c r="B581" s="304"/>
      <c r="C581" s="305"/>
      <c r="D581" s="304"/>
      <c r="E581" s="304"/>
      <c r="F581" s="305"/>
      <c r="G581" s="306"/>
      <c r="H581" s="307"/>
    </row>
    <row r="582">
      <c r="A582" s="303"/>
      <c r="B582" s="304"/>
      <c r="C582" s="305"/>
      <c r="D582" s="304"/>
      <c r="E582" s="304"/>
      <c r="F582" s="305"/>
      <c r="G582" s="306"/>
      <c r="H582" s="307"/>
    </row>
    <row r="583">
      <c r="A583" s="303"/>
      <c r="B583" s="304"/>
      <c r="C583" s="305"/>
      <c r="D583" s="304"/>
      <c r="E583" s="304"/>
      <c r="F583" s="305"/>
      <c r="G583" s="306"/>
      <c r="H583" s="307"/>
    </row>
    <row r="584">
      <c r="A584" s="303"/>
      <c r="B584" s="304"/>
      <c r="C584" s="305"/>
      <c r="D584" s="304"/>
      <c r="E584" s="304"/>
      <c r="F584" s="305"/>
      <c r="G584" s="306"/>
      <c r="H584" s="307"/>
    </row>
    <row r="585">
      <c r="A585" s="303"/>
      <c r="B585" s="304"/>
      <c r="C585" s="305"/>
      <c r="D585" s="304"/>
      <c r="E585" s="304"/>
      <c r="F585" s="305"/>
      <c r="G585" s="306"/>
      <c r="H585" s="307"/>
    </row>
    <row r="586">
      <c r="A586" s="303"/>
      <c r="B586" s="304"/>
      <c r="C586" s="305"/>
      <c r="D586" s="304"/>
      <c r="E586" s="304"/>
      <c r="F586" s="305"/>
      <c r="G586" s="306"/>
      <c r="H586" s="307"/>
    </row>
    <row r="587">
      <c r="A587" s="303"/>
      <c r="B587" s="304"/>
      <c r="C587" s="305"/>
      <c r="D587" s="304"/>
      <c r="E587" s="304"/>
      <c r="F587" s="305"/>
      <c r="G587" s="306"/>
      <c r="H587" s="307"/>
    </row>
    <row r="588">
      <c r="A588" s="303"/>
      <c r="B588" s="304"/>
      <c r="C588" s="305"/>
      <c r="D588" s="304"/>
      <c r="E588" s="304"/>
      <c r="F588" s="305"/>
      <c r="G588" s="306"/>
      <c r="H588" s="307"/>
    </row>
    <row r="589">
      <c r="A589" s="303"/>
      <c r="B589" s="304"/>
      <c r="C589" s="305"/>
      <c r="D589" s="304"/>
      <c r="E589" s="304"/>
      <c r="F589" s="305"/>
      <c r="G589" s="306"/>
      <c r="H589" s="307"/>
    </row>
    <row r="590">
      <c r="A590" s="303"/>
      <c r="B590" s="304"/>
      <c r="C590" s="305"/>
      <c r="D590" s="304"/>
      <c r="E590" s="304"/>
      <c r="F590" s="305"/>
      <c r="G590" s="306"/>
      <c r="H590" s="307"/>
    </row>
    <row r="591">
      <c r="A591" s="303"/>
      <c r="B591" s="304"/>
      <c r="C591" s="305"/>
      <c r="D591" s="304"/>
      <c r="E591" s="304"/>
      <c r="F591" s="305"/>
      <c r="G591" s="306"/>
      <c r="H591" s="307"/>
    </row>
    <row r="592">
      <c r="A592" s="303"/>
      <c r="B592" s="304"/>
      <c r="C592" s="305"/>
      <c r="D592" s="304"/>
      <c r="E592" s="304"/>
      <c r="F592" s="305"/>
      <c r="G592" s="306"/>
      <c r="H592" s="307"/>
    </row>
    <row r="593">
      <c r="A593" s="303"/>
      <c r="B593" s="304"/>
      <c r="C593" s="305"/>
      <c r="D593" s="304"/>
      <c r="E593" s="304"/>
      <c r="F593" s="305"/>
      <c r="G593" s="306"/>
      <c r="H593" s="307"/>
    </row>
    <row r="594">
      <c r="A594" s="303"/>
      <c r="B594" s="304"/>
      <c r="C594" s="305"/>
      <c r="D594" s="304"/>
      <c r="E594" s="304"/>
      <c r="F594" s="305"/>
      <c r="G594" s="306"/>
      <c r="H594" s="307"/>
    </row>
    <row r="595">
      <c r="A595" s="303"/>
      <c r="B595" s="304"/>
      <c r="C595" s="305"/>
      <c r="D595" s="304"/>
      <c r="E595" s="304"/>
      <c r="F595" s="305"/>
      <c r="G595" s="306"/>
      <c r="H595" s="307"/>
    </row>
    <row r="596">
      <c r="A596" s="303"/>
      <c r="B596" s="304"/>
      <c r="C596" s="305"/>
      <c r="D596" s="304"/>
      <c r="E596" s="304"/>
      <c r="F596" s="305"/>
      <c r="G596" s="306"/>
      <c r="H596" s="307"/>
    </row>
    <row r="597">
      <c r="A597" s="303"/>
      <c r="B597" s="304"/>
      <c r="C597" s="305"/>
      <c r="D597" s="304"/>
      <c r="E597" s="304"/>
      <c r="F597" s="305"/>
      <c r="G597" s="306"/>
      <c r="H597" s="307"/>
    </row>
    <row r="598">
      <c r="A598" s="303"/>
      <c r="B598" s="304"/>
      <c r="C598" s="305"/>
      <c r="D598" s="304"/>
      <c r="E598" s="304"/>
      <c r="F598" s="305"/>
      <c r="G598" s="306"/>
      <c r="H598" s="307"/>
    </row>
    <row r="599">
      <c r="A599" s="303"/>
      <c r="B599" s="304"/>
      <c r="C599" s="305"/>
      <c r="D599" s="304"/>
      <c r="E599" s="304"/>
      <c r="F599" s="305"/>
      <c r="G599" s="306"/>
      <c r="H599" s="307"/>
    </row>
    <row r="600">
      <c r="A600" s="303"/>
      <c r="B600" s="304"/>
      <c r="C600" s="305"/>
      <c r="D600" s="304"/>
      <c r="E600" s="304"/>
      <c r="F600" s="305"/>
      <c r="G600" s="306"/>
      <c r="H600" s="307"/>
    </row>
    <row r="601">
      <c r="A601" s="303"/>
      <c r="B601" s="304"/>
      <c r="C601" s="305"/>
      <c r="D601" s="304"/>
      <c r="E601" s="304"/>
      <c r="F601" s="305"/>
      <c r="G601" s="306"/>
      <c r="H601" s="307"/>
    </row>
    <row r="602">
      <c r="A602" s="303"/>
      <c r="B602" s="304"/>
      <c r="C602" s="305"/>
      <c r="D602" s="304"/>
      <c r="E602" s="304"/>
      <c r="F602" s="305"/>
      <c r="G602" s="306"/>
      <c r="H602" s="307"/>
    </row>
    <row r="603">
      <c r="A603" s="303"/>
      <c r="B603" s="304"/>
      <c r="C603" s="305"/>
      <c r="D603" s="304"/>
      <c r="E603" s="304"/>
      <c r="F603" s="305"/>
      <c r="G603" s="306"/>
      <c r="H603" s="307"/>
    </row>
    <row r="604">
      <c r="A604" s="303"/>
      <c r="B604" s="304"/>
      <c r="C604" s="305"/>
      <c r="D604" s="304"/>
      <c r="E604" s="304"/>
      <c r="F604" s="305"/>
      <c r="G604" s="306"/>
      <c r="H604" s="307"/>
    </row>
    <row r="605">
      <c r="A605" s="303"/>
      <c r="B605" s="304"/>
      <c r="C605" s="305"/>
      <c r="D605" s="304"/>
      <c r="E605" s="304"/>
      <c r="F605" s="305"/>
      <c r="G605" s="306"/>
      <c r="H605" s="307"/>
    </row>
    <row r="606">
      <c r="A606" s="303"/>
      <c r="B606" s="304"/>
      <c r="C606" s="305"/>
      <c r="D606" s="304"/>
      <c r="E606" s="304"/>
      <c r="F606" s="305"/>
      <c r="G606" s="306"/>
      <c r="H606" s="307"/>
    </row>
    <row r="607">
      <c r="A607" s="303"/>
      <c r="B607" s="304"/>
      <c r="C607" s="305"/>
      <c r="D607" s="304"/>
      <c r="E607" s="304"/>
      <c r="F607" s="305"/>
      <c r="G607" s="306"/>
      <c r="H607" s="307"/>
    </row>
    <row r="608">
      <c r="A608" s="303"/>
      <c r="B608" s="304"/>
      <c r="C608" s="305"/>
      <c r="D608" s="304"/>
      <c r="E608" s="304"/>
      <c r="F608" s="305"/>
      <c r="G608" s="306"/>
      <c r="H608" s="307"/>
    </row>
    <row r="609">
      <c r="A609" s="303"/>
      <c r="B609" s="304"/>
      <c r="C609" s="305"/>
      <c r="D609" s="304"/>
      <c r="E609" s="304"/>
      <c r="F609" s="305"/>
      <c r="G609" s="306"/>
      <c r="H609" s="307"/>
    </row>
    <row r="610">
      <c r="A610" s="303"/>
      <c r="B610" s="304"/>
      <c r="C610" s="305"/>
      <c r="D610" s="304"/>
      <c r="E610" s="304"/>
      <c r="F610" s="305"/>
      <c r="G610" s="306"/>
      <c r="H610" s="307"/>
    </row>
    <row r="611">
      <c r="A611" s="303"/>
      <c r="B611" s="304"/>
      <c r="C611" s="305"/>
      <c r="D611" s="304"/>
      <c r="E611" s="304"/>
      <c r="F611" s="305"/>
      <c r="G611" s="306"/>
      <c r="H611" s="307"/>
    </row>
    <row r="612">
      <c r="A612" s="303"/>
      <c r="B612" s="304"/>
      <c r="C612" s="305"/>
      <c r="D612" s="304"/>
      <c r="E612" s="304"/>
      <c r="F612" s="305"/>
      <c r="G612" s="306"/>
      <c r="H612" s="307"/>
    </row>
    <row r="613">
      <c r="A613" s="303"/>
      <c r="B613" s="304"/>
      <c r="C613" s="305"/>
      <c r="D613" s="304"/>
      <c r="E613" s="304"/>
      <c r="F613" s="305"/>
      <c r="G613" s="306"/>
      <c r="H613" s="307"/>
    </row>
    <row r="614">
      <c r="A614" s="303"/>
      <c r="B614" s="304"/>
      <c r="C614" s="305"/>
      <c r="D614" s="304"/>
      <c r="E614" s="304"/>
      <c r="F614" s="305"/>
      <c r="G614" s="306"/>
      <c r="H614" s="307"/>
    </row>
    <row r="615">
      <c r="A615" s="303"/>
      <c r="B615" s="304"/>
      <c r="C615" s="305"/>
      <c r="D615" s="304"/>
      <c r="E615" s="304"/>
      <c r="F615" s="305"/>
      <c r="G615" s="306"/>
      <c r="H615" s="307"/>
    </row>
    <row r="616">
      <c r="A616" s="303"/>
      <c r="B616" s="304"/>
      <c r="C616" s="305"/>
      <c r="D616" s="304"/>
      <c r="E616" s="304"/>
      <c r="F616" s="305"/>
      <c r="G616" s="306"/>
      <c r="H616" s="307"/>
    </row>
    <row r="617">
      <c r="A617" s="303"/>
      <c r="B617" s="304"/>
      <c r="C617" s="305"/>
      <c r="D617" s="304"/>
      <c r="E617" s="304"/>
      <c r="F617" s="305"/>
      <c r="G617" s="306"/>
      <c r="H617" s="307"/>
    </row>
    <row r="618">
      <c r="A618" s="303"/>
      <c r="B618" s="304"/>
      <c r="C618" s="305"/>
      <c r="D618" s="304"/>
      <c r="E618" s="304"/>
      <c r="F618" s="305"/>
      <c r="G618" s="306"/>
      <c r="H618" s="307"/>
    </row>
    <row r="619">
      <c r="A619" s="303"/>
      <c r="B619" s="304"/>
      <c r="C619" s="305"/>
      <c r="D619" s="304"/>
      <c r="E619" s="304"/>
      <c r="F619" s="305"/>
      <c r="G619" s="306"/>
      <c r="H619" s="307"/>
    </row>
    <row r="620">
      <c r="A620" s="303"/>
      <c r="B620" s="304"/>
      <c r="C620" s="305"/>
      <c r="D620" s="304"/>
      <c r="E620" s="304"/>
      <c r="F620" s="305"/>
      <c r="G620" s="306"/>
      <c r="H620" s="307"/>
    </row>
    <row r="621">
      <c r="A621" s="303"/>
      <c r="B621" s="304"/>
      <c r="C621" s="305"/>
      <c r="D621" s="304"/>
      <c r="E621" s="304"/>
      <c r="F621" s="305"/>
      <c r="G621" s="306"/>
      <c r="H621" s="307"/>
    </row>
    <row r="622">
      <c r="A622" s="303"/>
      <c r="B622" s="304"/>
      <c r="C622" s="305"/>
      <c r="D622" s="304"/>
      <c r="E622" s="304"/>
      <c r="F622" s="305"/>
      <c r="G622" s="306"/>
      <c r="H622" s="307"/>
    </row>
    <row r="623">
      <c r="A623" s="303"/>
      <c r="B623" s="304"/>
      <c r="C623" s="305"/>
      <c r="D623" s="304"/>
      <c r="E623" s="304"/>
      <c r="F623" s="305"/>
      <c r="G623" s="306"/>
      <c r="H623" s="307"/>
    </row>
    <row r="624">
      <c r="A624" s="303"/>
      <c r="B624" s="304"/>
      <c r="C624" s="305"/>
      <c r="D624" s="304"/>
      <c r="E624" s="304"/>
      <c r="F624" s="305"/>
      <c r="G624" s="306"/>
      <c r="H624" s="307"/>
    </row>
    <row r="625">
      <c r="A625" s="303"/>
      <c r="B625" s="304"/>
      <c r="C625" s="305"/>
      <c r="D625" s="304"/>
      <c r="E625" s="304"/>
      <c r="F625" s="305"/>
      <c r="G625" s="306"/>
      <c r="H625" s="307"/>
    </row>
    <row r="626">
      <c r="A626" s="303"/>
      <c r="B626" s="304"/>
      <c r="C626" s="305"/>
      <c r="D626" s="304"/>
      <c r="E626" s="304"/>
      <c r="F626" s="305"/>
      <c r="G626" s="306"/>
      <c r="H626" s="307"/>
    </row>
    <row r="627">
      <c r="A627" s="303"/>
      <c r="B627" s="304"/>
      <c r="C627" s="305"/>
      <c r="D627" s="304"/>
      <c r="E627" s="304"/>
      <c r="F627" s="305"/>
      <c r="G627" s="306"/>
      <c r="H627" s="307"/>
    </row>
    <row r="628">
      <c r="A628" s="303"/>
      <c r="B628" s="304"/>
      <c r="C628" s="305"/>
      <c r="D628" s="304"/>
      <c r="E628" s="304"/>
      <c r="F628" s="305"/>
      <c r="G628" s="306"/>
      <c r="H628" s="307"/>
    </row>
    <row r="629">
      <c r="A629" s="303"/>
      <c r="B629" s="304"/>
      <c r="C629" s="305"/>
      <c r="D629" s="304"/>
      <c r="E629" s="304"/>
      <c r="F629" s="305"/>
      <c r="G629" s="306"/>
      <c r="H629" s="307"/>
    </row>
    <row r="630">
      <c r="A630" s="303"/>
      <c r="B630" s="304"/>
      <c r="C630" s="305"/>
      <c r="D630" s="304"/>
      <c r="E630" s="304"/>
      <c r="F630" s="305"/>
      <c r="G630" s="306"/>
      <c r="H630" s="307"/>
    </row>
    <row r="631">
      <c r="A631" s="303"/>
      <c r="B631" s="304"/>
      <c r="C631" s="305"/>
      <c r="D631" s="304"/>
      <c r="E631" s="304"/>
      <c r="F631" s="305"/>
      <c r="G631" s="306"/>
      <c r="H631" s="307"/>
    </row>
    <row r="632">
      <c r="A632" s="303"/>
      <c r="B632" s="304"/>
      <c r="C632" s="305"/>
      <c r="D632" s="304"/>
      <c r="E632" s="304"/>
      <c r="F632" s="305"/>
      <c r="G632" s="306"/>
      <c r="H632" s="307"/>
    </row>
    <row r="633">
      <c r="A633" s="303"/>
      <c r="B633" s="304"/>
      <c r="C633" s="305"/>
      <c r="D633" s="304"/>
      <c r="E633" s="304"/>
      <c r="F633" s="305"/>
      <c r="G633" s="306"/>
      <c r="H633" s="307"/>
    </row>
    <row r="634">
      <c r="A634" s="303"/>
      <c r="B634" s="304"/>
      <c r="C634" s="305"/>
      <c r="D634" s="304"/>
      <c r="E634" s="304"/>
      <c r="F634" s="305"/>
      <c r="G634" s="306"/>
      <c r="H634" s="307"/>
    </row>
    <row r="635">
      <c r="A635" s="303"/>
      <c r="B635" s="304"/>
      <c r="C635" s="305"/>
      <c r="D635" s="304"/>
      <c r="E635" s="304"/>
      <c r="F635" s="305"/>
      <c r="G635" s="306"/>
      <c r="H635" s="307"/>
    </row>
    <row r="636">
      <c r="A636" s="303"/>
      <c r="B636" s="304"/>
      <c r="C636" s="305"/>
      <c r="D636" s="304"/>
      <c r="E636" s="304"/>
      <c r="F636" s="305"/>
      <c r="G636" s="306"/>
      <c r="H636" s="307"/>
    </row>
    <row r="637">
      <c r="A637" s="303"/>
      <c r="B637" s="304"/>
      <c r="C637" s="305"/>
      <c r="D637" s="304"/>
      <c r="E637" s="304"/>
      <c r="F637" s="305"/>
      <c r="G637" s="306"/>
      <c r="H637" s="307"/>
    </row>
    <row r="638">
      <c r="A638" s="303"/>
      <c r="B638" s="304"/>
      <c r="C638" s="305"/>
      <c r="D638" s="304"/>
      <c r="E638" s="304"/>
      <c r="F638" s="305"/>
      <c r="G638" s="306"/>
      <c r="H638" s="307"/>
    </row>
    <row r="639">
      <c r="A639" s="303"/>
      <c r="B639" s="304"/>
      <c r="C639" s="305"/>
      <c r="D639" s="304"/>
      <c r="E639" s="304"/>
      <c r="F639" s="305"/>
      <c r="G639" s="306"/>
      <c r="H639" s="307"/>
    </row>
    <row r="640">
      <c r="A640" s="303"/>
      <c r="B640" s="304"/>
      <c r="C640" s="305"/>
      <c r="D640" s="304"/>
      <c r="E640" s="304"/>
      <c r="F640" s="305"/>
      <c r="G640" s="306"/>
      <c r="H640" s="307"/>
    </row>
    <row r="641">
      <c r="A641" s="303"/>
      <c r="B641" s="304"/>
      <c r="C641" s="305"/>
      <c r="D641" s="304"/>
      <c r="E641" s="304"/>
      <c r="F641" s="305"/>
      <c r="G641" s="306"/>
      <c r="H641" s="307"/>
    </row>
    <row r="642">
      <c r="A642" s="303"/>
      <c r="B642" s="304"/>
      <c r="C642" s="305"/>
      <c r="D642" s="304"/>
      <c r="E642" s="304"/>
      <c r="F642" s="305"/>
      <c r="G642" s="306"/>
      <c r="H642" s="307"/>
    </row>
    <row r="643">
      <c r="A643" s="303"/>
      <c r="B643" s="304"/>
      <c r="C643" s="305"/>
      <c r="D643" s="304"/>
      <c r="E643" s="304"/>
      <c r="F643" s="305"/>
      <c r="G643" s="306"/>
      <c r="H643" s="307"/>
    </row>
    <row r="644">
      <c r="A644" s="303"/>
      <c r="B644" s="304"/>
      <c r="C644" s="305"/>
      <c r="D644" s="304"/>
      <c r="E644" s="304"/>
      <c r="F644" s="305"/>
      <c r="G644" s="306"/>
      <c r="H644" s="307"/>
    </row>
    <row r="645">
      <c r="A645" s="303"/>
      <c r="B645" s="304"/>
      <c r="C645" s="305"/>
      <c r="D645" s="304"/>
      <c r="E645" s="304"/>
      <c r="F645" s="305"/>
      <c r="G645" s="306"/>
      <c r="H645" s="307"/>
    </row>
    <row r="646">
      <c r="A646" s="303"/>
      <c r="B646" s="304"/>
      <c r="C646" s="305"/>
      <c r="D646" s="304"/>
      <c r="E646" s="304"/>
      <c r="F646" s="305"/>
      <c r="G646" s="306"/>
      <c r="H646" s="307"/>
    </row>
    <row r="647">
      <c r="A647" s="303"/>
      <c r="B647" s="304"/>
      <c r="C647" s="305"/>
      <c r="D647" s="304"/>
      <c r="E647" s="304"/>
      <c r="F647" s="305"/>
      <c r="G647" s="306"/>
      <c r="H647" s="307"/>
    </row>
    <row r="648">
      <c r="A648" s="303"/>
      <c r="B648" s="304"/>
      <c r="C648" s="305"/>
      <c r="D648" s="304"/>
      <c r="E648" s="304"/>
      <c r="F648" s="305"/>
      <c r="G648" s="306"/>
      <c r="H648" s="307"/>
    </row>
    <row r="649">
      <c r="A649" s="303"/>
      <c r="B649" s="304"/>
      <c r="C649" s="305"/>
      <c r="D649" s="304"/>
      <c r="E649" s="304"/>
      <c r="F649" s="305"/>
      <c r="G649" s="306"/>
      <c r="H649" s="307"/>
    </row>
    <row r="650">
      <c r="A650" s="303"/>
      <c r="B650" s="304"/>
      <c r="C650" s="305"/>
      <c r="D650" s="304"/>
      <c r="E650" s="304"/>
      <c r="F650" s="305"/>
      <c r="G650" s="306"/>
      <c r="H650" s="307"/>
    </row>
    <row r="651">
      <c r="A651" s="303"/>
      <c r="B651" s="304"/>
      <c r="C651" s="305"/>
      <c r="D651" s="304"/>
      <c r="E651" s="304"/>
      <c r="F651" s="305"/>
      <c r="G651" s="306"/>
      <c r="H651" s="307"/>
    </row>
    <row r="652">
      <c r="A652" s="303"/>
      <c r="B652" s="304"/>
      <c r="C652" s="305"/>
      <c r="D652" s="304"/>
      <c r="E652" s="304"/>
      <c r="F652" s="305"/>
      <c r="G652" s="306"/>
      <c r="H652" s="307"/>
    </row>
    <row r="653">
      <c r="A653" s="303"/>
      <c r="B653" s="304"/>
      <c r="C653" s="305"/>
      <c r="D653" s="304"/>
      <c r="E653" s="304"/>
      <c r="F653" s="305"/>
      <c r="G653" s="306"/>
      <c r="H653" s="307"/>
    </row>
    <row r="654">
      <c r="A654" s="303"/>
      <c r="B654" s="304"/>
      <c r="C654" s="305"/>
      <c r="D654" s="304"/>
      <c r="E654" s="304"/>
      <c r="F654" s="305"/>
      <c r="G654" s="306"/>
      <c r="H654" s="307"/>
    </row>
    <row r="655">
      <c r="A655" s="303"/>
      <c r="B655" s="304"/>
      <c r="C655" s="305"/>
      <c r="D655" s="304"/>
      <c r="E655" s="304"/>
      <c r="F655" s="305"/>
      <c r="G655" s="306"/>
      <c r="H655" s="307"/>
    </row>
    <row r="656">
      <c r="A656" s="303"/>
      <c r="B656" s="304"/>
      <c r="C656" s="305"/>
      <c r="D656" s="304"/>
      <c r="E656" s="304"/>
      <c r="F656" s="305"/>
      <c r="G656" s="306"/>
      <c r="H656" s="307"/>
    </row>
    <row r="657">
      <c r="A657" s="303"/>
      <c r="B657" s="304"/>
      <c r="C657" s="305"/>
      <c r="D657" s="304"/>
      <c r="E657" s="304"/>
      <c r="F657" s="305"/>
      <c r="G657" s="306"/>
      <c r="H657" s="307"/>
    </row>
    <row r="658">
      <c r="A658" s="303"/>
      <c r="B658" s="304"/>
      <c r="C658" s="305"/>
      <c r="D658" s="304"/>
      <c r="E658" s="304"/>
      <c r="F658" s="305"/>
      <c r="G658" s="306"/>
      <c r="H658" s="307"/>
    </row>
    <row r="659">
      <c r="A659" s="303"/>
      <c r="B659" s="304"/>
      <c r="C659" s="305"/>
      <c r="D659" s="304"/>
      <c r="E659" s="304"/>
      <c r="F659" s="305"/>
      <c r="G659" s="306"/>
      <c r="H659" s="307"/>
    </row>
    <row r="660">
      <c r="A660" s="303"/>
      <c r="B660" s="304"/>
      <c r="C660" s="305"/>
      <c r="D660" s="304"/>
      <c r="E660" s="304"/>
      <c r="F660" s="305"/>
      <c r="G660" s="306"/>
      <c r="H660" s="307"/>
    </row>
    <row r="661">
      <c r="A661" s="303"/>
      <c r="B661" s="304"/>
      <c r="C661" s="305"/>
      <c r="D661" s="304"/>
      <c r="E661" s="304"/>
      <c r="F661" s="305"/>
      <c r="G661" s="306"/>
      <c r="H661" s="307"/>
    </row>
    <row r="662">
      <c r="A662" s="303"/>
      <c r="B662" s="304"/>
      <c r="C662" s="305"/>
      <c r="D662" s="304"/>
      <c r="E662" s="304"/>
      <c r="F662" s="305"/>
      <c r="G662" s="306"/>
      <c r="H662" s="307"/>
    </row>
    <row r="663">
      <c r="A663" s="303"/>
      <c r="B663" s="304"/>
      <c r="C663" s="305"/>
      <c r="D663" s="304"/>
      <c r="E663" s="304"/>
      <c r="F663" s="305"/>
      <c r="G663" s="306"/>
      <c r="H663" s="307"/>
    </row>
    <row r="664">
      <c r="A664" s="303"/>
      <c r="B664" s="304"/>
      <c r="C664" s="305"/>
      <c r="D664" s="304"/>
      <c r="E664" s="304"/>
      <c r="F664" s="305"/>
      <c r="G664" s="306"/>
      <c r="H664" s="307"/>
    </row>
    <row r="665">
      <c r="A665" s="303"/>
      <c r="B665" s="304"/>
      <c r="C665" s="305"/>
      <c r="D665" s="304"/>
      <c r="E665" s="304"/>
      <c r="F665" s="305"/>
      <c r="G665" s="306"/>
      <c r="H665" s="307"/>
    </row>
    <row r="666">
      <c r="A666" s="303"/>
      <c r="B666" s="304"/>
      <c r="C666" s="305"/>
      <c r="D666" s="304"/>
      <c r="E666" s="304"/>
      <c r="F666" s="305"/>
      <c r="G666" s="306"/>
      <c r="H666" s="307"/>
    </row>
    <row r="667">
      <c r="A667" s="303"/>
      <c r="B667" s="304"/>
      <c r="C667" s="305"/>
      <c r="D667" s="304"/>
      <c r="E667" s="304"/>
      <c r="F667" s="305"/>
      <c r="G667" s="306"/>
      <c r="H667" s="307"/>
    </row>
    <row r="668">
      <c r="A668" s="303"/>
      <c r="B668" s="304"/>
      <c r="C668" s="305"/>
      <c r="D668" s="304"/>
      <c r="E668" s="304"/>
      <c r="F668" s="305"/>
      <c r="G668" s="306"/>
      <c r="H668" s="307"/>
    </row>
    <row r="669">
      <c r="A669" s="303"/>
      <c r="B669" s="304"/>
      <c r="C669" s="305"/>
      <c r="D669" s="304"/>
      <c r="E669" s="304"/>
      <c r="F669" s="305"/>
      <c r="G669" s="306"/>
      <c r="H669" s="307"/>
    </row>
    <row r="670">
      <c r="A670" s="303"/>
      <c r="B670" s="304"/>
      <c r="C670" s="305"/>
      <c r="D670" s="304"/>
      <c r="E670" s="304"/>
      <c r="F670" s="305"/>
      <c r="G670" s="306"/>
      <c r="H670" s="307"/>
    </row>
    <row r="671">
      <c r="A671" s="303"/>
      <c r="B671" s="304"/>
      <c r="C671" s="305"/>
      <c r="D671" s="304"/>
      <c r="E671" s="304"/>
      <c r="F671" s="305"/>
      <c r="G671" s="306"/>
      <c r="H671" s="307"/>
    </row>
    <row r="672">
      <c r="A672" s="303"/>
      <c r="B672" s="304"/>
      <c r="C672" s="305"/>
      <c r="D672" s="304"/>
      <c r="E672" s="304"/>
      <c r="F672" s="305"/>
      <c r="G672" s="306"/>
      <c r="H672" s="307"/>
    </row>
    <row r="673">
      <c r="A673" s="303"/>
      <c r="B673" s="304"/>
      <c r="C673" s="305"/>
      <c r="D673" s="304"/>
      <c r="E673" s="304"/>
      <c r="F673" s="305"/>
      <c r="G673" s="306"/>
      <c r="H673" s="307"/>
    </row>
    <row r="674">
      <c r="A674" s="303"/>
      <c r="B674" s="304"/>
      <c r="C674" s="305"/>
      <c r="D674" s="304"/>
      <c r="E674" s="304"/>
      <c r="F674" s="305"/>
      <c r="G674" s="306"/>
      <c r="H674" s="307"/>
    </row>
    <row r="675">
      <c r="A675" s="303"/>
      <c r="B675" s="304"/>
      <c r="C675" s="305"/>
      <c r="D675" s="304"/>
      <c r="E675" s="304"/>
      <c r="F675" s="305"/>
      <c r="G675" s="306"/>
      <c r="H675" s="307"/>
    </row>
    <row r="676">
      <c r="A676" s="303"/>
      <c r="B676" s="304"/>
      <c r="C676" s="305"/>
      <c r="D676" s="304"/>
      <c r="E676" s="304"/>
      <c r="F676" s="305"/>
      <c r="G676" s="306"/>
      <c r="H676" s="307"/>
    </row>
    <row r="677">
      <c r="A677" s="303"/>
      <c r="B677" s="304"/>
      <c r="C677" s="305"/>
      <c r="D677" s="304"/>
      <c r="E677" s="304"/>
      <c r="F677" s="305"/>
      <c r="G677" s="306"/>
      <c r="H677" s="307"/>
    </row>
    <row r="678">
      <c r="A678" s="303"/>
      <c r="B678" s="304"/>
      <c r="C678" s="305"/>
      <c r="D678" s="304"/>
      <c r="E678" s="304"/>
      <c r="F678" s="305"/>
      <c r="G678" s="306"/>
      <c r="H678" s="307"/>
    </row>
    <row r="679">
      <c r="A679" s="303"/>
      <c r="B679" s="304"/>
      <c r="C679" s="305"/>
      <c r="D679" s="304"/>
      <c r="E679" s="304"/>
      <c r="F679" s="305"/>
      <c r="G679" s="306"/>
      <c r="H679" s="307"/>
    </row>
    <row r="680">
      <c r="A680" s="303"/>
      <c r="B680" s="304"/>
      <c r="C680" s="305"/>
      <c r="D680" s="304"/>
      <c r="E680" s="304"/>
      <c r="F680" s="305"/>
      <c r="G680" s="306"/>
      <c r="H680" s="307"/>
    </row>
    <row r="681">
      <c r="A681" s="303"/>
      <c r="B681" s="304"/>
      <c r="C681" s="305"/>
      <c r="D681" s="304"/>
      <c r="E681" s="304"/>
      <c r="F681" s="305"/>
      <c r="G681" s="306"/>
      <c r="H681" s="307"/>
    </row>
    <row r="682">
      <c r="A682" s="303"/>
      <c r="B682" s="304"/>
      <c r="C682" s="305"/>
      <c r="D682" s="304"/>
      <c r="E682" s="304"/>
      <c r="F682" s="305"/>
      <c r="G682" s="306"/>
      <c r="H682" s="307"/>
    </row>
    <row r="683">
      <c r="A683" s="303"/>
      <c r="B683" s="304"/>
      <c r="C683" s="305"/>
      <c r="D683" s="304"/>
      <c r="E683" s="304"/>
      <c r="F683" s="305"/>
      <c r="G683" s="306"/>
      <c r="H683" s="307"/>
    </row>
    <row r="684">
      <c r="A684" s="303"/>
      <c r="B684" s="304"/>
      <c r="C684" s="305"/>
      <c r="D684" s="304"/>
      <c r="E684" s="304"/>
      <c r="F684" s="305"/>
      <c r="G684" s="306"/>
      <c r="H684" s="307"/>
    </row>
    <row r="685">
      <c r="A685" s="303"/>
      <c r="B685" s="304"/>
      <c r="C685" s="305"/>
      <c r="D685" s="304"/>
      <c r="E685" s="304"/>
      <c r="F685" s="305"/>
      <c r="G685" s="306"/>
      <c r="H685" s="307"/>
    </row>
    <row r="686">
      <c r="A686" s="303"/>
      <c r="B686" s="304"/>
      <c r="C686" s="305"/>
      <c r="D686" s="304"/>
      <c r="E686" s="304"/>
      <c r="F686" s="305"/>
      <c r="G686" s="306"/>
      <c r="H686" s="307"/>
    </row>
    <row r="687">
      <c r="A687" s="303"/>
      <c r="B687" s="304"/>
      <c r="C687" s="305"/>
      <c r="D687" s="304"/>
      <c r="E687" s="304"/>
      <c r="F687" s="305"/>
      <c r="G687" s="306"/>
      <c r="H687" s="307"/>
    </row>
    <row r="688">
      <c r="A688" s="303"/>
      <c r="B688" s="304"/>
      <c r="C688" s="305"/>
      <c r="D688" s="304"/>
      <c r="E688" s="304"/>
      <c r="F688" s="305"/>
      <c r="G688" s="306"/>
      <c r="H688" s="307"/>
    </row>
    <row r="689">
      <c r="A689" s="303"/>
      <c r="B689" s="304"/>
      <c r="C689" s="305"/>
      <c r="D689" s="304"/>
      <c r="E689" s="304"/>
      <c r="F689" s="305"/>
      <c r="G689" s="306"/>
      <c r="H689" s="307"/>
    </row>
    <row r="690">
      <c r="A690" s="303"/>
      <c r="B690" s="304"/>
      <c r="C690" s="305"/>
      <c r="D690" s="304"/>
      <c r="E690" s="304"/>
      <c r="F690" s="305"/>
      <c r="G690" s="306"/>
      <c r="H690" s="307"/>
    </row>
    <row r="691">
      <c r="A691" s="303"/>
      <c r="B691" s="304"/>
      <c r="C691" s="305"/>
      <c r="D691" s="304"/>
      <c r="E691" s="304"/>
      <c r="F691" s="305"/>
      <c r="G691" s="306"/>
      <c r="H691" s="307"/>
    </row>
    <row r="692">
      <c r="A692" s="303"/>
      <c r="B692" s="304"/>
      <c r="C692" s="305"/>
      <c r="D692" s="304"/>
      <c r="E692" s="304"/>
      <c r="F692" s="305"/>
      <c r="G692" s="306"/>
      <c r="H692" s="307"/>
    </row>
    <row r="693">
      <c r="A693" s="303"/>
      <c r="B693" s="304"/>
      <c r="C693" s="305"/>
      <c r="D693" s="304"/>
      <c r="E693" s="304"/>
      <c r="F693" s="305"/>
      <c r="G693" s="306"/>
      <c r="H693" s="307"/>
    </row>
    <row r="694">
      <c r="A694" s="303"/>
      <c r="B694" s="304"/>
      <c r="C694" s="305"/>
      <c r="D694" s="304"/>
      <c r="E694" s="304"/>
      <c r="F694" s="305"/>
      <c r="G694" s="306"/>
      <c r="H694" s="307"/>
    </row>
    <row r="695">
      <c r="A695" s="303"/>
      <c r="B695" s="304"/>
      <c r="C695" s="305"/>
      <c r="D695" s="304"/>
      <c r="E695" s="304"/>
      <c r="F695" s="305"/>
      <c r="G695" s="306"/>
      <c r="H695" s="307"/>
    </row>
    <row r="696">
      <c r="A696" s="303"/>
      <c r="B696" s="304"/>
      <c r="C696" s="305"/>
      <c r="D696" s="304"/>
      <c r="E696" s="304"/>
      <c r="F696" s="305"/>
      <c r="G696" s="306"/>
      <c r="H696" s="307"/>
    </row>
    <row r="697">
      <c r="A697" s="303"/>
      <c r="B697" s="304"/>
      <c r="C697" s="305"/>
      <c r="D697" s="304"/>
      <c r="E697" s="304"/>
      <c r="F697" s="305"/>
      <c r="G697" s="306"/>
      <c r="H697" s="307"/>
    </row>
    <row r="698">
      <c r="A698" s="303"/>
      <c r="B698" s="304"/>
      <c r="C698" s="305"/>
      <c r="D698" s="304"/>
      <c r="E698" s="304"/>
      <c r="F698" s="305"/>
      <c r="G698" s="306"/>
      <c r="H698" s="307"/>
    </row>
    <row r="699">
      <c r="A699" s="303"/>
      <c r="B699" s="304"/>
      <c r="C699" s="305"/>
      <c r="D699" s="304"/>
      <c r="E699" s="304"/>
      <c r="F699" s="305"/>
      <c r="G699" s="306"/>
      <c r="H699" s="307"/>
    </row>
    <row r="700">
      <c r="A700" s="303"/>
      <c r="B700" s="304"/>
      <c r="C700" s="305"/>
      <c r="D700" s="304"/>
      <c r="E700" s="304"/>
      <c r="F700" s="305"/>
      <c r="G700" s="306"/>
      <c r="H700" s="307"/>
    </row>
    <row r="701">
      <c r="A701" s="303"/>
      <c r="B701" s="304"/>
      <c r="C701" s="305"/>
      <c r="D701" s="304"/>
      <c r="E701" s="304"/>
      <c r="F701" s="305"/>
      <c r="G701" s="306"/>
      <c r="H701" s="307"/>
    </row>
    <row r="702">
      <c r="A702" s="303"/>
      <c r="B702" s="304"/>
      <c r="C702" s="305"/>
      <c r="D702" s="304"/>
      <c r="E702" s="304"/>
      <c r="F702" s="305"/>
      <c r="G702" s="306"/>
      <c r="H702" s="307"/>
    </row>
    <row r="703">
      <c r="A703" s="303"/>
      <c r="B703" s="304"/>
      <c r="C703" s="305"/>
      <c r="D703" s="304"/>
      <c r="E703" s="304"/>
      <c r="F703" s="305"/>
      <c r="G703" s="306"/>
      <c r="H703" s="307"/>
    </row>
    <row r="704">
      <c r="A704" s="303"/>
      <c r="B704" s="304"/>
      <c r="C704" s="305"/>
      <c r="D704" s="304"/>
      <c r="E704" s="304"/>
      <c r="F704" s="305"/>
      <c r="G704" s="306"/>
      <c r="H704" s="307"/>
    </row>
    <row r="705">
      <c r="A705" s="303"/>
      <c r="B705" s="304"/>
      <c r="C705" s="305"/>
      <c r="D705" s="304"/>
      <c r="E705" s="304"/>
      <c r="F705" s="305"/>
      <c r="G705" s="306"/>
      <c r="H705" s="307"/>
    </row>
    <row r="706">
      <c r="A706" s="303"/>
      <c r="B706" s="304"/>
      <c r="C706" s="305"/>
      <c r="D706" s="304"/>
      <c r="E706" s="304"/>
      <c r="F706" s="305"/>
      <c r="G706" s="306"/>
      <c r="H706" s="307"/>
    </row>
    <row r="707">
      <c r="A707" s="303"/>
      <c r="B707" s="304"/>
      <c r="C707" s="305"/>
      <c r="D707" s="304"/>
      <c r="E707" s="304"/>
      <c r="F707" s="305"/>
      <c r="G707" s="306"/>
      <c r="H707" s="307"/>
    </row>
    <row r="708">
      <c r="A708" s="303"/>
      <c r="B708" s="304"/>
      <c r="C708" s="305"/>
      <c r="D708" s="304"/>
      <c r="E708" s="304"/>
      <c r="F708" s="305"/>
      <c r="G708" s="306"/>
      <c r="H708" s="307"/>
    </row>
    <row r="709">
      <c r="A709" s="303"/>
      <c r="B709" s="304"/>
      <c r="C709" s="305"/>
      <c r="D709" s="304"/>
      <c r="E709" s="304"/>
      <c r="F709" s="305"/>
      <c r="G709" s="306"/>
      <c r="H709" s="307"/>
    </row>
    <row r="710">
      <c r="A710" s="303"/>
      <c r="B710" s="304"/>
      <c r="C710" s="305"/>
      <c r="D710" s="304"/>
      <c r="E710" s="304"/>
      <c r="F710" s="305"/>
      <c r="G710" s="306"/>
      <c r="H710" s="307"/>
    </row>
    <row r="711">
      <c r="A711" s="303"/>
      <c r="B711" s="304"/>
      <c r="C711" s="305"/>
      <c r="D711" s="304"/>
      <c r="E711" s="304"/>
      <c r="F711" s="305"/>
      <c r="G711" s="306"/>
      <c r="H711" s="307"/>
    </row>
    <row r="712">
      <c r="A712" s="303"/>
      <c r="B712" s="304"/>
      <c r="C712" s="305"/>
      <c r="D712" s="304"/>
      <c r="E712" s="304"/>
      <c r="F712" s="305"/>
      <c r="G712" s="306"/>
      <c r="H712" s="307"/>
    </row>
    <row r="713">
      <c r="A713" s="303"/>
      <c r="B713" s="304"/>
      <c r="C713" s="305"/>
      <c r="D713" s="304"/>
      <c r="E713" s="304"/>
      <c r="F713" s="305"/>
      <c r="G713" s="306"/>
      <c r="H713" s="307"/>
    </row>
    <row r="714">
      <c r="A714" s="303"/>
      <c r="B714" s="304"/>
      <c r="C714" s="305"/>
      <c r="D714" s="304"/>
      <c r="E714" s="304"/>
      <c r="F714" s="305"/>
      <c r="G714" s="306"/>
      <c r="H714" s="307"/>
    </row>
    <row r="715">
      <c r="A715" s="303"/>
      <c r="B715" s="304"/>
      <c r="C715" s="305"/>
      <c r="D715" s="304"/>
      <c r="E715" s="304"/>
      <c r="F715" s="305"/>
      <c r="G715" s="306"/>
      <c r="H715" s="307"/>
    </row>
    <row r="716">
      <c r="A716" s="303"/>
      <c r="B716" s="304"/>
      <c r="C716" s="305"/>
      <c r="D716" s="304"/>
      <c r="E716" s="304"/>
      <c r="F716" s="305"/>
      <c r="G716" s="306"/>
      <c r="H716" s="307"/>
    </row>
    <row r="717">
      <c r="A717" s="303"/>
      <c r="B717" s="304"/>
      <c r="C717" s="305"/>
      <c r="D717" s="304"/>
      <c r="E717" s="304"/>
      <c r="F717" s="305"/>
      <c r="G717" s="306"/>
      <c r="H717" s="307"/>
    </row>
    <row r="718">
      <c r="A718" s="303"/>
      <c r="B718" s="304"/>
      <c r="C718" s="305"/>
      <c r="D718" s="304"/>
      <c r="E718" s="304"/>
      <c r="F718" s="305"/>
      <c r="G718" s="306"/>
      <c r="H718" s="307"/>
    </row>
    <row r="719">
      <c r="A719" s="303"/>
      <c r="B719" s="304"/>
      <c r="C719" s="305"/>
      <c r="D719" s="304"/>
      <c r="E719" s="304"/>
      <c r="F719" s="305"/>
      <c r="G719" s="306"/>
      <c r="H719" s="307"/>
    </row>
    <row r="720">
      <c r="A720" s="303"/>
      <c r="B720" s="304"/>
      <c r="C720" s="305"/>
      <c r="D720" s="304"/>
      <c r="E720" s="304"/>
      <c r="F720" s="305"/>
      <c r="G720" s="306"/>
      <c r="H720" s="307"/>
    </row>
    <row r="721">
      <c r="A721" s="303"/>
      <c r="B721" s="304"/>
      <c r="C721" s="305"/>
      <c r="D721" s="304"/>
      <c r="E721" s="304"/>
      <c r="F721" s="305"/>
      <c r="G721" s="306"/>
      <c r="H721" s="307"/>
    </row>
    <row r="722">
      <c r="A722" s="303"/>
      <c r="B722" s="304"/>
      <c r="C722" s="305"/>
      <c r="D722" s="304"/>
      <c r="E722" s="304"/>
      <c r="F722" s="305"/>
      <c r="G722" s="306"/>
      <c r="H722" s="307"/>
    </row>
    <row r="723">
      <c r="A723" s="303"/>
      <c r="B723" s="304"/>
      <c r="C723" s="305"/>
      <c r="D723" s="304"/>
      <c r="E723" s="304"/>
      <c r="F723" s="305"/>
      <c r="G723" s="306"/>
      <c r="H723" s="307"/>
    </row>
    <row r="724">
      <c r="A724" s="303"/>
      <c r="B724" s="304"/>
      <c r="C724" s="305"/>
      <c r="D724" s="304"/>
      <c r="E724" s="304"/>
      <c r="F724" s="305"/>
      <c r="G724" s="306"/>
      <c r="H724" s="307"/>
    </row>
    <row r="725">
      <c r="A725" s="303"/>
      <c r="B725" s="304"/>
      <c r="C725" s="305"/>
      <c r="D725" s="304"/>
      <c r="E725" s="304"/>
      <c r="F725" s="305"/>
      <c r="G725" s="306"/>
      <c r="H725" s="307"/>
    </row>
    <row r="726">
      <c r="A726" s="303"/>
      <c r="B726" s="304"/>
      <c r="C726" s="305"/>
      <c r="D726" s="304"/>
      <c r="E726" s="304"/>
      <c r="F726" s="305"/>
      <c r="G726" s="306"/>
      <c r="H726" s="307"/>
    </row>
    <row r="727">
      <c r="A727" s="303"/>
      <c r="B727" s="304"/>
      <c r="C727" s="305"/>
      <c r="D727" s="304"/>
      <c r="E727" s="304"/>
      <c r="F727" s="305"/>
      <c r="G727" s="306"/>
      <c r="H727" s="307"/>
    </row>
    <row r="728">
      <c r="A728" s="303"/>
      <c r="B728" s="304"/>
      <c r="C728" s="305"/>
      <c r="D728" s="304"/>
      <c r="E728" s="304"/>
      <c r="F728" s="305"/>
      <c r="G728" s="306"/>
      <c r="H728" s="307"/>
    </row>
    <row r="729">
      <c r="A729" s="303"/>
      <c r="B729" s="304"/>
      <c r="C729" s="305"/>
      <c r="D729" s="304"/>
      <c r="E729" s="304"/>
      <c r="F729" s="305"/>
      <c r="G729" s="306"/>
      <c r="H729" s="307"/>
    </row>
    <row r="730">
      <c r="A730" s="303"/>
      <c r="B730" s="304"/>
      <c r="C730" s="305"/>
      <c r="D730" s="304"/>
      <c r="E730" s="304"/>
      <c r="F730" s="305"/>
      <c r="G730" s="306"/>
      <c r="H730" s="307"/>
    </row>
    <row r="731">
      <c r="A731" s="303"/>
      <c r="B731" s="304"/>
      <c r="C731" s="305"/>
      <c r="D731" s="304"/>
      <c r="E731" s="304"/>
      <c r="F731" s="305"/>
      <c r="G731" s="306"/>
      <c r="H731" s="307"/>
    </row>
    <row r="732">
      <c r="A732" s="303"/>
      <c r="B732" s="304"/>
      <c r="C732" s="305"/>
      <c r="D732" s="304"/>
      <c r="E732" s="304"/>
      <c r="F732" s="305"/>
      <c r="G732" s="306"/>
      <c r="H732" s="307"/>
    </row>
    <row r="733">
      <c r="A733" s="303"/>
      <c r="B733" s="304"/>
      <c r="C733" s="305"/>
      <c r="D733" s="304"/>
      <c r="E733" s="304"/>
      <c r="F733" s="305"/>
      <c r="G733" s="306"/>
      <c r="H733" s="307"/>
    </row>
    <row r="734">
      <c r="A734" s="303"/>
      <c r="B734" s="304"/>
      <c r="C734" s="305"/>
      <c r="D734" s="304"/>
      <c r="E734" s="304"/>
      <c r="F734" s="305"/>
      <c r="G734" s="306"/>
      <c r="H734" s="307"/>
    </row>
    <row r="735">
      <c r="A735" s="303"/>
      <c r="B735" s="304"/>
      <c r="C735" s="305"/>
      <c r="D735" s="304"/>
      <c r="E735" s="304"/>
      <c r="F735" s="305"/>
      <c r="G735" s="306"/>
      <c r="H735" s="307"/>
    </row>
    <row r="736">
      <c r="A736" s="303"/>
      <c r="B736" s="304"/>
      <c r="C736" s="305"/>
      <c r="D736" s="304"/>
      <c r="E736" s="304"/>
      <c r="F736" s="305"/>
      <c r="G736" s="306"/>
      <c r="H736" s="307"/>
    </row>
    <row r="737">
      <c r="A737" s="303"/>
      <c r="B737" s="304"/>
      <c r="C737" s="305"/>
      <c r="D737" s="304"/>
      <c r="E737" s="304"/>
      <c r="F737" s="305"/>
      <c r="G737" s="306"/>
      <c r="H737" s="307"/>
    </row>
    <row r="738">
      <c r="A738" s="303"/>
      <c r="B738" s="304"/>
      <c r="C738" s="305"/>
      <c r="D738" s="304"/>
      <c r="E738" s="304"/>
      <c r="F738" s="305"/>
      <c r="G738" s="306"/>
      <c r="H738" s="307"/>
    </row>
    <row r="739">
      <c r="A739" s="303"/>
      <c r="B739" s="304"/>
      <c r="C739" s="305"/>
      <c r="D739" s="304"/>
      <c r="E739" s="304"/>
      <c r="F739" s="305"/>
      <c r="G739" s="306"/>
      <c r="H739" s="307"/>
    </row>
    <row r="740">
      <c r="A740" s="303"/>
      <c r="B740" s="304"/>
      <c r="C740" s="305"/>
      <c r="D740" s="304"/>
      <c r="E740" s="304"/>
      <c r="F740" s="305"/>
      <c r="G740" s="306"/>
      <c r="H740" s="307"/>
    </row>
    <row r="741">
      <c r="A741" s="303"/>
      <c r="B741" s="304"/>
      <c r="C741" s="305"/>
      <c r="D741" s="304"/>
      <c r="E741" s="304"/>
      <c r="F741" s="305"/>
      <c r="G741" s="306"/>
      <c r="H741" s="307"/>
    </row>
    <row r="742">
      <c r="A742" s="303"/>
      <c r="B742" s="304"/>
      <c r="C742" s="305"/>
      <c r="D742" s="304"/>
      <c r="E742" s="304"/>
      <c r="F742" s="305"/>
      <c r="G742" s="306"/>
      <c r="H742" s="307"/>
    </row>
    <row r="743">
      <c r="A743" s="303"/>
      <c r="B743" s="304"/>
      <c r="C743" s="305"/>
      <c r="D743" s="304"/>
      <c r="E743" s="304"/>
      <c r="F743" s="305"/>
      <c r="G743" s="306"/>
      <c r="H743" s="307"/>
    </row>
    <row r="744">
      <c r="A744" s="303"/>
      <c r="B744" s="304"/>
      <c r="C744" s="305"/>
      <c r="D744" s="304"/>
      <c r="E744" s="304"/>
      <c r="F744" s="305"/>
      <c r="G744" s="306"/>
      <c r="H744" s="307"/>
    </row>
    <row r="745">
      <c r="A745" s="303"/>
      <c r="B745" s="304"/>
      <c r="C745" s="305"/>
      <c r="D745" s="304"/>
      <c r="E745" s="304"/>
      <c r="F745" s="305"/>
      <c r="G745" s="306"/>
      <c r="H745" s="307"/>
    </row>
    <row r="746">
      <c r="A746" s="303"/>
      <c r="B746" s="304"/>
      <c r="C746" s="305"/>
      <c r="D746" s="304"/>
      <c r="E746" s="304"/>
      <c r="F746" s="305"/>
      <c r="G746" s="306"/>
      <c r="H746" s="307"/>
    </row>
    <row r="747">
      <c r="A747" s="303"/>
      <c r="B747" s="304"/>
      <c r="C747" s="305"/>
      <c r="D747" s="304"/>
      <c r="E747" s="304"/>
      <c r="F747" s="305"/>
      <c r="G747" s="306"/>
      <c r="H747" s="307"/>
    </row>
    <row r="748">
      <c r="A748" s="303"/>
      <c r="B748" s="304"/>
      <c r="C748" s="305"/>
      <c r="D748" s="304"/>
      <c r="E748" s="304"/>
      <c r="F748" s="305"/>
      <c r="G748" s="306"/>
      <c r="H748" s="307"/>
    </row>
    <row r="749">
      <c r="A749" s="303"/>
      <c r="B749" s="304"/>
      <c r="C749" s="305"/>
      <c r="D749" s="304"/>
      <c r="E749" s="304"/>
      <c r="F749" s="305"/>
      <c r="G749" s="306"/>
      <c r="H749" s="307"/>
    </row>
    <row r="750">
      <c r="A750" s="303"/>
      <c r="B750" s="304"/>
      <c r="C750" s="305"/>
      <c r="D750" s="304"/>
      <c r="E750" s="304"/>
      <c r="F750" s="305"/>
      <c r="G750" s="306"/>
      <c r="H750" s="307"/>
    </row>
    <row r="751">
      <c r="A751" s="303"/>
      <c r="B751" s="304"/>
      <c r="C751" s="305"/>
      <c r="D751" s="304"/>
      <c r="E751" s="304"/>
      <c r="F751" s="305"/>
      <c r="G751" s="306"/>
      <c r="H751" s="307"/>
    </row>
    <row r="752">
      <c r="A752" s="303"/>
      <c r="B752" s="304"/>
      <c r="C752" s="305"/>
      <c r="D752" s="304"/>
      <c r="E752" s="304"/>
      <c r="F752" s="305"/>
      <c r="G752" s="306"/>
      <c r="H752" s="307"/>
    </row>
    <row r="753">
      <c r="A753" s="303"/>
      <c r="B753" s="304"/>
      <c r="C753" s="305"/>
      <c r="D753" s="304"/>
      <c r="E753" s="304"/>
      <c r="F753" s="305"/>
      <c r="G753" s="306"/>
      <c r="H753" s="307"/>
    </row>
    <row r="754">
      <c r="A754" s="303"/>
      <c r="B754" s="304"/>
      <c r="C754" s="305"/>
      <c r="D754" s="304"/>
      <c r="E754" s="304"/>
      <c r="F754" s="305"/>
      <c r="G754" s="306"/>
      <c r="H754" s="307"/>
    </row>
    <row r="755">
      <c r="A755" s="303"/>
      <c r="B755" s="304"/>
      <c r="C755" s="305"/>
      <c r="D755" s="304"/>
      <c r="E755" s="304"/>
      <c r="F755" s="305"/>
      <c r="G755" s="306"/>
      <c r="H755" s="307"/>
    </row>
    <row r="756">
      <c r="A756" s="303"/>
      <c r="B756" s="304"/>
      <c r="C756" s="305"/>
      <c r="D756" s="304"/>
      <c r="E756" s="304"/>
      <c r="F756" s="305"/>
      <c r="G756" s="306"/>
      <c r="H756" s="307"/>
    </row>
    <row r="757">
      <c r="A757" s="303"/>
      <c r="B757" s="304"/>
      <c r="C757" s="305"/>
      <c r="D757" s="304"/>
      <c r="E757" s="304"/>
      <c r="F757" s="305"/>
      <c r="G757" s="306"/>
      <c r="H757" s="307"/>
    </row>
    <row r="758">
      <c r="A758" s="303"/>
      <c r="B758" s="304"/>
      <c r="C758" s="305"/>
      <c r="D758" s="304"/>
      <c r="E758" s="304"/>
      <c r="F758" s="305"/>
      <c r="G758" s="306"/>
      <c r="H758" s="307"/>
    </row>
    <row r="759">
      <c r="A759" s="303"/>
      <c r="B759" s="304"/>
      <c r="C759" s="305"/>
      <c r="D759" s="304"/>
      <c r="E759" s="304"/>
      <c r="F759" s="305"/>
      <c r="G759" s="306"/>
      <c r="H759" s="307"/>
    </row>
    <row r="760">
      <c r="A760" s="303"/>
      <c r="B760" s="304"/>
      <c r="C760" s="305"/>
      <c r="D760" s="304"/>
      <c r="E760" s="304"/>
      <c r="F760" s="305"/>
      <c r="G760" s="306"/>
      <c r="H760" s="307"/>
    </row>
    <row r="761">
      <c r="A761" s="303"/>
      <c r="B761" s="304"/>
      <c r="C761" s="305"/>
      <c r="D761" s="304"/>
      <c r="E761" s="304"/>
      <c r="F761" s="305"/>
      <c r="G761" s="306"/>
      <c r="H761" s="307"/>
    </row>
    <row r="762">
      <c r="A762" s="303"/>
      <c r="B762" s="304"/>
      <c r="C762" s="305"/>
      <c r="D762" s="304"/>
      <c r="E762" s="304"/>
      <c r="F762" s="305"/>
      <c r="G762" s="306"/>
      <c r="H762" s="307"/>
    </row>
    <row r="763">
      <c r="A763" s="303"/>
      <c r="B763" s="304"/>
      <c r="C763" s="305"/>
      <c r="D763" s="304"/>
      <c r="E763" s="304"/>
      <c r="F763" s="305"/>
      <c r="G763" s="306"/>
      <c r="H763" s="307"/>
    </row>
    <row r="764">
      <c r="A764" s="303"/>
      <c r="B764" s="304"/>
      <c r="C764" s="305"/>
      <c r="D764" s="304"/>
      <c r="E764" s="304"/>
      <c r="F764" s="305"/>
      <c r="G764" s="306"/>
      <c r="H764" s="307"/>
    </row>
    <row r="765">
      <c r="A765" s="303"/>
      <c r="B765" s="304"/>
      <c r="C765" s="305"/>
      <c r="D765" s="304"/>
      <c r="E765" s="304"/>
      <c r="F765" s="305"/>
      <c r="G765" s="306"/>
      <c r="H765" s="307"/>
    </row>
    <row r="766">
      <c r="A766" s="303"/>
      <c r="B766" s="304"/>
      <c r="C766" s="305"/>
      <c r="D766" s="304"/>
      <c r="E766" s="304"/>
      <c r="F766" s="305"/>
      <c r="G766" s="306"/>
      <c r="H766" s="307"/>
    </row>
    <row r="767">
      <c r="A767" s="303"/>
      <c r="B767" s="304"/>
      <c r="C767" s="305"/>
      <c r="D767" s="304"/>
      <c r="E767" s="304"/>
      <c r="F767" s="305"/>
      <c r="G767" s="306"/>
      <c r="H767" s="307"/>
    </row>
    <row r="768">
      <c r="A768" s="303"/>
      <c r="B768" s="304"/>
      <c r="C768" s="305"/>
      <c r="D768" s="304"/>
      <c r="E768" s="304"/>
      <c r="F768" s="305"/>
      <c r="G768" s="306"/>
      <c r="H768" s="307"/>
    </row>
    <row r="769">
      <c r="A769" s="303"/>
      <c r="B769" s="304"/>
      <c r="C769" s="305"/>
      <c r="D769" s="304"/>
      <c r="E769" s="304"/>
      <c r="F769" s="305"/>
      <c r="G769" s="306"/>
      <c r="H769" s="307"/>
    </row>
    <row r="770">
      <c r="A770" s="303"/>
      <c r="B770" s="304"/>
      <c r="C770" s="305"/>
      <c r="D770" s="304"/>
      <c r="E770" s="304"/>
      <c r="F770" s="305"/>
      <c r="G770" s="306"/>
      <c r="H770" s="307"/>
    </row>
    <row r="771">
      <c r="A771" s="303"/>
      <c r="B771" s="304"/>
      <c r="C771" s="305"/>
      <c r="D771" s="304"/>
      <c r="E771" s="304"/>
      <c r="F771" s="305"/>
      <c r="G771" s="306"/>
      <c r="H771" s="307"/>
    </row>
    <row r="772">
      <c r="A772" s="303"/>
      <c r="B772" s="304"/>
      <c r="C772" s="305"/>
      <c r="D772" s="304"/>
      <c r="E772" s="304"/>
      <c r="F772" s="305"/>
      <c r="G772" s="306"/>
      <c r="H772" s="307"/>
    </row>
    <row r="773">
      <c r="A773" s="303"/>
      <c r="B773" s="304"/>
      <c r="C773" s="305"/>
      <c r="D773" s="304"/>
      <c r="E773" s="304"/>
      <c r="F773" s="305"/>
      <c r="G773" s="306"/>
      <c r="H773" s="307"/>
    </row>
    <row r="774">
      <c r="A774" s="303"/>
      <c r="B774" s="304"/>
      <c r="C774" s="305"/>
      <c r="D774" s="304"/>
      <c r="E774" s="304"/>
      <c r="F774" s="305"/>
      <c r="G774" s="306"/>
      <c r="H774" s="307"/>
    </row>
    <row r="775">
      <c r="A775" s="303"/>
      <c r="B775" s="304"/>
      <c r="C775" s="305"/>
      <c r="D775" s="304"/>
      <c r="E775" s="304"/>
      <c r="F775" s="305"/>
      <c r="G775" s="306"/>
      <c r="H775" s="307"/>
    </row>
    <row r="776">
      <c r="A776" s="303"/>
      <c r="B776" s="304"/>
      <c r="C776" s="305"/>
      <c r="D776" s="304"/>
      <c r="E776" s="304"/>
      <c r="F776" s="305"/>
      <c r="G776" s="306"/>
      <c r="H776" s="307"/>
    </row>
    <row r="777">
      <c r="A777" s="303"/>
      <c r="B777" s="304"/>
      <c r="C777" s="305"/>
      <c r="D777" s="304"/>
      <c r="E777" s="304"/>
      <c r="F777" s="305"/>
      <c r="G777" s="306"/>
      <c r="H777" s="307"/>
    </row>
    <row r="778">
      <c r="A778" s="303"/>
      <c r="B778" s="304"/>
      <c r="C778" s="305"/>
      <c r="D778" s="304"/>
      <c r="E778" s="304"/>
      <c r="F778" s="305"/>
      <c r="G778" s="306"/>
      <c r="H778" s="307"/>
    </row>
    <row r="779">
      <c r="A779" s="303"/>
      <c r="B779" s="304"/>
      <c r="C779" s="305"/>
      <c r="D779" s="304"/>
      <c r="E779" s="304"/>
      <c r="F779" s="305"/>
      <c r="G779" s="306"/>
      <c r="H779" s="307"/>
    </row>
    <row r="780">
      <c r="A780" s="303"/>
      <c r="B780" s="304"/>
      <c r="C780" s="305"/>
      <c r="D780" s="304"/>
      <c r="E780" s="304"/>
      <c r="F780" s="305"/>
      <c r="G780" s="306"/>
      <c r="H780" s="307"/>
    </row>
    <row r="781">
      <c r="A781" s="303"/>
      <c r="B781" s="304"/>
      <c r="C781" s="305"/>
      <c r="D781" s="304"/>
      <c r="E781" s="304"/>
      <c r="F781" s="305"/>
      <c r="G781" s="306"/>
      <c r="H781" s="307"/>
    </row>
    <row r="782">
      <c r="A782" s="303"/>
      <c r="B782" s="304"/>
      <c r="C782" s="305"/>
      <c r="D782" s="304"/>
      <c r="E782" s="304"/>
      <c r="F782" s="305"/>
      <c r="G782" s="306"/>
      <c r="H782" s="307"/>
    </row>
    <row r="783">
      <c r="A783" s="303"/>
      <c r="B783" s="304"/>
      <c r="C783" s="305"/>
      <c r="D783" s="304"/>
      <c r="E783" s="304"/>
      <c r="F783" s="305"/>
      <c r="G783" s="306"/>
      <c r="H783" s="307"/>
    </row>
    <row r="784">
      <c r="A784" s="303"/>
      <c r="B784" s="304"/>
      <c r="C784" s="305"/>
      <c r="D784" s="304"/>
      <c r="E784" s="304"/>
      <c r="F784" s="305"/>
      <c r="G784" s="306"/>
      <c r="H784" s="307"/>
    </row>
    <row r="785">
      <c r="A785" s="303"/>
      <c r="B785" s="304"/>
      <c r="C785" s="305"/>
      <c r="D785" s="304"/>
      <c r="E785" s="304"/>
      <c r="F785" s="305"/>
      <c r="G785" s="306"/>
      <c r="H785" s="307"/>
    </row>
    <row r="786">
      <c r="A786" s="303"/>
      <c r="B786" s="304"/>
      <c r="C786" s="305"/>
      <c r="D786" s="304"/>
      <c r="E786" s="304"/>
      <c r="F786" s="305"/>
      <c r="G786" s="306"/>
      <c r="H786" s="307"/>
    </row>
    <row r="787">
      <c r="A787" s="303"/>
      <c r="B787" s="304"/>
      <c r="C787" s="305"/>
      <c r="D787" s="304"/>
      <c r="E787" s="304"/>
      <c r="F787" s="305"/>
      <c r="G787" s="306"/>
      <c r="H787" s="307"/>
    </row>
    <row r="788">
      <c r="A788" s="303"/>
      <c r="B788" s="304"/>
      <c r="C788" s="305"/>
      <c r="D788" s="304"/>
      <c r="E788" s="304"/>
      <c r="F788" s="305"/>
      <c r="G788" s="306"/>
      <c r="H788" s="307"/>
    </row>
    <row r="789">
      <c r="A789" s="303"/>
      <c r="B789" s="304"/>
      <c r="C789" s="305"/>
      <c r="D789" s="304"/>
      <c r="E789" s="304"/>
      <c r="F789" s="305"/>
      <c r="G789" s="306"/>
      <c r="H789" s="307"/>
    </row>
    <row r="790">
      <c r="A790" s="303"/>
      <c r="B790" s="304"/>
      <c r="C790" s="305"/>
      <c r="D790" s="304"/>
      <c r="E790" s="304"/>
      <c r="F790" s="305"/>
      <c r="G790" s="306"/>
      <c r="H790" s="307"/>
    </row>
    <row r="791">
      <c r="A791" s="303"/>
      <c r="B791" s="304"/>
      <c r="C791" s="305"/>
      <c r="D791" s="304"/>
      <c r="E791" s="304"/>
      <c r="F791" s="305"/>
      <c r="G791" s="306"/>
      <c r="H791" s="307"/>
    </row>
    <row r="792">
      <c r="A792" s="303"/>
      <c r="B792" s="304"/>
      <c r="C792" s="305"/>
      <c r="D792" s="304"/>
      <c r="E792" s="304"/>
      <c r="F792" s="305"/>
      <c r="G792" s="306"/>
      <c r="H792" s="307"/>
    </row>
    <row r="793">
      <c r="A793" s="303"/>
      <c r="B793" s="304"/>
      <c r="C793" s="305"/>
      <c r="D793" s="304"/>
      <c r="E793" s="304"/>
      <c r="F793" s="305"/>
      <c r="G793" s="306"/>
      <c r="H793" s="307"/>
    </row>
    <row r="794">
      <c r="A794" s="303"/>
      <c r="B794" s="304"/>
      <c r="C794" s="305"/>
      <c r="D794" s="304"/>
      <c r="E794" s="304"/>
      <c r="F794" s="305"/>
      <c r="G794" s="306"/>
      <c r="H794" s="307"/>
    </row>
    <row r="795">
      <c r="A795" s="303"/>
      <c r="B795" s="304"/>
      <c r="C795" s="305"/>
      <c r="D795" s="304"/>
      <c r="E795" s="304"/>
      <c r="F795" s="305"/>
      <c r="G795" s="306"/>
      <c r="H795" s="307"/>
    </row>
    <row r="796">
      <c r="A796" s="303"/>
      <c r="B796" s="304"/>
      <c r="C796" s="305"/>
      <c r="D796" s="304"/>
      <c r="E796" s="304"/>
      <c r="F796" s="305"/>
      <c r="G796" s="306"/>
      <c r="H796" s="307"/>
    </row>
    <row r="797">
      <c r="A797" s="303"/>
      <c r="B797" s="304"/>
      <c r="C797" s="305"/>
      <c r="D797" s="304"/>
      <c r="E797" s="304"/>
      <c r="F797" s="305"/>
      <c r="G797" s="306"/>
      <c r="H797" s="307"/>
    </row>
    <row r="798">
      <c r="A798" s="303"/>
      <c r="B798" s="304"/>
      <c r="C798" s="305"/>
      <c r="D798" s="304"/>
      <c r="E798" s="304"/>
      <c r="F798" s="305"/>
      <c r="G798" s="306"/>
      <c r="H798" s="307"/>
    </row>
    <row r="799">
      <c r="A799" s="303"/>
      <c r="B799" s="304"/>
      <c r="C799" s="305"/>
      <c r="D799" s="304"/>
      <c r="E799" s="304"/>
      <c r="F799" s="305"/>
      <c r="G799" s="306"/>
      <c r="H799" s="307"/>
    </row>
    <row r="800">
      <c r="A800" s="303"/>
      <c r="B800" s="304"/>
      <c r="C800" s="305"/>
      <c r="D800" s="304"/>
      <c r="E800" s="304"/>
      <c r="F800" s="305"/>
      <c r="G800" s="306"/>
      <c r="H800" s="307"/>
    </row>
    <row r="801">
      <c r="A801" s="303"/>
      <c r="B801" s="304"/>
      <c r="C801" s="305"/>
      <c r="D801" s="304"/>
      <c r="E801" s="304"/>
      <c r="F801" s="305"/>
      <c r="G801" s="306"/>
      <c r="H801" s="307"/>
    </row>
    <row r="802">
      <c r="A802" s="303"/>
      <c r="B802" s="304"/>
      <c r="C802" s="305"/>
      <c r="D802" s="304"/>
      <c r="E802" s="304"/>
      <c r="F802" s="305"/>
      <c r="G802" s="306"/>
      <c r="H802" s="307"/>
    </row>
    <row r="803">
      <c r="A803" s="303"/>
      <c r="B803" s="304"/>
      <c r="C803" s="305"/>
      <c r="D803" s="304"/>
      <c r="E803" s="304"/>
      <c r="F803" s="305"/>
      <c r="G803" s="306"/>
      <c r="H803" s="307"/>
    </row>
    <row r="804">
      <c r="A804" s="303"/>
      <c r="B804" s="304"/>
      <c r="C804" s="305"/>
      <c r="D804" s="304"/>
      <c r="E804" s="304"/>
      <c r="F804" s="305"/>
      <c r="G804" s="306"/>
      <c r="H804" s="307"/>
    </row>
    <row r="805">
      <c r="A805" s="303"/>
      <c r="B805" s="304"/>
      <c r="C805" s="305"/>
      <c r="D805" s="304"/>
      <c r="E805" s="304"/>
      <c r="F805" s="305"/>
      <c r="G805" s="306"/>
      <c r="H805" s="307"/>
    </row>
    <row r="806">
      <c r="A806" s="303"/>
      <c r="B806" s="304"/>
      <c r="C806" s="305"/>
      <c r="D806" s="304"/>
      <c r="E806" s="304"/>
      <c r="F806" s="305"/>
      <c r="G806" s="306"/>
      <c r="H806" s="307"/>
    </row>
    <row r="807">
      <c r="A807" s="303"/>
      <c r="B807" s="304"/>
      <c r="C807" s="305"/>
      <c r="D807" s="304"/>
      <c r="E807" s="304"/>
      <c r="F807" s="305"/>
      <c r="G807" s="306"/>
      <c r="H807" s="307"/>
    </row>
    <row r="808">
      <c r="A808" s="303"/>
      <c r="B808" s="304"/>
      <c r="C808" s="305"/>
      <c r="D808" s="304"/>
      <c r="E808" s="304"/>
      <c r="F808" s="305"/>
      <c r="G808" s="306"/>
      <c r="H808" s="307"/>
    </row>
    <row r="809">
      <c r="A809" s="303"/>
      <c r="B809" s="304"/>
      <c r="C809" s="305"/>
      <c r="D809" s="304"/>
      <c r="E809" s="304"/>
      <c r="F809" s="305"/>
      <c r="G809" s="306"/>
      <c r="H809" s="307"/>
    </row>
    <row r="810">
      <c r="A810" s="303"/>
      <c r="B810" s="304"/>
      <c r="C810" s="305"/>
      <c r="D810" s="304"/>
      <c r="E810" s="304"/>
      <c r="F810" s="305"/>
      <c r="G810" s="306"/>
      <c r="H810" s="307"/>
    </row>
    <row r="811">
      <c r="A811" s="303"/>
      <c r="B811" s="304"/>
      <c r="C811" s="305"/>
      <c r="D811" s="304"/>
      <c r="E811" s="304"/>
      <c r="F811" s="305"/>
      <c r="G811" s="306"/>
      <c r="H811" s="307"/>
    </row>
    <row r="812">
      <c r="A812" s="303"/>
      <c r="B812" s="304"/>
      <c r="C812" s="305"/>
      <c r="D812" s="304"/>
      <c r="E812" s="304"/>
      <c r="F812" s="305"/>
      <c r="G812" s="306"/>
      <c r="H812" s="307"/>
    </row>
    <row r="813">
      <c r="A813" s="303"/>
      <c r="B813" s="304"/>
      <c r="C813" s="305"/>
      <c r="D813" s="304"/>
      <c r="E813" s="304"/>
      <c r="F813" s="305"/>
      <c r="G813" s="306"/>
      <c r="H813" s="307"/>
    </row>
    <row r="814">
      <c r="A814" s="303"/>
      <c r="B814" s="304"/>
      <c r="C814" s="305"/>
      <c r="D814" s="304"/>
      <c r="E814" s="304"/>
      <c r="F814" s="305"/>
      <c r="G814" s="306"/>
      <c r="H814" s="307"/>
    </row>
    <row r="815">
      <c r="A815" s="303"/>
      <c r="B815" s="304"/>
      <c r="C815" s="305"/>
      <c r="D815" s="304"/>
      <c r="E815" s="304"/>
      <c r="F815" s="305"/>
      <c r="G815" s="306"/>
      <c r="H815" s="307"/>
    </row>
    <row r="816">
      <c r="A816" s="303"/>
      <c r="B816" s="304"/>
      <c r="C816" s="305"/>
      <c r="D816" s="304"/>
      <c r="E816" s="304"/>
      <c r="F816" s="305"/>
      <c r="G816" s="306"/>
      <c r="H816" s="307"/>
    </row>
    <row r="817">
      <c r="A817" s="303"/>
      <c r="B817" s="304"/>
      <c r="C817" s="305"/>
      <c r="D817" s="304"/>
      <c r="E817" s="304"/>
      <c r="F817" s="305"/>
      <c r="G817" s="306"/>
      <c r="H817" s="307"/>
    </row>
    <row r="818">
      <c r="A818" s="303"/>
      <c r="B818" s="304"/>
      <c r="C818" s="305"/>
      <c r="D818" s="304"/>
      <c r="E818" s="304"/>
      <c r="F818" s="305"/>
      <c r="G818" s="306"/>
      <c r="H818" s="307"/>
    </row>
    <row r="819">
      <c r="A819" s="303"/>
      <c r="B819" s="304"/>
      <c r="C819" s="305"/>
      <c r="D819" s="304"/>
      <c r="E819" s="304"/>
      <c r="F819" s="305"/>
      <c r="G819" s="306"/>
      <c r="H819" s="307"/>
    </row>
    <row r="820">
      <c r="A820" s="303"/>
      <c r="B820" s="304"/>
      <c r="C820" s="305"/>
      <c r="D820" s="304"/>
      <c r="E820" s="304"/>
      <c r="F820" s="305"/>
      <c r="G820" s="306"/>
      <c r="H820" s="307"/>
    </row>
    <row r="821">
      <c r="A821" s="303"/>
      <c r="B821" s="304"/>
      <c r="C821" s="305"/>
      <c r="D821" s="304"/>
      <c r="E821" s="304"/>
      <c r="F821" s="305"/>
      <c r="G821" s="306"/>
      <c r="H821" s="307"/>
    </row>
    <row r="822">
      <c r="A822" s="303"/>
      <c r="B822" s="304"/>
      <c r="C822" s="305"/>
      <c r="D822" s="304"/>
      <c r="E822" s="304"/>
      <c r="F822" s="305"/>
      <c r="G822" s="306"/>
      <c r="H822" s="307"/>
    </row>
    <row r="823">
      <c r="A823" s="303"/>
      <c r="B823" s="304"/>
      <c r="C823" s="305"/>
      <c r="D823" s="304"/>
      <c r="E823" s="304"/>
      <c r="F823" s="305"/>
      <c r="G823" s="306"/>
      <c r="H823" s="307"/>
    </row>
    <row r="824">
      <c r="A824" s="303"/>
      <c r="B824" s="304"/>
      <c r="C824" s="305"/>
      <c r="D824" s="304"/>
      <c r="E824" s="304"/>
      <c r="F824" s="305"/>
      <c r="G824" s="306"/>
      <c r="H824" s="307"/>
    </row>
    <row r="825">
      <c r="A825" s="303"/>
      <c r="B825" s="304"/>
      <c r="C825" s="305"/>
      <c r="D825" s="304"/>
      <c r="E825" s="304"/>
      <c r="F825" s="305"/>
      <c r="G825" s="306"/>
      <c r="H825" s="307"/>
    </row>
    <row r="826">
      <c r="A826" s="303"/>
      <c r="B826" s="304"/>
      <c r="C826" s="305"/>
      <c r="D826" s="304"/>
      <c r="E826" s="304"/>
      <c r="F826" s="305"/>
      <c r="G826" s="306"/>
      <c r="H826" s="307"/>
    </row>
    <row r="827">
      <c r="A827" s="303"/>
      <c r="B827" s="304"/>
      <c r="C827" s="305"/>
      <c r="D827" s="304"/>
      <c r="E827" s="304"/>
      <c r="F827" s="305"/>
      <c r="G827" s="306"/>
      <c r="H827" s="307"/>
    </row>
    <row r="828">
      <c r="A828" s="303"/>
      <c r="B828" s="304"/>
      <c r="C828" s="305"/>
      <c r="D828" s="304"/>
      <c r="E828" s="304"/>
      <c r="F828" s="305"/>
      <c r="G828" s="306"/>
      <c r="H828" s="307"/>
    </row>
    <row r="829">
      <c r="A829" s="303"/>
      <c r="B829" s="304"/>
      <c r="C829" s="305"/>
      <c r="D829" s="304"/>
      <c r="E829" s="304"/>
      <c r="F829" s="305"/>
      <c r="G829" s="306"/>
      <c r="H829" s="307"/>
    </row>
    <row r="830">
      <c r="A830" s="303"/>
      <c r="B830" s="304"/>
      <c r="C830" s="305"/>
      <c r="D830" s="304"/>
      <c r="E830" s="304"/>
      <c r="F830" s="305"/>
      <c r="G830" s="306"/>
      <c r="H830" s="307"/>
    </row>
    <row r="831">
      <c r="A831" s="303"/>
      <c r="B831" s="304"/>
      <c r="C831" s="305"/>
      <c r="D831" s="304"/>
      <c r="E831" s="304"/>
      <c r="F831" s="305"/>
      <c r="G831" s="306"/>
      <c r="H831" s="307"/>
    </row>
    <row r="832">
      <c r="A832" s="303"/>
      <c r="B832" s="304"/>
      <c r="C832" s="305"/>
      <c r="D832" s="304"/>
      <c r="E832" s="304"/>
      <c r="F832" s="305"/>
      <c r="G832" s="306"/>
      <c r="H832" s="307"/>
    </row>
    <row r="833">
      <c r="A833" s="303"/>
      <c r="B833" s="304"/>
      <c r="C833" s="305"/>
      <c r="D833" s="304"/>
      <c r="E833" s="304"/>
      <c r="F833" s="305"/>
      <c r="G833" s="306"/>
      <c r="H833" s="307"/>
    </row>
    <row r="834">
      <c r="A834" s="303"/>
      <c r="B834" s="304"/>
      <c r="C834" s="305"/>
      <c r="D834" s="304"/>
      <c r="E834" s="304"/>
      <c r="F834" s="305"/>
      <c r="G834" s="306"/>
      <c r="H834" s="307"/>
    </row>
    <row r="835">
      <c r="A835" s="303"/>
      <c r="B835" s="304"/>
      <c r="C835" s="305"/>
      <c r="D835" s="304"/>
      <c r="E835" s="304"/>
      <c r="F835" s="305"/>
      <c r="G835" s="306"/>
      <c r="H835" s="307"/>
    </row>
    <row r="836">
      <c r="A836" s="303"/>
      <c r="B836" s="304"/>
      <c r="C836" s="305"/>
      <c r="D836" s="304"/>
      <c r="E836" s="304"/>
      <c r="F836" s="305"/>
      <c r="G836" s="306"/>
      <c r="H836" s="307"/>
    </row>
    <row r="837">
      <c r="A837" s="303"/>
      <c r="B837" s="304"/>
      <c r="C837" s="305"/>
      <c r="D837" s="304"/>
      <c r="E837" s="304"/>
      <c r="F837" s="305"/>
      <c r="G837" s="306"/>
      <c r="H837" s="307"/>
    </row>
    <row r="838">
      <c r="A838" s="303"/>
      <c r="B838" s="304"/>
      <c r="C838" s="305"/>
      <c r="D838" s="304"/>
      <c r="E838" s="304"/>
      <c r="F838" s="305"/>
      <c r="G838" s="306"/>
      <c r="H838" s="307"/>
    </row>
    <row r="839">
      <c r="A839" s="303"/>
      <c r="B839" s="304"/>
      <c r="C839" s="305"/>
      <c r="D839" s="304"/>
      <c r="E839" s="304"/>
      <c r="F839" s="305"/>
      <c r="G839" s="306"/>
      <c r="H839" s="307"/>
    </row>
    <row r="840">
      <c r="A840" s="303"/>
      <c r="B840" s="304"/>
      <c r="C840" s="305"/>
      <c r="D840" s="304"/>
      <c r="E840" s="304"/>
      <c r="F840" s="305"/>
      <c r="G840" s="306"/>
      <c r="H840" s="307"/>
    </row>
    <row r="841">
      <c r="A841" s="303"/>
      <c r="B841" s="304"/>
      <c r="C841" s="305"/>
      <c r="D841" s="304"/>
      <c r="E841" s="304"/>
      <c r="F841" s="305"/>
      <c r="G841" s="306"/>
      <c r="H841" s="307"/>
    </row>
    <row r="842">
      <c r="A842" s="303"/>
      <c r="B842" s="304"/>
      <c r="C842" s="305"/>
      <c r="D842" s="304"/>
      <c r="E842" s="304"/>
      <c r="F842" s="305"/>
      <c r="G842" s="306"/>
      <c r="H842" s="307"/>
    </row>
    <row r="843">
      <c r="A843" s="303"/>
      <c r="B843" s="304"/>
      <c r="C843" s="305"/>
      <c r="D843" s="304"/>
      <c r="E843" s="304"/>
      <c r="F843" s="305"/>
      <c r="G843" s="306"/>
      <c r="H843" s="307"/>
    </row>
    <row r="844">
      <c r="A844" s="303"/>
      <c r="B844" s="304"/>
      <c r="C844" s="305"/>
      <c r="D844" s="304"/>
      <c r="E844" s="304"/>
      <c r="F844" s="305"/>
      <c r="G844" s="306"/>
      <c r="H844" s="307"/>
    </row>
    <row r="845">
      <c r="A845" s="303"/>
      <c r="B845" s="304"/>
      <c r="C845" s="305"/>
      <c r="D845" s="304"/>
      <c r="E845" s="304"/>
      <c r="F845" s="305"/>
      <c r="G845" s="306"/>
      <c r="H845" s="307"/>
    </row>
    <row r="846">
      <c r="A846" s="303"/>
      <c r="B846" s="304"/>
      <c r="C846" s="305"/>
      <c r="D846" s="304"/>
      <c r="E846" s="304"/>
      <c r="F846" s="305"/>
      <c r="G846" s="306"/>
      <c r="H846" s="307"/>
    </row>
    <row r="847">
      <c r="A847" s="303"/>
      <c r="B847" s="304"/>
      <c r="C847" s="305"/>
      <c r="D847" s="304"/>
      <c r="E847" s="304"/>
      <c r="F847" s="305"/>
      <c r="G847" s="306"/>
      <c r="H847" s="307"/>
    </row>
    <row r="848">
      <c r="A848" s="303"/>
      <c r="B848" s="304"/>
      <c r="C848" s="305"/>
      <c r="D848" s="304"/>
      <c r="E848" s="304"/>
      <c r="F848" s="305"/>
      <c r="G848" s="306"/>
      <c r="H848" s="307"/>
    </row>
    <row r="849">
      <c r="A849" s="303"/>
      <c r="B849" s="304"/>
      <c r="C849" s="305"/>
      <c r="D849" s="304"/>
      <c r="E849" s="304"/>
      <c r="F849" s="305"/>
      <c r="G849" s="306"/>
      <c r="H849" s="307"/>
    </row>
    <row r="850">
      <c r="A850" s="303"/>
      <c r="B850" s="304"/>
      <c r="C850" s="305"/>
      <c r="D850" s="304"/>
      <c r="E850" s="304"/>
      <c r="F850" s="305"/>
      <c r="G850" s="306"/>
      <c r="H850" s="307"/>
    </row>
    <row r="851">
      <c r="A851" s="303"/>
      <c r="B851" s="304"/>
      <c r="C851" s="305"/>
      <c r="D851" s="304"/>
      <c r="E851" s="304"/>
      <c r="F851" s="305"/>
      <c r="G851" s="306"/>
      <c r="H851" s="307"/>
    </row>
    <row r="852">
      <c r="A852" s="303"/>
      <c r="B852" s="304"/>
      <c r="C852" s="305"/>
      <c r="D852" s="304"/>
      <c r="E852" s="304"/>
      <c r="F852" s="305"/>
      <c r="G852" s="306"/>
      <c r="H852" s="307"/>
    </row>
    <row r="853">
      <c r="A853" s="303"/>
      <c r="B853" s="304"/>
      <c r="C853" s="305"/>
      <c r="D853" s="304"/>
      <c r="E853" s="304"/>
      <c r="F853" s="305"/>
      <c r="G853" s="306"/>
      <c r="H853" s="307"/>
    </row>
    <row r="854">
      <c r="A854" s="303"/>
      <c r="B854" s="304"/>
      <c r="C854" s="305"/>
      <c r="D854" s="304"/>
      <c r="E854" s="304"/>
      <c r="F854" s="305"/>
      <c r="G854" s="306"/>
      <c r="H854" s="307"/>
    </row>
    <row r="855">
      <c r="A855" s="303"/>
      <c r="B855" s="304"/>
      <c r="C855" s="305"/>
      <c r="D855" s="304"/>
      <c r="E855" s="304"/>
      <c r="F855" s="305"/>
      <c r="G855" s="306"/>
      <c r="H855" s="307"/>
    </row>
    <row r="856">
      <c r="A856" s="303"/>
      <c r="B856" s="304"/>
      <c r="C856" s="305"/>
      <c r="D856" s="304"/>
      <c r="E856" s="304"/>
      <c r="F856" s="305"/>
      <c r="G856" s="306"/>
      <c r="H856" s="307"/>
    </row>
    <row r="857">
      <c r="A857" s="303"/>
      <c r="B857" s="304"/>
      <c r="C857" s="305"/>
      <c r="D857" s="304"/>
      <c r="E857" s="304"/>
      <c r="F857" s="305"/>
      <c r="G857" s="306"/>
      <c r="H857" s="307"/>
    </row>
    <row r="858">
      <c r="A858" s="303"/>
      <c r="B858" s="304"/>
      <c r="C858" s="305"/>
      <c r="D858" s="304"/>
      <c r="E858" s="304"/>
      <c r="F858" s="305"/>
      <c r="G858" s="306"/>
      <c r="H858" s="307"/>
    </row>
    <row r="859">
      <c r="A859" s="303"/>
      <c r="B859" s="304"/>
      <c r="C859" s="305"/>
      <c r="D859" s="304"/>
      <c r="E859" s="304"/>
      <c r="F859" s="305"/>
      <c r="G859" s="306"/>
      <c r="H859" s="307"/>
    </row>
    <row r="860">
      <c r="A860" s="303"/>
      <c r="B860" s="304"/>
      <c r="C860" s="305"/>
      <c r="D860" s="304"/>
      <c r="E860" s="304"/>
      <c r="F860" s="305"/>
      <c r="G860" s="306"/>
      <c r="H860" s="307"/>
    </row>
    <row r="861">
      <c r="A861" s="303"/>
      <c r="B861" s="304"/>
      <c r="C861" s="305"/>
      <c r="D861" s="304"/>
      <c r="E861" s="304"/>
      <c r="F861" s="305"/>
      <c r="G861" s="306"/>
      <c r="H861" s="307"/>
    </row>
    <row r="862">
      <c r="A862" s="303"/>
      <c r="B862" s="304"/>
      <c r="C862" s="305"/>
      <c r="D862" s="304"/>
      <c r="E862" s="304"/>
      <c r="F862" s="305"/>
      <c r="G862" s="306"/>
      <c r="H862" s="307"/>
    </row>
    <row r="863">
      <c r="A863" s="303"/>
      <c r="B863" s="304"/>
      <c r="C863" s="305"/>
      <c r="D863" s="304"/>
      <c r="E863" s="304"/>
      <c r="F863" s="305"/>
      <c r="G863" s="306"/>
      <c r="H863" s="307"/>
    </row>
    <row r="864">
      <c r="A864" s="303"/>
      <c r="B864" s="304"/>
      <c r="C864" s="305"/>
      <c r="D864" s="304"/>
      <c r="E864" s="304"/>
      <c r="F864" s="305"/>
      <c r="G864" s="306"/>
      <c r="H864" s="307"/>
    </row>
    <row r="865">
      <c r="A865" s="303"/>
      <c r="B865" s="304"/>
      <c r="C865" s="305"/>
      <c r="D865" s="304"/>
      <c r="E865" s="304"/>
      <c r="F865" s="305"/>
      <c r="G865" s="306"/>
      <c r="H865" s="307"/>
    </row>
    <row r="866">
      <c r="A866" s="303"/>
      <c r="B866" s="304"/>
      <c r="C866" s="305"/>
      <c r="D866" s="304"/>
      <c r="E866" s="304"/>
      <c r="F866" s="305"/>
      <c r="G866" s="306"/>
      <c r="H866" s="307"/>
    </row>
    <row r="867">
      <c r="A867" s="303"/>
      <c r="B867" s="304"/>
      <c r="C867" s="305"/>
      <c r="D867" s="304"/>
      <c r="E867" s="304"/>
      <c r="F867" s="305"/>
      <c r="G867" s="306"/>
      <c r="H867" s="307"/>
    </row>
    <row r="868">
      <c r="A868" s="303"/>
      <c r="B868" s="304"/>
      <c r="C868" s="305"/>
      <c r="D868" s="304"/>
      <c r="E868" s="304"/>
      <c r="F868" s="305"/>
      <c r="G868" s="306"/>
      <c r="H868" s="307"/>
    </row>
    <row r="869">
      <c r="A869" s="303"/>
      <c r="B869" s="304"/>
      <c r="C869" s="305"/>
      <c r="D869" s="304"/>
      <c r="E869" s="304"/>
      <c r="F869" s="305"/>
      <c r="G869" s="306"/>
      <c r="H869" s="307"/>
    </row>
    <row r="870">
      <c r="A870" s="303"/>
      <c r="B870" s="304"/>
      <c r="C870" s="305"/>
      <c r="D870" s="304"/>
      <c r="E870" s="304"/>
      <c r="F870" s="305"/>
      <c r="G870" s="306"/>
      <c r="H870" s="307"/>
    </row>
    <row r="871">
      <c r="A871" s="303"/>
      <c r="B871" s="304"/>
      <c r="C871" s="305"/>
      <c r="D871" s="304"/>
      <c r="E871" s="304"/>
      <c r="F871" s="305"/>
      <c r="G871" s="306"/>
      <c r="H871" s="307"/>
    </row>
    <row r="872">
      <c r="A872" s="303"/>
      <c r="B872" s="304"/>
      <c r="C872" s="305"/>
      <c r="D872" s="304"/>
      <c r="E872" s="304"/>
      <c r="F872" s="305"/>
      <c r="G872" s="306"/>
      <c r="H872" s="307"/>
    </row>
    <row r="873">
      <c r="A873" s="303"/>
      <c r="B873" s="304"/>
      <c r="C873" s="305"/>
      <c r="D873" s="304"/>
      <c r="E873" s="304"/>
      <c r="F873" s="305"/>
      <c r="G873" s="306"/>
      <c r="H873" s="307"/>
    </row>
    <row r="874">
      <c r="A874" s="303"/>
      <c r="B874" s="304"/>
      <c r="C874" s="305"/>
      <c r="D874" s="304"/>
      <c r="E874" s="304"/>
      <c r="F874" s="305"/>
      <c r="G874" s="306"/>
      <c r="H874" s="307"/>
    </row>
    <row r="875">
      <c r="A875" s="303"/>
      <c r="B875" s="304"/>
      <c r="C875" s="305"/>
      <c r="D875" s="304"/>
      <c r="E875" s="304"/>
      <c r="F875" s="305"/>
      <c r="G875" s="306"/>
      <c r="H875" s="307"/>
    </row>
    <row r="876">
      <c r="A876" s="303"/>
      <c r="B876" s="304"/>
      <c r="C876" s="305"/>
      <c r="D876" s="304"/>
      <c r="E876" s="304"/>
      <c r="F876" s="305"/>
      <c r="G876" s="306"/>
      <c r="H876" s="307"/>
    </row>
    <row r="877">
      <c r="A877" s="303"/>
      <c r="B877" s="304"/>
      <c r="C877" s="305"/>
      <c r="D877" s="304"/>
      <c r="E877" s="304"/>
      <c r="F877" s="305"/>
      <c r="G877" s="306"/>
      <c r="H877" s="307"/>
    </row>
    <row r="878">
      <c r="A878" s="303"/>
      <c r="B878" s="304"/>
      <c r="C878" s="305"/>
      <c r="D878" s="304"/>
      <c r="E878" s="304"/>
      <c r="F878" s="305"/>
      <c r="G878" s="306"/>
      <c r="H878" s="307"/>
    </row>
    <row r="879">
      <c r="A879" s="303"/>
      <c r="B879" s="304"/>
      <c r="C879" s="305"/>
      <c r="D879" s="304"/>
      <c r="E879" s="304"/>
      <c r="F879" s="305"/>
      <c r="G879" s="306"/>
      <c r="H879" s="307"/>
    </row>
    <row r="880">
      <c r="A880" s="303"/>
      <c r="B880" s="304"/>
      <c r="C880" s="305"/>
      <c r="D880" s="304"/>
      <c r="E880" s="304"/>
      <c r="F880" s="305"/>
      <c r="G880" s="306"/>
      <c r="H880" s="307"/>
    </row>
    <row r="881">
      <c r="A881" s="303"/>
      <c r="B881" s="304"/>
      <c r="C881" s="305"/>
      <c r="D881" s="304"/>
      <c r="E881" s="304"/>
      <c r="F881" s="305"/>
      <c r="G881" s="306"/>
      <c r="H881" s="307"/>
    </row>
    <row r="882">
      <c r="A882" s="303"/>
      <c r="B882" s="304"/>
      <c r="C882" s="305"/>
      <c r="D882" s="304"/>
      <c r="E882" s="304"/>
      <c r="F882" s="305"/>
      <c r="G882" s="306"/>
      <c r="H882" s="307"/>
    </row>
    <row r="883">
      <c r="A883" s="303"/>
      <c r="B883" s="304"/>
      <c r="C883" s="305"/>
      <c r="D883" s="304"/>
      <c r="E883" s="304"/>
      <c r="F883" s="305"/>
      <c r="G883" s="306"/>
      <c r="H883" s="307"/>
    </row>
    <row r="884">
      <c r="A884" s="303"/>
      <c r="B884" s="304"/>
      <c r="C884" s="305"/>
      <c r="D884" s="304"/>
      <c r="E884" s="304"/>
      <c r="F884" s="305"/>
      <c r="G884" s="306"/>
      <c r="H884" s="307"/>
    </row>
    <row r="885">
      <c r="A885" s="303"/>
      <c r="B885" s="304"/>
      <c r="C885" s="305"/>
      <c r="D885" s="304"/>
      <c r="E885" s="304"/>
      <c r="F885" s="305"/>
      <c r="G885" s="306"/>
      <c r="H885" s="307"/>
    </row>
    <row r="886">
      <c r="A886" s="303"/>
      <c r="B886" s="304"/>
      <c r="C886" s="305"/>
      <c r="D886" s="304"/>
      <c r="E886" s="304"/>
      <c r="F886" s="305"/>
      <c r="G886" s="306"/>
      <c r="H886" s="307"/>
    </row>
    <row r="887">
      <c r="A887" s="303"/>
      <c r="B887" s="304"/>
      <c r="C887" s="305"/>
      <c r="D887" s="304"/>
      <c r="E887" s="304"/>
      <c r="F887" s="305"/>
      <c r="G887" s="306"/>
      <c r="H887" s="307"/>
    </row>
    <row r="888">
      <c r="A888" s="303"/>
      <c r="B888" s="304"/>
      <c r="C888" s="305"/>
      <c r="D888" s="304"/>
      <c r="E888" s="304"/>
      <c r="F888" s="305"/>
      <c r="G888" s="306"/>
      <c r="H888" s="307"/>
    </row>
    <row r="889">
      <c r="A889" s="303"/>
      <c r="B889" s="304"/>
      <c r="C889" s="305"/>
      <c r="D889" s="304"/>
      <c r="E889" s="304"/>
      <c r="F889" s="305"/>
      <c r="G889" s="306"/>
      <c r="H889" s="307"/>
    </row>
    <row r="890">
      <c r="A890" s="303"/>
      <c r="B890" s="304"/>
      <c r="C890" s="305"/>
      <c r="D890" s="304"/>
      <c r="E890" s="304"/>
      <c r="F890" s="305"/>
      <c r="G890" s="306"/>
      <c r="H890" s="307"/>
    </row>
    <row r="891">
      <c r="A891" s="303"/>
      <c r="B891" s="304"/>
      <c r="C891" s="305"/>
      <c r="D891" s="304"/>
      <c r="E891" s="304"/>
      <c r="F891" s="305"/>
      <c r="G891" s="306"/>
      <c r="H891" s="307"/>
    </row>
    <row r="892">
      <c r="A892" s="303"/>
      <c r="B892" s="304"/>
      <c r="C892" s="305"/>
      <c r="D892" s="304"/>
      <c r="E892" s="304"/>
      <c r="F892" s="305"/>
      <c r="G892" s="306"/>
      <c r="H892" s="307"/>
    </row>
    <row r="893">
      <c r="A893" s="303"/>
      <c r="B893" s="304"/>
      <c r="C893" s="305"/>
      <c r="D893" s="304"/>
      <c r="E893" s="304"/>
      <c r="F893" s="305"/>
      <c r="G893" s="306"/>
      <c r="H893" s="307"/>
    </row>
    <row r="894">
      <c r="A894" s="303"/>
      <c r="B894" s="304"/>
      <c r="C894" s="305"/>
      <c r="D894" s="304"/>
      <c r="E894" s="304"/>
      <c r="F894" s="305"/>
      <c r="G894" s="306"/>
      <c r="H894" s="307"/>
    </row>
    <row r="895">
      <c r="A895" s="303"/>
      <c r="B895" s="304"/>
      <c r="C895" s="305"/>
      <c r="D895" s="304"/>
      <c r="E895" s="304"/>
      <c r="F895" s="305"/>
      <c r="G895" s="306"/>
      <c r="H895" s="307"/>
    </row>
    <row r="896">
      <c r="A896" s="303"/>
      <c r="B896" s="304"/>
      <c r="C896" s="305"/>
      <c r="D896" s="304"/>
      <c r="E896" s="304"/>
      <c r="F896" s="305"/>
      <c r="G896" s="306"/>
      <c r="H896" s="307"/>
    </row>
    <row r="897">
      <c r="A897" s="303"/>
      <c r="B897" s="304"/>
      <c r="C897" s="305"/>
      <c r="D897" s="304"/>
      <c r="E897" s="304"/>
      <c r="F897" s="305"/>
      <c r="G897" s="306"/>
      <c r="H897" s="307"/>
    </row>
    <row r="898">
      <c r="A898" s="303"/>
      <c r="B898" s="304"/>
      <c r="C898" s="305"/>
      <c r="D898" s="304"/>
      <c r="E898" s="304"/>
      <c r="F898" s="305"/>
      <c r="G898" s="306"/>
      <c r="H898" s="307"/>
    </row>
    <row r="899">
      <c r="A899" s="303"/>
      <c r="B899" s="304"/>
      <c r="C899" s="305"/>
      <c r="D899" s="304"/>
      <c r="E899" s="304"/>
      <c r="F899" s="305"/>
      <c r="G899" s="306"/>
      <c r="H899" s="307"/>
    </row>
    <row r="900">
      <c r="A900" s="303"/>
      <c r="B900" s="304"/>
      <c r="C900" s="305"/>
      <c r="D900" s="304"/>
      <c r="E900" s="304"/>
      <c r="F900" s="305"/>
      <c r="G900" s="306"/>
      <c r="H900" s="307"/>
    </row>
    <row r="901">
      <c r="A901" s="303"/>
      <c r="B901" s="304"/>
      <c r="C901" s="305"/>
      <c r="D901" s="304"/>
      <c r="E901" s="304"/>
      <c r="F901" s="305"/>
      <c r="G901" s="306"/>
      <c r="H901" s="307"/>
    </row>
    <row r="902">
      <c r="A902" s="303"/>
      <c r="B902" s="304"/>
      <c r="C902" s="305"/>
      <c r="D902" s="304"/>
      <c r="E902" s="304"/>
      <c r="F902" s="305"/>
      <c r="G902" s="306"/>
      <c r="H902" s="307"/>
    </row>
    <row r="903">
      <c r="A903" s="303"/>
      <c r="B903" s="304"/>
      <c r="C903" s="305"/>
      <c r="D903" s="304"/>
      <c r="E903" s="304"/>
      <c r="F903" s="305"/>
      <c r="G903" s="306"/>
      <c r="H903" s="307"/>
    </row>
    <row r="904">
      <c r="A904" s="303"/>
      <c r="B904" s="304"/>
      <c r="C904" s="305"/>
      <c r="D904" s="304"/>
      <c r="E904" s="304"/>
      <c r="F904" s="305"/>
      <c r="G904" s="306"/>
      <c r="H904" s="307"/>
    </row>
    <row r="905">
      <c r="A905" s="303"/>
      <c r="B905" s="304"/>
      <c r="C905" s="305"/>
      <c r="D905" s="304"/>
      <c r="E905" s="304"/>
      <c r="F905" s="305"/>
      <c r="G905" s="306"/>
      <c r="H905" s="307"/>
    </row>
    <row r="906">
      <c r="A906" s="303"/>
      <c r="B906" s="304"/>
      <c r="C906" s="305"/>
      <c r="D906" s="304"/>
      <c r="E906" s="304"/>
      <c r="F906" s="305"/>
      <c r="G906" s="306"/>
      <c r="H906" s="307"/>
    </row>
    <row r="907">
      <c r="A907" s="303"/>
      <c r="B907" s="304"/>
      <c r="C907" s="305"/>
      <c r="D907" s="304"/>
      <c r="E907" s="304"/>
      <c r="F907" s="305"/>
      <c r="G907" s="306"/>
      <c r="H907" s="307"/>
    </row>
    <row r="908">
      <c r="A908" s="303"/>
      <c r="B908" s="304"/>
      <c r="C908" s="305"/>
      <c r="D908" s="304"/>
      <c r="E908" s="304"/>
      <c r="F908" s="305"/>
      <c r="G908" s="306"/>
      <c r="H908" s="307"/>
    </row>
    <row r="909">
      <c r="A909" s="303"/>
      <c r="B909" s="304"/>
      <c r="C909" s="305"/>
      <c r="D909" s="304"/>
      <c r="E909" s="304"/>
      <c r="F909" s="305"/>
      <c r="G909" s="306"/>
      <c r="H909" s="307"/>
    </row>
    <row r="910">
      <c r="A910" s="303"/>
      <c r="B910" s="304"/>
      <c r="C910" s="305"/>
      <c r="D910" s="304"/>
      <c r="E910" s="304"/>
      <c r="F910" s="305"/>
      <c r="G910" s="306"/>
      <c r="H910" s="307"/>
    </row>
    <row r="911">
      <c r="A911" s="303"/>
      <c r="B911" s="304"/>
      <c r="C911" s="305"/>
      <c r="D911" s="304"/>
      <c r="E911" s="304"/>
      <c r="F911" s="305"/>
      <c r="G911" s="306"/>
      <c r="H911" s="307"/>
    </row>
    <row r="912">
      <c r="A912" s="303"/>
      <c r="B912" s="304"/>
      <c r="C912" s="305"/>
      <c r="D912" s="304"/>
      <c r="E912" s="304"/>
      <c r="F912" s="305"/>
      <c r="G912" s="306"/>
      <c r="H912" s="307"/>
    </row>
    <row r="913">
      <c r="A913" s="303"/>
      <c r="B913" s="304"/>
      <c r="C913" s="305"/>
      <c r="D913" s="304"/>
      <c r="E913" s="304"/>
      <c r="F913" s="305"/>
      <c r="G913" s="306"/>
      <c r="H913" s="307"/>
    </row>
    <row r="914">
      <c r="A914" s="303"/>
      <c r="B914" s="304"/>
      <c r="C914" s="305"/>
      <c r="D914" s="304"/>
      <c r="E914" s="304"/>
      <c r="F914" s="305"/>
      <c r="G914" s="306"/>
      <c r="H914" s="307"/>
    </row>
    <row r="915">
      <c r="A915" s="303"/>
      <c r="B915" s="304"/>
      <c r="C915" s="305"/>
      <c r="D915" s="304"/>
      <c r="E915" s="304"/>
      <c r="F915" s="305"/>
      <c r="G915" s="306"/>
      <c r="H915" s="307"/>
    </row>
    <row r="916">
      <c r="A916" s="303"/>
      <c r="B916" s="304"/>
      <c r="C916" s="305"/>
      <c r="D916" s="304"/>
      <c r="E916" s="304"/>
      <c r="F916" s="305"/>
      <c r="G916" s="306"/>
      <c r="H916" s="307"/>
    </row>
    <row r="917">
      <c r="A917" s="303"/>
      <c r="B917" s="304"/>
      <c r="C917" s="305"/>
      <c r="D917" s="304"/>
      <c r="E917" s="304"/>
      <c r="F917" s="305"/>
      <c r="G917" s="306"/>
      <c r="H917" s="307"/>
    </row>
    <row r="918">
      <c r="A918" s="303"/>
      <c r="B918" s="304"/>
      <c r="C918" s="305"/>
      <c r="D918" s="304"/>
      <c r="E918" s="304"/>
      <c r="F918" s="305"/>
      <c r="G918" s="306"/>
      <c r="H918" s="307"/>
    </row>
    <row r="919">
      <c r="A919" s="303"/>
      <c r="B919" s="304"/>
      <c r="C919" s="305"/>
      <c r="D919" s="304"/>
      <c r="E919" s="304"/>
      <c r="F919" s="305"/>
      <c r="G919" s="306"/>
      <c r="H919" s="307"/>
    </row>
    <row r="920">
      <c r="A920" s="303"/>
      <c r="B920" s="304"/>
      <c r="C920" s="305"/>
      <c r="D920" s="304"/>
      <c r="E920" s="304"/>
      <c r="F920" s="305"/>
      <c r="G920" s="306"/>
      <c r="H920" s="307"/>
    </row>
    <row r="921">
      <c r="A921" s="303"/>
      <c r="B921" s="304"/>
      <c r="C921" s="305"/>
      <c r="D921" s="304"/>
      <c r="E921" s="304"/>
      <c r="F921" s="305"/>
      <c r="G921" s="306"/>
      <c r="H921" s="307"/>
    </row>
    <row r="922">
      <c r="A922" s="303"/>
      <c r="B922" s="304"/>
      <c r="C922" s="305"/>
      <c r="D922" s="304"/>
      <c r="E922" s="304"/>
      <c r="F922" s="305"/>
      <c r="G922" s="306"/>
      <c r="H922" s="307"/>
    </row>
    <row r="923">
      <c r="A923" s="303"/>
      <c r="B923" s="304"/>
      <c r="C923" s="305"/>
      <c r="D923" s="304"/>
      <c r="E923" s="304"/>
      <c r="F923" s="305"/>
      <c r="G923" s="306"/>
      <c r="H923" s="307"/>
    </row>
    <row r="924">
      <c r="A924" s="303"/>
      <c r="B924" s="304"/>
      <c r="C924" s="305"/>
      <c r="D924" s="304"/>
      <c r="E924" s="304"/>
      <c r="F924" s="305"/>
      <c r="G924" s="306"/>
      <c r="H924" s="307"/>
    </row>
    <row r="925">
      <c r="A925" s="303"/>
      <c r="B925" s="304"/>
      <c r="C925" s="305"/>
      <c r="D925" s="304"/>
      <c r="E925" s="304"/>
      <c r="F925" s="305"/>
      <c r="G925" s="306"/>
      <c r="H925" s="307"/>
    </row>
    <row r="926">
      <c r="A926" s="303"/>
      <c r="B926" s="304"/>
      <c r="C926" s="305"/>
      <c r="D926" s="304"/>
      <c r="E926" s="304"/>
      <c r="F926" s="305"/>
      <c r="G926" s="306"/>
      <c r="H926" s="307"/>
    </row>
    <row r="927">
      <c r="A927" s="303"/>
      <c r="B927" s="304"/>
      <c r="C927" s="305"/>
      <c r="D927" s="304"/>
      <c r="E927" s="304"/>
      <c r="F927" s="305"/>
      <c r="G927" s="306"/>
      <c r="H927" s="307"/>
    </row>
    <row r="928">
      <c r="A928" s="303"/>
      <c r="B928" s="304"/>
      <c r="C928" s="305"/>
      <c r="D928" s="304"/>
      <c r="E928" s="304"/>
      <c r="F928" s="305"/>
      <c r="G928" s="306"/>
      <c r="H928" s="307"/>
    </row>
    <row r="929">
      <c r="A929" s="303"/>
      <c r="B929" s="304"/>
      <c r="C929" s="305"/>
      <c r="D929" s="304"/>
      <c r="E929" s="304"/>
      <c r="F929" s="305"/>
      <c r="G929" s="306"/>
      <c r="H929" s="307"/>
    </row>
    <row r="930">
      <c r="A930" s="303"/>
      <c r="B930" s="304"/>
      <c r="C930" s="305"/>
      <c r="D930" s="304"/>
      <c r="E930" s="304"/>
      <c r="F930" s="305"/>
      <c r="G930" s="306"/>
      <c r="H930" s="307"/>
    </row>
    <row r="931">
      <c r="A931" s="303"/>
      <c r="B931" s="304"/>
      <c r="C931" s="305"/>
      <c r="D931" s="304"/>
      <c r="E931" s="304"/>
      <c r="F931" s="305"/>
      <c r="G931" s="306"/>
      <c r="H931" s="307"/>
    </row>
    <row r="932">
      <c r="A932" s="303"/>
      <c r="B932" s="304"/>
      <c r="C932" s="305"/>
      <c r="D932" s="304"/>
      <c r="E932" s="304"/>
      <c r="F932" s="305"/>
      <c r="G932" s="306"/>
      <c r="H932" s="307"/>
    </row>
    <row r="933">
      <c r="A933" s="303"/>
      <c r="B933" s="304"/>
      <c r="C933" s="305"/>
      <c r="D933" s="304"/>
      <c r="E933" s="304"/>
      <c r="F933" s="305"/>
      <c r="G933" s="306"/>
      <c r="H933" s="307"/>
    </row>
    <row r="934">
      <c r="A934" s="303"/>
      <c r="B934" s="304"/>
      <c r="C934" s="305"/>
      <c r="D934" s="304"/>
      <c r="E934" s="304"/>
      <c r="F934" s="305"/>
      <c r="G934" s="306"/>
      <c r="H934" s="307"/>
    </row>
    <row r="935">
      <c r="A935" s="303"/>
      <c r="B935" s="304"/>
      <c r="C935" s="305"/>
      <c r="D935" s="304"/>
      <c r="E935" s="304"/>
      <c r="F935" s="305"/>
      <c r="G935" s="306"/>
      <c r="H935" s="307"/>
    </row>
    <row r="936">
      <c r="A936" s="303"/>
      <c r="B936" s="304"/>
      <c r="C936" s="305"/>
      <c r="D936" s="304"/>
      <c r="E936" s="304"/>
      <c r="F936" s="305"/>
      <c r="G936" s="306"/>
      <c r="H936" s="307"/>
    </row>
    <row r="937">
      <c r="A937" s="303"/>
      <c r="B937" s="304"/>
      <c r="C937" s="305"/>
      <c r="D937" s="304"/>
      <c r="E937" s="304"/>
      <c r="F937" s="305"/>
      <c r="G937" s="306"/>
      <c r="H937" s="307"/>
    </row>
    <row r="938">
      <c r="A938" s="303"/>
      <c r="B938" s="304"/>
      <c r="C938" s="305"/>
      <c r="D938" s="304"/>
      <c r="E938" s="304"/>
      <c r="F938" s="305"/>
      <c r="G938" s="306"/>
      <c r="H938" s="307"/>
    </row>
    <row r="939">
      <c r="A939" s="303"/>
      <c r="B939" s="304"/>
      <c r="C939" s="305"/>
      <c r="D939" s="304"/>
      <c r="E939" s="304"/>
      <c r="F939" s="305"/>
      <c r="G939" s="306"/>
      <c r="H939" s="307"/>
    </row>
    <row r="940">
      <c r="A940" s="303"/>
      <c r="B940" s="304"/>
      <c r="C940" s="305"/>
      <c r="D940" s="304"/>
      <c r="E940" s="304"/>
      <c r="F940" s="305"/>
      <c r="G940" s="306"/>
      <c r="H940" s="307"/>
    </row>
    <row r="941">
      <c r="A941" s="303"/>
      <c r="B941" s="304"/>
      <c r="C941" s="305"/>
      <c r="D941" s="304"/>
      <c r="E941" s="304"/>
      <c r="F941" s="305"/>
      <c r="G941" s="306"/>
      <c r="H941" s="307"/>
    </row>
    <row r="942">
      <c r="A942" s="303"/>
      <c r="B942" s="304"/>
      <c r="C942" s="305"/>
      <c r="D942" s="304"/>
      <c r="E942" s="304"/>
      <c r="F942" s="305"/>
      <c r="G942" s="306"/>
      <c r="H942" s="307"/>
    </row>
    <row r="943">
      <c r="A943" s="303"/>
      <c r="B943" s="304"/>
      <c r="C943" s="305"/>
      <c r="D943" s="304"/>
      <c r="E943" s="304"/>
      <c r="F943" s="305"/>
      <c r="G943" s="306"/>
      <c r="H943" s="307"/>
    </row>
    <row r="944">
      <c r="A944" s="303"/>
      <c r="B944" s="304"/>
      <c r="C944" s="305"/>
      <c r="D944" s="304"/>
      <c r="E944" s="304"/>
      <c r="F944" s="305"/>
      <c r="G944" s="306"/>
      <c r="H944" s="307"/>
    </row>
    <row r="945">
      <c r="A945" s="303"/>
      <c r="B945" s="304"/>
      <c r="C945" s="305"/>
      <c r="D945" s="304"/>
      <c r="E945" s="304"/>
      <c r="F945" s="305"/>
      <c r="G945" s="306"/>
      <c r="H945" s="307"/>
    </row>
    <row r="946">
      <c r="A946" s="303"/>
      <c r="B946" s="304"/>
      <c r="C946" s="305"/>
      <c r="D946" s="304"/>
      <c r="E946" s="304"/>
      <c r="F946" s="305"/>
      <c r="G946" s="306"/>
      <c r="H946" s="307"/>
    </row>
    <row r="947">
      <c r="A947" s="303"/>
      <c r="B947" s="304"/>
      <c r="C947" s="305"/>
      <c r="D947" s="304"/>
      <c r="E947" s="304"/>
      <c r="F947" s="305"/>
      <c r="G947" s="306"/>
      <c r="H947" s="307"/>
    </row>
    <row r="948">
      <c r="A948" s="303"/>
      <c r="B948" s="304"/>
      <c r="C948" s="305"/>
      <c r="D948" s="304"/>
      <c r="E948" s="304"/>
      <c r="F948" s="305"/>
      <c r="G948" s="306"/>
      <c r="H948" s="307"/>
    </row>
    <row r="949">
      <c r="A949" s="303"/>
      <c r="B949" s="304"/>
      <c r="C949" s="305"/>
      <c r="D949" s="304"/>
      <c r="E949" s="304"/>
      <c r="F949" s="305"/>
      <c r="G949" s="306"/>
      <c r="H949" s="307"/>
    </row>
    <row r="950">
      <c r="A950" s="303"/>
      <c r="B950" s="304"/>
      <c r="C950" s="305"/>
      <c r="D950" s="304"/>
      <c r="E950" s="304"/>
      <c r="F950" s="305"/>
      <c r="G950" s="306"/>
      <c r="H950" s="307"/>
    </row>
    <row r="951">
      <c r="A951" s="303"/>
      <c r="B951" s="304"/>
      <c r="C951" s="305"/>
      <c r="D951" s="304"/>
      <c r="E951" s="304"/>
      <c r="F951" s="305"/>
      <c r="G951" s="306"/>
      <c r="H951" s="307"/>
    </row>
    <row r="952">
      <c r="A952" s="303"/>
      <c r="B952" s="304"/>
      <c r="C952" s="305"/>
      <c r="D952" s="304"/>
      <c r="E952" s="304"/>
      <c r="F952" s="305"/>
      <c r="G952" s="306"/>
      <c r="H952" s="307"/>
    </row>
    <row r="953">
      <c r="A953" s="303"/>
      <c r="B953" s="304"/>
      <c r="C953" s="305"/>
      <c r="D953" s="304"/>
      <c r="E953" s="304"/>
      <c r="F953" s="305"/>
      <c r="G953" s="306"/>
      <c r="H953" s="307"/>
    </row>
    <row r="954">
      <c r="A954" s="303"/>
      <c r="B954" s="304"/>
      <c r="C954" s="305"/>
      <c r="D954" s="304"/>
      <c r="E954" s="304"/>
      <c r="F954" s="305"/>
      <c r="G954" s="306"/>
      <c r="H954" s="307"/>
    </row>
    <row r="955">
      <c r="A955" s="303"/>
      <c r="B955" s="304"/>
      <c r="C955" s="305"/>
      <c r="D955" s="304"/>
      <c r="E955" s="304"/>
      <c r="F955" s="305"/>
      <c r="G955" s="306"/>
      <c r="H955" s="307"/>
    </row>
    <row r="956">
      <c r="A956" s="303"/>
      <c r="B956" s="304"/>
      <c r="C956" s="305"/>
      <c r="D956" s="304"/>
      <c r="E956" s="304"/>
      <c r="F956" s="305"/>
      <c r="G956" s="306"/>
      <c r="H956" s="307"/>
    </row>
    <row r="957">
      <c r="A957" s="303"/>
      <c r="B957" s="304"/>
      <c r="C957" s="305"/>
      <c r="D957" s="304"/>
      <c r="E957" s="304"/>
      <c r="F957" s="305"/>
      <c r="G957" s="306"/>
      <c r="H957" s="307"/>
    </row>
    <row r="958">
      <c r="A958" s="303"/>
      <c r="B958" s="304"/>
      <c r="C958" s="305"/>
      <c r="D958" s="304"/>
      <c r="E958" s="304"/>
      <c r="F958" s="305"/>
      <c r="G958" s="306"/>
      <c r="H958" s="307"/>
    </row>
    <row r="959">
      <c r="A959" s="303"/>
      <c r="B959" s="304"/>
      <c r="C959" s="305"/>
      <c r="D959" s="304"/>
      <c r="E959" s="304"/>
      <c r="F959" s="305"/>
      <c r="G959" s="306"/>
      <c r="H959" s="307"/>
    </row>
    <row r="960">
      <c r="A960" s="303"/>
      <c r="B960" s="304"/>
      <c r="C960" s="305"/>
      <c r="D960" s="304"/>
      <c r="E960" s="304"/>
      <c r="F960" s="305"/>
      <c r="G960" s="306"/>
      <c r="H960" s="307"/>
    </row>
    <row r="961">
      <c r="A961" s="303"/>
      <c r="B961" s="304"/>
      <c r="C961" s="305"/>
      <c r="D961" s="304"/>
      <c r="E961" s="304"/>
      <c r="F961" s="305"/>
      <c r="G961" s="306"/>
      <c r="H961" s="307"/>
    </row>
    <row r="962">
      <c r="A962" s="303"/>
      <c r="B962" s="304"/>
      <c r="C962" s="305"/>
      <c r="D962" s="304"/>
      <c r="E962" s="304"/>
      <c r="F962" s="305"/>
      <c r="G962" s="306"/>
      <c r="H962" s="307"/>
    </row>
    <row r="963">
      <c r="A963" s="303"/>
      <c r="B963" s="304"/>
      <c r="C963" s="305"/>
      <c r="D963" s="304"/>
      <c r="E963" s="304"/>
      <c r="F963" s="305"/>
      <c r="G963" s="306"/>
      <c r="H963" s="307"/>
    </row>
    <row r="964">
      <c r="A964" s="303"/>
      <c r="B964" s="304"/>
      <c r="C964" s="305"/>
      <c r="D964" s="304"/>
      <c r="E964" s="304"/>
      <c r="F964" s="305"/>
      <c r="G964" s="306"/>
      <c r="H964" s="307"/>
    </row>
    <row r="965">
      <c r="A965" s="303"/>
      <c r="B965" s="304"/>
      <c r="C965" s="305"/>
      <c r="D965" s="304"/>
      <c r="E965" s="304"/>
      <c r="F965" s="305"/>
      <c r="G965" s="306"/>
      <c r="H965" s="307"/>
    </row>
    <row r="966">
      <c r="A966" s="303"/>
      <c r="B966" s="304"/>
      <c r="C966" s="305"/>
      <c r="D966" s="304"/>
      <c r="E966" s="304"/>
      <c r="F966" s="305"/>
      <c r="G966" s="306"/>
      <c r="H966" s="307"/>
    </row>
    <row r="967">
      <c r="A967" s="303"/>
      <c r="B967" s="304"/>
      <c r="C967" s="305"/>
      <c r="D967" s="304"/>
      <c r="E967" s="304"/>
      <c r="F967" s="305"/>
      <c r="G967" s="306"/>
      <c r="H967" s="307"/>
    </row>
    <row r="968">
      <c r="A968" s="303"/>
      <c r="B968" s="304"/>
      <c r="C968" s="305"/>
      <c r="D968" s="304"/>
      <c r="E968" s="304"/>
      <c r="F968" s="305"/>
      <c r="G968" s="306"/>
      <c r="H968" s="307"/>
    </row>
    <row r="969">
      <c r="A969" s="303"/>
      <c r="B969" s="304"/>
      <c r="C969" s="305"/>
      <c r="D969" s="304"/>
      <c r="E969" s="304"/>
      <c r="F969" s="305"/>
      <c r="G969" s="306"/>
      <c r="H969" s="307"/>
    </row>
    <row r="970">
      <c r="A970" s="303"/>
      <c r="B970" s="304"/>
      <c r="C970" s="305"/>
      <c r="D970" s="304"/>
      <c r="E970" s="304"/>
      <c r="F970" s="305"/>
      <c r="G970" s="306"/>
      <c r="H970" s="307"/>
    </row>
    <row r="971">
      <c r="A971" s="303"/>
      <c r="B971" s="304"/>
      <c r="C971" s="305"/>
      <c r="D971" s="304"/>
      <c r="E971" s="304"/>
      <c r="F971" s="305"/>
      <c r="G971" s="306"/>
      <c r="H971" s="307"/>
    </row>
    <row r="972">
      <c r="A972" s="303"/>
      <c r="B972" s="304"/>
      <c r="C972" s="305"/>
      <c r="D972" s="304"/>
      <c r="E972" s="304"/>
      <c r="F972" s="305"/>
      <c r="G972" s="306"/>
      <c r="H972" s="307"/>
    </row>
    <row r="973">
      <c r="A973" s="303"/>
      <c r="B973" s="304"/>
      <c r="C973" s="305"/>
      <c r="D973" s="304"/>
      <c r="E973" s="304"/>
      <c r="F973" s="305"/>
      <c r="G973" s="306"/>
      <c r="H973" s="307"/>
    </row>
    <row r="974">
      <c r="A974" s="303"/>
      <c r="B974" s="304"/>
      <c r="C974" s="305"/>
      <c r="D974" s="304"/>
      <c r="E974" s="304"/>
      <c r="F974" s="305"/>
      <c r="G974" s="306"/>
      <c r="H974" s="307"/>
    </row>
    <row r="975">
      <c r="A975" s="303"/>
      <c r="B975" s="304"/>
      <c r="C975" s="305"/>
      <c r="D975" s="304"/>
      <c r="E975" s="304"/>
      <c r="F975" s="305"/>
      <c r="G975" s="306"/>
      <c r="H975" s="307"/>
    </row>
    <row r="976">
      <c r="A976" s="303"/>
      <c r="B976" s="304"/>
      <c r="C976" s="305"/>
      <c r="D976" s="304"/>
      <c r="E976" s="304"/>
      <c r="F976" s="305"/>
      <c r="G976" s="306"/>
      <c r="H976" s="307"/>
    </row>
    <row r="977">
      <c r="A977" s="303"/>
      <c r="B977" s="304"/>
      <c r="C977" s="305"/>
      <c r="D977" s="304"/>
      <c r="E977" s="304"/>
      <c r="F977" s="305"/>
      <c r="G977" s="306"/>
      <c r="H977" s="307"/>
    </row>
    <row r="978">
      <c r="A978" s="303"/>
      <c r="B978" s="304"/>
      <c r="C978" s="305"/>
      <c r="D978" s="304"/>
      <c r="E978" s="304"/>
      <c r="F978" s="305"/>
      <c r="G978" s="306"/>
      <c r="H978" s="307"/>
    </row>
    <row r="979">
      <c r="A979" s="303"/>
      <c r="B979" s="304"/>
      <c r="C979" s="305"/>
      <c r="D979" s="304"/>
      <c r="E979" s="304"/>
      <c r="F979" s="305"/>
      <c r="G979" s="306"/>
      <c r="H979" s="307"/>
    </row>
    <row r="980">
      <c r="A980" s="303"/>
      <c r="B980" s="304"/>
      <c r="C980" s="305"/>
      <c r="D980" s="304"/>
      <c r="E980" s="304"/>
      <c r="F980" s="305"/>
      <c r="G980" s="306"/>
      <c r="H980" s="307"/>
    </row>
    <row r="981">
      <c r="A981" s="303"/>
      <c r="B981" s="304"/>
      <c r="C981" s="305"/>
      <c r="D981" s="304"/>
      <c r="E981" s="304"/>
      <c r="F981" s="305"/>
      <c r="G981" s="306"/>
      <c r="H981" s="307"/>
    </row>
    <row r="982">
      <c r="A982" s="303"/>
      <c r="B982" s="304"/>
      <c r="C982" s="305"/>
      <c r="D982" s="304"/>
      <c r="E982" s="304"/>
      <c r="F982" s="305"/>
      <c r="G982" s="306"/>
      <c r="H982" s="307"/>
    </row>
    <row r="983">
      <c r="A983" s="303"/>
      <c r="B983" s="304"/>
      <c r="C983" s="305"/>
      <c r="D983" s="304"/>
      <c r="E983" s="304"/>
      <c r="F983" s="305"/>
      <c r="G983" s="306"/>
      <c r="H983" s="307"/>
    </row>
    <row r="984">
      <c r="A984" s="303"/>
      <c r="B984" s="304"/>
      <c r="C984" s="305"/>
      <c r="D984" s="304"/>
      <c r="E984" s="304"/>
      <c r="F984" s="305"/>
      <c r="G984" s="306"/>
      <c r="H984" s="307"/>
    </row>
    <row r="985">
      <c r="A985" s="303"/>
      <c r="B985" s="304"/>
      <c r="C985" s="305"/>
      <c r="D985" s="304"/>
      <c r="E985" s="304"/>
      <c r="F985" s="305"/>
      <c r="G985" s="306"/>
      <c r="H985" s="307"/>
    </row>
    <row r="986">
      <c r="A986" s="303"/>
      <c r="B986" s="304"/>
      <c r="C986" s="305"/>
      <c r="D986" s="304"/>
      <c r="E986" s="304"/>
      <c r="F986" s="305"/>
      <c r="G986" s="306"/>
      <c r="H986" s="307"/>
    </row>
    <row r="987">
      <c r="A987" s="303"/>
      <c r="B987" s="304"/>
      <c r="C987" s="305"/>
      <c r="D987" s="304"/>
      <c r="E987" s="304"/>
      <c r="F987" s="305"/>
      <c r="G987" s="306"/>
      <c r="H987" s="307"/>
    </row>
    <row r="988">
      <c r="A988" s="303"/>
      <c r="B988" s="304"/>
      <c r="C988" s="305"/>
      <c r="D988" s="304"/>
      <c r="E988" s="304"/>
      <c r="F988" s="305"/>
      <c r="G988" s="306"/>
      <c r="H988" s="307"/>
    </row>
    <row r="989">
      <c r="A989" s="303"/>
      <c r="B989" s="304"/>
      <c r="C989" s="305"/>
      <c r="D989" s="304"/>
      <c r="E989" s="304"/>
      <c r="F989" s="305"/>
      <c r="G989" s="306"/>
      <c r="H989" s="307"/>
    </row>
    <row r="990">
      <c r="A990" s="303"/>
      <c r="B990" s="304"/>
      <c r="C990" s="305"/>
      <c r="D990" s="304"/>
      <c r="E990" s="304"/>
      <c r="F990" s="305"/>
      <c r="G990" s="306"/>
      <c r="H990" s="307"/>
    </row>
    <row r="991">
      <c r="A991" s="303"/>
      <c r="B991" s="304"/>
      <c r="C991" s="305"/>
      <c r="D991" s="304"/>
      <c r="E991" s="304"/>
      <c r="F991" s="305"/>
      <c r="G991" s="306"/>
      <c r="H991" s="307"/>
    </row>
    <row r="992">
      <c r="A992" s="303"/>
      <c r="B992" s="304"/>
      <c r="C992" s="305"/>
      <c r="D992" s="304"/>
      <c r="E992" s="304"/>
      <c r="F992" s="305"/>
      <c r="G992" s="306"/>
      <c r="H992" s="307"/>
    </row>
    <row r="993">
      <c r="A993" s="303"/>
      <c r="B993" s="304"/>
      <c r="C993" s="305"/>
      <c r="D993" s="304"/>
      <c r="E993" s="304"/>
      <c r="F993" s="305"/>
      <c r="G993" s="306"/>
      <c r="H993" s="307"/>
    </row>
    <row r="994">
      <c r="A994" s="303"/>
      <c r="B994" s="304"/>
      <c r="C994" s="305"/>
      <c r="D994" s="304"/>
      <c r="E994" s="304"/>
      <c r="F994" s="305"/>
      <c r="G994" s="306"/>
      <c r="H994" s="307"/>
    </row>
  </sheetData>
  <mergeCells count="14">
    <mergeCell ref="A3:A43"/>
    <mergeCell ref="A44:A52"/>
    <mergeCell ref="C44:D44"/>
    <mergeCell ref="A53:A74"/>
    <mergeCell ref="A75:A86"/>
    <mergeCell ref="A87:A114"/>
    <mergeCell ref="A115:A123"/>
    <mergeCell ref="A1:A2"/>
    <mergeCell ref="B1:B2"/>
    <mergeCell ref="C1:C2"/>
    <mergeCell ref="D1:D2"/>
    <mergeCell ref="E1:E2"/>
    <mergeCell ref="F1:F2"/>
    <mergeCell ref="G1:G2"/>
  </mergeCells>
  <hyperlinks>
    <hyperlink r:id="rId1" ref="H2"/>
    <hyperlink r:id="rId2" ref="H89"/>
    <hyperlink r:id="rId3" ref="H99"/>
    <hyperlink r:id="rId4" ref="H114"/>
    <hyperlink r:id="rId5" ref="H115"/>
    <hyperlink r:id="rId6" ref="H116"/>
    <hyperlink r:id="rId7" ref="H117"/>
    <hyperlink r:id="rId8" ref="H118"/>
    <hyperlink r:id="rId9" ref="H119"/>
    <hyperlink r:id="rId10" ref="H120"/>
    <hyperlink r:id="rId11" ref="H121"/>
    <hyperlink r:id="rId12" ref="H122"/>
    <hyperlink r:id="rId13" ref="H123"/>
  </hyperlinks>
  <printOptions gridLines="1" horizontalCentered="1"/>
  <pageMargins bottom="0.2" footer="0.0" header="0.0" left="0.2" right="0.2" top="0.24"/>
  <pageSetup fitToHeight="0" cellComments="atEnd" orientation="portrait" pageOrder="overThenDown"/>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5.67"/>
    <col customWidth="1" min="2" max="2" width="16.78"/>
    <col customWidth="1" min="7" max="7" width="16.78"/>
    <col customWidth="1" min="9" max="9" width="4.56"/>
    <col customWidth="1" min="10" max="10" width="16.78"/>
  </cols>
  <sheetData>
    <row r="1" ht="45.0" customHeight="1">
      <c r="A1" s="308"/>
      <c r="B1" s="2"/>
      <c r="C1" s="309" t="s">
        <v>1611</v>
      </c>
      <c r="D1" s="310"/>
      <c r="E1" s="310"/>
      <c r="F1" s="310"/>
      <c r="G1" s="2"/>
      <c r="H1" s="311"/>
      <c r="I1" s="311"/>
      <c r="J1" s="311"/>
      <c r="K1" s="311"/>
      <c r="L1" s="312"/>
      <c r="M1" s="313"/>
      <c r="N1" s="312"/>
      <c r="O1" s="313"/>
      <c r="P1" s="311"/>
      <c r="Q1" s="311"/>
      <c r="R1" s="311"/>
      <c r="S1" s="311"/>
      <c r="T1" s="311"/>
      <c r="U1" s="311"/>
      <c r="V1" s="311"/>
      <c r="W1" s="311"/>
    </row>
    <row r="2">
      <c r="A2" s="314"/>
      <c r="B2" s="310"/>
      <c r="C2" s="310"/>
      <c r="D2" s="310"/>
      <c r="E2" s="310"/>
      <c r="F2" s="310"/>
      <c r="G2" s="2"/>
      <c r="H2" s="311"/>
      <c r="I2" s="311"/>
      <c r="J2" s="311"/>
      <c r="K2" s="311"/>
      <c r="L2" s="312"/>
      <c r="M2" s="313"/>
      <c r="N2" s="312"/>
      <c r="O2" s="313"/>
      <c r="P2" s="311"/>
      <c r="Q2" s="311"/>
      <c r="R2" s="311"/>
      <c r="S2" s="311"/>
      <c r="T2" s="311"/>
      <c r="U2" s="311"/>
      <c r="V2" s="311"/>
      <c r="W2" s="311"/>
    </row>
    <row r="3">
      <c r="A3" s="314" t="s">
        <v>1612</v>
      </c>
      <c r="B3" s="310"/>
      <c r="C3" s="310"/>
      <c r="D3" s="310"/>
      <c r="E3" s="310"/>
      <c r="F3" s="310"/>
      <c r="G3" s="2"/>
      <c r="H3" s="311"/>
      <c r="I3" s="311"/>
      <c r="J3" s="311"/>
      <c r="K3" s="311"/>
      <c r="L3" s="312"/>
      <c r="M3" s="313"/>
      <c r="N3" s="312"/>
      <c r="O3" s="313"/>
      <c r="P3" s="311"/>
      <c r="Q3" s="311"/>
      <c r="R3" s="311"/>
      <c r="S3" s="311"/>
      <c r="T3" s="311"/>
      <c r="U3" s="311"/>
      <c r="V3" s="311"/>
      <c r="W3" s="311"/>
    </row>
    <row r="4">
      <c r="A4" s="315" t="s">
        <v>1172</v>
      </c>
      <c r="B4" s="315" t="s">
        <v>1173</v>
      </c>
      <c r="C4" s="315" t="s">
        <v>1174</v>
      </c>
      <c r="D4" s="316" t="s">
        <v>40</v>
      </c>
      <c r="E4" s="316" t="s">
        <v>1184</v>
      </c>
      <c r="F4" s="316" t="s">
        <v>1185</v>
      </c>
      <c r="G4" s="317" t="s">
        <v>38</v>
      </c>
      <c r="H4" s="311"/>
      <c r="I4" s="318" t="s">
        <v>1613</v>
      </c>
      <c r="P4" s="311"/>
      <c r="Q4" s="311"/>
      <c r="R4" s="311"/>
      <c r="S4" s="311"/>
      <c r="T4" s="311"/>
      <c r="U4" s="311"/>
      <c r="V4" s="311"/>
      <c r="W4" s="311"/>
    </row>
    <row r="5">
      <c r="A5" s="319">
        <v>1.0</v>
      </c>
      <c r="B5" s="320" t="s">
        <v>1614</v>
      </c>
      <c r="C5" s="319">
        <v>24.0</v>
      </c>
      <c r="D5" s="321">
        <v>15000.0</v>
      </c>
      <c r="E5" s="321">
        <v>0.0</v>
      </c>
      <c r="F5" s="322">
        <f t="shared" ref="F5:F14" si="1">C5*D5+E5</f>
        <v>360000</v>
      </c>
      <c r="G5" s="323" t="s">
        <v>1615</v>
      </c>
      <c r="H5" s="324"/>
      <c r="I5" s="319" t="s">
        <v>1172</v>
      </c>
      <c r="J5" s="319" t="s">
        <v>1173</v>
      </c>
      <c r="K5" s="319" t="s">
        <v>1616</v>
      </c>
      <c r="L5" s="325" t="s">
        <v>1176</v>
      </c>
      <c r="M5" s="326" t="s">
        <v>1617</v>
      </c>
      <c r="N5" s="325" t="s">
        <v>1178</v>
      </c>
      <c r="O5" s="326" t="s">
        <v>1618</v>
      </c>
      <c r="P5" s="324"/>
      <c r="Q5" s="324"/>
      <c r="R5" s="324"/>
      <c r="S5" s="324"/>
      <c r="T5" s="324"/>
      <c r="U5" s="324"/>
      <c r="V5" s="324"/>
      <c r="W5" s="324"/>
    </row>
    <row r="6">
      <c r="A6" s="319">
        <v>2.0</v>
      </c>
      <c r="B6" s="320" t="s">
        <v>1619</v>
      </c>
      <c r="C6" s="319">
        <v>12.0</v>
      </c>
      <c r="D6" s="321">
        <v>10000.0</v>
      </c>
      <c r="E6" s="321">
        <v>0.0</v>
      </c>
      <c r="F6" s="322">
        <f t="shared" si="1"/>
        <v>120000</v>
      </c>
      <c r="G6" s="258"/>
      <c r="H6" s="324"/>
      <c r="I6" s="327">
        <v>1.0</v>
      </c>
      <c r="J6" s="328" t="s">
        <v>93</v>
      </c>
      <c r="K6" s="329">
        <v>190.0</v>
      </c>
      <c r="L6" s="330">
        <v>3455700.0</v>
      </c>
      <c r="M6" s="331" t="s">
        <v>1620</v>
      </c>
      <c r="N6" s="332"/>
      <c r="O6" s="333"/>
      <c r="P6" s="324"/>
      <c r="Q6" s="324"/>
      <c r="R6" s="324"/>
      <c r="S6" s="324"/>
      <c r="T6" s="324"/>
      <c r="U6" s="324"/>
      <c r="V6" s="324"/>
      <c r="W6" s="324"/>
    </row>
    <row r="7">
      <c r="A7" s="319">
        <v>3.0</v>
      </c>
      <c r="B7" s="320" t="s">
        <v>1621</v>
      </c>
      <c r="C7" s="319">
        <v>1.0</v>
      </c>
      <c r="D7" s="321">
        <v>320000.0</v>
      </c>
      <c r="E7" s="321">
        <v>0.0</v>
      </c>
      <c r="F7" s="322">
        <f t="shared" si="1"/>
        <v>320000</v>
      </c>
      <c r="G7" s="258"/>
      <c r="H7" s="324"/>
      <c r="I7" s="334">
        <v>2.0</v>
      </c>
      <c r="J7" s="335" t="s">
        <v>93</v>
      </c>
      <c r="K7" s="336">
        <v>230.0</v>
      </c>
      <c r="L7" s="337">
        <v>3673800.0</v>
      </c>
      <c r="M7" s="192" t="s">
        <v>1622</v>
      </c>
      <c r="N7" s="338"/>
      <c r="O7" s="339"/>
      <c r="P7" s="324"/>
      <c r="Q7" s="324"/>
      <c r="R7" s="324"/>
      <c r="S7" s="324"/>
      <c r="T7" s="324"/>
      <c r="U7" s="324"/>
      <c r="V7" s="324"/>
      <c r="W7" s="324"/>
    </row>
    <row r="8">
      <c r="A8" s="319">
        <v>4.0</v>
      </c>
      <c r="B8" s="320" t="s">
        <v>1623</v>
      </c>
      <c r="C8" s="319">
        <v>2.0</v>
      </c>
      <c r="D8" s="321">
        <v>15000.0</v>
      </c>
      <c r="E8" s="321">
        <v>0.0</v>
      </c>
      <c r="F8" s="322">
        <f t="shared" si="1"/>
        <v>30000</v>
      </c>
      <c r="G8" s="258"/>
      <c r="H8" s="324"/>
      <c r="I8" s="334">
        <v>3.0</v>
      </c>
      <c r="J8" s="335" t="s">
        <v>1624</v>
      </c>
      <c r="K8" s="336">
        <v>222.0</v>
      </c>
      <c r="L8" s="337">
        <v>4090100.0</v>
      </c>
      <c r="M8" s="192" t="s">
        <v>1625</v>
      </c>
      <c r="N8" s="337">
        <v>4015000.0</v>
      </c>
      <c r="O8" s="340" t="s">
        <v>1626</v>
      </c>
      <c r="P8" s="324"/>
      <c r="Q8" s="324"/>
      <c r="R8" s="324"/>
      <c r="S8" s="324"/>
      <c r="T8" s="324"/>
      <c r="U8" s="324"/>
      <c r="V8" s="324"/>
      <c r="W8" s="324"/>
    </row>
    <row r="9">
      <c r="A9" s="319">
        <v>5.0</v>
      </c>
      <c r="B9" s="320" t="s">
        <v>1627</v>
      </c>
      <c r="C9" s="319">
        <v>2.0</v>
      </c>
      <c r="D9" s="321">
        <v>25000.0</v>
      </c>
      <c r="E9" s="321">
        <v>0.0</v>
      </c>
      <c r="F9" s="322">
        <f t="shared" si="1"/>
        <v>50000</v>
      </c>
      <c r="G9" s="258"/>
      <c r="H9" s="324"/>
      <c r="I9" s="334">
        <v>4.0</v>
      </c>
      <c r="J9" s="335" t="s">
        <v>1624</v>
      </c>
      <c r="K9" s="336">
        <v>192.0</v>
      </c>
      <c r="L9" s="337">
        <v>3625000.0</v>
      </c>
      <c r="M9" s="192" t="s">
        <v>1628</v>
      </c>
      <c r="N9" s="337">
        <v>3550000.0</v>
      </c>
      <c r="O9" s="340" t="s">
        <v>1629</v>
      </c>
      <c r="P9" s="324"/>
      <c r="Q9" s="324"/>
      <c r="R9" s="324"/>
      <c r="S9" s="324"/>
      <c r="T9" s="324"/>
      <c r="U9" s="324"/>
      <c r="V9" s="324"/>
      <c r="W9" s="324"/>
    </row>
    <row r="10">
      <c r="A10" s="319">
        <v>6.0</v>
      </c>
      <c r="B10" s="320" t="s">
        <v>1630</v>
      </c>
      <c r="C10" s="319">
        <v>8.0</v>
      </c>
      <c r="D10" s="321">
        <v>20000.0</v>
      </c>
      <c r="E10" s="321">
        <v>0.0</v>
      </c>
      <c r="F10" s="322">
        <f t="shared" si="1"/>
        <v>160000</v>
      </c>
      <c r="G10" s="258"/>
      <c r="H10" s="324"/>
      <c r="I10" s="334">
        <v>5.0</v>
      </c>
      <c r="J10" s="335" t="s">
        <v>548</v>
      </c>
      <c r="K10" s="336">
        <v>180.0</v>
      </c>
      <c r="L10" s="337">
        <v>3424000.0</v>
      </c>
      <c r="M10" s="192" t="s">
        <v>1631</v>
      </c>
      <c r="N10" s="338"/>
      <c r="O10" s="339"/>
      <c r="P10" s="324"/>
      <c r="Q10" s="324"/>
      <c r="R10" s="324"/>
      <c r="S10" s="324"/>
      <c r="T10" s="324"/>
      <c r="U10" s="324"/>
      <c r="V10" s="324"/>
      <c r="W10" s="324"/>
    </row>
    <row r="11">
      <c r="A11" s="319">
        <v>7.0</v>
      </c>
      <c r="B11" s="320" t="s">
        <v>1632</v>
      </c>
      <c r="C11" s="319">
        <v>1.0</v>
      </c>
      <c r="D11" s="321">
        <v>270000.0</v>
      </c>
      <c r="E11" s="321">
        <v>0.0</v>
      </c>
      <c r="F11" s="322">
        <f t="shared" si="1"/>
        <v>270000</v>
      </c>
      <c r="G11" s="258"/>
      <c r="H11" s="324"/>
      <c r="I11" s="334">
        <v>6.0</v>
      </c>
      <c r="J11" s="335" t="s">
        <v>548</v>
      </c>
      <c r="K11" s="336">
        <v>220.0</v>
      </c>
      <c r="L11" s="337">
        <v>3789000.0</v>
      </c>
      <c r="M11" s="192" t="s">
        <v>1633</v>
      </c>
      <c r="N11" s="338"/>
      <c r="O11" s="339"/>
      <c r="P11" s="324"/>
      <c r="Q11" s="324"/>
      <c r="R11" s="324"/>
      <c r="S11" s="324"/>
      <c r="T11" s="324"/>
      <c r="U11" s="324"/>
      <c r="V11" s="324"/>
      <c r="W11" s="324"/>
    </row>
    <row r="12">
      <c r="A12" s="319">
        <v>8.0</v>
      </c>
      <c r="B12" s="320" t="s">
        <v>1634</v>
      </c>
      <c r="C12" s="319">
        <v>170.0</v>
      </c>
      <c r="D12" s="321">
        <v>5000.0</v>
      </c>
      <c r="E12" s="321">
        <v>0.0</v>
      </c>
      <c r="F12" s="322">
        <f t="shared" si="1"/>
        <v>850000</v>
      </c>
      <c r="G12" s="251"/>
      <c r="H12" s="324"/>
      <c r="I12" s="341">
        <v>7.0</v>
      </c>
      <c r="J12" s="342" t="s">
        <v>1635</v>
      </c>
      <c r="K12" s="343">
        <v>240.0</v>
      </c>
      <c r="L12" s="344">
        <v>3320000.0</v>
      </c>
      <c r="M12" s="345" t="s">
        <v>1636</v>
      </c>
      <c r="N12" s="346"/>
      <c r="O12" s="347"/>
      <c r="P12" s="324"/>
      <c r="Q12" s="324"/>
      <c r="R12" s="324"/>
      <c r="S12" s="324"/>
      <c r="T12" s="324"/>
      <c r="U12" s="324"/>
      <c r="V12" s="324"/>
      <c r="W12" s="324"/>
    </row>
    <row r="13">
      <c r="A13" s="319">
        <v>9.0</v>
      </c>
      <c r="B13" s="320" t="s">
        <v>1637</v>
      </c>
      <c r="C13" s="319">
        <v>300.0</v>
      </c>
      <c r="D13" s="321">
        <f>798000/300</f>
        <v>2660</v>
      </c>
      <c r="E13" s="321">
        <v>38000.0</v>
      </c>
      <c r="F13" s="322">
        <f t="shared" si="1"/>
        <v>836000</v>
      </c>
      <c r="G13" s="348" t="s">
        <v>1638</v>
      </c>
      <c r="H13" s="324"/>
      <c r="I13" s="349"/>
      <c r="J13" s="324"/>
      <c r="K13" s="349"/>
      <c r="L13" s="350"/>
      <c r="M13" s="351"/>
      <c r="N13" s="350"/>
      <c r="O13" s="351"/>
      <c r="P13" s="324"/>
      <c r="Q13" s="324"/>
      <c r="R13" s="324"/>
      <c r="S13" s="324"/>
      <c r="T13" s="324"/>
      <c r="U13" s="324"/>
      <c r="V13" s="324"/>
      <c r="W13" s="324"/>
    </row>
    <row r="14">
      <c r="A14" s="319">
        <v>10.0</v>
      </c>
      <c r="B14" s="320" t="s">
        <v>1639</v>
      </c>
      <c r="C14" s="319">
        <v>1.0</v>
      </c>
      <c r="D14" s="321">
        <v>941000.0</v>
      </c>
      <c r="E14" s="321">
        <v>28000.0</v>
      </c>
      <c r="F14" s="322">
        <f t="shared" si="1"/>
        <v>969000</v>
      </c>
      <c r="G14" s="348" t="s">
        <v>1640</v>
      </c>
      <c r="H14" s="324"/>
      <c r="I14" s="349"/>
      <c r="J14" s="324"/>
      <c r="K14" s="349"/>
      <c r="L14" s="350"/>
      <c r="M14" s="351"/>
      <c r="N14" s="350"/>
      <c r="O14" s="351"/>
      <c r="P14" s="324"/>
      <c r="Q14" s="324"/>
      <c r="R14" s="324"/>
      <c r="S14" s="324"/>
      <c r="T14" s="324"/>
      <c r="U14" s="324"/>
      <c r="V14" s="324"/>
      <c r="W14" s="324"/>
    </row>
    <row r="15">
      <c r="A15" s="319">
        <v>11.0</v>
      </c>
      <c r="B15" s="320" t="s">
        <v>1641</v>
      </c>
      <c r="C15" s="319">
        <v>2.0</v>
      </c>
      <c r="D15" s="321">
        <v>150000.0</v>
      </c>
      <c r="E15" s="321">
        <v>0.0</v>
      </c>
      <c r="F15" s="322">
        <f>(C15*D15)+E15</f>
        <v>300000</v>
      </c>
      <c r="G15" s="352"/>
      <c r="H15" s="324"/>
      <c r="I15" s="349"/>
      <c r="J15" s="324"/>
      <c r="K15" s="349"/>
      <c r="L15" s="350"/>
      <c r="M15" s="351"/>
      <c r="N15" s="350"/>
      <c r="O15" s="351"/>
      <c r="P15" s="324"/>
      <c r="Q15" s="324"/>
      <c r="R15" s="324"/>
      <c r="S15" s="324"/>
      <c r="T15" s="324"/>
      <c r="U15" s="324"/>
      <c r="V15" s="324"/>
      <c r="W15" s="324"/>
    </row>
    <row r="16">
      <c r="A16" s="353" t="s">
        <v>1642</v>
      </c>
      <c r="B16" s="310"/>
      <c r="C16" s="310"/>
      <c r="D16" s="310"/>
      <c r="E16" s="2"/>
      <c r="F16" s="354">
        <f>SUM(F5:F15)</f>
        <v>4265000</v>
      </c>
      <c r="G16" s="355"/>
      <c r="H16" s="324"/>
      <c r="I16" s="349"/>
      <c r="J16" s="324"/>
      <c r="K16" s="349"/>
      <c r="L16" s="350"/>
      <c r="M16" s="351"/>
      <c r="N16" s="350"/>
      <c r="O16" s="351"/>
      <c r="P16" s="324"/>
      <c r="Q16" s="324"/>
      <c r="R16" s="324"/>
      <c r="S16" s="324"/>
      <c r="T16" s="324"/>
      <c r="U16" s="324"/>
      <c r="V16" s="324"/>
      <c r="W16" s="324"/>
    </row>
    <row r="17">
      <c r="A17" s="356"/>
      <c r="B17" s="310"/>
      <c r="C17" s="310"/>
      <c r="D17" s="310"/>
      <c r="E17" s="310"/>
      <c r="F17" s="310"/>
      <c r="G17" s="2"/>
      <c r="H17" s="357"/>
      <c r="I17" s="358"/>
      <c r="J17" s="357"/>
      <c r="K17" s="358"/>
      <c r="L17" s="359"/>
      <c r="M17" s="307"/>
      <c r="N17" s="359"/>
      <c r="O17" s="307"/>
      <c r="P17" s="357"/>
      <c r="Q17" s="357"/>
      <c r="R17" s="357"/>
      <c r="S17" s="357"/>
      <c r="T17" s="357"/>
      <c r="U17" s="357"/>
      <c r="V17" s="357"/>
      <c r="W17" s="357"/>
    </row>
    <row r="18">
      <c r="A18" s="360" t="s">
        <v>1643</v>
      </c>
      <c r="B18" s="310"/>
      <c r="C18" s="2"/>
      <c r="D18" s="361" t="s">
        <v>1644</v>
      </c>
      <c r="E18" s="310"/>
      <c r="F18" s="310"/>
      <c r="G18" s="2"/>
      <c r="H18" s="357"/>
      <c r="I18" s="358"/>
      <c r="J18" s="357"/>
      <c r="K18" s="358"/>
      <c r="L18" s="359"/>
      <c r="M18" s="307"/>
      <c r="N18" s="359"/>
      <c r="O18" s="307"/>
      <c r="P18" s="357"/>
      <c r="Q18" s="357"/>
      <c r="R18" s="357"/>
      <c r="S18" s="357"/>
      <c r="T18" s="357"/>
      <c r="U18" s="357"/>
      <c r="V18" s="357"/>
      <c r="W18" s="357"/>
    </row>
    <row r="19">
      <c r="A19" s="362"/>
      <c r="B19" s="363"/>
      <c r="C19" s="364"/>
      <c r="D19" s="365" t="s">
        <v>262</v>
      </c>
      <c r="E19" s="2"/>
      <c r="F19" s="365" t="s">
        <v>439</v>
      </c>
      <c r="G19" s="2"/>
      <c r="H19" s="357"/>
      <c r="I19" s="358"/>
      <c r="J19" s="357"/>
      <c r="K19" s="358"/>
      <c r="L19" s="359"/>
      <c r="M19" s="307"/>
      <c r="N19" s="359"/>
      <c r="O19" s="307"/>
      <c r="P19" s="357"/>
      <c r="Q19" s="357"/>
      <c r="R19" s="357"/>
      <c r="S19" s="357"/>
      <c r="T19" s="357"/>
      <c r="U19" s="357"/>
      <c r="V19" s="357"/>
      <c r="W19" s="357"/>
    </row>
    <row r="20">
      <c r="A20" s="366"/>
      <c r="C20" s="367"/>
      <c r="D20" s="368"/>
      <c r="E20" s="364"/>
      <c r="F20" s="368"/>
      <c r="G20" s="364"/>
      <c r="H20" s="357"/>
      <c r="I20" s="358"/>
      <c r="J20" s="357"/>
      <c r="K20" s="358"/>
      <c r="L20" s="359"/>
      <c r="M20" s="307"/>
      <c r="N20" s="359"/>
      <c r="O20" s="307"/>
      <c r="P20" s="357"/>
      <c r="Q20" s="357"/>
      <c r="R20" s="357"/>
      <c r="S20" s="357"/>
      <c r="T20" s="357"/>
      <c r="U20" s="357"/>
      <c r="V20" s="357"/>
      <c r="W20" s="357"/>
    </row>
    <row r="21">
      <c r="A21" s="366"/>
      <c r="C21" s="367"/>
      <c r="D21" s="366"/>
      <c r="E21" s="367"/>
      <c r="F21" s="366"/>
      <c r="G21" s="367"/>
      <c r="H21" s="357"/>
      <c r="I21" s="358"/>
      <c r="J21" s="357"/>
      <c r="K21" s="358"/>
      <c r="L21" s="359"/>
      <c r="M21" s="307"/>
      <c r="N21" s="359"/>
      <c r="O21" s="307"/>
      <c r="P21" s="357"/>
      <c r="Q21" s="357"/>
      <c r="R21" s="357"/>
      <c r="S21" s="357"/>
      <c r="T21" s="357"/>
      <c r="U21" s="357"/>
      <c r="V21" s="357"/>
      <c r="W21" s="357"/>
    </row>
    <row r="22">
      <c r="A22" s="366"/>
      <c r="C22" s="367"/>
      <c r="D22" s="366"/>
      <c r="E22" s="367"/>
      <c r="F22" s="366"/>
      <c r="G22" s="367"/>
      <c r="H22" s="357"/>
      <c r="I22" s="358"/>
      <c r="J22" s="357"/>
      <c r="K22" s="358"/>
      <c r="L22" s="359"/>
      <c r="M22" s="307"/>
      <c r="N22" s="359"/>
      <c r="O22" s="307"/>
      <c r="P22" s="357"/>
      <c r="Q22" s="357"/>
      <c r="R22" s="357"/>
      <c r="S22" s="357"/>
      <c r="T22" s="357"/>
      <c r="U22" s="357"/>
      <c r="V22" s="357"/>
      <c r="W22" s="357"/>
    </row>
    <row r="23">
      <c r="A23" s="369"/>
      <c r="B23" s="370"/>
      <c r="C23" s="371"/>
      <c r="D23" s="369"/>
      <c r="E23" s="371"/>
      <c r="F23" s="369"/>
      <c r="G23" s="371"/>
      <c r="H23" s="357"/>
      <c r="I23" s="358"/>
      <c r="J23" s="357"/>
      <c r="K23" s="358"/>
      <c r="L23" s="359"/>
      <c r="M23" s="307"/>
      <c r="N23" s="359"/>
      <c r="O23" s="307"/>
      <c r="P23" s="357"/>
      <c r="Q23" s="357"/>
      <c r="R23" s="357"/>
      <c r="S23" s="357"/>
      <c r="T23" s="357"/>
      <c r="U23" s="357"/>
      <c r="V23" s="357"/>
      <c r="W23" s="357"/>
    </row>
    <row r="24">
      <c r="A24" s="372"/>
      <c r="B24" s="357"/>
      <c r="C24" s="358"/>
      <c r="D24" s="373"/>
      <c r="E24" s="373"/>
      <c r="F24" s="373"/>
      <c r="G24" s="374"/>
      <c r="H24" s="357"/>
      <c r="I24" s="358"/>
      <c r="J24" s="357"/>
      <c r="K24" s="358"/>
      <c r="L24" s="359"/>
      <c r="M24" s="307"/>
      <c r="N24" s="359"/>
      <c r="O24" s="307"/>
      <c r="P24" s="357"/>
      <c r="Q24" s="357"/>
      <c r="R24" s="357"/>
      <c r="S24" s="357"/>
      <c r="T24" s="357"/>
      <c r="U24" s="357"/>
      <c r="V24" s="357"/>
      <c r="W24" s="357"/>
    </row>
    <row r="25">
      <c r="A25" s="372"/>
      <c r="B25" s="357"/>
      <c r="C25" s="358"/>
      <c r="D25" s="373"/>
      <c r="E25" s="373"/>
      <c r="F25" s="373"/>
      <c r="G25" s="374"/>
      <c r="H25" s="357"/>
      <c r="I25" s="358"/>
      <c r="J25" s="357"/>
      <c r="K25" s="358"/>
      <c r="L25" s="359"/>
      <c r="M25" s="307"/>
      <c r="N25" s="359"/>
      <c r="O25" s="307"/>
      <c r="P25" s="357"/>
      <c r="Q25" s="357"/>
      <c r="R25" s="357"/>
      <c r="S25" s="357"/>
      <c r="T25" s="357"/>
      <c r="U25" s="357"/>
      <c r="V25" s="357"/>
      <c r="W25" s="357"/>
    </row>
    <row r="26">
      <c r="A26" s="372"/>
      <c r="B26" s="357"/>
      <c r="C26" s="358"/>
      <c r="D26" s="373"/>
      <c r="E26" s="373"/>
      <c r="F26" s="373"/>
      <c r="G26" s="374"/>
      <c r="H26" s="357"/>
      <c r="I26" s="358"/>
      <c r="J26" s="357"/>
      <c r="K26" s="358"/>
      <c r="L26" s="359"/>
      <c r="M26" s="307"/>
      <c r="N26" s="359"/>
      <c r="O26" s="307"/>
      <c r="P26" s="357"/>
      <c r="Q26" s="357"/>
      <c r="R26" s="357"/>
      <c r="S26" s="357"/>
      <c r="T26" s="357"/>
      <c r="U26" s="357"/>
      <c r="V26" s="357"/>
      <c r="W26" s="357"/>
    </row>
    <row r="27">
      <c r="A27" s="372"/>
      <c r="B27" s="357"/>
      <c r="C27" s="358"/>
      <c r="D27" s="373"/>
      <c r="E27" s="373"/>
      <c r="F27" s="373"/>
      <c r="G27" s="374"/>
      <c r="H27" s="357"/>
      <c r="I27" s="358"/>
      <c r="J27" s="357"/>
      <c r="K27" s="358"/>
      <c r="L27" s="359"/>
      <c r="M27" s="307"/>
      <c r="N27" s="359"/>
      <c r="O27" s="307"/>
      <c r="P27" s="357"/>
      <c r="Q27" s="357"/>
      <c r="R27" s="357"/>
      <c r="S27" s="357"/>
      <c r="T27" s="357"/>
      <c r="U27" s="357"/>
      <c r="V27" s="357"/>
      <c r="W27" s="357"/>
    </row>
    <row r="28">
      <c r="A28" s="372"/>
      <c r="B28" s="357"/>
      <c r="C28" s="358"/>
      <c r="D28" s="373"/>
      <c r="E28" s="373"/>
      <c r="F28" s="373"/>
      <c r="G28" s="374"/>
      <c r="H28" s="357"/>
      <c r="I28" s="358"/>
      <c r="J28" s="357"/>
      <c r="K28" s="358"/>
      <c r="L28" s="359"/>
      <c r="M28" s="307"/>
      <c r="N28" s="359"/>
      <c r="O28" s="307"/>
      <c r="P28" s="357"/>
      <c r="Q28" s="357"/>
      <c r="R28" s="357"/>
      <c r="S28" s="357"/>
      <c r="T28" s="357"/>
      <c r="U28" s="357"/>
      <c r="V28" s="357"/>
      <c r="W28" s="357"/>
    </row>
    <row r="29">
      <c r="A29" s="372"/>
      <c r="B29" s="357"/>
      <c r="C29" s="358"/>
      <c r="D29" s="373"/>
      <c r="E29" s="373"/>
      <c r="F29" s="373"/>
      <c r="G29" s="374"/>
      <c r="H29" s="357"/>
      <c r="I29" s="358"/>
      <c r="J29" s="357"/>
      <c r="K29" s="358"/>
      <c r="L29" s="359"/>
      <c r="M29" s="307"/>
      <c r="N29" s="359"/>
      <c r="O29" s="307"/>
      <c r="P29" s="357"/>
      <c r="Q29" s="357"/>
      <c r="R29" s="357"/>
      <c r="S29" s="357"/>
      <c r="T29" s="357"/>
      <c r="U29" s="357"/>
      <c r="V29" s="357"/>
      <c r="W29" s="357"/>
    </row>
    <row r="30">
      <c r="A30" s="372"/>
      <c r="B30" s="357"/>
      <c r="C30" s="358"/>
      <c r="D30" s="373"/>
      <c r="E30" s="373"/>
      <c r="F30" s="373"/>
      <c r="G30" s="374"/>
      <c r="H30" s="357"/>
      <c r="I30" s="358"/>
      <c r="J30" s="357"/>
      <c r="K30" s="358"/>
      <c r="L30" s="359"/>
      <c r="M30" s="307"/>
      <c r="N30" s="359"/>
      <c r="O30" s="307"/>
      <c r="P30" s="357"/>
      <c r="Q30" s="357"/>
      <c r="R30" s="357"/>
      <c r="S30" s="357"/>
      <c r="T30" s="357"/>
      <c r="U30" s="357"/>
      <c r="V30" s="357"/>
      <c r="W30" s="357"/>
    </row>
    <row r="31">
      <c r="A31" s="372"/>
      <c r="B31" s="357"/>
      <c r="C31" s="358"/>
      <c r="D31" s="373"/>
      <c r="E31" s="373"/>
      <c r="F31" s="373"/>
      <c r="G31" s="374"/>
      <c r="H31" s="357"/>
      <c r="I31" s="358"/>
      <c r="J31" s="357"/>
      <c r="K31" s="358"/>
      <c r="L31" s="359"/>
      <c r="M31" s="307"/>
      <c r="N31" s="359"/>
      <c r="O31" s="307"/>
      <c r="P31" s="357"/>
      <c r="Q31" s="357"/>
      <c r="R31" s="357"/>
      <c r="S31" s="357"/>
      <c r="T31" s="357"/>
      <c r="U31" s="357"/>
      <c r="V31" s="357"/>
      <c r="W31" s="357"/>
    </row>
    <row r="32">
      <c r="A32" s="372"/>
      <c r="B32" s="357"/>
      <c r="C32" s="358"/>
      <c r="D32" s="373"/>
      <c r="E32" s="373"/>
      <c r="F32" s="373"/>
      <c r="G32" s="374"/>
      <c r="H32" s="357"/>
      <c r="I32" s="358"/>
      <c r="J32" s="357"/>
      <c r="K32" s="358"/>
      <c r="L32" s="359"/>
      <c r="M32" s="307"/>
      <c r="N32" s="359"/>
      <c r="O32" s="307"/>
      <c r="P32" s="357"/>
      <c r="Q32" s="357"/>
      <c r="R32" s="357"/>
      <c r="S32" s="357"/>
      <c r="T32" s="357"/>
      <c r="U32" s="357"/>
      <c r="V32" s="357"/>
      <c r="W32" s="357"/>
    </row>
    <row r="33">
      <c r="A33" s="372"/>
      <c r="B33" s="357"/>
      <c r="C33" s="358"/>
      <c r="D33" s="373"/>
      <c r="E33" s="373"/>
      <c r="F33" s="373"/>
      <c r="G33" s="374"/>
      <c r="H33" s="357"/>
      <c r="I33" s="358"/>
      <c r="J33" s="357"/>
      <c r="K33" s="358"/>
      <c r="L33" s="359"/>
      <c r="M33" s="307"/>
      <c r="N33" s="359"/>
      <c r="O33" s="307"/>
      <c r="P33" s="357"/>
      <c r="Q33" s="357"/>
      <c r="R33" s="357"/>
      <c r="S33" s="357"/>
      <c r="T33" s="357"/>
      <c r="U33" s="357"/>
      <c r="V33" s="357"/>
      <c r="W33" s="357"/>
    </row>
    <row r="34">
      <c r="A34" s="372"/>
      <c r="B34" s="357"/>
      <c r="C34" s="358"/>
      <c r="D34" s="373"/>
      <c r="E34" s="373"/>
      <c r="F34" s="373"/>
      <c r="G34" s="374"/>
      <c r="H34" s="357"/>
      <c r="I34" s="358"/>
      <c r="J34" s="357"/>
      <c r="K34" s="358"/>
      <c r="L34" s="359"/>
      <c r="M34" s="307"/>
      <c r="N34" s="359"/>
      <c r="O34" s="307"/>
      <c r="P34" s="357"/>
      <c r="Q34" s="357"/>
      <c r="R34" s="357"/>
      <c r="S34" s="357"/>
      <c r="T34" s="357"/>
      <c r="U34" s="357"/>
      <c r="V34" s="357"/>
      <c r="W34" s="357"/>
    </row>
    <row r="35">
      <c r="A35" s="372"/>
      <c r="B35" s="357"/>
      <c r="C35" s="358"/>
      <c r="D35" s="373"/>
      <c r="E35" s="373"/>
      <c r="F35" s="373"/>
      <c r="G35" s="374"/>
      <c r="H35" s="357"/>
      <c r="I35" s="358"/>
      <c r="J35" s="357"/>
      <c r="K35" s="358"/>
      <c r="L35" s="359"/>
      <c r="M35" s="307"/>
      <c r="N35" s="359"/>
      <c r="O35" s="307"/>
      <c r="P35" s="357"/>
      <c r="Q35" s="357"/>
      <c r="R35" s="357"/>
      <c r="S35" s="357"/>
      <c r="T35" s="357"/>
      <c r="U35" s="357"/>
      <c r="V35" s="357"/>
      <c r="W35" s="357"/>
    </row>
    <row r="36">
      <c r="A36" s="372"/>
      <c r="B36" s="357"/>
      <c r="C36" s="358"/>
      <c r="D36" s="373"/>
      <c r="E36" s="373"/>
      <c r="F36" s="373"/>
      <c r="G36" s="374"/>
      <c r="H36" s="357"/>
      <c r="I36" s="358"/>
      <c r="J36" s="357"/>
      <c r="K36" s="358"/>
      <c r="L36" s="359"/>
      <c r="M36" s="307"/>
      <c r="N36" s="359"/>
      <c r="O36" s="307"/>
      <c r="P36" s="357"/>
      <c r="Q36" s="357"/>
      <c r="R36" s="357"/>
      <c r="S36" s="357"/>
      <c r="T36" s="357"/>
      <c r="U36" s="357"/>
      <c r="V36" s="357"/>
      <c r="W36" s="357"/>
    </row>
    <row r="37">
      <c r="A37" s="372"/>
      <c r="B37" s="357"/>
      <c r="C37" s="358"/>
      <c r="D37" s="373"/>
      <c r="E37" s="373"/>
      <c r="F37" s="373"/>
      <c r="G37" s="374"/>
      <c r="H37" s="357"/>
      <c r="I37" s="358"/>
      <c r="J37" s="357"/>
      <c r="K37" s="358"/>
      <c r="L37" s="359"/>
      <c r="M37" s="307"/>
      <c r="N37" s="359"/>
      <c r="O37" s="307"/>
      <c r="P37" s="357"/>
      <c r="Q37" s="357"/>
      <c r="R37" s="357"/>
      <c r="S37" s="357"/>
      <c r="T37" s="357"/>
      <c r="U37" s="357"/>
      <c r="V37" s="357"/>
      <c r="W37" s="357"/>
    </row>
    <row r="38">
      <c r="A38" s="372"/>
      <c r="B38" s="357"/>
      <c r="C38" s="358"/>
      <c r="D38" s="373"/>
      <c r="E38" s="373"/>
      <c r="F38" s="373"/>
      <c r="G38" s="374"/>
      <c r="H38" s="357"/>
      <c r="I38" s="358"/>
      <c r="J38" s="357"/>
      <c r="K38" s="358"/>
      <c r="L38" s="359"/>
      <c r="M38" s="307"/>
      <c r="N38" s="359"/>
      <c r="O38" s="307"/>
      <c r="P38" s="357"/>
      <c r="Q38" s="357"/>
      <c r="R38" s="357"/>
      <c r="S38" s="357"/>
      <c r="T38" s="357"/>
      <c r="U38" s="357"/>
      <c r="V38" s="357"/>
      <c r="W38" s="357"/>
    </row>
    <row r="39">
      <c r="A39" s="358"/>
      <c r="B39" s="357"/>
      <c r="C39" s="358"/>
      <c r="D39" s="373"/>
      <c r="E39" s="373"/>
      <c r="F39" s="373"/>
      <c r="G39" s="374"/>
      <c r="H39" s="357"/>
      <c r="I39" s="358"/>
      <c r="J39" s="357"/>
      <c r="K39" s="358"/>
      <c r="L39" s="359"/>
      <c r="M39" s="307"/>
      <c r="N39" s="359"/>
      <c r="O39" s="307"/>
      <c r="P39" s="357"/>
      <c r="Q39" s="357"/>
      <c r="R39" s="357"/>
      <c r="S39" s="357"/>
      <c r="T39" s="357"/>
      <c r="U39" s="357"/>
      <c r="V39" s="357"/>
      <c r="W39" s="357"/>
    </row>
    <row r="40">
      <c r="A40" s="358"/>
      <c r="B40" s="357"/>
      <c r="C40" s="358"/>
      <c r="D40" s="373"/>
      <c r="E40" s="373"/>
      <c r="F40" s="373"/>
      <c r="G40" s="374"/>
      <c r="H40" s="357"/>
      <c r="I40" s="358"/>
      <c r="J40" s="357"/>
      <c r="K40" s="358"/>
      <c r="L40" s="359"/>
      <c r="M40" s="307"/>
      <c r="N40" s="359"/>
      <c r="O40" s="307"/>
      <c r="P40" s="357"/>
      <c r="Q40" s="357"/>
      <c r="R40" s="357"/>
      <c r="S40" s="357"/>
      <c r="T40" s="357"/>
      <c r="U40" s="357"/>
      <c r="V40" s="357"/>
      <c r="W40" s="357"/>
    </row>
    <row r="41">
      <c r="A41" s="358"/>
      <c r="B41" s="357"/>
      <c r="C41" s="358"/>
      <c r="D41" s="373"/>
      <c r="E41" s="373"/>
      <c r="F41" s="373"/>
      <c r="G41" s="374"/>
      <c r="H41" s="357"/>
      <c r="I41" s="358"/>
      <c r="J41" s="357"/>
      <c r="K41" s="358"/>
      <c r="L41" s="359"/>
      <c r="M41" s="307"/>
      <c r="N41" s="359"/>
      <c r="O41" s="307"/>
      <c r="P41" s="357"/>
      <c r="Q41" s="357"/>
      <c r="R41" s="357"/>
      <c r="S41" s="357"/>
      <c r="T41" s="357"/>
      <c r="U41" s="357"/>
      <c r="V41" s="357"/>
      <c r="W41" s="357"/>
    </row>
    <row r="42">
      <c r="A42" s="358"/>
      <c r="B42" s="357"/>
      <c r="C42" s="358"/>
      <c r="D42" s="373"/>
      <c r="E42" s="373"/>
      <c r="F42" s="373"/>
      <c r="G42" s="374"/>
      <c r="H42" s="357"/>
      <c r="I42" s="358"/>
      <c r="J42" s="357"/>
      <c r="K42" s="358"/>
      <c r="L42" s="359"/>
      <c r="M42" s="307"/>
      <c r="N42" s="359"/>
      <c r="O42" s="307"/>
      <c r="P42" s="357"/>
      <c r="Q42" s="357"/>
      <c r="R42" s="357"/>
      <c r="S42" s="357"/>
      <c r="T42" s="357"/>
      <c r="U42" s="357"/>
      <c r="V42" s="357"/>
      <c r="W42" s="357"/>
    </row>
    <row r="43">
      <c r="A43" s="358"/>
      <c r="B43" s="357"/>
      <c r="C43" s="358"/>
      <c r="D43" s="373"/>
      <c r="E43" s="373"/>
      <c r="F43" s="373"/>
      <c r="G43" s="374"/>
      <c r="H43" s="357"/>
      <c r="I43" s="358"/>
      <c r="J43" s="357"/>
      <c r="K43" s="358"/>
      <c r="L43" s="359"/>
      <c r="M43" s="307"/>
      <c r="N43" s="359"/>
      <c r="O43" s="307"/>
      <c r="P43" s="357"/>
      <c r="Q43" s="357"/>
      <c r="R43" s="357"/>
      <c r="S43" s="357"/>
      <c r="T43" s="357"/>
      <c r="U43" s="357"/>
      <c r="V43" s="357"/>
      <c r="W43" s="357"/>
    </row>
    <row r="44">
      <c r="A44" s="358"/>
      <c r="B44" s="357"/>
      <c r="C44" s="358"/>
      <c r="D44" s="373"/>
      <c r="E44" s="373"/>
      <c r="F44" s="373"/>
      <c r="G44" s="374"/>
      <c r="H44" s="357"/>
      <c r="I44" s="358"/>
      <c r="J44" s="357"/>
      <c r="K44" s="358"/>
      <c r="L44" s="359"/>
      <c r="M44" s="307"/>
      <c r="N44" s="359"/>
      <c r="O44" s="307"/>
      <c r="P44" s="357"/>
      <c r="Q44" s="357"/>
      <c r="R44" s="357"/>
      <c r="S44" s="357"/>
      <c r="T44" s="357"/>
      <c r="U44" s="357"/>
      <c r="V44" s="357"/>
      <c r="W44" s="357"/>
    </row>
    <row r="45">
      <c r="A45" s="358"/>
      <c r="B45" s="357"/>
      <c r="C45" s="358"/>
      <c r="D45" s="373"/>
      <c r="E45" s="373"/>
      <c r="F45" s="373"/>
      <c r="G45" s="374"/>
      <c r="H45" s="357"/>
      <c r="I45" s="358"/>
      <c r="J45" s="357"/>
      <c r="K45" s="358"/>
      <c r="L45" s="359"/>
      <c r="M45" s="307"/>
      <c r="N45" s="359"/>
      <c r="O45" s="307"/>
      <c r="P45" s="357"/>
      <c r="Q45" s="357"/>
      <c r="R45" s="357"/>
      <c r="S45" s="357"/>
      <c r="T45" s="357"/>
      <c r="U45" s="357"/>
      <c r="V45" s="357"/>
      <c r="W45" s="357"/>
    </row>
    <row r="46">
      <c r="A46" s="358"/>
      <c r="B46" s="357"/>
      <c r="C46" s="358"/>
      <c r="D46" s="373"/>
      <c r="E46" s="373"/>
      <c r="F46" s="373"/>
      <c r="G46" s="374"/>
      <c r="H46" s="357"/>
      <c r="I46" s="358"/>
      <c r="J46" s="357"/>
      <c r="K46" s="358"/>
      <c r="L46" s="359"/>
      <c r="M46" s="307"/>
      <c r="N46" s="359"/>
      <c r="O46" s="307"/>
      <c r="P46" s="357"/>
      <c r="Q46" s="357"/>
      <c r="R46" s="357"/>
      <c r="S46" s="357"/>
      <c r="T46" s="357"/>
      <c r="U46" s="357"/>
      <c r="V46" s="357"/>
      <c r="W46" s="357"/>
    </row>
    <row r="47">
      <c r="A47" s="358"/>
      <c r="B47" s="357"/>
      <c r="C47" s="358"/>
      <c r="D47" s="373"/>
      <c r="E47" s="373"/>
      <c r="F47" s="373"/>
      <c r="G47" s="374"/>
      <c r="H47" s="357"/>
      <c r="I47" s="358"/>
      <c r="J47" s="357"/>
      <c r="K47" s="358"/>
      <c r="L47" s="359"/>
      <c r="M47" s="307"/>
      <c r="N47" s="359"/>
      <c r="O47" s="307"/>
      <c r="P47" s="357"/>
      <c r="Q47" s="357"/>
      <c r="R47" s="357"/>
      <c r="S47" s="357"/>
      <c r="T47" s="357"/>
      <c r="U47" s="357"/>
      <c r="V47" s="357"/>
      <c r="W47" s="357"/>
    </row>
    <row r="48">
      <c r="A48" s="358"/>
      <c r="B48" s="357"/>
      <c r="C48" s="358"/>
      <c r="D48" s="373"/>
      <c r="E48" s="373"/>
      <c r="F48" s="373"/>
      <c r="G48" s="374"/>
      <c r="H48" s="357"/>
      <c r="I48" s="358"/>
      <c r="J48" s="357"/>
      <c r="K48" s="358"/>
      <c r="L48" s="359"/>
      <c r="M48" s="307"/>
      <c r="N48" s="359"/>
      <c r="O48" s="307"/>
      <c r="P48" s="357"/>
      <c r="Q48" s="357"/>
      <c r="R48" s="357"/>
      <c r="S48" s="357"/>
      <c r="T48" s="357"/>
      <c r="U48" s="357"/>
      <c r="V48" s="357"/>
      <c r="W48" s="357"/>
    </row>
    <row r="49">
      <c r="A49" s="358"/>
      <c r="B49" s="357"/>
      <c r="C49" s="358"/>
      <c r="D49" s="373"/>
      <c r="E49" s="373"/>
      <c r="F49" s="373"/>
      <c r="G49" s="374"/>
      <c r="H49" s="357"/>
      <c r="I49" s="358"/>
      <c r="J49" s="357"/>
      <c r="K49" s="358"/>
      <c r="L49" s="359"/>
      <c r="M49" s="307"/>
      <c r="N49" s="359"/>
      <c r="O49" s="307"/>
      <c r="P49" s="357"/>
      <c r="Q49" s="357"/>
      <c r="R49" s="357"/>
      <c r="S49" s="357"/>
      <c r="T49" s="357"/>
      <c r="U49" s="357"/>
      <c r="V49" s="357"/>
      <c r="W49" s="357"/>
    </row>
    <row r="50">
      <c r="A50" s="358"/>
      <c r="B50" s="357"/>
      <c r="C50" s="358"/>
      <c r="D50" s="373"/>
      <c r="E50" s="373"/>
      <c r="F50" s="373"/>
      <c r="G50" s="374"/>
      <c r="H50" s="357"/>
      <c r="I50" s="358"/>
      <c r="J50" s="357"/>
      <c r="K50" s="358"/>
      <c r="L50" s="359"/>
      <c r="M50" s="307"/>
      <c r="N50" s="359"/>
      <c r="O50" s="307"/>
      <c r="P50" s="357"/>
      <c r="Q50" s="357"/>
      <c r="R50" s="357"/>
      <c r="S50" s="357"/>
      <c r="T50" s="357"/>
      <c r="U50" s="357"/>
      <c r="V50" s="357"/>
      <c r="W50" s="357"/>
    </row>
    <row r="51">
      <c r="A51" s="358"/>
      <c r="B51" s="357"/>
      <c r="C51" s="358"/>
      <c r="D51" s="373"/>
      <c r="E51" s="373"/>
      <c r="F51" s="373"/>
      <c r="G51" s="374"/>
      <c r="H51" s="357"/>
      <c r="I51" s="358"/>
      <c r="J51" s="357"/>
      <c r="K51" s="358"/>
      <c r="L51" s="359"/>
      <c r="M51" s="307"/>
      <c r="N51" s="359"/>
      <c r="O51" s="307"/>
      <c r="P51" s="357"/>
      <c r="Q51" s="357"/>
      <c r="R51" s="357"/>
      <c r="S51" s="357"/>
      <c r="T51" s="357"/>
      <c r="U51" s="357"/>
      <c r="V51" s="357"/>
      <c r="W51" s="357"/>
    </row>
    <row r="52">
      <c r="A52" s="358"/>
      <c r="B52" s="357"/>
      <c r="C52" s="358"/>
      <c r="D52" s="373"/>
      <c r="E52" s="373"/>
      <c r="F52" s="373"/>
      <c r="G52" s="374"/>
      <c r="H52" s="357"/>
      <c r="I52" s="358"/>
      <c r="J52" s="357"/>
      <c r="K52" s="358"/>
      <c r="L52" s="359"/>
      <c r="M52" s="307"/>
      <c r="N52" s="359"/>
      <c r="O52" s="307"/>
      <c r="P52" s="357"/>
      <c r="Q52" s="357"/>
      <c r="R52" s="357"/>
      <c r="S52" s="357"/>
      <c r="T52" s="357"/>
      <c r="U52" s="357"/>
      <c r="V52" s="357"/>
      <c r="W52" s="357"/>
    </row>
    <row r="53">
      <c r="A53" s="358"/>
      <c r="B53" s="357"/>
      <c r="C53" s="358"/>
      <c r="D53" s="373"/>
      <c r="E53" s="373"/>
      <c r="F53" s="373"/>
      <c r="G53" s="374"/>
      <c r="H53" s="357"/>
      <c r="I53" s="358"/>
      <c r="J53" s="357"/>
      <c r="K53" s="358"/>
      <c r="L53" s="359"/>
      <c r="M53" s="307"/>
      <c r="N53" s="359"/>
      <c r="O53" s="307"/>
      <c r="P53" s="357"/>
      <c r="Q53" s="357"/>
      <c r="R53" s="357"/>
      <c r="S53" s="357"/>
      <c r="T53" s="357"/>
      <c r="U53" s="357"/>
      <c r="V53" s="357"/>
      <c r="W53" s="357"/>
    </row>
    <row r="54">
      <c r="A54" s="358"/>
      <c r="B54" s="357"/>
      <c r="C54" s="358"/>
      <c r="D54" s="373"/>
      <c r="E54" s="373"/>
      <c r="F54" s="373"/>
      <c r="G54" s="374"/>
      <c r="H54" s="357"/>
      <c r="I54" s="358"/>
      <c r="J54" s="357"/>
      <c r="K54" s="358"/>
      <c r="L54" s="359"/>
      <c r="M54" s="307"/>
      <c r="N54" s="359"/>
      <c r="O54" s="307"/>
      <c r="P54" s="357"/>
      <c r="Q54" s="357"/>
      <c r="R54" s="357"/>
      <c r="S54" s="357"/>
      <c r="T54" s="357"/>
      <c r="U54" s="357"/>
      <c r="V54" s="357"/>
      <c r="W54" s="357"/>
    </row>
    <row r="55">
      <c r="A55" s="358"/>
      <c r="B55" s="357"/>
      <c r="C55" s="358"/>
      <c r="D55" s="373"/>
      <c r="E55" s="373"/>
      <c r="F55" s="373"/>
      <c r="G55" s="374"/>
      <c r="H55" s="357"/>
      <c r="I55" s="358"/>
      <c r="J55" s="357"/>
      <c r="K55" s="358"/>
      <c r="L55" s="359"/>
      <c r="M55" s="307"/>
      <c r="N55" s="359"/>
      <c r="O55" s="307"/>
      <c r="P55" s="357"/>
      <c r="Q55" s="357"/>
      <c r="R55" s="357"/>
      <c r="S55" s="357"/>
      <c r="T55" s="357"/>
      <c r="U55" s="357"/>
      <c r="V55" s="357"/>
      <c r="W55" s="357"/>
    </row>
    <row r="56">
      <c r="A56" s="358"/>
      <c r="B56" s="357"/>
      <c r="C56" s="358"/>
      <c r="D56" s="373"/>
      <c r="E56" s="373"/>
      <c r="F56" s="373"/>
      <c r="G56" s="374"/>
      <c r="H56" s="357"/>
      <c r="I56" s="358"/>
      <c r="J56" s="357"/>
      <c r="K56" s="358"/>
      <c r="L56" s="359"/>
      <c r="M56" s="307"/>
      <c r="N56" s="359"/>
      <c r="O56" s="307"/>
      <c r="P56" s="357"/>
      <c r="Q56" s="357"/>
      <c r="R56" s="357"/>
      <c r="S56" s="357"/>
      <c r="T56" s="357"/>
      <c r="U56" s="357"/>
      <c r="V56" s="357"/>
      <c r="W56" s="357"/>
    </row>
    <row r="57">
      <c r="A57" s="358"/>
      <c r="B57" s="357"/>
      <c r="C57" s="358"/>
      <c r="D57" s="373"/>
      <c r="E57" s="373"/>
      <c r="F57" s="373"/>
      <c r="G57" s="374"/>
      <c r="H57" s="357"/>
      <c r="I57" s="358"/>
      <c r="J57" s="357"/>
      <c r="K57" s="358"/>
      <c r="L57" s="359"/>
      <c r="M57" s="307"/>
      <c r="N57" s="359"/>
      <c r="O57" s="307"/>
      <c r="P57" s="357"/>
      <c r="Q57" s="357"/>
      <c r="R57" s="357"/>
      <c r="S57" s="357"/>
      <c r="T57" s="357"/>
      <c r="U57" s="357"/>
      <c r="V57" s="357"/>
      <c r="W57" s="357"/>
    </row>
    <row r="58">
      <c r="A58" s="358"/>
      <c r="B58" s="357"/>
      <c r="C58" s="358"/>
      <c r="D58" s="373"/>
      <c r="E58" s="373"/>
      <c r="F58" s="373"/>
      <c r="G58" s="374"/>
      <c r="H58" s="357"/>
      <c r="I58" s="358"/>
      <c r="J58" s="357"/>
      <c r="K58" s="358"/>
      <c r="L58" s="359"/>
      <c r="M58" s="307"/>
      <c r="N58" s="359"/>
      <c r="O58" s="307"/>
      <c r="P58" s="357"/>
      <c r="Q58" s="357"/>
      <c r="R58" s="357"/>
      <c r="S58" s="357"/>
      <c r="T58" s="357"/>
      <c r="U58" s="357"/>
      <c r="V58" s="357"/>
      <c r="W58" s="357"/>
    </row>
    <row r="59">
      <c r="A59" s="358"/>
      <c r="B59" s="357"/>
      <c r="C59" s="358"/>
      <c r="D59" s="373"/>
      <c r="E59" s="373"/>
      <c r="F59" s="373"/>
      <c r="G59" s="374"/>
      <c r="H59" s="357"/>
      <c r="I59" s="358"/>
      <c r="J59" s="357"/>
      <c r="K59" s="358"/>
      <c r="L59" s="359"/>
      <c r="M59" s="307"/>
      <c r="N59" s="359"/>
      <c r="O59" s="307"/>
      <c r="P59" s="357"/>
      <c r="Q59" s="357"/>
      <c r="R59" s="357"/>
      <c r="S59" s="357"/>
      <c r="T59" s="357"/>
      <c r="U59" s="357"/>
      <c r="V59" s="357"/>
      <c r="W59" s="357"/>
    </row>
    <row r="60">
      <c r="A60" s="358"/>
      <c r="B60" s="357"/>
      <c r="C60" s="358"/>
      <c r="D60" s="373"/>
      <c r="E60" s="373"/>
      <c r="F60" s="373"/>
      <c r="G60" s="374"/>
      <c r="H60" s="357"/>
      <c r="I60" s="358"/>
      <c r="J60" s="357"/>
      <c r="K60" s="358"/>
      <c r="L60" s="359"/>
      <c r="M60" s="307"/>
      <c r="N60" s="359"/>
      <c r="O60" s="307"/>
      <c r="P60" s="357"/>
      <c r="Q60" s="357"/>
      <c r="R60" s="357"/>
      <c r="S60" s="357"/>
      <c r="T60" s="357"/>
      <c r="U60" s="357"/>
      <c r="V60" s="357"/>
      <c r="W60" s="357"/>
    </row>
    <row r="61">
      <c r="A61" s="358"/>
      <c r="B61" s="357"/>
      <c r="C61" s="358"/>
      <c r="D61" s="373"/>
      <c r="E61" s="373"/>
      <c r="F61" s="373"/>
      <c r="G61" s="374"/>
      <c r="H61" s="357"/>
      <c r="I61" s="358"/>
      <c r="J61" s="357"/>
      <c r="K61" s="358"/>
      <c r="L61" s="359"/>
      <c r="M61" s="307"/>
      <c r="N61" s="359"/>
      <c r="O61" s="307"/>
      <c r="P61" s="357"/>
      <c r="Q61" s="357"/>
      <c r="R61" s="357"/>
      <c r="S61" s="357"/>
      <c r="T61" s="357"/>
      <c r="U61" s="357"/>
      <c r="V61" s="357"/>
      <c r="W61" s="357"/>
    </row>
    <row r="62">
      <c r="A62" s="358"/>
      <c r="B62" s="357"/>
      <c r="C62" s="358"/>
      <c r="D62" s="373"/>
      <c r="E62" s="373"/>
      <c r="F62" s="373"/>
      <c r="G62" s="374"/>
      <c r="H62" s="357"/>
      <c r="I62" s="358"/>
      <c r="J62" s="357"/>
      <c r="K62" s="358"/>
      <c r="L62" s="359"/>
      <c r="M62" s="307"/>
      <c r="N62" s="359"/>
      <c r="O62" s="307"/>
      <c r="P62" s="357"/>
      <c r="Q62" s="357"/>
      <c r="R62" s="357"/>
      <c r="S62" s="357"/>
      <c r="T62" s="357"/>
      <c r="U62" s="357"/>
      <c r="V62" s="357"/>
      <c r="W62" s="357"/>
    </row>
    <row r="63">
      <c r="A63" s="358"/>
      <c r="B63" s="357"/>
      <c r="C63" s="358"/>
      <c r="D63" s="373"/>
      <c r="E63" s="373"/>
      <c r="F63" s="373"/>
      <c r="G63" s="374"/>
      <c r="H63" s="357"/>
      <c r="I63" s="358"/>
      <c r="J63" s="357"/>
      <c r="K63" s="358"/>
      <c r="L63" s="359"/>
      <c r="M63" s="307"/>
      <c r="N63" s="359"/>
      <c r="O63" s="307"/>
      <c r="P63" s="357"/>
      <c r="Q63" s="357"/>
      <c r="R63" s="357"/>
      <c r="S63" s="357"/>
      <c r="T63" s="357"/>
      <c r="U63" s="357"/>
      <c r="V63" s="357"/>
      <c r="W63" s="357"/>
    </row>
    <row r="64">
      <c r="A64" s="358"/>
      <c r="B64" s="357"/>
      <c r="C64" s="358"/>
      <c r="D64" s="373"/>
      <c r="E64" s="373"/>
      <c r="F64" s="373"/>
      <c r="G64" s="374"/>
      <c r="H64" s="357"/>
      <c r="I64" s="358"/>
      <c r="J64" s="357"/>
      <c r="K64" s="358"/>
      <c r="L64" s="359"/>
      <c r="M64" s="307"/>
      <c r="N64" s="359"/>
      <c r="O64" s="307"/>
      <c r="P64" s="357"/>
      <c r="Q64" s="357"/>
      <c r="R64" s="357"/>
      <c r="S64" s="357"/>
      <c r="T64" s="357"/>
      <c r="U64" s="357"/>
      <c r="V64" s="357"/>
      <c r="W64" s="357"/>
    </row>
    <row r="65">
      <c r="A65" s="358"/>
      <c r="B65" s="357"/>
      <c r="C65" s="358"/>
      <c r="D65" s="373"/>
      <c r="E65" s="373"/>
      <c r="F65" s="373"/>
      <c r="G65" s="374"/>
      <c r="H65" s="357"/>
      <c r="I65" s="358"/>
      <c r="J65" s="357"/>
      <c r="K65" s="358"/>
      <c r="L65" s="359"/>
      <c r="M65" s="307"/>
      <c r="N65" s="359"/>
      <c r="O65" s="307"/>
      <c r="P65" s="357"/>
      <c r="Q65" s="357"/>
      <c r="R65" s="357"/>
      <c r="S65" s="357"/>
      <c r="T65" s="357"/>
      <c r="U65" s="357"/>
      <c r="V65" s="357"/>
      <c r="W65" s="357"/>
    </row>
    <row r="66">
      <c r="A66" s="358"/>
      <c r="B66" s="357"/>
      <c r="C66" s="358"/>
      <c r="D66" s="373"/>
      <c r="E66" s="373"/>
      <c r="F66" s="373"/>
      <c r="G66" s="374"/>
      <c r="H66" s="357"/>
      <c r="I66" s="358"/>
      <c r="J66" s="357"/>
      <c r="K66" s="358"/>
      <c r="L66" s="359"/>
      <c r="M66" s="307"/>
      <c r="N66" s="359"/>
      <c r="O66" s="307"/>
      <c r="P66" s="357"/>
      <c r="Q66" s="357"/>
      <c r="R66" s="357"/>
      <c r="S66" s="357"/>
      <c r="T66" s="357"/>
      <c r="U66" s="357"/>
      <c r="V66" s="357"/>
      <c r="W66" s="357"/>
    </row>
    <row r="67">
      <c r="A67" s="358"/>
      <c r="B67" s="357"/>
      <c r="C67" s="358"/>
      <c r="D67" s="373"/>
      <c r="E67" s="373"/>
      <c r="F67" s="373"/>
      <c r="G67" s="374"/>
      <c r="H67" s="357"/>
      <c r="I67" s="358"/>
      <c r="J67" s="357"/>
      <c r="K67" s="358"/>
      <c r="L67" s="359"/>
      <c r="M67" s="307"/>
      <c r="N67" s="359"/>
      <c r="O67" s="307"/>
      <c r="P67" s="357"/>
      <c r="Q67" s="357"/>
      <c r="R67" s="357"/>
      <c r="S67" s="357"/>
      <c r="T67" s="357"/>
      <c r="U67" s="357"/>
      <c r="V67" s="357"/>
      <c r="W67" s="357"/>
    </row>
    <row r="68">
      <c r="A68" s="358"/>
      <c r="B68" s="357"/>
      <c r="C68" s="358"/>
      <c r="D68" s="373"/>
      <c r="E68" s="373"/>
      <c r="F68" s="373"/>
      <c r="G68" s="374"/>
      <c r="H68" s="357"/>
      <c r="I68" s="358"/>
      <c r="J68" s="357"/>
      <c r="K68" s="358"/>
      <c r="L68" s="359"/>
      <c r="M68" s="307"/>
      <c r="N68" s="359"/>
      <c r="O68" s="307"/>
      <c r="P68" s="357"/>
      <c r="Q68" s="357"/>
      <c r="R68" s="357"/>
      <c r="S68" s="357"/>
      <c r="T68" s="357"/>
      <c r="U68" s="357"/>
      <c r="V68" s="357"/>
      <c r="W68" s="357"/>
    </row>
    <row r="69">
      <c r="A69" s="358"/>
      <c r="B69" s="357"/>
      <c r="C69" s="358"/>
      <c r="D69" s="373"/>
      <c r="E69" s="373"/>
      <c r="F69" s="373"/>
      <c r="G69" s="374"/>
      <c r="H69" s="357"/>
      <c r="I69" s="358"/>
      <c r="J69" s="357"/>
      <c r="K69" s="358"/>
      <c r="L69" s="359"/>
      <c r="M69" s="307"/>
      <c r="N69" s="359"/>
      <c r="O69" s="307"/>
      <c r="P69" s="357"/>
      <c r="Q69" s="357"/>
      <c r="R69" s="357"/>
      <c r="S69" s="357"/>
      <c r="T69" s="357"/>
      <c r="U69" s="357"/>
      <c r="V69" s="357"/>
      <c r="W69" s="357"/>
    </row>
    <row r="70">
      <c r="A70" s="358"/>
      <c r="B70" s="357"/>
      <c r="C70" s="358"/>
      <c r="D70" s="373"/>
      <c r="E70" s="373"/>
      <c r="F70" s="373"/>
      <c r="G70" s="374"/>
      <c r="H70" s="357"/>
      <c r="I70" s="358"/>
      <c r="J70" s="357"/>
      <c r="K70" s="358"/>
      <c r="L70" s="359"/>
      <c r="M70" s="307"/>
      <c r="N70" s="359"/>
      <c r="O70" s="307"/>
      <c r="P70" s="357"/>
      <c r="Q70" s="357"/>
      <c r="R70" s="357"/>
      <c r="S70" s="357"/>
      <c r="T70" s="357"/>
      <c r="U70" s="357"/>
      <c r="V70" s="357"/>
      <c r="W70" s="357"/>
    </row>
    <row r="71">
      <c r="A71" s="358"/>
      <c r="B71" s="357"/>
      <c r="C71" s="358"/>
      <c r="D71" s="373"/>
      <c r="E71" s="373"/>
      <c r="F71" s="373"/>
      <c r="G71" s="374"/>
      <c r="H71" s="357"/>
      <c r="I71" s="358"/>
      <c r="J71" s="357"/>
      <c r="K71" s="358"/>
      <c r="L71" s="359"/>
      <c r="M71" s="307"/>
      <c r="N71" s="359"/>
      <c r="O71" s="307"/>
      <c r="P71" s="357"/>
      <c r="Q71" s="357"/>
      <c r="R71" s="357"/>
      <c r="S71" s="357"/>
      <c r="T71" s="357"/>
      <c r="U71" s="357"/>
      <c r="V71" s="357"/>
      <c r="W71" s="357"/>
    </row>
    <row r="72">
      <c r="A72" s="358"/>
      <c r="B72" s="357"/>
      <c r="C72" s="358"/>
      <c r="D72" s="373"/>
      <c r="E72" s="373"/>
      <c r="F72" s="373"/>
      <c r="G72" s="374"/>
      <c r="H72" s="357"/>
      <c r="I72" s="358"/>
      <c r="J72" s="357"/>
      <c r="K72" s="358"/>
      <c r="L72" s="359"/>
      <c r="M72" s="307"/>
      <c r="N72" s="359"/>
      <c r="O72" s="307"/>
      <c r="P72" s="357"/>
      <c r="Q72" s="357"/>
      <c r="R72" s="357"/>
      <c r="S72" s="357"/>
      <c r="T72" s="357"/>
      <c r="U72" s="357"/>
      <c r="V72" s="357"/>
      <c r="W72" s="357"/>
    </row>
    <row r="73">
      <c r="A73" s="358"/>
      <c r="B73" s="357"/>
      <c r="C73" s="358"/>
      <c r="D73" s="373"/>
      <c r="E73" s="373"/>
      <c r="F73" s="373"/>
      <c r="G73" s="374"/>
      <c r="H73" s="357"/>
      <c r="I73" s="358"/>
      <c r="J73" s="357"/>
      <c r="K73" s="358"/>
      <c r="L73" s="359"/>
      <c r="M73" s="307"/>
      <c r="N73" s="359"/>
      <c r="O73" s="307"/>
      <c r="P73" s="357"/>
      <c r="Q73" s="357"/>
      <c r="R73" s="357"/>
      <c r="S73" s="357"/>
      <c r="T73" s="357"/>
      <c r="U73" s="357"/>
      <c r="V73" s="357"/>
      <c r="W73" s="357"/>
    </row>
    <row r="74">
      <c r="A74" s="358"/>
      <c r="B74" s="357"/>
      <c r="C74" s="358"/>
      <c r="D74" s="373"/>
      <c r="E74" s="373"/>
      <c r="F74" s="373"/>
      <c r="G74" s="374"/>
      <c r="H74" s="357"/>
      <c r="I74" s="358"/>
      <c r="J74" s="357"/>
      <c r="K74" s="358"/>
      <c r="L74" s="359"/>
      <c r="M74" s="307"/>
      <c r="N74" s="359"/>
      <c r="O74" s="307"/>
      <c r="P74" s="357"/>
      <c r="Q74" s="357"/>
      <c r="R74" s="357"/>
      <c r="S74" s="357"/>
      <c r="T74" s="357"/>
      <c r="U74" s="357"/>
      <c r="V74" s="357"/>
      <c r="W74" s="357"/>
    </row>
    <row r="75">
      <c r="A75" s="358"/>
      <c r="B75" s="357"/>
      <c r="C75" s="358"/>
      <c r="D75" s="373"/>
      <c r="E75" s="373"/>
      <c r="F75" s="373"/>
      <c r="G75" s="374"/>
      <c r="H75" s="357"/>
      <c r="I75" s="358"/>
      <c r="J75" s="357"/>
      <c r="K75" s="358"/>
      <c r="L75" s="359"/>
      <c r="M75" s="307"/>
      <c r="N75" s="359"/>
      <c r="O75" s="307"/>
      <c r="P75" s="357"/>
      <c r="Q75" s="357"/>
      <c r="R75" s="357"/>
      <c r="S75" s="357"/>
      <c r="T75" s="357"/>
      <c r="U75" s="357"/>
      <c r="V75" s="357"/>
      <c r="W75" s="357"/>
    </row>
    <row r="76">
      <c r="A76" s="358"/>
      <c r="B76" s="357"/>
      <c r="C76" s="358"/>
      <c r="D76" s="373"/>
      <c r="E76" s="373"/>
      <c r="F76" s="373"/>
      <c r="G76" s="374"/>
      <c r="H76" s="357"/>
      <c r="I76" s="358"/>
      <c r="J76" s="357"/>
      <c r="K76" s="358"/>
      <c r="L76" s="359"/>
      <c r="M76" s="307"/>
      <c r="N76" s="359"/>
      <c r="O76" s="307"/>
      <c r="P76" s="357"/>
      <c r="Q76" s="357"/>
      <c r="R76" s="357"/>
      <c r="S76" s="357"/>
      <c r="T76" s="357"/>
      <c r="U76" s="357"/>
      <c r="V76" s="357"/>
      <c r="W76" s="357"/>
    </row>
    <row r="77">
      <c r="A77" s="358"/>
      <c r="B77" s="357"/>
      <c r="C77" s="358"/>
      <c r="D77" s="373"/>
      <c r="E77" s="373"/>
      <c r="F77" s="373"/>
      <c r="G77" s="374"/>
      <c r="H77" s="357"/>
      <c r="I77" s="358"/>
      <c r="J77" s="357"/>
      <c r="K77" s="358"/>
      <c r="L77" s="359"/>
      <c r="M77" s="307"/>
      <c r="N77" s="359"/>
      <c r="O77" s="307"/>
      <c r="P77" s="357"/>
      <c r="Q77" s="357"/>
      <c r="R77" s="357"/>
      <c r="S77" s="357"/>
      <c r="T77" s="357"/>
      <c r="U77" s="357"/>
      <c r="V77" s="357"/>
      <c r="W77" s="357"/>
    </row>
    <row r="78">
      <c r="A78" s="358"/>
      <c r="B78" s="357"/>
      <c r="C78" s="358"/>
      <c r="D78" s="373"/>
      <c r="E78" s="373"/>
      <c r="F78" s="373"/>
      <c r="G78" s="374"/>
      <c r="H78" s="357"/>
      <c r="I78" s="358"/>
      <c r="J78" s="357"/>
      <c r="K78" s="358"/>
      <c r="L78" s="359"/>
      <c r="M78" s="307"/>
      <c r="N78" s="359"/>
      <c r="O78" s="307"/>
      <c r="P78" s="357"/>
      <c r="Q78" s="357"/>
      <c r="R78" s="357"/>
      <c r="S78" s="357"/>
      <c r="T78" s="357"/>
      <c r="U78" s="357"/>
      <c r="V78" s="357"/>
      <c r="W78" s="357"/>
    </row>
    <row r="79">
      <c r="A79" s="358"/>
      <c r="B79" s="357"/>
      <c r="C79" s="358"/>
      <c r="D79" s="373"/>
      <c r="E79" s="373"/>
      <c r="F79" s="373"/>
      <c r="G79" s="374"/>
      <c r="H79" s="357"/>
      <c r="I79" s="358"/>
      <c r="J79" s="357"/>
      <c r="K79" s="358"/>
      <c r="L79" s="359"/>
      <c r="M79" s="307"/>
      <c r="N79" s="359"/>
      <c r="O79" s="307"/>
      <c r="P79" s="357"/>
      <c r="Q79" s="357"/>
      <c r="R79" s="357"/>
      <c r="S79" s="357"/>
      <c r="T79" s="357"/>
      <c r="U79" s="357"/>
      <c r="V79" s="357"/>
      <c r="W79" s="357"/>
    </row>
    <row r="80">
      <c r="A80" s="358"/>
      <c r="B80" s="357"/>
      <c r="C80" s="358"/>
      <c r="D80" s="373"/>
      <c r="E80" s="373"/>
      <c r="F80" s="373"/>
      <c r="G80" s="374"/>
      <c r="H80" s="357"/>
      <c r="I80" s="358"/>
      <c r="J80" s="357"/>
      <c r="K80" s="358"/>
      <c r="L80" s="359"/>
      <c r="M80" s="307"/>
      <c r="N80" s="359"/>
      <c r="O80" s="307"/>
      <c r="P80" s="357"/>
      <c r="Q80" s="357"/>
      <c r="R80" s="357"/>
      <c r="S80" s="357"/>
      <c r="T80" s="357"/>
      <c r="U80" s="357"/>
      <c r="V80" s="357"/>
      <c r="W80" s="357"/>
    </row>
    <row r="81">
      <c r="A81" s="358"/>
      <c r="B81" s="357"/>
      <c r="C81" s="358"/>
      <c r="D81" s="373"/>
      <c r="E81" s="373"/>
      <c r="F81" s="373"/>
      <c r="G81" s="374"/>
      <c r="H81" s="357"/>
      <c r="I81" s="358"/>
      <c r="J81" s="357"/>
      <c r="K81" s="358"/>
      <c r="L81" s="359"/>
      <c r="M81" s="307"/>
      <c r="N81" s="359"/>
      <c r="O81" s="307"/>
      <c r="P81" s="357"/>
      <c r="Q81" s="357"/>
      <c r="R81" s="357"/>
      <c r="S81" s="357"/>
      <c r="T81" s="357"/>
      <c r="U81" s="357"/>
      <c r="V81" s="357"/>
      <c r="W81" s="357"/>
    </row>
    <row r="82">
      <c r="A82" s="358"/>
      <c r="B82" s="357"/>
      <c r="C82" s="358"/>
      <c r="D82" s="373"/>
      <c r="E82" s="373"/>
      <c r="F82" s="373"/>
      <c r="G82" s="374"/>
      <c r="H82" s="357"/>
      <c r="I82" s="358"/>
      <c r="J82" s="357"/>
      <c r="K82" s="358"/>
      <c r="L82" s="359"/>
      <c r="M82" s="307"/>
      <c r="N82" s="359"/>
      <c r="O82" s="307"/>
      <c r="P82" s="357"/>
      <c r="Q82" s="357"/>
      <c r="R82" s="357"/>
      <c r="S82" s="357"/>
      <c r="T82" s="357"/>
      <c r="U82" s="357"/>
      <c r="V82" s="357"/>
      <c r="W82" s="357"/>
    </row>
    <row r="83">
      <c r="A83" s="358"/>
      <c r="B83" s="357"/>
      <c r="C83" s="358"/>
      <c r="D83" s="373"/>
      <c r="E83" s="373"/>
      <c r="F83" s="373"/>
      <c r="G83" s="374"/>
      <c r="H83" s="357"/>
      <c r="I83" s="358"/>
      <c r="J83" s="357"/>
      <c r="K83" s="358"/>
      <c r="L83" s="359"/>
      <c r="M83" s="307"/>
      <c r="N83" s="359"/>
      <c r="O83" s="307"/>
      <c r="P83" s="357"/>
      <c r="Q83" s="357"/>
      <c r="R83" s="357"/>
      <c r="S83" s="357"/>
      <c r="T83" s="357"/>
      <c r="U83" s="357"/>
      <c r="V83" s="357"/>
      <c r="W83" s="357"/>
    </row>
    <row r="84">
      <c r="A84" s="358"/>
      <c r="B84" s="357"/>
      <c r="C84" s="358"/>
      <c r="D84" s="373"/>
      <c r="E84" s="373"/>
      <c r="F84" s="373"/>
      <c r="G84" s="374"/>
      <c r="H84" s="357"/>
      <c r="I84" s="358"/>
      <c r="J84" s="357"/>
      <c r="K84" s="358"/>
      <c r="L84" s="359"/>
      <c r="M84" s="307"/>
      <c r="N84" s="359"/>
      <c r="O84" s="307"/>
      <c r="P84" s="357"/>
      <c r="Q84" s="357"/>
      <c r="R84" s="357"/>
      <c r="S84" s="357"/>
      <c r="T84" s="357"/>
      <c r="U84" s="357"/>
      <c r="V84" s="357"/>
      <c r="W84" s="357"/>
    </row>
    <row r="85">
      <c r="A85" s="358"/>
      <c r="B85" s="357"/>
      <c r="C85" s="358"/>
      <c r="D85" s="373"/>
      <c r="E85" s="373"/>
      <c r="F85" s="373"/>
      <c r="G85" s="374"/>
      <c r="H85" s="357"/>
      <c r="I85" s="358"/>
      <c r="J85" s="357"/>
      <c r="K85" s="358"/>
      <c r="L85" s="359"/>
      <c r="M85" s="307"/>
      <c r="N85" s="359"/>
      <c r="O85" s="307"/>
      <c r="P85" s="357"/>
      <c r="Q85" s="357"/>
      <c r="R85" s="357"/>
      <c r="S85" s="357"/>
      <c r="T85" s="357"/>
      <c r="U85" s="357"/>
      <c r="V85" s="357"/>
      <c r="W85" s="357"/>
    </row>
    <row r="86">
      <c r="A86" s="358"/>
      <c r="B86" s="357"/>
      <c r="C86" s="358"/>
      <c r="D86" s="373"/>
      <c r="E86" s="373"/>
      <c r="F86" s="373"/>
      <c r="G86" s="374"/>
      <c r="H86" s="357"/>
      <c r="I86" s="358"/>
      <c r="J86" s="357"/>
      <c r="K86" s="358"/>
      <c r="L86" s="359"/>
      <c r="M86" s="307"/>
      <c r="N86" s="359"/>
      <c r="O86" s="307"/>
      <c r="P86" s="357"/>
      <c r="Q86" s="357"/>
      <c r="R86" s="357"/>
      <c r="S86" s="357"/>
      <c r="T86" s="357"/>
      <c r="U86" s="357"/>
      <c r="V86" s="357"/>
      <c r="W86" s="357"/>
    </row>
    <row r="87">
      <c r="A87" s="358"/>
      <c r="B87" s="357"/>
      <c r="C87" s="358"/>
      <c r="D87" s="373"/>
      <c r="E87" s="373"/>
      <c r="F87" s="373"/>
      <c r="G87" s="374"/>
      <c r="H87" s="357"/>
      <c r="I87" s="358"/>
      <c r="J87" s="357"/>
      <c r="K87" s="358"/>
      <c r="L87" s="359"/>
      <c r="M87" s="307"/>
      <c r="N87" s="359"/>
      <c r="O87" s="307"/>
      <c r="P87" s="357"/>
      <c r="Q87" s="357"/>
      <c r="R87" s="357"/>
      <c r="S87" s="357"/>
      <c r="T87" s="357"/>
      <c r="U87" s="357"/>
      <c r="V87" s="357"/>
      <c r="W87" s="357"/>
    </row>
    <row r="88">
      <c r="A88" s="358"/>
      <c r="B88" s="357"/>
      <c r="C88" s="358"/>
      <c r="D88" s="373"/>
      <c r="E88" s="373"/>
      <c r="F88" s="373"/>
      <c r="G88" s="374"/>
      <c r="H88" s="357"/>
      <c r="I88" s="358"/>
      <c r="J88" s="357"/>
      <c r="K88" s="358"/>
      <c r="L88" s="359"/>
      <c r="M88" s="307"/>
      <c r="N88" s="359"/>
      <c r="O88" s="307"/>
      <c r="P88" s="357"/>
      <c r="Q88" s="357"/>
      <c r="R88" s="357"/>
      <c r="S88" s="357"/>
      <c r="T88" s="357"/>
      <c r="U88" s="357"/>
      <c r="V88" s="357"/>
      <c r="W88" s="357"/>
    </row>
    <row r="89">
      <c r="A89" s="358"/>
      <c r="B89" s="357"/>
      <c r="C89" s="358"/>
      <c r="D89" s="373"/>
      <c r="E89" s="373"/>
      <c r="F89" s="373"/>
      <c r="G89" s="374"/>
      <c r="H89" s="357"/>
      <c r="I89" s="358"/>
      <c r="J89" s="357"/>
      <c r="K89" s="358"/>
      <c r="L89" s="359"/>
      <c r="M89" s="307"/>
      <c r="N89" s="359"/>
      <c r="O89" s="307"/>
      <c r="P89" s="357"/>
      <c r="Q89" s="357"/>
      <c r="R89" s="357"/>
      <c r="S89" s="357"/>
      <c r="T89" s="357"/>
      <c r="U89" s="357"/>
      <c r="V89" s="357"/>
      <c r="W89" s="357"/>
    </row>
    <row r="90">
      <c r="A90" s="358"/>
      <c r="B90" s="357"/>
      <c r="C90" s="358"/>
      <c r="D90" s="373"/>
      <c r="E90" s="373"/>
      <c r="F90" s="373"/>
      <c r="G90" s="374"/>
      <c r="H90" s="357"/>
      <c r="I90" s="358"/>
      <c r="J90" s="357"/>
      <c r="K90" s="358"/>
      <c r="L90" s="359"/>
      <c r="M90" s="307"/>
      <c r="N90" s="359"/>
      <c r="O90" s="307"/>
      <c r="P90" s="357"/>
      <c r="Q90" s="357"/>
      <c r="R90" s="357"/>
      <c r="S90" s="357"/>
      <c r="T90" s="357"/>
      <c r="U90" s="357"/>
      <c r="V90" s="357"/>
      <c r="W90" s="357"/>
    </row>
    <row r="91">
      <c r="A91" s="358"/>
      <c r="B91" s="357"/>
      <c r="C91" s="358"/>
      <c r="D91" s="373"/>
      <c r="E91" s="373"/>
      <c r="F91" s="373"/>
      <c r="G91" s="374"/>
      <c r="H91" s="357"/>
      <c r="I91" s="358"/>
      <c r="J91" s="357"/>
      <c r="K91" s="358"/>
      <c r="L91" s="359"/>
      <c r="M91" s="307"/>
      <c r="N91" s="359"/>
      <c r="O91" s="307"/>
      <c r="P91" s="357"/>
      <c r="Q91" s="357"/>
      <c r="R91" s="357"/>
      <c r="S91" s="357"/>
      <c r="T91" s="357"/>
      <c r="U91" s="357"/>
      <c r="V91" s="357"/>
      <c r="W91" s="357"/>
    </row>
    <row r="92">
      <c r="A92" s="358"/>
      <c r="B92" s="357"/>
      <c r="C92" s="358"/>
      <c r="D92" s="373"/>
      <c r="E92" s="373"/>
      <c r="F92" s="373"/>
      <c r="G92" s="374"/>
      <c r="H92" s="357"/>
      <c r="I92" s="358"/>
      <c r="J92" s="357"/>
      <c r="K92" s="358"/>
      <c r="L92" s="359"/>
      <c r="M92" s="307"/>
      <c r="N92" s="359"/>
      <c r="O92" s="307"/>
      <c r="P92" s="357"/>
      <c r="Q92" s="357"/>
      <c r="R92" s="357"/>
      <c r="S92" s="357"/>
      <c r="T92" s="357"/>
      <c r="U92" s="357"/>
      <c r="V92" s="357"/>
      <c r="W92" s="357"/>
    </row>
    <row r="93">
      <c r="A93" s="358"/>
      <c r="B93" s="357"/>
      <c r="C93" s="358"/>
      <c r="D93" s="373"/>
      <c r="E93" s="373"/>
      <c r="F93" s="373"/>
      <c r="G93" s="374"/>
      <c r="H93" s="357"/>
      <c r="I93" s="358"/>
      <c r="J93" s="357"/>
      <c r="K93" s="358"/>
      <c r="L93" s="359"/>
      <c r="M93" s="307"/>
      <c r="N93" s="359"/>
      <c r="O93" s="307"/>
      <c r="P93" s="357"/>
      <c r="Q93" s="357"/>
      <c r="R93" s="357"/>
      <c r="S93" s="357"/>
      <c r="T93" s="357"/>
      <c r="U93" s="357"/>
      <c r="V93" s="357"/>
      <c r="W93" s="357"/>
    </row>
    <row r="94">
      <c r="A94" s="358"/>
      <c r="B94" s="357"/>
      <c r="C94" s="358"/>
      <c r="D94" s="373"/>
      <c r="E94" s="373"/>
      <c r="F94" s="373"/>
      <c r="G94" s="374"/>
      <c r="H94" s="357"/>
      <c r="I94" s="358"/>
      <c r="J94" s="357"/>
      <c r="K94" s="358"/>
      <c r="L94" s="359"/>
      <c r="M94" s="307"/>
      <c r="N94" s="359"/>
      <c r="O94" s="307"/>
      <c r="P94" s="357"/>
      <c r="Q94" s="357"/>
      <c r="R94" s="357"/>
      <c r="S94" s="357"/>
      <c r="T94" s="357"/>
      <c r="U94" s="357"/>
      <c r="V94" s="357"/>
      <c r="W94" s="357"/>
    </row>
    <row r="95">
      <c r="A95" s="358"/>
      <c r="B95" s="357"/>
      <c r="C95" s="358"/>
      <c r="D95" s="373"/>
      <c r="E95" s="373"/>
      <c r="F95" s="373"/>
      <c r="G95" s="374"/>
      <c r="H95" s="357"/>
      <c r="I95" s="358"/>
      <c r="J95" s="357"/>
      <c r="K95" s="358"/>
      <c r="L95" s="359"/>
      <c r="M95" s="307"/>
      <c r="N95" s="359"/>
      <c r="O95" s="307"/>
      <c r="P95" s="357"/>
      <c r="Q95" s="357"/>
      <c r="R95" s="357"/>
      <c r="S95" s="357"/>
      <c r="T95" s="357"/>
      <c r="U95" s="357"/>
      <c r="V95" s="357"/>
      <c r="W95" s="357"/>
    </row>
    <row r="96">
      <c r="A96" s="358"/>
      <c r="B96" s="357"/>
      <c r="C96" s="358"/>
      <c r="D96" s="373"/>
      <c r="E96" s="373"/>
      <c r="F96" s="373"/>
      <c r="G96" s="374"/>
      <c r="H96" s="357"/>
      <c r="I96" s="358"/>
      <c r="J96" s="357"/>
      <c r="K96" s="358"/>
      <c r="L96" s="359"/>
      <c r="M96" s="307"/>
      <c r="N96" s="359"/>
      <c r="O96" s="307"/>
      <c r="P96" s="357"/>
      <c r="Q96" s="357"/>
      <c r="R96" s="357"/>
      <c r="S96" s="357"/>
      <c r="T96" s="357"/>
      <c r="U96" s="357"/>
      <c r="V96" s="357"/>
      <c r="W96" s="357"/>
    </row>
    <row r="97">
      <c r="A97" s="358"/>
      <c r="B97" s="357"/>
      <c r="C97" s="358"/>
      <c r="D97" s="373"/>
      <c r="E97" s="373"/>
      <c r="F97" s="373"/>
      <c r="G97" s="374"/>
      <c r="H97" s="357"/>
      <c r="I97" s="358"/>
      <c r="J97" s="357"/>
      <c r="K97" s="358"/>
      <c r="L97" s="359"/>
      <c r="M97" s="307"/>
      <c r="N97" s="359"/>
      <c r="O97" s="307"/>
      <c r="P97" s="357"/>
      <c r="Q97" s="357"/>
      <c r="R97" s="357"/>
      <c r="S97" s="357"/>
      <c r="T97" s="357"/>
      <c r="U97" s="357"/>
      <c r="V97" s="357"/>
      <c r="W97" s="357"/>
    </row>
    <row r="98">
      <c r="A98" s="358"/>
      <c r="B98" s="357"/>
      <c r="C98" s="358"/>
      <c r="D98" s="373"/>
      <c r="E98" s="373"/>
      <c r="F98" s="373"/>
      <c r="G98" s="374"/>
      <c r="H98" s="357"/>
      <c r="I98" s="358"/>
      <c r="J98" s="357"/>
      <c r="K98" s="358"/>
      <c r="L98" s="359"/>
      <c r="M98" s="307"/>
      <c r="N98" s="359"/>
      <c r="O98" s="307"/>
      <c r="P98" s="357"/>
      <c r="Q98" s="357"/>
      <c r="R98" s="357"/>
      <c r="S98" s="357"/>
      <c r="T98" s="357"/>
      <c r="U98" s="357"/>
      <c r="V98" s="357"/>
      <c r="W98" s="357"/>
    </row>
    <row r="99">
      <c r="A99" s="358"/>
      <c r="B99" s="357"/>
      <c r="C99" s="358"/>
      <c r="D99" s="373"/>
      <c r="E99" s="373"/>
      <c r="F99" s="373"/>
      <c r="G99" s="374"/>
      <c r="H99" s="357"/>
      <c r="I99" s="358"/>
      <c r="J99" s="357"/>
      <c r="K99" s="358"/>
      <c r="L99" s="359"/>
      <c r="M99" s="307"/>
      <c r="N99" s="359"/>
      <c r="O99" s="307"/>
      <c r="P99" s="357"/>
      <c r="Q99" s="357"/>
      <c r="R99" s="357"/>
      <c r="S99" s="357"/>
      <c r="T99" s="357"/>
      <c r="U99" s="357"/>
      <c r="V99" s="357"/>
      <c r="W99" s="357"/>
    </row>
    <row r="100">
      <c r="A100" s="358"/>
      <c r="B100" s="357"/>
      <c r="C100" s="358"/>
      <c r="D100" s="373"/>
      <c r="E100" s="373"/>
      <c r="F100" s="373"/>
      <c r="G100" s="374"/>
      <c r="H100" s="357"/>
      <c r="I100" s="358"/>
      <c r="J100" s="357"/>
      <c r="K100" s="358"/>
      <c r="L100" s="359"/>
      <c r="M100" s="307"/>
      <c r="N100" s="359"/>
      <c r="O100" s="307"/>
      <c r="P100" s="357"/>
      <c r="Q100" s="357"/>
      <c r="R100" s="357"/>
      <c r="S100" s="357"/>
      <c r="T100" s="357"/>
      <c r="U100" s="357"/>
      <c r="V100" s="357"/>
      <c r="W100" s="357"/>
    </row>
    <row r="101">
      <c r="A101" s="358"/>
      <c r="B101" s="357"/>
      <c r="C101" s="358"/>
      <c r="D101" s="373"/>
      <c r="E101" s="373"/>
      <c r="F101" s="373"/>
      <c r="G101" s="374"/>
      <c r="H101" s="357"/>
      <c r="I101" s="358"/>
      <c r="J101" s="357"/>
      <c r="K101" s="358"/>
      <c r="L101" s="359"/>
      <c r="M101" s="307"/>
      <c r="N101" s="359"/>
      <c r="O101" s="307"/>
      <c r="P101" s="357"/>
      <c r="Q101" s="357"/>
      <c r="R101" s="357"/>
      <c r="S101" s="357"/>
      <c r="T101" s="357"/>
      <c r="U101" s="357"/>
      <c r="V101" s="357"/>
      <c r="W101" s="357"/>
    </row>
    <row r="102">
      <c r="A102" s="358"/>
      <c r="B102" s="357"/>
      <c r="C102" s="358"/>
      <c r="D102" s="373"/>
      <c r="E102" s="373"/>
      <c r="F102" s="373"/>
      <c r="G102" s="374"/>
      <c r="H102" s="357"/>
      <c r="I102" s="358"/>
      <c r="J102" s="357"/>
      <c r="K102" s="358"/>
      <c r="L102" s="359"/>
      <c r="M102" s="307"/>
      <c r="N102" s="359"/>
      <c r="O102" s="307"/>
      <c r="P102" s="357"/>
      <c r="Q102" s="357"/>
      <c r="R102" s="357"/>
      <c r="S102" s="357"/>
      <c r="T102" s="357"/>
      <c r="U102" s="357"/>
      <c r="V102" s="357"/>
      <c r="W102" s="357"/>
    </row>
    <row r="103">
      <c r="A103" s="358"/>
      <c r="B103" s="357"/>
      <c r="C103" s="358"/>
      <c r="D103" s="373"/>
      <c r="E103" s="373"/>
      <c r="F103" s="373"/>
      <c r="G103" s="374"/>
      <c r="H103" s="357"/>
      <c r="I103" s="358"/>
      <c r="J103" s="357"/>
      <c r="K103" s="358"/>
      <c r="L103" s="359"/>
      <c r="M103" s="307"/>
      <c r="N103" s="359"/>
      <c r="O103" s="307"/>
      <c r="P103" s="357"/>
      <c r="Q103" s="357"/>
      <c r="R103" s="357"/>
      <c r="S103" s="357"/>
      <c r="T103" s="357"/>
      <c r="U103" s="357"/>
      <c r="V103" s="357"/>
      <c r="W103" s="357"/>
    </row>
    <row r="104">
      <c r="A104" s="358"/>
      <c r="B104" s="357"/>
      <c r="C104" s="358"/>
      <c r="D104" s="373"/>
      <c r="E104" s="373"/>
      <c r="F104" s="373"/>
      <c r="G104" s="374"/>
      <c r="H104" s="357"/>
      <c r="I104" s="358"/>
      <c r="J104" s="357"/>
      <c r="K104" s="358"/>
      <c r="L104" s="359"/>
      <c r="M104" s="307"/>
      <c r="N104" s="359"/>
      <c r="O104" s="307"/>
      <c r="P104" s="357"/>
      <c r="Q104" s="357"/>
      <c r="R104" s="357"/>
      <c r="S104" s="357"/>
      <c r="T104" s="357"/>
      <c r="U104" s="357"/>
      <c r="V104" s="357"/>
      <c r="W104" s="357"/>
    </row>
    <row r="105">
      <c r="A105" s="358"/>
      <c r="B105" s="357"/>
      <c r="C105" s="358"/>
      <c r="D105" s="373"/>
      <c r="E105" s="373"/>
      <c r="F105" s="373"/>
      <c r="G105" s="374"/>
      <c r="H105" s="357"/>
      <c r="I105" s="358"/>
      <c r="J105" s="357"/>
      <c r="K105" s="358"/>
      <c r="L105" s="359"/>
      <c r="M105" s="307"/>
      <c r="N105" s="359"/>
      <c r="O105" s="307"/>
      <c r="P105" s="357"/>
      <c r="Q105" s="357"/>
      <c r="R105" s="357"/>
      <c r="S105" s="357"/>
      <c r="T105" s="357"/>
      <c r="U105" s="357"/>
      <c r="V105" s="357"/>
      <c r="W105" s="357"/>
    </row>
    <row r="106">
      <c r="A106" s="358"/>
      <c r="B106" s="357"/>
      <c r="C106" s="358"/>
      <c r="D106" s="373"/>
      <c r="E106" s="373"/>
      <c r="F106" s="373"/>
      <c r="G106" s="374"/>
      <c r="H106" s="357"/>
      <c r="I106" s="358"/>
      <c r="J106" s="357"/>
      <c r="K106" s="358"/>
      <c r="L106" s="359"/>
      <c r="M106" s="307"/>
      <c r="N106" s="359"/>
      <c r="O106" s="307"/>
      <c r="P106" s="357"/>
      <c r="Q106" s="357"/>
      <c r="R106" s="357"/>
      <c r="S106" s="357"/>
      <c r="T106" s="357"/>
      <c r="U106" s="357"/>
      <c r="V106" s="357"/>
      <c r="W106" s="357"/>
    </row>
    <row r="107">
      <c r="A107" s="358"/>
      <c r="B107" s="357"/>
      <c r="C107" s="358"/>
      <c r="D107" s="373"/>
      <c r="E107" s="373"/>
      <c r="F107" s="373"/>
      <c r="G107" s="374"/>
      <c r="H107" s="357"/>
      <c r="I107" s="358"/>
      <c r="J107" s="357"/>
      <c r="K107" s="358"/>
      <c r="L107" s="359"/>
      <c r="M107" s="307"/>
      <c r="N107" s="359"/>
      <c r="O107" s="307"/>
      <c r="P107" s="357"/>
      <c r="Q107" s="357"/>
      <c r="R107" s="357"/>
      <c r="S107" s="357"/>
      <c r="T107" s="357"/>
      <c r="U107" s="357"/>
      <c r="V107" s="357"/>
      <c r="W107" s="357"/>
    </row>
    <row r="108">
      <c r="A108" s="358"/>
      <c r="B108" s="357"/>
      <c r="C108" s="358"/>
      <c r="D108" s="373"/>
      <c r="E108" s="373"/>
      <c r="F108" s="373"/>
      <c r="G108" s="374"/>
      <c r="H108" s="357"/>
      <c r="I108" s="358"/>
      <c r="J108" s="357"/>
      <c r="K108" s="358"/>
      <c r="L108" s="359"/>
      <c r="M108" s="307"/>
      <c r="N108" s="359"/>
      <c r="O108" s="307"/>
      <c r="P108" s="357"/>
      <c r="Q108" s="357"/>
      <c r="R108" s="357"/>
      <c r="S108" s="357"/>
      <c r="T108" s="357"/>
      <c r="U108" s="357"/>
      <c r="V108" s="357"/>
      <c r="W108" s="357"/>
    </row>
    <row r="109">
      <c r="A109" s="358"/>
      <c r="B109" s="357"/>
      <c r="C109" s="358"/>
      <c r="D109" s="373"/>
      <c r="E109" s="373"/>
      <c r="F109" s="373"/>
      <c r="G109" s="374"/>
      <c r="H109" s="357"/>
      <c r="I109" s="358"/>
      <c r="J109" s="357"/>
      <c r="K109" s="358"/>
      <c r="L109" s="359"/>
      <c r="M109" s="307"/>
      <c r="N109" s="359"/>
      <c r="O109" s="307"/>
      <c r="P109" s="357"/>
      <c r="Q109" s="357"/>
      <c r="R109" s="357"/>
      <c r="S109" s="357"/>
      <c r="T109" s="357"/>
      <c r="U109" s="357"/>
      <c r="V109" s="357"/>
      <c r="W109" s="357"/>
    </row>
    <row r="110">
      <c r="A110" s="358"/>
      <c r="B110" s="357"/>
      <c r="C110" s="358"/>
      <c r="D110" s="373"/>
      <c r="E110" s="373"/>
      <c r="F110" s="373"/>
      <c r="G110" s="374"/>
      <c r="H110" s="357"/>
      <c r="I110" s="358"/>
      <c r="J110" s="357"/>
      <c r="K110" s="358"/>
      <c r="L110" s="359"/>
      <c r="M110" s="307"/>
      <c r="N110" s="359"/>
      <c r="O110" s="307"/>
      <c r="P110" s="357"/>
      <c r="Q110" s="357"/>
      <c r="R110" s="357"/>
      <c r="S110" s="357"/>
      <c r="T110" s="357"/>
      <c r="U110" s="357"/>
      <c r="V110" s="357"/>
      <c r="W110" s="357"/>
    </row>
    <row r="111">
      <c r="A111" s="358"/>
      <c r="B111" s="357"/>
      <c r="C111" s="358"/>
      <c r="D111" s="373"/>
      <c r="E111" s="373"/>
      <c r="F111" s="373"/>
      <c r="G111" s="374"/>
      <c r="H111" s="357"/>
      <c r="I111" s="358"/>
      <c r="J111" s="357"/>
      <c r="K111" s="358"/>
      <c r="L111" s="359"/>
      <c r="M111" s="307"/>
      <c r="N111" s="359"/>
      <c r="O111" s="307"/>
      <c r="P111" s="357"/>
      <c r="Q111" s="357"/>
      <c r="R111" s="357"/>
      <c r="S111" s="357"/>
      <c r="T111" s="357"/>
      <c r="U111" s="357"/>
      <c r="V111" s="357"/>
      <c r="W111" s="357"/>
    </row>
    <row r="112">
      <c r="A112" s="358"/>
      <c r="B112" s="357"/>
      <c r="C112" s="358"/>
      <c r="D112" s="373"/>
      <c r="E112" s="373"/>
      <c r="F112" s="373"/>
      <c r="G112" s="374"/>
      <c r="H112" s="357"/>
      <c r="I112" s="358"/>
      <c r="J112" s="357"/>
      <c r="K112" s="358"/>
      <c r="L112" s="359"/>
      <c r="M112" s="307"/>
      <c r="N112" s="359"/>
      <c r="O112" s="307"/>
      <c r="P112" s="357"/>
      <c r="Q112" s="357"/>
      <c r="R112" s="357"/>
      <c r="S112" s="357"/>
      <c r="T112" s="357"/>
      <c r="U112" s="357"/>
      <c r="V112" s="357"/>
      <c r="W112" s="357"/>
    </row>
    <row r="113">
      <c r="A113" s="358"/>
      <c r="B113" s="357"/>
      <c r="C113" s="358"/>
      <c r="D113" s="373"/>
      <c r="E113" s="373"/>
      <c r="F113" s="373"/>
      <c r="G113" s="374"/>
      <c r="H113" s="357"/>
      <c r="I113" s="358"/>
      <c r="J113" s="357"/>
      <c r="K113" s="358"/>
      <c r="L113" s="359"/>
      <c r="M113" s="307"/>
      <c r="N113" s="359"/>
      <c r="O113" s="307"/>
      <c r="P113" s="357"/>
      <c r="Q113" s="357"/>
      <c r="R113" s="357"/>
      <c r="S113" s="357"/>
      <c r="T113" s="357"/>
      <c r="U113" s="357"/>
      <c r="V113" s="357"/>
      <c r="W113" s="357"/>
    </row>
    <row r="114">
      <c r="A114" s="358"/>
      <c r="B114" s="357"/>
      <c r="C114" s="358"/>
      <c r="D114" s="373"/>
      <c r="E114" s="373"/>
      <c r="F114" s="373"/>
      <c r="G114" s="374"/>
      <c r="H114" s="357"/>
      <c r="I114" s="358"/>
      <c r="J114" s="357"/>
      <c r="K114" s="358"/>
      <c r="L114" s="359"/>
      <c r="M114" s="307"/>
      <c r="N114" s="359"/>
      <c r="O114" s="307"/>
      <c r="P114" s="357"/>
      <c r="Q114" s="357"/>
      <c r="R114" s="357"/>
      <c r="S114" s="357"/>
      <c r="T114" s="357"/>
      <c r="U114" s="357"/>
      <c r="V114" s="357"/>
      <c r="W114" s="357"/>
    </row>
    <row r="115">
      <c r="A115" s="358"/>
      <c r="B115" s="357"/>
      <c r="C115" s="358"/>
      <c r="D115" s="373"/>
      <c r="E115" s="373"/>
      <c r="F115" s="373"/>
      <c r="G115" s="374"/>
      <c r="H115" s="357"/>
      <c r="I115" s="358"/>
      <c r="J115" s="357"/>
      <c r="K115" s="358"/>
      <c r="L115" s="359"/>
      <c r="M115" s="307"/>
      <c r="N115" s="359"/>
      <c r="O115" s="307"/>
      <c r="P115" s="357"/>
      <c r="Q115" s="357"/>
      <c r="R115" s="357"/>
      <c r="S115" s="357"/>
      <c r="T115" s="357"/>
      <c r="U115" s="357"/>
      <c r="V115" s="357"/>
      <c r="W115" s="357"/>
    </row>
    <row r="116">
      <c r="A116" s="358"/>
      <c r="B116" s="357"/>
      <c r="C116" s="358"/>
      <c r="D116" s="373"/>
      <c r="E116" s="373"/>
      <c r="F116" s="373"/>
      <c r="G116" s="374"/>
      <c r="H116" s="357"/>
      <c r="I116" s="358"/>
      <c r="J116" s="357"/>
      <c r="K116" s="358"/>
      <c r="L116" s="359"/>
      <c r="M116" s="307"/>
      <c r="N116" s="359"/>
      <c r="O116" s="307"/>
      <c r="P116" s="357"/>
      <c r="Q116" s="357"/>
      <c r="R116" s="357"/>
      <c r="S116" s="357"/>
      <c r="T116" s="357"/>
      <c r="U116" s="357"/>
      <c r="V116" s="357"/>
      <c r="W116" s="357"/>
    </row>
    <row r="117">
      <c r="A117" s="358"/>
      <c r="B117" s="357"/>
      <c r="C117" s="358"/>
      <c r="D117" s="373"/>
      <c r="E117" s="373"/>
      <c r="F117" s="373"/>
      <c r="G117" s="374"/>
      <c r="H117" s="357"/>
      <c r="I117" s="358"/>
      <c r="J117" s="357"/>
      <c r="K117" s="358"/>
      <c r="L117" s="359"/>
      <c r="M117" s="307"/>
      <c r="N117" s="359"/>
      <c r="O117" s="307"/>
      <c r="P117" s="357"/>
      <c r="Q117" s="357"/>
      <c r="R117" s="357"/>
      <c r="S117" s="357"/>
      <c r="T117" s="357"/>
      <c r="U117" s="357"/>
      <c r="V117" s="357"/>
      <c r="W117" s="357"/>
    </row>
    <row r="118">
      <c r="A118" s="358"/>
      <c r="B118" s="357"/>
      <c r="C118" s="358"/>
      <c r="D118" s="373"/>
      <c r="E118" s="373"/>
      <c r="F118" s="373"/>
      <c r="G118" s="374"/>
      <c r="H118" s="357"/>
      <c r="I118" s="358"/>
      <c r="J118" s="357"/>
      <c r="K118" s="358"/>
      <c r="L118" s="359"/>
      <c r="M118" s="307"/>
      <c r="N118" s="359"/>
      <c r="O118" s="307"/>
      <c r="P118" s="357"/>
      <c r="Q118" s="357"/>
      <c r="R118" s="357"/>
      <c r="S118" s="357"/>
      <c r="T118" s="357"/>
      <c r="U118" s="357"/>
      <c r="V118" s="357"/>
      <c r="W118" s="357"/>
    </row>
    <row r="119">
      <c r="A119" s="358"/>
      <c r="B119" s="357"/>
      <c r="C119" s="358"/>
      <c r="D119" s="373"/>
      <c r="E119" s="373"/>
      <c r="F119" s="373"/>
      <c r="G119" s="374"/>
      <c r="H119" s="357"/>
      <c r="I119" s="358"/>
      <c r="J119" s="357"/>
      <c r="K119" s="358"/>
      <c r="L119" s="359"/>
      <c r="M119" s="307"/>
      <c r="N119" s="359"/>
      <c r="O119" s="307"/>
      <c r="P119" s="357"/>
      <c r="Q119" s="357"/>
      <c r="R119" s="357"/>
      <c r="S119" s="357"/>
      <c r="T119" s="357"/>
      <c r="U119" s="357"/>
      <c r="V119" s="357"/>
      <c r="W119" s="357"/>
    </row>
    <row r="120">
      <c r="A120" s="358"/>
      <c r="B120" s="357"/>
      <c r="C120" s="358"/>
      <c r="D120" s="373"/>
      <c r="E120" s="373"/>
      <c r="F120" s="373"/>
      <c r="G120" s="374"/>
      <c r="H120" s="357"/>
      <c r="I120" s="358"/>
      <c r="J120" s="357"/>
      <c r="K120" s="358"/>
      <c r="L120" s="359"/>
      <c r="M120" s="307"/>
      <c r="N120" s="359"/>
      <c r="O120" s="307"/>
      <c r="P120" s="357"/>
      <c r="Q120" s="357"/>
      <c r="R120" s="357"/>
      <c r="S120" s="357"/>
      <c r="T120" s="357"/>
      <c r="U120" s="357"/>
      <c r="V120" s="357"/>
      <c r="W120" s="357"/>
    </row>
    <row r="121">
      <c r="A121" s="358"/>
      <c r="B121" s="357"/>
      <c r="C121" s="358"/>
      <c r="D121" s="373"/>
      <c r="E121" s="373"/>
      <c r="F121" s="373"/>
      <c r="G121" s="374"/>
      <c r="H121" s="357"/>
      <c r="I121" s="358"/>
      <c r="J121" s="357"/>
      <c r="K121" s="358"/>
      <c r="L121" s="359"/>
      <c r="M121" s="307"/>
      <c r="N121" s="359"/>
      <c r="O121" s="307"/>
      <c r="P121" s="357"/>
      <c r="Q121" s="357"/>
      <c r="R121" s="357"/>
      <c r="S121" s="357"/>
      <c r="T121" s="357"/>
      <c r="U121" s="357"/>
      <c r="V121" s="357"/>
      <c r="W121" s="357"/>
    </row>
    <row r="122">
      <c r="A122" s="358"/>
      <c r="B122" s="357"/>
      <c r="C122" s="358"/>
      <c r="D122" s="373"/>
      <c r="E122" s="373"/>
      <c r="F122" s="373"/>
      <c r="G122" s="374"/>
      <c r="H122" s="357"/>
      <c r="I122" s="358"/>
      <c r="J122" s="357"/>
      <c r="K122" s="358"/>
      <c r="L122" s="359"/>
      <c r="M122" s="307"/>
      <c r="N122" s="359"/>
      <c r="O122" s="307"/>
      <c r="P122" s="357"/>
      <c r="Q122" s="357"/>
      <c r="R122" s="357"/>
      <c r="S122" s="357"/>
      <c r="T122" s="357"/>
      <c r="U122" s="357"/>
      <c r="V122" s="357"/>
      <c r="W122" s="357"/>
    </row>
    <row r="123">
      <c r="A123" s="358"/>
      <c r="B123" s="357"/>
      <c r="C123" s="358"/>
      <c r="D123" s="373"/>
      <c r="E123" s="373"/>
      <c r="F123" s="373"/>
      <c r="G123" s="374"/>
      <c r="H123" s="357"/>
      <c r="I123" s="358"/>
      <c r="J123" s="357"/>
      <c r="K123" s="358"/>
      <c r="L123" s="359"/>
      <c r="M123" s="307"/>
      <c r="N123" s="359"/>
      <c r="O123" s="307"/>
      <c r="P123" s="357"/>
      <c r="Q123" s="357"/>
      <c r="R123" s="357"/>
      <c r="S123" s="357"/>
      <c r="T123" s="357"/>
      <c r="U123" s="357"/>
      <c r="V123" s="357"/>
      <c r="W123" s="357"/>
    </row>
    <row r="124">
      <c r="A124" s="358"/>
      <c r="B124" s="357"/>
      <c r="C124" s="358"/>
      <c r="D124" s="373"/>
      <c r="E124" s="373"/>
      <c r="F124" s="373"/>
      <c r="G124" s="374"/>
      <c r="H124" s="357"/>
      <c r="I124" s="358"/>
      <c r="J124" s="357"/>
      <c r="K124" s="358"/>
      <c r="L124" s="359"/>
      <c r="M124" s="307"/>
      <c r="N124" s="359"/>
      <c r="O124" s="307"/>
      <c r="P124" s="357"/>
      <c r="Q124" s="357"/>
      <c r="R124" s="357"/>
      <c r="S124" s="357"/>
      <c r="T124" s="357"/>
      <c r="U124" s="357"/>
      <c r="V124" s="357"/>
      <c r="W124" s="357"/>
    </row>
    <row r="125">
      <c r="A125" s="358"/>
      <c r="B125" s="357"/>
      <c r="C125" s="358"/>
      <c r="D125" s="373"/>
      <c r="E125" s="373"/>
      <c r="F125" s="373"/>
      <c r="G125" s="374"/>
      <c r="H125" s="357"/>
      <c r="I125" s="358"/>
      <c r="J125" s="357"/>
      <c r="K125" s="358"/>
      <c r="L125" s="359"/>
      <c r="M125" s="307"/>
      <c r="N125" s="359"/>
      <c r="O125" s="307"/>
      <c r="P125" s="357"/>
      <c r="Q125" s="357"/>
      <c r="R125" s="357"/>
      <c r="S125" s="357"/>
      <c r="T125" s="357"/>
      <c r="U125" s="357"/>
      <c r="V125" s="357"/>
      <c r="W125" s="357"/>
    </row>
    <row r="126">
      <c r="A126" s="358"/>
      <c r="B126" s="357"/>
      <c r="C126" s="358"/>
      <c r="D126" s="373"/>
      <c r="E126" s="373"/>
      <c r="F126" s="373"/>
      <c r="G126" s="374"/>
      <c r="H126" s="357"/>
      <c r="I126" s="358"/>
      <c r="J126" s="357"/>
      <c r="K126" s="358"/>
      <c r="L126" s="359"/>
      <c r="M126" s="307"/>
      <c r="N126" s="359"/>
      <c r="O126" s="307"/>
      <c r="P126" s="357"/>
      <c r="Q126" s="357"/>
      <c r="R126" s="357"/>
      <c r="S126" s="357"/>
      <c r="T126" s="357"/>
      <c r="U126" s="357"/>
      <c r="V126" s="357"/>
      <c r="W126" s="357"/>
    </row>
    <row r="127">
      <c r="A127" s="358"/>
      <c r="B127" s="357"/>
      <c r="C127" s="358"/>
      <c r="D127" s="373"/>
      <c r="E127" s="373"/>
      <c r="F127" s="373"/>
      <c r="G127" s="374"/>
      <c r="H127" s="357"/>
      <c r="I127" s="358"/>
      <c r="J127" s="357"/>
      <c r="K127" s="358"/>
      <c r="L127" s="359"/>
      <c r="M127" s="307"/>
      <c r="N127" s="359"/>
      <c r="O127" s="307"/>
      <c r="P127" s="357"/>
      <c r="Q127" s="357"/>
      <c r="R127" s="357"/>
      <c r="S127" s="357"/>
      <c r="T127" s="357"/>
      <c r="U127" s="357"/>
      <c r="V127" s="357"/>
      <c r="W127" s="357"/>
    </row>
    <row r="128">
      <c r="A128" s="358"/>
      <c r="B128" s="357"/>
      <c r="C128" s="358"/>
      <c r="D128" s="373"/>
      <c r="E128" s="373"/>
      <c r="F128" s="373"/>
      <c r="G128" s="374"/>
      <c r="H128" s="357"/>
      <c r="I128" s="358"/>
      <c r="J128" s="357"/>
      <c r="K128" s="358"/>
      <c r="L128" s="359"/>
      <c r="M128" s="307"/>
      <c r="N128" s="359"/>
      <c r="O128" s="307"/>
      <c r="P128" s="357"/>
      <c r="Q128" s="357"/>
      <c r="R128" s="357"/>
      <c r="S128" s="357"/>
      <c r="T128" s="357"/>
      <c r="U128" s="357"/>
      <c r="V128" s="357"/>
      <c r="W128" s="357"/>
    </row>
    <row r="129">
      <c r="A129" s="358"/>
      <c r="B129" s="357"/>
      <c r="C129" s="358"/>
      <c r="D129" s="373"/>
      <c r="E129" s="373"/>
      <c r="F129" s="373"/>
      <c r="G129" s="374"/>
      <c r="H129" s="357"/>
      <c r="I129" s="358"/>
      <c r="J129" s="357"/>
      <c r="K129" s="358"/>
      <c r="L129" s="359"/>
      <c r="M129" s="307"/>
      <c r="N129" s="359"/>
      <c r="O129" s="307"/>
      <c r="P129" s="357"/>
      <c r="Q129" s="357"/>
      <c r="R129" s="357"/>
      <c r="S129" s="357"/>
      <c r="T129" s="357"/>
      <c r="U129" s="357"/>
      <c r="V129" s="357"/>
      <c r="W129" s="357"/>
    </row>
    <row r="130">
      <c r="A130" s="358"/>
      <c r="B130" s="357"/>
      <c r="C130" s="358"/>
      <c r="D130" s="373"/>
      <c r="E130" s="373"/>
      <c r="F130" s="373"/>
      <c r="G130" s="374"/>
      <c r="H130" s="357"/>
      <c r="I130" s="358"/>
      <c r="J130" s="357"/>
      <c r="K130" s="358"/>
      <c r="L130" s="359"/>
      <c r="M130" s="307"/>
      <c r="N130" s="359"/>
      <c r="O130" s="307"/>
      <c r="P130" s="357"/>
      <c r="Q130" s="357"/>
      <c r="R130" s="357"/>
      <c r="S130" s="357"/>
      <c r="T130" s="357"/>
      <c r="U130" s="357"/>
      <c r="V130" s="357"/>
      <c r="W130" s="357"/>
    </row>
    <row r="131">
      <c r="A131" s="358"/>
      <c r="B131" s="357"/>
      <c r="C131" s="358"/>
      <c r="D131" s="373"/>
      <c r="E131" s="373"/>
      <c r="F131" s="373"/>
      <c r="G131" s="374"/>
      <c r="H131" s="357"/>
      <c r="I131" s="358"/>
      <c r="J131" s="357"/>
      <c r="K131" s="358"/>
      <c r="L131" s="359"/>
      <c r="M131" s="307"/>
      <c r="N131" s="359"/>
      <c r="O131" s="307"/>
      <c r="P131" s="357"/>
      <c r="Q131" s="357"/>
      <c r="R131" s="357"/>
      <c r="S131" s="357"/>
      <c r="T131" s="357"/>
      <c r="U131" s="357"/>
      <c r="V131" s="357"/>
      <c r="W131" s="357"/>
    </row>
    <row r="132">
      <c r="A132" s="358"/>
      <c r="B132" s="357"/>
      <c r="C132" s="358"/>
      <c r="D132" s="373"/>
      <c r="E132" s="373"/>
      <c r="F132" s="373"/>
      <c r="G132" s="374"/>
      <c r="H132" s="357"/>
      <c r="I132" s="358"/>
      <c r="J132" s="357"/>
      <c r="K132" s="358"/>
      <c r="L132" s="359"/>
      <c r="M132" s="307"/>
      <c r="N132" s="359"/>
      <c r="O132" s="307"/>
      <c r="P132" s="357"/>
      <c r="Q132" s="357"/>
      <c r="R132" s="357"/>
      <c r="S132" s="357"/>
      <c r="T132" s="357"/>
      <c r="U132" s="357"/>
      <c r="V132" s="357"/>
      <c r="W132" s="357"/>
    </row>
    <row r="133">
      <c r="A133" s="358"/>
      <c r="B133" s="357"/>
      <c r="C133" s="358"/>
      <c r="D133" s="373"/>
      <c r="E133" s="373"/>
      <c r="F133" s="373"/>
      <c r="G133" s="374"/>
      <c r="H133" s="357"/>
      <c r="I133" s="358"/>
      <c r="J133" s="357"/>
      <c r="K133" s="358"/>
      <c r="L133" s="359"/>
      <c r="M133" s="307"/>
      <c r="N133" s="359"/>
      <c r="O133" s="307"/>
      <c r="P133" s="357"/>
      <c r="Q133" s="357"/>
      <c r="R133" s="357"/>
      <c r="S133" s="357"/>
      <c r="T133" s="357"/>
      <c r="U133" s="357"/>
      <c r="V133" s="357"/>
      <c r="W133" s="357"/>
    </row>
    <row r="134">
      <c r="A134" s="358"/>
      <c r="B134" s="357"/>
      <c r="C134" s="358"/>
      <c r="D134" s="373"/>
      <c r="E134" s="373"/>
      <c r="F134" s="373"/>
      <c r="G134" s="374"/>
      <c r="H134" s="357"/>
      <c r="I134" s="358"/>
      <c r="J134" s="357"/>
      <c r="K134" s="358"/>
      <c r="L134" s="359"/>
      <c r="M134" s="307"/>
      <c r="N134" s="359"/>
      <c r="O134" s="307"/>
      <c r="P134" s="357"/>
      <c r="Q134" s="357"/>
      <c r="R134" s="357"/>
      <c r="S134" s="357"/>
      <c r="T134" s="357"/>
      <c r="U134" s="357"/>
      <c r="V134" s="357"/>
      <c r="W134" s="357"/>
    </row>
    <row r="135">
      <c r="A135" s="358"/>
      <c r="B135" s="357"/>
      <c r="C135" s="358"/>
      <c r="D135" s="373"/>
      <c r="E135" s="373"/>
      <c r="F135" s="373"/>
      <c r="G135" s="374"/>
      <c r="H135" s="357"/>
      <c r="I135" s="358"/>
      <c r="J135" s="357"/>
      <c r="K135" s="358"/>
      <c r="L135" s="359"/>
      <c r="M135" s="307"/>
      <c r="N135" s="359"/>
      <c r="O135" s="307"/>
      <c r="P135" s="357"/>
      <c r="Q135" s="357"/>
      <c r="R135" s="357"/>
      <c r="S135" s="357"/>
      <c r="T135" s="357"/>
      <c r="U135" s="357"/>
      <c r="V135" s="357"/>
      <c r="W135" s="357"/>
    </row>
    <row r="136">
      <c r="A136" s="358"/>
      <c r="B136" s="357"/>
      <c r="C136" s="358"/>
      <c r="D136" s="373"/>
      <c r="E136" s="373"/>
      <c r="F136" s="373"/>
      <c r="G136" s="374"/>
      <c r="H136" s="357"/>
      <c r="I136" s="358"/>
      <c r="J136" s="357"/>
      <c r="K136" s="358"/>
      <c r="L136" s="359"/>
      <c r="M136" s="307"/>
      <c r="N136" s="359"/>
      <c r="O136" s="307"/>
      <c r="P136" s="357"/>
      <c r="Q136" s="357"/>
      <c r="R136" s="357"/>
      <c r="S136" s="357"/>
      <c r="T136" s="357"/>
      <c r="U136" s="357"/>
      <c r="V136" s="357"/>
      <c r="W136" s="357"/>
    </row>
    <row r="137">
      <c r="A137" s="358"/>
      <c r="B137" s="357"/>
      <c r="C137" s="358"/>
      <c r="D137" s="373"/>
      <c r="E137" s="373"/>
      <c r="F137" s="373"/>
      <c r="G137" s="374"/>
      <c r="H137" s="357"/>
      <c r="I137" s="358"/>
      <c r="J137" s="357"/>
      <c r="K137" s="358"/>
      <c r="L137" s="359"/>
      <c r="M137" s="307"/>
      <c r="N137" s="359"/>
      <c r="O137" s="307"/>
      <c r="P137" s="357"/>
      <c r="Q137" s="357"/>
      <c r="R137" s="357"/>
      <c r="S137" s="357"/>
      <c r="T137" s="357"/>
      <c r="U137" s="357"/>
      <c r="V137" s="357"/>
      <c r="W137" s="357"/>
    </row>
    <row r="138">
      <c r="A138" s="358"/>
      <c r="B138" s="357"/>
      <c r="C138" s="358"/>
      <c r="D138" s="373"/>
      <c r="E138" s="373"/>
      <c r="F138" s="373"/>
      <c r="G138" s="374"/>
      <c r="H138" s="357"/>
      <c r="I138" s="358"/>
      <c r="J138" s="357"/>
      <c r="K138" s="358"/>
      <c r="L138" s="359"/>
      <c r="M138" s="307"/>
      <c r="N138" s="359"/>
      <c r="O138" s="307"/>
      <c r="P138" s="357"/>
      <c r="Q138" s="357"/>
      <c r="R138" s="357"/>
      <c r="S138" s="357"/>
      <c r="T138" s="357"/>
      <c r="U138" s="357"/>
      <c r="V138" s="357"/>
      <c r="W138" s="357"/>
    </row>
    <row r="139">
      <c r="A139" s="358"/>
      <c r="B139" s="357"/>
      <c r="C139" s="358"/>
      <c r="D139" s="373"/>
      <c r="E139" s="373"/>
      <c r="F139" s="373"/>
      <c r="G139" s="374"/>
      <c r="H139" s="357"/>
      <c r="I139" s="358"/>
      <c r="J139" s="357"/>
      <c r="K139" s="358"/>
      <c r="L139" s="359"/>
      <c r="M139" s="307"/>
      <c r="N139" s="359"/>
      <c r="O139" s="307"/>
      <c r="P139" s="357"/>
      <c r="Q139" s="357"/>
      <c r="R139" s="357"/>
      <c r="S139" s="357"/>
      <c r="T139" s="357"/>
      <c r="U139" s="357"/>
      <c r="V139" s="357"/>
      <c r="W139" s="357"/>
    </row>
    <row r="140">
      <c r="A140" s="358"/>
      <c r="B140" s="357"/>
      <c r="C140" s="358"/>
      <c r="D140" s="373"/>
      <c r="E140" s="373"/>
      <c r="F140" s="373"/>
      <c r="G140" s="374"/>
      <c r="H140" s="357"/>
      <c r="I140" s="358"/>
      <c r="J140" s="357"/>
      <c r="K140" s="358"/>
      <c r="L140" s="359"/>
      <c r="M140" s="307"/>
      <c r="N140" s="359"/>
      <c r="O140" s="307"/>
      <c r="P140" s="357"/>
      <c r="Q140" s="357"/>
      <c r="R140" s="357"/>
      <c r="S140" s="357"/>
      <c r="T140" s="357"/>
      <c r="U140" s="357"/>
      <c r="V140" s="357"/>
      <c r="W140" s="357"/>
    </row>
    <row r="141">
      <c r="A141" s="358"/>
      <c r="B141" s="357"/>
      <c r="C141" s="358"/>
      <c r="D141" s="373"/>
      <c r="E141" s="373"/>
      <c r="F141" s="373"/>
      <c r="G141" s="374"/>
      <c r="H141" s="357"/>
      <c r="I141" s="358"/>
      <c r="J141" s="357"/>
      <c r="K141" s="358"/>
      <c r="L141" s="359"/>
      <c r="M141" s="307"/>
      <c r="N141" s="359"/>
      <c r="O141" s="307"/>
      <c r="P141" s="357"/>
      <c r="Q141" s="357"/>
      <c r="R141" s="357"/>
      <c r="S141" s="357"/>
      <c r="T141" s="357"/>
      <c r="U141" s="357"/>
      <c r="V141" s="357"/>
      <c r="W141" s="357"/>
    </row>
    <row r="142">
      <c r="A142" s="358"/>
      <c r="B142" s="357"/>
      <c r="C142" s="358"/>
      <c r="D142" s="373"/>
      <c r="E142" s="373"/>
      <c r="F142" s="373"/>
      <c r="G142" s="374"/>
      <c r="H142" s="357"/>
      <c r="I142" s="358"/>
      <c r="J142" s="357"/>
      <c r="K142" s="358"/>
      <c r="L142" s="359"/>
      <c r="M142" s="307"/>
      <c r="N142" s="359"/>
      <c r="O142" s="307"/>
      <c r="P142" s="357"/>
      <c r="Q142" s="357"/>
      <c r="R142" s="357"/>
      <c r="S142" s="357"/>
      <c r="T142" s="357"/>
      <c r="U142" s="357"/>
      <c r="V142" s="357"/>
      <c r="W142" s="357"/>
    </row>
    <row r="143">
      <c r="A143" s="358"/>
      <c r="B143" s="357"/>
      <c r="C143" s="358"/>
      <c r="D143" s="373"/>
      <c r="E143" s="373"/>
      <c r="F143" s="373"/>
      <c r="G143" s="374"/>
      <c r="H143" s="357"/>
      <c r="I143" s="358"/>
      <c r="J143" s="357"/>
      <c r="K143" s="358"/>
      <c r="L143" s="359"/>
      <c r="M143" s="307"/>
      <c r="N143" s="359"/>
      <c r="O143" s="307"/>
      <c r="P143" s="357"/>
      <c r="Q143" s="357"/>
      <c r="R143" s="357"/>
      <c r="S143" s="357"/>
      <c r="T143" s="357"/>
      <c r="U143" s="357"/>
      <c r="V143" s="357"/>
      <c r="W143" s="357"/>
    </row>
    <row r="144">
      <c r="A144" s="358"/>
      <c r="B144" s="357"/>
      <c r="C144" s="358"/>
      <c r="D144" s="373"/>
      <c r="E144" s="373"/>
      <c r="F144" s="373"/>
      <c r="G144" s="374"/>
      <c r="H144" s="357"/>
      <c r="I144" s="358"/>
      <c r="J144" s="357"/>
      <c r="K144" s="358"/>
      <c r="L144" s="359"/>
      <c r="M144" s="307"/>
      <c r="N144" s="359"/>
      <c r="O144" s="307"/>
      <c r="P144" s="357"/>
      <c r="Q144" s="357"/>
      <c r="R144" s="357"/>
      <c r="S144" s="357"/>
      <c r="T144" s="357"/>
      <c r="U144" s="357"/>
      <c r="V144" s="357"/>
      <c r="W144" s="357"/>
    </row>
    <row r="145">
      <c r="A145" s="358"/>
      <c r="B145" s="357"/>
      <c r="C145" s="358"/>
      <c r="D145" s="373"/>
      <c r="E145" s="373"/>
      <c r="F145" s="373"/>
      <c r="G145" s="374"/>
      <c r="H145" s="357"/>
      <c r="I145" s="358"/>
      <c r="J145" s="357"/>
      <c r="K145" s="358"/>
      <c r="L145" s="359"/>
      <c r="M145" s="307"/>
      <c r="N145" s="359"/>
      <c r="O145" s="307"/>
      <c r="P145" s="357"/>
      <c r="Q145" s="357"/>
      <c r="R145" s="357"/>
      <c r="S145" s="357"/>
      <c r="T145" s="357"/>
      <c r="U145" s="357"/>
      <c r="V145" s="357"/>
      <c r="W145" s="357"/>
    </row>
    <row r="146">
      <c r="A146" s="358"/>
      <c r="B146" s="357"/>
      <c r="C146" s="358"/>
      <c r="D146" s="373"/>
      <c r="E146" s="373"/>
      <c r="F146" s="373"/>
      <c r="G146" s="374"/>
      <c r="H146" s="357"/>
      <c r="I146" s="358"/>
      <c r="J146" s="357"/>
      <c r="K146" s="358"/>
      <c r="L146" s="359"/>
      <c r="M146" s="307"/>
      <c r="N146" s="359"/>
      <c r="O146" s="307"/>
      <c r="P146" s="357"/>
      <c r="Q146" s="357"/>
      <c r="R146" s="357"/>
      <c r="S146" s="357"/>
      <c r="T146" s="357"/>
      <c r="U146" s="357"/>
      <c r="V146" s="357"/>
      <c r="W146" s="357"/>
    </row>
    <row r="147">
      <c r="A147" s="358"/>
      <c r="B147" s="357"/>
      <c r="C147" s="358"/>
      <c r="D147" s="373"/>
      <c r="E147" s="373"/>
      <c r="F147" s="373"/>
      <c r="G147" s="374"/>
      <c r="H147" s="357"/>
      <c r="I147" s="358"/>
      <c r="J147" s="357"/>
      <c r="K147" s="358"/>
      <c r="L147" s="359"/>
      <c r="M147" s="307"/>
      <c r="N147" s="359"/>
      <c r="O147" s="307"/>
      <c r="P147" s="357"/>
      <c r="Q147" s="357"/>
      <c r="R147" s="357"/>
      <c r="S147" s="357"/>
      <c r="T147" s="357"/>
      <c r="U147" s="357"/>
      <c r="V147" s="357"/>
      <c r="W147" s="357"/>
    </row>
    <row r="148">
      <c r="A148" s="358"/>
      <c r="B148" s="357"/>
      <c r="C148" s="358"/>
      <c r="D148" s="373"/>
      <c r="E148" s="373"/>
      <c r="F148" s="373"/>
      <c r="G148" s="374"/>
      <c r="H148" s="357"/>
      <c r="I148" s="358"/>
      <c r="J148" s="357"/>
      <c r="K148" s="358"/>
      <c r="L148" s="359"/>
      <c r="M148" s="307"/>
      <c r="N148" s="359"/>
      <c r="O148" s="307"/>
      <c r="P148" s="357"/>
      <c r="Q148" s="357"/>
      <c r="R148" s="357"/>
      <c r="S148" s="357"/>
      <c r="T148" s="357"/>
      <c r="U148" s="357"/>
      <c r="V148" s="357"/>
      <c r="W148" s="357"/>
    </row>
    <row r="149">
      <c r="A149" s="358"/>
      <c r="B149" s="357"/>
      <c r="C149" s="358"/>
      <c r="D149" s="373"/>
      <c r="E149" s="373"/>
      <c r="F149" s="373"/>
      <c r="G149" s="374"/>
      <c r="H149" s="357"/>
      <c r="I149" s="358"/>
      <c r="J149" s="357"/>
      <c r="K149" s="358"/>
      <c r="L149" s="359"/>
      <c r="M149" s="307"/>
      <c r="N149" s="359"/>
      <c r="O149" s="307"/>
      <c r="P149" s="357"/>
      <c r="Q149" s="357"/>
      <c r="R149" s="357"/>
      <c r="S149" s="357"/>
      <c r="T149" s="357"/>
      <c r="U149" s="357"/>
      <c r="V149" s="357"/>
      <c r="W149" s="357"/>
    </row>
    <row r="150">
      <c r="A150" s="358"/>
      <c r="B150" s="357"/>
      <c r="C150" s="358"/>
      <c r="D150" s="373"/>
      <c r="E150" s="373"/>
      <c r="F150" s="373"/>
      <c r="G150" s="374"/>
      <c r="H150" s="357"/>
      <c r="I150" s="358"/>
      <c r="J150" s="357"/>
      <c r="K150" s="358"/>
      <c r="L150" s="359"/>
      <c r="M150" s="307"/>
      <c r="N150" s="359"/>
      <c r="O150" s="307"/>
      <c r="P150" s="357"/>
      <c r="Q150" s="357"/>
      <c r="R150" s="357"/>
      <c r="S150" s="357"/>
      <c r="T150" s="357"/>
      <c r="U150" s="357"/>
      <c r="V150" s="357"/>
      <c r="W150" s="357"/>
    </row>
    <row r="151">
      <c r="A151" s="358"/>
      <c r="B151" s="357"/>
      <c r="C151" s="358"/>
      <c r="D151" s="373"/>
      <c r="E151" s="373"/>
      <c r="F151" s="373"/>
      <c r="G151" s="374"/>
      <c r="H151" s="357"/>
      <c r="I151" s="358"/>
      <c r="J151" s="357"/>
      <c r="K151" s="358"/>
      <c r="L151" s="359"/>
      <c r="M151" s="307"/>
      <c r="N151" s="359"/>
      <c r="O151" s="307"/>
      <c r="P151" s="357"/>
      <c r="Q151" s="357"/>
      <c r="R151" s="357"/>
      <c r="S151" s="357"/>
      <c r="T151" s="357"/>
      <c r="U151" s="357"/>
      <c r="V151" s="357"/>
      <c r="W151" s="357"/>
    </row>
    <row r="152">
      <c r="A152" s="358"/>
      <c r="B152" s="357"/>
      <c r="C152" s="358"/>
      <c r="D152" s="373"/>
      <c r="E152" s="373"/>
      <c r="F152" s="373"/>
      <c r="G152" s="374"/>
      <c r="H152" s="357"/>
      <c r="I152" s="358"/>
      <c r="J152" s="357"/>
      <c r="K152" s="358"/>
      <c r="L152" s="359"/>
      <c r="M152" s="307"/>
      <c r="N152" s="359"/>
      <c r="O152" s="307"/>
      <c r="P152" s="357"/>
      <c r="Q152" s="357"/>
      <c r="R152" s="357"/>
      <c r="S152" s="357"/>
      <c r="T152" s="357"/>
      <c r="U152" s="357"/>
      <c r="V152" s="357"/>
      <c r="W152" s="357"/>
    </row>
    <row r="153">
      <c r="A153" s="358"/>
      <c r="B153" s="357"/>
      <c r="C153" s="358"/>
      <c r="D153" s="373"/>
      <c r="E153" s="373"/>
      <c r="F153" s="373"/>
      <c r="G153" s="374"/>
      <c r="H153" s="357"/>
      <c r="I153" s="358"/>
      <c r="J153" s="357"/>
      <c r="K153" s="358"/>
      <c r="L153" s="359"/>
      <c r="M153" s="307"/>
      <c r="N153" s="359"/>
      <c r="O153" s="307"/>
      <c r="P153" s="357"/>
      <c r="Q153" s="357"/>
      <c r="R153" s="357"/>
      <c r="S153" s="357"/>
      <c r="T153" s="357"/>
      <c r="U153" s="357"/>
      <c r="V153" s="357"/>
      <c r="W153" s="357"/>
    </row>
    <row r="154">
      <c r="A154" s="358"/>
      <c r="B154" s="357"/>
      <c r="C154" s="358"/>
      <c r="D154" s="373"/>
      <c r="E154" s="373"/>
      <c r="F154" s="373"/>
      <c r="G154" s="374"/>
      <c r="H154" s="357"/>
      <c r="I154" s="358"/>
      <c r="J154" s="357"/>
      <c r="K154" s="358"/>
      <c r="L154" s="359"/>
      <c r="M154" s="307"/>
      <c r="N154" s="359"/>
      <c r="O154" s="307"/>
      <c r="P154" s="357"/>
      <c r="Q154" s="357"/>
      <c r="R154" s="357"/>
      <c r="S154" s="357"/>
      <c r="T154" s="357"/>
      <c r="U154" s="357"/>
      <c r="V154" s="357"/>
      <c r="W154" s="357"/>
    </row>
    <row r="155">
      <c r="A155" s="358"/>
      <c r="B155" s="357"/>
      <c r="C155" s="358"/>
      <c r="D155" s="373"/>
      <c r="E155" s="373"/>
      <c r="F155" s="373"/>
      <c r="G155" s="374"/>
      <c r="H155" s="357"/>
      <c r="I155" s="358"/>
      <c r="J155" s="357"/>
      <c r="K155" s="358"/>
      <c r="L155" s="359"/>
      <c r="M155" s="307"/>
      <c r="N155" s="359"/>
      <c r="O155" s="307"/>
      <c r="P155" s="357"/>
      <c r="Q155" s="357"/>
      <c r="R155" s="357"/>
      <c r="S155" s="357"/>
      <c r="T155" s="357"/>
      <c r="U155" s="357"/>
      <c r="V155" s="357"/>
      <c r="W155" s="357"/>
    </row>
    <row r="156">
      <c r="A156" s="358"/>
      <c r="B156" s="357"/>
      <c r="C156" s="358"/>
      <c r="D156" s="373"/>
      <c r="E156" s="373"/>
      <c r="F156" s="373"/>
      <c r="G156" s="374"/>
      <c r="H156" s="357"/>
      <c r="I156" s="358"/>
      <c r="J156" s="357"/>
      <c r="K156" s="358"/>
      <c r="L156" s="359"/>
      <c r="M156" s="307"/>
      <c r="N156" s="359"/>
      <c r="O156" s="307"/>
      <c r="P156" s="357"/>
      <c r="Q156" s="357"/>
      <c r="R156" s="357"/>
      <c r="S156" s="357"/>
      <c r="T156" s="357"/>
      <c r="U156" s="357"/>
      <c r="V156" s="357"/>
      <c r="W156" s="357"/>
    </row>
    <row r="157">
      <c r="A157" s="358"/>
      <c r="B157" s="357"/>
      <c r="C157" s="358"/>
      <c r="D157" s="373"/>
      <c r="E157" s="373"/>
      <c r="F157" s="373"/>
      <c r="G157" s="374"/>
      <c r="H157" s="357"/>
      <c r="I157" s="358"/>
      <c r="J157" s="357"/>
      <c r="K157" s="358"/>
      <c r="L157" s="359"/>
      <c r="M157" s="307"/>
      <c r="N157" s="359"/>
      <c r="O157" s="307"/>
      <c r="P157" s="357"/>
      <c r="Q157" s="357"/>
      <c r="R157" s="357"/>
      <c r="S157" s="357"/>
      <c r="T157" s="357"/>
      <c r="U157" s="357"/>
      <c r="V157" s="357"/>
      <c r="W157" s="357"/>
    </row>
    <row r="158">
      <c r="A158" s="358"/>
      <c r="B158" s="357"/>
      <c r="C158" s="358"/>
      <c r="D158" s="373"/>
      <c r="E158" s="373"/>
      <c r="F158" s="373"/>
      <c r="G158" s="374"/>
      <c r="H158" s="357"/>
      <c r="I158" s="358"/>
      <c r="J158" s="357"/>
      <c r="K158" s="358"/>
      <c r="L158" s="359"/>
      <c r="M158" s="307"/>
      <c r="N158" s="359"/>
      <c r="O158" s="307"/>
      <c r="P158" s="357"/>
      <c r="Q158" s="357"/>
      <c r="R158" s="357"/>
      <c r="S158" s="357"/>
      <c r="T158" s="357"/>
      <c r="U158" s="357"/>
      <c r="V158" s="357"/>
      <c r="W158" s="357"/>
    </row>
    <row r="159">
      <c r="A159" s="358"/>
      <c r="B159" s="357"/>
      <c r="C159" s="358"/>
      <c r="D159" s="373"/>
      <c r="E159" s="373"/>
      <c r="F159" s="373"/>
      <c r="G159" s="374"/>
      <c r="H159" s="357"/>
      <c r="I159" s="358"/>
      <c r="J159" s="357"/>
      <c r="K159" s="358"/>
      <c r="L159" s="359"/>
      <c r="M159" s="307"/>
      <c r="N159" s="359"/>
      <c r="O159" s="307"/>
      <c r="P159" s="357"/>
      <c r="Q159" s="357"/>
      <c r="R159" s="357"/>
      <c r="S159" s="357"/>
      <c r="T159" s="357"/>
      <c r="U159" s="357"/>
      <c r="V159" s="357"/>
      <c r="W159" s="357"/>
    </row>
    <row r="160">
      <c r="A160" s="358"/>
      <c r="B160" s="357"/>
      <c r="C160" s="358"/>
      <c r="D160" s="373"/>
      <c r="E160" s="373"/>
      <c r="F160" s="373"/>
      <c r="G160" s="374"/>
      <c r="H160" s="357"/>
      <c r="I160" s="358"/>
      <c r="J160" s="357"/>
      <c r="K160" s="358"/>
      <c r="L160" s="359"/>
      <c r="M160" s="307"/>
      <c r="N160" s="359"/>
      <c r="O160" s="307"/>
      <c r="P160" s="357"/>
      <c r="Q160" s="357"/>
      <c r="R160" s="357"/>
      <c r="S160" s="357"/>
      <c r="T160" s="357"/>
      <c r="U160" s="357"/>
      <c r="V160" s="357"/>
      <c r="W160" s="357"/>
    </row>
    <row r="161">
      <c r="A161" s="358"/>
      <c r="B161" s="357"/>
      <c r="C161" s="358"/>
      <c r="D161" s="373"/>
      <c r="E161" s="373"/>
      <c r="F161" s="373"/>
      <c r="G161" s="374"/>
      <c r="H161" s="357"/>
      <c r="I161" s="358"/>
      <c r="J161" s="357"/>
      <c r="K161" s="358"/>
      <c r="L161" s="359"/>
      <c r="M161" s="307"/>
      <c r="N161" s="359"/>
      <c r="O161" s="307"/>
      <c r="P161" s="357"/>
      <c r="Q161" s="357"/>
      <c r="R161" s="357"/>
      <c r="S161" s="357"/>
      <c r="T161" s="357"/>
      <c r="U161" s="357"/>
      <c r="V161" s="357"/>
      <c r="W161" s="357"/>
    </row>
    <row r="162">
      <c r="A162" s="358"/>
      <c r="B162" s="357"/>
      <c r="C162" s="358"/>
      <c r="D162" s="373"/>
      <c r="E162" s="373"/>
      <c r="F162" s="373"/>
      <c r="G162" s="374"/>
      <c r="H162" s="357"/>
      <c r="I162" s="358"/>
      <c r="J162" s="357"/>
      <c r="K162" s="358"/>
      <c r="L162" s="359"/>
      <c r="M162" s="307"/>
      <c r="N162" s="359"/>
      <c r="O162" s="307"/>
      <c r="P162" s="357"/>
      <c r="Q162" s="357"/>
      <c r="R162" s="357"/>
      <c r="S162" s="357"/>
      <c r="T162" s="357"/>
      <c r="U162" s="357"/>
      <c r="V162" s="357"/>
      <c r="W162" s="357"/>
    </row>
    <row r="163">
      <c r="A163" s="358"/>
      <c r="B163" s="357"/>
      <c r="C163" s="358"/>
      <c r="D163" s="373"/>
      <c r="E163" s="373"/>
      <c r="F163" s="373"/>
      <c r="G163" s="374"/>
      <c r="H163" s="357"/>
      <c r="I163" s="358"/>
      <c r="J163" s="357"/>
      <c r="K163" s="358"/>
      <c r="L163" s="359"/>
      <c r="M163" s="307"/>
      <c r="N163" s="359"/>
      <c r="O163" s="307"/>
      <c r="P163" s="357"/>
      <c r="Q163" s="357"/>
      <c r="R163" s="357"/>
      <c r="S163" s="357"/>
      <c r="T163" s="357"/>
      <c r="U163" s="357"/>
      <c r="V163" s="357"/>
      <c r="W163" s="357"/>
    </row>
    <row r="164">
      <c r="A164" s="358"/>
      <c r="B164" s="357"/>
      <c r="C164" s="358"/>
      <c r="D164" s="373"/>
      <c r="E164" s="373"/>
      <c r="F164" s="373"/>
      <c r="G164" s="374"/>
      <c r="H164" s="357"/>
      <c r="I164" s="358"/>
      <c r="J164" s="357"/>
      <c r="K164" s="358"/>
      <c r="L164" s="359"/>
      <c r="M164" s="307"/>
      <c r="N164" s="359"/>
      <c r="O164" s="307"/>
      <c r="P164" s="357"/>
      <c r="Q164" s="357"/>
      <c r="R164" s="357"/>
      <c r="S164" s="357"/>
      <c r="T164" s="357"/>
      <c r="U164" s="357"/>
      <c r="V164" s="357"/>
      <c r="W164" s="357"/>
    </row>
    <row r="165">
      <c r="A165" s="358"/>
      <c r="B165" s="357"/>
      <c r="C165" s="358"/>
      <c r="D165" s="373"/>
      <c r="E165" s="373"/>
      <c r="F165" s="373"/>
      <c r="G165" s="374"/>
      <c r="H165" s="357"/>
      <c r="I165" s="358"/>
      <c r="J165" s="357"/>
      <c r="K165" s="358"/>
      <c r="L165" s="359"/>
      <c r="M165" s="307"/>
      <c r="N165" s="359"/>
      <c r="O165" s="307"/>
      <c r="P165" s="357"/>
      <c r="Q165" s="357"/>
      <c r="R165" s="357"/>
      <c r="S165" s="357"/>
      <c r="T165" s="357"/>
      <c r="U165" s="357"/>
      <c r="V165" s="357"/>
      <c r="W165" s="357"/>
    </row>
    <row r="166">
      <c r="A166" s="358"/>
      <c r="B166" s="357"/>
      <c r="C166" s="358"/>
      <c r="D166" s="373"/>
      <c r="E166" s="373"/>
      <c r="F166" s="373"/>
      <c r="G166" s="374"/>
      <c r="H166" s="357"/>
      <c r="I166" s="358"/>
      <c r="J166" s="357"/>
      <c r="K166" s="358"/>
      <c r="L166" s="359"/>
      <c r="M166" s="307"/>
      <c r="N166" s="359"/>
      <c r="O166" s="307"/>
      <c r="P166" s="357"/>
      <c r="Q166" s="357"/>
      <c r="R166" s="357"/>
      <c r="S166" s="357"/>
      <c r="T166" s="357"/>
      <c r="U166" s="357"/>
      <c r="V166" s="357"/>
      <c r="W166" s="357"/>
    </row>
    <row r="167">
      <c r="A167" s="358"/>
      <c r="B167" s="357"/>
      <c r="C167" s="358"/>
      <c r="D167" s="373"/>
      <c r="E167" s="373"/>
      <c r="F167" s="373"/>
      <c r="G167" s="374"/>
      <c r="H167" s="357"/>
      <c r="I167" s="358"/>
      <c r="J167" s="357"/>
      <c r="K167" s="358"/>
      <c r="L167" s="359"/>
      <c r="M167" s="307"/>
      <c r="N167" s="359"/>
      <c r="O167" s="307"/>
      <c r="P167" s="357"/>
      <c r="Q167" s="357"/>
      <c r="R167" s="357"/>
      <c r="S167" s="357"/>
      <c r="T167" s="357"/>
      <c r="U167" s="357"/>
      <c r="V167" s="357"/>
      <c r="W167" s="357"/>
    </row>
    <row r="168">
      <c r="A168" s="358"/>
      <c r="B168" s="357"/>
      <c r="C168" s="358"/>
      <c r="D168" s="373"/>
      <c r="E168" s="373"/>
      <c r="F168" s="373"/>
      <c r="G168" s="374"/>
      <c r="H168" s="357"/>
      <c r="I168" s="358"/>
      <c r="J168" s="357"/>
      <c r="K168" s="358"/>
      <c r="L168" s="359"/>
      <c r="M168" s="307"/>
      <c r="N168" s="359"/>
      <c r="O168" s="307"/>
      <c r="P168" s="357"/>
      <c r="Q168" s="357"/>
      <c r="R168" s="357"/>
      <c r="S168" s="357"/>
      <c r="T168" s="357"/>
      <c r="U168" s="357"/>
      <c r="V168" s="357"/>
      <c r="W168" s="357"/>
    </row>
    <row r="169">
      <c r="A169" s="358"/>
      <c r="B169" s="357"/>
      <c r="C169" s="358"/>
      <c r="D169" s="373"/>
      <c r="E169" s="373"/>
      <c r="F169" s="373"/>
      <c r="G169" s="374"/>
      <c r="H169" s="357"/>
      <c r="I169" s="358"/>
      <c r="J169" s="357"/>
      <c r="K169" s="358"/>
      <c r="L169" s="359"/>
      <c r="M169" s="307"/>
      <c r="N169" s="359"/>
      <c r="O169" s="307"/>
      <c r="P169" s="357"/>
      <c r="Q169" s="357"/>
      <c r="R169" s="357"/>
      <c r="S169" s="357"/>
      <c r="T169" s="357"/>
      <c r="U169" s="357"/>
      <c r="V169" s="357"/>
      <c r="W169" s="357"/>
    </row>
    <row r="170">
      <c r="A170" s="358"/>
      <c r="B170" s="357"/>
      <c r="C170" s="358"/>
      <c r="D170" s="373"/>
      <c r="E170" s="373"/>
      <c r="F170" s="373"/>
      <c r="G170" s="374"/>
      <c r="H170" s="357"/>
      <c r="I170" s="358"/>
      <c r="J170" s="357"/>
      <c r="K170" s="358"/>
      <c r="L170" s="359"/>
      <c r="M170" s="307"/>
      <c r="N170" s="359"/>
      <c r="O170" s="307"/>
      <c r="P170" s="357"/>
      <c r="Q170" s="357"/>
      <c r="R170" s="357"/>
      <c r="S170" s="357"/>
      <c r="T170" s="357"/>
      <c r="U170" s="357"/>
      <c r="V170" s="357"/>
      <c r="W170" s="357"/>
    </row>
    <row r="171">
      <c r="A171" s="358"/>
      <c r="B171" s="357"/>
      <c r="C171" s="358"/>
      <c r="D171" s="373"/>
      <c r="E171" s="373"/>
      <c r="F171" s="373"/>
      <c r="G171" s="374"/>
      <c r="H171" s="357"/>
      <c r="I171" s="358"/>
      <c r="J171" s="357"/>
      <c r="K171" s="358"/>
      <c r="L171" s="359"/>
      <c r="M171" s="307"/>
      <c r="N171" s="359"/>
      <c r="O171" s="307"/>
      <c r="P171" s="357"/>
      <c r="Q171" s="357"/>
      <c r="R171" s="357"/>
      <c r="S171" s="357"/>
      <c r="T171" s="357"/>
      <c r="U171" s="357"/>
      <c r="V171" s="357"/>
      <c r="W171" s="357"/>
    </row>
    <row r="172">
      <c r="A172" s="358"/>
      <c r="B172" s="357"/>
      <c r="C172" s="358"/>
      <c r="D172" s="373"/>
      <c r="E172" s="373"/>
      <c r="F172" s="373"/>
      <c r="G172" s="374"/>
      <c r="H172" s="357"/>
      <c r="I172" s="358"/>
      <c r="J172" s="357"/>
      <c r="K172" s="358"/>
      <c r="L172" s="359"/>
      <c r="M172" s="307"/>
      <c r="N172" s="359"/>
      <c r="O172" s="307"/>
      <c r="P172" s="357"/>
      <c r="Q172" s="357"/>
      <c r="R172" s="357"/>
      <c r="S172" s="357"/>
      <c r="T172" s="357"/>
      <c r="U172" s="357"/>
      <c r="V172" s="357"/>
      <c r="W172" s="357"/>
    </row>
    <row r="173">
      <c r="A173" s="358"/>
      <c r="B173" s="357"/>
      <c r="C173" s="358"/>
      <c r="D173" s="373"/>
      <c r="E173" s="373"/>
      <c r="F173" s="373"/>
      <c r="G173" s="374"/>
      <c r="H173" s="357"/>
      <c r="I173" s="358"/>
      <c r="J173" s="357"/>
      <c r="K173" s="358"/>
      <c r="L173" s="359"/>
      <c r="M173" s="307"/>
      <c r="N173" s="359"/>
      <c r="O173" s="307"/>
      <c r="P173" s="357"/>
      <c r="Q173" s="357"/>
      <c r="R173" s="357"/>
      <c r="S173" s="357"/>
      <c r="T173" s="357"/>
      <c r="U173" s="357"/>
      <c r="V173" s="357"/>
      <c r="W173" s="357"/>
    </row>
    <row r="174">
      <c r="A174" s="358"/>
      <c r="B174" s="357"/>
      <c r="C174" s="358"/>
      <c r="D174" s="373"/>
      <c r="E174" s="373"/>
      <c r="F174" s="373"/>
      <c r="G174" s="374"/>
      <c r="H174" s="357"/>
      <c r="I174" s="358"/>
      <c r="J174" s="357"/>
      <c r="K174" s="358"/>
      <c r="L174" s="359"/>
      <c r="M174" s="307"/>
      <c r="N174" s="359"/>
      <c r="O174" s="307"/>
      <c r="P174" s="357"/>
      <c r="Q174" s="357"/>
      <c r="R174" s="357"/>
      <c r="S174" s="357"/>
      <c r="T174" s="357"/>
      <c r="U174" s="357"/>
      <c r="V174" s="357"/>
      <c r="W174" s="357"/>
    </row>
    <row r="175">
      <c r="A175" s="358"/>
      <c r="B175" s="357"/>
      <c r="C175" s="358"/>
      <c r="D175" s="373"/>
      <c r="E175" s="373"/>
      <c r="F175" s="373"/>
      <c r="G175" s="374"/>
      <c r="H175" s="357"/>
      <c r="I175" s="358"/>
      <c r="J175" s="357"/>
      <c r="K175" s="358"/>
      <c r="L175" s="359"/>
      <c r="M175" s="307"/>
      <c r="N175" s="359"/>
      <c r="O175" s="307"/>
      <c r="P175" s="357"/>
      <c r="Q175" s="357"/>
      <c r="R175" s="357"/>
      <c r="S175" s="357"/>
      <c r="T175" s="357"/>
      <c r="U175" s="357"/>
      <c r="V175" s="357"/>
      <c r="W175" s="357"/>
    </row>
    <row r="176">
      <c r="A176" s="358"/>
      <c r="B176" s="357"/>
      <c r="C176" s="358"/>
      <c r="D176" s="373"/>
      <c r="E176" s="373"/>
      <c r="F176" s="373"/>
      <c r="G176" s="374"/>
      <c r="H176" s="357"/>
      <c r="I176" s="358"/>
      <c r="J176" s="357"/>
      <c r="K176" s="358"/>
      <c r="L176" s="359"/>
      <c r="M176" s="307"/>
      <c r="N176" s="359"/>
      <c r="O176" s="307"/>
      <c r="P176" s="357"/>
      <c r="Q176" s="357"/>
      <c r="R176" s="357"/>
      <c r="S176" s="357"/>
      <c r="T176" s="357"/>
      <c r="U176" s="357"/>
      <c r="V176" s="357"/>
      <c r="W176" s="357"/>
    </row>
    <row r="177">
      <c r="A177" s="358"/>
      <c r="B177" s="357"/>
      <c r="C177" s="358"/>
      <c r="D177" s="373"/>
      <c r="E177" s="373"/>
      <c r="F177" s="373"/>
      <c r="G177" s="374"/>
      <c r="H177" s="357"/>
      <c r="I177" s="358"/>
      <c r="J177" s="357"/>
      <c r="K177" s="358"/>
      <c r="L177" s="359"/>
      <c r="M177" s="307"/>
      <c r="N177" s="359"/>
      <c r="O177" s="307"/>
      <c r="P177" s="357"/>
      <c r="Q177" s="357"/>
      <c r="R177" s="357"/>
      <c r="S177" s="357"/>
      <c r="T177" s="357"/>
      <c r="U177" s="357"/>
      <c r="V177" s="357"/>
      <c r="W177" s="357"/>
    </row>
    <row r="178">
      <c r="A178" s="358"/>
      <c r="B178" s="357"/>
      <c r="C178" s="358"/>
      <c r="D178" s="373"/>
      <c r="E178" s="373"/>
      <c r="F178" s="373"/>
      <c r="G178" s="374"/>
      <c r="H178" s="357"/>
      <c r="I178" s="358"/>
      <c r="J178" s="357"/>
      <c r="K178" s="358"/>
      <c r="L178" s="359"/>
      <c r="M178" s="307"/>
      <c r="N178" s="359"/>
      <c r="O178" s="307"/>
      <c r="P178" s="357"/>
      <c r="Q178" s="357"/>
      <c r="R178" s="357"/>
      <c r="S178" s="357"/>
      <c r="T178" s="357"/>
      <c r="U178" s="357"/>
      <c r="V178" s="357"/>
      <c r="W178" s="357"/>
    </row>
    <row r="179">
      <c r="A179" s="358"/>
      <c r="B179" s="357"/>
      <c r="C179" s="358"/>
      <c r="D179" s="373"/>
      <c r="E179" s="373"/>
      <c r="F179" s="373"/>
      <c r="G179" s="374"/>
      <c r="H179" s="357"/>
      <c r="I179" s="358"/>
      <c r="J179" s="357"/>
      <c r="K179" s="358"/>
      <c r="L179" s="359"/>
      <c r="M179" s="307"/>
      <c r="N179" s="359"/>
      <c r="O179" s="307"/>
      <c r="P179" s="357"/>
      <c r="Q179" s="357"/>
      <c r="R179" s="357"/>
      <c r="S179" s="357"/>
      <c r="T179" s="357"/>
      <c r="U179" s="357"/>
      <c r="V179" s="357"/>
      <c r="W179" s="357"/>
    </row>
    <row r="180">
      <c r="A180" s="358"/>
      <c r="B180" s="357"/>
      <c r="C180" s="358"/>
      <c r="D180" s="373"/>
      <c r="E180" s="373"/>
      <c r="F180" s="373"/>
      <c r="G180" s="374"/>
      <c r="H180" s="357"/>
      <c r="I180" s="358"/>
      <c r="J180" s="357"/>
      <c r="K180" s="358"/>
      <c r="L180" s="359"/>
      <c r="M180" s="307"/>
      <c r="N180" s="359"/>
      <c r="O180" s="307"/>
      <c r="P180" s="357"/>
      <c r="Q180" s="357"/>
      <c r="R180" s="357"/>
      <c r="S180" s="357"/>
      <c r="T180" s="357"/>
      <c r="U180" s="357"/>
      <c r="V180" s="357"/>
      <c r="W180" s="357"/>
    </row>
    <row r="181">
      <c r="A181" s="358"/>
      <c r="B181" s="357"/>
      <c r="C181" s="358"/>
      <c r="D181" s="373"/>
      <c r="E181" s="373"/>
      <c r="F181" s="373"/>
      <c r="G181" s="374"/>
      <c r="H181" s="357"/>
      <c r="I181" s="358"/>
      <c r="J181" s="357"/>
      <c r="K181" s="358"/>
      <c r="L181" s="359"/>
      <c r="M181" s="307"/>
      <c r="N181" s="359"/>
      <c r="O181" s="307"/>
      <c r="P181" s="357"/>
      <c r="Q181" s="357"/>
      <c r="R181" s="357"/>
      <c r="S181" s="357"/>
      <c r="T181" s="357"/>
      <c r="U181" s="357"/>
      <c r="V181" s="357"/>
      <c r="W181" s="357"/>
    </row>
    <row r="182">
      <c r="A182" s="358"/>
      <c r="B182" s="357"/>
      <c r="C182" s="358"/>
      <c r="D182" s="373"/>
      <c r="E182" s="373"/>
      <c r="F182" s="373"/>
      <c r="G182" s="374"/>
      <c r="H182" s="357"/>
      <c r="I182" s="358"/>
      <c r="J182" s="357"/>
      <c r="K182" s="358"/>
      <c r="L182" s="359"/>
      <c r="M182" s="307"/>
      <c r="N182" s="359"/>
      <c r="O182" s="307"/>
      <c r="P182" s="357"/>
      <c r="Q182" s="357"/>
      <c r="R182" s="357"/>
      <c r="S182" s="357"/>
      <c r="T182" s="357"/>
      <c r="U182" s="357"/>
      <c r="V182" s="357"/>
      <c r="W182" s="357"/>
    </row>
    <row r="183">
      <c r="A183" s="358"/>
      <c r="B183" s="357"/>
      <c r="C183" s="358"/>
      <c r="D183" s="373"/>
      <c r="E183" s="373"/>
      <c r="F183" s="373"/>
      <c r="G183" s="374"/>
      <c r="H183" s="357"/>
      <c r="I183" s="358"/>
      <c r="J183" s="357"/>
      <c r="K183" s="358"/>
      <c r="L183" s="359"/>
      <c r="M183" s="307"/>
      <c r="N183" s="359"/>
      <c r="O183" s="307"/>
      <c r="P183" s="357"/>
      <c r="Q183" s="357"/>
      <c r="R183" s="357"/>
      <c r="S183" s="357"/>
      <c r="T183" s="357"/>
      <c r="U183" s="357"/>
      <c r="V183" s="357"/>
      <c r="W183" s="357"/>
    </row>
    <row r="184">
      <c r="A184" s="358"/>
      <c r="B184" s="357"/>
      <c r="C184" s="358"/>
      <c r="D184" s="373"/>
      <c r="E184" s="373"/>
      <c r="F184" s="373"/>
      <c r="G184" s="374"/>
      <c r="H184" s="357"/>
      <c r="I184" s="358"/>
      <c r="J184" s="357"/>
      <c r="K184" s="358"/>
      <c r="L184" s="359"/>
      <c r="M184" s="307"/>
      <c r="N184" s="359"/>
      <c r="O184" s="307"/>
      <c r="P184" s="357"/>
      <c r="Q184" s="357"/>
      <c r="R184" s="357"/>
      <c r="S184" s="357"/>
      <c r="T184" s="357"/>
      <c r="U184" s="357"/>
      <c r="V184" s="357"/>
      <c r="W184" s="357"/>
    </row>
    <row r="185">
      <c r="A185" s="358"/>
      <c r="B185" s="357"/>
      <c r="C185" s="358"/>
      <c r="D185" s="373"/>
      <c r="E185" s="373"/>
      <c r="F185" s="373"/>
      <c r="G185" s="374"/>
      <c r="H185" s="357"/>
      <c r="I185" s="358"/>
      <c r="J185" s="357"/>
      <c r="K185" s="358"/>
      <c r="L185" s="359"/>
      <c r="M185" s="307"/>
      <c r="N185" s="359"/>
      <c r="O185" s="307"/>
      <c r="P185" s="357"/>
      <c r="Q185" s="357"/>
      <c r="R185" s="357"/>
      <c r="S185" s="357"/>
      <c r="T185" s="357"/>
      <c r="U185" s="357"/>
      <c r="V185" s="357"/>
      <c r="W185" s="357"/>
    </row>
    <row r="186">
      <c r="A186" s="358"/>
      <c r="B186" s="357"/>
      <c r="C186" s="358"/>
      <c r="D186" s="373"/>
      <c r="E186" s="373"/>
      <c r="F186" s="373"/>
      <c r="G186" s="374"/>
      <c r="H186" s="357"/>
      <c r="I186" s="358"/>
      <c r="J186" s="357"/>
      <c r="K186" s="358"/>
      <c r="L186" s="359"/>
      <c r="M186" s="307"/>
      <c r="N186" s="359"/>
      <c r="O186" s="307"/>
      <c r="P186" s="357"/>
      <c r="Q186" s="357"/>
      <c r="R186" s="357"/>
      <c r="S186" s="357"/>
      <c r="T186" s="357"/>
      <c r="U186" s="357"/>
      <c r="V186" s="357"/>
      <c r="W186" s="357"/>
    </row>
    <row r="187">
      <c r="A187" s="358"/>
      <c r="B187" s="357"/>
      <c r="C187" s="358"/>
      <c r="D187" s="373"/>
      <c r="E187" s="373"/>
      <c r="F187" s="373"/>
      <c r="G187" s="374"/>
      <c r="H187" s="357"/>
      <c r="I187" s="358"/>
      <c r="J187" s="357"/>
      <c r="K187" s="358"/>
      <c r="L187" s="359"/>
      <c r="M187" s="307"/>
      <c r="N187" s="359"/>
      <c r="O187" s="307"/>
      <c r="P187" s="357"/>
      <c r="Q187" s="357"/>
      <c r="R187" s="357"/>
      <c r="S187" s="357"/>
      <c r="T187" s="357"/>
      <c r="U187" s="357"/>
      <c r="V187" s="357"/>
      <c r="W187" s="357"/>
    </row>
    <row r="188">
      <c r="A188" s="358"/>
      <c r="B188" s="357"/>
      <c r="C188" s="358"/>
      <c r="D188" s="373"/>
      <c r="E188" s="373"/>
      <c r="F188" s="373"/>
      <c r="G188" s="374"/>
      <c r="H188" s="357"/>
      <c r="I188" s="358"/>
      <c r="J188" s="357"/>
      <c r="K188" s="358"/>
      <c r="L188" s="359"/>
      <c r="M188" s="307"/>
      <c r="N188" s="359"/>
      <c r="O188" s="307"/>
      <c r="P188" s="357"/>
      <c r="Q188" s="357"/>
      <c r="R188" s="357"/>
      <c r="S188" s="357"/>
      <c r="T188" s="357"/>
      <c r="U188" s="357"/>
      <c r="V188" s="357"/>
      <c r="W188" s="357"/>
    </row>
    <row r="189">
      <c r="A189" s="358"/>
      <c r="B189" s="357"/>
      <c r="C189" s="358"/>
      <c r="D189" s="373"/>
      <c r="E189" s="373"/>
      <c r="F189" s="373"/>
      <c r="G189" s="374"/>
      <c r="H189" s="357"/>
      <c r="I189" s="358"/>
      <c r="J189" s="357"/>
      <c r="K189" s="358"/>
      <c r="L189" s="359"/>
      <c r="M189" s="307"/>
      <c r="N189" s="359"/>
      <c r="O189" s="307"/>
      <c r="P189" s="357"/>
      <c r="Q189" s="357"/>
      <c r="R189" s="357"/>
      <c r="S189" s="357"/>
      <c r="T189" s="357"/>
      <c r="U189" s="357"/>
      <c r="V189" s="357"/>
      <c r="W189" s="357"/>
    </row>
    <row r="190">
      <c r="A190" s="358"/>
      <c r="B190" s="357"/>
      <c r="C190" s="358"/>
      <c r="D190" s="373"/>
      <c r="E190" s="373"/>
      <c r="F190" s="373"/>
      <c r="G190" s="374"/>
      <c r="H190" s="357"/>
      <c r="I190" s="358"/>
      <c r="J190" s="357"/>
      <c r="K190" s="358"/>
      <c r="L190" s="359"/>
      <c r="M190" s="307"/>
      <c r="N190" s="359"/>
      <c r="O190" s="307"/>
      <c r="P190" s="357"/>
      <c r="Q190" s="357"/>
      <c r="R190" s="357"/>
      <c r="S190" s="357"/>
      <c r="T190" s="357"/>
      <c r="U190" s="357"/>
      <c r="V190" s="357"/>
      <c r="W190" s="357"/>
    </row>
    <row r="191">
      <c r="A191" s="358"/>
      <c r="B191" s="357"/>
      <c r="C191" s="358"/>
      <c r="D191" s="373"/>
      <c r="E191" s="373"/>
      <c r="F191" s="373"/>
      <c r="G191" s="374"/>
      <c r="H191" s="357"/>
      <c r="I191" s="358"/>
      <c r="J191" s="357"/>
      <c r="K191" s="358"/>
      <c r="L191" s="359"/>
      <c r="M191" s="307"/>
      <c r="N191" s="359"/>
      <c r="O191" s="307"/>
      <c r="P191" s="357"/>
      <c r="Q191" s="357"/>
      <c r="R191" s="357"/>
      <c r="S191" s="357"/>
      <c r="T191" s="357"/>
      <c r="U191" s="357"/>
      <c r="V191" s="357"/>
      <c r="W191" s="357"/>
    </row>
    <row r="192">
      <c r="A192" s="358"/>
      <c r="B192" s="357"/>
      <c r="C192" s="358"/>
      <c r="D192" s="373"/>
      <c r="E192" s="373"/>
      <c r="F192" s="373"/>
      <c r="G192" s="374"/>
      <c r="H192" s="357"/>
      <c r="I192" s="358"/>
      <c r="J192" s="357"/>
      <c r="K192" s="358"/>
      <c r="L192" s="359"/>
      <c r="M192" s="307"/>
      <c r="N192" s="359"/>
      <c r="O192" s="307"/>
      <c r="P192" s="357"/>
      <c r="Q192" s="357"/>
      <c r="R192" s="357"/>
      <c r="S192" s="357"/>
      <c r="T192" s="357"/>
      <c r="U192" s="357"/>
      <c r="V192" s="357"/>
      <c r="W192" s="357"/>
    </row>
    <row r="193">
      <c r="A193" s="358"/>
      <c r="B193" s="357"/>
      <c r="C193" s="358"/>
      <c r="D193" s="373"/>
      <c r="E193" s="373"/>
      <c r="F193" s="373"/>
      <c r="G193" s="374"/>
      <c r="H193" s="357"/>
      <c r="I193" s="358"/>
      <c r="J193" s="357"/>
      <c r="K193" s="358"/>
      <c r="L193" s="359"/>
      <c r="M193" s="307"/>
      <c r="N193" s="359"/>
      <c r="O193" s="307"/>
      <c r="P193" s="357"/>
      <c r="Q193" s="357"/>
      <c r="R193" s="357"/>
      <c r="S193" s="357"/>
      <c r="T193" s="357"/>
      <c r="U193" s="357"/>
      <c r="V193" s="357"/>
      <c r="W193" s="357"/>
    </row>
    <row r="194">
      <c r="A194" s="358"/>
      <c r="B194" s="357"/>
      <c r="C194" s="358"/>
      <c r="D194" s="373"/>
      <c r="E194" s="373"/>
      <c r="F194" s="373"/>
      <c r="G194" s="374"/>
      <c r="H194" s="357"/>
      <c r="I194" s="358"/>
      <c r="J194" s="357"/>
      <c r="K194" s="358"/>
      <c r="L194" s="359"/>
      <c r="M194" s="307"/>
      <c r="N194" s="359"/>
      <c r="O194" s="307"/>
      <c r="P194" s="357"/>
      <c r="Q194" s="357"/>
      <c r="R194" s="357"/>
      <c r="S194" s="357"/>
      <c r="T194" s="357"/>
      <c r="U194" s="357"/>
      <c r="V194" s="357"/>
      <c r="W194" s="357"/>
    </row>
    <row r="195">
      <c r="A195" s="358"/>
      <c r="B195" s="357"/>
      <c r="C195" s="358"/>
      <c r="D195" s="373"/>
      <c r="E195" s="373"/>
      <c r="F195" s="373"/>
      <c r="G195" s="374"/>
      <c r="H195" s="357"/>
      <c r="I195" s="358"/>
      <c r="J195" s="357"/>
      <c r="K195" s="358"/>
      <c r="L195" s="359"/>
      <c r="M195" s="307"/>
      <c r="N195" s="359"/>
      <c r="O195" s="307"/>
      <c r="P195" s="357"/>
      <c r="Q195" s="357"/>
      <c r="R195" s="357"/>
      <c r="S195" s="357"/>
      <c r="T195" s="357"/>
      <c r="U195" s="357"/>
      <c r="V195" s="357"/>
      <c r="W195" s="357"/>
    </row>
    <row r="196">
      <c r="A196" s="358"/>
      <c r="B196" s="357"/>
      <c r="C196" s="358"/>
      <c r="D196" s="373"/>
      <c r="E196" s="373"/>
      <c r="F196" s="373"/>
      <c r="G196" s="374"/>
      <c r="H196" s="357"/>
      <c r="I196" s="358"/>
      <c r="J196" s="357"/>
      <c r="K196" s="358"/>
      <c r="L196" s="359"/>
      <c r="M196" s="307"/>
      <c r="N196" s="359"/>
      <c r="O196" s="307"/>
      <c r="P196" s="357"/>
      <c r="Q196" s="357"/>
      <c r="R196" s="357"/>
      <c r="S196" s="357"/>
      <c r="T196" s="357"/>
      <c r="U196" s="357"/>
      <c r="V196" s="357"/>
      <c r="W196" s="357"/>
    </row>
    <row r="197">
      <c r="A197" s="358"/>
      <c r="B197" s="357"/>
      <c r="C197" s="358"/>
      <c r="D197" s="373"/>
      <c r="E197" s="373"/>
      <c r="F197" s="373"/>
      <c r="G197" s="374"/>
      <c r="H197" s="357"/>
      <c r="I197" s="358"/>
      <c r="J197" s="357"/>
      <c r="K197" s="358"/>
      <c r="L197" s="359"/>
      <c r="M197" s="307"/>
      <c r="N197" s="359"/>
      <c r="O197" s="307"/>
      <c r="P197" s="357"/>
      <c r="Q197" s="357"/>
      <c r="R197" s="357"/>
      <c r="S197" s="357"/>
      <c r="T197" s="357"/>
      <c r="U197" s="357"/>
      <c r="V197" s="357"/>
      <c r="W197" s="357"/>
    </row>
    <row r="198">
      <c r="A198" s="358"/>
      <c r="B198" s="357"/>
      <c r="C198" s="358"/>
      <c r="D198" s="373"/>
      <c r="E198" s="373"/>
      <c r="F198" s="373"/>
      <c r="G198" s="374"/>
      <c r="H198" s="357"/>
      <c r="I198" s="358"/>
      <c r="J198" s="357"/>
      <c r="K198" s="358"/>
      <c r="L198" s="359"/>
      <c r="M198" s="307"/>
      <c r="N198" s="359"/>
      <c r="O198" s="307"/>
      <c r="P198" s="357"/>
      <c r="Q198" s="357"/>
      <c r="R198" s="357"/>
      <c r="S198" s="357"/>
      <c r="T198" s="357"/>
      <c r="U198" s="357"/>
      <c r="V198" s="357"/>
      <c r="W198" s="357"/>
    </row>
    <row r="199">
      <c r="A199" s="358"/>
      <c r="B199" s="357"/>
      <c r="C199" s="358"/>
      <c r="D199" s="373"/>
      <c r="E199" s="373"/>
      <c r="F199" s="373"/>
      <c r="G199" s="374"/>
      <c r="H199" s="357"/>
      <c r="I199" s="358"/>
      <c r="J199" s="357"/>
      <c r="K199" s="358"/>
      <c r="L199" s="359"/>
      <c r="M199" s="307"/>
      <c r="N199" s="359"/>
      <c r="O199" s="307"/>
      <c r="P199" s="357"/>
      <c r="Q199" s="357"/>
      <c r="R199" s="357"/>
      <c r="S199" s="357"/>
      <c r="T199" s="357"/>
      <c r="U199" s="357"/>
      <c r="V199" s="357"/>
      <c r="W199" s="357"/>
    </row>
    <row r="200">
      <c r="A200" s="358"/>
      <c r="B200" s="357"/>
      <c r="C200" s="358"/>
      <c r="D200" s="373"/>
      <c r="E200" s="373"/>
      <c r="F200" s="373"/>
      <c r="G200" s="374"/>
      <c r="H200" s="357"/>
      <c r="I200" s="358"/>
      <c r="J200" s="357"/>
      <c r="K200" s="358"/>
      <c r="L200" s="359"/>
      <c r="M200" s="307"/>
      <c r="N200" s="359"/>
      <c r="O200" s="307"/>
      <c r="P200" s="357"/>
      <c r="Q200" s="357"/>
      <c r="R200" s="357"/>
      <c r="S200" s="357"/>
      <c r="T200" s="357"/>
      <c r="U200" s="357"/>
      <c r="V200" s="357"/>
      <c r="W200" s="357"/>
    </row>
    <row r="201">
      <c r="A201" s="358"/>
      <c r="B201" s="357"/>
      <c r="C201" s="358"/>
      <c r="D201" s="373"/>
      <c r="E201" s="373"/>
      <c r="F201" s="373"/>
      <c r="G201" s="374"/>
      <c r="H201" s="357"/>
      <c r="I201" s="358"/>
      <c r="J201" s="357"/>
      <c r="K201" s="358"/>
      <c r="L201" s="359"/>
      <c r="M201" s="307"/>
      <c r="N201" s="359"/>
      <c r="O201" s="307"/>
      <c r="P201" s="357"/>
      <c r="Q201" s="357"/>
      <c r="R201" s="357"/>
      <c r="S201" s="357"/>
      <c r="T201" s="357"/>
      <c r="U201" s="357"/>
      <c r="V201" s="357"/>
      <c r="W201" s="357"/>
    </row>
    <row r="202">
      <c r="A202" s="358"/>
      <c r="B202" s="357"/>
      <c r="C202" s="358"/>
      <c r="D202" s="373"/>
      <c r="E202" s="373"/>
      <c r="F202" s="373"/>
      <c r="G202" s="374"/>
      <c r="H202" s="357"/>
      <c r="I202" s="358"/>
      <c r="J202" s="357"/>
      <c r="K202" s="358"/>
      <c r="L202" s="359"/>
      <c r="M202" s="307"/>
      <c r="N202" s="359"/>
      <c r="O202" s="307"/>
      <c r="P202" s="357"/>
      <c r="Q202" s="357"/>
      <c r="R202" s="357"/>
      <c r="S202" s="357"/>
      <c r="T202" s="357"/>
      <c r="U202" s="357"/>
      <c r="V202" s="357"/>
      <c r="W202" s="357"/>
    </row>
    <row r="203">
      <c r="A203" s="358"/>
      <c r="B203" s="357"/>
      <c r="C203" s="358"/>
      <c r="D203" s="373"/>
      <c r="E203" s="373"/>
      <c r="F203" s="373"/>
      <c r="G203" s="374"/>
      <c r="H203" s="357"/>
      <c r="I203" s="358"/>
      <c r="J203" s="357"/>
      <c r="K203" s="358"/>
      <c r="L203" s="359"/>
      <c r="M203" s="307"/>
      <c r="N203" s="359"/>
      <c r="O203" s="307"/>
      <c r="P203" s="357"/>
      <c r="Q203" s="357"/>
      <c r="R203" s="357"/>
      <c r="S203" s="357"/>
      <c r="T203" s="357"/>
      <c r="U203" s="357"/>
      <c r="V203" s="357"/>
      <c r="W203" s="357"/>
    </row>
    <row r="204">
      <c r="A204" s="358"/>
      <c r="B204" s="357"/>
      <c r="C204" s="358"/>
      <c r="D204" s="373"/>
      <c r="E204" s="373"/>
      <c r="F204" s="373"/>
      <c r="G204" s="374"/>
      <c r="H204" s="357"/>
      <c r="I204" s="358"/>
      <c r="J204" s="357"/>
      <c r="K204" s="358"/>
      <c r="L204" s="359"/>
      <c r="M204" s="307"/>
      <c r="N204" s="359"/>
      <c r="O204" s="307"/>
      <c r="P204" s="357"/>
      <c r="Q204" s="357"/>
      <c r="R204" s="357"/>
      <c r="S204" s="357"/>
      <c r="T204" s="357"/>
      <c r="U204" s="357"/>
      <c r="V204" s="357"/>
      <c r="W204" s="357"/>
    </row>
    <row r="205">
      <c r="A205" s="358"/>
      <c r="B205" s="357"/>
      <c r="C205" s="358"/>
      <c r="D205" s="373"/>
      <c r="E205" s="373"/>
      <c r="F205" s="373"/>
      <c r="G205" s="374"/>
      <c r="H205" s="357"/>
      <c r="I205" s="358"/>
      <c r="J205" s="357"/>
      <c r="K205" s="358"/>
      <c r="L205" s="359"/>
      <c r="M205" s="307"/>
      <c r="N205" s="359"/>
      <c r="O205" s="307"/>
      <c r="P205" s="357"/>
      <c r="Q205" s="357"/>
      <c r="R205" s="357"/>
      <c r="S205" s="357"/>
      <c r="T205" s="357"/>
      <c r="U205" s="357"/>
      <c r="V205" s="357"/>
      <c r="W205" s="357"/>
    </row>
    <row r="206">
      <c r="A206" s="358"/>
      <c r="B206" s="357"/>
      <c r="C206" s="358"/>
      <c r="D206" s="373"/>
      <c r="E206" s="373"/>
      <c r="F206" s="373"/>
      <c r="G206" s="374"/>
      <c r="H206" s="357"/>
      <c r="I206" s="358"/>
      <c r="J206" s="357"/>
      <c r="K206" s="358"/>
      <c r="L206" s="359"/>
      <c r="M206" s="307"/>
      <c r="N206" s="359"/>
      <c r="O206" s="307"/>
      <c r="P206" s="357"/>
      <c r="Q206" s="357"/>
      <c r="R206" s="357"/>
      <c r="S206" s="357"/>
      <c r="T206" s="357"/>
      <c r="U206" s="357"/>
      <c r="V206" s="357"/>
      <c r="W206" s="357"/>
    </row>
    <row r="207">
      <c r="A207" s="358"/>
      <c r="B207" s="357"/>
      <c r="C207" s="358"/>
      <c r="D207" s="373"/>
      <c r="E207" s="373"/>
      <c r="F207" s="373"/>
      <c r="G207" s="374"/>
      <c r="H207" s="357"/>
      <c r="I207" s="358"/>
      <c r="J207" s="357"/>
      <c r="K207" s="358"/>
      <c r="L207" s="359"/>
      <c r="M207" s="307"/>
      <c r="N207" s="359"/>
      <c r="O207" s="307"/>
      <c r="P207" s="357"/>
      <c r="Q207" s="357"/>
      <c r="R207" s="357"/>
      <c r="S207" s="357"/>
      <c r="T207" s="357"/>
      <c r="U207" s="357"/>
      <c r="V207" s="357"/>
      <c r="W207" s="357"/>
    </row>
    <row r="208">
      <c r="A208" s="358"/>
      <c r="B208" s="357"/>
      <c r="C208" s="358"/>
      <c r="D208" s="373"/>
      <c r="E208" s="373"/>
      <c r="F208" s="373"/>
      <c r="G208" s="374"/>
      <c r="H208" s="357"/>
      <c r="I208" s="358"/>
      <c r="J208" s="357"/>
      <c r="K208" s="358"/>
      <c r="L208" s="359"/>
      <c r="M208" s="307"/>
      <c r="N208" s="359"/>
      <c r="O208" s="307"/>
      <c r="P208" s="357"/>
      <c r="Q208" s="357"/>
      <c r="R208" s="357"/>
      <c r="S208" s="357"/>
      <c r="T208" s="357"/>
      <c r="U208" s="357"/>
      <c r="V208" s="357"/>
      <c r="W208" s="357"/>
    </row>
    <row r="209">
      <c r="A209" s="358"/>
      <c r="B209" s="357"/>
      <c r="C209" s="358"/>
      <c r="D209" s="373"/>
      <c r="E209" s="373"/>
      <c r="F209" s="373"/>
      <c r="G209" s="374"/>
      <c r="H209" s="357"/>
      <c r="I209" s="358"/>
      <c r="J209" s="357"/>
      <c r="K209" s="358"/>
      <c r="L209" s="359"/>
      <c r="M209" s="307"/>
      <c r="N209" s="359"/>
      <c r="O209" s="307"/>
      <c r="P209" s="357"/>
      <c r="Q209" s="357"/>
      <c r="R209" s="357"/>
      <c r="S209" s="357"/>
      <c r="T209" s="357"/>
      <c r="U209" s="357"/>
      <c r="V209" s="357"/>
      <c r="W209" s="357"/>
    </row>
    <row r="210">
      <c r="A210" s="358"/>
      <c r="B210" s="357"/>
      <c r="C210" s="358"/>
      <c r="D210" s="373"/>
      <c r="E210" s="373"/>
      <c r="F210" s="373"/>
      <c r="G210" s="374"/>
      <c r="H210" s="357"/>
      <c r="I210" s="358"/>
      <c r="J210" s="357"/>
      <c r="K210" s="358"/>
      <c r="L210" s="359"/>
      <c r="M210" s="307"/>
      <c r="N210" s="359"/>
      <c r="O210" s="307"/>
      <c r="P210" s="357"/>
      <c r="Q210" s="357"/>
      <c r="R210" s="357"/>
      <c r="S210" s="357"/>
      <c r="T210" s="357"/>
      <c r="U210" s="357"/>
      <c r="V210" s="357"/>
      <c r="W210" s="357"/>
    </row>
    <row r="211">
      <c r="A211" s="358"/>
      <c r="B211" s="357"/>
      <c r="C211" s="358"/>
      <c r="D211" s="373"/>
      <c r="E211" s="373"/>
      <c r="F211" s="373"/>
      <c r="G211" s="374"/>
      <c r="H211" s="357"/>
      <c r="I211" s="358"/>
      <c r="J211" s="357"/>
      <c r="K211" s="358"/>
      <c r="L211" s="359"/>
      <c r="M211" s="307"/>
      <c r="N211" s="359"/>
      <c r="O211" s="307"/>
      <c r="P211" s="357"/>
      <c r="Q211" s="357"/>
      <c r="R211" s="357"/>
      <c r="S211" s="357"/>
      <c r="T211" s="357"/>
      <c r="U211" s="357"/>
      <c r="V211" s="357"/>
      <c r="W211" s="357"/>
    </row>
    <row r="212">
      <c r="A212" s="358"/>
      <c r="B212" s="357"/>
      <c r="C212" s="358"/>
      <c r="D212" s="373"/>
      <c r="E212" s="373"/>
      <c r="F212" s="373"/>
      <c r="G212" s="374"/>
      <c r="H212" s="357"/>
      <c r="I212" s="358"/>
      <c r="J212" s="357"/>
      <c r="K212" s="358"/>
      <c r="L212" s="359"/>
      <c r="M212" s="307"/>
      <c r="N212" s="359"/>
      <c r="O212" s="307"/>
      <c r="P212" s="357"/>
      <c r="Q212" s="357"/>
      <c r="R212" s="357"/>
      <c r="S212" s="357"/>
      <c r="T212" s="357"/>
      <c r="U212" s="357"/>
      <c r="V212" s="357"/>
      <c r="W212" s="357"/>
    </row>
    <row r="213">
      <c r="A213" s="358"/>
      <c r="B213" s="357"/>
      <c r="C213" s="358"/>
      <c r="D213" s="373"/>
      <c r="E213" s="373"/>
      <c r="F213" s="373"/>
      <c r="G213" s="374"/>
      <c r="H213" s="357"/>
      <c r="I213" s="358"/>
      <c r="J213" s="357"/>
      <c r="K213" s="358"/>
      <c r="L213" s="359"/>
      <c r="M213" s="307"/>
      <c r="N213" s="359"/>
      <c r="O213" s="307"/>
      <c r="P213" s="357"/>
      <c r="Q213" s="357"/>
      <c r="R213" s="357"/>
      <c r="S213" s="357"/>
      <c r="T213" s="357"/>
      <c r="U213" s="357"/>
      <c r="V213" s="357"/>
      <c r="W213" s="357"/>
    </row>
    <row r="214">
      <c r="A214" s="358"/>
      <c r="B214" s="357"/>
      <c r="C214" s="358"/>
      <c r="D214" s="373"/>
      <c r="E214" s="373"/>
      <c r="F214" s="373"/>
      <c r="G214" s="374"/>
      <c r="H214" s="357"/>
      <c r="I214" s="358"/>
      <c r="J214" s="357"/>
      <c r="K214" s="358"/>
      <c r="L214" s="359"/>
      <c r="M214" s="307"/>
      <c r="N214" s="359"/>
      <c r="O214" s="307"/>
      <c r="P214" s="357"/>
      <c r="Q214" s="357"/>
      <c r="R214" s="357"/>
      <c r="S214" s="357"/>
      <c r="T214" s="357"/>
      <c r="U214" s="357"/>
      <c r="V214" s="357"/>
      <c r="W214" s="357"/>
    </row>
    <row r="215">
      <c r="A215" s="358"/>
      <c r="B215" s="357"/>
      <c r="C215" s="358"/>
      <c r="D215" s="373"/>
      <c r="E215" s="373"/>
      <c r="F215" s="373"/>
      <c r="G215" s="374"/>
      <c r="H215" s="357"/>
      <c r="I215" s="358"/>
      <c r="J215" s="357"/>
      <c r="K215" s="358"/>
      <c r="L215" s="359"/>
      <c r="M215" s="307"/>
      <c r="N215" s="359"/>
      <c r="O215" s="307"/>
      <c r="P215" s="357"/>
      <c r="Q215" s="357"/>
      <c r="R215" s="357"/>
      <c r="S215" s="357"/>
      <c r="T215" s="357"/>
      <c r="U215" s="357"/>
      <c r="V215" s="357"/>
      <c r="W215" s="357"/>
    </row>
    <row r="216">
      <c r="A216" s="358"/>
      <c r="B216" s="357"/>
      <c r="C216" s="358"/>
      <c r="D216" s="373"/>
      <c r="E216" s="373"/>
      <c r="F216" s="373"/>
      <c r="G216" s="374"/>
      <c r="H216" s="357"/>
      <c r="I216" s="358"/>
      <c r="J216" s="357"/>
      <c r="K216" s="358"/>
      <c r="L216" s="359"/>
      <c r="M216" s="307"/>
      <c r="N216" s="359"/>
      <c r="O216" s="307"/>
      <c r="P216" s="357"/>
      <c r="Q216" s="357"/>
      <c r="R216" s="357"/>
      <c r="S216" s="357"/>
      <c r="T216" s="357"/>
      <c r="U216" s="357"/>
      <c r="V216" s="357"/>
      <c r="W216" s="357"/>
    </row>
    <row r="217">
      <c r="A217" s="358"/>
      <c r="B217" s="357"/>
      <c r="C217" s="358"/>
      <c r="D217" s="373"/>
      <c r="E217" s="373"/>
      <c r="F217" s="373"/>
      <c r="G217" s="374"/>
      <c r="H217" s="357"/>
      <c r="I217" s="358"/>
      <c r="J217" s="357"/>
      <c r="K217" s="358"/>
      <c r="L217" s="359"/>
      <c r="M217" s="307"/>
      <c r="N217" s="359"/>
      <c r="O217" s="307"/>
      <c r="P217" s="357"/>
      <c r="Q217" s="357"/>
      <c r="R217" s="357"/>
      <c r="S217" s="357"/>
      <c r="T217" s="357"/>
      <c r="U217" s="357"/>
      <c r="V217" s="357"/>
      <c r="W217" s="357"/>
    </row>
    <row r="218">
      <c r="A218" s="358"/>
      <c r="B218" s="357"/>
      <c r="C218" s="358"/>
      <c r="D218" s="373"/>
      <c r="E218" s="373"/>
      <c r="F218" s="373"/>
      <c r="G218" s="374"/>
      <c r="H218" s="357"/>
      <c r="I218" s="358"/>
      <c r="J218" s="357"/>
      <c r="K218" s="358"/>
      <c r="L218" s="359"/>
      <c r="M218" s="307"/>
      <c r="N218" s="359"/>
      <c r="O218" s="307"/>
      <c r="P218" s="357"/>
      <c r="Q218" s="357"/>
      <c r="R218" s="357"/>
      <c r="S218" s="357"/>
      <c r="T218" s="357"/>
      <c r="U218" s="357"/>
      <c r="V218" s="357"/>
      <c r="W218" s="357"/>
    </row>
    <row r="219">
      <c r="A219" s="358"/>
      <c r="B219" s="357"/>
      <c r="C219" s="358"/>
      <c r="D219" s="373"/>
      <c r="E219" s="373"/>
      <c r="F219" s="373"/>
      <c r="G219" s="374"/>
      <c r="H219" s="357"/>
      <c r="I219" s="358"/>
      <c r="J219" s="357"/>
      <c r="K219" s="358"/>
      <c r="L219" s="359"/>
      <c r="M219" s="307"/>
      <c r="N219" s="359"/>
      <c r="O219" s="307"/>
      <c r="P219" s="357"/>
      <c r="Q219" s="357"/>
      <c r="R219" s="357"/>
      <c r="S219" s="357"/>
      <c r="T219" s="357"/>
      <c r="U219" s="357"/>
      <c r="V219" s="357"/>
      <c r="W219" s="357"/>
    </row>
    <row r="220">
      <c r="A220" s="358"/>
      <c r="B220" s="357"/>
      <c r="C220" s="358"/>
      <c r="D220" s="373"/>
      <c r="E220" s="373"/>
      <c r="F220" s="373"/>
      <c r="G220" s="374"/>
      <c r="H220" s="357"/>
      <c r="I220" s="358"/>
      <c r="J220" s="357"/>
      <c r="K220" s="358"/>
      <c r="L220" s="359"/>
      <c r="M220" s="307"/>
      <c r="N220" s="359"/>
      <c r="O220" s="307"/>
      <c r="P220" s="357"/>
      <c r="Q220" s="357"/>
      <c r="R220" s="357"/>
      <c r="S220" s="357"/>
      <c r="T220" s="357"/>
      <c r="U220" s="357"/>
      <c r="V220" s="357"/>
      <c r="W220" s="357"/>
    </row>
    <row r="221">
      <c r="A221" s="358"/>
      <c r="B221" s="357"/>
      <c r="C221" s="358"/>
      <c r="D221" s="373"/>
      <c r="E221" s="373"/>
      <c r="F221" s="373"/>
      <c r="G221" s="374"/>
      <c r="H221" s="357"/>
      <c r="I221" s="358"/>
      <c r="J221" s="357"/>
      <c r="K221" s="358"/>
      <c r="L221" s="359"/>
      <c r="M221" s="307"/>
      <c r="N221" s="359"/>
      <c r="O221" s="307"/>
      <c r="P221" s="357"/>
      <c r="Q221" s="357"/>
      <c r="R221" s="357"/>
      <c r="S221" s="357"/>
      <c r="T221" s="357"/>
      <c r="U221" s="357"/>
      <c r="V221" s="357"/>
      <c r="W221" s="357"/>
    </row>
    <row r="222">
      <c r="A222" s="358"/>
      <c r="B222" s="357"/>
      <c r="C222" s="358"/>
      <c r="D222" s="373"/>
      <c r="E222" s="373"/>
      <c r="F222" s="373"/>
      <c r="G222" s="374"/>
      <c r="H222" s="357"/>
      <c r="I222" s="358"/>
      <c r="J222" s="357"/>
      <c r="K222" s="358"/>
      <c r="L222" s="359"/>
      <c r="M222" s="307"/>
      <c r="N222" s="359"/>
      <c r="O222" s="307"/>
      <c r="P222" s="357"/>
      <c r="Q222" s="357"/>
      <c r="R222" s="357"/>
      <c r="S222" s="357"/>
      <c r="T222" s="357"/>
      <c r="U222" s="357"/>
      <c r="V222" s="357"/>
      <c r="W222" s="357"/>
    </row>
    <row r="223">
      <c r="A223" s="358"/>
      <c r="B223" s="357"/>
      <c r="C223" s="358"/>
      <c r="D223" s="373"/>
      <c r="E223" s="373"/>
      <c r="F223" s="373"/>
      <c r="G223" s="374"/>
      <c r="H223" s="357"/>
      <c r="I223" s="358"/>
      <c r="J223" s="357"/>
      <c r="K223" s="358"/>
      <c r="L223" s="359"/>
      <c r="M223" s="307"/>
      <c r="N223" s="359"/>
      <c r="O223" s="307"/>
      <c r="P223" s="357"/>
      <c r="Q223" s="357"/>
      <c r="R223" s="357"/>
      <c r="S223" s="357"/>
      <c r="T223" s="357"/>
      <c r="U223" s="357"/>
      <c r="V223" s="357"/>
      <c r="W223" s="357"/>
    </row>
    <row r="224">
      <c r="A224" s="358"/>
      <c r="B224" s="357"/>
      <c r="C224" s="358"/>
      <c r="D224" s="373"/>
      <c r="E224" s="373"/>
      <c r="F224" s="373"/>
      <c r="G224" s="374"/>
      <c r="H224" s="357"/>
      <c r="I224" s="358"/>
      <c r="J224" s="357"/>
      <c r="K224" s="358"/>
      <c r="L224" s="359"/>
      <c r="M224" s="307"/>
      <c r="N224" s="359"/>
      <c r="O224" s="307"/>
      <c r="P224" s="357"/>
      <c r="Q224" s="357"/>
      <c r="R224" s="357"/>
      <c r="S224" s="357"/>
      <c r="T224" s="357"/>
      <c r="U224" s="357"/>
      <c r="V224" s="357"/>
      <c r="W224" s="357"/>
    </row>
    <row r="225">
      <c r="A225" s="358"/>
      <c r="B225" s="357"/>
      <c r="C225" s="358"/>
      <c r="D225" s="373"/>
      <c r="E225" s="373"/>
      <c r="F225" s="373"/>
      <c r="G225" s="374"/>
      <c r="H225" s="357"/>
      <c r="I225" s="358"/>
      <c r="J225" s="357"/>
      <c r="K225" s="358"/>
      <c r="L225" s="359"/>
      <c r="M225" s="307"/>
      <c r="N225" s="359"/>
      <c r="O225" s="307"/>
      <c r="P225" s="357"/>
      <c r="Q225" s="357"/>
      <c r="R225" s="357"/>
      <c r="S225" s="357"/>
      <c r="T225" s="357"/>
      <c r="U225" s="357"/>
      <c r="V225" s="357"/>
      <c r="W225" s="357"/>
    </row>
    <row r="226">
      <c r="A226" s="358"/>
      <c r="B226" s="357"/>
      <c r="C226" s="358"/>
      <c r="D226" s="373"/>
      <c r="E226" s="373"/>
      <c r="F226" s="373"/>
      <c r="G226" s="374"/>
      <c r="H226" s="357"/>
      <c r="I226" s="358"/>
      <c r="J226" s="357"/>
      <c r="K226" s="358"/>
      <c r="L226" s="359"/>
      <c r="M226" s="307"/>
      <c r="N226" s="359"/>
      <c r="O226" s="307"/>
      <c r="P226" s="357"/>
      <c r="Q226" s="357"/>
      <c r="R226" s="357"/>
      <c r="S226" s="357"/>
      <c r="T226" s="357"/>
      <c r="U226" s="357"/>
      <c r="V226" s="357"/>
      <c r="W226" s="357"/>
    </row>
    <row r="227">
      <c r="A227" s="358"/>
      <c r="B227" s="357"/>
      <c r="C227" s="358"/>
      <c r="D227" s="373"/>
      <c r="E227" s="373"/>
      <c r="F227" s="373"/>
      <c r="G227" s="374"/>
      <c r="H227" s="357"/>
      <c r="I227" s="358"/>
      <c r="J227" s="357"/>
      <c r="K227" s="358"/>
      <c r="L227" s="359"/>
      <c r="M227" s="307"/>
      <c r="N227" s="359"/>
      <c r="O227" s="307"/>
      <c r="P227" s="357"/>
      <c r="Q227" s="357"/>
      <c r="R227" s="357"/>
      <c r="S227" s="357"/>
      <c r="T227" s="357"/>
      <c r="U227" s="357"/>
      <c r="V227" s="357"/>
      <c r="W227" s="357"/>
    </row>
    <row r="228">
      <c r="A228" s="358"/>
      <c r="B228" s="357"/>
      <c r="C228" s="358"/>
      <c r="D228" s="373"/>
      <c r="E228" s="373"/>
      <c r="F228" s="373"/>
      <c r="G228" s="374"/>
      <c r="H228" s="357"/>
      <c r="I228" s="358"/>
      <c r="J228" s="357"/>
      <c r="K228" s="358"/>
      <c r="L228" s="359"/>
      <c r="M228" s="307"/>
      <c r="N228" s="359"/>
      <c r="O228" s="307"/>
      <c r="P228" s="357"/>
      <c r="Q228" s="357"/>
      <c r="R228" s="357"/>
      <c r="S228" s="357"/>
      <c r="T228" s="357"/>
      <c r="U228" s="357"/>
      <c r="V228" s="357"/>
      <c r="W228" s="357"/>
    </row>
    <row r="229">
      <c r="A229" s="358"/>
      <c r="B229" s="357"/>
      <c r="C229" s="358"/>
      <c r="D229" s="373"/>
      <c r="E229" s="373"/>
      <c r="F229" s="373"/>
      <c r="G229" s="374"/>
      <c r="H229" s="357"/>
      <c r="I229" s="358"/>
      <c r="J229" s="357"/>
      <c r="K229" s="358"/>
      <c r="L229" s="359"/>
      <c r="M229" s="307"/>
      <c r="N229" s="359"/>
      <c r="O229" s="307"/>
      <c r="P229" s="357"/>
      <c r="Q229" s="357"/>
      <c r="R229" s="357"/>
      <c r="S229" s="357"/>
      <c r="T229" s="357"/>
      <c r="U229" s="357"/>
      <c r="V229" s="357"/>
      <c r="W229" s="357"/>
    </row>
    <row r="230">
      <c r="A230" s="358"/>
      <c r="B230" s="357"/>
      <c r="C230" s="358"/>
      <c r="D230" s="373"/>
      <c r="E230" s="373"/>
      <c r="F230" s="373"/>
      <c r="G230" s="374"/>
      <c r="H230" s="357"/>
      <c r="I230" s="358"/>
      <c r="J230" s="357"/>
      <c r="K230" s="358"/>
      <c r="L230" s="359"/>
      <c r="M230" s="307"/>
      <c r="N230" s="359"/>
      <c r="O230" s="307"/>
      <c r="P230" s="357"/>
      <c r="Q230" s="357"/>
      <c r="R230" s="357"/>
      <c r="S230" s="357"/>
      <c r="T230" s="357"/>
      <c r="U230" s="357"/>
      <c r="V230" s="357"/>
      <c r="W230" s="357"/>
    </row>
    <row r="231">
      <c r="A231" s="358"/>
      <c r="B231" s="357"/>
      <c r="C231" s="358"/>
      <c r="D231" s="373"/>
      <c r="E231" s="373"/>
      <c r="F231" s="373"/>
      <c r="G231" s="374"/>
      <c r="H231" s="357"/>
      <c r="I231" s="358"/>
      <c r="J231" s="357"/>
      <c r="K231" s="358"/>
      <c r="L231" s="359"/>
      <c r="M231" s="307"/>
      <c r="N231" s="359"/>
      <c r="O231" s="307"/>
      <c r="P231" s="357"/>
      <c r="Q231" s="357"/>
      <c r="R231" s="357"/>
      <c r="S231" s="357"/>
      <c r="T231" s="357"/>
      <c r="U231" s="357"/>
      <c r="V231" s="357"/>
      <c r="W231" s="357"/>
    </row>
    <row r="232">
      <c r="A232" s="358"/>
      <c r="B232" s="357"/>
      <c r="C232" s="358"/>
      <c r="D232" s="373"/>
      <c r="E232" s="373"/>
      <c r="F232" s="373"/>
      <c r="G232" s="374"/>
      <c r="H232" s="357"/>
      <c r="I232" s="358"/>
      <c r="J232" s="357"/>
      <c r="K232" s="358"/>
      <c r="L232" s="359"/>
      <c r="M232" s="307"/>
      <c r="N232" s="359"/>
      <c r="O232" s="307"/>
      <c r="P232" s="357"/>
      <c r="Q232" s="357"/>
      <c r="R232" s="357"/>
      <c r="S232" s="357"/>
      <c r="T232" s="357"/>
      <c r="U232" s="357"/>
      <c r="V232" s="357"/>
      <c r="W232" s="357"/>
    </row>
    <row r="233">
      <c r="A233" s="358"/>
      <c r="B233" s="357"/>
      <c r="C233" s="358"/>
      <c r="D233" s="373"/>
      <c r="E233" s="373"/>
      <c r="F233" s="373"/>
      <c r="G233" s="374"/>
      <c r="H233" s="357"/>
      <c r="I233" s="358"/>
      <c r="J233" s="357"/>
      <c r="K233" s="358"/>
      <c r="L233" s="359"/>
      <c r="M233" s="307"/>
      <c r="N233" s="359"/>
      <c r="O233" s="307"/>
      <c r="P233" s="357"/>
      <c r="Q233" s="357"/>
      <c r="R233" s="357"/>
      <c r="S233" s="357"/>
      <c r="T233" s="357"/>
      <c r="U233" s="357"/>
      <c r="V233" s="357"/>
      <c r="W233" s="357"/>
    </row>
    <row r="234">
      <c r="A234" s="358"/>
      <c r="B234" s="357"/>
      <c r="C234" s="358"/>
      <c r="D234" s="373"/>
      <c r="E234" s="373"/>
      <c r="F234" s="373"/>
      <c r="G234" s="374"/>
      <c r="H234" s="357"/>
      <c r="I234" s="358"/>
      <c r="J234" s="357"/>
      <c r="K234" s="358"/>
      <c r="L234" s="359"/>
      <c r="M234" s="307"/>
      <c r="N234" s="359"/>
      <c r="O234" s="307"/>
      <c r="P234" s="357"/>
      <c r="Q234" s="357"/>
      <c r="R234" s="357"/>
      <c r="S234" s="357"/>
      <c r="T234" s="357"/>
      <c r="U234" s="357"/>
      <c r="V234" s="357"/>
      <c r="W234" s="357"/>
    </row>
    <row r="235">
      <c r="A235" s="358"/>
      <c r="B235" s="357"/>
      <c r="C235" s="358"/>
      <c r="D235" s="373"/>
      <c r="E235" s="373"/>
      <c r="F235" s="373"/>
      <c r="G235" s="374"/>
      <c r="H235" s="357"/>
      <c r="I235" s="358"/>
      <c r="J235" s="357"/>
      <c r="K235" s="358"/>
      <c r="L235" s="359"/>
      <c r="M235" s="307"/>
      <c r="N235" s="359"/>
      <c r="O235" s="307"/>
      <c r="P235" s="357"/>
      <c r="Q235" s="357"/>
      <c r="R235" s="357"/>
      <c r="S235" s="357"/>
      <c r="T235" s="357"/>
      <c r="U235" s="357"/>
      <c r="V235" s="357"/>
      <c r="W235" s="357"/>
    </row>
    <row r="236">
      <c r="A236" s="358"/>
      <c r="B236" s="357"/>
      <c r="C236" s="358"/>
      <c r="D236" s="373"/>
      <c r="E236" s="373"/>
      <c r="F236" s="373"/>
      <c r="G236" s="374"/>
      <c r="H236" s="357"/>
      <c r="I236" s="358"/>
      <c r="J236" s="357"/>
      <c r="K236" s="358"/>
      <c r="L236" s="359"/>
      <c r="M236" s="307"/>
      <c r="N236" s="359"/>
      <c r="O236" s="307"/>
      <c r="P236" s="357"/>
      <c r="Q236" s="357"/>
      <c r="R236" s="357"/>
      <c r="S236" s="357"/>
      <c r="T236" s="357"/>
      <c r="U236" s="357"/>
      <c r="V236" s="357"/>
      <c r="W236" s="357"/>
    </row>
    <row r="237">
      <c r="A237" s="358"/>
      <c r="B237" s="357"/>
      <c r="C237" s="358"/>
      <c r="D237" s="373"/>
      <c r="E237" s="373"/>
      <c r="F237" s="373"/>
      <c r="G237" s="374"/>
      <c r="H237" s="357"/>
      <c r="I237" s="358"/>
      <c r="J237" s="357"/>
      <c r="K237" s="358"/>
      <c r="L237" s="359"/>
      <c r="M237" s="307"/>
      <c r="N237" s="359"/>
      <c r="O237" s="307"/>
      <c r="P237" s="357"/>
      <c r="Q237" s="357"/>
      <c r="R237" s="357"/>
      <c r="S237" s="357"/>
      <c r="T237" s="357"/>
      <c r="U237" s="357"/>
      <c r="V237" s="357"/>
      <c r="W237" s="357"/>
    </row>
    <row r="238">
      <c r="A238" s="358"/>
      <c r="B238" s="357"/>
      <c r="C238" s="358"/>
      <c r="D238" s="373"/>
      <c r="E238" s="373"/>
      <c r="F238" s="373"/>
      <c r="G238" s="374"/>
      <c r="H238" s="357"/>
      <c r="I238" s="358"/>
      <c r="J238" s="357"/>
      <c r="K238" s="358"/>
      <c r="L238" s="359"/>
      <c r="M238" s="307"/>
      <c r="N238" s="359"/>
      <c r="O238" s="307"/>
      <c r="P238" s="357"/>
      <c r="Q238" s="357"/>
      <c r="R238" s="357"/>
      <c r="S238" s="357"/>
      <c r="T238" s="357"/>
      <c r="U238" s="357"/>
      <c r="V238" s="357"/>
      <c r="W238" s="357"/>
    </row>
    <row r="239">
      <c r="A239" s="358"/>
      <c r="B239" s="357"/>
      <c r="C239" s="358"/>
      <c r="D239" s="373"/>
      <c r="E239" s="373"/>
      <c r="F239" s="373"/>
      <c r="G239" s="374"/>
      <c r="H239" s="357"/>
      <c r="I239" s="358"/>
      <c r="J239" s="357"/>
      <c r="K239" s="358"/>
      <c r="L239" s="359"/>
      <c r="M239" s="307"/>
      <c r="N239" s="359"/>
      <c r="O239" s="307"/>
      <c r="P239" s="357"/>
      <c r="Q239" s="357"/>
      <c r="R239" s="357"/>
      <c r="S239" s="357"/>
      <c r="T239" s="357"/>
      <c r="U239" s="357"/>
      <c r="V239" s="357"/>
      <c r="W239" s="357"/>
    </row>
    <row r="240">
      <c r="A240" s="358"/>
      <c r="B240" s="357"/>
      <c r="C240" s="358"/>
      <c r="D240" s="373"/>
      <c r="E240" s="373"/>
      <c r="F240" s="373"/>
      <c r="G240" s="374"/>
      <c r="H240" s="357"/>
      <c r="I240" s="358"/>
      <c r="J240" s="357"/>
      <c r="K240" s="358"/>
      <c r="L240" s="359"/>
      <c r="M240" s="307"/>
      <c r="N240" s="359"/>
      <c r="O240" s="307"/>
      <c r="P240" s="357"/>
      <c r="Q240" s="357"/>
      <c r="R240" s="357"/>
      <c r="S240" s="357"/>
      <c r="T240" s="357"/>
      <c r="U240" s="357"/>
      <c r="V240" s="357"/>
      <c r="W240" s="357"/>
    </row>
    <row r="241">
      <c r="A241" s="358"/>
      <c r="B241" s="357"/>
      <c r="C241" s="358"/>
      <c r="D241" s="373"/>
      <c r="E241" s="373"/>
      <c r="F241" s="373"/>
      <c r="G241" s="374"/>
      <c r="H241" s="357"/>
      <c r="I241" s="358"/>
      <c r="J241" s="357"/>
      <c r="K241" s="358"/>
      <c r="L241" s="359"/>
      <c r="M241" s="307"/>
      <c r="N241" s="359"/>
      <c r="O241" s="307"/>
      <c r="P241" s="357"/>
      <c r="Q241" s="357"/>
      <c r="R241" s="357"/>
      <c r="S241" s="357"/>
      <c r="T241" s="357"/>
      <c r="U241" s="357"/>
      <c r="V241" s="357"/>
      <c r="W241" s="357"/>
    </row>
    <row r="242">
      <c r="A242" s="358"/>
      <c r="B242" s="357"/>
      <c r="C242" s="358"/>
      <c r="D242" s="373"/>
      <c r="E242" s="373"/>
      <c r="F242" s="373"/>
      <c r="G242" s="374"/>
      <c r="H242" s="357"/>
      <c r="I242" s="358"/>
      <c r="J242" s="357"/>
      <c r="K242" s="358"/>
      <c r="L242" s="359"/>
      <c r="M242" s="307"/>
      <c r="N242" s="359"/>
      <c r="O242" s="307"/>
      <c r="P242" s="357"/>
      <c r="Q242" s="357"/>
      <c r="R242" s="357"/>
      <c r="S242" s="357"/>
      <c r="T242" s="357"/>
      <c r="U242" s="357"/>
      <c r="V242" s="357"/>
      <c r="W242" s="357"/>
    </row>
    <row r="243">
      <c r="A243" s="358"/>
      <c r="B243" s="357"/>
      <c r="C243" s="358"/>
      <c r="D243" s="373"/>
      <c r="E243" s="373"/>
      <c r="F243" s="373"/>
      <c r="G243" s="374"/>
      <c r="H243" s="357"/>
      <c r="I243" s="358"/>
      <c r="J243" s="357"/>
      <c r="K243" s="358"/>
      <c r="L243" s="359"/>
      <c r="M243" s="307"/>
      <c r="N243" s="359"/>
      <c r="O243" s="307"/>
      <c r="P243" s="357"/>
      <c r="Q243" s="357"/>
      <c r="R243" s="357"/>
      <c r="S243" s="357"/>
      <c r="T243" s="357"/>
      <c r="U243" s="357"/>
      <c r="V243" s="357"/>
      <c r="W243" s="357"/>
    </row>
    <row r="244">
      <c r="A244" s="358"/>
      <c r="B244" s="357"/>
      <c r="C244" s="358"/>
      <c r="D244" s="373"/>
      <c r="E244" s="373"/>
      <c r="F244" s="373"/>
      <c r="G244" s="374"/>
      <c r="H244" s="357"/>
      <c r="I244" s="358"/>
      <c r="J244" s="357"/>
      <c r="K244" s="358"/>
      <c r="L244" s="359"/>
      <c r="M244" s="307"/>
      <c r="N244" s="359"/>
      <c r="O244" s="307"/>
      <c r="P244" s="357"/>
      <c r="Q244" s="357"/>
      <c r="R244" s="357"/>
      <c r="S244" s="357"/>
      <c r="T244" s="357"/>
      <c r="U244" s="357"/>
      <c r="V244" s="357"/>
      <c r="W244" s="357"/>
    </row>
    <row r="245">
      <c r="A245" s="358"/>
      <c r="B245" s="357"/>
      <c r="C245" s="358"/>
      <c r="D245" s="373"/>
      <c r="E245" s="373"/>
      <c r="F245" s="373"/>
      <c r="G245" s="374"/>
      <c r="H245" s="357"/>
      <c r="I245" s="358"/>
      <c r="J245" s="357"/>
      <c r="K245" s="358"/>
      <c r="L245" s="359"/>
      <c r="M245" s="307"/>
      <c r="N245" s="359"/>
      <c r="O245" s="307"/>
      <c r="P245" s="357"/>
      <c r="Q245" s="357"/>
      <c r="R245" s="357"/>
      <c r="S245" s="357"/>
      <c r="T245" s="357"/>
      <c r="U245" s="357"/>
      <c r="V245" s="357"/>
      <c r="W245" s="357"/>
    </row>
    <row r="246">
      <c r="A246" s="358"/>
      <c r="B246" s="357"/>
      <c r="C246" s="358"/>
      <c r="D246" s="373"/>
      <c r="E246" s="373"/>
      <c r="F246" s="373"/>
      <c r="G246" s="374"/>
      <c r="H246" s="357"/>
      <c r="I246" s="358"/>
      <c r="J246" s="357"/>
      <c r="K246" s="358"/>
      <c r="L246" s="359"/>
      <c r="M246" s="307"/>
      <c r="N246" s="359"/>
      <c r="O246" s="307"/>
      <c r="P246" s="357"/>
      <c r="Q246" s="357"/>
      <c r="R246" s="357"/>
      <c r="S246" s="357"/>
      <c r="T246" s="357"/>
      <c r="U246" s="357"/>
      <c r="V246" s="357"/>
      <c r="W246" s="357"/>
    </row>
    <row r="247">
      <c r="A247" s="358"/>
      <c r="B247" s="357"/>
      <c r="C247" s="358"/>
      <c r="D247" s="373"/>
      <c r="E247" s="373"/>
      <c r="F247" s="373"/>
      <c r="G247" s="374"/>
      <c r="H247" s="357"/>
      <c r="I247" s="358"/>
      <c r="J247" s="357"/>
      <c r="K247" s="358"/>
      <c r="L247" s="359"/>
      <c r="M247" s="307"/>
      <c r="N247" s="359"/>
      <c r="O247" s="307"/>
      <c r="P247" s="357"/>
      <c r="Q247" s="357"/>
      <c r="R247" s="357"/>
      <c r="S247" s="357"/>
      <c r="T247" s="357"/>
      <c r="U247" s="357"/>
      <c r="V247" s="357"/>
      <c r="W247" s="357"/>
    </row>
    <row r="248">
      <c r="A248" s="358"/>
      <c r="B248" s="357"/>
      <c r="C248" s="358"/>
      <c r="D248" s="373"/>
      <c r="E248" s="373"/>
      <c r="F248" s="373"/>
      <c r="G248" s="374"/>
      <c r="H248" s="357"/>
      <c r="I248" s="358"/>
      <c r="J248" s="357"/>
      <c r="K248" s="358"/>
      <c r="L248" s="359"/>
      <c r="M248" s="307"/>
      <c r="N248" s="359"/>
      <c r="O248" s="307"/>
      <c r="P248" s="357"/>
      <c r="Q248" s="357"/>
      <c r="R248" s="357"/>
      <c r="S248" s="357"/>
      <c r="T248" s="357"/>
      <c r="U248" s="357"/>
      <c r="V248" s="357"/>
      <c r="W248" s="357"/>
    </row>
    <row r="249">
      <c r="A249" s="358"/>
      <c r="B249" s="357"/>
      <c r="C249" s="358"/>
      <c r="D249" s="373"/>
      <c r="E249" s="373"/>
      <c r="F249" s="373"/>
      <c r="G249" s="374"/>
      <c r="H249" s="357"/>
      <c r="I249" s="358"/>
      <c r="J249" s="357"/>
      <c r="K249" s="358"/>
      <c r="L249" s="359"/>
      <c r="M249" s="307"/>
      <c r="N249" s="359"/>
      <c r="O249" s="307"/>
      <c r="P249" s="357"/>
      <c r="Q249" s="357"/>
      <c r="R249" s="357"/>
      <c r="S249" s="357"/>
      <c r="T249" s="357"/>
      <c r="U249" s="357"/>
      <c r="V249" s="357"/>
      <c r="W249" s="357"/>
    </row>
    <row r="250">
      <c r="A250" s="358"/>
      <c r="B250" s="357"/>
      <c r="C250" s="358"/>
      <c r="D250" s="373"/>
      <c r="E250" s="373"/>
      <c r="F250" s="373"/>
      <c r="G250" s="374"/>
      <c r="H250" s="357"/>
      <c r="I250" s="358"/>
      <c r="J250" s="357"/>
      <c r="K250" s="358"/>
      <c r="L250" s="359"/>
      <c r="M250" s="307"/>
      <c r="N250" s="359"/>
      <c r="O250" s="307"/>
      <c r="P250" s="357"/>
      <c r="Q250" s="357"/>
      <c r="R250" s="357"/>
      <c r="S250" s="357"/>
      <c r="T250" s="357"/>
      <c r="U250" s="357"/>
      <c r="V250" s="357"/>
      <c r="W250" s="357"/>
    </row>
    <row r="251">
      <c r="A251" s="358"/>
      <c r="B251" s="357"/>
      <c r="C251" s="358"/>
      <c r="D251" s="373"/>
      <c r="E251" s="373"/>
      <c r="F251" s="373"/>
      <c r="G251" s="374"/>
      <c r="H251" s="357"/>
      <c r="I251" s="358"/>
      <c r="J251" s="357"/>
      <c r="K251" s="358"/>
      <c r="L251" s="359"/>
      <c r="M251" s="307"/>
      <c r="N251" s="359"/>
      <c r="O251" s="307"/>
      <c r="P251" s="357"/>
      <c r="Q251" s="357"/>
      <c r="R251" s="357"/>
      <c r="S251" s="357"/>
      <c r="T251" s="357"/>
      <c r="U251" s="357"/>
      <c r="V251" s="357"/>
      <c r="W251" s="357"/>
    </row>
    <row r="252">
      <c r="A252" s="358"/>
      <c r="B252" s="357"/>
      <c r="C252" s="358"/>
      <c r="D252" s="373"/>
      <c r="E252" s="373"/>
      <c r="F252" s="373"/>
      <c r="G252" s="374"/>
      <c r="H252" s="357"/>
      <c r="I252" s="358"/>
      <c r="J252" s="357"/>
      <c r="K252" s="358"/>
      <c r="L252" s="359"/>
      <c r="M252" s="307"/>
      <c r="N252" s="359"/>
      <c r="O252" s="307"/>
      <c r="P252" s="357"/>
      <c r="Q252" s="357"/>
      <c r="R252" s="357"/>
      <c r="S252" s="357"/>
      <c r="T252" s="357"/>
      <c r="U252" s="357"/>
      <c r="V252" s="357"/>
      <c r="W252" s="357"/>
    </row>
    <row r="253">
      <c r="A253" s="358"/>
      <c r="B253" s="357"/>
      <c r="C253" s="358"/>
      <c r="D253" s="373"/>
      <c r="E253" s="373"/>
      <c r="F253" s="373"/>
      <c r="G253" s="374"/>
      <c r="H253" s="357"/>
      <c r="I253" s="358"/>
      <c r="J253" s="357"/>
      <c r="K253" s="358"/>
      <c r="L253" s="359"/>
      <c r="M253" s="307"/>
      <c r="N253" s="359"/>
      <c r="O253" s="307"/>
      <c r="P253" s="357"/>
      <c r="Q253" s="357"/>
      <c r="R253" s="357"/>
      <c r="S253" s="357"/>
      <c r="T253" s="357"/>
      <c r="U253" s="357"/>
      <c r="V253" s="357"/>
      <c r="W253" s="357"/>
    </row>
    <row r="254">
      <c r="A254" s="358"/>
      <c r="B254" s="357"/>
      <c r="C254" s="358"/>
      <c r="D254" s="373"/>
      <c r="E254" s="373"/>
      <c r="F254" s="373"/>
      <c r="G254" s="374"/>
      <c r="H254" s="357"/>
      <c r="I254" s="358"/>
      <c r="J254" s="357"/>
      <c r="K254" s="358"/>
      <c r="L254" s="359"/>
      <c r="M254" s="307"/>
      <c r="N254" s="359"/>
      <c r="O254" s="307"/>
      <c r="P254" s="357"/>
      <c r="Q254" s="357"/>
      <c r="R254" s="357"/>
      <c r="S254" s="357"/>
      <c r="T254" s="357"/>
      <c r="U254" s="357"/>
      <c r="V254" s="357"/>
      <c r="W254" s="357"/>
    </row>
    <row r="255">
      <c r="A255" s="358"/>
      <c r="B255" s="357"/>
      <c r="C255" s="358"/>
      <c r="D255" s="373"/>
      <c r="E255" s="373"/>
      <c r="F255" s="373"/>
      <c r="G255" s="374"/>
      <c r="H255" s="357"/>
      <c r="I255" s="358"/>
      <c r="J255" s="357"/>
      <c r="K255" s="358"/>
      <c r="L255" s="359"/>
      <c r="M255" s="307"/>
      <c r="N255" s="359"/>
      <c r="O255" s="307"/>
      <c r="P255" s="357"/>
      <c r="Q255" s="357"/>
      <c r="R255" s="357"/>
      <c r="S255" s="357"/>
      <c r="T255" s="357"/>
      <c r="U255" s="357"/>
      <c r="V255" s="357"/>
      <c r="W255" s="357"/>
    </row>
    <row r="256">
      <c r="A256" s="358"/>
      <c r="B256" s="357"/>
      <c r="C256" s="358"/>
      <c r="D256" s="373"/>
      <c r="E256" s="373"/>
      <c r="F256" s="373"/>
      <c r="G256" s="374"/>
      <c r="H256" s="357"/>
      <c r="I256" s="358"/>
      <c r="J256" s="357"/>
      <c r="K256" s="358"/>
      <c r="L256" s="359"/>
      <c r="M256" s="307"/>
      <c r="N256" s="359"/>
      <c r="O256" s="307"/>
      <c r="P256" s="357"/>
      <c r="Q256" s="357"/>
      <c r="R256" s="357"/>
      <c r="S256" s="357"/>
      <c r="T256" s="357"/>
      <c r="U256" s="357"/>
      <c r="V256" s="357"/>
      <c r="W256" s="357"/>
    </row>
    <row r="257">
      <c r="A257" s="358"/>
      <c r="B257" s="357"/>
      <c r="C257" s="358"/>
      <c r="D257" s="373"/>
      <c r="E257" s="373"/>
      <c r="F257" s="373"/>
      <c r="G257" s="374"/>
      <c r="H257" s="357"/>
      <c r="I257" s="358"/>
      <c r="J257" s="357"/>
      <c r="K257" s="358"/>
      <c r="L257" s="359"/>
      <c r="M257" s="307"/>
      <c r="N257" s="359"/>
      <c r="O257" s="307"/>
      <c r="P257" s="357"/>
      <c r="Q257" s="357"/>
      <c r="R257" s="357"/>
      <c r="S257" s="357"/>
      <c r="T257" s="357"/>
      <c r="U257" s="357"/>
      <c r="V257" s="357"/>
      <c r="W257" s="357"/>
    </row>
    <row r="258">
      <c r="A258" s="358"/>
      <c r="B258" s="357"/>
      <c r="C258" s="358"/>
      <c r="D258" s="373"/>
      <c r="E258" s="373"/>
      <c r="F258" s="373"/>
      <c r="G258" s="374"/>
      <c r="H258" s="357"/>
      <c r="I258" s="358"/>
      <c r="J258" s="357"/>
      <c r="K258" s="358"/>
      <c r="L258" s="359"/>
      <c r="M258" s="307"/>
      <c r="N258" s="359"/>
      <c r="O258" s="307"/>
      <c r="P258" s="357"/>
      <c r="Q258" s="357"/>
      <c r="R258" s="357"/>
      <c r="S258" s="357"/>
      <c r="T258" s="357"/>
      <c r="U258" s="357"/>
      <c r="V258" s="357"/>
      <c r="W258" s="357"/>
    </row>
    <row r="259">
      <c r="A259" s="358"/>
      <c r="B259" s="357"/>
      <c r="C259" s="358"/>
      <c r="D259" s="373"/>
      <c r="E259" s="373"/>
      <c r="F259" s="373"/>
      <c r="G259" s="374"/>
      <c r="H259" s="357"/>
      <c r="I259" s="358"/>
      <c r="J259" s="357"/>
      <c r="K259" s="358"/>
      <c r="L259" s="359"/>
      <c r="M259" s="307"/>
      <c r="N259" s="359"/>
      <c r="O259" s="307"/>
      <c r="P259" s="357"/>
      <c r="Q259" s="357"/>
      <c r="R259" s="357"/>
      <c r="S259" s="357"/>
      <c r="T259" s="357"/>
      <c r="U259" s="357"/>
      <c r="V259" s="357"/>
      <c r="W259" s="357"/>
    </row>
    <row r="260">
      <c r="A260" s="358"/>
      <c r="B260" s="357"/>
      <c r="C260" s="358"/>
      <c r="D260" s="373"/>
      <c r="E260" s="373"/>
      <c r="F260" s="373"/>
      <c r="G260" s="374"/>
      <c r="H260" s="357"/>
      <c r="I260" s="358"/>
      <c r="J260" s="357"/>
      <c r="K260" s="358"/>
      <c r="L260" s="359"/>
      <c r="M260" s="307"/>
      <c r="N260" s="359"/>
      <c r="O260" s="307"/>
      <c r="P260" s="357"/>
      <c r="Q260" s="357"/>
      <c r="R260" s="357"/>
      <c r="S260" s="357"/>
      <c r="T260" s="357"/>
      <c r="U260" s="357"/>
      <c r="V260" s="357"/>
      <c r="W260" s="357"/>
    </row>
    <row r="261">
      <c r="A261" s="358"/>
      <c r="B261" s="357"/>
      <c r="C261" s="358"/>
      <c r="D261" s="373"/>
      <c r="E261" s="373"/>
      <c r="F261" s="373"/>
      <c r="G261" s="374"/>
      <c r="H261" s="357"/>
      <c r="I261" s="358"/>
      <c r="J261" s="357"/>
      <c r="K261" s="358"/>
      <c r="L261" s="359"/>
      <c r="M261" s="307"/>
      <c r="N261" s="359"/>
      <c r="O261" s="307"/>
      <c r="P261" s="357"/>
      <c r="Q261" s="357"/>
      <c r="R261" s="357"/>
      <c r="S261" s="357"/>
      <c r="T261" s="357"/>
      <c r="U261" s="357"/>
      <c r="V261" s="357"/>
      <c r="W261" s="357"/>
    </row>
    <row r="262">
      <c r="A262" s="358"/>
      <c r="B262" s="357"/>
      <c r="C262" s="358"/>
      <c r="D262" s="373"/>
      <c r="E262" s="373"/>
      <c r="F262" s="373"/>
      <c r="G262" s="374"/>
      <c r="H262" s="357"/>
      <c r="I262" s="358"/>
      <c r="J262" s="357"/>
      <c r="K262" s="358"/>
      <c r="L262" s="359"/>
      <c r="M262" s="307"/>
      <c r="N262" s="359"/>
      <c r="O262" s="307"/>
      <c r="P262" s="357"/>
      <c r="Q262" s="357"/>
      <c r="R262" s="357"/>
      <c r="S262" s="357"/>
      <c r="T262" s="357"/>
      <c r="U262" s="357"/>
      <c r="V262" s="357"/>
      <c r="W262" s="357"/>
    </row>
    <row r="263">
      <c r="A263" s="358"/>
      <c r="B263" s="357"/>
      <c r="C263" s="358"/>
      <c r="D263" s="373"/>
      <c r="E263" s="373"/>
      <c r="F263" s="373"/>
      <c r="G263" s="374"/>
      <c r="H263" s="357"/>
      <c r="I263" s="358"/>
      <c r="J263" s="357"/>
      <c r="K263" s="358"/>
      <c r="L263" s="359"/>
      <c r="M263" s="307"/>
      <c r="N263" s="359"/>
      <c r="O263" s="307"/>
      <c r="P263" s="357"/>
      <c r="Q263" s="357"/>
      <c r="R263" s="357"/>
      <c r="S263" s="357"/>
      <c r="T263" s="357"/>
      <c r="U263" s="357"/>
      <c r="V263" s="357"/>
      <c r="W263" s="357"/>
    </row>
    <row r="264">
      <c r="A264" s="358"/>
      <c r="B264" s="357"/>
      <c r="C264" s="358"/>
      <c r="D264" s="373"/>
      <c r="E264" s="373"/>
      <c r="F264" s="373"/>
      <c r="G264" s="374"/>
      <c r="H264" s="357"/>
      <c r="I264" s="358"/>
      <c r="J264" s="357"/>
      <c r="K264" s="358"/>
      <c r="L264" s="359"/>
      <c r="M264" s="307"/>
      <c r="N264" s="359"/>
      <c r="O264" s="307"/>
      <c r="P264" s="357"/>
      <c r="Q264" s="357"/>
      <c r="R264" s="357"/>
      <c r="S264" s="357"/>
      <c r="T264" s="357"/>
      <c r="U264" s="357"/>
      <c r="V264" s="357"/>
      <c r="W264" s="357"/>
    </row>
    <row r="265">
      <c r="A265" s="358"/>
      <c r="B265" s="357"/>
      <c r="C265" s="358"/>
      <c r="D265" s="373"/>
      <c r="E265" s="373"/>
      <c r="F265" s="373"/>
      <c r="G265" s="374"/>
      <c r="H265" s="357"/>
      <c r="I265" s="358"/>
      <c r="J265" s="357"/>
      <c r="K265" s="358"/>
      <c r="L265" s="359"/>
      <c r="M265" s="307"/>
      <c r="N265" s="359"/>
      <c r="O265" s="307"/>
      <c r="P265" s="357"/>
      <c r="Q265" s="357"/>
      <c r="R265" s="357"/>
      <c r="S265" s="357"/>
      <c r="T265" s="357"/>
      <c r="U265" s="357"/>
      <c r="V265" s="357"/>
      <c r="W265" s="357"/>
    </row>
    <row r="266">
      <c r="A266" s="358"/>
      <c r="B266" s="357"/>
      <c r="C266" s="358"/>
      <c r="D266" s="373"/>
      <c r="E266" s="373"/>
      <c r="F266" s="373"/>
      <c r="G266" s="374"/>
      <c r="H266" s="357"/>
      <c r="I266" s="358"/>
      <c r="J266" s="357"/>
      <c r="K266" s="358"/>
      <c r="L266" s="359"/>
      <c r="M266" s="307"/>
      <c r="N266" s="359"/>
      <c r="O266" s="307"/>
      <c r="P266" s="357"/>
      <c r="Q266" s="357"/>
      <c r="R266" s="357"/>
      <c r="S266" s="357"/>
      <c r="T266" s="357"/>
      <c r="U266" s="357"/>
      <c r="V266" s="357"/>
      <c r="W266" s="357"/>
    </row>
    <row r="267">
      <c r="A267" s="358"/>
      <c r="B267" s="357"/>
      <c r="C267" s="358"/>
      <c r="D267" s="373"/>
      <c r="E267" s="373"/>
      <c r="F267" s="373"/>
      <c r="G267" s="374"/>
      <c r="H267" s="357"/>
      <c r="I267" s="358"/>
      <c r="J267" s="357"/>
      <c r="K267" s="358"/>
      <c r="L267" s="359"/>
      <c r="M267" s="307"/>
      <c r="N267" s="359"/>
      <c r="O267" s="307"/>
      <c r="P267" s="357"/>
      <c r="Q267" s="357"/>
      <c r="R267" s="357"/>
      <c r="S267" s="357"/>
      <c r="T267" s="357"/>
      <c r="U267" s="357"/>
      <c r="V267" s="357"/>
      <c r="W267" s="357"/>
    </row>
    <row r="268">
      <c r="A268" s="358"/>
      <c r="B268" s="357"/>
      <c r="C268" s="358"/>
      <c r="D268" s="373"/>
      <c r="E268" s="373"/>
      <c r="F268" s="373"/>
      <c r="G268" s="374"/>
      <c r="H268" s="357"/>
      <c r="I268" s="358"/>
      <c r="J268" s="357"/>
      <c r="K268" s="358"/>
      <c r="L268" s="359"/>
      <c r="M268" s="307"/>
      <c r="N268" s="359"/>
      <c r="O268" s="307"/>
      <c r="P268" s="357"/>
      <c r="Q268" s="357"/>
      <c r="R268" s="357"/>
      <c r="S268" s="357"/>
      <c r="T268" s="357"/>
      <c r="U268" s="357"/>
      <c r="V268" s="357"/>
      <c r="W268" s="357"/>
    </row>
    <row r="269">
      <c r="A269" s="358"/>
      <c r="B269" s="357"/>
      <c r="C269" s="358"/>
      <c r="D269" s="373"/>
      <c r="E269" s="373"/>
      <c r="F269" s="373"/>
      <c r="G269" s="374"/>
      <c r="H269" s="357"/>
      <c r="I269" s="358"/>
      <c r="J269" s="357"/>
      <c r="K269" s="358"/>
      <c r="L269" s="359"/>
      <c r="M269" s="307"/>
      <c r="N269" s="359"/>
      <c r="O269" s="307"/>
      <c r="P269" s="357"/>
      <c r="Q269" s="357"/>
      <c r="R269" s="357"/>
      <c r="S269" s="357"/>
      <c r="T269" s="357"/>
      <c r="U269" s="357"/>
      <c r="V269" s="357"/>
      <c r="W269" s="357"/>
    </row>
    <row r="270">
      <c r="A270" s="358"/>
      <c r="B270" s="357"/>
      <c r="C270" s="358"/>
      <c r="D270" s="373"/>
      <c r="E270" s="373"/>
      <c r="F270" s="373"/>
      <c r="G270" s="374"/>
      <c r="H270" s="357"/>
      <c r="I270" s="358"/>
      <c r="J270" s="357"/>
      <c r="K270" s="358"/>
      <c r="L270" s="359"/>
      <c r="M270" s="307"/>
      <c r="N270" s="359"/>
      <c r="O270" s="307"/>
      <c r="P270" s="357"/>
      <c r="Q270" s="357"/>
      <c r="R270" s="357"/>
      <c r="S270" s="357"/>
      <c r="T270" s="357"/>
      <c r="U270" s="357"/>
      <c r="V270" s="357"/>
      <c r="W270" s="357"/>
    </row>
    <row r="271">
      <c r="A271" s="358"/>
      <c r="B271" s="357"/>
      <c r="C271" s="358"/>
      <c r="D271" s="373"/>
      <c r="E271" s="373"/>
      <c r="F271" s="373"/>
      <c r="G271" s="374"/>
      <c r="H271" s="357"/>
      <c r="I271" s="358"/>
      <c r="J271" s="357"/>
      <c r="K271" s="358"/>
      <c r="L271" s="359"/>
      <c r="M271" s="307"/>
      <c r="N271" s="359"/>
      <c r="O271" s="307"/>
      <c r="P271" s="357"/>
      <c r="Q271" s="357"/>
      <c r="R271" s="357"/>
      <c r="S271" s="357"/>
      <c r="T271" s="357"/>
      <c r="U271" s="357"/>
      <c r="V271" s="357"/>
      <c r="W271" s="357"/>
    </row>
    <row r="272">
      <c r="A272" s="358"/>
      <c r="B272" s="357"/>
      <c r="C272" s="358"/>
      <c r="D272" s="373"/>
      <c r="E272" s="373"/>
      <c r="F272" s="373"/>
      <c r="G272" s="374"/>
      <c r="H272" s="357"/>
      <c r="I272" s="358"/>
      <c r="J272" s="357"/>
      <c r="K272" s="358"/>
      <c r="L272" s="359"/>
      <c r="M272" s="307"/>
      <c r="N272" s="359"/>
      <c r="O272" s="307"/>
      <c r="P272" s="357"/>
      <c r="Q272" s="357"/>
      <c r="R272" s="357"/>
      <c r="S272" s="357"/>
      <c r="T272" s="357"/>
      <c r="U272" s="357"/>
      <c r="V272" s="357"/>
      <c r="W272" s="357"/>
    </row>
    <row r="273">
      <c r="A273" s="358"/>
      <c r="B273" s="357"/>
      <c r="C273" s="358"/>
      <c r="D273" s="373"/>
      <c r="E273" s="373"/>
      <c r="F273" s="373"/>
      <c r="G273" s="374"/>
      <c r="H273" s="357"/>
      <c r="I273" s="358"/>
      <c r="J273" s="357"/>
      <c r="K273" s="358"/>
      <c r="L273" s="359"/>
      <c r="M273" s="307"/>
      <c r="N273" s="359"/>
      <c r="O273" s="307"/>
      <c r="P273" s="357"/>
      <c r="Q273" s="357"/>
      <c r="R273" s="357"/>
      <c r="S273" s="357"/>
      <c r="T273" s="357"/>
      <c r="U273" s="357"/>
      <c r="V273" s="357"/>
      <c r="W273" s="357"/>
    </row>
    <row r="274">
      <c r="A274" s="358"/>
      <c r="B274" s="357"/>
      <c r="C274" s="358"/>
      <c r="D274" s="373"/>
      <c r="E274" s="373"/>
      <c r="F274" s="373"/>
      <c r="G274" s="374"/>
      <c r="H274" s="357"/>
      <c r="I274" s="358"/>
      <c r="J274" s="357"/>
      <c r="K274" s="358"/>
      <c r="L274" s="359"/>
      <c r="M274" s="307"/>
      <c r="N274" s="359"/>
      <c r="O274" s="307"/>
      <c r="P274" s="357"/>
      <c r="Q274" s="357"/>
      <c r="R274" s="357"/>
      <c r="S274" s="357"/>
      <c r="T274" s="357"/>
      <c r="U274" s="357"/>
      <c r="V274" s="357"/>
      <c r="W274" s="357"/>
    </row>
    <row r="275">
      <c r="A275" s="358"/>
      <c r="B275" s="357"/>
      <c r="C275" s="358"/>
      <c r="D275" s="373"/>
      <c r="E275" s="373"/>
      <c r="F275" s="373"/>
      <c r="G275" s="374"/>
      <c r="H275" s="357"/>
      <c r="I275" s="358"/>
      <c r="J275" s="357"/>
      <c r="K275" s="358"/>
      <c r="L275" s="359"/>
      <c r="M275" s="307"/>
      <c r="N275" s="359"/>
      <c r="O275" s="307"/>
      <c r="P275" s="357"/>
      <c r="Q275" s="357"/>
      <c r="R275" s="357"/>
      <c r="S275" s="357"/>
      <c r="T275" s="357"/>
      <c r="U275" s="357"/>
      <c r="V275" s="357"/>
      <c r="W275" s="357"/>
    </row>
    <row r="276">
      <c r="A276" s="358"/>
      <c r="B276" s="357"/>
      <c r="C276" s="358"/>
      <c r="D276" s="373"/>
      <c r="E276" s="373"/>
      <c r="F276" s="373"/>
      <c r="G276" s="374"/>
      <c r="H276" s="357"/>
      <c r="I276" s="358"/>
      <c r="J276" s="357"/>
      <c r="K276" s="358"/>
      <c r="L276" s="359"/>
      <c r="M276" s="307"/>
      <c r="N276" s="359"/>
      <c r="O276" s="307"/>
      <c r="P276" s="357"/>
      <c r="Q276" s="357"/>
      <c r="R276" s="357"/>
      <c r="S276" s="357"/>
      <c r="T276" s="357"/>
      <c r="U276" s="357"/>
      <c r="V276" s="357"/>
      <c r="W276" s="357"/>
    </row>
    <row r="277">
      <c r="A277" s="358"/>
      <c r="B277" s="357"/>
      <c r="C277" s="358"/>
      <c r="D277" s="373"/>
      <c r="E277" s="373"/>
      <c r="F277" s="373"/>
      <c r="G277" s="374"/>
      <c r="H277" s="357"/>
      <c r="I277" s="358"/>
      <c r="J277" s="357"/>
      <c r="K277" s="358"/>
      <c r="L277" s="359"/>
      <c r="M277" s="307"/>
      <c r="N277" s="359"/>
      <c r="O277" s="307"/>
      <c r="P277" s="357"/>
      <c r="Q277" s="357"/>
      <c r="R277" s="357"/>
      <c r="S277" s="357"/>
      <c r="T277" s="357"/>
      <c r="U277" s="357"/>
      <c r="V277" s="357"/>
      <c r="W277" s="357"/>
    </row>
    <row r="278">
      <c r="A278" s="358"/>
      <c r="B278" s="357"/>
      <c r="C278" s="358"/>
      <c r="D278" s="373"/>
      <c r="E278" s="373"/>
      <c r="F278" s="373"/>
      <c r="G278" s="374"/>
      <c r="H278" s="357"/>
      <c r="I278" s="358"/>
      <c r="J278" s="357"/>
      <c r="K278" s="358"/>
      <c r="L278" s="359"/>
      <c r="M278" s="307"/>
      <c r="N278" s="359"/>
      <c r="O278" s="307"/>
      <c r="P278" s="357"/>
      <c r="Q278" s="357"/>
      <c r="R278" s="357"/>
      <c r="S278" s="357"/>
      <c r="T278" s="357"/>
      <c r="U278" s="357"/>
      <c r="V278" s="357"/>
      <c r="W278" s="357"/>
    </row>
    <row r="279">
      <c r="A279" s="358"/>
      <c r="B279" s="357"/>
      <c r="C279" s="358"/>
      <c r="D279" s="373"/>
      <c r="E279" s="373"/>
      <c r="F279" s="373"/>
      <c r="G279" s="374"/>
      <c r="H279" s="357"/>
      <c r="I279" s="358"/>
      <c r="J279" s="357"/>
      <c r="K279" s="358"/>
      <c r="L279" s="359"/>
      <c r="M279" s="307"/>
      <c r="N279" s="359"/>
      <c r="O279" s="307"/>
      <c r="P279" s="357"/>
      <c r="Q279" s="357"/>
      <c r="R279" s="357"/>
      <c r="S279" s="357"/>
      <c r="T279" s="357"/>
      <c r="U279" s="357"/>
      <c r="V279" s="357"/>
      <c r="W279" s="357"/>
    </row>
    <row r="280">
      <c r="A280" s="358"/>
      <c r="B280" s="357"/>
      <c r="C280" s="358"/>
      <c r="D280" s="373"/>
      <c r="E280" s="373"/>
      <c r="F280" s="373"/>
      <c r="G280" s="374"/>
      <c r="H280" s="357"/>
      <c r="I280" s="358"/>
      <c r="J280" s="357"/>
      <c r="K280" s="358"/>
      <c r="L280" s="359"/>
      <c r="M280" s="307"/>
      <c r="N280" s="359"/>
      <c r="O280" s="307"/>
      <c r="P280" s="357"/>
      <c r="Q280" s="357"/>
      <c r="R280" s="357"/>
      <c r="S280" s="357"/>
      <c r="T280" s="357"/>
      <c r="U280" s="357"/>
      <c r="V280" s="357"/>
      <c r="W280" s="357"/>
    </row>
    <row r="281">
      <c r="A281" s="358"/>
      <c r="B281" s="357"/>
      <c r="C281" s="358"/>
      <c r="D281" s="373"/>
      <c r="E281" s="373"/>
      <c r="F281" s="373"/>
      <c r="G281" s="374"/>
      <c r="H281" s="357"/>
      <c r="I281" s="358"/>
      <c r="J281" s="357"/>
      <c r="K281" s="358"/>
      <c r="L281" s="359"/>
      <c r="M281" s="307"/>
      <c r="N281" s="359"/>
      <c r="O281" s="307"/>
      <c r="P281" s="357"/>
      <c r="Q281" s="357"/>
      <c r="R281" s="357"/>
      <c r="S281" s="357"/>
      <c r="T281" s="357"/>
      <c r="U281" s="357"/>
      <c r="V281" s="357"/>
      <c r="W281" s="357"/>
    </row>
    <row r="282">
      <c r="A282" s="358"/>
      <c r="B282" s="357"/>
      <c r="C282" s="358"/>
      <c r="D282" s="373"/>
      <c r="E282" s="373"/>
      <c r="F282" s="373"/>
      <c r="G282" s="374"/>
      <c r="H282" s="357"/>
      <c r="I282" s="358"/>
      <c r="J282" s="357"/>
      <c r="K282" s="358"/>
      <c r="L282" s="359"/>
      <c r="M282" s="307"/>
      <c r="N282" s="359"/>
      <c r="O282" s="307"/>
      <c r="P282" s="357"/>
      <c r="Q282" s="357"/>
      <c r="R282" s="357"/>
      <c r="S282" s="357"/>
      <c r="T282" s="357"/>
      <c r="U282" s="357"/>
      <c r="V282" s="357"/>
      <c r="W282" s="357"/>
    </row>
    <row r="283">
      <c r="A283" s="358"/>
      <c r="B283" s="357"/>
      <c r="C283" s="358"/>
      <c r="D283" s="373"/>
      <c r="E283" s="373"/>
      <c r="F283" s="373"/>
      <c r="G283" s="374"/>
      <c r="H283" s="357"/>
      <c r="I283" s="358"/>
      <c r="J283" s="357"/>
      <c r="K283" s="358"/>
      <c r="L283" s="359"/>
      <c r="M283" s="307"/>
      <c r="N283" s="359"/>
      <c r="O283" s="307"/>
      <c r="P283" s="357"/>
      <c r="Q283" s="357"/>
      <c r="R283" s="357"/>
      <c r="S283" s="357"/>
      <c r="T283" s="357"/>
      <c r="U283" s="357"/>
      <c r="V283" s="357"/>
      <c r="W283" s="357"/>
    </row>
    <row r="284">
      <c r="A284" s="358"/>
      <c r="B284" s="357"/>
      <c r="C284" s="358"/>
      <c r="D284" s="373"/>
      <c r="E284" s="373"/>
      <c r="F284" s="373"/>
      <c r="G284" s="374"/>
      <c r="H284" s="357"/>
      <c r="I284" s="358"/>
      <c r="J284" s="357"/>
      <c r="K284" s="358"/>
      <c r="L284" s="359"/>
      <c r="M284" s="307"/>
      <c r="N284" s="359"/>
      <c r="O284" s="307"/>
      <c r="P284" s="357"/>
      <c r="Q284" s="357"/>
      <c r="R284" s="357"/>
      <c r="S284" s="357"/>
      <c r="T284" s="357"/>
      <c r="U284" s="357"/>
      <c r="V284" s="357"/>
      <c r="W284" s="357"/>
    </row>
    <row r="285">
      <c r="A285" s="358"/>
      <c r="B285" s="357"/>
      <c r="C285" s="358"/>
      <c r="D285" s="373"/>
      <c r="E285" s="373"/>
      <c r="F285" s="373"/>
      <c r="G285" s="374"/>
      <c r="H285" s="357"/>
      <c r="I285" s="358"/>
      <c r="J285" s="357"/>
      <c r="K285" s="358"/>
      <c r="L285" s="359"/>
      <c r="M285" s="307"/>
      <c r="N285" s="359"/>
      <c r="O285" s="307"/>
      <c r="P285" s="357"/>
      <c r="Q285" s="357"/>
      <c r="R285" s="357"/>
      <c r="S285" s="357"/>
      <c r="T285" s="357"/>
      <c r="U285" s="357"/>
      <c r="V285" s="357"/>
      <c r="W285" s="357"/>
    </row>
    <row r="286">
      <c r="A286" s="358"/>
      <c r="B286" s="357"/>
      <c r="C286" s="358"/>
      <c r="D286" s="373"/>
      <c r="E286" s="373"/>
      <c r="F286" s="373"/>
      <c r="G286" s="374"/>
      <c r="H286" s="357"/>
      <c r="I286" s="358"/>
      <c r="J286" s="357"/>
      <c r="K286" s="358"/>
      <c r="L286" s="359"/>
      <c r="M286" s="307"/>
      <c r="N286" s="359"/>
      <c r="O286" s="307"/>
      <c r="P286" s="357"/>
      <c r="Q286" s="357"/>
      <c r="R286" s="357"/>
      <c r="S286" s="357"/>
      <c r="T286" s="357"/>
      <c r="U286" s="357"/>
      <c r="V286" s="357"/>
      <c r="W286" s="357"/>
    </row>
    <row r="287">
      <c r="A287" s="358"/>
      <c r="B287" s="357"/>
      <c r="C287" s="358"/>
      <c r="D287" s="373"/>
      <c r="E287" s="373"/>
      <c r="F287" s="373"/>
      <c r="G287" s="374"/>
      <c r="H287" s="357"/>
      <c r="I287" s="358"/>
      <c r="J287" s="357"/>
      <c r="K287" s="358"/>
      <c r="L287" s="359"/>
      <c r="M287" s="307"/>
      <c r="N287" s="359"/>
      <c r="O287" s="307"/>
      <c r="P287" s="357"/>
      <c r="Q287" s="357"/>
      <c r="R287" s="357"/>
      <c r="S287" s="357"/>
      <c r="T287" s="357"/>
      <c r="U287" s="357"/>
      <c r="V287" s="357"/>
      <c r="W287" s="357"/>
    </row>
    <row r="288">
      <c r="A288" s="358"/>
      <c r="B288" s="357"/>
      <c r="C288" s="358"/>
      <c r="D288" s="373"/>
      <c r="E288" s="373"/>
      <c r="F288" s="373"/>
      <c r="G288" s="374"/>
      <c r="H288" s="357"/>
      <c r="I288" s="358"/>
      <c r="J288" s="357"/>
      <c r="K288" s="358"/>
      <c r="L288" s="359"/>
      <c r="M288" s="307"/>
      <c r="N288" s="359"/>
      <c r="O288" s="307"/>
      <c r="P288" s="357"/>
      <c r="Q288" s="357"/>
      <c r="R288" s="357"/>
      <c r="S288" s="357"/>
      <c r="T288" s="357"/>
      <c r="U288" s="357"/>
      <c r="V288" s="357"/>
      <c r="W288" s="357"/>
    </row>
    <row r="289">
      <c r="A289" s="358"/>
      <c r="B289" s="357"/>
      <c r="C289" s="358"/>
      <c r="D289" s="373"/>
      <c r="E289" s="373"/>
      <c r="F289" s="373"/>
      <c r="G289" s="374"/>
      <c r="H289" s="357"/>
      <c r="I289" s="358"/>
      <c r="J289" s="357"/>
      <c r="K289" s="358"/>
      <c r="L289" s="359"/>
      <c r="M289" s="307"/>
      <c r="N289" s="359"/>
      <c r="O289" s="307"/>
      <c r="P289" s="357"/>
      <c r="Q289" s="357"/>
      <c r="R289" s="357"/>
      <c r="S289" s="357"/>
      <c r="T289" s="357"/>
      <c r="U289" s="357"/>
      <c r="V289" s="357"/>
      <c r="W289" s="357"/>
    </row>
    <row r="290">
      <c r="A290" s="358"/>
      <c r="B290" s="357"/>
      <c r="C290" s="358"/>
      <c r="D290" s="373"/>
      <c r="E290" s="373"/>
      <c r="F290" s="373"/>
      <c r="G290" s="374"/>
      <c r="H290" s="357"/>
      <c r="I290" s="358"/>
      <c r="J290" s="357"/>
      <c r="K290" s="358"/>
      <c r="L290" s="359"/>
      <c r="M290" s="307"/>
      <c r="N290" s="359"/>
      <c r="O290" s="307"/>
      <c r="P290" s="357"/>
      <c r="Q290" s="357"/>
      <c r="R290" s="357"/>
      <c r="S290" s="357"/>
      <c r="T290" s="357"/>
      <c r="U290" s="357"/>
      <c r="V290" s="357"/>
      <c r="W290" s="357"/>
    </row>
    <row r="291">
      <c r="A291" s="358"/>
      <c r="B291" s="357"/>
      <c r="C291" s="358"/>
      <c r="D291" s="373"/>
      <c r="E291" s="373"/>
      <c r="F291" s="373"/>
      <c r="G291" s="374"/>
      <c r="H291" s="357"/>
      <c r="I291" s="358"/>
      <c r="J291" s="357"/>
      <c r="K291" s="358"/>
      <c r="L291" s="359"/>
      <c r="M291" s="307"/>
      <c r="N291" s="359"/>
      <c r="O291" s="307"/>
      <c r="P291" s="357"/>
      <c r="Q291" s="357"/>
      <c r="R291" s="357"/>
      <c r="S291" s="357"/>
      <c r="T291" s="357"/>
      <c r="U291" s="357"/>
      <c r="V291" s="357"/>
      <c r="W291" s="357"/>
    </row>
    <row r="292">
      <c r="A292" s="358"/>
      <c r="B292" s="357"/>
      <c r="C292" s="358"/>
      <c r="D292" s="373"/>
      <c r="E292" s="373"/>
      <c r="F292" s="373"/>
      <c r="G292" s="374"/>
      <c r="H292" s="357"/>
      <c r="I292" s="358"/>
      <c r="J292" s="357"/>
      <c r="K292" s="358"/>
      <c r="L292" s="359"/>
      <c r="M292" s="307"/>
      <c r="N292" s="359"/>
      <c r="O292" s="307"/>
      <c r="P292" s="357"/>
      <c r="Q292" s="357"/>
      <c r="R292" s="357"/>
      <c r="S292" s="357"/>
      <c r="T292" s="357"/>
      <c r="U292" s="357"/>
      <c r="V292" s="357"/>
      <c r="W292" s="357"/>
    </row>
    <row r="293">
      <c r="A293" s="358"/>
      <c r="B293" s="357"/>
      <c r="C293" s="358"/>
      <c r="D293" s="373"/>
      <c r="E293" s="373"/>
      <c r="F293" s="373"/>
      <c r="G293" s="374"/>
      <c r="H293" s="357"/>
      <c r="I293" s="358"/>
      <c r="J293" s="357"/>
      <c r="K293" s="358"/>
      <c r="L293" s="359"/>
      <c r="M293" s="307"/>
      <c r="N293" s="359"/>
      <c r="O293" s="307"/>
      <c r="P293" s="357"/>
      <c r="Q293" s="357"/>
      <c r="R293" s="357"/>
      <c r="S293" s="357"/>
      <c r="T293" s="357"/>
      <c r="U293" s="357"/>
      <c r="V293" s="357"/>
      <c r="W293" s="357"/>
    </row>
    <row r="294">
      <c r="A294" s="358"/>
      <c r="B294" s="357"/>
      <c r="C294" s="358"/>
      <c r="D294" s="373"/>
      <c r="E294" s="373"/>
      <c r="F294" s="373"/>
      <c r="G294" s="374"/>
      <c r="H294" s="357"/>
      <c r="I294" s="358"/>
      <c r="J294" s="357"/>
      <c r="K294" s="358"/>
      <c r="L294" s="359"/>
      <c r="M294" s="307"/>
      <c r="N294" s="359"/>
      <c r="O294" s="307"/>
      <c r="P294" s="357"/>
      <c r="Q294" s="357"/>
      <c r="R294" s="357"/>
      <c r="S294" s="357"/>
      <c r="T294" s="357"/>
      <c r="U294" s="357"/>
      <c r="V294" s="357"/>
      <c r="W294" s="357"/>
    </row>
    <row r="295">
      <c r="A295" s="358"/>
      <c r="B295" s="357"/>
      <c r="C295" s="358"/>
      <c r="D295" s="373"/>
      <c r="E295" s="373"/>
      <c r="F295" s="373"/>
      <c r="G295" s="374"/>
      <c r="H295" s="357"/>
      <c r="I295" s="358"/>
      <c r="J295" s="357"/>
      <c r="K295" s="358"/>
      <c r="L295" s="359"/>
      <c r="M295" s="307"/>
      <c r="N295" s="359"/>
      <c r="O295" s="307"/>
      <c r="P295" s="357"/>
      <c r="Q295" s="357"/>
      <c r="R295" s="357"/>
      <c r="S295" s="357"/>
      <c r="T295" s="357"/>
      <c r="U295" s="357"/>
      <c r="V295" s="357"/>
      <c r="W295" s="357"/>
    </row>
    <row r="296">
      <c r="A296" s="358"/>
      <c r="B296" s="357"/>
      <c r="C296" s="358"/>
      <c r="D296" s="373"/>
      <c r="E296" s="373"/>
      <c r="F296" s="373"/>
      <c r="G296" s="374"/>
      <c r="H296" s="357"/>
      <c r="I296" s="358"/>
      <c r="J296" s="357"/>
      <c r="K296" s="358"/>
      <c r="L296" s="359"/>
      <c r="M296" s="307"/>
      <c r="N296" s="359"/>
      <c r="O296" s="307"/>
      <c r="P296" s="357"/>
      <c r="Q296" s="357"/>
      <c r="R296" s="357"/>
      <c r="S296" s="357"/>
      <c r="T296" s="357"/>
      <c r="U296" s="357"/>
      <c r="V296" s="357"/>
      <c r="W296" s="357"/>
    </row>
    <row r="297">
      <c r="A297" s="358"/>
      <c r="B297" s="357"/>
      <c r="C297" s="358"/>
      <c r="D297" s="373"/>
      <c r="E297" s="373"/>
      <c r="F297" s="373"/>
      <c r="G297" s="374"/>
      <c r="H297" s="357"/>
      <c r="I297" s="358"/>
      <c r="J297" s="357"/>
      <c r="K297" s="358"/>
      <c r="L297" s="359"/>
      <c r="M297" s="307"/>
      <c r="N297" s="359"/>
      <c r="O297" s="307"/>
      <c r="P297" s="357"/>
      <c r="Q297" s="357"/>
      <c r="R297" s="357"/>
      <c r="S297" s="357"/>
      <c r="T297" s="357"/>
      <c r="U297" s="357"/>
      <c r="V297" s="357"/>
      <c r="W297" s="357"/>
    </row>
    <row r="298">
      <c r="A298" s="358"/>
      <c r="B298" s="357"/>
      <c r="C298" s="358"/>
      <c r="D298" s="373"/>
      <c r="E298" s="373"/>
      <c r="F298" s="373"/>
      <c r="G298" s="374"/>
      <c r="H298" s="357"/>
      <c r="I298" s="358"/>
      <c r="J298" s="357"/>
      <c r="K298" s="358"/>
      <c r="L298" s="359"/>
      <c r="M298" s="307"/>
      <c r="N298" s="359"/>
      <c r="O298" s="307"/>
      <c r="P298" s="357"/>
      <c r="Q298" s="357"/>
      <c r="R298" s="357"/>
      <c r="S298" s="357"/>
      <c r="T298" s="357"/>
      <c r="U298" s="357"/>
      <c r="V298" s="357"/>
      <c r="W298" s="357"/>
    </row>
    <row r="299">
      <c r="A299" s="358"/>
      <c r="B299" s="357"/>
      <c r="C299" s="358"/>
      <c r="D299" s="373"/>
      <c r="E299" s="373"/>
      <c r="F299" s="373"/>
      <c r="G299" s="374"/>
      <c r="H299" s="357"/>
      <c r="I299" s="358"/>
      <c r="J299" s="357"/>
      <c r="K299" s="358"/>
      <c r="L299" s="359"/>
      <c r="M299" s="307"/>
      <c r="N299" s="359"/>
      <c r="O299" s="307"/>
      <c r="P299" s="357"/>
      <c r="Q299" s="357"/>
      <c r="R299" s="357"/>
      <c r="S299" s="357"/>
      <c r="T299" s="357"/>
      <c r="U299" s="357"/>
      <c r="V299" s="357"/>
      <c r="W299" s="357"/>
    </row>
    <row r="300">
      <c r="A300" s="358"/>
      <c r="B300" s="357"/>
      <c r="C300" s="358"/>
      <c r="D300" s="373"/>
      <c r="E300" s="373"/>
      <c r="F300" s="373"/>
      <c r="G300" s="374"/>
      <c r="H300" s="357"/>
      <c r="I300" s="358"/>
      <c r="J300" s="357"/>
      <c r="K300" s="358"/>
      <c r="L300" s="359"/>
      <c r="M300" s="307"/>
      <c r="N300" s="359"/>
      <c r="O300" s="307"/>
      <c r="P300" s="357"/>
      <c r="Q300" s="357"/>
      <c r="R300" s="357"/>
      <c r="S300" s="357"/>
      <c r="T300" s="357"/>
      <c r="U300" s="357"/>
      <c r="V300" s="357"/>
      <c r="W300" s="357"/>
    </row>
    <row r="301">
      <c r="A301" s="358"/>
      <c r="B301" s="357"/>
      <c r="C301" s="358"/>
      <c r="D301" s="373"/>
      <c r="E301" s="373"/>
      <c r="F301" s="373"/>
      <c r="G301" s="374"/>
      <c r="H301" s="357"/>
      <c r="I301" s="358"/>
      <c r="J301" s="357"/>
      <c r="K301" s="358"/>
      <c r="L301" s="359"/>
      <c r="M301" s="307"/>
      <c r="N301" s="359"/>
      <c r="O301" s="307"/>
      <c r="P301" s="357"/>
      <c r="Q301" s="357"/>
      <c r="R301" s="357"/>
      <c r="S301" s="357"/>
      <c r="T301" s="357"/>
      <c r="U301" s="357"/>
      <c r="V301" s="357"/>
      <c r="W301" s="357"/>
    </row>
    <row r="302">
      <c r="A302" s="358"/>
      <c r="B302" s="357"/>
      <c r="C302" s="358"/>
      <c r="D302" s="373"/>
      <c r="E302" s="373"/>
      <c r="F302" s="373"/>
      <c r="G302" s="374"/>
      <c r="H302" s="357"/>
      <c r="I302" s="358"/>
      <c r="J302" s="357"/>
      <c r="K302" s="358"/>
      <c r="L302" s="359"/>
      <c r="M302" s="307"/>
      <c r="N302" s="359"/>
      <c r="O302" s="307"/>
      <c r="P302" s="357"/>
      <c r="Q302" s="357"/>
      <c r="R302" s="357"/>
      <c r="S302" s="357"/>
      <c r="T302" s="357"/>
      <c r="U302" s="357"/>
      <c r="V302" s="357"/>
      <c r="W302" s="357"/>
    </row>
    <row r="303">
      <c r="A303" s="358"/>
      <c r="B303" s="357"/>
      <c r="C303" s="358"/>
      <c r="D303" s="373"/>
      <c r="E303" s="373"/>
      <c r="F303" s="373"/>
      <c r="G303" s="374"/>
      <c r="H303" s="357"/>
      <c r="I303" s="358"/>
      <c r="J303" s="357"/>
      <c r="K303" s="358"/>
      <c r="L303" s="359"/>
      <c r="M303" s="307"/>
      <c r="N303" s="359"/>
      <c r="O303" s="307"/>
      <c r="P303" s="357"/>
      <c r="Q303" s="357"/>
      <c r="R303" s="357"/>
      <c r="S303" s="357"/>
      <c r="T303" s="357"/>
      <c r="U303" s="357"/>
      <c r="V303" s="357"/>
      <c r="W303" s="357"/>
    </row>
    <row r="304">
      <c r="A304" s="358"/>
      <c r="B304" s="357"/>
      <c r="C304" s="358"/>
      <c r="D304" s="373"/>
      <c r="E304" s="373"/>
      <c r="F304" s="373"/>
      <c r="G304" s="374"/>
      <c r="H304" s="357"/>
      <c r="I304" s="358"/>
      <c r="J304" s="357"/>
      <c r="K304" s="358"/>
      <c r="L304" s="359"/>
      <c r="M304" s="307"/>
      <c r="N304" s="359"/>
      <c r="O304" s="307"/>
      <c r="P304" s="357"/>
      <c r="Q304" s="357"/>
      <c r="R304" s="357"/>
      <c r="S304" s="357"/>
      <c r="T304" s="357"/>
      <c r="U304" s="357"/>
      <c r="V304" s="357"/>
      <c r="W304" s="357"/>
    </row>
    <row r="305">
      <c r="A305" s="358"/>
      <c r="B305" s="357"/>
      <c r="C305" s="358"/>
      <c r="D305" s="373"/>
      <c r="E305" s="373"/>
      <c r="F305" s="373"/>
      <c r="G305" s="374"/>
      <c r="H305" s="357"/>
      <c r="I305" s="358"/>
      <c r="J305" s="357"/>
      <c r="K305" s="358"/>
      <c r="L305" s="359"/>
      <c r="M305" s="307"/>
      <c r="N305" s="359"/>
      <c r="O305" s="307"/>
      <c r="P305" s="357"/>
      <c r="Q305" s="357"/>
      <c r="R305" s="357"/>
      <c r="S305" s="357"/>
      <c r="T305" s="357"/>
      <c r="U305" s="357"/>
      <c r="V305" s="357"/>
      <c r="W305" s="357"/>
    </row>
    <row r="306">
      <c r="A306" s="358"/>
      <c r="B306" s="357"/>
      <c r="C306" s="358"/>
      <c r="D306" s="373"/>
      <c r="E306" s="373"/>
      <c r="F306" s="373"/>
      <c r="G306" s="374"/>
      <c r="H306" s="357"/>
      <c r="I306" s="358"/>
      <c r="J306" s="357"/>
      <c r="K306" s="358"/>
      <c r="L306" s="359"/>
      <c r="M306" s="307"/>
      <c r="N306" s="359"/>
      <c r="O306" s="307"/>
      <c r="P306" s="357"/>
      <c r="Q306" s="357"/>
      <c r="R306" s="357"/>
      <c r="S306" s="357"/>
      <c r="T306" s="357"/>
      <c r="U306" s="357"/>
      <c r="V306" s="357"/>
      <c r="W306" s="357"/>
    </row>
    <row r="307">
      <c r="A307" s="358"/>
      <c r="B307" s="357"/>
      <c r="C307" s="358"/>
      <c r="D307" s="373"/>
      <c r="E307" s="373"/>
      <c r="F307" s="373"/>
      <c r="G307" s="374"/>
      <c r="H307" s="357"/>
      <c r="I307" s="358"/>
      <c r="J307" s="357"/>
      <c r="K307" s="358"/>
      <c r="L307" s="359"/>
      <c r="M307" s="307"/>
      <c r="N307" s="359"/>
      <c r="O307" s="307"/>
      <c r="P307" s="357"/>
      <c r="Q307" s="357"/>
      <c r="R307" s="357"/>
      <c r="S307" s="357"/>
      <c r="T307" s="357"/>
      <c r="U307" s="357"/>
      <c r="V307" s="357"/>
      <c r="W307" s="357"/>
    </row>
    <row r="308">
      <c r="A308" s="358"/>
      <c r="B308" s="357"/>
      <c r="C308" s="358"/>
      <c r="D308" s="373"/>
      <c r="E308" s="373"/>
      <c r="F308" s="373"/>
      <c r="G308" s="374"/>
      <c r="H308" s="357"/>
      <c r="I308" s="358"/>
      <c r="J308" s="357"/>
      <c r="K308" s="358"/>
      <c r="L308" s="359"/>
      <c r="M308" s="307"/>
      <c r="N308" s="359"/>
      <c r="O308" s="307"/>
      <c r="P308" s="357"/>
      <c r="Q308" s="357"/>
      <c r="R308" s="357"/>
      <c r="S308" s="357"/>
      <c r="T308" s="357"/>
      <c r="U308" s="357"/>
      <c r="V308" s="357"/>
      <c r="W308" s="357"/>
    </row>
    <row r="309">
      <c r="A309" s="358"/>
      <c r="B309" s="357"/>
      <c r="C309" s="358"/>
      <c r="D309" s="373"/>
      <c r="E309" s="373"/>
      <c r="F309" s="373"/>
      <c r="G309" s="374"/>
      <c r="H309" s="357"/>
      <c r="I309" s="358"/>
      <c r="J309" s="357"/>
      <c r="K309" s="358"/>
      <c r="L309" s="359"/>
      <c r="M309" s="307"/>
      <c r="N309" s="359"/>
      <c r="O309" s="307"/>
      <c r="P309" s="357"/>
      <c r="Q309" s="357"/>
      <c r="R309" s="357"/>
      <c r="S309" s="357"/>
      <c r="T309" s="357"/>
      <c r="U309" s="357"/>
      <c r="V309" s="357"/>
      <c r="W309" s="357"/>
    </row>
    <row r="310">
      <c r="A310" s="358"/>
      <c r="B310" s="357"/>
      <c r="C310" s="358"/>
      <c r="D310" s="373"/>
      <c r="E310" s="373"/>
      <c r="F310" s="373"/>
      <c r="G310" s="374"/>
      <c r="H310" s="357"/>
      <c r="I310" s="358"/>
      <c r="J310" s="357"/>
      <c r="K310" s="358"/>
      <c r="L310" s="359"/>
      <c r="M310" s="307"/>
      <c r="N310" s="359"/>
      <c r="O310" s="307"/>
      <c r="P310" s="357"/>
      <c r="Q310" s="357"/>
      <c r="R310" s="357"/>
      <c r="S310" s="357"/>
      <c r="T310" s="357"/>
      <c r="U310" s="357"/>
      <c r="V310" s="357"/>
      <c r="W310" s="357"/>
    </row>
    <row r="311">
      <c r="A311" s="358"/>
      <c r="B311" s="357"/>
      <c r="C311" s="358"/>
      <c r="D311" s="373"/>
      <c r="E311" s="373"/>
      <c r="F311" s="373"/>
      <c r="G311" s="374"/>
      <c r="H311" s="357"/>
      <c r="I311" s="358"/>
      <c r="J311" s="357"/>
      <c r="K311" s="358"/>
      <c r="L311" s="359"/>
      <c r="M311" s="307"/>
      <c r="N311" s="359"/>
      <c r="O311" s="307"/>
      <c r="P311" s="357"/>
      <c r="Q311" s="357"/>
      <c r="R311" s="357"/>
      <c r="S311" s="357"/>
      <c r="T311" s="357"/>
      <c r="U311" s="357"/>
      <c r="V311" s="357"/>
      <c r="W311" s="357"/>
    </row>
    <row r="312">
      <c r="A312" s="358"/>
      <c r="B312" s="357"/>
      <c r="C312" s="358"/>
      <c r="D312" s="373"/>
      <c r="E312" s="373"/>
      <c r="F312" s="373"/>
      <c r="G312" s="374"/>
      <c r="H312" s="357"/>
      <c r="I312" s="358"/>
      <c r="J312" s="357"/>
      <c r="K312" s="358"/>
      <c r="L312" s="359"/>
      <c r="M312" s="307"/>
      <c r="N312" s="359"/>
      <c r="O312" s="307"/>
      <c r="P312" s="357"/>
      <c r="Q312" s="357"/>
      <c r="R312" s="357"/>
      <c r="S312" s="357"/>
      <c r="T312" s="357"/>
      <c r="U312" s="357"/>
      <c r="V312" s="357"/>
      <c r="W312" s="357"/>
    </row>
    <row r="313">
      <c r="A313" s="358"/>
      <c r="B313" s="357"/>
      <c r="C313" s="358"/>
      <c r="D313" s="373"/>
      <c r="E313" s="373"/>
      <c r="F313" s="373"/>
      <c r="G313" s="374"/>
      <c r="H313" s="357"/>
      <c r="I313" s="358"/>
      <c r="J313" s="357"/>
      <c r="K313" s="358"/>
      <c r="L313" s="359"/>
      <c r="M313" s="307"/>
      <c r="N313" s="359"/>
      <c r="O313" s="307"/>
      <c r="P313" s="357"/>
      <c r="Q313" s="357"/>
      <c r="R313" s="357"/>
      <c r="S313" s="357"/>
      <c r="T313" s="357"/>
      <c r="U313" s="357"/>
      <c r="V313" s="357"/>
      <c r="W313" s="357"/>
    </row>
    <row r="314">
      <c r="A314" s="358"/>
      <c r="B314" s="357"/>
      <c r="C314" s="358"/>
      <c r="D314" s="373"/>
      <c r="E314" s="373"/>
      <c r="F314" s="373"/>
      <c r="G314" s="374"/>
      <c r="H314" s="357"/>
      <c r="I314" s="358"/>
      <c r="J314" s="357"/>
      <c r="K314" s="358"/>
      <c r="L314" s="359"/>
      <c r="M314" s="307"/>
      <c r="N314" s="359"/>
      <c r="O314" s="307"/>
      <c r="P314" s="357"/>
      <c r="Q314" s="357"/>
      <c r="R314" s="357"/>
      <c r="S314" s="357"/>
      <c r="T314" s="357"/>
      <c r="U314" s="357"/>
      <c r="V314" s="357"/>
      <c r="W314" s="357"/>
    </row>
    <row r="315">
      <c r="A315" s="358"/>
      <c r="B315" s="357"/>
      <c r="C315" s="358"/>
      <c r="D315" s="373"/>
      <c r="E315" s="373"/>
      <c r="F315" s="373"/>
      <c r="G315" s="374"/>
      <c r="H315" s="357"/>
      <c r="I315" s="358"/>
      <c r="J315" s="357"/>
      <c r="K315" s="358"/>
      <c r="L315" s="359"/>
      <c r="M315" s="307"/>
      <c r="N315" s="359"/>
      <c r="O315" s="307"/>
      <c r="P315" s="357"/>
      <c r="Q315" s="357"/>
      <c r="R315" s="357"/>
      <c r="S315" s="357"/>
      <c r="T315" s="357"/>
      <c r="U315" s="357"/>
      <c r="V315" s="357"/>
      <c r="W315" s="357"/>
    </row>
    <row r="316">
      <c r="A316" s="358"/>
      <c r="B316" s="357"/>
      <c r="C316" s="358"/>
      <c r="D316" s="373"/>
      <c r="E316" s="373"/>
      <c r="F316" s="373"/>
      <c r="G316" s="374"/>
      <c r="H316" s="357"/>
      <c r="I316" s="358"/>
      <c r="J316" s="357"/>
      <c r="K316" s="358"/>
      <c r="L316" s="359"/>
      <c r="M316" s="307"/>
      <c r="N316" s="359"/>
      <c r="O316" s="307"/>
      <c r="P316" s="357"/>
      <c r="Q316" s="357"/>
      <c r="R316" s="357"/>
      <c r="S316" s="357"/>
      <c r="T316" s="357"/>
      <c r="U316" s="357"/>
      <c r="V316" s="357"/>
      <c r="W316" s="357"/>
    </row>
    <row r="317">
      <c r="A317" s="358"/>
      <c r="B317" s="357"/>
      <c r="C317" s="358"/>
      <c r="D317" s="373"/>
      <c r="E317" s="373"/>
      <c r="F317" s="373"/>
      <c r="G317" s="374"/>
      <c r="H317" s="357"/>
      <c r="I317" s="358"/>
      <c r="J317" s="357"/>
      <c r="K317" s="358"/>
      <c r="L317" s="359"/>
      <c r="M317" s="307"/>
      <c r="N317" s="359"/>
      <c r="O317" s="307"/>
      <c r="P317" s="357"/>
      <c r="Q317" s="357"/>
      <c r="R317" s="357"/>
      <c r="S317" s="357"/>
      <c r="T317" s="357"/>
      <c r="U317" s="357"/>
      <c r="V317" s="357"/>
      <c r="W317" s="357"/>
    </row>
    <row r="318">
      <c r="A318" s="358"/>
      <c r="B318" s="357"/>
      <c r="C318" s="358"/>
      <c r="D318" s="373"/>
      <c r="E318" s="373"/>
      <c r="F318" s="373"/>
      <c r="G318" s="374"/>
      <c r="H318" s="357"/>
      <c r="I318" s="358"/>
      <c r="J318" s="357"/>
      <c r="K318" s="358"/>
      <c r="L318" s="359"/>
      <c r="M318" s="307"/>
      <c r="N318" s="359"/>
      <c r="O318" s="307"/>
      <c r="P318" s="357"/>
      <c r="Q318" s="357"/>
      <c r="R318" s="357"/>
      <c r="S318" s="357"/>
      <c r="T318" s="357"/>
      <c r="U318" s="357"/>
      <c r="V318" s="357"/>
      <c r="W318" s="357"/>
    </row>
    <row r="319">
      <c r="A319" s="358"/>
      <c r="B319" s="357"/>
      <c r="C319" s="358"/>
      <c r="D319" s="373"/>
      <c r="E319" s="373"/>
      <c r="F319" s="373"/>
      <c r="G319" s="374"/>
      <c r="H319" s="357"/>
      <c r="I319" s="358"/>
      <c r="J319" s="357"/>
      <c r="K319" s="358"/>
      <c r="L319" s="359"/>
      <c r="M319" s="307"/>
      <c r="N319" s="359"/>
      <c r="O319" s="307"/>
      <c r="P319" s="357"/>
      <c r="Q319" s="357"/>
      <c r="R319" s="357"/>
      <c r="S319" s="357"/>
      <c r="T319" s="357"/>
      <c r="U319" s="357"/>
      <c r="V319" s="357"/>
      <c r="W319" s="357"/>
    </row>
    <row r="320">
      <c r="A320" s="358"/>
      <c r="B320" s="357"/>
      <c r="C320" s="358"/>
      <c r="D320" s="373"/>
      <c r="E320" s="373"/>
      <c r="F320" s="373"/>
      <c r="G320" s="374"/>
      <c r="H320" s="357"/>
      <c r="I320" s="358"/>
      <c r="J320" s="357"/>
      <c r="K320" s="358"/>
      <c r="L320" s="359"/>
      <c r="M320" s="307"/>
      <c r="N320" s="359"/>
      <c r="O320" s="307"/>
      <c r="P320" s="357"/>
      <c r="Q320" s="357"/>
      <c r="R320" s="357"/>
      <c r="S320" s="357"/>
      <c r="T320" s="357"/>
      <c r="U320" s="357"/>
      <c r="V320" s="357"/>
      <c r="W320" s="357"/>
    </row>
    <row r="321">
      <c r="A321" s="358"/>
      <c r="B321" s="357"/>
      <c r="C321" s="358"/>
      <c r="D321" s="373"/>
      <c r="E321" s="373"/>
      <c r="F321" s="373"/>
      <c r="G321" s="374"/>
      <c r="H321" s="357"/>
      <c r="I321" s="358"/>
      <c r="J321" s="357"/>
      <c r="K321" s="358"/>
      <c r="L321" s="359"/>
      <c r="M321" s="307"/>
      <c r="N321" s="359"/>
      <c r="O321" s="307"/>
      <c r="P321" s="357"/>
      <c r="Q321" s="357"/>
      <c r="R321" s="357"/>
      <c r="S321" s="357"/>
      <c r="T321" s="357"/>
      <c r="U321" s="357"/>
      <c r="V321" s="357"/>
      <c r="W321" s="357"/>
    </row>
    <row r="322">
      <c r="A322" s="358"/>
      <c r="B322" s="357"/>
      <c r="C322" s="358"/>
      <c r="D322" s="373"/>
      <c r="E322" s="373"/>
      <c r="F322" s="373"/>
      <c r="G322" s="374"/>
      <c r="H322" s="357"/>
      <c r="I322" s="358"/>
      <c r="J322" s="357"/>
      <c r="K322" s="358"/>
      <c r="L322" s="359"/>
      <c r="M322" s="307"/>
      <c r="N322" s="359"/>
      <c r="O322" s="307"/>
      <c r="P322" s="357"/>
      <c r="Q322" s="357"/>
      <c r="R322" s="357"/>
      <c r="S322" s="357"/>
      <c r="T322" s="357"/>
      <c r="U322" s="357"/>
      <c r="V322" s="357"/>
      <c r="W322" s="357"/>
    </row>
    <row r="323">
      <c r="A323" s="358"/>
      <c r="B323" s="357"/>
      <c r="C323" s="358"/>
      <c r="D323" s="373"/>
      <c r="E323" s="373"/>
      <c r="F323" s="373"/>
      <c r="G323" s="374"/>
      <c r="H323" s="357"/>
      <c r="I323" s="358"/>
      <c r="J323" s="357"/>
      <c r="K323" s="358"/>
      <c r="L323" s="359"/>
      <c r="M323" s="307"/>
      <c r="N323" s="359"/>
      <c r="O323" s="307"/>
      <c r="P323" s="357"/>
      <c r="Q323" s="357"/>
      <c r="R323" s="357"/>
      <c r="S323" s="357"/>
      <c r="T323" s="357"/>
      <c r="U323" s="357"/>
      <c r="V323" s="357"/>
      <c r="W323" s="357"/>
    </row>
    <row r="324">
      <c r="A324" s="358"/>
      <c r="B324" s="357"/>
      <c r="C324" s="358"/>
      <c r="D324" s="373"/>
      <c r="E324" s="373"/>
      <c r="F324" s="373"/>
      <c r="G324" s="374"/>
      <c r="H324" s="357"/>
      <c r="I324" s="358"/>
      <c r="J324" s="357"/>
      <c r="K324" s="358"/>
      <c r="L324" s="359"/>
      <c r="M324" s="307"/>
      <c r="N324" s="359"/>
      <c r="O324" s="307"/>
      <c r="P324" s="357"/>
      <c r="Q324" s="357"/>
      <c r="R324" s="357"/>
      <c r="S324" s="357"/>
      <c r="T324" s="357"/>
      <c r="U324" s="357"/>
      <c r="V324" s="357"/>
      <c r="W324" s="357"/>
    </row>
    <row r="325">
      <c r="A325" s="358"/>
      <c r="B325" s="357"/>
      <c r="C325" s="358"/>
      <c r="D325" s="373"/>
      <c r="E325" s="373"/>
      <c r="F325" s="373"/>
      <c r="G325" s="374"/>
      <c r="H325" s="357"/>
      <c r="I325" s="358"/>
      <c r="J325" s="357"/>
      <c r="K325" s="358"/>
      <c r="L325" s="359"/>
      <c r="M325" s="307"/>
      <c r="N325" s="359"/>
      <c r="O325" s="307"/>
      <c r="P325" s="357"/>
      <c r="Q325" s="357"/>
      <c r="R325" s="357"/>
      <c r="S325" s="357"/>
      <c r="T325" s="357"/>
      <c r="U325" s="357"/>
      <c r="V325" s="357"/>
      <c r="W325" s="357"/>
    </row>
    <row r="326">
      <c r="A326" s="358"/>
      <c r="B326" s="357"/>
      <c r="C326" s="358"/>
      <c r="D326" s="373"/>
      <c r="E326" s="373"/>
      <c r="F326" s="373"/>
      <c r="G326" s="374"/>
      <c r="H326" s="357"/>
      <c r="I326" s="358"/>
      <c r="J326" s="357"/>
      <c r="K326" s="358"/>
      <c r="L326" s="359"/>
      <c r="M326" s="307"/>
      <c r="N326" s="359"/>
      <c r="O326" s="307"/>
      <c r="P326" s="357"/>
      <c r="Q326" s="357"/>
      <c r="R326" s="357"/>
      <c r="S326" s="357"/>
      <c r="T326" s="357"/>
      <c r="U326" s="357"/>
      <c r="V326" s="357"/>
      <c r="W326" s="357"/>
    </row>
    <row r="327">
      <c r="A327" s="358"/>
      <c r="B327" s="357"/>
      <c r="C327" s="358"/>
      <c r="D327" s="373"/>
      <c r="E327" s="373"/>
      <c r="F327" s="373"/>
      <c r="G327" s="374"/>
      <c r="H327" s="357"/>
      <c r="I327" s="358"/>
      <c r="J327" s="357"/>
      <c r="K327" s="358"/>
      <c r="L327" s="359"/>
      <c r="M327" s="307"/>
      <c r="N327" s="359"/>
      <c r="O327" s="307"/>
      <c r="P327" s="357"/>
      <c r="Q327" s="357"/>
      <c r="R327" s="357"/>
      <c r="S327" s="357"/>
      <c r="T327" s="357"/>
      <c r="U327" s="357"/>
      <c r="V327" s="357"/>
      <c r="W327" s="357"/>
    </row>
    <row r="328">
      <c r="A328" s="358"/>
      <c r="B328" s="357"/>
      <c r="C328" s="358"/>
      <c r="D328" s="373"/>
      <c r="E328" s="373"/>
      <c r="F328" s="373"/>
      <c r="G328" s="374"/>
      <c r="H328" s="357"/>
      <c r="I328" s="358"/>
      <c r="J328" s="357"/>
      <c r="K328" s="358"/>
      <c r="L328" s="359"/>
      <c r="M328" s="307"/>
      <c r="N328" s="359"/>
      <c r="O328" s="307"/>
      <c r="P328" s="357"/>
      <c r="Q328" s="357"/>
      <c r="R328" s="357"/>
      <c r="S328" s="357"/>
      <c r="T328" s="357"/>
      <c r="U328" s="357"/>
      <c r="V328" s="357"/>
      <c r="W328" s="357"/>
    </row>
    <row r="329">
      <c r="A329" s="358"/>
      <c r="B329" s="357"/>
      <c r="C329" s="358"/>
      <c r="D329" s="373"/>
      <c r="E329" s="373"/>
      <c r="F329" s="373"/>
      <c r="G329" s="374"/>
      <c r="H329" s="357"/>
      <c r="I329" s="358"/>
      <c r="J329" s="357"/>
      <c r="K329" s="358"/>
      <c r="L329" s="359"/>
      <c r="M329" s="307"/>
      <c r="N329" s="359"/>
      <c r="O329" s="307"/>
      <c r="P329" s="357"/>
      <c r="Q329" s="357"/>
      <c r="R329" s="357"/>
      <c r="S329" s="357"/>
      <c r="T329" s="357"/>
      <c r="U329" s="357"/>
      <c r="V329" s="357"/>
      <c r="W329" s="357"/>
    </row>
    <row r="330">
      <c r="A330" s="358"/>
      <c r="B330" s="357"/>
      <c r="C330" s="358"/>
      <c r="D330" s="373"/>
      <c r="E330" s="373"/>
      <c r="F330" s="373"/>
      <c r="G330" s="374"/>
      <c r="H330" s="357"/>
      <c r="I330" s="358"/>
      <c r="J330" s="357"/>
      <c r="K330" s="358"/>
      <c r="L330" s="359"/>
      <c r="M330" s="307"/>
      <c r="N330" s="359"/>
      <c r="O330" s="307"/>
      <c r="P330" s="357"/>
      <c r="Q330" s="357"/>
      <c r="R330" s="357"/>
      <c r="S330" s="357"/>
      <c r="T330" s="357"/>
      <c r="U330" s="357"/>
      <c r="V330" s="357"/>
      <c r="W330" s="357"/>
    </row>
    <row r="331">
      <c r="A331" s="358"/>
      <c r="B331" s="357"/>
      <c r="C331" s="358"/>
      <c r="D331" s="373"/>
      <c r="E331" s="373"/>
      <c r="F331" s="373"/>
      <c r="G331" s="374"/>
      <c r="H331" s="357"/>
      <c r="I331" s="358"/>
      <c r="J331" s="357"/>
      <c r="K331" s="358"/>
      <c r="L331" s="359"/>
      <c r="M331" s="307"/>
      <c r="N331" s="359"/>
      <c r="O331" s="307"/>
      <c r="P331" s="357"/>
      <c r="Q331" s="357"/>
      <c r="R331" s="357"/>
      <c r="S331" s="357"/>
      <c r="T331" s="357"/>
      <c r="U331" s="357"/>
      <c r="V331" s="357"/>
      <c r="W331" s="357"/>
    </row>
    <row r="332">
      <c r="A332" s="358"/>
      <c r="B332" s="357"/>
      <c r="C332" s="358"/>
      <c r="D332" s="373"/>
      <c r="E332" s="373"/>
      <c r="F332" s="373"/>
      <c r="G332" s="374"/>
      <c r="H332" s="357"/>
      <c r="I332" s="358"/>
      <c r="J332" s="357"/>
      <c r="K332" s="358"/>
      <c r="L332" s="359"/>
      <c r="M332" s="307"/>
      <c r="N332" s="359"/>
      <c r="O332" s="307"/>
      <c r="P332" s="357"/>
      <c r="Q332" s="357"/>
      <c r="R332" s="357"/>
      <c r="S332" s="357"/>
      <c r="T332" s="357"/>
      <c r="U332" s="357"/>
      <c r="V332" s="357"/>
      <c r="W332" s="357"/>
    </row>
    <row r="333">
      <c r="A333" s="358"/>
      <c r="B333" s="357"/>
      <c r="C333" s="358"/>
      <c r="D333" s="373"/>
      <c r="E333" s="373"/>
      <c r="F333" s="373"/>
      <c r="G333" s="374"/>
      <c r="H333" s="357"/>
      <c r="I333" s="358"/>
      <c r="J333" s="357"/>
      <c r="K333" s="358"/>
      <c r="L333" s="359"/>
      <c r="M333" s="307"/>
      <c r="N333" s="359"/>
      <c r="O333" s="307"/>
      <c r="P333" s="357"/>
      <c r="Q333" s="357"/>
      <c r="R333" s="357"/>
      <c r="S333" s="357"/>
      <c r="T333" s="357"/>
      <c r="U333" s="357"/>
      <c r="V333" s="357"/>
      <c r="W333" s="357"/>
    </row>
    <row r="334">
      <c r="A334" s="358"/>
      <c r="B334" s="357"/>
      <c r="C334" s="358"/>
      <c r="D334" s="373"/>
      <c r="E334" s="373"/>
      <c r="F334" s="373"/>
      <c r="G334" s="374"/>
      <c r="H334" s="357"/>
      <c r="I334" s="358"/>
      <c r="J334" s="357"/>
      <c r="K334" s="358"/>
      <c r="L334" s="359"/>
      <c r="M334" s="307"/>
      <c r="N334" s="359"/>
      <c r="O334" s="307"/>
      <c r="P334" s="357"/>
      <c r="Q334" s="357"/>
      <c r="R334" s="357"/>
      <c r="S334" s="357"/>
      <c r="T334" s="357"/>
      <c r="U334" s="357"/>
      <c r="V334" s="357"/>
      <c r="W334" s="357"/>
    </row>
    <row r="335">
      <c r="A335" s="358"/>
      <c r="B335" s="357"/>
      <c r="C335" s="358"/>
      <c r="D335" s="373"/>
      <c r="E335" s="373"/>
      <c r="F335" s="373"/>
      <c r="G335" s="374"/>
      <c r="H335" s="357"/>
      <c r="I335" s="358"/>
      <c r="J335" s="357"/>
      <c r="K335" s="358"/>
      <c r="L335" s="359"/>
      <c r="M335" s="307"/>
      <c r="N335" s="359"/>
      <c r="O335" s="307"/>
      <c r="P335" s="357"/>
      <c r="Q335" s="357"/>
      <c r="R335" s="357"/>
      <c r="S335" s="357"/>
      <c r="T335" s="357"/>
      <c r="U335" s="357"/>
      <c r="V335" s="357"/>
      <c r="W335" s="357"/>
    </row>
    <row r="336">
      <c r="A336" s="358"/>
      <c r="B336" s="357"/>
      <c r="C336" s="358"/>
      <c r="D336" s="373"/>
      <c r="E336" s="373"/>
      <c r="F336" s="373"/>
      <c r="G336" s="374"/>
      <c r="H336" s="357"/>
      <c r="I336" s="358"/>
      <c r="J336" s="357"/>
      <c r="K336" s="358"/>
      <c r="L336" s="359"/>
      <c r="M336" s="307"/>
      <c r="N336" s="359"/>
      <c r="O336" s="307"/>
      <c r="P336" s="357"/>
      <c r="Q336" s="357"/>
      <c r="R336" s="357"/>
      <c r="S336" s="357"/>
      <c r="T336" s="357"/>
      <c r="U336" s="357"/>
      <c r="V336" s="357"/>
      <c r="W336" s="357"/>
    </row>
    <row r="337">
      <c r="A337" s="358"/>
      <c r="B337" s="357"/>
      <c r="C337" s="358"/>
      <c r="D337" s="373"/>
      <c r="E337" s="373"/>
      <c r="F337" s="373"/>
      <c r="G337" s="374"/>
      <c r="H337" s="357"/>
      <c r="I337" s="358"/>
      <c r="J337" s="357"/>
      <c r="K337" s="358"/>
      <c r="L337" s="359"/>
      <c r="M337" s="307"/>
      <c r="N337" s="359"/>
      <c r="O337" s="307"/>
      <c r="P337" s="357"/>
      <c r="Q337" s="357"/>
      <c r="R337" s="357"/>
      <c r="S337" s="357"/>
      <c r="T337" s="357"/>
      <c r="U337" s="357"/>
      <c r="V337" s="357"/>
      <c r="W337" s="357"/>
    </row>
    <row r="338">
      <c r="A338" s="358"/>
      <c r="B338" s="357"/>
      <c r="C338" s="358"/>
      <c r="D338" s="373"/>
      <c r="E338" s="373"/>
      <c r="F338" s="373"/>
      <c r="G338" s="374"/>
      <c r="H338" s="357"/>
      <c r="I338" s="358"/>
      <c r="J338" s="357"/>
      <c r="K338" s="358"/>
      <c r="L338" s="359"/>
      <c r="M338" s="307"/>
      <c r="N338" s="359"/>
      <c r="O338" s="307"/>
      <c r="P338" s="357"/>
      <c r="Q338" s="357"/>
      <c r="R338" s="357"/>
      <c r="S338" s="357"/>
      <c r="T338" s="357"/>
      <c r="U338" s="357"/>
      <c r="V338" s="357"/>
      <c r="W338" s="357"/>
    </row>
    <row r="339">
      <c r="A339" s="358"/>
      <c r="B339" s="357"/>
      <c r="C339" s="358"/>
      <c r="D339" s="373"/>
      <c r="E339" s="373"/>
      <c r="F339" s="373"/>
      <c r="G339" s="374"/>
      <c r="H339" s="357"/>
      <c r="I339" s="358"/>
      <c r="J339" s="357"/>
      <c r="K339" s="358"/>
      <c r="L339" s="359"/>
      <c r="M339" s="307"/>
      <c r="N339" s="359"/>
      <c r="O339" s="307"/>
      <c r="P339" s="357"/>
      <c r="Q339" s="357"/>
      <c r="R339" s="357"/>
      <c r="S339" s="357"/>
      <c r="T339" s="357"/>
      <c r="U339" s="357"/>
      <c r="V339" s="357"/>
      <c r="W339" s="357"/>
    </row>
    <row r="340">
      <c r="A340" s="358"/>
      <c r="B340" s="357"/>
      <c r="C340" s="358"/>
      <c r="D340" s="373"/>
      <c r="E340" s="373"/>
      <c r="F340" s="373"/>
      <c r="G340" s="374"/>
      <c r="H340" s="357"/>
      <c r="I340" s="358"/>
      <c r="J340" s="357"/>
      <c r="K340" s="358"/>
      <c r="L340" s="359"/>
      <c r="M340" s="307"/>
      <c r="N340" s="359"/>
      <c r="O340" s="307"/>
      <c r="P340" s="357"/>
      <c r="Q340" s="357"/>
      <c r="R340" s="357"/>
      <c r="S340" s="357"/>
      <c r="T340" s="357"/>
      <c r="U340" s="357"/>
      <c r="V340" s="357"/>
      <c r="W340" s="357"/>
    </row>
    <row r="341">
      <c r="A341" s="358"/>
      <c r="B341" s="357"/>
      <c r="C341" s="358"/>
      <c r="D341" s="373"/>
      <c r="E341" s="373"/>
      <c r="F341" s="373"/>
      <c r="G341" s="374"/>
      <c r="H341" s="357"/>
      <c r="I341" s="358"/>
      <c r="J341" s="357"/>
      <c r="K341" s="358"/>
      <c r="L341" s="359"/>
      <c r="M341" s="307"/>
      <c r="N341" s="359"/>
      <c r="O341" s="307"/>
      <c r="P341" s="357"/>
      <c r="Q341" s="357"/>
      <c r="R341" s="357"/>
      <c r="S341" s="357"/>
      <c r="T341" s="357"/>
      <c r="U341" s="357"/>
      <c r="V341" s="357"/>
      <c r="W341" s="357"/>
    </row>
    <row r="342">
      <c r="A342" s="358"/>
      <c r="B342" s="357"/>
      <c r="C342" s="358"/>
      <c r="D342" s="373"/>
      <c r="E342" s="373"/>
      <c r="F342" s="373"/>
      <c r="G342" s="374"/>
      <c r="H342" s="357"/>
      <c r="I342" s="358"/>
      <c r="J342" s="357"/>
      <c r="K342" s="358"/>
      <c r="L342" s="359"/>
      <c r="M342" s="307"/>
      <c r="N342" s="359"/>
      <c r="O342" s="307"/>
      <c r="P342" s="357"/>
      <c r="Q342" s="357"/>
      <c r="R342" s="357"/>
      <c r="S342" s="357"/>
      <c r="T342" s="357"/>
      <c r="U342" s="357"/>
      <c r="V342" s="357"/>
      <c r="W342" s="357"/>
    </row>
    <row r="343">
      <c r="A343" s="358"/>
      <c r="B343" s="357"/>
      <c r="C343" s="358"/>
      <c r="D343" s="373"/>
      <c r="E343" s="373"/>
      <c r="F343" s="373"/>
      <c r="G343" s="374"/>
      <c r="H343" s="357"/>
      <c r="I343" s="358"/>
      <c r="J343" s="357"/>
      <c r="K343" s="358"/>
      <c r="L343" s="359"/>
      <c r="M343" s="307"/>
      <c r="N343" s="359"/>
      <c r="O343" s="307"/>
      <c r="P343" s="357"/>
      <c r="Q343" s="357"/>
      <c r="R343" s="357"/>
      <c r="S343" s="357"/>
      <c r="T343" s="357"/>
      <c r="U343" s="357"/>
      <c r="V343" s="357"/>
      <c r="W343" s="357"/>
    </row>
    <row r="344">
      <c r="A344" s="358"/>
      <c r="B344" s="357"/>
      <c r="C344" s="358"/>
      <c r="D344" s="373"/>
      <c r="E344" s="373"/>
      <c r="F344" s="373"/>
      <c r="G344" s="374"/>
      <c r="H344" s="357"/>
      <c r="I344" s="358"/>
      <c r="J344" s="357"/>
      <c r="K344" s="358"/>
      <c r="L344" s="359"/>
      <c r="M344" s="307"/>
      <c r="N344" s="359"/>
      <c r="O344" s="307"/>
      <c r="P344" s="357"/>
      <c r="Q344" s="357"/>
      <c r="R344" s="357"/>
      <c r="S344" s="357"/>
      <c r="T344" s="357"/>
      <c r="U344" s="357"/>
      <c r="V344" s="357"/>
      <c r="W344" s="357"/>
    </row>
    <row r="345">
      <c r="A345" s="358"/>
      <c r="B345" s="357"/>
      <c r="C345" s="358"/>
      <c r="D345" s="373"/>
      <c r="E345" s="373"/>
      <c r="F345" s="373"/>
      <c r="G345" s="374"/>
      <c r="H345" s="357"/>
      <c r="I345" s="358"/>
      <c r="J345" s="357"/>
      <c r="K345" s="358"/>
      <c r="L345" s="359"/>
      <c r="M345" s="307"/>
      <c r="N345" s="359"/>
      <c r="O345" s="307"/>
      <c r="P345" s="357"/>
      <c r="Q345" s="357"/>
      <c r="R345" s="357"/>
      <c r="S345" s="357"/>
      <c r="T345" s="357"/>
      <c r="U345" s="357"/>
      <c r="V345" s="357"/>
      <c r="W345" s="357"/>
    </row>
    <row r="346">
      <c r="A346" s="358"/>
      <c r="B346" s="357"/>
      <c r="C346" s="358"/>
      <c r="D346" s="373"/>
      <c r="E346" s="373"/>
      <c r="F346" s="373"/>
      <c r="G346" s="374"/>
      <c r="H346" s="357"/>
      <c r="I346" s="358"/>
      <c r="J346" s="357"/>
      <c r="K346" s="358"/>
      <c r="L346" s="359"/>
      <c r="M346" s="307"/>
      <c r="N346" s="359"/>
      <c r="O346" s="307"/>
      <c r="P346" s="357"/>
      <c r="Q346" s="357"/>
      <c r="R346" s="357"/>
      <c r="S346" s="357"/>
      <c r="T346" s="357"/>
      <c r="U346" s="357"/>
      <c r="V346" s="357"/>
      <c r="W346" s="357"/>
    </row>
    <row r="347">
      <c r="A347" s="358"/>
      <c r="B347" s="357"/>
      <c r="C347" s="358"/>
      <c r="D347" s="373"/>
      <c r="E347" s="373"/>
      <c r="F347" s="373"/>
      <c r="G347" s="374"/>
      <c r="H347" s="357"/>
      <c r="I347" s="358"/>
      <c r="J347" s="357"/>
      <c r="K347" s="358"/>
      <c r="L347" s="359"/>
      <c r="M347" s="307"/>
      <c r="N347" s="359"/>
      <c r="O347" s="307"/>
      <c r="P347" s="357"/>
      <c r="Q347" s="357"/>
      <c r="R347" s="357"/>
      <c r="S347" s="357"/>
      <c r="T347" s="357"/>
      <c r="U347" s="357"/>
      <c r="V347" s="357"/>
      <c r="W347" s="357"/>
    </row>
    <row r="348">
      <c r="A348" s="358"/>
      <c r="B348" s="357"/>
      <c r="C348" s="358"/>
      <c r="D348" s="373"/>
      <c r="E348" s="373"/>
      <c r="F348" s="373"/>
      <c r="G348" s="374"/>
      <c r="H348" s="357"/>
      <c r="I348" s="358"/>
      <c r="J348" s="357"/>
      <c r="K348" s="358"/>
      <c r="L348" s="359"/>
      <c r="M348" s="307"/>
      <c r="N348" s="359"/>
      <c r="O348" s="307"/>
      <c r="P348" s="357"/>
      <c r="Q348" s="357"/>
      <c r="R348" s="357"/>
      <c r="S348" s="357"/>
      <c r="T348" s="357"/>
      <c r="U348" s="357"/>
      <c r="V348" s="357"/>
      <c r="W348" s="357"/>
    </row>
    <row r="349">
      <c r="A349" s="358"/>
      <c r="B349" s="357"/>
      <c r="C349" s="358"/>
      <c r="D349" s="373"/>
      <c r="E349" s="373"/>
      <c r="F349" s="373"/>
      <c r="G349" s="374"/>
      <c r="H349" s="357"/>
      <c r="I349" s="358"/>
      <c r="J349" s="357"/>
      <c r="K349" s="358"/>
      <c r="L349" s="359"/>
      <c r="M349" s="307"/>
      <c r="N349" s="359"/>
      <c r="O349" s="307"/>
      <c r="P349" s="357"/>
      <c r="Q349" s="357"/>
      <c r="R349" s="357"/>
      <c r="S349" s="357"/>
      <c r="T349" s="357"/>
      <c r="U349" s="357"/>
      <c r="V349" s="357"/>
      <c r="W349" s="357"/>
    </row>
    <row r="350">
      <c r="A350" s="358"/>
      <c r="B350" s="357"/>
      <c r="C350" s="358"/>
      <c r="D350" s="373"/>
      <c r="E350" s="373"/>
      <c r="F350" s="373"/>
      <c r="G350" s="374"/>
      <c r="H350" s="357"/>
      <c r="I350" s="358"/>
      <c r="J350" s="357"/>
      <c r="K350" s="358"/>
      <c r="L350" s="359"/>
      <c r="M350" s="307"/>
      <c r="N350" s="359"/>
      <c r="O350" s="307"/>
      <c r="P350" s="357"/>
      <c r="Q350" s="357"/>
      <c r="R350" s="357"/>
      <c r="S350" s="357"/>
      <c r="T350" s="357"/>
      <c r="U350" s="357"/>
      <c r="V350" s="357"/>
      <c r="W350" s="357"/>
    </row>
    <row r="351">
      <c r="A351" s="358"/>
      <c r="B351" s="357"/>
      <c r="C351" s="358"/>
      <c r="D351" s="373"/>
      <c r="E351" s="373"/>
      <c r="F351" s="373"/>
      <c r="G351" s="374"/>
      <c r="H351" s="357"/>
      <c r="I351" s="358"/>
      <c r="J351" s="357"/>
      <c r="K351" s="358"/>
      <c r="L351" s="359"/>
      <c r="M351" s="307"/>
      <c r="N351" s="359"/>
      <c r="O351" s="307"/>
      <c r="P351" s="357"/>
      <c r="Q351" s="357"/>
      <c r="R351" s="357"/>
      <c r="S351" s="357"/>
      <c r="T351" s="357"/>
      <c r="U351" s="357"/>
      <c r="V351" s="357"/>
      <c r="W351" s="357"/>
    </row>
    <row r="352">
      <c r="A352" s="358"/>
      <c r="B352" s="357"/>
      <c r="C352" s="358"/>
      <c r="D352" s="373"/>
      <c r="E352" s="373"/>
      <c r="F352" s="373"/>
      <c r="G352" s="374"/>
      <c r="H352" s="357"/>
      <c r="I352" s="358"/>
      <c r="J352" s="357"/>
      <c r="K352" s="358"/>
      <c r="L352" s="359"/>
      <c r="M352" s="307"/>
      <c r="N352" s="359"/>
      <c r="O352" s="307"/>
      <c r="P352" s="357"/>
      <c r="Q352" s="357"/>
      <c r="R352" s="357"/>
      <c r="S352" s="357"/>
      <c r="T352" s="357"/>
      <c r="U352" s="357"/>
      <c r="V352" s="357"/>
      <c r="W352" s="357"/>
    </row>
    <row r="353">
      <c r="A353" s="358"/>
      <c r="B353" s="357"/>
      <c r="C353" s="358"/>
      <c r="D353" s="373"/>
      <c r="E353" s="373"/>
      <c r="F353" s="373"/>
      <c r="G353" s="374"/>
      <c r="H353" s="357"/>
      <c r="I353" s="358"/>
      <c r="J353" s="357"/>
      <c r="K353" s="358"/>
      <c r="L353" s="359"/>
      <c r="M353" s="307"/>
      <c r="N353" s="359"/>
      <c r="O353" s="307"/>
      <c r="P353" s="357"/>
      <c r="Q353" s="357"/>
      <c r="R353" s="357"/>
      <c r="S353" s="357"/>
      <c r="T353" s="357"/>
      <c r="U353" s="357"/>
      <c r="V353" s="357"/>
      <c r="W353" s="357"/>
    </row>
    <row r="354">
      <c r="A354" s="358"/>
      <c r="B354" s="357"/>
      <c r="C354" s="358"/>
      <c r="D354" s="373"/>
      <c r="E354" s="373"/>
      <c r="F354" s="373"/>
      <c r="G354" s="374"/>
      <c r="H354" s="357"/>
      <c r="I354" s="358"/>
      <c r="J354" s="357"/>
      <c r="K354" s="358"/>
      <c r="L354" s="359"/>
      <c r="M354" s="307"/>
      <c r="N354" s="359"/>
      <c r="O354" s="307"/>
      <c r="P354" s="357"/>
      <c r="Q354" s="357"/>
      <c r="R354" s="357"/>
      <c r="S354" s="357"/>
      <c r="T354" s="357"/>
      <c r="U354" s="357"/>
      <c r="V354" s="357"/>
      <c r="W354" s="357"/>
    </row>
    <row r="355">
      <c r="A355" s="358"/>
      <c r="B355" s="357"/>
      <c r="C355" s="358"/>
      <c r="D355" s="373"/>
      <c r="E355" s="373"/>
      <c r="F355" s="373"/>
      <c r="G355" s="374"/>
      <c r="H355" s="357"/>
      <c r="I355" s="358"/>
      <c r="J355" s="357"/>
      <c r="K355" s="358"/>
      <c r="L355" s="359"/>
      <c r="M355" s="307"/>
      <c r="N355" s="359"/>
      <c r="O355" s="307"/>
      <c r="P355" s="357"/>
      <c r="Q355" s="357"/>
      <c r="R355" s="357"/>
      <c r="S355" s="357"/>
      <c r="T355" s="357"/>
      <c r="U355" s="357"/>
      <c r="V355" s="357"/>
      <c r="W355" s="357"/>
    </row>
    <row r="356">
      <c r="A356" s="358"/>
      <c r="B356" s="357"/>
      <c r="C356" s="358"/>
      <c r="D356" s="373"/>
      <c r="E356" s="373"/>
      <c r="F356" s="373"/>
      <c r="G356" s="374"/>
      <c r="H356" s="357"/>
      <c r="I356" s="358"/>
      <c r="J356" s="357"/>
      <c r="K356" s="358"/>
      <c r="L356" s="359"/>
      <c r="M356" s="307"/>
      <c r="N356" s="359"/>
      <c r="O356" s="307"/>
      <c r="P356" s="357"/>
      <c r="Q356" s="357"/>
      <c r="R356" s="357"/>
      <c r="S356" s="357"/>
      <c r="T356" s="357"/>
      <c r="U356" s="357"/>
      <c r="V356" s="357"/>
      <c r="W356" s="357"/>
    </row>
    <row r="357">
      <c r="A357" s="358"/>
      <c r="B357" s="357"/>
      <c r="C357" s="358"/>
      <c r="D357" s="373"/>
      <c r="E357" s="373"/>
      <c r="F357" s="373"/>
      <c r="G357" s="374"/>
      <c r="H357" s="357"/>
      <c r="I357" s="358"/>
      <c r="J357" s="357"/>
      <c r="K357" s="358"/>
      <c r="L357" s="359"/>
      <c r="M357" s="307"/>
      <c r="N357" s="359"/>
      <c r="O357" s="307"/>
      <c r="P357" s="357"/>
      <c r="Q357" s="357"/>
      <c r="R357" s="357"/>
      <c r="S357" s="357"/>
      <c r="T357" s="357"/>
      <c r="U357" s="357"/>
      <c r="V357" s="357"/>
      <c r="W357" s="357"/>
    </row>
    <row r="358">
      <c r="A358" s="358"/>
      <c r="B358" s="357"/>
      <c r="C358" s="358"/>
      <c r="D358" s="373"/>
      <c r="E358" s="373"/>
      <c r="F358" s="373"/>
      <c r="G358" s="374"/>
      <c r="H358" s="357"/>
      <c r="I358" s="358"/>
      <c r="J358" s="357"/>
      <c r="K358" s="358"/>
      <c r="L358" s="359"/>
      <c r="M358" s="307"/>
      <c r="N358" s="359"/>
      <c r="O358" s="307"/>
      <c r="P358" s="357"/>
      <c r="Q358" s="357"/>
      <c r="R358" s="357"/>
      <c r="S358" s="357"/>
      <c r="T358" s="357"/>
      <c r="U358" s="357"/>
      <c r="V358" s="357"/>
      <c r="W358" s="357"/>
    </row>
    <row r="359">
      <c r="A359" s="358"/>
      <c r="B359" s="357"/>
      <c r="C359" s="358"/>
      <c r="D359" s="373"/>
      <c r="E359" s="373"/>
      <c r="F359" s="373"/>
      <c r="G359" s="374"/>
      <c r="H359" s="357"/>
      <c r="I359" s="358"/>
      <c r="J359" s="357"/>
      <c r="K359" s="358"/>
      <c r="L359" s="359"/>
      <c r="M359" s="307"/>
      <c r="N359" s="359"/>
      <c r="O359" s="307"/>
      <c r="P359" s="357"/>
      <c r="Q359" s="357"/>
      <c r="R359" s="357"/>
      <c r="S359" s="357"/>
      <c r="T359" s="357"/>
      <c r="U359" s="357"/>
      <c r="V359" s="357"/>
      <c r="W359" s="357"/>
    </row>
    <row r="360">
      <c r="A360" s="358"/>
      <c r="B360" s="357"/>
      <c r="C360" s="358"/>
      <c r="D360" s="373"/>
      <c r="E360" s="373"/>
      <c r="F360" s="373"/>
      <c r="G360" s="374"/>
      <c r="H360" s="357"/>
      <c r="I360" s="358"/>
      <c r="J360" s="357"/>
      <c r="K360" s="358"/>
      <c r="L360" s="359"/>
      <c r="M360" s="307"/>
      <c r="N360" s="359"/>
      <c r="O360" s="307"/>
      <c r="P360" s="357"/>
      <c r="Q360" s="357"/>
      <c r="R360" s="357"/>
      <c r="S360" s="357"/>
      <c r="T360" s="357"/>
      <c r="U360" s="357"/>
      <c r="V360" s="357"/>
      <c r="W360" s="357"/>
    </row>
    <row r="361">
      <c r="A361" s="358"/>
      <c r="B361" s="357"/>
      <c r="C361" s="358"/>
      <c r="D361" s="373"/>
      <c r="E361" s="373"/>
      <c r="F361" s="373"/>
      <c r="G361" s="374"/>
      <c r="H361" s="357"/>
      <c r="I361" s="358"/>
      <c r="J361" s="357"/>
      <c r="K361" s="358"/>
      <c r="L361" s="359"/>
      <c r="M361" s="307"/>
      <c r="N361" s="359"/>
      <c r="O361" s="307"/>
      <c r="P361" s="357"/>
      <c r="Q361" s="357"/>
      <c r="R361" s="357"/>
      <c r="S361" s="357"/>
      <c r="T361" s="357"/>
      <c r="U361" s="357"/>
      <c r="V361" s="357"/>
      <c r="W361" s="357"/>
    </row>
    <row r="362">
      <c r="A362" s="358"/>
      <c r="B362" s="357"/>
      <c r="C362" s="358"/>
      <c r="D362" s="373"/>
      <c r="E362" s="373"/>
      <c r="F362" s="373"/>
      <c r="G362" s="374"/>
      <c r="H362" s="357"/>
      <c r="I362" s="358"/>
      <c r="J362" s="357"/>
      <c r="K362" s="358"/>
      <c r="L362" s="359"/>
      <c r="M362" s="307"/>
      <c r="N362" s="359"/>
      <c r="O362" s="307"/>
      <c r="P362" s="357"/>
      <c r="Q362" s="357"/>
      <c r="R362" s="357"/>
      <c r="S362" s="357"/>
      <c r="T362" s="357"/>
      <c r="U362" s="357"/>
      <c r="V362" s="357"/>
      <c r="W362" s="357"/>
    </row>
    <row r="363">
      <c r="A363" s="358"/>
      <c r="B363" s="357"/>
      <c r="C363" s="358"/>
      <c r="D363" s="373"/>
      <c r="E363" s="373"/>
      <c r="F363" s="373"/>
      <c r="G363" s="374"/>
      <c r="H363" s="357"/>
      <c r="I363" s="358"/>
      <c r="J363" s="357"/>
      <c r="K363" s="358"/>
      <c r="L363" s="359"/>
      <c r="M363" s="307"/>
      <c r="N363" s="359"/>
      <c r="O363" s="307"/>
      <c r="P363" s="357"/>
      <c r="Q363" s="357"/>
      <c r="R363" s="357"/>
      <c r="S363" s="357"/>
      <c r="T363" s="357"/>
      <c r="U363" s="357"/>
      <c r="V363" s="357"/>
      <c r="W363" s="357"/>
    </row>
    <row r="364">
      <c r="A364" s="358"/>
      <c r="B364" s="357"/>
      <c r="C364" s="358"/>
      <c r="D364" s="373"/>
      <c r="E364" s="373"/>
      <c r="F364" s="373"/>
      <c r="G364" s="374"/>
      <c r="H364" s="357"/>
      <c r="I364" s="358"/>
      <c r="J364" s="357"/>
      <c r="K364" s="358"/>
      <c r="L364" s="359"/>
      <c r="M364" s="307"/>
      <c r="N364" s="359"/>
      <c r="O364" s="307"/>
      <c r="P364" s="357"/>
      <c r="Q364" s="357"/>
      <c r="R364" s="357"/>
      <c r="S364" s="357"/>
      <c r="T364" s="357"/>
      <c r="U364" s="357"/>
      <c r="V364" s="357"/>
      <c r="W364" s="357"/>
    </row>
    <row r="365">
      <c r="A365" s="358"/>
      <c r="B365" s="357"/>
      <c r="C365" s="358"/>
      <c r="D365" s="373"/>
      <c r="E365" s="373"/>
      <c r="F365" s="373"/>
      <c r="G365" s="374"/>
      <c r="H365" s="357"/>
      <c r="I365" s="358"/>
      <c r="J365" s="357"/>
      <c r="K365" s="358"/>
      <c r="L365" s="359"/>
      <c r="M365" s="307"/>
      <c r="N365" s="359"/>
      <c r="O365" s="307"/>
      <c r="P365" s="357"/>
      <c r="Q365" s="357"/>
      <c r="R365" s="357"/>
      <c r="S365" s="357"/>
      <c r="T365" s="357"/>
      <c r="U365" s="357"/>
      <c r="V365" s="357"/>
      <c r="W365" s="357"/>
    </row>
    <row r="366">
      <c r="A366" s="358"/>
      <c r="B366" s="357"/>
      <c r="C366" s="358"/>
      <c r="D366" s="373"/>
      <c r="E366" s="373"/>
      <c r="F366" s="373"/>
      <c r="G366" s="374"/>
      <c r="H366" s="357"/>
      <c r="I366" s="358"/>
      <c r="J366" s="357"/>
      <c r="K366" s="358"/>
      <c r="L366" s="359"/>
      <c r="M366" s="307"/>
      <c r="N366" s="359"/>
      <c r="O366" s="307"/>
      <c r="P366" s="357"/>
      <c r="Q366" s="357"/>
      <c r="R366" s="357"/>
      <c r="S366" s="357"/>
      <c r="T366" s="357"/>
      <c r="U366" s="357"/>
      <c r="V366" s="357"/>
      <c r="W366" s="357"/>
    </row>
    <row r="367">
      <c r="A367" s="358"/>
      <c r="B367" s="357"/>
      <c r="C367" s="358"/>
      <c r="D367" s="373"/>
      <c r="E367" s="373"/>
      <c r="F367" s="373"/>
      <c r="G367" s="374"/>
      <c r="H367" s="357"/>
      <c r="I367" s="358"/>
      <c r="J367" s="357"/>
      <c r="K367" s="358"/>
      <c r="L367" s="359"/>
      <c r="M367" s="307"/>
      <c r="N367" s="359"/>
      <c r="O367" s="307"/>
      <c r="P367" s="357"/>
      <c r="Q367" s="357"/>
      <c r="R367" s="357"/>
      <c r="S367" s="357"/>
      <c r="T367" s="357"/>
      <c r="U367" s="357"/>
      <c r="V367" s="357"/>
      <c r="W367" s="357"/>
    </row>
    <row r="368">
      <c r="A368" s="358"/>
      <c r="B368" s="357"/>
      <c r="C368" s="358"/>
      <c r="D368" s="373"/>
      <c r="E368" s="373"/>
      <c r="F368" s="373"/>
      <c r="G368" s="374"/>
      <c r="H368" s="357"/>
      <c r="I368" s="358"/>
      <c r="J368" s="357"/>
      <c r="K368" s="358"/>
      <c r="L368" s="359"/>
      <c r="M368" s="307"/>
      <c r="N368" s="359"/>
      <c r="O368" s="307"/>
      <c r="P368" s="357"/>
      <c r="Q368" s="357"/>
      <c r="R368" s="357"/>
      <c r="S368" s="357"/>
      <c r="T368" s="357"/>
      <c r="U368" s="357"/>
      <c r="V368" s="357"/>
      <c r="W368" s="357"/>
    </row>
    <row r="369">
      <c r="A369" s="358"/>
      <c r="B369" s="357"/>
      <c r="C369" s="358"/>
      <c r="D369" s="373"/>
      <c r="E369" s="373"/>
      <c r="F369" s="373"/>
      <c r="G369" s="374"/>
      <c r="H369" s="357"/>
      <c r="I369" s="358"/>
      <c r="J369" s="357"/>
      <c r="K369" s="358"/>
      <c r="L369" s="359"/>
      <c r="M369" s="307"/>
      <c r="N369" s="359"/>
      <c r="O369" s="307"/>
      <c r="P369" s="357"/>
      <c r="Q369" s="357"/>
      <c r="R369" s="357"/>
      <c r="S369" s="357"/>
      <c r="T369" s="357"/>
      <c r="U369" s="357"/>
      <c r="V369" s="357"/>
      <c r="W369" s="357"/>
    </row>
    <row r="370">
      <c r="A370" s="358"/>
      <c r="B370" s="357"/>
      <c r="C370" s="358"/>
      <c r="D370" s="373"/>
      <c r="E370" s="373"/>
      <c r="F370" s="373"/>
      <c r="G370" s="374"/>
      <c r="H370" s="357"/>
      <c r="I370" s="358"/>
      <c r="J370" s="357"/>
      <c r="K370" s="358"/>
      <c r="L370" s="359"/>
      <c r="M370" s="307"/>
      <c r="N370" s="359"/>
      <c r="O370" s="307"/>
      <c r="P370" s="357"/>
      <c r="Q370" s="357"/>
      <c r="R370" s="357"/>
      <c r="S370" s="357"/>
      <c r="T370" s="357"/>
      <c r="U370" s="357"/>
      <c r="V370" s="357"/>
      <c r="W370" s="357"/>
    </row>
    <row r="371">
      <c r="A371" s="358"/>
      <c r="B371" s="357"/>
      <c r="C371" s="358"/>
      <c r="D371" s="373"/>
      <c r="E371" s="373"/>
      <c r="F371" s="373"/>
      <c r="G371" s="374"/>
      <c r="H371" s="357"/>
      <c r="I371" s="358"/>
      <c r="J371" s="357"/>
      <c r="K371" s="358"/>
      <c r="L371" s="359"/>
      <c r="M371" s="307"/>
      <c r="N371" s="359"/>
      <c r="O371" s="307"/>
      <c r="P371" s="357"/>
      <c r="Q371" s="357"/>
      <c r="R371" s="357"/>
      <c r="S371" s="357"/>
      <c r="T371" s="357"/>
      <c r="U371" s="357"/>
      <c r="V371" s="357"/>
      <c r="W371" s="357"/>
    </row>
    <row r="372">
      <c r="A372" s="358"/>
      <c r="B372" s="357"/>
      <c r="C372" s="358"/>
      <c r="D372" s="373"/>
      <c r="E372" s="373"/>
      <c r="F372" s="373"/>
      <c r="G372" s="374"/>
      <c r="H372" s="357"/>
      <c r="I372" s="358"/>
      <c r="J372" s="357"/>
      <c r="K372" s="358"/>
      <c r="L372" s="359"/>
      <c r="M372" s="307"/>
      <c r="N372" s="359"/>
      <c r="O372" s="307"/>
      <c r="P372" s="357"/>
      <c r="Q372" s="357"/>
      <c r="R372" s="357"/>
      <c r="S372" s="357"/>
      <c r="T372" s="357"/>
      <c r="U372" s="357"/>
      <c r="V372" s="357"/>
      <c r="W372" s="357"/>
    </row>
    <row r="373">
      <c r="A373" s="358"/>
      <c r="B373" s="357"/>
      <c r="C373" s="358"/>
      <c r="D373" s="373"/>
      <c r="E373" s="373"/>
      <c r="F373" s="373"/>
      <c r="G373" s="374"/>
      <c r="H373" s="357"/>
      <c r="I373" s="358"/>
      <c r="J373" s="357"/>
      <c r="K373" s="358"/>
      <c r="L373" s="359"/>
      <c r="M373" s="307"/>
      <c r="N373" s="359"/>
      <c r="O373" s="307"/>
      <c r="P373" s="357"/>
      <c r="Q373" s="357"/>
      <c r="R373" s="357"/>
      <c r="S373" s="357"/>
      <c r="T373" s="357"/>
      <c r="U373" s="357"/>
      <c r="V373" s="357"/>
      <c r="W373" s="357"/>
    </row>
    <row r="374">
      <c r="A374" s="358"/>
      <c r="B374" s="357"/>
      <c r="C374" s="358"/>
      <c r="D374" s="373"/>
      <c r="E374" s="373"/>
      <c r="F374" s="373"/>
      <c r="G374" s="374"/>
      <c r="H374" s="357"/>
      <c r="I374" s="358"/>
      <c r="J374" s="357"/>
      <c r="K374" s="358"/>
      <c r="L374" s="359"/>
      <c r="M374" s="307"/>
      <c r="N374" s="359"/>
      <c r="O374" s="307"/>
      <c r="P374" s="357"/>
      <c r="Q374" s="357"/>
      <c r="R374" s="357"/>
      <c r="S374" s="357"/>
      <c r="T374" s="357"/>
      <c r="U374" s="357"/>
      <c r="V374" s="357"/>
      <c r="W374" s="357"/>
    </row>
    <row r="375">
      <c r="A375" s="358"/>
      <c r="B375" s="357"/>
      <c r="C375" s="358"/>
      <c r="D375" s="373"/>
      <c r="E375" s="373"/>
      <c r="F375" s="373"/>
      <c r="G375" s="374"/>
      <c r="H375" s="357"/>
      <c r="I375" s="358"/>
      <c r="J375" s="357"/>
      <c r="K375" s="358"/>
      <c r="L375" s="359"/>
      <c r="M375" s="307"/>
      <c r="N375" s="359"/>
      <c r="O375" s="307"/>
      <c r="P375" s="357"/>
      <c r="Q375" s="357"/>
      <c r="R375" s="357"/>
      <c r="S375" s="357"/>
      <c r="T375" s="357"/>
      <c r="U375" s="357"/>
      <c r="V375" s="357"/>
      <c r="W375" s="357"/>
    </row>
    <row r="376">
      <c r="A376" s="358"/>
      <c r="B376" s="357"/>
      <c r="C376" s="358"/>
      <c r="D376" s="373"/>
      <c r="E376" s="373"/>
      <c r="F376" s="373"/>
      <c r="G376" s="374"/>
      <c r="H376" s="357"/>
      <c r="I376" s="358"/>
      <c r="J376" s="357"/>
      <c r="K376" s="358"/>
      <c r="L376" s="359"/>
      <c r="M376" s="307"/>
      <c r="N376" s="359"/>
      <c r="O376" s="307"/>
      <c r="P376" s="357"/>
      <c r="Q376" s="357"/>
      <c r="R376" s="357"/>
      <c r="S376" s="357"/>
      <c r="T376" s="357"/>
      <c r="U376" s="357"/>
      <c r="V376" s="357"/>
      <c r="W376" s="357"/>
    </row>
    <row r="377">
      <c r="A377" s="358"/>
      <c r="B377" s="357"/>
      <c r="C377" s="358"/>
      <c r="D377" s="373"/>
      <c r="E377" s="373"/>
      <c r="F377" s="373"/>
      <c r="G377" s="374"/>
      <c r="H377" s="357"/>
      <c r="I377" s="358"/>
      <c r="J377" s="357"/>
      <c r="K377" s="358"/>
      <c r="L377" s="359"/>
      <c r="M377" s="307"/>
      <c r="N377" s="359"/>
      <c r="O377" s="307"/>
      <c r="P377" s="357"/>
      <c r="Q377" s="357"/>
      <c r="R377" s="357"/>
      <c r="S377" s="357"/>
      <c r="T377" s="357"/>
      <c r="U377" s="357"/>
      <c r="V377" s="357"/>
      <c r="W377" s="357"/>
    </row>
    <row r="378">
      <c r="A378" s="358"/>
      <c r="B378" s="357"/>
      <c r="C378" s="358"/>
      <c r="D378" s="373"/>
      <c r="E378" s="373"/>
      <c r="F378" s="373"/>
      <c r="G378" s="374"/>
      <c r="H378" s="357"/>
      <c r="I378" s="358"/>
      <c r="J378" s="357"/>
      <c r="K378" s="358"/>
      <c r="L378" s="359"/>
      <c r="M378" s="307"/>
      <c r="N378" s="359"/>
      <c r="O378" s="307"/>
      <c r="P378" s="357"/>
      <c r="Q378" s="357"/>
      <c r="R378" s="357"/>
      <c r="S378" s="357"/>
      <c r="T378" s="357"/>
      <c r="U378" s="357"/>
      <c r="V378" s="357"/>
      <c r="W378" s="357"/>
    </row>
    <row r="379">
      <c r="A379" s="358"/>
      <c r="B379" s="357"/>
      <c r="C379" s="358"/>
      <c r="D379" s="373"/>
      <c r="E379" s="373"/>
      <c r="F379" s="373"/>
      <c r="G379" s="374"/>
      <c r="H379" s="357"/>
      <c r="I379" s="358"/>
      <c r="J379" s="357"/>
      <c r="K379" s="358"/>
      <c r="L379" s="359"/>
      <c r="M379" s="307"/>
      <c r="N379" s="359"/>
      <c r="O379" s="307"/>
      <c r="P379" s="357"/>
      <c r="Q379" s="357"/>
      <c r="R379" s="357"/>
      <c r="S379" s="357"/>
      <c r="T379" s="357"/>
      <c r="U379" s="357"/>
      <c r="V379" s="357"/>
      <c r="W379" s="357"/>
    </row>
    <row r="380">
      <c r="A380" s="358"/>
      <c r="B380" s="357"/>
      <c r="C380" s="358"/>
      <c r="D380" s="373"/>
      <c r="E380" s="373"/>
      <c r="F380" s="373"/>
      <c r="G380" s="374"/>
      <c r="H380" s="357"/>
      <c r="I380" s="358"/>
      <c r="J380" s="357"/>
      <c r="K380" s="358"/>
      <c r="L380" s="359"/>
      <c r="M380" s="307"/>
      <c r="N380" s="359"/>
      <c r="O380" s="307"/>
      <c r="P380" s="357"/>
      <c r="Q380" s="357"/>
      <c r="R380" s="357"/>
      <c r="S380" s="357"/>
      <c r="T380" s="357"/>
      <c r="U380" s="357"/>
      <c r="V380" s="357"/>
      <c r="W380" s="357"/>
    </row>
    <row r="381">
      <c r="A381" s="358"/>
      <c r="B381" s="357"/>
      <c r="C381" s="358"/>
      <c r="D381" s="373"/>
      <c r="E381" s="373"/>
      <c r="F381" s="373"/>
      <c r="G381" s="374"/>
      <c r="H381" s="357"/>
      <c r="I381" s="358"/>
      <c r="J381" s="357"/>
      <c r="K381" s="358"/>
      <c r="L381" s="359"/>
      <c r="M381" s="307"/>
      <c r="N381" s="359"/>
      <c r="O381" s="307"/>
      <c r="P381" s="357"/>
      <c r="Q381" s="357"/>
      <c r="R381" s="357"/>
      <c r="S381" s="357"/>
      <c r="T381" s="357"/>
      <c r="U381" s="357"/>
      <c r="V381" s="357"/>
      <c r="W381" s="357"/>
    </row>
    <row r="382">
      <c r="A382" s="358"/>
      <c r="B382" s="357"/>
      <c r="C382" s="358"/>
      <c r="D382" s="373"/>
      <c r="E382" s="373"/>
      <c r="F382" s="373"/>
      <c r="G382" s="374"/>
      <c r="H382" s="357"/>
      <c r="I382" s="358"/>
      <c r="J382" s="357"/>
      <c r="K382" s="358"/>
      <c r="L382" s="359"/>
      <c r="M382" s="307"/>
      <c r="N382" s="359"/>
      <c r="O382" s="307"/>
      <c r="P382" s="357"/>
      <c r="Q382" s="357"/>
      <c r="R382" s="357"/>
      <c r="S382" s="357"/>
      <c r="T382" s="357"/>
      <c r="U382" s="357"/>
      <c r="V382" s="357"/>
      <c r="W382" s="357"/>
    </row>
    <row r="383">
      <c r="A383" s="358"/>
      <c r="B383" s="357"/>
      <c r="C383" s="358"/>
      <c r="D383" s="373"/>
      <c r="E383" s="373"/>
      <c r="F383" s="373"/>
      <c r="G383" s="374"/>
      <c r="H383" s="357"/>
      <c r="I383" s="358"/>
      <c r="J383" s="357"/>
      <c r="K383" s="358"/>
      <c r="L383" s="359"/>
      <c r="M383" s="307"/>
      <c r="N383" s="359"/>
      <c r="O383" s="307"/>
      <c r="P383" s="357"/>
      <c r="Q383" s="357"/>
      <c r="R383" s="357"/>
      <c r="S383" s="357"/>
      <c r="T383" s="357"/>
      <c r="U383" s="357"/>
      <c r="V383" s="357"/>
      <c r="W383" s="357"/>
    </row>
    <row r="384">
      <c r="A384" s="358"/>
      <c r="B384" s="357"/>
      <c r="C384" s="358"/>
      <c r="D384" s="373"/>
      <c r="E384" s="373"/>
      <c r="F384" s="373"/>
      <c r="G384" s="374"/>
      <c r="H384" s="357"/>
      <c r="I384" s="358"/>
      <c r="J384" s="357"/>
      <c r="K384" s="358"/>
      <c r="L384" s="359"/>
      <c r="M384" s="307"/>
      <c r="N384" s="359"/>
      <c r="O384" s="307"/>
      <c r="P384" s="357"/>
      <c r="Q384" s="357"/>
      <c r="R384" s="357"/>
      <c r="S384" s="357"/>
      <c r="T384" s="357"/>
      <c r="U384" s="357"/>
      <c r="V384" s="357"/>
      <c r="W384" s="357"/>
    </row>
    <row r="385">
      <c r="A385" s="358"/>
      <c r="B385" s="357"/>
      <c r="C385" s="358"/>
      <c r="D385" s="373"/>
      <c r="E385" s="373"/>
      <c r="F385" s="373"/>
      <c r="G385" s="374"/>
      <c r="H385" s="357"/>
      <c r="I385" s="358"/>
      <c r="J385" s="357"/>
      <c r="K385" s="358"/>
      <c r="L385" s="359"/>
      <c r="M385" s="307"/>
      <c r="N385" s="359"/>
      <c r="O385" s="307"/>
      <c r="P385" s="357"/>
      <c r="Q385" s="357"/>
      <c r="R385" s="357"/>
      <c r="S385" s="357"/>
      <c r="T385" s="357"/>
      <c r="U385" s="357"/>
      <c r="V385" s="357"/>
      <c r="W385" s="357"/>
    </row>
    <row r="386">
      <c r="A386" s="358"/>
      <c r="B386" s="357"/>
      <c r="C386" s="358"/>
      <c r="D386" s="373"/>
      <c r="E386" s="373"/>
      <c r="F386" s="373"/>
      <c r="G386" s="374"/>
      <c r="H386" s="357"/>
      <c r="I386" s="358"/>
      <c r="J386" s="357"/>
      <c r="K386" s="358"/>
      <c r="L386" s="359"/>
      <c r="M386" s="307"/>
      <c r="N386" s="359"/>
      <c r="O386" s="307"/>
      <c r="P386" s="357"/>
      <c r="Q386" s="357"/>
      <c r="R386" s="357"/>
      <c r="S386" s="357"/>
      <c r="T386" s="357"/>
      <c r="U386" s="357"/>
      <c r="V386" s="357"/>
      <c r="W386" s="357"/>
    </row>
    <row r="387">
      <c r="A387" s="358"/>
      <c r="B387" s="357"/>
      <c r="C387" s="358"/>
      <c r="D387" s="373"/>
      <c r="E387" s="373"/>
      <c r="F387" s="373"/>
      <c r="G387" s="374"/>
      <c r="H387" s="357"/>
      <c r="I387" s="358"/>
      <c r="J387" s="357"/>
      <c r="K387" s="358"/>
      <c r="L387" s="359"/>
      <c r="M387" s="307"/>
      <c r="N387" s="359"/>
      <c r="O387" s="307"/>
      <c r="P387" s="357"/>
      <c r="Q387" s="357"/>
      <c r="R387" s="357"/>
      <c r="S387" s="357"/>
      <c r="T387" s="357"/>
      <c r="U387" s="357"/>
      <c r="V387" s="357"/>
      <c r="W387" s="357"/>
    </row>
    <row r="388">
      <c r="A388" s="358"/>
      <c r="B388" s="357"/>
      <c r="C388" s="358"/>
      <c r="D388" s="373"/>
      <c r="E388" s="373"/>
      <c r="F388" s="373"/>
      <c r="G388" s="374"/>
      <c r="H388" s="357"/>
      <c r="I388" s="358"/>
      <c r="J388" s="357"/>
      <c r="K388" s="358"/>
      <c r="L388" s="359"/>
      <c r="M388" s="307"/>
      <c r="N388" s="359"/>
      <c r="O388" s="307"/>
      <c r="P388" s="357"/>
      <c r="Q388" s="357"/>
      <c r="R388" s="357"/>
      <c r="S388" s="357"/>
      <c r="T388" s="357"/>
      <c r="U388" s="357"/>
      <c r="V388" s="357"/>
      <c r="W388" s="357"/>
    </row>
    <row r="389">
      <c r="A389" s="358"/>
      <c r="B389" s="357"/>
      <c r="C389" s="358"/>
      <c r="D389" s="373"/>
      <c r="E389" s="373"/>
      <c r="F389" s="373"/>
      <c r="G389" s="374"/>
      <c r="H389" s="357"/>
      <c r="I389" s="358"/>
      <c r="J389" s="357"/>
      <c r="K389" s="358"/>
      <c r="L389" s="359"/>
      <c r="M389" s="307"/>
      <c r="N389" s="359"/>
      <c r="O389" s="307"/>
      <c r="P389" s="357"/>
      <c r="Q389" s="357"/>
      <c r="R389" s="357"/>
      <c r="S389" s="357"/>
      <c r="T389" s="357"/>
      <c r="U389" s="357"/>
      <c r="V389" s="357"/>
      <c r="W389" s="357"/>
    </row>
    <row r="390">
      <c r="A390" s="358"/>
      <c r="B390" s="357"/>
      <c r="C390" s="358"/>
      <c r="D390" s="373"/>
      <c r="E390" s="373"/>
      <c r="F390" s="373"/>
      <c r="G390" s="374"/>
      <c r="H390" s="357"/>
      <c r="I390" s="358"/>
      <c r="J390" s="357"/>
      <c r="K390" s="358"/>
      <c r="L390" s="359"/>
      <c r="M390" s="307"/>
      <c r="N390" s="359"/>
      <c r="O390" s="307"/>
      <c r="P390" s="357"/>
      <c r="Q390" s="357"/>
      <c r="R390" s="357"/>
      <c r="S390" s="357"/>
      <c r="T390" s="357"/>
      <c r="U390" s="357"/>
      <c r="V390" s="357"/>
      <c r="W390" s="357"/>
    </row>
    <row r="391">
      <c r="A391" s="358"/>
      <c r="B391" s="357"/>
      <c r="C391" s="358"/>
      <c r="D391" s="373"/>
      <c r="E391" s="373"/>
      <c r="F391" s="373"/>
      <c r="G391" s="374"/>
      <c r="H391" s="357"/>
      <c r="I391" s="358"/>
      <c r="J391" s="357"/>
      <c r="K391" s="358"/>
      <c r="L391" s="359"/>
      <c r="M391" s="307"/>
      <c r="N391" s="359"/>
      <c r="O391" s="307"/>
      <c r="P391" s="357"/>
      <c r="Q391" s="357"/>
      <c r="R391" s="357"/>
      <c r="S391" s="357"/>
      <c r="T391" s="357"/>
      <c r="U391" s="357"/>
      <c r="V391" s="357"/>
      <c r="W391" s="357"/>
    </row>
    <row r="392">
      <c r="A392" s="358"/>
      <c r="B392" s="357"/>
      <c r="C392" s="358"/>
      <c r="D392" s="373"/>
      <c r="E392" s="373"/>
      <c r="F392" s="373"/>
      <c r="G392" s="374"/>
      <c r="H392" s="357"/>
      <c r="I392" s="358"/>
      <c r="J392" s="357"/>
      <c r="K392" s="358"/>
      <c r="L392" s="359"/>
      <c r="M392" s="307"/>
      <c r="N392" s="359"/>
      <c r="O392" s="307"/>
      <c r="P392" s="357"/>
      <c r="Q392" s="357"/>
      <c r="R392" s="357"/>
      <c r="S392" s="357"/>
      <c r="T392" s="357"/>
      <c r="U392" s="357"/>
      <c r="V392" s="357"/>
      <c r="W392" s="357"/>
    </row>
    <row r="393">
      <c r="A393" s="358"/>
      <c r="B393" s="357"/>
      <c r="C393" s="358"/>
      <c r="D393" s="373"/>
      <c r="E393" s="373"/>
      <c r="F393" s="373"/>
      <c r="G393" s="374"/>
      <c r="H393" s="357"/>
      <c r="I393" s="358"/>
      <c r="J393" s="357"/>
      <c r="K393" s="358"/>
      <c r="L393" s="359"/>
      <c r="M393" s="307"/>
      <c r="N393" s="359"/>
      <c r="O393" s="307"/>
      <c r="P393" s="357"/>
      <c r="Q393" s="357"/>
      <c r="R393" s="357"/>
      <c r="S393" s="357"/>
      <c r="T393" s="357"/>
      <c r="U393" s="357"/>
      <c r="V393" s="357"/>
      <c r="W393" s="357"/>
    </row>
    <row r="394">
      <c r="A394" s="358"/>
      <c r="B394" s="357"/>
      <c r="C394" s="358"/>
      <c r="D394" s="373"/>
      <c r="E394" s="373"/>
      <c r="F394" s="373"/>
      <c r="G394" s="374"/>
      <c r="H394" s="357"/>
      <c r="I394" s="358"/>
      <c r="J394" s="357"/>
      <c r="K394" s="358"/>
      <c r="L394" s="359"/>
      <c r="M394" s="307"/>
      <c r="N394" s="359"/>
      <c r="O394" s="307"/>
      <c r="P394" s="357"/>
      <c r="Q394" s="357"/>
      <c r="R394" s="357"/>
      <c r="S394" s="357"/>
      <c r="T394" s="357"/>
      <c r="U394" s="357"/>
      <c r="V394" s="357"/>
      <c r="W394" s="357"/>
    </row>
    <row r="395">
      <c r="A395" s="358"/>
      <c r="B395" s="357"/>
      <c r="C395" s="358"/>
      <c r="D395" s="373"/>
      <c r="E395" s="373"/>
      <c r="F395" s="373"/>
      <c r="G395" s="374"/>
      <c r="H395" s="357"/>
      <c r="I395" s="358"/>
      <c r="J395" s="357"/>
      <c r="K395" s="358"/>
      <c r="L395" s="359"/>
      <c r="M395" s="307"/>
      <c r="N395" s="359"/>
      <c r="O395" s="307"/>
      <c r="P395" s="357"/>
      <c r="Q395" s="357"/>
      <c r="R395" s="357"/>
      <c r="S395" s="357"/>
      <c r="T395" s="357"/>
      <c r="U395" s="357"/>
      <c r="V395" s="357"/>
      <c r="W395" s="357"/>
    </row>
    <row r="396">
      <c r="A396" s="358"/>
      <c r="B396" s="357"/>
      <c r="C396" s="358"/>
      <c r="D396" s="373"/>
      <c r="E396" s="373"/>
      <c r="F396" s="373"/>
      <c r="G396" s="374"/>
      <c r="H396" s="357"/>
      <c r="I396" s="358"/>
      <c r="J396" s="357"/>
      <c r="K396" s="358"/>
      <c r="L396" s="359"/>
      <c r="M396" s="307"/>
      <c r="N396" s="359"/>
      <c r="O396" s="307"/>
      <c r="P396" s="357"/>
      <c r="Q396" s="357"/>
      <c r="R396" s="357"/>
      <c r="S396" s="357"/>
      <c r="T396" s="357"/>
      <c r="U396" s="357"/>
      <c r="V396" s="357"/>
      <c r="W396" s="357"/>
    </row>
    <row r="397">
      <c r="A397" s="358"/>
      <c r="B397" s="357"/>
      <c r="C397" s="358"/>
      <c r="D397" s="373"/>
      <c r="E397" s="373"/>
      <c r="F397" s="373"/>
      <c r="G397" s="374"/>
      <c r="H397" s="357"/>
      <c r="I397" s="358"/>
      <c r="J397" s="357"/>
      <c r="K397" s="358"/>
      <c r="L397" s="359"/>
      <c r="M397" s="307"/>
      <c r="N397" s="359"/>
      <c r="O397" s="307"/>
      <c r="P397" s="357"/>
      <c r="Q397" s="357"/>
      <c r="R397" s="357"/>
      <c r="S397" s="357"/>
      <c r="T397" s="357"/>
      <c r="U397" s="357"/>
      <c r="V397" s="357"/>
      <c r="W397" s="357"/>
    </row>
    <row r="398">
      <c r="A398" s="358"/>
      <c r="B398" s="357"/>
      <c r="C398" s="358"/>
      <c r="D398" s="373"/>
      <c r="E398" s="373"/>
      <c r="F398" s="373"/>
      <c r="G398" s="374"/>
      <c r="H398" s="357"/>
      <c r="I398" s="358"/>
      <c r="J398" s="357"/>
      <c r="K398" s="358"/>
      <c r="L398" s="359"/>
      <c r="M398" s="307"/>
      <c r="N398" s="359"/>
      <c r="O398" s="307"/>
      <c r="P398" s="357"/>
      <c r="Q398" s="357"/>
      <c r="R398" s="357"/>
      <c r="S398" s="357"/>
      <c r="T398" s="357"/>
      <c r="U398" s="357"/>
      <c r="V398" s="357"/>
      <c r="W398" s="357"/>
    </row>
    <row r="399">
      <c r="A399" s="358"/>
      <c r="B399" s="357"/>
      <c r="C399" s="358"/>
      <c r="D399" s="373"/>
      <c r="E399" s="373"/>
      <c r="F399" s="373"/>
      <c r="G399" s="374"/>
      <c r="H399" s="357"/>
      <c r="I399" s="358"/>
      <c r="J399" s="357"/>
      <c r="K399" s="358"/>
      <c r="L399" s="359"/>
      <c r="M399" s="307"/>
      <c r="N399" s="359"/>
      <c r="O399" s="307"/>
      <c r="P399" s="357"/>
      <c r="Q399" s="357"/>
      <c r="R399" s="357"/>
      <c r="S399" s="357"/>
      <c r="T399" s="357"/>
      <c r="U399" s="357"/>
      <c r="V399" s="357"/>
      <c r="W399" s="357"/>
    </row>
    <row r="400">
      <c r="A400" s="358"/>
      <c r="B400" s="357"/>
      <c r="C400" s="358"/>
      <c r="D400" s="373"/>
      <c r="E400" s="373"/>
      <c r="F400" s="373"/>
      <c r="G400" s="374"/>
      <c r="H400" s="357"/>
      <c r="I400" s="358"/>
      <c r="J400" s="357"/>
      <c r="K400" s="358"/>
      <c r="L400" s="359"/>
      <c r="M400" s="307"/>
      <c r="N400" s="359"/>
      <c r="O400" s="307"/>
      <c r="P400" s="357"/>
      <c r="Q400" s="357"/>
      <c r="R400" s="357"/>
      <c r="S400" s="357"/>
      <c r="T400" s="357"/>
      <c r="U400" s="357"/>
      <c r="V400" s="357"/>
      <c r="W400" s="357"/>
    </row>
    <row r="401">
      <c r="A401" s="358"/>
      <c r="B401" s="357"/>
      <c r="C401" s="358"/>
      <c r="D401" s="373"/>
      <c r="E401" s="373"/>
      <c r="F401" s="373"/>
      <c r="G401" s="374"/>
      <c r="H401" s="357"/>
      <c r="I401" s="358"/>
      <c r="J401" s="357"/>
      <c r="K401" s="358"/>
      <c r="L401" s="359"/>
      <c r="M401" s="307"/>
      <c r="N401" s="359"/>
      <c r="O401" s="307"/>
      <c r="P401" s="357"/>
      <c r="Q401" s="357"/>
      <c r="R401" s="357"/>
      <c r="S401" s="357"/>
      <c r="T401" s="357"/>
      <c r="U401" s="357"/>
      <c r="V401" s="357"/>
      <c r="W401" s="357"/>
    </row>
    <row r="402">
      <c r="A402" s="358"/>
      <c r="B402" s="357"/>
      <c r="C402" s="358"/>
      <c r="D402" s="373"/>
      <c r="E402" s="373"/>
      <c r="F402" s="373"/>
      <c r="G402" s="374"/>
      <c r="H402" s="357"/>
      <c r="I402" s="358"/>
      <c r="J402" s="357"/>
      <c r="K402" s="358"/>
      <c r="L402" s="359"/>
      <c r="M402" s="307"/>
      <c r="N402" s="359"/>
      <c r="O402" s="307"/>
      <c r="P402" s="357"/>
      <c r="Q402" s="357"/>
      <c r="R402" s="357"/>
      <c r="S402" s="357"/>
      <c r="T402" s="357"/>
      <c r="U402" s="357"/>
      <c r="V402" s="357"/>
      <c r="W402" s="357"/>
    </row>
    <row r="403">
      <c r="A403" s="358"/>
      <c r="B403" s="357"/>
      <c r="C403" s="358"/>
      <c r="D403" s="373"/>
      <c r="E403" s="373"/>
      <c r="F403" s="373"/>
      <c r="G403" s="374"/>
      <c r="H403" s="357"/>
      <c r="I403" s="358"/>
      <c r="J403" s="357"/>
      <c r="K403" s="358"/>
      <c r="L403" s="359"/>
      <c r="M403" s="307"/>
      <c r="N403" s="359"/>
      <c r="O403" s="307"/>
      <c r="P403" s="357"/>
      <c r="Q403" s="357"/>
      <c r="R403" s="357"/>
      <c r="S403" s="357"/>
      <c r="T403" s="357"/>
      <c r="U403" s="357"/>
      <c r="V403" s="357"/>
      <c r="W403" s="357"/>
    </row>
    <row r="404">
      <c r="A404" s="358"/>
      <c r="B404" s="357"/>
      <c r="C404" s="358"/>
      <c r="D404" s="373"/>
      <c r="E404" s="373"/>
      <c r="F404" s="373"/>
      <c r="G404" s="374"/>
      <c r="H404" s="357"/>
      <c r="I404" s="358"/>
      <c r="J404" s="357"/>
      <c r="K404" s="358"/>
      <c r="L404" s="359"/>
      <c r="M404" s="307"/>
      <c r="N404" s="359"/>
      <c r="O404" s="307"/>
      <c r="P404" s="357"/>
      <c r="Q404" s="357"/>
      <c r="R404" s="357"/>
      <c r="S404" s="357"/>
      <c r="T404" s="357"/>
      <c r="U404" s="357"/>
      <c r="V404" s="357"/>
      <c r="W404" s="357"/>
    </row>
    <row r="405">
      <c r="A405" s="358"/>
      <c r="B405" s="357"/>
      <c r="C405" s="358"/>
      <c r="D405" s="373"/>
      <c r="E405" s="373"/>
      <c r="F405" s="373"/>
      <c r="G405" s="374"/>
      <c r="H405" s="357"/>
      <c r="I405" s="358"/>
      <c r="J405" s="357"/>
      <c r="K405" s="358"/>
      <c r="L405" s="359"/>
      <c r="M405" s="307"/>
      <c r="N405" s="359"/>
      <c r="O405" s="307"/>
      <c r="P405" s="357"/>
      <c r="Q405" s="357"/>
      <c r="R405" s="357"/>
      <c r="S405" s="357"/>
      <c r="T405" s="357"/>
      <c r="U405" s="357"/>
      <c r="V405" s="357"/>
      <c r="W405" s="357"/>
    </row>
    <row r="406">
      <c r="A406" s="358"/>
      <c r="B406" s="357"/>
      <c r="C406" s="358"/>
      <c r="D406" s="373"/>
      <c r="E406" s="373"/>
      <c r="F406" s="373"/>
      <c r="G406" s="374"/>
      <c r="H406" s="357"/>
      <c r="I406" s="358"/>
      <c r="J406" s="357"/>
      <c r="K406" s="358"/>
      <c r="L406" s="359"/>
      <c r="M406" s="307"/>
      <c r="N406" s="359"/>
      <c r="O406" s="307"/>
      <c r="P406" s="357"/>
      <c r="Q406" s="357"/>
      <c r="R406" s="357"/>
      <c r="S406" s="357"/>
      <c r="T406" s="357"/>
      <c r="U406" s="357"/>
      <c r="V406" s="357"/>
      <c r="W406" s="357"/>
    </row>
    <row r="407">
      <c r="A407" s="358"/>
      <c r="B407" s="357"/>
      <c r="C407" s="358"/>
      <c r="D407" s="373"/>
      <c r="E407" s="373"/>
      <c r="F407" s="373"/>
      <c r="G407" s="374"/>
      <c r="H407" s="357"/>
      <c r="I407" s="358"/>
      <c r="J407" s="357"/>
      <c r="K407" s="358"/>
      <c r="L407" s="359"/>
      <c r="M407" s="307"/>
      <c r="N407" s="359"/>
      <c r="O407" s="307"/>
      <c r="P407" s="357"/>
      <c r="Q407" s="357"/>
      <c r="R407" s="357"/>
      <c r="S407" s="357"/>
      <c r="T407" s="357"/>
      <c r="U407" s="357"/>
      <c r="V407" s="357"/>
      <c r="W407" s="357"/>
    </row>
    <row r="408">
      <c r="A408" s="358"/>
      <c r="B408" s="357"/>
      <c r="C408" s="358"/>
      <c r="D408" s="373"/>
      <c r="E408" s="373"/>
      <c r="F408" s="373"/>
      <c r="G408" s="374"/>
      <c r="H408" s="357"/>
      <c r="I408" s="358"/>
      <c r="J408" s="357"/>
      <c r="K408" s="358"/>
      <c r="L408" s="359"/>
      <c r="M408" s="307"/>
      <c r="N408" s="359"/>
      <c r="O408" s="307"/>
      <c r="P408" s="357"/>
      <c r="Q408" s="357"/>
      <c r="R408" s="357"/>
      <c r="S408" s="357"/>
      <c r="T408" s="357"/>
      <c r="U408" s="357"/>
      <c r="V408" s="357"/>
      <c r="W408" s="357"/>
    </row>
    <row r="409">
      <c r="A409" s="358"/>
      <c r="B409" s="357"/>
      <c r="C409" s="358"/>
      <c r="D409" s="373"/>
      <c r="E409" s="373"/>
      <c r="F409" s="373"/>
      <c r="G409" s="374"/>
      <c r="H409" s="357"/>
      <c r="I409" s="358"/>
      <c r="J409" s="357"/>
      <c r="K409" s="358"/>
      <c r="L409" s="359"/>
      <c r="M409" s="307"/>
      <c r="N409" s="359"/>
      <c r="O409" s="307"/>
      <c r="P409" s="357"/>
      <c r="Q409" s="357"/>
      <c r="R409" s="357"/>
      <c r="S409" s="357"/>
      <c r="T409" s="357"/>
      <c r="U409" s="357"/>
      <c r="V409" s="357"/>
      <c r="W409" s="357"/>
    </row>
    <row r="410">
      <c r="A410" s="358"/>
      <c r="B410" s="357"/>
      <c r="C410" s="358"/>
      <c r="D410" s="373"/>
      <c r="E410" s="373"/>
      <c r="F410" s="373"/>
      <c r="G410" s="374"/>
      <c r="H410" s="357"/>
      <c r="I410" s="358"/>
      <c r="J410" s="357"/>
      <c r="K410" s="358"/>
      <c r="L410" s="359"/>
      <c r="M410" s="307"/>
      <c r="N410" s="359"/>
      <c r="O410" s="307"/>
      <c r="P410" s="357"/>
      <c r="Q410" s="357"/>
      <c r="R410" s="357"/>
      <c r="S410" s="357"/>
      <c r="T410" s="357"/>
      <c r="U410" s="357"/>
      <c r="V410" s="357"/>
      <c r="W410" s="357"/>
    </row>
    <row r="411">
      <c r="A411" s="358"/>
      <c r="B411" s="357"/>
      <c r="C411" s="358"/>
      <c r="D411" s="373"/>
      <c r="E411" s="373"/>
      <c r="F411" s="373"/>
      <c r="G411" s="374"/>
      <c r="H411" s="357"/>
      <c r="I411" s="358"/>
      <c r="J411" s="357"/>
      <c r="K411" s="358"/>
      <c r="L411" s="359"/>
      <c r="M411" s="307"/>
      <c r="N411" s="359"/>
      <c r="O411" s="307"/>
      <c r="P411" s="357"/>
      <c r="Q411" s="357"/>
      <c r="R411" s="357"/>
      <c r="S411" s="357"/>
      <c r="T411" s="357"/>
      <c r="U411" s="357"/>
      <c r="V411" s="357"/>
      <c r="W411" s="357"/>
    </row>
    <row r="412">
      <c r="A412" s="358"/>
      <c r="B412" s="357"/>
      <c r="C412" s="358"/>
      <c r="D412" s="373"/>
      <c r="E412" s="373"/>
      <c r="F412" s="373"/>
      <c r="G412" s="374"/>
      <c r="H412" s="357"/>
      <c r="I412" s="358"/>
      <c r="J412" s="357"/>
      <c r="K412" s="358"/>
      <c r="L412" s="359"/>
      <c r="M412" s="307"/>
      <c r="N412" s="359"/>
      <c r="O412" s="307"/>
      <c r="P412" s="357"/>
      <c r="Q412" s="357"/>
      <c r="R412" s="357"/>
      <c r="S412" s="357"/>
      <c r="T412" s="357"/>
      <c r="U412" s="357"/>
      <c r="V412" s="357"/>
      <c r="W412" s="357"/>
    </row>
    <row r="413">
      <c r="A413" s="358"/>
      <c r="B413" s="357"/>
      <c r="C413" s="358"/>
      <c r="D413" s="373"/>
      <c r="E413" s="373"/>
      <c r="F413" s="373"/>
      <c r="G413" s="374"/>
      <c r="H413" s="357"/>
      <c r="I413" s="358"/>
      <c r="J413" s="357"/>
      <c r="K413" s="358"/>
      <c r="L413" s="359"/>
      <c r="M413" s="307"/>
      <c r="N413" s="359"/>
      <c r="O413" s="307"/>
      <c r="P413" s="357"/>
      <c r="Q413" s="357"/>
      <c r="R413" s="357"/>
      <c r="S413" s="357"/>
      <c r="T413" s="357"/>
      <c r="U413" s="357"/>
      <c r="V413" s="357"/>
      <c r="W413" s="357"/>
    </row>
    <row r="414">
      <c r="A414" s="358"/>
      <c r="B414" s="357"/>
      <c r="C414" s="358"/>
      <c r="D414" s="373"/>
      <c r="E414" s="373"/>
      <c r="F414" s="373"/>
      <c r="G414" s="374"/>
      <c r="H414" s="357"/>
      <c r="I414" s="358"/>
      <c r="J414" s="357"/>
      <c r="K414" s="358"/>
      <c r="L414" s="359"/>
      <c r="M414" s="307"/>
      <c r="N414" s="359"/>
      <c r="O414" s="307"/>
      <c r="P414" s="357"/>
      <c r="Q414" s="357"/>
      <c r="R414" s="357"/>
      <c r="S414" s="357"/>
      <c r="T414" s="357"/>
      <c r="U414" s="357"/>
      <c r="V414" s="357"/>
      <c r="W414" s="357"/>
    </row>
    <row r="415">
      <c r="A415" s="358"/>
      <c r="B415" s="357"/>
      <c r="C415" s="358"/>
      <c r="D415" s="373"/>
      <c r="E415" s="373"/>
      <c r="F415" s="373"/>
      <c r="G415" s="374"/>
      <c r="H415" s="357"/>
      <c r="I415" s="358"/>
      <c r="J415" s="357"/>
      <c r="K415" s="358"/>
      <c r="L415" s="359"/>
      <c r="M415" s="307"/>
      <c r="N415" s="359"/>
      <c r="O415" s="307"/>
      <c r="P415" s="357"/>
      <c r="Q415" s="357"/>
      <c r="R415" s="357"/>
      <c r="S415" s="357"/>
      <c r="T415" s="357"/>
      <c r="U415" s="357"/>
      <c r="V415" s="357"/>
      <c r="W415" s="357"/>
    </row>
    <row r="416">
      <c r="A416" s="358"/>
      <c r="B416" s="357"/>
      <c r="C416" s="358"/>
      <c r="D416" s="373"/>
      <c r="E416" s="373"/>
      <c r="F416" s="373"/>
      <c r="G416" s="374"/>
      <c r="H416" s="357"/>
      <c r="I416" s="358"/>
      <c r="J416" s="357"/>
      <c r="K416" s="358"/>
      <c r="L416" s="359"/>
      <c r="M416" s="307"/>
      <c r="N416" s="359"/>
      <c r="O416" s="307"/>
      <c r="P416" s="357"/>
      <c r="Q416" s="357"/>
      <c r="R416" s="357"/>
      <c r="S416" s="357"/>
      <c r="T416" s="357"/>
      <c r="U416" s="357"/>
      <c r="V416" s="357"/>
      <c r="W416" s="357"/>
    </row>
    <row r="417">
      <c r="A417" s="358"/>
      <c r="B417" s="357"/>
      <c r="C417" s="358"/>
      <c r="D417" s="373"/>
      <c r="E417" s="373"/>
      <c r="F417" s="373"/>
      <c r="G417" s="374"/>
      <c r="H417" s="357"/>
      <c r="I417" s="358"/>
      <c r="J417" s="357"/>
      <c r="K417" s="358"/>
      <c r="L417" s="359"/>
      <c r="M417" s="307"/>
      <c r="N417" s="359"/>
      <c r="O417" s="307"/>
      <c r="P417" s="357"/>
      <c r="Q417" s="357"/>
      <c r="R417" s="357"/>
      <c r="S417" s="357"/>
      <c r="T417" s="357"/>
      <c r="U417" s="357"/>
      <c r="V417" s="357"/>
      <c r="W417" s="357"/>
    </row>
    <row r="418">
      <c r="A418" s="358"/>
      <c r="B418" s="357"/>
      <c r="C418" s="358"/>
      <c r="D418" s="373"/>
      <c r="E418" s="373"/>
      <c r="F418" s="373"/>
      <c r="G418" s="374"/>
      <c r="H418" s="357"/>
      <c r="I418" s="358"/>
      <c r="J418" s="357"/>
      <c r="K418" s="358"/>
      <c r="L418" s="359"/>
      <c r="M418" s="307"/>
      <c r="N418" s="359"/>
      <c r="O418" s="307"/>
      <c r="P418" s="357"/>
      <c r="Q418" s="357"/>
      <c r="R418" s="357"/>
      <c r="S418" s="357"/>
      <c r="T418" s="357"/>
      <c r="U418" s="357"/>
      <c r="V418" s="357"/>
      <c r="W418" s="357"/>
    </row>
    <row r="419">
      <c r="A419" s="358"/>
      <c r="B419" s="357"/>
      <c r="C419" s="358"/>
      <c r="D419" s="373"/>
      <c r="E419" s="373"/>
      <c r="F419" s="373"/>
      <c r="G419" s="374"/>
      <c r="H419" s="357"/>
      <c r="I419" s="358"/>
      <c r="J419" s="357"/>
      <c r="K419" s="358"/>
      <c r="L419" s="359"/>
      <c r="M419" s="307"/>
      <c r="N419" s="359"/>
      <c r="O419" s="307"/>
      <c r="P419" s="357"/>
      <c r="Q419" s="357"/>
      <c r="R419" s="357"/>
      <c r="S419" s="357"/>
      <c r="T419" s="357"/>
      <c r="U419" s="357"/>
      <c r="V419" s="357"/>
      <c r="W419" s="357"/>
    </row>
    <row r="420">
      <c r="A420" s="358"/>
      <c r="B420" s="357"/>
      <c r="C420" s="358"/>
      <c r="D420" s="373"/>
      <c r="E420" s="373"/>
      <c r="F420" s="373"/>
      <c r="G420" s="374"/>
      <c r="H420" s="357"/>
      <c r="I420" s="358"/>
      <c r="J420" s="357"/>
      <c r="K420" s="358"/>
      <c r="L420" s="359"/>
      <c r="M420" s="307"/>
      <c r="N420" s="359"/>
      <c r="O420" s="307"/>
      <c r="P420" s="357"/>
      <c r="Q420" s="357"/>
      <c r="R420" s="357"/>
      <c r="S420" s="357"/>
      <c r="T420" s="357"/>
      <c r="U420" s="357"/>
      <c r="V420" s="357"/>
      <c r="W420" s="357"/>
    </row>
    <row r="421">
      <c r="A421" s="358"/>
      <c r="B421" s="357"/>
      <c r="C421" s="358"/>
      <c r="D421" s="373"/>
      <c r="E421" s="373"/>
      <c r="F421" s="373"/>
      <c r="G421" s="374"/>
      <c r="H421" s="357"/>
      <c r="I421" s="358"/>
      <c r="J421" s="357"/>
      <c r="K421" s="358"/>
      <c r="L421" s="359"/>
      <c r="M421" s="307"/>
      <c r="N421" s="359"/>
      <c r="O421" s="307"/>
      <c r="P421" s="357"/>
      <c r="Q421" s="357"/>
      <c r="R421" s="357"/>
      <c r="S421" s="357"/>
      <c r="T421" s="357"/>
      <c r="U421" s="357"/>
      <c r="V421" s="357"/>
      <c r="W421" s="357"/>
    </row>
    <row r="422">
      <c r="A422" s="358"/>
      <c r="B422" s="357"/>
      <c r="C422" s="358"/>
      <c r="D422" s="373"/>
      <c r="E422" s="373"/>
      <c r="F422" s="373"/>
      <c r="G422" s="374"/>
      <c r="H422" s="357"/>
      <c r="I422" s="358"/>
      <c r="J422" s="357"/>
      <c r="K422" s="358"/>
      <c r="L422" s="359"/>
      <c r="M422" s="307"/>
      <c r="N422" s="359"/>
      <c r="O422" s="307"/>
      <c r="P422" s="357"/>
      <c r="Q422" s="357"/>
      <c r="R422" s="357"/>
      <c r="S422" s="357"/>
      <c r="T422" s="357"/>
      <c r="U422" s="357"/>
      <c r="V422" s="357"/>
      <c r="W422" s="357"/>
    </row>
    <row r="423">
      <c r="A423" s="358"/>
      <c r="B423" s="357"/>
      <c r="C423" s="358"/>
      <c r="D423" s="373"/>
      <c r="E423" s="373"/>
      <c r="F423" s="373"/>
      <c r="G423" s="374"/>
      <c r="H423" s="357"/>
      <c r="I423" s="358"/>
      <c r="J423" s="357"/>
      <c r="K423" s="358"/>
      <c r="L423" s="359"/>
      <c r="M423" s="307"/>
      <c r="N423" s="359"/>
      <c r="O423" s="307"/>
      <c r="P423" s="357"/>
      <c r="Q423" s="357"/>
      <c r="R423" s="357"/>
      <c r="S423" s="357"/>
      <c r="T423" s="357"/>
      <c r="U423" s="357"/>
      <c r="V423" s="357"/>
      <c r="W423" s="357"/>
    </row>
    <row r="424">
      <c r="A424" s="358"/>
      <c r="B424" s="357"/>
      <c r="C424" s="358"/>
      <c r="D424" s="373"/>
      <c r="E424" s="373"/>
      <c r="F424" s="373"/>
      <c r="G424" s="374"/>
      <c r="H424" s="357"/>
      <c r="I424" s="358"/>
      <c r="J424" s="357"/>
      <c r="K424" s="358"/>
      <c r="L424" s="359"/>
      <c r="M424" s="307"/>
      <c r="N424" s="359"/>
      <c r="O424" s="307"/>
      <c r="P424" s="357"/>
      <c r="Q424" s="357"/>
      <c r="R424" s="357"/>
      <c r="S424" s="357"/>
      <c r="T424" s="357"/>
      <c r="U424" s="357"/>
      <c r="V424" s="357"/>
      <c r="W424" s="357"/>
    </row>
    <row r="425">
      <c r="A425" s="358"/>
      <c r="B425" s="357"/>
      <c r="C425" s="358"/>
      <c r="D425" s="373"/>
      <c r="E425" s="373"/>
      <c r="F425" s="373"/>
      <c r="G425" s="374"/>
      <c r="H425" s="357"/>
      <c r="I425" s="358"/>
      <c r="J425" s="357"/>
      <c r="K425" s="358"/>
      <c r="L425" s="359"/>
      <c r="M425" s="307"/>
      <c r="N425" s="359"/>
      <c r="O425" s="307"/>
      <c r="P425" s="357"/>
      <c r="Q425" s="357"/>
      <c r="R425" s="357"/>
      <c r="S425" s="357"/>
      <c r="T425" s="357"/>
      <c r="U425" s="357"/>
      <c r="V425" s="357"/>
      <c r="W425" s="357"/>
    </row>
    <row r="426">
      <c r="A426" s="358"/>
      <c r="B426" s="357"/>
      <c r="C426" s="358"/>
      <c r="D426" s="373"/>
      <c r="E426" s="373"/>
      <c r="F426" s="373"/>
      <c r="G426" s="374"/>
      <c r="H426" s="357"/>
      <c r="I426" s="358"/>
      <c r="J426" s="357"/>
      <c r="K426" s="358"/>
      <c r="L426" s="359"/>
      <c r="M426" s="307"/>
      <c r="N426" s="359"/>
      <c r="O426" s="307"/>
      <c r="P426" s="357"/>
      <c r="Q426" s="357"/>
      <c r="R426" s="357"/>
      <c r="S426" s="357"/>
      <c r="T426" s="357"/>
      <c r="U426" s="357"/>
      <c r="V426" s="357"/>
      <c r="W426" s="357"/>
    </row>
    <row r="427">
      <c r="A427" s="358"/>
      <c r="B427" s="357"/>
      <c r="C427" s="358"/>
      <c r="D427" s="373"/>
      <c r="E427" s="373"/>
      <c r="F427" s="373"/>
      <c r="G427" s="374"/>
      <c r="H427" s="357"/>
      <c r="I427" s="358"/>
      <c r="J427" s="357"/>
      <c r="K427" s="358"/>
      <c r="L427" s="359"/>
      <c r="M427" s="307"/>
      <c r="N427" s="359"/>
      <c r="O427" s="307"/>
      <c r="P427" s="357"/>
      <c r="Q427" s="357"/>
      <c r="R427" s="357"/>
      <c r="S427" s="357"/>
      <c r="T427" s="357"/>
      <c r="U427" s="357"/>
      <c r="V427" s="357"/>
      <c r="W427" s="357"/>
    </row>
    <row r="428">
      <c r="A428" s="358"/>
      <c r="B428" s="357"/>
      <c r="C428" s="358"/>
      <c r="D428" s="373"/>
      <c r="E428" s="373"/>
      <c r="F428" s="373"/>
      <c r="G428" s="374"/>
      <c r="H428" s="357"/>
      <c r="I428" s="358"/>
      <c r="J428" s="357"/>
      <c r="K428" s="358"/>
      <c r="L428" s="359"/>
      <c r="M428" s="307"/>
      <c r="N428" s="359"/>
      <c r="O428" s="307"/>
      <c r="P428" s="357"/>
      <c r="Q428" s="357"/>
      <c r="R428" s="357"/>
      <c r="S428" s="357"/>
      <c r="T428" s="357"/>
      <c r="U428" s="357"/>
      <c r="V428" s="357"/>
      <c r="W428" s="357"/>
    </row>
    <row r="429">
      <c r="A429" s="358"/>
      <c r="B429" s="357"/>
      <c r="C429" s="358"/>
      <c r="D429" s="373"/>
      <c r="E429" s="373"/>
      <c r="F429" s="373"/>
      <c r="G429" s="374"/>
      <c r="H429" s="357"/>
      <c r="I429" s="358"/>
      <c r="J429" s="357"/>
      <c r="K429" s="358"/>
      <c r="L429" s="359"/>
      <c r="M429" s="307"/>
      <c r="N429" s="359"/>
      <c r="O429" s="307"/>
      <c r="P429" s="357"/>
      <c r="Q429" s="357"/>
      <c r="R429" s="357"/>
      <c r="S429" s="357"/>
      <c r="T429" s="357"/>
      <c r="U429" s="357"/>
      <c r="V429" s="357"/>
      <c r="W429" s="357"/>
    </row>
    <row r="430">
      <c r="A430" s="358"/>
      <c r="B430" s="357"/>
      <c r="C430" s="358"/>
      <c r="D430" s="373"/>
      <c r="E430" s="373"/>
      <c r="F430" s="373"/>
      <c r="G430" s="374"/>
      <c r="H430" s="357"/>
      <c r="I430" s="358"/>
      <c r="J430" s="357"/>
      <c r="K430" s="358"/>
      <c r="L430" s="359"/>
      <c r="M430" s="307"/>
      <c r="N430" s="359"/>
      <c r="O430" s="307"/>
      <c r="P430" s="357"/>
      <c r="Q430" s="357"/>
      <c r="R430" s="357"/>
      <c r="S430" s="357"/>
      <c r="T430" s="357"/>
      <c r="U430" s="357"/>
      <c r="V430" s="357"/>
      <c r="W430" s="357"/>
    </row>
    <row r="431">
      <c r="A431" s="358"/>
      <c r="B431" s="357"/>
      <c r="C431" s="358"/>
      <c r="D431" s="373"/>
      <c r="E431" s="373"/>
      <c r="F431" s="373"/>
      <c r="G431" s="374"/>
      <c r="H431" s="357"/>
      <c r="I431" s="358"/>
      <c r="J431" s="357"/>
      <c r="K431" s="358"/>
      <c r="L431" s="359"/>
      <c r="M431" s="307"/>
      <c r="N431" s="359"/>
      <c r="O431" s="307"/>
      <c r="P431" s="357"/>
      <c r="Q431" s="357"/>
      <c r="R431" s="357"/>
      <c r="S431" s="357"/>
      <c r="T431" s="357"/>
      <c r="U431" s="357"/>
      <c r="V431" s="357"/>
      <c r="W431" s="357"/>
    </row>
    <row r="432">
      <c r="A432" s="358"/>
      <c r="B432" s="357"/>
      <c r="C432" s="358"/>
      <c r="D432" s="373"/>
      <c r="E432" s="373"/>
      <c r="F432" s="373"/>
      <c r="G432" s="374"/>
      <c r="H432" s="357"/>
      <c r="I432" s="358"/>
      <c r="J432" s="357"/>
      <c r="K432" s="358"/>
      <c r="L432" s="359"/>
      <c r="M432" s="307"/>
      <c r="N432" s="359"/>
      <c r="O432" s="307"/>
      <c r="P432" s="357"/>
      <c r="Q432" s="357"/>
      <c r="R432" s="357"/>
      <c r="S432" s="357"/>
      <c r="T432" s="357"/>
      <c r="U432" s="357"/>
      <c r="V432" s="357"/>
      <c r="W432" s="357"/>
    </row>
    <row r="433">
      <c r="A433" s="358"/>
      <c r="B433" s="357"/>
      <c r="C433" s="358"/>
      <c r="D433" s="373"/>
      <c r="E433" s="373"/>
      <c r="F433" s="373"/>
      <c r="G433" s="374"/>
      <c r="H433" s="357"/>
      <c r="I433" s="358"/>
      <c r="J433" s="357"/>
      <c r="K433" s="358"/>
      <c r="L433" s="359"/>
      <c r="M433" s="307"/>
      <c r="N433" s="359"/>
      <c r="O433" s="307"/>
      <c r="P433" s="357"/>
      <c r="Q433" s="357"/>
      <c r="R433" s="357"/>
      <c r="S433" s="357"/>
      <c r="T433" s="357"/>
      <c r="U433" s="357"/>
      <c r="V433" s="357"/>
      <c r="W433" s="357"/>
    </row>
    <row r="434">
      <c r="A434" s="358"/>
      <c r="B434" s="357"/>
      <c r="C434" s="358"/>
      <c r="D434" s="373"/>
      <c r="E434" s="373"/>
      <c r="F434" s="373"/>
      <c r="G434" s="374"/>
      <c r="H434" s="357"/>
      <c r="I434" s="358"/>
      <c r="J434" s="357"/>
      <c r="K434" s="358"/>
      <c r="L434" s="359"/>
      <c r="M434" s="307"/>
      <c r="N434" s="359"/>
      <c r="O434" s="307"/>
      <c r="P434" s="357"/>
      <c r="Q434" s="357"/>
      <c r="R434" s="357"/>
      <c r="S434" s="357"/>
      <c r="T434" s="357"/>
      <c r="U434" s="357"/>
      <c r="V434" s="357"/>
      <c r="W434" s="357"/>
    </row>
    <row r="435">
      <c r="A435" s="358"/>
      <c r="B435" s="357"/>
      <c r="C435" s="358"/>
      <c r="D435" s="373"/>
      <c r="E435" s="373"/>
      <c r="F435" s="373"/>
      <c r="G435" s="374"/>
      <c r="H435" s="357"/>
      <c r="I435" s="358"/>
      <c r="J435" s="357"/>
      <c r="K435" s="358"/>
      <c r="L435" s="359"/>
      <c r="M435" s="307"/>
      <c r="N435" s="359"/>
      <c r="O435" s="307"/>
      <c r="P435" s="357"/>
      <c r="Q435" s="357"/>
      <c r="R435" s="357"/>
      <c r="S435" s="357"/>
      <c r="T435" s="357"/>
      <c r="U435" s="357"/>
      <c r="V435" s="357"/>
      <c r="W435" s="357"/>
    </row>
    <row r="436">
      <c r="A436" s="358"/>
      <c r="B436" s="357"/>
      <c r="C436" s="358"/>
      <c r="D436" s="373"/>
      <c r="E436" s="373"/>
      <c r="F436" s="373"/>
      <c r="G436" s="374"/>
      <c r="H436" s="357"/>
      <c r="I436" s="358"/>
      <c r="J436" s="357"/>
      <c r="K436" s="358"/>
      <c r="L436" s="359"/>
      <c r="M436" s="307"/>
      <c r="N436" s="359"/>
      <c r="O436" s="307"/>
      <c r="P436" s="357"/>
      <c r="Q436" s="357"/>
      <c r="R436" s="357"/>
      <c r="S436" s="357"/>
      <c r="T436" s="357"/>
      <c r="U436" s="357"/>
      <c r="V436" s="357"/>
      <c r="W436" s="357"/>
    </row>
    <row r="437">
      <c r="A437" s="358"/>
      <c r="B437" s="357"/>
      <c r="C437" s="358"/>
      <c r="D437" s="373"/>
      <c r="E437" s="373"/>
      <c r="F437" s="373"/>
      <c r="G437" s="374"/>
      <c r="H437" s="357"/>
      <c r="I437" s="358"/>
      <c r="J437" s="357"/>
      <c r="K437" s="358"/>
      <c r="L437" s="359"/>
      <c r="M437" s="307"/>
      <c r="N437" s="359"/>
      <c r="O437" s="307"/>
      <c r="P437" s="357"/>
      <c r="Q437" s="357"/>
      <c r="R437" s="357"/>
      <c r="S437" s="357"/>
      <c r="T437" s="357"/>
      <c r="U437" s="357"/>
      <c r="V437" s="357"/>
      <c r="W437" s="357"/>
    </row>
    <row r="438">
      <c r="A438" s="358"/>
      <c r="B438" s="357"/>
      <c r="C438" s="358"/>
      <c r="D438" s="373"/>
      <c r="E438" s="373"/>
      <c r="F438" s="373"/>
      <c r="G438" s="374"/>
      <c r="H438" s="357"/>
      <c r="I438" s="358"/>
      <c r="J438" s="357"/>
      <c r="K438" s="358"/>
      <c r="L438" s="359"/>
      <c r="M438" s="307"/>
      <c r="N438" s="359"/>
      <c r="O438" s="307"/>
      <c r="P438" s="357"/>
      <c r="Q438" s="357"/>
      <c r="R438" s="357"/>
      <c r="S438" s="357"/>
      <c r="T438" s="357"/>
      <c r="U438" s="357"/>
      <c r="V438" s="357"/>
      <c r="W438" s="357"/>
    </row>
    <row r="439">
      <c r="A439" s="358"/>
      <c r="B439" s="357"/>
      <c r="C439" s="358"/>
      <c r="D439" s="373"/>
      <c r="E439" s="373"/>
      <c r="F439" s="373"/>
      <c r="G439" s="374"/>
      <c r="H439" s="357"/>
      <c r="I439" s="358"/>
      <c r="J439" s="357"/>
      <c r="K439" s="358"/>
      <c r="L439" s="359"/>
      <c r="M439" s="307"/>
      <c r="N439" s="359"/>
      <c r="O439" s="307"/>
      <c r="P439" s="357"/>
      <c r="Q439" s="357"/>
      <c r="R439" s="357"/>
      <c r="S439" s="357"/>
      <c r="T439" s="357"/>
      <c r="U439" s="357"/>
      <c r="V439" s="357"/>
      <c r="W439" s="357"/>
    </row>
    <row r="440">
      <c r="A440" s="358"/>
      <c r="B440" s="357"/>
      <c r="C440" s="358"/>
      <c r="D440" s="373"/>
      <c r="E440" s="373"/>
      <c r="F440" s="373"/>
      <c r="G440" s="374"/>
      <c r="H440" s="357"/>
      <c r="I440" s="358"/>
      <c r="J440" s="357"/>
      <c r="K440" s="358"/>
      <c r="L440" s="359"/>
      <c r="M440" s="307"/>
      <c r="N440" s="359"/>
      <c r="O440" s="307"/>
      <c r="P440" s="357"/>
      <c r="Q440" s="357"/>
      <c r="R440" s="357"/>
      <c r="S440" s="357"/>
      <c r="T440" s="357"/>
      <c r="U440" s="357"/>
      <c r="V440" s="357"/>
      <c r="W440" s="357"/>
    </row>
    <row r="441">
      <c r="A441" s="358"/>
      <c r="B441" s="357"/>
      <c r="C441" s="358"/>
      <c r="D441" s="373"/>
      <c r="E441" s="373"/>
      <c r="F441" s="373"/>
      <c r="G441" s="374"/>
      <c r="H441" s="357"/>
      <c r="I441" s="358"/>
      <c r="J441" s="357"/>
      <c r="K441" s="358"/>
      <c r="L441" s="359"/>
      <c r="M441" s="307"/>
      <c r="N441" s="359"/>
      <c r="O441" s="307"/>
      <c r="P441" s="357"/>
      <c r="Q441" s="357"/>
      <c r="R441" s="357"/>
      <c r="S441" s="357"/>
      <c r="T441" s="357"/>
      <c r="U441" s="357"/>
      <c r="V441" s="357"/>
      <c r="W441" s="357"/>
    </row>
    <row r="442">
      <c r="A442" s="358"/>
      <c r="B442" s="357"/>
      <c r="C442" s="358"/>
      <c r="D442" s="373"/>
      <c r="E442" s="373"/>
      <c r="F442" s="373"/>
      <c r="G442" s="374"/>
      <c r="H442" s="357"/>
      <c r="I442" s="358"/>
      <c r="J442" s="357"/>
      <c r="K442" s="358"/>
      <c r="L442" s="359"/>
      <c r="M442" s="307"/>
      <c r="N442" s="359"/>
      <c r="O442" s="307"/>
      <c r="P442" s="357"/>
      <c r="Q442" s="357"/>
      <c r="R442" s="357"/>
      <c r="S442" s="357"/>
      <c r="T442" s="357"/>
      <c r="U442" s="357"/>
      <c r="V442" s="357"/>
      <c r="W442" s="357"/>
    </row>
    <row r="443">
      <c r="A443" s="358"/>
      <c r="B443" s="357"/>
      <c r="C443" s="358"/>
      <c r="D443" s="373"/>
      <c r="E443" s="373"/>
      <c r="F443" s="373"/>
      <c r="G443" s="374"/>
      <c r="H443" s="357"/>
      <c r="I443" s="358"/>
      <c r="J443" s="357"/>
      <c r="K443" s="358"/>
      <c r="L443" s="359"/>
      <c r="M443" s="307"/>
      <c r="N443" s="359"/>
      <c r="O443" s="307"/>
      <c r="P443" s="357"/>
      <c r="Q443" s="357"/>
      <c r="R443" s="357"/>
      <c r="S443" s="357"/>
      <c r="T443" s="357"/>
      <c r="U443" s="357"/>
      <c r="V443" s="357"/>
      <c r="W443" s="357"/>
    </row>
    <row r="444">
      <c r="A444" s="358"/>
      <c r="B444" s="357"/>
      <c r="C444" s="358"/>
      <c r="D444" s="373"/>
      <c r="E444" s="373"/>
      <c r="F444" s="373"/>
      <c r="G444" s="374"/>
      <c r="H444" s="357"/>
      <c r="I444" s="358"/>
      <c r="J444" s="357"/>
      <c r="K444" s="358"/>
      <c r="L444" s="359"/>
      <c r="M444" s="307"/>
      <c r="N444" s="359"/>
      <c r="O444" s="307"/>
      <c r="P444" s="357"/>
      <c r="Q444" s="357"/>
      <c r="R444" s="357"/>
      <c r="S444" s="357"/>
      <c r="T444" s="357"/>
      <c r="U444" s="357"/>
      <c r="V444" s="357"/>
      <c r="W444" s="357"/>
    </row>
    <row r="445">
      <c r="A445" s="358"/>
      <c r="B445" s="357"/>
      <c r="C445" s="358"/>
      <c r="D445" s="373"/>
      <c r="E445" s="373"/>
      <c r="F445" s="373"/>
      <c r="G445" s="374"/>
      <c r="H445" s="357"/>
      <c r="I445" s="358"/>
      <c r="J445" s="357"/>
      <c r="K445" s="358"/>
      <c r="L445" s="359"/>
      <c r="M445" s="307"/>
      <c r="N445" s="359"/>
      <c r="O445" s="307"/>
      <c r="P445" s="357"/>
      <c r="Q445" s="357"/>
      <c r="R445" s="357"/>
      <c r="S445" s="357"/>
      <c r="T445" s="357"/>
      <c r="U445" s="357"/>
      <c r="V445" s="357"/>
      <c r="W445" s="357"/>
    </row>
    <row r="446">
      <c r="A446" s="358"/>
      <c r="B446" s="357"/>
      <c r="C446" s="358"/>
      <c r="D446" s="373"/>
      <c r="E446" s="373"/>
      <c r="F446" s="373"/>
      <c r="G446" s="374"/>
      <c r="H446" s="357"/>
      <c r="I446" s="358"/>
      <c r="J446" s="357"/>
      <c r="K446" s="358"/>
      <c r="L446" s="359"/>
      <c r="M446" s="307"/>
      <c r="N446" s="359"/>
      <c r="O446" s="307"/>
      <c r="P446" s="357"/>
      <c r="Q446" s="357"/>
      <c r="R446" s="357"/>
      <c r="S446" s="357"/>
      <c r="T446" s="357"/>
      <c r="U446" s="357"/>
      <c r="V446" s="357"/>
      <c r="W446" s="357"/>
    </row>
    <row r="447">
      <c r="A447" s="358"/>
      <c r="B447" s="357"/>
      <c r="C447" s="358"/>
      <c r="D447" s="373"/>
      <c r="E447" s="373"/>
      <c r="F447" s="373"/>
      <c r="G447" s="374"/>
      <c r="H447" s="357"/>
      <c r="I447" s="358"/>
      <c r="J447" s="357"/>
      <c r="K447" s="358"/>
      <c r="L447" s="359"/>
      <c r="M447" s="307"/>
      <c r="N447" s="359"/>
      <c r="O447" s="307"/>
      <c r="P447" s="357"/>
      <c r="Q447" s="357"/>
      <c r="R447" s="357"/>
      <c r="S447" s="357"/>
      <c r="T447" s="357"/>
      <c r="U447" s="357"/>
      <c r="V447" s="357"/>
      <c r="W447" s="357"/>
    </row>
    <row r="448">
      <c r="A448" s="358"/>
      <c r="B448" s="357"/>
      <c r="C448" s="358"/>
      <c r="D448" s="373"/>
      <c r="E448" s="373"/>
      <c r="F448" s="373"/>
      <c r="G448" s="374"/>
      <c r="H448" s="357"/>
      <c r="I448" s="358"/>
      <c r="J448" s="357"/>
      <c r="K448" s="358"/>
      <c r="L448" s="359"/>
      <c r="M448" s="307"/>
      <c r="N448" s="359"/>
      <c r="O448" s="307"/>
      <c r="P448" s="357"/>
      <c r="Q448" s="357"/>
      <c r="R448" s="357"/>
      <c r="S448" s="357"/>
      <c r="T448" s="357"/>
      <c r="U448" s="357"/>
      <c r="V448" s="357"/>
      <c r="W448" s="357"/>
    </row>
    <row r="449">
      <c r="A449" s="358"/>
      <c r="B449" s="357"/>
      <c r="C449" s="358"/>
      <c r="D449" s="373"/>
      <c r="E449" s="373"/>
      <c r="F449" s="373"/>
      <c r="G449" s="374"/>
      <c r="H449" s="357"/>
      <c r="I449" s="358"/>
      <c r="J449" s="357"/>
      <c r="K449" s="358"/>
      <c r="L449" s="359"/>
      <c r="M449" s="307"/>
      <c r="N449" s="359"/>
      <c r="O449" s="307"/>
      <c r="P449" s="357"/>
      <c r="Q449" s="357"/>
      <c r="R449" s="357"/>
      <c r="S449" s="357"/>
      <c r="T449" s="357"/>
      <c r="U449" s="357"/>
      <c r="V449" s="357"/>
      <c r="W449" s="357"/>
    </row>
    <row r="450">
      <c r="A450" s="358"/>
      <c r="B450" s="357"/>
      <c r="C450" s="358"/>
      <c r="D450" s="373"/>
      <c r="E450" s="373"/>
      <c r="F450" s="373"/>
      <c r="G450" s="374"/>
      <c r="H450" s="357"/>
      <c r="I450" s="358"/>
      <c r="J450" s="357"/>
      <c r="K450" s="358"/>
      <c r="L450" s="359"/>
      <c r="M450" s="307"/>
      <c r="N450" s="359"/>
      <c r="O450" s="307"/>
      <c r="P450" s="357"/>
      <c r="Q450" s="357"/>
      <c r="R450" s="357"/>
      <c r="S450" s="357"/>
      <c r="T450" s="357"/>
      <c r="U450" s="357"/>
      <c r="V450" s="357"/>
      <c r="W450" s="357"/>
    </row>
    <row r="451">
      <c r="A451" s="358"/>
      <c r="B451" s="357"/>
      <c r="C451" s="358"/>
      <c r="D451" s="373"/>
      <c r="E451" s="373"/>
      <c r="F451" s="373"/>
      <c r="G451" s="374"/>
      <c r="H451" s="357"/>
      <c r="I451" s="358"/>
      <c r="J451" s="357"/>
      <c r="K451" s="358"/>
      <c r="L451" s="359"/>
      <c r="M451" s="307"/>
      <c r="N451" s="359"/>
      <c r="O451" s="307"/>
      <c r="P451" s="357"/>
      <c r="Q451" s="357"/>
      <c r="R451" s="357"/>
      <c r="S451" s="357"/>
      <c r="T451" s="357"/>
      <c r="U451" s="357"/>
      <c r="V451" s="357"/>
      <c r="W451" s="357"/>
    </row>
    <row r="452">
      <c r="A452" s="358"/>
      <c r="B452" s="357"/>
      <c r="C452" s="358"/>
      <c r="D452" s="373"/>
      <c r="E452" s="373"/>
      <c r="F452" s="373"/>
      <c r="G452" s="374"/>
      <c r="H452" s="357"/>
      <c r="I452" s="358"/>
      <c r="J452" s="357"/>
      <c r="K452" s="358"/>
      <c r="L452" s="359"/>
      <c r="M452" s="307"/>
      <c r="N452" s="359"/>
      <c r="O452" s="307"/>
      <c r="P452" s="357"/>
      <c r="Q452" s="357"/>
      <c r="R452" s="357"/>
      <c r="S452" s="357"/>
      <c r="T452" s="357"/>
      <c r="U452" s="357"/>
      <c r="V452" s="357"/>
      <c r="W452" s="357"/>
    </row>
    <row r="453">
      <c r="A453" s="358"/>
      <c r="B453" s="357"/>
      <c r="C453" s="358"/>
      <c r="D453" s="373"/>
      <c r="E453" s="373"/>
      <c r="F453" s="373"/>
      <c r="G453" s="374"/>
      <c r="H453" s="357"/>
      <c r="I453" s="358"/>
      <c r="J453" s="357"/>
      <c r="K453" s="358"/>
      <c r="L453" s="359"/>
      <c r="M453" s="307"/>
      <c r="N453" s="359"/>
      <c r="O453" s="307"/>
      <c r="P453" s="357"/>
      <c r="Q453" s="357"/>
      <c r="R453" s="357"/>
      <c r="S453" s="357"/>
      <c r="T453" s="357"/>
      <c r="U453" s="357"/>
      <c r="V453" s="357"/>
      <c r="W453" s="357"/>
    </row>
    <row r="454">
      <c r="A454" s="358"/>
      <c r="B454" s="357"/>
      <c r="C454" s="358"/>
      <c r="D454" s="373"/>
      <c r="E454" s="373"/>
      <c r="F454" s="373"/>
      <c r="G454" s="374"/>
      <c r="H454" s="357"/>
      <c r="I454" s="358"/>
      <c r="J454" s="357"/>
      <c r="K454" s="358"/>
      <c r="L454" s="359"/>
      <c r="M454" s="307"/>
      <c r="N454" s="359"/>
      <c r="O454" s="307"/>
      <c r="P454" s="357"/>
      <c r="Q454" s="357"/>
      <c r="R454" s="357"/>
      <c r="S454" s="357"/>
      <c r="T454" s="357"/>
      <c r="U454" s="357"/>
      <c r="V454" s="357"/>
      <c r="W454" s="357"/>
    </row>
    <row r="455">
      <c r="A455" s="358"/>
      <c r="B455" s="357"/>
      <c r="C455" s="358"/>
      <c r="D455" s="373"/>
      <c r="E455" s="373"/>
      <c r="F455" s="373"/>
      <c r="G455" s="374"/>
      <c r="H455" s="357"/>
      <c r="I455" s="358"/>
      <c r="J455" s="357"/>
      <c r="K455" s="358"/>
      <c r="L455" s="359"/>
      <c r="M455" s="307"/>
      <c r="N455" s="359"/>
      <c r="O455" s="307"/>
      <c r="P455" s="357"/>
      <c r="Q455" s="357"/>
      <c r="R455" s="357"/>
      <c r="S455" s="357"/>
      <c r="T455" s="357"/>
      <c r="U455" s="357"/>
      <c r="V455" s="357"/>
      <c r="W455" s="357"/>
    </row>
    <row r="456">
      <c r="A456" s="358"/>
      <c r="B456" s="357"/>
      <c r="C456" s="358"/>
      <c r="D456" s="373"/>
      <c r="E456" s="373"/>
      <c r="F456" s="373"/>
      <c r="G456" s="374"/>
      <c r="H456" s="357"/>
      <c r="I456" s="358"/>
      <c r="J456" s="357"/>
      <c r="K456" s="358"/>
      <c r="L456" s="359"/>
      <c r="M456" s="307"/>
      <c r="N456" s="359"/>
      <c r="O456" s="307"/>
      <c r="P456" s="357"/>
      <c r="Q456" s="357"/>
      <c r="R456" s="357"/>
      <c r="S456" s="357"/>
      <c r="T456" s="357"/>
      <c r="U456" s="357"/>
      <c r="V456" s="357"/>
      <c r="W456" s="357"/>
    </row>
    <row r="457">
      <c r="A457" s="358"/>
      <c r="B457" s="357"/>
      <c r="C457" s="358"/>
      <c r="D457" s="373"/>
      <c r="E457" s="373"/>
      <c r="F457" s="373"/>
      <c r="G457" s="374"/>
      <c r="H457" s="357"/>
      <c r="I457" s="358"/>
      <c r="J457" s="357"/>
      <c r="K457" s="358"/>
      <c r="L457" s="359"/>
      <c r="M457" s="307"/>
      <c r="N457" s="359"/>
      <c r="O457" s="307"/>
      <c r="P457" s="357"/>
      <c r="Q457" s="357"/>
      <c r="R457" s="357"/>
      <c r="S457" s="357"/>
      <c r="T457" s="357"/>
      <c r="U457" s="357"/>
      <c r="V457" s="357"/>
      <c r="W457" s="357"/>
    </row>
    <row r="458">
      <c r="A458" s="358"/>
      <c r="B458" s="357"/>
      <c r="C458" s="358"/>
      <c r="D458" s="373"/>
      <c r="E458" s="373"/>
      <c r="F458" s="373"/>
      <c r="G458" s="374"/>
      <c r="H458" s="357"/>
      <c r="I458" s="358"/>
      <c r="J458" s="357"/>
      <c r="K458" s="358"/>
      <c r="L458" s="359"/>
      <c r="M458" s="307"/>
      <c r="N458" s="359"/>
      <c r="O458" s="307"/>
      <c r="P458" s="357"/>
      <c r="Q458" s="357"/>
      <c r="R458" s="357"/>
      <c r="S458" s="357"/>
      <c r="T458" s="357"/>
      <c r="U458" s="357"/>
      <c r="V458" s="357"/>
      <c r="W458" s="357"/>
    </row>
    <row r="459">
      <c r="A459" s="358"/>
      <c r="B459" s="357"/>
      <c r="C459" s="358"/>
      <c r="D459" s="373"/>
      <c r="E459" s="373"/>
      <c r="F459" s="373"/>
      <c r="G459" s="374"/>
      <c r="H459" s="357"/>
      <c r="I459" s="358"/>
      <c r="J459" s="357"/>
      <c r="K459" s="358"/>
      <c r="L459" s="359"/>
      <c r="M459" s="307"/>
      <c r="N459" s="359"/>
      <c r="O459" s="307"/>
      <c r="P459" s="357"/>
      <c r="Q459" s="357"/>
      <c r="R459" s="357"/>
      <c r="S459" s="357"/>
      <c r="T459" s="357"/>
      <c r="U459" s="357"/>
      <c r="V459" s="357"/>
      <c r="W459" s="357"/>
    </row>
    <row r="460">
      <c r="A460" s="358"/>
      <c r="B460" s="357"/>
      <c r="C460" s="358"/>
      <c r="D460" s="373"/>
      <c r="E460" s="373"/>
      <c r="F460" s="373"/>
      <c r="G460" s="374"/>
      <c r="H460" s="357"/>
      <c r="I460" s="358"/>
      <c r="J460" s="357"/>
      <c r="K460" s="358"/>
      <c r="L460" s="359"/>
      <c r="M460" s="307"/>
      <c r="N460" s="359"/>
      <c r="O460" s="307"/>
      <c r="P460" s="357"/>
      <c r="Q460" s="357"/>
      <c r="R460" s="357"/>
      <c r="S460" s="357"/>
      <c r="T460" s="357"/>
      <c r="U460" s="357"/>
      <c r="V460" s="357"/>
      <c r="W460" s="357"/>
    </row>
    <row r="461">
      <c r="A461" s="358"/>
      <c r="B461" s="357"/>
      <c r="C461" s="358"/>
      <c r="D461" s="373"/>
      <c r="E461" s="373"/>
      <c r="F461" s="373"/>
      <c r="G461" s="374"/>
      <c r="H461" s="357"/>
      <c r="I461" s="358"/>
      <c r="J461" s="357"/>
      <c r="K461" s="358"/>
      <c r="L461" s="359"/>
      <c r="M461" s="307"/>
      <c r="N461" s="359"/>
      <c r="O461" s="307"/>
      <c r="P461" s="357"/>
      <c r="Q461" s="357"/>
      <c r="R461" s="357"/>
      <c r="S461" s="357"/>
      <c r="T461" s="357"/>
      <c r="U461" s="357"/>
      <c r="V461" s="357"/>
      <c r="W461" s="357"/>
    </row>
    <row r="462">
      <c r="A462" s="358"/>
      <c r="B462" s="357"/>
      <c r="C462" s="358"/>
      <c r="D462" s="373"/>
      <c r="E462" s="373"/>
      <c r="F462" s="373"/>
      <c r="G462" s="374"/>
      <c r="H462" s="357"/>
      <c r="I462" s="358"/>
      <c r="J462" s="357"/>
      <c r="K462" s="358"/>
      <c r="L462" s="359"/>
      <c r="M462" s="307"/>
      <c r="N462" s="359"/>
      <c r="O462" s="307"/>
      <c r="P462" s="357"/>
      <c r="Q462" s="357"/>
      <c r="R462" s="357"/>
      <c r="S462" s="357"/>
      <c r="T462" s="357"/>
      <c r="U462" s="357"/>
      <c r="V462" s="357"/>
      <c r="W462" s="357"/>
    </row>
    <row r="463">
      <c r="A463" s="358"/>
      <c r="B463" s="357"/>
      <c r="C463" s="358"/>
      <c r="D463" s="373"/>
      <c r="E463" s="373"/>
      <c r="F463" s="373"/>
      <c r="G463" s="374"/>
      <c r="H463" s="357"/>
      <c r="I463" s="358"/>
      <c r="J463" s="357"/>
      <c r="K463" s="358"/>
      <c r="L463" s="359"/>
      <c r="M463" s="307"/>
      <c r="N463" s="359"/>
      <c r="O463" s="307"/>
      <c r="P463" s="357"/>
      <c r="Q463" s="357"/>
      <c r="R463" s="357"/>
      <c r="S463" s="357"/>
      <c r="T463" s="357"/>
      <c r="U463" s="357"/>
      <c r="V463" s="357"/>
      <c r="W463" s="357"/>
    </row>
    <row r="464">
      <c r="A464" s="358"/>
      <c r="B464" s="357"/>
      <c r="C464" s="358"/>
      <c r="D464" s="373"/>
      <c r="E464" s="373"/>
      <c r="F464" s="373"/>
      <c r="G464" s="374"/>
      <c r="H464" s="357"/>
      <c r="I464" s="358"/>
      <c r="J464" s="357"/>
      <c r="K464" s="358"/>
      <c r="L464" s="359"/>
      <c r="M464" s="307"/>
      <c r="N464" s="359"/>
      <c r="O464" s="307"/>
      <c r="P464" s="357"/>
      <c r="Q464" s="357"/>
      <c r="R464" s="357"/>
      <c r="S464" s="357"/>
      <c r="T464" s="357"/>
      <c r="U464" s="357"/>
      <c r="V464" s="357"/>
      <c r="W464" s="357"/>
    </row>
    <row r="465">
      <c r="A465" s="358"/>
      <c r="B465" s="357"/>
      <c r="C465" s="358"/>
      <c r="D465" s="373"/>
      <c r="E465" s="373"/>
      <c r="F465" s="373"/>
      <c r="G465" s="374"/>
      <c r="H465" s="357"/>
      <c r="I465" s="358"/>
      <c r="J465" s="357"/>
      <c r="K465" s="358"/>
      <c r="L465" s="359"/>
      <c r="M465" s="307"/>
      <c r="N465" s="359"/>
      <c r="O465" s="307"/>
      <c r="P465" s="357"/>
      <c r="Q465" s="357"/>
      <c r="R465" s="357"/>
      <c r="S465" s="357"/>
      <c r="T465" s="357"/>
      <c r="U465" s="357"/>
      <c r="V465" s="357"/>
      <c r="W465" s="357"/>
    </row>
    <row r="466">
      <c r="A466" s="358"/>
      <c r="B466" s="357"/>
      <c r="C466" s="358"/>
      <c r="D466" s="373"/>
      <c r="E466" s="373"/>
      <c r="F466" s="373"/>
      <c r="G466" s="374"/>
      <c r="H466" s="357"/>
      <c r="I466" s="358"/>
      <c r="J466" s="357"/>
      <c r="K466" s="358"/>
      <c r="L466" s="359"/>
      <c r="M466" s="307"/>
      <c r="N466" s="359"/>
      <c r="O466" s="307"/>
      <c r="P466" s="357"/>
      <c r="Q466" s="357"/>
      <c r="R466" s="357"/>
      <c r="S466" s="357"/>
      <c r="T466" s="357"/>
      <c r="U466" s="357"/>
      <c r="V466" s="357"/>
      <c r="W466" s="357"/>
    </row>
    <row r="467">
      <c r="A467" s="358"/>
      <c r="B467" s="357"/>
      <c r="C467" s="358"/>
      <c r="D467" s="373"/>
      <c r="E467" s="373"/>
      <c r="F467" s="373"/>
      <c r="G467" s="374"/>
      <c r="H467" s="357"/>
      <c r="I467" s="358"/>
      <c r="J467" s="357"/>
      <c r="K467" s="358"/>
      <c r="L467" s="359"/>
      <c r="M467" s="307"/>
      <c r="N467" s="359"/>
      <c r="O467" s="307"/>
      <c r="P467" s="357"/>
      <c r="Q467" s="357"/>
      <c r="R467" s="357"/>
      <c r="S467" s="357"/>
      <c r="T467" s="357"/>
      <c r="U467" s="357"/>
      <c r="V467" s="357"/>
      <c r="W467" s="357"/>
    </row>
    <row r="468">
      <c r="A468" s="358"/>
      <c r="B468" s="357"/>
      <c r="C468" s="358"/>
      <c r="D468" s="373"/>
      <c r="E468" s="373"/>
      <c r="F468" s="373"/>
      <c r="G468" s="374"/>
      <c r="H468" s="357"/>
      <c r="I468" s="358"/>
      <c r="J468" s="357"/>
      <c r="K468" s="358"/>
      <c r="L468" s="359"/>
      <c r="M468" s="307"/>
      <c r="N468" s="359"/>
      <c r="O468" s="307"/>
      <c r="P468" s="357"/>
      <c r="Q468" s="357"/>
      <c r="R468" s="357"/>
      <c r="S468" s="357"/>
      <c r="T468" s="357"/>
      <c r="U468" s="357"/>
      <c r="V468" s="357"/>
      <c r="W468" s="357"/>
    </row>
    <row r="469">
      <c r="A469" s="358"/>
      <c r="B469" s="357"/>
      <c r="C469" s="358"/>
      <c r="D469" s="373"/>
      <c r="E469" s="373"/>
      <c r="F469" s="373"/>
      <c r="G469" s="374"/>
      <c r="H469" s="357"/>
      <c r="I469" s="358"/>
      <c r="J469" s="357"/>
      <c r="K469" s="358"/>
      <c r="L469" s="359"/>
      <c r="M469" s="307"/>
      <c r="N469" s="359"/>
      <c r="O469" s="307"/>
      <c r="P469" s="357"/>
      <c r="Q469" s="357"/>
      <c r="R469" s="357"/>
      <c r="S469" s="357"/>
      <c r="T469" s="357"/>
      <c r="U469" s="357"/>
      <c r="V469" s="357"/>
      <c r="W469" s="357"/>
    </row>
    <row r="470">
      <c r="A470" s="358"/>
      <c r="B470" s="357"/>
      <c r="C470" s="358"/>
      <c r="D470" s="373"/>
      <c r="E470" s="373"/>
      <c r="F470" s="373"/>
      <c r="G470" s="374"/>
      <c r="H470" s="357"/>
      <c r="I470" s="358"/>
      <c r="J470" s="357"/>
      <c r="K470" s="358"/>
      <c r="L470" s="359"/>
      <c r="M470" s="307"/>
      <c r="N470" s="359"/>
      <c r="O470" s="307"/>
      <c r="P470" s="357"/>
      <c r="Q470" s="357"/>
      <c r="R470" s="357"/>
      <c r="S470" s="357"/>
      <c r="T470" s="357"/>
      <c r="U470" s="357"/>
      <c r="V470" s="357"/>
      <c r="W470" s="357"/>
    </row>
    <row r="471">
      <c r="A471" s="358"/>
      <c r="B471" s="357"/>
      <c r="C471" s="358"/>
      <c r="D471" s="373"/>
      <c r="E471" s="373"/>
      <c r="F471" s="373"/>
      <c r="G471" s="374"/>
      <c r="H471" s="357"/>
      <c r="I471" s="358"/>
      <c r="J471" s="357"/>
      <c r="K471" s="358"/>
      <c r="L471" s="359"/>
      <c r="M471" s="307"/>
      <c r="N471" s="359"/>
      <c r="O471" s="307"/>
      <c r="P471" s="357"/>
      <c r="Q471" s="357"/>
      <c r="R471" s="357"/>
      <c r="S471" s="357"/>
      <c r="T471" s="357"/>
      <c r="U471" s="357"/>
      <c r="V471" s="357"/>
      <c r="W471" s="357"/>
    </row>
    <row r="472">
      <c r="A472" s="358"/>
      <c r="B472" s="357"/>
      <c r="C472" s="358"/>
      <c r="D472" s="373"/>
      <c r="E472" s="373"/>
      <c r="F472" s="373"/>
      <c r="G472" s="374"/>
      <c r="H472" s="357"/>
      <c r="I472" s="358"/>
      <c r="J472" s="357"/>
      <c r="K472" s="358"/>
      <c r="L472" s="359"/>
      <c r="M472" s="307"/>
      <c r="N472" s="359"/>
      <c r="O472" s="307"/>
      <c r="P472" s="357"/>
      <c r="Q472" s="357"/>
      <c r="R472" s="357"/>
      <c r="S472" s="357"/>
      <c r="T472" s="357"/>
      <c r="U472" s="357"/>
      <c r="V472" s="357"/>
      <c r="W472" s="357"/>
    </row>
    <row r="473">
      <c r="A473" s="358"/>
      <c r="B473" s="357"/>
      <c r="C473" s="358"/>
      <c r="D473" s="373"/>
      <c r="E473" s="373"/>
      <c r="F473" s="373"/>
      <c r="G473" s="374"/>
      <c r="H473" s="357"/>
      <c r="I473" s="358"/>
      <c r="J473" s="357"/>
      <c r="K473" s="358"/>
      <c r="L473" s="359"/>
      <c r="M473" s="307"/>
      <c r="N473" s="359"/>
      <c r="O473" s="307"/>
      <c r="P473" s="357"/>
      <c r="Q473" s="357"/>
      <c r="R473" s="357"/>
      <c r="S473" s="357"/>
      <c r="T473" s="357"/>
      <c r="U473" s="357"/>
      <c r="V473" s="357"/>
      <c r="W473" s="357"/>
    </row>
    <row r="474">
      <c r="A474" s="358"/>
      <c r="B474" s="357"/>
      <c r="C474" s="358"/>
      <c r="D474" s="373"/>
      <c r="E474" s="373"/>
      <c r="F474" s="373"/>
      <c r="G474" s="374"/>
      <c r="H474" s="357"/>
      <c r="I474" s="358"/>
      <c r="J474" s="357"/>
      <c r="K474" s="358"/>
      <c r="L474" s="359"/>
      <c r="M474" s="307"/>
      <c r="N474" s="359"/>
      <c r="O474" s="307"/>
      <c r="P474" s="357"/>
      <c r="Q474" s="357"/>
      <c r="R474" s="357"/>
      <c r="S474" s="357"/>
      <c r="T474" s="357"/>
      <c r="U474" s="357"/>
      <c r="V474" s="357"/>
      <c r="W474" s="357"/>
    </row>
    <row r="475">
      <c r="A475" s="358"/>
      <c r="B475" s="357"/>
      <c r="C475" s="358"/>
      <c r="D475" s="373"/>
      <c r="E475" s="373"/>
      <c r="F475" s="373"/>
      <c r="G475" s="374"/>
      <c r="H475" s="357"/>
      <c r="I475" s="358"/>
      <c r="J475" s="357"/>
      <c r="K475" s="358"/>
      <c r="L475" s="359"/>
      <c r="M475" s="307"/>
      <c r="N475" s="359"/>
      <c r="O475" s="307"/>
      <c r="P475" s="357"/>
      <c r="Q475" s="357"/>
      <c r="R475" s="357"/>
      <c r="S475" s="357"/>
      <c r="T475" s="357"/>
      <c r="U475" s="357"/>
      <c r="V475" s="357"/>
      <c r="W475" s="357"/>
    </row>
    <row r="476">
      <c r="A476" s="358"/>
      <c r="B476" s="357"/>
      <c r="C476" s="358"/>
      <c r="D476" s="373"/>
      <c r="E476" s="373"/>
      <c r="F476" s="373"/>
      <c r="G476" s="374"/>
      <c r="H476" s="357"/>
      <c r="I476" s="358"/>
      <c r="J476" s="357"/>
      <c r="K476" s="358"/>
      <c r="L476" s="359"/>
      <c r="M476" s="307"/>
      <c r="N476" s="359"/>
      <c r="O476" s="307"/>
      <c r="P476" s="357"/>
      <c r="Q476" s="357"/>
      <c r="R476" s="357"/>
      <c r="S476" s="357"/>
      <c r="T476" s="357"/>
      <c r="U476" s="357"/>
      <c r="V476" s="357"/>
      <c r="W476" s="357"/>
    </row>
    <row r="477">
      <c r="A477" s="358"/>
      <c r="B477" s="357"/>
      <c r="C477" s="358"/>
      <c r="D477" s="373"/>
      <c r="E477" s="373"/>
      <c r="F477" s="373"/>
      <c r="G477" s="374"/>
      <c r="H477" s="357"/>
      <c r="I477" s="358"/>
      <c r="J477" s="357"/>
      <c r="K477" s="358"/>
      <c r="L477" s="359"/>
      <c r="M477" s="307"/>
      <c r="N477" s="359"/>
      <c r="O477" s="307"/>
      <c r="P477" s="357"/>
      <c r="Q477" s="357"/>
      <c r="R477" s="357"/>
      <c r="S477" s="357"/>
      <c r="T477" s="357"/>
      <c r="U477" s="357"/>
      <c r="V477" s="357"/>
      <c r="W477" s="357"/>
    </row>
    <row r="478">
      <c r="A478" s="358"/>
      <c r="B478" s="357"/>
      <c r="C478" s="358"/>
      <c r="D478" s="373"/>
      <c r="E478" s="373"/>
      <c r="F478" s="373"/>
      <c r="G478" s="374"/>
      <c r="H478" s="357"/>
      <c r="I478" s="358"/>
      <c r="J478" s="357"/>
      <c r="K478" s="358"/>
      <c r="L478" s="359"/>
      <c r="M478" s="307"/>
      <c r="N478" s="359"/>
      <c r="O478" s="307"/>
      <c r="P478" s="357"/>
      <c r="Q478" s="357"/>
      <c r="R478" s="357"/>
      <c r="S478" s="357"/>
      <c r="T478" s="357"/>
      <c r="U478" s="357"/>
      <c r="V478" s="357"/>
      <c r="W478" s="357"/>
    </row>
    <row r="479">
      <c r="A479" s="358"/>
      <c r="B479" s="357"/>
      <c r="C479" s="358"/>
      <c r="D479" s="373"/>
      <c r="E479" s="373"/>
      <c r="F479" s="373"/>
      <c r="G479" s="374"/>
      <c r="H479" s="357"/>
      <c r="I479" s="358"/>
      <c r="J479" s="357"/>
      <c r="K479" s="358"/>
      <c r="L479" s="359"/>
      <c r="M479" s="307"/>
      <c r="N479" s="359"/>
      <c r="O479" s="307"/>
      <c r="P479" s="357"/>
      <c r="Q479" s="357"/>
      <c r="R479" s="357"/>
      <c r="S479" s="357"/>
      <c r="T479" s="357"/>
      <c r="U479" s="357"/>
      <c r="V479" s="357"/>
      <c r="W479" s="357"/>
    </row>
    <row r="480">
      <c r="A480" s="358"/>
      <c r="B480" s="357"/>
      <c r="C480" s="358"/>
      <c r="D480" s="373"/>
      <c r="E480" s="373"/>
      <c r="F480" s="373"/>
      <c r="G480" s="374"/>
      <c r="H480" s="357"/>
      <c r="I480" s="358"/>
      <c r="J480" s="357"/>
      <c r="K480" s="358"/>
      <c r="L480" s="359"/>
      <c r="M480" s="307"/>
      <c r="N480" s="359"/>
      <c r="O480" s="307"/>
      <c r="P480" s="357"/>
      <c r="Q480" s="357"/>
      <c r="R480" s="357"/>
      <c r="S480" s="357"/>
      <c r="T480" s="357"/>
      <c r="U480" s="357"/>
      <c r="V480" s="357"/>
      <c r="W480" s="357"/>
    </row>
    <row r="481">
      <c r="A481" s="358"/>
      <c r="B481" s="357"/>
      <c r="C481" s="358"/>
      <c r="D481" s="373"/>
      <c r="E481" s="373"/>
      <c r="F481" s="373"/>
      <c r="G481" s="374"/>
      <c r="H481" s="357"/>
      <c r="I481" s="358"/>
      <c r="J481" s="357"/>
      <c r="K481" s="358"/>
      <c r="L481" s="359"/>
      <c r="M481" s="307"/>
      <c r="N481" s="359"/>
      <c r="O481" s="307"/>
      <c r="P481" s="357"/>
      <c r="Q481" s="357"/>
      <c r="R481" s="357"/>
      <c r="S481" s="357"/>
      <c r="T481" s="357"/>
      <c r="U481" s="357"/>
      <c r="V481" s="357"/>
      <c r="W481" s="357"/>
    </row>
    <row r="482">
      <c r="A482" s="358"/>
      <c r="B482" s="357"/>
      <c r="C482" s="358"/>
      <c r="D482" s="373"/>
      <c r="E482" s="373"/>
      <c r="F482" s="373"/>
      <c r="G482" s="374"/>
      <c r="H482" s="357"/>
      <c r="I482" s="358"/>
      <c r="J482" s="357"/>
      <c r="K482" s="358"/>
      <c r="L482" s="359"/>
      <c r="M482" s="307"/>
      <c r="N482" s="359"/>
      <c r="O482" s="307"/>
      <c r="P482" s="357"/>
      <c r="Q482" s="357"/>
      <c r="R482" s="357"/>
      <c r="S482" s="357"/>
      <c r="T482" s="357"/>
      <c r="U482" s="357"/>
      <c r="V482" s="357"/>
      <c r="W482" s="357"/>
    </row>
    <row r="483">
      <c r="A483" s="358"/>
      <c r="B483" s="357"/>
      <c r="C483" s="358"/>
      <c r="D483" s="373"/>
      <c r="E483" s="373"/>
      <c r="F483" s="373"/>
      <c r="G483" s="374"/>
      <c r="H483" s="357"/>
      <c r="I483" s="358"/>
      <c r="J483" s="357"/>
      <c r="K483" s="358"/>
      <c r="L483" s="359"/>
      <c r="M483" s="307"/>
      <c r="N483" s="359"/>
      <c r="O483" s="307"/>
      <c r="P483" s="357"/>
      <c r="Q483" s="357"/>
      <c r="R483" s="357"/>
      <c r="S483" s="357"/>
      <c r="T483" s="357"/>
      <c r="U483" s="357"/>
      <c r="V483" s="357"/>
      <c r="W483" s="357"/>
    </row>
    <row r="484">
      <c r="A484" s="358"/>
      <c r="B484" s="357"/>
      <c r="C484" s="358"/>
      <c r="D484" s="373"/>
      <c r="E484" s="373"/>
      <c r="F484" s="373"/>
      <c r="G484" s="374"/>
      <c r="H484" s="357"/>
      <c r="I484" s="358"/>
      <c r="J484" s="357"/>
      <c r="K484" s="358"/>
      <c r="L484" s="359"/>
      <c r="M484" s="307"/>
      <c r="N484" s="359"/>
      <c r="O484" s="307"/>
      <c r="P484" s="357"/>
      <c r="Q484" s="357"/>
      <c r="R484" s="357"/>
      <c r="S484" s="357"/>
      <c r="T484" s="357"/>
      <c r="U484" s="357"/>
      <c r="V484" s="357"/>
      <c r="W484" s="357"/>
    </row>
    <row r="485">
      <c r="A485" s="358"/>
      <c r="B485" s="357"/>
      <c r="C485" s="358"/>
      <c r="D485" s="373"/>
      <c r="E485" s="373"/>
      <c r="F485" s="373"/>
      <c r="G485" s="374"/>
      <c r="H485" s="357"/>
      <c r="I485" s="358"/>
      <c r="J485" s="357"/>
      <c r="K485" s="358"/>
      <c r="L485" s="359"/>
      <c r="M485" s="307"/>
      <c r="N485" s="359"/>
      <c r="O485" s="307"/>
      <c r="P485" s="357"/>
      <c r="Q485" s="357"/>
      <c r="R485" s="357"/>
      <c r="S485" s="357"/>
      <c r="T485" s="357"/>
      <c r="U485" s="357"/>
      <c r="V485" s="357"/>
      <c r="W485" s="357"/>
    </row>
    <row r="486">
      <c r="A486" s="358"/>
      <c r="B486" s="357"/>
      <c r="C486" s="358"/>
      <c r="D486" s="373"/>
      <c r="E486" s="373"/>
      <c r="F486" s="373"/>
      <c r="G486" s="374"/>
      <c r="H486" s="357"/>
      <c r="I486" s="358"/>
      <c r="J486" s="357"/>
      <c r="K486" s="358"/>
      <c r="L486" s="359"/>
      <c r="M486" s="307"/>
      <c r="N486" s="359"/>
      <c r="O486" s="307"/>
      <c r="P486" s="357"/>
      <c r="Q486" s="357"/>
      <c r="R486" s="357"/>
      <c r="S486" s="357"/>
      <c r="T486" s="357"/>
      <c r="U486" s="357"/>
      <c r="V486" s="357"/>
      <c r="W486" s="357"/>
    </row>
    <row r="487">
      <c r="A487" s="358"/>
      <c r="B487" s="357"/>
      <c r="C487" s="358"/>
      <c r="D487" s="373"/>
      <c r="E487" s="373"/>
      <c r="F487" s="373"/>
      <c r="G487" s="374"/>
      <c r="H487" s="357"/>
      <c r="I487" s="358"/>
      <c r="J487" s="357"/>
      <c r="K487" s="358"/>
      <c r="L487" s="359"/>
      <c r="M487" s="307"/>
      <c r="N487" s="359"/>
      <c r="O487" s="307"/>
      <c r="P487" s="357"/>
      <c r="Q487" s="357"/>
      <c r="R487" s="357"/>
      <c r="S487" s="357"/>
      <c r="T487" s="357"/>
      <c r="U487" s="357"/>
      <c r="V487" s="357"/>
      <c r="W487" s="357"/>
    </row>
    <row r="488">
      <c r="A488" s="358"/>
      <c r="B488" s="357"/>
      <c r="C488" s="358"/>
      <c r="D488" s="373"/>
      <c r="E488" s="373"/>
      <c r="F488" s="373"/>
      <c r="G488" s="374"/>
      <c r="H488" s="357"/>
      <c r="I488" s="358"/>
      <c r="J488" s="357"/>
      <c r="K488" s="358"/>
      <c r="L488" s="359"/>
      <c r="M488" s="307"/>
      <c r="N488" s="359"/>
      <c r="O488" s="307"/>
      <c r="P488" s="357"/>
      <c r="Q488" s="357"/>
      <c r="R488" s="357"/>
      <c r="S488" s="357"/>
      <c r="T488" s="357"/>
      <c r="U488" s="357"/>
      <c r="V488" s="357"/>
      <c r="W488" s="357"/>
    </row>
    <row r="489">
      <c r="A489" s="358"/>
      <c r="B489" s="357"/>
      <c r="C489" s="358"/>
      <c r="D489" s="373"/>
      <c r="E489" s="373"/>
      <c r="F489" s="373"/>
      <c r="G489" s="374"/>
      <c r="H489" s="357"/>
      <c r="I489" s="358"/>
      <c r="J489" s="357"/>
      <c r="K489" s="358"/>
      <c r="L489" s="359"/>
      <c r="M489" s="307"/>
      <c r="N489" s="359"/>
      <c r="O489" s="307"/>
      <c r="P489" s="357"/>
      <c r="Q489" s="357"/>
      <c r="R489" s="357"/>
      <c r="S489" s="357"/>
      <c r="T489" s="357"/>
      <c r="U489" s="357"/>
      <c r="V489" s="357"/>
      <c r="W489" s="357"/>
    </row>
    <row r="490">
      <c r="A490" s="358"/>
      <c r="B490" s="357"/>
      <c r="C490" s="358"/>
      <c r="D490" s="373"/>
      <c r="E490" s="373"/>
      <c r="F490" s="373"/>
      <c r="G490" s="374"/>
      <c r="H490" s="357"/>
      <c r="I490" s="358"/>
      <c r="J490" s="357"/>
      <c r="K490" s="358"/>
      <c r="L490" s="359"/>
      <c r="M490" s="307"/>
      <c r="N490" s="359"/>
      <c r="O490" s="307"/>
      <c r="P490" s="357"/>
      <c r="Q490" s="357"/>
      <c r="R490" s="357"/>
      <c r="S490" s="357"/>
      <c r="T490" s="357"/>
      <c r="U490" s="357"/>
      <c r="V490" s="357"/>
      <c r="W490" s="357"/>
    </row>
    <row r="491">
      <c r="A491" s="358"/>
      <c r="B491" s="357"/>
      <c r="C491" s="358"/>
      <c r="D491" s="373"/>
      <c r="E491" s="373"/>
      <c r="F491" s="373"/>
      <c r="G491" s="374"/>
      <c r="H491" s="357"/>
      <c r="I491" s="358"/>
      <c r="J491" s="357"/>
      <c r="K491" s="358"/>
      <c r="L491" s="359"/>
      <c r="M491" s="307"/>
      <c r="N491" s="359"/>
      <c r="O491" s="307"/>
      <c r="P491" s="357"/>
      <c r="Q491" s="357"/>
      <c r="R491" s="357"/>
      <c r="S491" s="357"/>
      <c r="T491" s="357"/>
      <c r="U491" s="357"/>
      <c r="V491" s="357"/>
      <c r="W491" s="357"/>
    </row>
    <row r="492">
      <c r="A492" s="358"/>
      <c r="B492" s="357"/>
      <c r="C492" s="358"/>
      <c r="D492" s="373"/>
      <c r="E492" s="373"/>
      <c r="F492" s="373"/>
      <c r="G492" s="374"/>
      <c r="H492" s="357"/>
      <c r="I492" s="358"/>
      <c r="J492" s="357"/>
      <c r="K492" s="358"/>
      <c r="L492" s="359"/>
      <c r="M492" s="307"/>
      <c r="N492" s="359"/>
      <c r="O492" s="307"/>
      <c r="P492" s="357"/>
      <c r="Q492" s="357"/>
      <c r="R492" s="357"/>
      <c r="S492" s="357"/>
      <c r="T492" s="357"/>
      <c r="U492" s="357"/>
      <c r="V492" s="357"/>
      <c r="W492" s="357"/>
    </row>
    <row r="493">
      <c r="A493" s="358"/>
      <c r="B493" s="357"/>
      <c r="C493" s="358"/>
      <c r="D493" s="373"/>
      <c r="E493" s="373"/>
      <c r="F493" s="373"/>
      <c r="G493" s="374"/>
      <c r="H493" s="357"/>
      <c r="I493" s="358"/>
      <c r="J493" s="357"/>
      <c r="K493" s="358"/>
      <c r="L493" s="359"/>
      <c r="M493" s="307"/>
      <c r="N493" s="359"/>
      <c r="O493" s="307"/>
      <c r="P493" s="357"/>
      <c r="Q493" s="357"/>
      <c r="R493" s="357"/>
      <c r="S493" s="357"/>
      <c r="T493" s="357"/>
      <c r="U493" s="357"/>
      <c r="V493" s="357"/>
      <c r="W493" s="357"/>
    </row>
    <row r="494">
      <c r="A494" s="358"/>
      <c r="B494" s="357"/>
      <c r="C494" s="358"/>
      <c r="D494" s="373"/>
      <c r="E494" s="373"/>
      <c r="F494" s="373"/>
      <c r="G494" s="374"/>
      <c r="H494" s="357"/>
      <c r="I494" s="358"/>
      <c r="J494" s="357"/>
      <c r="K494" s="358"/>
      <c r="L494" s="359"/>
      <c r="M494" s="307"/>
      <c r="N494" s="359"/>
      <c r="O494" s="307"/>
      <c r="P494" s="357"/>
      <c r="Q494" s="357"/>
      <c r="R494" s="357"/>
      <c r="S494" s="357"/>
      <c r="T494" s="357"/>
      <c r="U494" s="357"/>
      <c r="V494" s="357"/>
      <c r="W494" s="357"/>
    </row>
    <row r="495">
      <c r="A495" s="358"/>
      <c r="B495" s="357"/>
      <c r="C495" s="358"/>
      <c r="D495" s="373"/>
      <c r="E495" s="373"/>
      <c r="F495" s="373"/>
      <c r="G495" s="374"/>
      <c r="H495" s="357"/>
      <c r="I495" s="358"/>
      <c r="J495" s="357"/>
      <c r="K495" s="358"/>
      <c r="L495" s="359"/>
      <c r="M495" s="307"/>
      <c r="N495" s="359"/>
      <c r="O495" s="307"/>
      <c r="P495" s="357"/>
      <c r="Q495" s="357"/>
      <c r="R495" s="357"/>
      <c r="S495" s="357"/>
      <c r="T495" s="357"/>
      <c r="U495" s="357"/>
      <c r="V495" s="357"/>
      <c r="W495" s="357"/>
    </row>
    <row r="496">
      <c r="A496" s="358"/>
      <c r="B496" s="357"/>
      <c r="C496" s="358"/>
      <c r="D496" s="373"/>
      <c r="E496" s="373"/>
      <c r="F496" s="373"/>
      <c r="G496" s="374"/>
      <c r="H496" s="357"/>
      <c r="I496" s="358"/>
      <c r="J496" s="357"/>
      <c r="K496" s="358"/>
      <c r="L496" s="359"/>
      <c r="M496" s="307"/>
      <c r="N496" s="359"/>
      <c r="O496" s="307"/>
      <c r="P496" s="357"/>
      <c r="Q496" s="357"/>
      <c r="R496" s="357"/>
      <c r="S496" s="357"/>
      <c r="T496" s="357"/>
      <c r="U496" s="357"/>
      <c r="V496" s="357"/>
      <c r="W496" s="357"/>
    </row>
    <row r="497">
      <c r="A497" s="358"/>
      <c r="B497" s="357"/>
      <c r="C497" s="358"/>
      <c r="D497" s="373"/>
      <c r="E497" s="373"/>
      <c r="F497" s="373"/>
      <c r="G497" s="374"/>
      <c r="H497" s="357"/>
      <c r="I497" s="358"/>
      <c r="J497" s="357"/>
      <c r="K497" s="358"/>
      <c r="L497" s="359"/>
      <c r="M497" s="307"/>
      <c r="N497" s="359"/>
      <c r="O497" s="307"/>
      <c r="P497" s="357"/>
      <c r="Q497" s="357"/>
      <c r="R497" s="357"/>
      <c r="S497" s="357"/>
      <c r="T497" s="357"/>
      <c r="U497" s="357"/>
      <c r="V497" s="357"/>
      <c r="W497" s="357"/>
    </row>
    <row r="498">
      <c r="A498" s="358"/>
      <c r="B498" s="357"/>
      <c r="C498" s="358"/>
      <c r="D498" s="373"/>
      <c r="E498" s="373"/>
      <c r="F498" s="373"/>
      <c r="G498" s="374"/>
      <c r="H498" s="357"/>
      <c r="I498" s="358"/>
      <c r="J498" s="357"/>
      <c r="K498" s="358"/>
      <c r="L498" s="359"/>
      <c r="M498" s="307"/>
      <c r="N498" s="359"/>
      <c r="O498" s="307"/>
      <c r="P498" s="357"/>
      <c r="Q498" s="357"/>
      <c r="R498" s="357"/>
      <c r="S498" s="357"/>
      <c r="T498" s="357"/>
      <c r="U498" s="357"/>
      <c r="V498" s="357"/>
      <c r="W498" s="357"/>
    </row>
    <row r="499">
      <c r="A499" s="358"/>
      <c r="B499" s="357"/>
      <c r="C499" s="358"/>
      <c r="D499" s="373"/>
      <c r="E499" s="373"/>
      <c r="F499" s="373"/>
      <c r="G499" s="374"/>
      <c r="H499" s="357"/>
      <c r="I499" s="358"/>
      <c r="J499" s="357"/>
      <c r="K499" s="358"/>
      <c r="L499" s="359"/>
      <c r="M499" s="307"/>
      <c r="N499" s="359"/>
      <c r="O499" s="307"/>
      <c r="P499" s="357"/>
      <c r="Q499" s="357"/>
      <c r="R499" s="357"/>
      <c r="S499" s="357"/>
      <c r="T499" s="357"/>
      <c r="U499" s="357"/>
      <c r="V499" s="357"/>
      <c r="W499" s="357"/>
    </row>
    <row r="500">
      <c r="A500" s="358"/>
      <c r="B500" s="357"/>
      <c r="C500" s="358"/>
      <c r="D500" s="373"/>
      <c r="E500" s="373"/>
      <c r="F500" s="373"/>
      <c r="G500" s="374"/>
      <c r="H500" s="357"/>
      <c r="I500" s="358"/>
      <c r="J500" s="357"/>
      <c r="K500" s="358"/>
      <c r="L500" s="359"/>
      <c r="M500" s="307"/>
      <c r="N500" s="359"/>
      <c r="O500" s="307"/>
      <c r="P500" s="357"/>
      <c r="Q500" s="357"/>
      <c r="R500" s="357"/>
      <c r="S500" s="357"/>
      <c r="T500" s="357"/>
      <c r="U500" s="357"/>
      <c r="V500" s="357"/>
      <c r="W500" s="357"/>
    </row>
    <row r="501">
      <c r="A501" s="358"/>
      <c r="B501" s="357"/>
      <c r="C501" s="358"/>
      <c r="D501" s="373"/>
      <c r="E501" s="373"/>
      <c r="F501" s="373"/>
      <c r="G501" s="374"/>
      <c r="H501" s="357"/>
      <c r="I501" s="358"/>
      <c r="J501" s="357"/>
      <c r="K501" s="358"/>
      <c r="L501" s="359"/>
      <c r="M501" s="307"/>
      <c r="N501" s="359"/>
      <c r="O501" s="307"/>
      <c r="P501" s="357"/>
      <c r="Q501" s="357"/>
      <c r="R501" s="357"/>
      <c r="S501" s="357"/>
      <c r="T501" s="357"/>
      <c r="U501" s="357"/>
      <c r="V501" s="357"/>
      <c r="W501" s="357"/>
    </row>
    <row r="502">
      <c r="A502" s="358"/>
      <c r="B502" s="357"/>
      <c r="C502" s="358"/>
      <c r="D502" s="373"/>
      <c r="E502" s="373"/>
      <c r="F502" s="373"/>
      <c r="G502" s="374"/>
      <c r="H502" s="357"/>
      <c r="I502" s="358"/>
      <c r="J502" s="357"/>
      <c r="K502" s="358"/>
      <c r="L502" s="359"/>
      <c r="M502" s="307"/>
      <c r="N502" s="359"/>
      <c r="O502" s="307"/>
      <c r="P502" s="357"/>
      <c r="Q502" s="357"/>
      <c r="R502" s="357"/>
      <c r="S502" s="357"/>
      <c r="T502" s="357"/>
      <c r="U502" s="357"/>
      <c r="V502" s="357"/>
      <c r="W502" s="357"/>
    </row>
    <row r="503">
      <c r="A503" s="358"/>
      <c r="B503" s="357"/>
      <c r="C503" s="358"/>
      <c r="D503" s="373"/>
      <c r="E503" s="373"/>
      <c r="F503" s="373"/>
      <c r="G503" s="374"/>
      <c r="H503" s="357"/>
      <c r="I503" s="358"/>
      <c r="J503" s="357"/>
      <c r="K503" s="358"/>
      <c r="L503" s="359"/>
      <c r="M503" s="307"/>
      <c r="N503" s="359"/>
      <c r="O503" s="307"/>
      <c r="P503" s="357"/>
      <c r="Q503" s="357"/>
      <c r="R503" s="357"/>
      <c r="S503" s="357"/>
      <c r="T503" s="357"/>
      <c r="U503" s="357"/>
      <c r="V503" s="357"/>
      <c r="W503" s="357"/>
    </row>
    <row r="504">
      <c r="A504" s="358"/>
      <c r="B504" s="357"/>
      <c r="C504" s="358"/>
      <c r="D504" s="373"/>
      <c r="E504" s="373"/>
      <c r="F504" s="373"/>
      <c r="G504" s="374"/>
      <c r="H504" s="357"/>
      <c r="I504" s="358"/>
      <c r="J504" s="357"/>
      <c r="K504" s="358"/>
      <c r="L504" s="359"/>
      <c r="M504" s="307"/>
      <c r="N504" s="359"/>
      <c r="O504" s="307"/>
      <c r="P504" s="357"/>
      <c r="Q504" s="357"/>
      <c r="R504" s="357"/>
      <c r="S504" s="357"/>
      <c r="T504" s="357"/>
      <c r="U504" s="357"/>
      <c r="V504" s="357"/>
      <c r="W504" s="357"/>
    </row>
    <row r="505">
      <c r="A505" s="358"/>
      <c r="B505" s="357"/>
      <c r="C505" s="358"/>
      <c r="D505" s="373"/>
      <c r="E505" s="373"/>
      <c r="F505" s="373"/>
      <c r="G505" s="374"/>
      <c r="H505" s="357"/>
      <c r="I505" s="358"/>
      <c r="J505" s="357"/>
      <c r="K505" s="358"/>
      <c r="L505" s="359"/>
      <c r="M505" s="307"/>
      <c r="N505" s="359"/>
      <c r="O505" s="307"/>
      <c r="P505" s="357"/>
      <c r="Q505" s="357"/>
      <c r="R505" s="357"/>
      <c r="S505" s="357"/>
      <c r="T505" s="357"/>
      <c r="U505" s="357"/>
      <c r="V505" s="357"/>
      <c r="W505" s="357"/>
    </row>
    <row r="506">
      <c r="A506" s="358"/>
      <c r="B506" s="357"/>
      <c r="C506" s="358"/>
      <c r="D506" s="373"/>
      <c r="E506" s="373"/>
      <c r="F506" s="373"/>
      <c r="G506" s="374"/>
      <c r="H506" s="357"/>
      <c r="I506" s="358"/>
      <c r="J506" s="357"/>
      <c r="K506" s="358"/>
      <c r="L506" s="359"/>
      <c r="M506" s="307"/>
      <c r="N506" s="359"/>
      <c r="O506" s="307"/>
      <c r="P506" s="357"/>
      <c r="Q506" s="357"/>
      <c r="R506" s="357"/>
      <c r="S506" s="357"/>
      <c r="T506" s="357"/>
      <c r="U506" s="357"/>
      <c r="V506" s="357"/>
      <c r="W506" s="357"/>
    </row>
    <row r="507">
      <c r="A507" s="358"/>
      <c r="B507" s="357"/>
      <c r="C507" s="358"/>
      <c r="D507" s="373"/>
      <c r="E507" s="373"/>
      <c r="F507" s="373"/>
      <c r="G507" s="374"/>
      <c r="H507" s="357"/>
      <c r="I507" s="358"/>
      <c r="J507" s="357"/>
      <c r="K507" s="358"/>
      <c r="L507" s="359"/>
      <c r="M507" s="307"/>
      <c r="N507" s="359"/>
      <c r="O507" s="307"/>
      <c r="P507" s="357"/>
      <c r="Q507" s="357"/>
      <c r="R507" s="357"/>
      <c r="S507" s="357"/>
      <c r="T507" s="357"/>
      <c r="U507" s="357"/>
      <c r="V507" s="357"/>
      <c r="W507" s="357"/>
    </row>
    <row r="508">
      <c r="A508" s="358"/>
      <c r="B508" s="357"/>
      <c r="C508" s="358"/>
      <c r="D508" s="373"/>
      <c r="E508" s="373"/>
      <c r="F508" s="373"/>
      <c r="G508" s="374"/>
      <c r="H508" s="357"/>
      <c r="I508" s="358"/>
      <c r="J508" s="357"/>
      <c r="K508" s="358"/>
      <c r="L508" s="359"/>
      <c r="M508" s="307"/>
      <c r="N508" s="359"/>
      <c r="O508" s="307"/>
      <c r="P508" s="357"/>
      <c r="Q508" s="357"/>
      <c r="R508" s="357"/>
      <c r="S508" s="357"/>
      <c r="T508" s="357"/>
      <c r="U508" s="357"/>
      <c r="V508" s="357"/>
      <c r="W508" s="357"/>
    </row>
    <row r="509">
      <c r="A509" s="358"/>
      <c r="B509" s="357"/>
      <c r="C509" s="358"/>
      <c r="D509" s="373"/>
      <c r="E509" s="373"/>
      <c r="F509" s="373"/>
      <c r="G509" s="374"/>
      <c r="H509" s="357"/>
      <c r="I509" s="358"/>
      <c r="J509" s="357"/>
      <c r="K509" s="358"/>
      <c r="L509" s="359"/>
      <c r="M509" s="307"/>
      <c r="N509" s="359"/>
      <c r="O509" s="307"/>
      <c r="P509" s="357"/>
      <c r="Q509" s="357"/>
      <c r="R509" s="357"/>
      <c r="S509" s="357"/>
      <c r="T509" s="357"/>
      <c r="U509" s="357"/>
      <c r="V509" s="357"/>
      <c r="W509" s="357"/>
    </row>
    <row r="510">
      <c r="A510" s="358"/>
      <c r="B510" s="357"/>
      <c r="C510" s="358"/>
      <c r="D510" s="373"/>
      <c r="E510" s="373"/>
      <c r="F510" s="373"/>
      <c r="G510" s="374"/>
      <c r="H510" s="357"/>
      <c r="I510" s="358"/>
      <c r="J510" s="357"/>
      <c r="K510" s="358"/>
      <c r="L510" s="359"/>
      <c r="M510" s="307"/>
      <c r="N510" s="359"/>
      <c r="O510" s="307"/>
      <c r="P510" s="357"/>
      <c r="Q510" s="357"/>
      <c r="R510" s="357"/>
      <c r="S510" s="357"/>
      <c r="T510" s="357"/>
      <c r="U510" s="357"/>
      <c r="V510" s="357"/>
      <c r="W510" s="357"/>
    </row>
    <row r="511">
      <c r="A511" s="358"/>
      <c r="B511" s="357"/>
      <c r="C511" s="358"/>
      <c r="D511" s="373"/>
      <c r="E511" s="373"/>
      <c r="F511" s="373"/>
      <c r="G511" s="374"/>
      <c r="H511" s="357"/>
      <c r="I511" s="358"/>
      <c r="J511" s="357"/>
      <c r="K511" s="358"/>
      <c r="L511" s="359"/>
      <c r="M511" s="307"/>
      <c r="N511" s="359"/>
      <c r="O511" s="307"/>
      <c r="P511" s="357"/>
      <c r="Q511" s="357"/>
      <c r="R511" s="357"/>
      <c r="S511" s="357"/>
      <c r="T511" s="357"/>
      <c r="U511" s="357"/>
      <c r="V511" s="357"/>
      <c r="W511" s="357"/>
    </row>
    <row r="512">
      <c r="A512" s="358"/>
      <c r="B512" s="357"/>
      <c r="C512" s="358"/>
      <c r="D512" s="373"/>
      <c r="E512" s="373"/>
      <c r="F512" s="373"/>
      <c r="G512" s="374"/>
      <c r="H512" s="357"/>
      <c r="I512" s="358"/>
      <c r="J512" s="357"/>
      <c r="K512" s="358"/>
      <c r="L512" s="359"/>
      <c r="M512" s="307"/>
      <c r="N512" s="359"/>
      <c r="O512" s="307"/>
      <c r="P512" s="357"/>
      <c r="Q512" s="357"/>
      <c r="R512" s="357"/>
      <c r="S512" s="357"/>
      <c r="T512" s="357"/>
      <c r="U512" s="357"/>
      <c r="V512" s="357"/>
      <c r="W512" s="357"/>
    </row>
    <row r="513">
      <c r="A513" s="358"/>
      <c r="B513" s="357"/>
      <c r="C513" s="358"/>
      <c r="D513" s="373"/>
      <c r="E513" s="373"/>
      <c r="F513" s="373"/>
      <c r="G513" s="374"/>
      <c r="H513" s="357"/>
      <c r="I513" s="358"/>
      <c r="J513" s="357"/>
      <c r="K513" s="358"/>
      <c r="L513" s="359"/>
      <c r="M513" s="307"/>
      <c r="N513" s="359"/>
      <c r="O513" s="307"/>
      <c r="P513" s="357"/>
      <c r="Q513" s="357"/>
      <c r="R513" s="357"/>
      <c r="S513" s="357"/>
      <c r="T513" s="357"/>
      <c r="U513" s="357"/>
      <c r="V513" s="357"/>
      <c r="W513" s="357"/>
    </row>
    <row r="514">
      <c r="A514" s="358"/>
      <c r="B514" s="357"/>
      <c r="C514" s="358"/>
      <c r="D514" s="373"/>
      <c r="E514" s="373"/>
      <c r="F514" s="373"/>
      <c r="G514" s="374"/>
      <c r="H514" s="357"/>
      <c r="I514" s="358"/>
      <c r="J514" s="357"/>
      <c r="K514" s="358"/>
      <c r="L514" s="359"/>
      <c r="M514" s="307"/>
      <c r="N514" s="359"/>
      <c r="O514" s="307"/>
      <c r="P514" s="357"/>
      <c r="Q514" s="357"/>
      <c r="R514" s="357"/>
      <c r="S514" s="357"/>
      <c r="T514" s="357"/>
      <c r="U514" s="357"/>
      <c r="V514" s="357"/>
      <c r="W514" s="357"/>
    </row>
    <row r="515">
      <c r="A515" s="358"/>
      <c r="B515" s="357"/>
      <c r="C515" s="358"/>
      <c r="D515" s="373"/>
      <c r="E515" s="373"/>
      <c r="F515" s="373"/>
      <c r="G515" s="374"/>
      <c r="H515" s="357"/>
      <c r="I515" s="358"/>
      <c r="J515" s="357"/>
      <c r="K515" s="358"/>
      <c r="L515" s="359"/>
      <c r="M515" s="307"/>
      <c r="N515" s="359"/>
      <c r="O515" s="307"/>
      <c r="P515" s="357"/>
      <c r="Q515" s="357"/>
      <c r="R515" s="357"/>
      <c r="S515" s="357"/>
      <c r="T515" s="357"/>
      <c r="U515" s="357"/>
      <c r="V515" s="357"/>
      <c r="W515" s="357"/>
    </row>
    <row r="516">
      <c r="A516" s="358"/>
      <c r="B516" s="357"/>
      <c r="C516" s="358"/>
      <c r="D516" s="373"/>
      <c r="E516" s="373"/>
      <c r="F516" s="373"/>
      <c r="G516" s="374"/>
      <c r="H516" s="357"/>
      <c r="I516" s="358"/>
      <c r="J516" s="357"/>
      <c r="K516" s="358"/>
      <c r="L516" s="359"/>
      <c r="M516" s="307"/>
      <c r="N516" s="359"/>
      <c r="O516" s="307"/>
      <c r="P516" s="357"/>
      <c r="Q516" s="357"/>
      <c r="R516" s="357"/>
      <c r="S516" s="357"/>
      <c r="T516" s="357"/>
      <c r="U516" s="357"/>
      <c r="V516" s="357"/>
      <c r="W516" s="357"/>
    </row>
    <row r="517">
      <c r="A517" s="358"/>
      <c r="B517" s="357"/>
      <c r="C517" s="358"/>
      <c r="D517" s="373"/>
      <c r="E517" s="373"/>
      <c r="F517" s="373"/>
      <c r="G517" s="374"/>
      <c r="H517" s="357"/>
      <c r="I517" s="358"/>
      <c r="J517" s="357"/>
      <c r="K517" s="358"/>
      <c r="L517" s="359"/>
      <c r="M517" s="307"/>
      <c r="N517" s="359"/>
      <c r="O517" s="307"/>
      <c r="P517" s="357"/>
      <c r="Q517" s="357"/>
      <c r="R517" s="357"/>
      <c r="S517" s="357"/>
      <c r="T517" s="357"/>
      <c r="U517" s="357"/>
      <c r="V517" s="357"/>
      <c r="W517" s="357"/>
    </row>
    <row r="518">
      <c r="A518" s="358"/>
      <c r="B518" s="357"/>
      <c r="C518" s="358"/>
      <c r="D518" s="373"/>
      <c r="E518" s="373"/>
      <c r="F518" s="373"/>
      <c r="G518" s="374"/>
      <c r="H518" s="357"/>
      <c r="I518" s="358"/>
      <c r="J518" s="357"/>
      <c r="K518" s="358"/>
      <c r="L518" s="359"/>
      <c r="M518" s="307"/>
      <c r="N518" s="359"/>
      <c r="O518" s="307"/>
      <c r="P518" s="357"/>
      <c r="Q518" s="357"/>
      <c r="R518" s="357"/>
      <c r="S518" s="357"/>
      <c r="T518" s="357"/>
      <c r="U518" s="357"/>
      <c r="V518" s="357"/>
      <c r="W518" s="357"/>
    </row>
    <row r="519">
      <c r="A519" s="358"/>
      <c r="B519" s="357"/>
      <c r="C519" s="358"/>
      <c r="D519" s="373"/>
      <c r="E519" s="373"/>
      <c r="F519" s="373"/>
      <c r="G519" s="374"/>
      <c r="H519" s="357"/>
      <c r="I519" s="358"/>
      <c r="J519" s="357"/>
      <c r="K519" s="358"/>
      <c r="L519" s="359"/>
      <c r="M519" s="307"/>
      <c r="N519" s="359"/>
      <c r="O519" s="307"/>
      <c r="P519" s="357"/>
      <c r="Q519" s="357"/>
      <c r="R519" s="357"/>
      <c r="S519" s="357"/>
      <c r="T519" s="357"/>
      <c r="U519" s="357"/>
      <c r="V519" s="357"/>
      <c r="W519" s="357"/>
    </row>
    <row r="520">
      <c r="A520" s="358"/>
      <c r="B520" s="357"/>
      <c r="C520" s="358"/>
      <c r="D520" s="373"/>
      <c r="E520" s="373"/>
      <c r="F520" s="373"/>
      <c r="G520" s="374"/>
      <c r="H520" s="357"/>
      <c r="I520" s="358"/>
      <c r="J520" s="357"/>
      <c r="K520" s="358"/>
      <c r="L520" s="359"/>
      <c r="M520" s="307"/>
      <c r="N520" s="359"/>
      <c r="O520" s="307"/>
      <c r="P520" s="357"/>
      <c r="Q520" s="357"/>
      <c r="R520" s="357"/>
      <c r="S520" s="357"/>
      <c r="T520" s="357"/>
      <c r="U520" s="357"/>
      <c r="V520" s="357"/>
      <c r="W520" s="357"/>
    </row>
    <row r="521">
      <c r="A521" s="358"/>
      <c r="B521" s="357"/>
      <c r="C521" s="358"/>
      <c r="D521" s="373"/>
      <c r="E521" s="373"/>
      <c r="F521" s="373"/>
      <c r="G521" s="374"/>
      <c r="H521" s="357"/>
      <c r="I521" s="358"/>
      <c r="J521" s="357"/>
      <c r="K521" s="358"/>
      <c r="L521" s="359"/>
      <c r="M521" s="307"/>
      <c r="N521" s="359"/>
      <c r="O521" s="307"/>
      <c r="P521" s="357"/>
      <c r="Q521" s="357"/>
      <c r="R521" s="357"/>
      <c r="S521" s="357"/>
      <c r="T521" s="357"/>
      <c r="U521" s="357"/>
      <c r="V521" s="357"/>
      <c r="W521" s="357"/>
    </row>
    <row r="522">
      <c r="A522" s="358"/>
      <c r="B522" s="357"/>
      <c r="C522" s="358"/>
      <c r="D522" s="373"/>
      <c r="E522" s="373"/>
      <c r="F522" s="373"/>
      <c r="G522" s="374"/>
      <c r="H522" s="357"/>
      <c r="I522" s="358"/>
      <c r="J522" s="357"/>
      <c r="K522" s="358"/>
      <c r="L522" s="359"/>
      <c r="M522" s="307"/>
      <c r="N522" s="359"/>
      <c r="O522" s="307"/>
      <c r="P522" s="357"/>
      <c r="Q522" s="357"/>
      <c r="R522" s="357"/>
      <c r="S522" s="357"/>
      <c r="T522" s="357"/>
      <c r="U522" s="357"/>
      <c r="V522" s="357"/>
      <c r="W522" s="357"/>
    </row>
    <row r="523">
      <c r="A523" s="358"/>
      <c r="B523" s="357"/>
      <c r="C523" s="358"/>
      <c r="D523" s="373"/>
      <c r="E523" s="373"/>
      <c r="F523" s="373"/>
      <c r="G523" s="374"/>
      <c r="H523" s="357"/>
      <c r="I523" s="358"/>
      <c r="J523" s="357"/>
      <c r="K523" s="358"/>
      <c r="L523" s="359"/>
      <c r="M523" s="307"/>
      <c r="N523" s="359"/>
      <c r="O523" s="307"/>
      <c r="P523" s="357"/>
      <c r="Q523" s="357"/>
      <c r="R523" s="357"/>
      <c r="S523" s="357"/>
      <c r="T523" s="357"/>
      <c r="U523" s="357"/>
      <c r="V523" s="357"/>
      <c r="W523" s="357"/>
    </row>
    <row r="524">
      <c r="A524" s="358"/>
      <c r="B524" s="357"/>
      <c r="C524" s="358"/>
      <c r="D524" s="373"/>
      <c r="E524" s="373"/>
      <c r="F524" s="373"/>
      <c r="G524" s="374"/>
      <c r="H524" s="357"/>
      <c r="I524" s="358"/>
      <c r="J524" s="357"/>
      <c r="K524" s="358"/>
      <c r="L524" s="359"/>
      <c r="M524" s="307"/>
      <c r="N524" s="359"/>
      <c r="O524" s="307"/>
      <c r="P524" s="357"/>
      <c r="Q524" s="357"/>
      <c r="R524" s="357"/>
      <c r="S524" s="357"/>
      <c r="T524" s="357"/>
      <c r="U524" s="357"/>
      <c r="V524" s="357"/>
      <c r="W524" s="357"/>
    </row>
    <row r="525">
      <c r="A525" s="358"/>
      <c r="B525" s="357"/>
      <c r="C525" s="358"/>
      <c r="D525" s="373"/>
      <c r="E525" s="373"/>
      <c r="F525" s="373"/>
      <c r="G525" s="374"/>
      <c r="H525" s="357"/>
      <c r="I525" s="358"/>
      <c r="J525" s="357"/>
      <c r="K525" s="358"/>
      <c r="L525" s="359"/>
      <c r="M525" s="307"/>
      <c r="N525" s="359"/>
      <c r="O525" s="307"/>
      <c r="P525" s="357"/>
      <c r="Q525" s="357"/>
      <c r="R525" s="357"/>
      <c r="S525" s="357"/>
      <c r="T525" s="357"/>
      <c r="U525" s="357"/>
      <c r="V525" s="357"/>
      <c r="W525" s="357"/>
    </row>
    <row r="526">
      <c r="A526" s="358"/>
      <c r="B526" s="357"/>
      <c r="C526" s="358"/>
      <c r="D526" s="373"/>
      <c r="E526" s="373"/>
      <c r="F526" s="373"/>
      <c r="G526" s="374"/>
      <c r="H526" s="357"/>
      <c r="I526" s="358"/>
      <c r="J526" s="357"/>
      <c r="K526" s="358"/>
      <c r="L526" s="359"/>
      <c r="M526" s="307"/>
      <c r="N526" s="359"/>
      <c r="O526" s="307"/>
      <c r="P526" s="357"/>
      <c r="Q526" s="357"/>
      <c r="R526" s="357"/>
      <c r="S526" s="357"/>
      <c r="T526" s="357"/>
      <c r="U526" s="357"/>
      <c r="V526" s="357"/>
      <c r="W526" s="357"/>
    </row>
    <row r="527">
      <c r="A527" s="358"/>
      <c r="B527" s="357"/>
      <c r="C527" s="358"/>
      <c r="D527" s="373"/>
      <c r="E527" s="373"/>
      <c r="F527" s="373"/>
      <c r="G527" s="374"/>
      <c r="H527" s="357"/>
      <c r="I527" s="358"/>
      <c r="J527" s="357"/>
      <c r="K527" s="358"/>
      <c r="L527" s="359"/>
      <c r="M527" s="307"/>
      <c r="N527" s="359"/>
      <c r="O527" s="307"/>
      <c r="P527" s="357"/>
      <c r="Q527" s="357"/>
      <c r="R527" s="357"/>
      <c r="S527" s="357"/>
      <c r="T527" s="357"/>
      <c r="U527" s="357"/>
      <c r="V527" s="357"/>
      <c r="W527" s="357"/>
    </row>
    <row r="528">
      <c r="A528" s="358"/>
      <c r="B528" s="357"/>
      <c r="C528" s="358"/>
      <c r="D528" s="373"/>
      <c r="E528" s="373"/>
      <c r="F528" s="373"/>
      <c r="G528" s="374"/>
      <c r="H528" s="357"/>
      <c r="I528" s="358"/>
      <c r="J528" s="357"/>
      <c r="K528" s="358"/>
      <c r="L528" s="359"/>
      <c r="M528" s="307"/>
      <c r="N528" s="359"/>
      <c r="O528" s="307"/>
      <c r="P528" s="357"/>
      <c r="Q528" s="357"/>
      <c r="R528" s="357"/>
      <c r="S528" s="357"/>
      <c r="T528" s="357"/>
      <c r="U528" s="357"/>
      <c r="V528" s="357"/>
      <c r="W528" s="357"/>
    </row>
    <row r="529">
      <c r="A529" s="358"/>
      <c r="B529" s="357"/>
      <c r="C529" s="358"/>
      <c r="D529" s="373"/>
      <c r="E529" s="373"/>
      <c r="F529" s="373"/>
      <c r="G529" s="374"/>
      <c r="H529" s="357"/>
      <c r="I529" s="358"/>
      <c r="J529" s="357"/>
      <c r="K529" s="358"/>
      <c r="L529" s="359"/>
      <c r="M529" s="307"/>
      <c r="N529" s="359"/>
      <c r="O529" s="307"/>
      <c r="P529" s="357"/>
      <c r="Q529" s="357"/>
      <c r="R529" s="357"/>
      <c r="S529" s="357"/>
      <c r="T529" s="357"/>
      <c r="U529" s="357"/>
      <c r="V529" s="357"/>
      <c r="W529" s="357"/>
    </row>
    <row r="530">
      <c r="A530" s="358"/>
      <c r="B530" s="357"/>
      <c r="C530" s="358"/>
      <c r="D530" s="373"/>
      <c r="E530" s="373"/>
      <c r="F530" s="373"/>
      <c r="G530" s="374"/>
      <c r="H530" s="357"/>
      <c r="I530" s="358"/>
      <c r="J530" s="357"/>
      <c r="K530" s="358"/>
      <c r="L530" s="359"/>
      <c r="M530" s="307"/>
      <c r="N530" s="359"/>
      <c r="O530" s="307"/>
      <c r="P530" s="357"/>
      <c r="Q530" s="357"/>
      <c r="R530" s="357"/>
      <c r="S530" s="357"/>
      <c r="T530" s="357"/>
      <c r="U530" s="357"/>
      <c r="V530" s="357"/>
      <c r="W530" s="357"/>
    </row>
    <row r="531">
      <c r="A531" s="358"/>
      <c r="B531" s="357"/>
      <c r="C531" s="358"/>
      <c r="D531" s="373"/>
      <c r="E531" s="373"/>
      <c r="F531" s="373"/>
      <c r="G531" s="374"/>
      <c r="H531" s="357"/>
      <c r="I531" s="358"/>
      <c r="J531" s="357"/>
      <c r="K531" s="358"/>
      <c r="L531" s="359"/>
      <c r="M531" s="307"/>
      <c r="N531" s="359"/>
      <c r="O531" s="307"/>
      <c r="P531" s="357"/>
      <c r="Q531" s="357"/>
      <c r="R531" s="357"/>
      <c r="S531" s="357"/>
      <c r="T531" s="357"/>
      <c r="U531" s="357"/>
      <c r="V531" s="357"/>
      <c r="W531" s="357"/>
    </row>
    <row r="532">
      <c r="A532" s="358"/>
      <c r="B532" s="357"/>
      <c r="C532" s="358"/>
      <c r="D532" s="373"/>
      <c r="E532" s="373"/>
      <c r="F532" s="373"/>
      <c r="G532" s="374"/>
      <c r="H532" s="357"/>
      <c r="I532" s="358"/>
      <c r="J532" s="357"/>
      <c r="K532" s="358"/>
      <c r="L532" s="359"/>
      <c r="M532" s="307"/>
      <c r="N532" s="359"/>
      <c r="O532" s="307"/>
      <c r="P532" s="357"/>
      <c r="Q532" s="357"/>
      <c r="R532" s="357"/>
      <c r="S532" s="357"/>
      <c r="T532" s="357"/>
      <c r="U532" s="357"/>
      <c r="V532" s="357"/>
      <c r="W532" s="357"/>
    </row>
    <row r="533">
      <c r="A533" s="358"/>
      <c r="B533" s="357"/>
      <c r="C533" s="358"/>
      <c r="D533" s="373"/>
      <c r="E533" s="373"/>
      <c r="F533" s="373"/>
      <c r="G533" s="374"/>
      <c r="H533" s="357"/>
      <c r="I533" s="358"/>
      <c r="J533" s="357"/>
      <c r="K533" s="358"/>
      <c r="L533" s="359"/>
      <c r="M533" s="307"/>
      <c r="N533" s="359"/>
      <c r="O533" s="307"/>
      <c r="P533" s="357"/>
      <c r="Q533" s="357"/>
      <c r="R533" s="357"/>
      <c r="S533" s="357"/>
      <c r="T533" s="357"/>
      <c r="U533" s="357"/>
      <c r="V533" s="357"/>
      <c r="W533" s="357"/>
    </row>
    <row r="534">
      <c r="A534" s="358"/>
      <c r="B534" s="357"/>
      <c r="C534" s="358"/>
      <c r="D534" s="373"/>
      <c r="E534" s="373"/>
      <c r="F534" s="373"/>
      <c r="G534" s="374"/>
      <c r="H534" s="357"/>
      <c r="I534" s="358"/>
      <c r="J534" s="357"/>
      <c r="K534" s="358"/>
      <c r="L534" s="359"/>
      <c r="M534" s="307"/>
      <c r="N534" s="359"/>
      <c r="O534" s="307"/>
      <c r="P534" s="357"/>
      <c r="Q534" s="357"/>
      <c r="R534" s="357"/>
      <c r="S534" s="357"/>
      <c r="T534" s="357"/>
      <c r="U534" s="357"/>
      <c r="V534" s="357"/>
      <c r="W534" s="357"/>
    </row>
    <row r="535">
      <c r="A535" s="358"/>
      <c r="B535" s="357"/>
      <c r="C535" s="358"/>
      <c r="D535" s="373"/>
      <c r="E535" s="373"/>
      <c r="F535" s="373"/>
      <c r="G535" s="374"/>
      <c r="H535" s="357"/>
      <c r="I535" s="358"/>
      <c r="J535" s="357"/>
      <c r="K535" s="358"/>
      <c r="L535" s="359"/>
      <c r="M535" s="307"/>
      <c r="N535" s="359"/>
      <c r="O535" s="307"/>
      <c r="P535" s="357"/>
      <c r="Q535" s="357"/>
      <c r="R535" s="357"/>
      <c r="S535" s="357"/>
      <c r="T535" s="357"/>
      <c r="U535" s="357"/>
      <c r="V535" s="357"/>
      <c r="W535" s="357"/>
    </row>
    <row r="536">
      <c r="A536" s="358"/>
      <c r="B536" s="357"/>
      <c r="C536" s="358"/>
      <c r="D536" s="373"/>
      <c r="E536" s="373"/>
      <c r="F536" s="373"/>
      <c r="G536" s="374"/>
      <c r="H536" s="357"/>
      <c r="I536" s="358"/>
      <c r="J536" s="357"/>
      <c r="K536" s="358"/>
      <c r="L536" s="359"/>
      <c r="M536" s="307"/>
      <c r="N536" s="359"/>
      <c r="O536" s="307"/>
      <c r="P536" s="357"/>
      <c r="Q536" s="357"/>
      <c r="R536" s="357"/>
      <c r="S536" s="357"/>
      <c r="T536" s="357"/>
      <c r="U536" s="357"/>
      <c r="V536" s="357"/>
      <c r="W536" s="357"/>
    </row>
    <row r="537">
      <c r="A537" s="358"/>
      <c r="B537" s="357"/>
      <c r="C537" s="358"/>
      <c r="D537" s="373"/>
      <c r="E537" s="373"/>
      <c r="F537" s="373"/>
      <c r="G537" s="374"/>
      <c r="H537" s="357"/>
      <c r="I537" s="358"/>
      <c r="J537" s="357"/>
      <c r="K537" s="358"/>
      <c r="L537" s="359"/>
      <c r="M537" s="307"/>
      <c r="N537" s="359"/>
      <c r="O537" s="307"/>
      <c r="P537" s="357"/>
      <c r="Q537" s="357"/>
      <c r="R537" s="357"/>
      <c r="S537" s="357"/>
      <c r="T537" s="357"/>
      <c r="U537" s="357"/>
      <c r="V537" s="357"/>
      <c r="W537" s="357"/>
    </row>
    <row r="538">
      <c r="A538" s="358"/>
      <c r="B538" s="357"/>
      <c r="C538" s="358"/>
      <c r="D538" s="373"/>
      <c r="E538" s="373"/>
      <c r="F538" s="373"/>
      <c r="G538" s="374"/>
      <c r="H538" s="357"/>
      <c r="I538" s="358"/>
      <c r="J538" s="357"/>
      <c r="K538" s="358"/>
      <c r="L538" s="359"/>
      <c r="M538" s="307"/>
      <c r="N538" s="359"/>
      <c r="O538" s="307"/>
      <c r="P538" s="357"/>
      <c r="Q538" s="357"/>
      <c r="R538" s="357"/>
      <c r="S538" s="357"/>
      <c r="T538" s="357"/>
      <c r="U538" s="357"/>
      <c r="V538" s="357"/>
      <c r="W538" s="357"/>
    </row>
    <row r="539">
      <c r="A539" s="358"/>
      <c r="B539" s="357"/>
      <c r="C539" s="358"/>
      <c r="D539" s="373"/>
      <c r="E539" s="373"/>
      <c r="F539" s="373"/>
      <c r="G539" s="374"/>
      <c r="H539" s="357"/>
      <c r="I539" s="358"/>
      <c r="J539" s="357"/>
      <c r="K539" s="358"/>
      <c r="L539" s="359"/>
      <c r="M539" s="307"/>
      <c r="N539" s="359"/>
      <c r="O539" s="307"/>
      <c r="P539" s="357"/>
      <c r="Q539" s="357"/>
      <c r="R539" s="357"/>
      <c r="S539" s="357"/>
      <c r="T539" s="357"/>
      <c r="U539" s="357"/>
      <c r="V539" s="357"/>
      <c r="W539" s="357"/>
    </row>
    <row r="540">
      <c r="A540" s="358"/>
      <c r="B540" s="357"/>
      <c r="C540" s="358"/>
      <c r="D540" s="373"/>
      <c r="E540" s="373"/>
      <c r="F540" s="373"/>
      <c r="G540" s="374"/>
      <c r="H540" s="357"/>
      <c r="I540" s="358"/>
      <c r="J540" s="357"/>
      <c r="K540" s="358"/>
      <c r="L540" s="359"/>
      <c r="M540" s="307"/>
      <c r="N540" s="359"/>
      <c r="O540" s="307"/>
      <c r="P540" s="357"/>
      <c r="Q540" s="357"/>
      <c r="R540" s="357"/>
      <c r="S540" s="357"/>
      <c r="T540" s="357"/>
      <c r="U540" s="357"/>
      <c r="V540" s="357"/>
      <c r="W540" s="357"/>
    </row>
    <row r="541">
      <c r="A541" s="358"/>
      <c r="B541" s="357"/>
      <c r="C541" s="358"/>
      <c r="D541" s="373"/>
      <c r="E541" s="373"/>
      <c r="F541" s="373"/>
      <c r="G541" s="374"/>
      <c r="H541" s="357"/>
      <c r="I541" s="358"/>
      <c r="J541" s="357"/>
      <c r="K541" s="358"/>
      <c r="L541" s="359"/>
      <c r="M541" s="307"/>
      <c r="N541" s="359"/>
      <c r="O541" s="307"/>
      <c r="P541" s="357"/>
      <c r="Q541" s="357"/>
      <c r="R541" s="357"/>
      <c r="S541" s="357"/>
      <c r="T541" s="357"/>
      <c r="U541" s="357"/>
      <c r="V541" s="357"/>
      <c r="W541" s="357"/>
    </row>
    <row r="542">
      <c r="A542" s="358"/>
      <c r="B542" s="357"/>
      <c r="C542" s="358"/>
      <c r="D542" s="373"/>
      <c r="E542" s="373"/>
      <c r="F542" s="373"/>
      <c r="G542" s="374"/>
      <c r="H542" s="357"/>
      <c r="I542" s="358"/>
      <c r="J542" s="357"/>
      <c r="K542" s="358"/>
      <c r="L542" s="359"/>
      <c r="M542" s="307"/>
      <c r="N542" s="359"/>
      <c r="O542" s="307"/>
      <c r="P542" s="357"/>
      <c r="Q542" s="357"/>
      <c r="R542" s="357"/>
      <c r="S542" s="357"/>
      <c r="T542" s="357"/>
      <c r="U542" s="357"/>
      <c r="V542" s="357"/>
      <c r="W542" s="357"/>
    </row>
    <row r="543">
      <c r="A543" s="358"/>
      <c r="B543" s="357"/>
      <c r="C543" s="358"/>
      <c r="D543" s="373"/>
      <c r="E543" s="373"/>
      <c r="F543" s="373"/>
      <c r="G543" s="374"/>
      <c r="H543" s="357"/>
      <c r="I543" s="358"/>
      <c r="J543" s="357"/>
      <c r="K543" s="358"/>
      <c r="L543" s="359"/>
      <c r="M543" s="307"/>
      <c r="N543" s="359"/>
      <c r="O543" s="307"/>
      <c r="P543" s="357"/>
      <c r="Q543" s="357"/>
      <c r="R543" s="357"/>
      <c r="S543" s="357"/>
      <c r="T543" s="357"/>
      <c r="U543" s="357"/>
      <c r="V543" s="357"/>
      <c r="W543" s="357"/>
    </row>
    <row r="544">
      <c r="A544" s="358"/>
      <c r="B544" s="357"/>
      <c r="C544" s="358"/>
      <c r="D544" s="373"/>
      <c r="E544" s="373"/>
      <c r="F544" s="373"/>
      <c r="G544" s="374"/>
      <c r="H544" s="357"/>
      <c r="I544" s="358"/>
      <c r="J544" s="357"/>
      <c r="K544" s="358"/>
      <c r="L544" s="359"/>
      <c r="M544" s="307"/>
      <c r="N544" s="359"/>
      <c r="O544" s="307"/>
      <c r="P544" s="357"/>
      <c r="Q544" s="357"/>
      <c r="R544" s="357"/>
      <c r="S544" s="357"/>
      <c r="T544" s="357"/>
      <c r="U544" s="357"/>
      <c r="V544" s="357"/>
      <c r="W544" s="357"/>
    </row>
    <row r="545">
      <c r="A545" s="358"/>
      <c r="B545" s="357"/>
      <c r="C545" s="358"/>
      <c r="D545" s="373"/>
      <c r="E545" s="373"/>
      <c r="F545" s="373"/>
      <c r="G545" s="374"/>
      <c r="H545" s="357"/>
      <c r="I545" s="358"/>
      <c r="J545" s="357"/>
      <c r="K545" s="358"/>
      <c r="L545" s="359"/>
      <c r="M545" s="307"/>
      <c r="N545" s="359"/>
      <c r="O545" s="307"/>
      <c r="P545" s="357"/>
      <c r="Q545" s="357"/>
      <c r="R545" s="357"/>
      <c r="S545" s="357"/>
      <c r="T545" s="357"/>
      <c r="U545" s="357"/>
      <c r="V545" s="357"/>
      <c r="W545" s="357"/>
    </row>
    <row r="546">
      <c r="A546" s="358"/>
      <c r="B546" s="357"/>
      <c r="C546" s="358"/>
      <c r="D546" s="373"/>
      <c r="E546" s="373"/>
      <c r="F546" s="373"/>
      <c r="G546" s="374"/>
      <c r="H546" s="357"/>
      <c r="I546" s="358"/>
      <c r="J546" s="357"/>
      <c r="K546" s="358"/>
      <c r="L546" s="359"/>
      <c r="M546" s="307"/>
      <c r="N546" s="359"/>
      <c r="O546" s="307"/>
      <c r="P546" s="357"/>
      <c r="Q546" s="357"/>
      <c r="R546" s="357"/>
      <c r="S546" s="357"/>
      <c r="T546" s="357"/>
      <c r="U546" s="357"/>
      <c r="V546" s="357"/>
      <c r="W546" s="357"/>
    </row>
    <row r="547">
      <c r="A547" s="358"/>
      <c r="B547" s="357"/>
      <c r="C547" s="358"/>
      <c r="D547" s="373"/>
      <c r="E547" s="373"/>
      <c r="F547" s="373"/>
      <c r="G547" s="374"/>
      <c r="H547" s="357"/>
      <c r="I547" s="358"/>
      <c r="J547" s="357"/>
      <c r="K547" s="358"/>
      <c r="L547" s="359"/>
      <c r="M547" s="307"/>
      <c r="N547" s="359"/>
      <c r="O547" s="307"/>
      <c r="P547" s="357"/>
      <c r="Q547" s="357"/>
      <c r="R547" s="357"/>
      <c r="S547" s="357"/>
      <c r="T547" s="357"/>
      <c r="U547" s="357"/>
      <c r="V547" s="357"/>
      <c r="W547" s="357"/>
    </row>
    <row r="548">
      <c r="A548" s="358"/>
      <c r="B548" s="357"/>
      <c r="C548" s="358"/>
      <c r="D548" s="373"/>
      <c r="E548" s="373"/>
      <c r="F548" s="373"/>
      <c r="G548" s="374"/>
      <c r="H548" s="357"/>
      <c r="I548" s="358"/>
      <c r="J548" s="357"/>
      <c r="K548" s="358"/>
      <c r="L548" s="359"/>
      <c r="M548" s="307"/>
      <c r="N548" s="359"/>
      <c r="O548" s="307"/>
      <c r="P548" s="357"/>
      <c r="Q548" s="357"/>
      <c r="R548" s="357"/>
      <c r="S548" s="357"/>
      <c r="T548" s="357"/>
      <c r="U548" s="357"/>
      <c r="V548" s="357"/>
      <c r="W548" s="357"/>
    </row>
    <row r="549">
      <c r="A549" s="358"/>
      <c r="B549" s="357"/>
      <c r="C549" s="358"/>
      <c r="D549" s="373"/>
      <c r="E549" s="373"/>
      <c r="F549" s="373"/>
      <c r="G549" s="374"/>
      <c r="H549" s="357"/>
      <c r="I549" s="358"/>
      <c r="J549" s="357"/>
      <c r="K549" s="358"/>
      <c r="L549" s="359"/>
      <c r="M549" s="307"/>
      <c r="N549" s="359"/>
      <c r="O549" s="307"/>
      <c r="P549" s="357"/>
      <c r="Q549" s="357"/>
      <c r="R549" s="357"/>
      <c r="S549" s="357"/>
      <c r="T549" s="357"/>
      <c r="U549" s="357"/>
      <c r="V549" s="357"/>
      <c r="W549" s="357"/>
    </row>
    <row r="550">
      <c r="A550" s="358"/>
      <c r="B550" s="357"/>
      <c r="C550" s="358"/>
      <c r="D550" s="373"/>
      <c r="E550" s="373"/>
      <c r="F550" s="373"/>
      <c r="G550" s="374"/>
      <c r="H550" s="357"/>
      <c r="I550" s="358"/>
      <c r="J550" s="357"/>
      <c r="K550" s="358"/>
      <c r="L550" s="359"/>
      <c r="M550" s="307"/>
      <c r="N550" s="359"/>
      <c r="O550" s="307"/>
      <c r="P550" s="357"/>
      <c r="Q550" s="357"/>
      <c r="R550" s="357"/>
      <c r="S550" s="357"/>
      <c r="T550" s="357"/>
      <c r="U550" s="357"/>
      <c r="V550" s="357"/>
      <c r="W550" s="357"/>
    </row>
    <row r="551">
      <c r="A551" s="358"/>
      <c r="B551" s="357"/>
      <c r="C551" s="358"/>
      <c r="D551" s="373"/>
      <c r="E551" s="373"/>
      <c r="F551" s="373"/>
      <c r="G551" s="374"/>
      <c r="H551" s="357"/>
      <c r="I551" s="358"/>
      <c r="J551" s="357"/>
      <c r="K551" s="358"/>
      <c r="L551" s="359"/>
      <c r="M551" s="307"/>
      <c r="N551" s="359"/>
      <c r="O551" s="307"/>
      <c r="P551" s="357"/>
      <c r="Q551" s="357"/>
      <c r="R551" s="357"/>
      <c r="S551" s="357"/>
      <c r="T551" s="357"/>
      <c r="U551" s="357"/>
      <c r="V551" s="357"/>
      <c r="W551" s="357"/>
    </row>
    <row r="552">
      <c r="A552" s="358"/>
      <c r="B552" s="357"/>
      <c r="C552" s="358"/>
      <c r="D552" s="373"/>
      <c r="E552" s="373"/>
      <c r="F552" s="373"/>
      <c r="G552" s="374"/>
      <c r="H552" s="357"/>
      <c r="I552" s="358"/>
      <c r="J552" s="357"/>
      <c r="K552" s="358"/>
      <c r="L552" s="359"/>
      <c r="M552" s="307"/>
      <c r="N552" s="359"/>
      <c r="O552" s="307"/>
      <c r="P552" s="357"/>
      <c r="Q552" s="357"/>
      <c r="R552" s="357"/>
      <c r="S552" s="357"/>
      <c r="T552" s="357"/>
      <c r="U552" s="357"/>
      <c r="V552" s="357"/>
      <c r="W552" s="357"/>
    </row>
    <row r="553">
      <c r="A553" s="358"/>
      <c r="B553" s="357"/>
      <c r="C553" s="358"/>
      <c r="D553" s="373"/>
      <c r="E553" s="373"/>
      <c r="F553" s="373"/>
      <c r="G553" s="374"/>
      <c r="H553" s="357"/>
      <c r="I553" s="358"/>
      <c r="J553" s="357"/>
      <c r="K553" s="358"/>
      <c r="L553" s="359"/>
      <c r="M553" s="307"/>
      <c r="N553" s="359"/>
      <c r="O553" s="307"/>
      <c r="P553" s="357"/>
      <c r="Q553" s="357"/>
      <c r="R553" s="357"/>
      <c r="S553" s="357"/>
      <c r="T553" s="357"/>
      <c r="U553" s="357"/>
      <c r="V553" s="357"/>
      <c r="W553" s="357"/>
    </row>
    <row r="554">
      <c r="A554" s="358"/>
      <c r="B554" s="357"/>
      <c r="C554" s="358"/>
      <c r="D554" s="373"/>
      <c r="E554" s="373"/>
      <c r="F554" s="373"/>
      <c r="G554" s="374"/>
      <c r="H554" s="357"/>
      <c r="I554" s="358"/>
      <c r="J554" s="357"/>
      <c r="K554" s="358"/>
      <c r="L554" s="359"/>
      <c r="M554" s="307"/>
      <c r="N554" s="359"/>
      <c r="O554" s="307"/>
      <c r="P554" s="357"/>
      <c r="Q554" s="357"/>
      <c r="R554" s="357"/>
      <c r="S554" s="357"/>
      <c r="T554" s="357"/>
      <c r="U554" s="357"/>
      <c r="V554" s="357"/>
      <c r="W554" s="357"/>
    </row>
    <row r="555">
      <c r="A555" s="358"/>
      <c r="B555" s="357"/>
      <c r="C555" s="358"/>
      <c r="D555" s="373"/>
      <c r="E555" s="373"/>
      <c r="F555" s="373"/>
      <c r="G555" s="374"/>
      <c r="H555" s="357"/>
      <c r="I555" s="358"/>
      <c r="J555" s="357"/>
      <c r="K555" s="358"/>
      <c r="L555" s="359"/>
      <c r="M555" s="307"/>
      <c r="N555" s="359"/>
      <c r="O555" s="307"/>
      <c r="P555" s="357"/>
      <c r="Q555" s="357"/>
      <c r="R555" s="357"/>
      <c r="S555" s="357"/>
      <c r="T555" s="357"/>
      <c r="U555" s="357"/>
      <c r="V555" s="357"/>
      <c r="W555" s="357"/>
    </row>
    <row r="556">
      <c r="A556" s="358"/>
      <c r="B556" s="357"/>
      <c r="C556" s="358"/>
      <c r="D556" s="373"/>
      <c r="E556" s="373"/>
      <c r="F556" s="373"/>
      <c r="G556" s="374"/>
      <c r="H556" s="357"/>
      <c r="I556" s="358"/>
      <c r="J556" s="357"/>
      <c r="K556" s="358"/>
      <c r="L556" s="359"/>
      <c r="M556" s="307"/>
      <c r="N556" s="359"/>
      <c r="O556" s="307"/>
      <c r="P556" s="357"/>
      <c r="Q556" s="357"/>
      <c r="R556" s="357"/>
      <c r="S556" s="357"/>
      <c r="T556" s="357"/>
      <c r="U556" s="357"/>
      <c r="V556" s="357"/>
      <c r="W556" s="357"/>
    </row>
    <row r="557">
      <c r="A557" s="358"/>
      <c r="B557" s="357"/>
      <c r="C557" s="358"/>
      <c r="D557" s="373"/>
      <c r="E557" s="373"/>
      <c r="F557" s="373"/>
      <c r="G557" s="374"/>
      <c r="H557" s="357"/>
      <c r="I557" s="358"/>
      <c r="J557" s="357"/>
      <c r="K557" s="358"/>
      <c r="L557" s="359"/>
      <c r="M557" s="307"/>
      <c r="N557" s="359"/>
      <c r="O557" s="307"/>
      <c r="P557" s="357"/>
      <c r="Q557" s="357"/>
      <c r="R557" s="357"/>
      <c r="S557" s="357"/>
      <c r="T557" s="357"/>
      <c r="U557" s="357"/>
      <c r="V557" s="357"/>
      <c r="W557" s="357"/>
    </row>
    <row r="558">
      <c r="A558" s="358"/>
      <c r="B558" s="357"/>
      <c r="C558" s="358"/>
      <c r="D558" s="373"/>
      <c r="E558" s="373"/>
      <c r="F558" s="373"/>
      <c r="G558" s="374"/>
      <c r="H558" s="357"/>
      <c r="I558" s="358"/>
      <c r="J558" s="357"/>
      <c r="K558" s="358"/>
      <c r="L558" s="359"/>
      <c r="M558" s="307"/>
      <c r="N558" s="359"/>
      <c r="O558" s="307"/>
      <c r="P558" s="357"/>
      <c r="Q558" s="357"/>
      <c r="R558" s="357"/>
      <c r="S558" s="357"/>
      <c r="T558" s="357"/>
      <c r="U558" s="357"/>
      <c r="V558" s="357"/>
      <c r="W558" s="357"/>
    </row>
    <row r="559">
      <c r="A559" s="358"/>
      <c r="B559" s="357"/>
      <c r="C559" s="358"/>
      <c r="D559" s="373"/>
      <c r="E559" s="373"/>
      <c r="F559" s="373"/>
      <c r="G559" s="374"/>
      <c r="H559" s="357"/>
      <c r="I559" s="358"/>
      <c r="J559" s="357"/>
      <c r="K559" s="358"/>
      <c r="L559" s="359"/>
      <c r="M559" s="307"/>
      <c r="N559" s="359"/>
      <c r="O559" s="307"/>
      <c r="P559" s="357"/>
      <c r="Q559" s="357"/>
      <c r="R559" s="357"/>
      <c r="S559" s="357"/>
      <c r="T559" s="357"/>
      <c r="U559" s="357"/>
      <c r="V559" s="357"/>
      <c r="W559" s="357"/>
    </row>
    <row r="560">
      <c r="A560" s="358"/>
      <c r="B560" s="357"/>
      <c r="C560" s="358"/>
      <c r="D560" s="373"/>
      <c r="E560" s="373"/>
      <c r="F560" s="373"/>
      <c r="G560" s="374"/>
      <c r="H560" s="357"/>
      <c r="I560" s="358"/>
      <c r="J560" s="357"/>
      <c r="K560" s="358"/>
      <c r="L560" s="359"/>
      <c r="M560" s="307"/>
      <c r="N560" s="359"/>
      <c r="O560" s="307"/>
      <c r="P560" s="357"/>
      <c r="Q560" s="357"/>
      <c r="R560" s="357"/>
      <c r="S560" s="357"/>
      <c r="T560" s="357"/>
      <c r="U560" s="357"/>
      <c r="V560" s="357"/>
      <c r="W560" s="357"/>
    </row>
    <row r="561">
      <c r="A561" s="358"/>
      <c r="B561" s="357"/>
      <c r="C561" s="358"/>
      <c r="D561" s="373"/>
      <c r="E561" s="373"/>
      <c r="F561" s="373"/>
      <c r="G561" s="374"/>
      <c r="H561" s="357"/>
      <c r="I561" s="358"/>
      <c r="J561" s="357"/>
      <c r="K561" s="358"/>
      <c r="L561" s="359"/>
      <c r="M561" s="307"/>
      <c r="N561" s="359"/>
      <c r="O561" s="307"/>
      <c r="P561" s="357"/>
      <c r="Q561" s="357"/>
      <c r="R561" s="357"/>
      <c r="S561" s="357"/>
      <c r="T561" s="357"/>
      <c r="U561" s="357"/>
      <c r="V561" s="357"/>
      <c r="W561" s="357"/>
    </row>
    <row r="562">
      <c r="A562" s="358"/>
      <c r="B562" s="357"/>
      <c r="C562" s="358"/>
      <c r="D562" s="373"/>
      <c r="E562" s="373"/>
      <c r="F562" s="373"/>
      <c r="G562" s="374"/>
      <c r="H562" s="357"/>
      <c r="I562" s="358"/>
      <c r="J562" s="357"/>
      <c r="K562" s="358"/>
      <c r="L562" s="359"/>
      <c r="M562" s="307"/>
      <c r="N562" s="359"/>
      <c r="O562" s="307"/>
      <c r="P562" s="357"/>
      <c r="Q562" s="357"/>
      <c r="R562" s="357"/>
      <c r="S562" s="357"/>
      <c r="T562" s="357"/>
      <c r="U562" s="357"/>
      <c r="V562" s="357"/>
      <c r="W562" s="357"/>
    </row>
    <row r="563">
      <c r="A563" s="358"/>
      <c r="B563" s="357"/>
      <c r="C563" s="358"/>
      <c r="D563" s="373"/>
      <c r="E563" s="373"/>
      <c r="F563" s="373"/>
      <c r="G563" s="374"/>
      <c r="H563" s="357"/>
      <c r="I563" s="358"/>
      <c r="J563" s="357"/>
      <c r="K563" s="358"/>
      <c r="L563" s="359"/>
      <c r="M563" s="307"/>
      <c r="N563" s="359"/>
      <c r="O563" s="307"/>
      <c r="P563" s="357"/>
      <c r="Q563" s="357"/>
      <c r="R563" s="357"/>
      <c r="S563" s="357"/>
      <c r="T563" s="357"/>
      <c r="U563" s="357"/>
      <c r="V563" s="357"/>
      <c r="W563" s="357"/>
    </row>
    <row r="564">
      <c r="A564" s="358"/>
      <c r="B564" s="357"/>
      <c r="C564" s="358"/>
      <c r="D564" s="373"/>
      <c r="E564" s="373"/>
      <c r="F564" s="373"/>
      <c r="G564" s="374"/>
      <c r="H564" s="357"/>
      <c r="I564" s="358"/>
      <c r="J564" s="357"/>
      <c r="K564" s="358"/>
      <c r="L564" s="359"/>
      <c r="M564" s="307"/>
      <c r="N564" s="359"/>
      <c r="O564" s="307"/>
      <c r="P564" s="357"/>
      <c r="Q564" s="357"/>
      <c r="R564" s="357"/>
      <c r="S564" s="357"/>
      <c r="T564" s="357"/>
      <c r="U564" s="357"/>
      <c r="V564" s="357"/>
      <c r="W564" s="357"/>
    </row>
    <row r="565">
      <c r="A565" s="358"/>
      <c r="B565" s="357"/>
      <c r="C565" s="358"/>
      <c r="D565" s="373"/>
      <c r="E565" s="373"/>
      <c r="F565" s="373"/>
      <c r="G565" s="374"/>
      <c r="H565" s="357"/>
      <c r="I565" s="358"/>
      <c r="J565" s="357"/>
      <c r="K565" s="358"/>
      <c r="L565" s="359"/>
      <c r="M565" s="307"/>
      <c r="N565" s="359"/>
      <c r="O565" s="307"/>
      <c r="P565" s="357"/>
      <c r="Q565" s="357"/>
      <c r="R565" s="357"/>
      <c r="S565" s="357"/>
      <c r="T565" s="357"/>
      <c r="U565" s="357"/>
      <c r="V565" s="357"/>
      <c r="W565" s="357"/>
    </row>
    <row r="566">
      <c r="A566" s="358"/>
      <c r="B566" s="357"/>
      <c r="C566" s="358"/>
      <c r="D566" s="373"/>
      <c r="E566" s="373"/>
      <c r="F566" s="373"/>
      <c r="G566" s="374"/>
      <c r="H566" s="357"/>
      <c r="I566" s="358"/>
      <c r="J566" s="357"/>
      <c r="K566" s="358"/>
      <c r="L566" s="359"/>
      <c r="M566" s="307"/>
      <c r="N566" s="359"/>
      <c r="O566" s="307"/>
      <c r="P566" s="357"/>
      <c r="Q566" s="357"/>
      <c r="R566" s="357"/>
      <c r="S566" s="357"/>
      <c r="T566" s="357"/>
      <c r="U566" s="357"/>
      <c r="V566" s="357"/>
      <c r="W566" s="357"/>
    </row>
    <row r="567">
      <c r="A567" s="358"/>
      <c r="B567" s="357"/>
      <c r="C567" s="358"/>
      <c r="D567" s="373"/>
      <c r="E567" s="373"/>
      <c r="F567" s="373"/>
      <c r="G567" s="374"/>
      <c r="H567" s="357"/>
      <c r="I567" s="358"/>
      <c r="J567" s="357"/>
      <c r="K567" s="358"/>
      <c r="L567" s="359"/>
      <c r="M567" s="307"/>
      <c r="N567" s="359"/>
      <c r="O567" s="307"/>
      <c r="P567" s="357"/>
      <c r="Q567" s="357"/>
      <c r="R567" s="357"/>
      <c r="S567" s="357"/>
      <c r="T567" s="357"/>
      <c r="U567" s="357"/>
      <c r="V567" s="357"/>
      <c r="W567" s="357"/>
    </row>
    <row r="568">
      <c r="A568" s="358"/>
      <c r="B568" s="357"/>
      <c r="C568" s="358"/>
      <c r="D568" s="373"/>
      <c r="E568" s="373"/>
      <c r="F568" s="373"/>
      <c r="G568" s="374"/>
      <c r="H568" s="357"/>
      <c r="I568" s="358"/>
      <c r="J568" s="357"/>
      <c r="K568" s="358"/>
      <c r="L568" s="359"/>
      <c r="M568" s="307"/>
      <c r="N568" s="359"/>
      <c r="O568" s="307"/>
      <c r="P568" s="357"/>
      <c r="Q568" s="357"/>
      <c r="R568" s="357"/>
      <c r="S568" s="357"/>
      <c r="T568" s="357"/>
      <c r="U568" s="357"/>
      <c r="V568" s="357"/>
      <c r="W568" s="357"/>
    </row>
    <row r="569">
      <c r="A569" s="358"/>
      <c r="B569" s="357"/>
      <c r="C569" s="358"/>
      <c r="D569" s="373"/>
      <c r="E569" s="373"/>
      <c r="F569" s="373"/>
      <c r="G569" s="374"/>
      <c r="H569" s="357"/>
      <c r="I569" s="358"/>
      <c r="J569" s="357"/>
      <c r="K569" s="358"/>
      <c r="L569" s="359"/>
      <c r="M569" s="307"/>
      <c r="N569" s="359"/>
      <c r="O569" s="307"/>
      <c r="P569" s="357"/>
      <c r="Q569" s="357"/>
      <c r="R569" s="357"/>
      <c r="S569" s="357"/>
      <c r="T569" s="357"/>
      <c r="U569" s="357"/>
      <c r="V569" s="357"/>
      <c r="W569" s="357"/>
    </row>
    <row r="570">
      <c r="A570" s="358"/>
      <c r="B570" s="357"/>
      <c r="C570" s="358"/>
      <c r="D570" s="373"/>
      <c r="E570" s="373"/>
      <c r="F570" s="373"/>
      <c r="G570" s="374"/>
      <c r="H570" s="357"/>
      <c r="I570" s="358"/>
      <c r="J570" s="357"/>
      <c r="K570" s="358"/>
      <c r="L570" s="359"/>
      <c r="M570" s="307"/>
      <c r="N570" s="359"/>
      <c r="O570" s="307"/>
      <c r="P570" s="357"/>
      <c r="Q570" s="357"/>
      <c r="R570" s="357"/>
      <c r="S570" s="357"/>
      <c r="T570" s="357"/>
      <c r="U570" s="357"/>
      <c r="V570" s="357"/>
      <c r="W570" s="357"/>
    </row>
    <row r="571">
      <c r="A571" s="358"/>
      <c r="B571" s="357"/>
      <c r="C571" s="358"/>
      <c r="D571" s="373"/>
      <c r="E571" s="373"/>
      <c r="F571" s="373"/>
      <c r="G571" s="374"/>
      <c r="H571" s="357"/>
      <c r="I571" s="358"/>
      <c r="J571" s="357"/>
      <c r="K571" s="358"/>
      <c r="L571" s="359"/>
      <c r="M571" s="307"/>
      <c r="N571" s="359"/>
      <c r="O571" s="307"/>
      <c r="P571" s="357"/>
      <c r="Q571" s="357"/>
      <c r="R571" s="357"/>
      <c r="S571" s="357"/>
      <c r="T571" s="357"/>
      <c r="U571" s="357"/>
      <c r="V571" s="357"/>
      <c r="W571" s="357"/>
    </row>
    <row r="572">
      <c r="A572" s="358"/>
      <c r="B572" s="357"/>
      <c r="C572" s="358"/>
      <c r="D572" s="373"/>
      <c r="E572" s="373"/>
      <c r="F572" s="373"/>
      <c r="G572" s="374"/>
      <c r="H572" s="357"/>
      <c r="I572" s="358"/>
      <c r="J572" s="357"/>
      <c r="K572" s="358"/>
      <c r="L572" s="359"/>
      <c r="M572" s="307"/>
      <c r="N572" s="359"/>
      <c r="O572" s="307"/>
      <c r="P572" s="357"/>
      <c r="Q572" s="357"/>
      <c r="R572" s="357"/>
      <c r="S572" s="357"/>
      <c r="T572" s="357"/>
      <c r="U572" s="357"/>
      <c r="V572" s="357"/>
      <c r="W572" s="357"/>
    </row>
    <row r="573">
      <c r="A573" s="358"/>
      <c r="B573" s="357"/>
      <c r="C573" s="358"/>
      <c r="D573" s="373"/>
      <c r="E573" s="373"/>
      <c r="F573" s="373"/>
      <c r="G573" s="374"/>
      <c r="H573" s="357"/>
      <c r="I573" s="358"/>
      <c r="J573" s="357"/>
      <c r="K573" s="358"/>
      <c r="L573" s="359"/>
      <c r="M573" s="307"/>
      <c r="N573" s="359"/>
      <c r="O573" s="307"/>
      <c r="P573" s="357"/>
      <c r="Q573" s="357"/>
      <c r="R573" s="357"/>
      <c r="S573" s="357"/>
      <c r="T573" s="357"/>
      <c r="U573" s="357"/>
      <c r="V573" s="357"/>
      <c r="W573" s="357"/>
    </row>
    <row r="574">
      <c r="A574" s="358"/>
      <c r="B574" s="357"/>
      <c r="C574" s="358"/>
      <c r="D574" s="373"/>
      <c r="E574" s="373"/>
      <c r="F574" s="373"/>
      <c r="G574" s="374"/>
      <c r="H574" s="357"/>
      <c r="I574" s="358"/>
      <c r="J574" s="357"/>
      <c r="K574" s="358"/>
      <c r="L574" s="359"/>
      <c r="M574" s="307"/>
      <c r="N574" s="359"/>
      <c r="O574" s="307"/>
      <c r="P574" s="357"/>
      <c r="Q574" s="357"/>
      <c r="R574" s="357"/>
      <c r="S574" s="357"/>
      <c r="T574" s="357"/>
      <c r="U574" s="357"/>
      <c r="V574" s="357"/>
      <c r="W574" s="357"/>
    </row>
    <row r="575">
      <c r="A575" s="358"/>
      <c r="B575" s="357"/>
      <c r="C575" s="358"/>
      <c r="D575" s="373"/>
      <c r="E575" s="373"/>
      <c r="F575" s="373"/>
      <c r="G575" s="374"/>
      <c r="H575" s="357"/>
      <c r="I575" s="358"/>
      <c r="J575" s="357"/>
      <c r="K575" s="358"/>
      <c r="L575" s="359"/>
      <c r="M575" s="307"/>
      <c r="N575" s="359"/>
      <c r="O575" s="307"/>
      <c r="P575" s="357"/>
      <c r="Q575" s="357"/>
      <c r="R575" s="357"/>
      <c r="S575" s="357"/>
      <c r="T575" s="357"/>
      <c r="U575" s="357"/>
      <c r="V575" s="357"/>
      <c r="W575" s="357"/>
    </row>
    <row r="576">
      <c r="A576" s="358"/>
      <c r="B576" s="357"/>
      <c r="C576" s="358"/>
      <c r="D576" s="373"/>
      <c r="E576" s="373"/>
      <c r="F576" s="373"/>
      <c r="G576" s="374"/>
      <c r="H576" s="357"/>
      <c r="I576" s="358"/>
      <c r="J576" s="357"/>
      <c r="K576" s="358"/>
      <c r="L576" s="359"/>
      <c r="M576" s="307"/>
      <c r="N576" s="359"/>
      <c r="O576" s="307"/>
      <c r="P576" s="357"/>
      <c r="Q576" s="357"/>
      <c r="R576" s="357"/>
      <c r="S576" s="357"/>
      <c r="T576" s="357"/>
      <c r="U576" s="357"/>
      <c r="V576" s="357"/>
      <c r="W576" s="357"/>
    </row>
    <row r="577">
      <c r="A577" s="358"/>
      <c r="B577" s="357"/>
      <c r="C577" s="358"/>
      <c r="D577" s="373"/>
      <c r="E577" s="373"/>
      <c r="F577" s="373"/>
      <c r="G577" s="374"/>
      <c r="H577" s="357"/>
      <c r="I577" s="358"/>
      <c r="J577" s="357"/>
      <c r="K577" s="358"/>
      <c r="L577" s="359"/>
      <c r="M577" s="307"/>
      <c r="N577" s="359"/>
      <c r="O577" s="307"/>
      <c r="P577" s="357"/>
      <c r="Q577" s="357"/>
      <c r="R577" s="357"/>
      <c r="S577" s="357"/>
      <c r="T577" s="357"/>
      <c r="U577" s="357"/>
      <c r="V577" s="357"/>
      <c r="W577" s="357"/>
    </row>
    <row r="578">
      <c r="A578" s="358"/>
      <c r="B578" s="357"/>
      <c r="C578" s="358"/>
      <c r="D578" s="373"/>
      <c r="E578" s="373"/>
      <c r="F578" s="373"/>
      <c r="G578" s="374"/>
      <c r="H578" s="357"/>
      <c r="I578" s="358"/>
      <c r="J578" s="357"/>
      <c r="K578" s="358"/>
      <c r="L578" s="359"/>
      <c r="M578" s="307"/>
      <c r="N578" s="359"/>
      <c r="O578" s="307"/>
      <c r="P578" s="357"/>
      <c r="Q578" s="357"/>
      <c r="R578" s="357"/>
      <c r="S578" s="357"/>
      <c r="T578" s="357"/>
      <c r="U578" s="357"/>
      <c r="V578" s="357"/>
      <c r="W578" s="357"/>
    </row>
    <row r="579">
      <c r="A579" s="358"/>
      <c r="B579" s="357"/>
      <c r="C579" s="358"/>
      <c r="D579" s="373"/>
      <c r="E579" s="373"/>
      <c r="F579" s="373"/>
      <c r="G579" s="374"/>
      <c r="H579" s="357"/>
      <c r="I579" s="358"/>
      <c r="J579" s="357"/>
      <c r="K579" s="358"/>
      <c r="L579" s="359"/>
      <c r="M579" s="307"/>
      <c r="N579" s="359"/>
      <c r="O579" s="307"/>
      <c r="P579" s="357"/>
      <c r="Q579" s="357"/>
      <c r="R579" s="357"/>
      <c r="S579" s="357"/>
      <c r="T579" s="357"/>
      <c r="U579" s="357"/>
      <c r="V579" s="357"/>
      <c r="W579" s="357"/>
    </row>
    <row r="580">
      <c r="A580" s="358"/>
      <c r="B580" s="357"/>
      <c r="C580" s="358"/>
      <c r="D580" s="373"/>
      <c r="E580" s="373"/>
      <c r="F580" s="373"/>
      <c r="G580" s="374"/>
      <c r="H580" s="357"/>
      <c r="I580" s="358"/>
      <c r="J580" s="357"/>
      <c r="K580" s="358"/>
      <c r="L580" s="359"/>
      <c r="M580" s="307"/>
      <c r="N580" s="359"/>
      <c r="O580" s="307"/>
      <c r="P580" s="357"/>
      <c r="Q580" s="357"/>
      <c r="R580" s="357"/>
      <c r="S580" s="357"/>
      <c r="T580" s="357"/>
      <c r="U580" s="357"/>
      <c r="V580" s="357"/>
      <c r="W580" s="357"/>
    </row>
    <row r="581">
      <c r="A581" s="358"/>
      <c r="B581" s="357"/>
      <c r="C581" s="358"/>
      <c r="D581" s="373"/>
      <c r="E581" s="373"/>
      <c r="F581" s="373"/>
      <c r="G581" s="374"/>
      <c r="H581" s="357"/>
      <c r="I581" s="358"/>
      <c r="J581" s="357"/>
      <c r="K581" s="358"/>
      <c r="L581" s="359"/>
      <c r="M581" s="307"/>
      <c r="N581" s="359"/>
      <c r="O581" s="307"/>
      <c r="P581" s="357"/>
      <c r="Q581" s="357"/>
      <c r="R581" s="357"/>
      <c r="S581" s="357"/>
      <c r="T581" s="357"/>
      <c r="U581" s="357"/>
      <c r="V581" s="357"/>
      <c r="W581" s="357"/>
    </row>
    <row r="582">
      <c r="A582" s="358"/>
      <c r="B582" s="357"/>
      <c r="C582" s="358"/>
      <c r="D582" s="373"/>
      <c r="E582" s="373"/>
      <c r="F582" s="373"/>
      <c r="G582" s="374"/>
      <c r="H582" s="357"/>
      <c r="I582" s="358"/>
      <c r="J582" s="357"/>
      <c r="K582" s="358"/>
      <c r="L582" s="359"/>
      <c r="M582" s="307"/>
      <c r="N582" s="359"/>
      <c r="O582" s="307"/>
      <c r="P582" s="357"/>
      <c r="Q582" s="357"/>
      <c r="R582" s="357"/>
      <c r="S582" s="357"/>
      <c r="T582" s="357"/>
      <c r="U582" s="357"/>
      <c r="V582" s="357"/>
      <c r="W582" s="357"/>
    </row>
    <row r="583">
      <c r="A583" s="358"/>
      <c r="B583" s="357"/>
      <c r="C583" s="358"/>
      <c r="D583" s="373"/>
      <c r="E583" s="373"/>
      <c r="F583" s="373"/>
      <c r="G583" s="374"/>
      <c r="H583" s="357"/>
      <c r="I583" s="358"/>
      <c r="J583" s="357"/>
      <c r="K583" s="358"/>
      <c r="L583" s="359"/>
      <c r="M583" s="307"/>
      <c r="N583" s="359"/>
      <c r="O583" s="307"/>
      <c r="P583" s="357"/>
      <c r="Q583" s="357"/>
      <c r="R583" s="357"/>
      <c r="S583" s="357"/>
      <c r="T583" s="357"/>
      <c r="U583" s="357"/>
      <c r="V583" s="357"/>
      <c r="W583" s="357"/>
    </row>
    <row r="584">
      <c r="A584" s="358"/>
      <c r="B584" s="357"/>
      <c r="C584" s="358"/>
      <c r="D584" s="373"/>
      <c r="E584" s="373"/>
      <c r="F584" s="373"/>
      <c r="G584" s="374"/>
      <c r="H584" s="357"/>
      <c r="I584" s="358"/>
      <c r="J584" s="357"/>
      <c r="K584" s="358"/>
      <c r="L584" s="359"/>
      <c r="M584" s="307"/>
      <c r="N584" s="359"/>
      <c r="O584" s="307"/>
      <c r="P584" s="357"/>
      <c r="Q584" s="357"/>
      <c r="R584" s="357"/>
      <c r="S584" s="357"/>
      <c r="T584" s="357"/>
      <c r="U584" s="357"/>
      <c r="V584" s="357"/>
      <c r="W584" s="357"/>
    </row>
    <row r="585">
      <c r="A585" s="358"/>
      <c r="B585" s="357"/>
      <c r="C585" s="358"/>
      <c r="D585" s="373"/>
      <c r="E585" s="373"/>
      <c r="F585" s="373"/>
      <c r="G585" s="374"/>
      <c r="H585" s="357"/>
      <c r="I585" s="358"/>
      <c r="J585" s="357"/>
      <c r="K585" s="358"/>
      <c r="L585" s="359"/>
      <c r="M585" s="307"/>
      <c r="N585" s="359"/>
      <c r="O585" s="307"/>
      <c r="P585" s="357"/>
      <c r="Q585" s="357"/>
      <c r="R585" s="357"/>
      <c r="S585" s="357"/>
      <c r="T585" s="357"/>
      <c r="U585" s="357"/>
      <c r="V585" s="357"/>
      <c r="W585" s="357"/>
    </row>
    <row r="586">
      <c r="A586" s="358"/>
      <c r="B586" s="357"/>
      <c r="C586" s="358"/>
      <c r="D586" s="373"/>
      <c r="E586" s="373"/>
      <c r="F586" s="373"/>
      <c r="G586" s="374"/>
      <c r="H586" s="357"/>
      <c r="I586" s="358"/>
      <c r="J586" s="357"/>
      <c r="K586" s="358"/>
      <c r="L586" s="359"/>
      <c r="M586" s="307"/>
      <c r="N586" s="359"/>
      <c r="O586" s="307"/>
      <c r="P586" s="357"/>
      <c r="Q586" s="357"/>
      <c r="R586" s="357"/>
      <c r="S586" s="357"/>
      <c r="T586" s="357"/>
      <c r="U586" s="357"/>
      <c r="V586" s="357"/>
      <c r="W586" s="357"/>
    </row>
    <row r="587">
      <c r="A587" s="358"/>
      <c r="B587" s="357"/>
      <c r="C587" s="358"/>
      <c r="D587" s="373"/>
      <c r="E587" s="373"/>
      <c r="F587" s="373"/>
      <c r="G587" s="374"/>
      <c r="H587" s="357"/>
      <c r="I587" s="358"/>
      <c r="J587" s="357"/>
      <c r="K587" s="358"/>
      <c r="L587" s="359"/>
      <c r="M587" s="307"/>
      <c r="N587" s="359"/>
      <c r="O587" s="307"/>
      <c r="P587" s="357"/>
      <c r="Q587" s="357"/>
      <c r="R587" s="357"/>
      <c r="S587" s="357"/>
      <c r="T587" s="357"/>
      <c r="U587" s="357"/>
      <c r="V587" s="357"/>
      <c r="W587" s="357"/>
    </row>
    <row r="588">
      <c r="A588" s="358"/>
      <c r="B588" s="357"/>
      <c r="C588" s="358"/>
      <c r="D588" s="373"/>
      <c r="E588" s="373"/>
      <c r="F588" s="373"/>
      <c r="G588" s="374"/>
      <c r="H588" s="357"/>
      <c r="I588" s="358"/>
      <c r="J588" s="357"/>
      <c r="K588" s="358"/>
      <c r="L588" s="359"/>
      <c r="M588" s="307"/>
      <c r="N588" s="359"/>
      <c r="O588" s="307"/>
      <c r="P588" s="357"/>
      <c r="Q588" s="357"/>
      <c r="R588" s="357"/>
      <c r="S588" s="357"/>
      <c r="T588" s="357"/>
      <c r="U588" s="357"/>
      <c r="V588" s="357"/>
      <c r="W588" s="357"/>
    </row>
    <row r="589">
      <c r="A589" s="358"/>
      <c r="B589" s="357"/>
      <c r="C589" s="358"/>
      <c r="D589" s="373"/>
      <c r="E589" s="373"/>
      <c r="F589" s="373"/>
      <c r="G589" s="374"/>
      <c r="H589" s="357"/>
      <c r="I589" s="358"/>
      <c r="J589" s="357"/>
      <c r="K589" s="358"/>
      <c r="L589" s="359"/>
      <c r="M589" s="307"/>
      <c r="N589" s="359"/>
      <c r="O589" s="307"/>
      <c r="P589" s="357"/>
      <c r="Q589" s="357"/>
      <c r="R589" s="357"/>
      <c r="S589" s="357"/>
      <c r="T589" s="357"/>
      <c r="U589" s="357"/>
      <c r="V589" s="357"/>
      <c r="W589" s="357"/>
    </row>
    <row r="590">
      <c r="A590" s="358"/>
      <c r="B590" s="357"/>
      <c r="C590" s="358"/>
      <c r="D590" s="373"/>
      <c r="E590" s="373"/>
      <c r="F590" s="373"/>
      <c r="G590" s="374"/>
      <c r="H590" s="357"/>
      <c r="I590" s="358"/>
      <c r="J590" s="357"/>
      <c r="K590" s="358"/>
      <c r="L590" s="359"/>
      <c r="M590" s="307"/>
      <c r="N590" s="359"/>
      <c r="O590" s="307"/>
      <c r="P590" s="357"/>
      <c r="Q590" s="357"/>
      <c r="R590" s="357"/>
      <c r="S590" s="357"/>
      <c r="T590" s="357"/>
      <c r="U590" s="357"/>
      <c r="V590" s="357"/>
      <c r="W590" s="357"/>
    </row>
    <row r="591">
      <c r="A591" s="358"/>
      <c r="B591" s="357"/>
      <c r="C591" s="358"/>
      <c r="D591" s="373"/>
      <c r="E591" s="373"/>
      <c r="F591" s="373"/>
      <c r="G591" s="374"/>
      <c r="H591" s="357"/>
      <c r="I591" s="358"/>
      <c r="J591" s="357"/>
      <c r="K591" s="358"/>
      <c r="L591" s="359"/>
      <c r="M591" s="307"/>
      <c r="N591" s="359"/>
      <c r="O591" s="307"/>
      <c r="P591" s="357"/>
      <c r="Q591" s="357"/>
      <c r="R591" s="357"/>
      <c r="S591" s="357"/>
      <c r="T591" s="357"/>
      <c r="U591" s="357"/>
      <c r="V591" s="357"/>
      <c r="W591" s="357"/>
    </row>
    <row r="592">
      <c r="A592" s="358"/>
      <c r="B592" s="357"/>
      <c r="C592" s="358"/>
      <c r="D592" s="373"/>
      <c r="E592" s="373"/>
      <c r="F592" s="373"/>
      <c r="G592" s="374"/>
      <c r="H592" s="357"/>
      <c r="I592" s="358"/>
      <c r="J592" s="357"/>
      <c r="K592" s="358"/>
      <c r="L592" s="359"/>
      <c r="M592" s="307"/>
      <c r="N592" s="359"/>
      <c r="O592" s="307"/>
      <c r="P592" s="357"/>
      <c r="Q592" s="357"/>
      <c r="R592" s="357"/>
      <c r="S592" s="357"/>
      <c r="T592" s="357"/>
      <c r="U592" s="357"/>
      <c r="V592" s="357"/>
      <c r="W592" s="357"/>
    </row>
    <row r="593">
      <c r="A593" s="358"/>
      <c r="B593" s="357"/>
      <c r="C593" s="358"/>
      <c r="D593" s="373"/>
      <c r="E593" s="373"/>
      <c r="F593" s="373"/>
      <c r="G593" s="374"/>
      <c r="H593" s="357"/>
      <c r="I593" s="358"/>
      <c r="J593" s="357"/>
      <c r="K593" s="358"/>
      <c r="L593" s="359"/>
      <c r="M593" s="307"/>
      <c r="N593" s="359"/>
      <c r="O593" s="307"/>
      <c r="P593" s="357"/>
      <c r="Q593" s="357"/>
      <c r="R593" s="357"/>
      <c r="S593" s="357"/>
      <c r="T593" s="357"/>
      <c r="U593" s="357"/>
      <c r="V593" s="357"/>
      <c r="W593" s="357"/>
    </row>
    <row r="594">
      <c r="A594" s="358"/>
      <c r="B594" s="357"/>
      <c r="C594" s="358"/>
      <c r="D594" s="373"/>
      <c r="E594" s="373"/>
      <c r="F594" s="373"/>
      <c r="G594" s="374"/>
      <c r="H594" s="357"/>
      <c r="I594" s="358"/>
      <c r="J594" s="357"/>
      <c r="K594" s="358"/>
      <c r="L594" s="359"/>
      <c r="M594" s="307"/>
      <c r="N594" s="359"/>
      <c r="O594" s="307"/>
      <c r="P594" s="357"/>
      <c r="Q594" s="357"/>
      <c r="R594" s="357"/>
      <c r="S594" s="357"/>
      <c r="T594" s="357"/>
      <c r="U594" s="357"/>
      <c r="V594" s="357"/>
      <c r="W594" s="357"/>
    </row>
    <row r="595">
      <c r="A595" s="358"/>
      <c r="B595" s="357"/>
      <c r="C595" s="358"/>
      <c r="D595" s="373"/>
      <c r="E595" s="373"/>
      <c r="F595" s="373"/>
      <c r="G595" s="374"/>
      <c r="H595" s="357"/>
      <c r="I595" s="358"/>
      <c r="J595" s="357"/>
      <c r="K595" s="358"/>
      <c r="L595" s="359"/>
      <c r="M595" s="307"/>
      <c r="N595" s="359"/>
      <c r="O595" s="307"/>
      <c r="P595" s="357"/>
      <c r="Q595" s="357"/>
      <c r="R595" s="357"/>
      <c r="S595" s="357"/>
      <c r="T595" s="357"/>
      <c r="U595" s="357"/>
      <c r="V595" s="357"/>
      <c r="W595" s="357"/>
    </row>
    <row r="596">
      <c r="A596" s="358"/>
      <c r="B596" s="357"/>
      <c r="C596" s="358"/>
      <c r="D596" s="373"/>
      <c r="E596" s="373"/>
      <c r="F596" s="373"/>
      <c r="G596" s="374"/>
      <c r="H596" s="357"/>
      <c r="I596" s="358"/>
      <c r="J596" s="357"/>
      <c r="K596" s="358"/>
      <c r="L596" s="359"/>
      <c r="M596" s="307"/>
      <c r="N596" s="359"/>
      <c r="O596" s="307"/>
      <c r="P596" s="357"/>
      <c r="Q596" s="357"/>
      <c r="R596" s="357"/>
      <c r="S596" s="357"/>
      <c r="T596" s="357"/>
      <c r="U596" s="357"/>
      <c r="V596" s="357"/>
      <c r="W596" s="357"/>
    </row>
    <row r="597">
      <c r="A597" s="358"/>
      <c r="B597" s="357"/>
      <c r="C597" s="358"/>
      <c r="D597" s="373"/>
      <c r="E597" s="373"/>
      <c r="F597" s="373"/>
      <c r="G597" s="374"/>
      <c r="H597" s="357"/>
      <c r="I597" s="358"/>
      <c r="J597" s="357"/>
      <c r="K597" s="358"/>
      <c r="L597" s="359"/>
      <c r="M597" s="307"/>
      <c r="N597" s="359"/>
      <c r="O597" s="307"/>
      <c r="P597" s="357"/>
      <c r="Q597" s="357"/>
      <c r="R597" s="357"/>
      <c r="S597" s="357"/>
      <c r="T597" s="357"/>
      <c r="U597" s="357"/>
      <c r="V597" s="357"/>
      <c r="W597" s="357"/>
    </row>
    <row r="598">
      <c r="A598" s="358"/>
      <c r="B598" s="357"/>
      <c r="C598" s="358"/>
      <c r="D598" s="373"/>
      <c r="E598" s="373"/>
      <c r="F598" s="373"/>
      <c r="G598" s="374"/>
      <c r="H598" s="357"/>
      <c r="I598" s="358"/>
      <c r="J598" s="357"/>
      <c r="K598" s="358"/>
      <c r="L598" s="359"/>
      <c r="M598" s="307"/>
      <c r="N598" s="359"/>
      <c r="O598" s="307"/>
      <c r="P598" s="357"/>
      <c r="Q598" s="357"/>
      <c r="R598" s="357"/>
      <c r="S598" s="357"/>
      <c r="T598" s="357"/>
      <c r="U598" s="357"/>
      <c r="V598" s="357"/>
      <c r="W598" s="357"/>
    </row>
    <row r="599">
      <c r="A599" s="358"/>
      <c r="B599" s="357"/>
      <c r="C599" s="358"/>
      <c r="D599" s="373"/>
      <c r="E599" s="373"/>
      <c r="F599" s="373"/>
      <c r="G599" s="374"/>
      <c r="H599" s="357"/>
      <c r="I599" s="358"/>
      <c r="J599" s="357"/>
      <c r="K599" s="358"/>
      <c r="L599" s="359"/>
      <c r="M599" s="307"/>
      <c r="N599" s="359"/>
      <c r="O599" s="307"/>
      <c r="P599" s="357"/>
      <c r="Q599" s="357"/>
      <c r="R599" s="357"/>
      <c r="S599" s="357"/>
      <c r="T599" s="357"/>
      <c r="U599" s="357"/>
      <c r="V599" s="357"/>
      <c r="W599" s="357"/>
    </row>
    <row r="600">
      <c r="A600" s="358"/>
      <c r="B600" s="357"/>
      <c r="C600" s="358"/>
      <c r="D600" s="373"/>
      <c r="E600" s="373"/>
      <c r="F600" s="373"/>
      <c r="G600" s="374"/>
      <c r="H600" s="357"/>
      <c r="I600" s="358"/>
      <c r="J600" s="357"/>
      <c r="K600" s="358"/>
      <c r="L600" s="359"/>
      <c r="M600" s="307"/>
      <c r="N600" s="359"/>
      <c r="O600" s="307"/>
      <c r="P600" s="357"/>
      <c r="Q600" s="357"/>
      <c r="R600" s="357"/>
      <c r="S600" s="357"/>
      <c r="T600" s="357"/>
      <c r="U600" s="357"/>
      <c r="V600" s="357"/>
      <c r="W600" s="357"/>
    </row>
    <row r="601">
      <c r="A601" s="358"/>
      <c r="B601" s="357"/>
      <c r="C601" s="358"/>
      <c r="D601" s="373"/>
      <c r="E601" s="373"/>
      <c r="F601" s="373"/>
      <c r="G601" s="374"/>
      <c r="H601" s="357"/>
      <c r="I601" s="358"/>
      <c r="J601" s="357"/>
      <c r="K601" s="358"/>
      <c r="L601" s="359"/>
      <c r="M601" s="307"/>
      <c r="N601" s="359"/>
      <c r="O601" s="307"/>
      <c r="P601" s="357"/>
      <c r="Q601" s="357"/>
      <c r="R601" s="357"/>
      <c r="S601" s="357"/>
      <c r="T601" s="357"/>
      <c r="U601" s="357"/>
      <c r="V601" s="357"/>
      <c r="W601" s="357"/>
    </row>
    <row r="602">
      <c r="A602" s="358"/>
      <c r="B602" s="357"/>
      <c r="C602" s="358"/>
      <c r="D602" s="373"/>
      <c r="E602" s="373"/>
      <c r="F602" s="373"/>
      <c r="G602" s="374"/>
      <c r="H602" s="357"/>
      <c r="I602" s="358"/>
      <c r="J602" s="357"/>
      <c r="K602" s="358"/>
      <c r="L602" s="359"/>
      <c r="M602" s="307"/>
      <c r="N602" s="359"/>
      <c r="O602" s="307"/>
      <c r="P602" s="357"/>
      <c r="Q602" s="357"/>
      <c r="R602" s="357"/>
      <c r="S602" s="357"/>
      <c r="T602" s="357"/>
      <c r="U602" s="357"/>
      <c r="V602" s="357"/>
      <c r="W602" s="357"/>
    </row>
    <row r="603">
      <c r="A603" s="358"/>
      <c r="B603" s="357"/>
      <c r="C603" s="358"/>
      <c r="D603" s="373"/>
      <c r="E603" s="373"/>
      <c r="F603" s="373"/>
      <c r="G603" s="374"/>
      <c r="H603" s="357"/>
      <c r="I603" s="358"/>
      <c r="J603" s="357"/>
      <c r="K603" s="358"/>
      <c r="L603" s="359"/>
      <c r="M603" s="307"/>
      <c r="N603" s="359"/>
      <c r="O603" s="307"/>
      <c r="P603" s="357"/>
      <c r="Q603" s="357"/>
      <c r="R603" s="357"/>
      <c r="S603" s="357"/>
      <c r="T603" s="357"/>
      <c r="U603" s="357"/>
      <c r="V603" s="357"/>
      <c r="W603" s="357"/>
    </row>
    <row r="604">
      <c r="A604" s="358"/>
      <c r="B604" s="357"/>
      <c r="C604" s="358"/>
      <c r="D604" s="373"/>
      <c r="E604" s="373"/>
      <c r="F604" s="373"/>
      <c r="G604" s="374"/>
      <c r="H604" s="357"/>
      <c r="I604" s="358"/>
      <c r="J604" s="357"/>
      <c r="K604" s="358"/>
      <c r="L604" s="359"/>
      <c r="M604" s="307"/>
      <c r="N604" s="359"/>
      <c r="O604" s="307"/>
      <c r="P604" s="357"/>
      <c r="Q604" s="357"/>
      <c r="R604" s="357"/>
      <c r="S604" s="357"/>
      <c r="T604" s="357"/>
      <c r="U604" s="357"/>
      <c r="V604" s="357"/>
      <c r="W604" s="357"/>
    </row>
    <row r="605">
      <c r="A605" s="358"/>
      <c r="B605" s="357"/>
      <c r="C605" s="358"/>
      <c r="D605" s="373"/>
      <c r="E605" s="373"/>
      <c r="F605" s="373"/>
      <c r="G605" s="374"/>
      <c r="H605" s="357"/>
      <c r="I605" s="358"/>
      <c r="J605" s="357"/>
      <c r="K605" s="358"/>
      <c r="L605" s="359"/>
      <c r="M605" s="307"/>
      <c r="N605" s="359"/>
      <c r="O605" s="307"/>
      <c r="P605" s="357"/>
      <c r="Q605" s="357"/>
      <c r="R605" s="357"/>
      <c r="S605" s="357"/>
      <c r="T605" s="357"/>
      <c r="U605" s="357"/>
      <c r="V605" s="357"/>
      <c r="W605" s="357"/>
    </row>
    <row r="606">
      <c r="A606" s="358"/>
      <c r="B606" s="357"/>
      <c r="C606" s="358"/>
      <c r="D606" s="373"/>
      <c r="E606" s="373"/>
      <c r="F606" s="373"/>
      <c r="G606" s="374"/>
      <c r="H606" s="357"/>
      <c r="I606" s="358"/>
      <c r="J606" s="357"/>
      <c r="K606" s="358"/>
      <c r="L606" s="359"/>
      <c r="M606" s="307"/>
      <c r="N606" s="359"/>
      <c r="O606" s="307"/>
      <c r="P606" s="357"/>
      <c r="Q606" s="357"/>
      <c r="R606" s="357"/>
      <c r="S606" s="357"/>
      <c r="T606" s="357"/>
      <c r="U606" s="357"/>
      <c r="V606" s="357"/>
      <c r="W606" s="357"/>
    </row>
    <row r="607">
      <c r="A607" s="358"/>
      <c r="B607" s="357"/>
      <c r="C607" s="358"/>
      <c r="D607" s="373"/>
      <c r="E607" s="373"/>
      <c r="F607" s="373"/>
      <c r="G607" s="374"/>
      <c r="H607" s="357"/>
      <c r="I607" s="358"/>
      <c r="J607" s="357"/>
      <c r="K607" s="358"/>
      <c r="L607" s="359"/>
      <c r="M607" s="307"/>
      <c r="N607" s="359"/>
      <c r="O607" s="307"/>
      <c r="P607" s="357"/>
      <c r="Q607" s="357"/>
      <c r="R607" s="357"/>
      <c r="S607" s="357"/>
      <c r="T607" s="357"/>
      <c r="U607" s="357"/>
      <c r="V607" s="357"/>
      <c r="W607" s="357"/>
    </row>
    <row r="608">
      <c r="A608" s="358"/>
      <c r="B608" s="357"/>
      <c r="C608" s="358"/>
      <c r="D608" s="373"/>
      <c r="E608" s="373"/>
      <c r="F608" s="373"/>
      <c r="G608" s="374"/>
      <c r="H608" s="357"/>
      <c r="I608" s="358"/>
      <c r="J608" s="357"/>
      <c r="K608" s="358"/>
      <c r="L608" s="359"/>
      <c r="M608" s="307"/>
      <c r="N608" s="359"/>
      <c r="O608" s="307"/>
      <c r="P608" s="357"/>
      <c r="Q608" s="357"/>
      <c r="R608" s="357"/>
      <c r="S608" s="357"/>
      <c r="T608" s="357"/>
      <c r="U608" s="357"/>
      <c r="V608" s="357"/>
      <c r="W608" s="357"/>
    </row>
    <row r="609">
      <c r="A609" s="358"/>
      <c r="B609" s="357"/>
      <c r="C609" s="358"/>
      <c r="D609" s="373"/>
      <c r="E609" s="373"/>
      <c r="F609" s="373"/>
      <c r="G609" s="374"/>
      <c r="H609" s="357"/>
      <c r="I609" s="358"/>
      <c r="J609" s="357"/>
      <c r="K609" s="358"/>
      <c r="L609" s="359"/>
      <c r="M609" s="307"/>
      <c r="N609" s="359"/>
      <c r="O609" s="307"/>
      <c r="P609" s="357"/>
      <c r="Q609" s="357"/>
      <c r="R609" s="357"/>
      <c r="S609" s="357"/>
      <c r="T609" s="357"/>
      <c r="U609" s="357"/>
      <c r="V609" s="357"/>
      <c r="W609" s="357"/>
    </row>
    <row r="610">
      <c r="A610" s="358"/>
      <c r="B610" s="357"/>
      <c r="C610" s="358"/>
      <c r="D610" s="373"/>
      <c r="E610" s="373"/>
      <c r="F610" s="373"/>
      <c r="G610" s="374"/>
      <c r="H610" s="357"/>
      <c r="I610" s="358"/>
      <c r="J610" s="357"/>
      <c r="K610" s="358"/>
      <c r="L610" s="359"/>
      <c r="M610" s="307"/>
      <c r="N610" s="359"/>
      <c r="O610" s="307"/>
      <c r="P610" s="357"/>
      <c r="Q610" s="357"/>
      <c r="R610" s="357"/>
      <c r="S610" s="357"/>
      <c r="T610" s="357"/>
      <c r="U610" s="357"/>
      <c r="V610" s="357"/>
      <c r="W610" s="357"/>
    </row>
    <row r="611">
      <c r="A611" s="358"/>
      <c r="B611" s="357"/>
      <c r="C611" s="358"/>
      <c r="D611" s="373"/>
      <c r="E611" s="373"/>
      <c r="F611" s="373"/>
      <c r="G611" s="374"/>
      <c r="H611" s="357"/>
      <c r="I611" s="358"/>
      <c r="J611" s="357"/>
      <c r="K611" s="358"/>
      <c r="L611" s="359"/>
      <c r="M611" s="307"/>
      <c r="N611" s="359"/>
      <c r="O611" s="307"/>
      <c r="P611" s="357"/>
      <c r="Q611" s="357"/>
      <c r="R611" s="357"/>
      <c r="S611" s="357"/>
      <c r="T611" s="357"/>
      <c r="U611" s="357"/>
      <c r="V611" s="357"/>
      <c r="W611" s="357"/>
    </row>
    <row r="612">
      <c r="A612" s="358"/>
      <c r="B612" s="357"/>
      <c r="C612" s="358"/>
      <c r="D612" s="373"/>
      <c r="E612" s="373"/>
      <c r="F612" s="373"/>
      <c r="G612" s="374"/>
      <c r="H612" s="357"/>
      <c r="I612" s="358"/>
      <c r="J612" s="357"/>
      <c r="K612" s="358"/>
      <c r="L612" s="359"/>
      <c r="M612" s="307"/>
      <c r="N612" s="359"/>
      <c r="O612" s="307"/>
      <c r="P612" s="357"/>
      <c r="Q612" s="357"/>
      <c r="R612" s="357"/>
      <c r="S612" s="357"/>
      <c r="T612" s="357"/>
      <c r="U612" s="357"/>
      <c r="V612" s="357"/>
      <c r="W612" s="357"/>
    </row>
    <row r="613">
      <c r="A613" s="358"/>
      <c r="B613" s="357"/>
      <c r="C613" s="358"/>
      <c r="D613" s="373"/>
      <c r="E613" s="373"/>
      <c r="F613" s="373"/>
      <c r="G613" s="374"/>
      <c r="H613" s="357"/>
      <c r="I613" s="358"/>
      <c r="J613" s="357"/>
      <c r="K613" s="358"/>
      <c r="L613" s="359"/>
      <c r="M613" s="307"/>
      <c r="N613" s="359"/>
      <c r="O613" s="307"/>
      <c r="P613" s="357"/>
      <c r="Q613" s="357"/>
      <c r="R613" s="357"/>
      <c r="S613" s="357"/>
      <c r="T613" s="357"/>
      <c r="U613" s="357"/>
      <c r="V613" s="357"/>
      <c r="W613" s="357"/>
    </row>
    <row r="614">
      <c r="A614" s="358"/>
      <c r="B614" s="357"/>
      <c r="C614" s="358"/>
      <c r="D614" s="373"/>
      <c r="E614" s="373"/>
      <c r="F614" s="373"/>
      <c r="G614" s="374"/>
      <c r="H614" s="357"/>
      <c r="I614" s="358"/>
      <c r="J614" s="357"/>
      <c r="K614" s="358"/>
      <c r="L614" s="359"/>
      <c r="M614" s="307"/>
      <c r="N614" s="359"/>
      <c r="O614" s="307"/>
      <c r="P614" s="357"/>
      <c r="Q614" s="357"/>
      <c r="R614" s="357"/>
      <c r="S614" s="357"/>
      <c r="T614" s="357"/>
      <c r="U614" s="357"/>
      <c r="V614" s="357"/>
      <c r="W614" s="357"/>
    </row>
    <row r="615">
      <c r="A615" s="358"/>
      <c r="B615" s="357"/>
      <c r="C615" s="358"/>
      <c r="D615" s="373"/>
      <c r="E615" s="373"/>
      <c r="F615" s="373"/>
      <c r="G615" s="374"/>
      <c r="H615" s="357"/>
      <c r="I615" s="358"/>
      <c r="J615" s="357"/>
      <c r="K615" s="358"/>
      <c r="L615" s="359"/>
      <c r="M615" s="307"/>
      <c r="N615" s="359"/>
      <c r="O615" s="307"/>
      <c r="P615" s="357"/>
      <c r="Q615" s="357"/>
      <c r="R615" s="357"/>
      <c r="S615" s="357"/>
      <c r="T615" s="357"/>
      <c r="U615" s="357"/>
      <c r="V615" s="357"/>
      <c r="W615" s="357"/>
    </row>
    <row r="616">
      <c r="A616" s="358"/>
      <c r="B616" s="357"/>
      <c r="C616" s="358"/>
      <c r="D616" s="373"/>
      <c r="E616" s="373"/>
      <c r="F616" s="373"/>
      <c r="G616" s="374"/>
      <c r="H616" s="357"/>
      <c r="I616" s="358"/>
      <c r="J616" s="357"/>
      <c r="K616" s="358"/>
      <c r="L616" s="359"/>
      <c r="M616" s="307"/>
      <c r="N616" s="359"/>
      <c r="O616" s="307"/>
      <c r="P616" s="357"/>
      <c r="Q616" s="357"/>
      <c r="R616" s="357"/>
      <c r="S616" s="357"/>
      <c r="T616" s="357"/>
      <c r="U616" s="357"/>
      <c r="V616" s="357"/>
      <c r="W616" s="357"/>
    </row>
    <row r="617">
      <c r="A617" s="358"/>
      <c r="B617" s="357"/>
      <c r="C617" s="358"/>
      <c r="D617" s="373"/>
      <c r="E617" s="373"/>
      <c r="F617" s="373"/>
      <c r="G617" s="374"/>
      <c r="H617" s="357"/>
      <c r="I617" s="358"/>
      <c r="J617" s="357"/>
      <c r="K617" s="358"/>
      <c r="L617" s="359"/>
      <c r="M617" s="307"/>
      <c r="N617" s="359"/>
      <c r="O617" s="307"/>
      <c r="P617" s="357"/>
      <c r="Q617" s="357"/>
      <c r="R617" s="357"/>
      <c r="S617" s="357"/>
      <c r="T617" s="357"/>
      <c r="U617" s="357"/>
      <c r="V617" s="357"/>
      <c r="W617" s="357"/>
    </row>
    <row r="618">
      <c r="A618" s="358"/>
      <c r="B618" s="357"/>
      <c r="C618" s="358"/>
      <c r="D618" s="373"/>
      <c r="E618" s="373"/>
      <c r="F618" s="373"/>
      <c r="G618" s="374"/>
      <c r="H618" s="357"/>
      <c r="I618" s="358"/>
      <c r="J618" s="357"/>
      <c r="K618" s="358"/>
      <c r="L618" s="359"/>
      <c r="M618" s="307"/>
      <c r="N618" s="359"/>
      <c r="O618" s="307"/>
      <c r="P618" s="357"/>
      <c r="Q618" s="357"/>
      <c r="R618" s="357"/>
      <c r="S618" s="357"/>
      <c r="T618" s="357"/>
      <c r="U618" s="357"/>
      <c r="V618" s="357"/>
      <c r="W618" s="357"/>
    </row>
    <row r="619">
      <c r="A619" s="358"/>
      <c r="B619" s="357"/>
      <c r="C619" s="358"/>
      <c r="D619" s="373"/>
      <c r="E619" s="373"/>
      <c r="F619" s="373"/>
      <c r="G619" s="374"/>
      <c r="H619" s="357"/>
      <c r="I619" s="358"/>
      <c r="J619" s="357"/>
      <c r="K619" s="358"/>
      <c r="L619" s="359"/>
      <c r="M619" s="307"/>
      <c r="N619" s="359"/>
      <c r="O619" s="307"/>
      <c r="P619" s="357"/>
      <c r="Q619" s="357"/>
      <c r="R619" s="357"/>
      <c r="S619" s="357"/>
      <c r="T619" s="357"/>
      <c r="U619" s="357"/>
      <c r="V619" s="357"/>
      <c r="W619" s="357"/>
    </row>
    <row r="620">
      <c r="A620" s="358"/>
      <c r="B620" s="357"/>
      <c r="C620" s="358"/>
      <c r="D620" s="373"/>
      <c r="E620" s="373"/>
      <c r="F620" s="373"/>
      <c r="G620" s="374"/>
      <c r="H620" s="357"/>
      <c r="I620" s="358"/>
      <c r="J620" s="357"/>
      <c r="K620" s="358"/>
      <c r="L620" s="359"/>
      <c r="M620" s="307"/>
      <c r="N620" s="359"/>
      <c r="O620" s="307"/>
      <c r="P620" s="357"/>
      <c r="Q620" s="357"/>
      <c r="R620" s="357"/>
      <c r="S620" s="357"/>
      <c r="T620" s="357"/>
      <c r="U620" s="357"/>
      <c r="V620" s="357"/>
      <c r="W620" s="357"/>
    </row>
    <row r="621">
      <c r="A621" s="358"/>
      <c r="B621" s="357"/>
      <c r="C621" s="358"/>
      <c r="D621" s="373"/>
      <c r="E621" s="373"/>
      <c r="F621" s="373"/>
      <c r="G621" s="374"/>
      <c r="H621" s="357"/>
      <c r="I621" s="358"/>
      <c r="J621" s="357"/>
      <c r="K621" s="358"/>
      <c r="L621" s="359"/>
      <c r="M621" s="307"/>
      <c r="N621" s="359"/>
      <c r="O621" s="307"/>
      <c r="P621" s="357"/>
      <c r="Q621" s="357"/>
      <c r="R621" s="357"/>
      <c r="S621" s="357"/>
      <c r="T621" s="357"/>
      <c r="U621" s="357"/>
      <c r="V621" s="357"/>
      <c r="W621" s="357"/>
    </row>
    <row r="622">
      <c r="A622" s="358"/>
      <c r="B622" s="357"/>
      <c r="C622" s="358"/>
      <c r="D622" s="373"/>
      <c r="E622" s="373"/>
      <c r="F622" s="373"/>
      <c r="G622" s="374"/>
      <c r="H622" s="357"/>
      <c r="I622" s="358"/>
      <c r="J622" s="357"/>
      <c r="K622" s="358"/>
      <c r="L622" s="359"/>
      <c r="M622" s="307"/>
      <c r="N622" s="359"/>
      <c r="O622" s="307"/>
      <c r="P622" s="357"/>
      <c r="Q622" s="357"/>
      <c r="R622" s="357"/>
      <c r="S622" s="357"/>
      <c r="T622" s="357"/>
      <c r="U622" s="357"/>
      <c r="V622" s="357"/>
      <c r="W622" s="357"/>
    </row>
    <row r="623">
      <c r="A623" s="358"/>
      <c r="B623" s="357"/>
      <c r="C623" s="358"/>
      <c r="D623" s="373"/>
      <c r="E623" s="373"/>
      <c r="F623" s="373"/>
      <c r="G623" s="374"/>
      <c r="H623" s="357"/>
      <c r="I623" s="358"/>
      <c r="J623" s="357"/>
      <c r="K623" s="358"/>
      <c r="L623" s="359"/>
      <c r="M623" s="307"/>
      <c r="N623" s="359"/>
      <c r="O623" s="307"/>
      <c r="P623" s="357"/>
      <c r="Q623" s="357"/>
      <c r="R623" s="357"/>
      <c r="S623" s="357"/>
      <c r="T623" s="357"/>
      <c r="U623" s="357"/>
      <c r="V623" s="357"/>
      <c r="W623" s="357"/>
    </row>
    <row r="624">
      <c r="A624" s="358"/>
      <c r="B624" s="357"/>
      <c r="C624" s="358"/>
      <c r="D624" s="373"/>
      <c r="E624" s="373"/>
      <c r="F624" s="373"/>
      <c r="G624" s="374"/>
      <c r="H624" s="357"/>
      <c r="I624" s="358"/>
      <c r="J624" s="357"/>
      <c r="K624" s="358"/>
      <c r="L624" s="359"/>
      <c r="M624" s="307"/>
      <c r="N624" s="359"/>
      <c r="O624" s="307"/>
      <c r="P624" s="357"/>
      <c r="Q624" s="357"/>
      <c r="R624" s="357"/>
      <c r="S624" s="357"/>
      <c r="T624" s="357"/>
      <c r="U624" s="357"/>
      <c r="V624" s="357"/>
      <c r="W624" s="357"/>
    </row>
    <row r="625">
      <c r="A625" s="358"/>
      <c r="B625" s="357"/>
      <c r="C625" s="358"/>
      <c r="D625" s="373"/>
      <c r="E625" s="373"/>
      <c r="F625" s="373"/>
      <c r="G625" s="374"/>
      <c r="H625" s="357"/>
      <c r="I625" s="358"/>
      <c r="J625" s="357"/>
      <c r="K625" s="358"/>
      <c r="L625" s="359"/>
      <c r="M625" s="307"/>
      <c r="N625" s="359"/>
      <c r="O625" s="307"/>
      <c r="P625" s="357"/>
      <c r="Q625" s="357"/>
      <c r="R625" s="357"/>
      <c r="S625" s="357"/>
      <c r="T625" s="357"/>
      <c r="U625" s="357"/>
      <c r="V625" s="357"/>
      <c r="W625" s="357"/>
    </row>
    <row r="626">
      <c r="A626" s="358"/>
      <c r="B626" s="357"/>
      <c r="C626" s="358"/>
      <c r="D626" s="373"/>
      <c r="E626" s="373"/>
      <c r="F626" s="373"/>
      <c r="G626" s="374"/>
      <c r="H626" s="357"/>
      <c r="I626" s="358"/>
      <c r="J626" s="357"/>
      <c r="K626" s="358"/>
      <c r="L626" s="359"/>
      <c r="M626" s="307"/>
      <c r="N626" s="359"/>
      <c r="O626" s="307"/>
      <c r="P626" s="357"/>
      <c r="Q626" s="357"/>
      <c r="R626" s="357"/>
      <c r="S626" s="357"/>
      <c r="T626" s="357"/>
      <c r="U626" s="357"/>
      <c r="V626" s="357"/>
      <c r="W626" s="357"/>
    </row>
    <row r="627">
      <c r="A627" s="358"/>
      <c r="B627" s="357"/>
      <c r="C627" s="358"/>
      <c r="D627" s="373"/>
      <c r="E627" s="373"/>
      <c r="F627" s="373"/>
      <c r="G627" s="374"/>
      <c r="H627" s="357"/>
      <c r="I627" s="358"/>
      <c r="J627" s="357"/>
      <c r="K627" s="358"/>
      <c r="L627" s="359"/>
      <c r="M627" s="307"/>
      <c r="N627" s="359"/>
      <c r="O627" s="307"/>
      <c r="P627" s="357"/>
      <c r="Q627" s="357"/>
      <c r="R627" s="357"/>
      <c r="S627" s="357"/>
      <c r="T627" s="357"/>
      <c r="U627" s="357"/>
      <c r="V627" s="357"/>
      <c r="W627" s="357"/>
    </row>
    <row r="628">
      <c r="A628" s="358"/>
      <c r="B628" s="357"/>
      <c r="C628" s="358"/>
      <c r="D628" s="373"/>
      <c r="E628" s="373"/>
      <c r="F628" s="373"/>
      <c r="G628" s="374"/>
      <c r="H628" s="357"/>
      <c r="I628" s="358"/>
      <c r="J628" s="357"/>
      <c r="K628" s="358"/>
      <c r="L628" s="359"/>
      <c r="M628" s="307"/>
      <c r="N628" s="359"/>
      <c r="O628" s="307"/>
      <c r="P628" s="357"/>
      <c r="Q628" s="357"/>
      <c r="R628" s="357"/>
      <c r="S628" s="357"/>
      <c r="T628" s="357"/>
      <c r="U628" s="357"/>
      <c r="V628" s="357"/>
      <c r="W628" s="357"/>
    </row>
    <row r="629">
      <c r="A629" s="358"/>
      <c r="B629" s="357"/>
      <c r="C629" s="358"/>
      <c r="D629" s="373"/>
      <c r="E629" s="373"/>
      <c r="F629" s="373"/>
      <c r="G629" s="374"/>
      <c r="H629" s="357"/>
      <c r="I629" s="358"/>
      <c r="J629" s="357"/>
      <c r="K629" s="358"/>
      <c r="L629" s="359"/>
      <c r="M629" s="307"/>
      <c r="N629" s="359"/>
      <c r="O629" s="307"/>
      <c r="P629" s="357"/>
      <c r="Q629" s="357"/>
      <c r="R629" s="357"/>
      <c r="S629" s="357"/>
      <c r="T629" s="357"/>
      <c r="U629" s="357"/>
      <c r="V629" s="357"/>
      <c r="W629" s="357"/>
    </row>
    <row r="630">
      <c r="A630" s="358"/>
      <c r="B630" s="357"/>
      <c r="C630" s="358"/>
      <c r="D630" s="373"/>
      <c r="E630" s="373"/>
      <c r="F630" s="373"/>
      <c r="G630" s="374"/>
      <c r="H630" s="357"/>
      <c r="I630" s="358"/>
      <c r="J630" s="357"/>
      <c r="K630" s="358"/>
      <c r="L630" s="359"/>
      <c r="M630" s="307"/>
      <c r="N630" s="359"/>
      <c r="O630" s="307"/>
      <c r="P630" s="357"/>
      <c r="Q630" s="357"/>
      <c r="R630" s="357"/>
      <c r="S630" s="357"/>
      <c r="T630" s="357"/>
      <c r="U630" s="357"/>
      <c r="V630" s="357"/>
      <c r="W630" s="357"/>
    </row>
    <row r="631">
      <c r="A631" s="358"/>
      <c r="B631" s="357"/>
      <c r="C631" s="358"/>
      <c r="D631" s="373"/>
      <c r="E631" s="373"/>
      <c r="F631" s="373"/>
      <c r="G631" s="374"/>
      <c r="H631" s="357"/>
      <c r="I631" s="358"/>
      <c r="J631" s="357"/>
      <c r="K631" s="358"/>
      <c r="L631" s="359"/>
      <c r="M631" s="307"/>
      <c r="N631" s="359"/>
      <c r="O631" s="307"/>
      <c r="P631" s="357"/>
      <c r="Q631" s="357"/>
      <c r="R631" s="357"/>
      <c r="S631" s="357"/>
      <c r="T631" s="357"/>
      <c r="U631" s="357"/>
      <c r="V631" s="357"/>
      <c r="W631" s="357"/>
    </row>
    <row r="632">
      <c r="A632" s="358"/>
      <c r="B632" s="357"/>
      <c r="C632" s="358"/>
      <c r="D632" s="373"/>
      <c r="E632" s="373"/>
      <c r="F632" s="373"/>
      <c r="G632" s="374"/>
      <c r="H632" s="357"/>
      <c r="I632" s="358"/>
      <c r="J632" s="357"/>
      <c r="K632" s="358"/>
      <c r="L632" s="359"/>
      <c r="M632" s="307"/>
      <c r="N632" s="359"/>
      <c r="O632" s="307"/>
      <c r="P632" s="357"/>
      <c r="Q632" s="357"/>
      <c r="R632" s="357"/>
      <c r="S632" s="357"/>
      <c r="T632" s="357"/>
      <c r="U632" s="357"/>
      <c r="V632" s="357"/>
      <c r="W632" s="357"/>
    </row>
    <row r="633">
      <c r="A633" s="358"/>
      <c r="B633" s="357"/>
      <c r="C633" s="358"/>
      <c r="D633" s="373"/>
      <c r="E633" s="373"/>
      <c r="F633" s="373"/>
      <c r="G633" s="374"/>
      <c r="H633" s="357"/>
      <c r="I633" s="358"/>
      <c r="J633" s="357"/>
      <c r="K633" s="358"/>
      <c r="L633" s="359"/>
      <c r="M633" s="307"/>
      <c r="N633" s="359"/>
      <c r="O633" s="307"/>
      <c r="P633" s="357"/>
      <c r="Q633" s="357"/>
      <c r="R633" s="357"/>
      <c r="S633" s="357"/>
      <c r="T633" s="357"/>
      <c r="U633" s="357"/>
      <c r="V633" s="357"/>
      <c r="W633" s="357"/>
    </row>
    <row r="634">
      <c r="A634" s="358"/>
      <c r="B634" s="357"/>
      <c r="C634" s="358"/>
      <c r="D634" s="373"/>
      <c r="E634" s="373"/>
      <c r="F634" s="373"/>
      <c r="G634" s="374"/>
      <c r="H634" s="357"/>
      <c r="I634" s="358"/>
      <c r="J634" s="357"/>
      <c r="K634" s="358"/>
      <c r="L634" s="359"/>
      <c r="M634" s="307"/>
      <c r="N634" s="359"/>
      <c r="O634" s="307"/>
      <c r="P634" s="357"/>
      <c r="Q634" s="357"/>
      <c r="R634" s="357"/>
      <c r="S634" s="357"/>
      <c r="T634" s="357"/>
      <c r="U634" s="357"/>
      <c r="V634" s="357"/>
      <c r="W634" s="357"/>
    </row>
    <row r="635">
      <c r="A635" s="358"/>
      <c r="B635" s="357"/>
      <c r="C635" s="358"/>
      <c r="D635" s="373"/>
      <c r="E635" s="373"/>
      <c r="F635" s="373"/>
      <c r="G635" s="374"/>
      <c r="H635" s="357"/>
      <c r="I635" s="358"/>
      <c r="J635" s="357"/>
      <c r="K635" s="358"/>
      <c r="L635" s="359"/>
      <c r="M635" s="307"/>
      <c r="N635" s="359"/>
      <c r="O635" s="307"/>
      <c r="P635" s="357"/>
      <c r="Q635" s="357"/>
      <c r="R635" s="357"/>
      <c r="S635" s="357"/>
      <c r="T635" s="357"/>
      <c r="U635" s="357"/>
      <c r="V635" s="357"/>
      <c r="W635" s="357"/>
    </row>
    <row r="636">
      <c r="A636" s="358"/>
      <c r="B636" s="357"/>
      <c r="C636" s="358"/>
      <c r="D636" s="373"/>
      <c r="E636" s="373"/>
      <c r="F636" s="373"/>
      <c r="G636" s="374"/>
      <c r="H636" s="357"/>
      <c r="I636" s="358"/>
      <c r="J636" s="357"/>
      <c r="K636" s="358"/>
      <c r="L636" s="359"/>
      <c r="M636" s="307"/>
      <c r="N636" s="359"/>
      <c r="O636" s="307"/>
      <c r="P636" s="357"/>
      <c r="Q636" s="357"/>
      <c r="R636" s="357"/>
      <c r="S636" s="357"/>
      <c r="T636" s="357"/>
      <c r="U636" s="357"/>
      <c r="V636" s="357"/>
      <c r="W636" s="357"/>
    </row>
    <row r="637">
      <c r="A637" s="358"/>
      <c r="B637" s="357"/>
      <c r="C637" s="358"/>
      <c r="D637" s="373"/>
      <c r="E637" s="373"/>
      <c r="F637" s="373"/>
      <c r="G637" s="374"/>
      <c r="H637" s="357"/>
      <c r="I637" s="358"/>
      <c r="J637" s="357"/>
      <c r="K637" s="358"/>
      <c r="L637" s="359"/>
      <c r="M637" s="307"/>
      <c r="N637" s="359"/>
      <c r="O637" s="307"/>
      <c r="P637" s="357"/>
      <c r="Q637" s="357"/>
      <c r="R637" s="357"/>
      <c r="S637" s="357"/>
      <c r="T637" s="357"/>
      <c r="U637" s="357"/>
      <c r="V637" s="357"/>
      <c r="W637" s="357"/>
    </row>
    <row r="638">
      <c r="A638" s="358"/>
      <c r="B638" s="357"/>
      <c r="C638" s="358"/>
      <c r="D638" s="373"/>
      <c r="E638" s="373"/>
      <c r="F638" s="373"/>
      <c r="G638" s="374"/>
      <c r="H638" s="357"/>
      <c r="I638" s="358"/>
      <c r="J638" s="357"/>
      <c r="K638" s="358"/>
      <c r="L638" s="359"/>
      <c r="M638" s="307"/>
      <c r="N638" s="359"/>
      <c r="O638" s="307"/>
      <c r="P638" s="357"/>
      <c r="Q638" s="357"/>
      <c r="R638" s="357"/>
      <c r="S638" s="357"/>
      <c r="T638" s="357"/>
      <c r="U638" s="357"/>
      <c r="V638" s="357"/>
      <c r="W638" s="357"/>
    </row>
    <row r="639">
      <c r="A639" s="358"/>
      <c r="B639" s="357"/>
      <c r="C639" s="358"/>
      <c r="D639" s="373"/>
      <c r="E639" s="373"/>
      <c r="F639" s="373"/>
      <c r="G639" s="374"/>
      <c r="H639" s="357"/>
      <c r="I639" s="358"/>
      <c r="J639" s="357"/>
      <c r="K639" s="358"/>
      <c r="L639" s="359"/>
      <c r="M639" s="307"/>
      <c r="N639" s="359"/>
      <c r="O639" s="307"/>
      <c r="P639" s="357"/>
      <c r="Q639" s="357"/>
      <c r="R639" s="357"/>
      <c r="S639" s="357"/>
      <c r="T639" s="357"/>
      <c r="U639" s="357"/>
      <c r="V639" s="357"/>
      <c r="W639" s="357"/>
    </row>
    <row r="640">
      <c r="A640" s="358"/>
      <c r="B640" s="357"/>
      <c r="C640" s="358"/>
      <c r="D640" s="373"/>
      <c r="E640" s="373"/>
      <c r="F640" s="373"/>
      <c r="G640" s="374"/>
      <c r="H640" s="357"/>
      <c r="I640" s="358"/>
      <c r="J640" s="357"/>
      <c r="K640" s="358"/>
      <c r="L640" s="359"/>
      <c r="M640" s="307"/>
      <c r="N640" s="359"/>
      <c r="O640" s="307"/>
      <c r="P640" s="357"/>
      <c r="Q640" s="357"/>
      <c r="R640" s="357"/>
      <c r="S640" s="357"/>
      <c r="T640" s="357"/>
      <c r="U640" s="357"/>
      <c r="V640" s="357"/>
      <c r="W640" s="357"/>
    </row>
    <row r="641">
      <c r="A641" s="358"/>
      <c r="B641" s="357"/>
      <c r="C641" s="358"/>
      <c r="D641" s="373"/>
      <c r="E641" s="373"/>
      <c r="F641" s="373"/>
      <c r="G641" s="374"/>
      <c r="H641" s="357"/>
      <c r="I641" s="358"/>
      <c r="J641" s="357"/>
      <c r="K641" s="358"/>
      <c r="L641" s="359"/>
      <c r="M641" s="307"/>
      <c r="N641" s="359"/>
      <c r="O641" s="307"/>
      <c r="P641" s="357"/>
      <c r="Q641" s="357"/>
      <c r="R641" s="357"/>
      <c r="S641" s="357"/>
      <c r="T641" s="357"/>
      <c r="U641" s="357"/>
      <c r="V641" s="357"/>
      <c r="W641" s="357"/>
    </row>
    <row r="642">
      <c r="A642" s="358"/>
      <c r="B642" s="357"/>
      <c r="C642" s="358"/>
      <c r="D642" s="373"/>
      <c r="E642" s="373"/>
      <c r="F642" s="373"/>
      <c r="G642" s="374"/>
      <c r="H642" s="357"/>
      <c r="I642" s="358"/>
      <c r="J642" s="357"/>
      <c r="K642" s="358"/>
      <c r="L642" s="359"/>
      <c r="M642" s="307"/>
      <c r="N642" s="359"/>
      <c r="O642" s="307"/>
      <c r="P642" s="357"/>
      <c r="Q642" s="357"/>
      <c r="R642" s="357"/>
      <c r="S642" s="357"/>
      <c r="T642" s="357"/>
      <c r="U642" s="357"/>
      <c r="V642" s="357"/>
      <c r="W642" s="357"/>
    </row>
    <row r="643">
      <c r="A643" s="358"/>
      <c r="B643" s="357"/>
      <c r="C643" s="358"/>
      <c r="D643" s="373"/>
      <c r="E643" s="373"/>
      <c r="F643" s="373"/>
      <c r="G643" s="374"/>
      <c r="H643" s="357"/>
      <c r="I643" s="358"/>
      <c r="J643" s="357"/>
      <c r="K643" s="358"/>
      <c r="L643" s="359"/>
      <c r="M643" s="307"/>
      <c r="N643" s="359"/>
      <c r="O643" s="307"/>
      <c r="P643" s="357"/>
      <c r="Q643" s="357"/>
      <c r="R643" s="357"/>
      <c r="S643" s="357"/>
      <c r="T643" s="357"/>
      <c r="U643" s="357"/>
      <c r="V643" s="357"/>
      <c r="W643" s="357"/>
    </row>
    <row r="644">
      <c r="A644" s="358"/>
      <c r="B644" s="357"/>
      <c r="C644" s="358"/>
      <c r="D644" s="373"/>
      <c r="E644" s="373"/>
      <c r="F644" s="373"/>
      <c r="G644" s="374"/>
      <c r="H644" s="357"/>
      <c r="I644" s="358"/>
      <c r="J644" s="357"/>
      <c r="K644" s="358"/>
      <c r="L644" s="359"/>
      <c r="M644" s="307"/>
      <c r="N644" s="359"/>
      <c r="O644" s="307"/>
      <c r="P644" s="357"/>
      <c r="Q644" s="357"/>
      <c r="R644" s="357"/>
      <c r="S644" s="357"/>
      <c r="T644" s="357"/>
      <c r="U644" s="357"/>
      <c r="V644" s="357"/>
      <c r="W644" s="357"/>
    </row>
    <row r="645">
      <c r="A645" s="358"/>
      <c r="B645" s="357"/>
      <c r="C645" s="358"/>
      <c r="D645" s="373"/>
      <c r="E645" s="373"/>
      <c r="F645" s="373"/>
      <c r="G645" s="374"/>
      <c r="H645" s="357"/>
      <c r="I645" s="358"/>
      <c r="J645" s="357"/>
      <c r="K645" s="358"/>
      <c r="L645" s="359"/>
      <c r="M645" s="307"/>
      <c r="N645" s="359"/>
      <c r="O645" s="307"/>
      <c r="P645" s="357"/>
      <c r="Q645" s="357"/>
      <c r="R645" s="357"/>
      <c r="S645" s="357"/>
      <c r="T645" s="357"/>
      <c r="U645" s="357"/>
      <c r="V645" s="357"/>
      <c r="W645" s="357"/>
    </row>
    <row r="646">
      <c r="A646" s="358"/>
      <c r="B646" s="357"/>
      <c r="C646" s="358"/>
      <c r="D646" s="373"/>
      <c r="E646" s="373"/>
      <c r="F646" s="373"/>
      <c r="G646" s="374"/>
      <c r="H646" s="357"/>
      <c r="I646" s="358"/>
      <c r="J646" s="357"/>
      <c r="K646" s="358"/>
      <c r="L646" s="359"/>
      <c r="M646" s="307"/>
      <c r="N646" s="359"/>
      <c r="O646" s="307"/>
      <c r="P646" s="357"/>
      <c r="Q646" s="357"/>
      <c r="R646" s="357"/>
      <c r="S646" s="357"/>
      <c r="T646" s="357"/>
      <c r="U646" s="357"/>
      <c r="V646" s="357"/>
      <c r="W646" s="357"/>
    </row>
    <row r="647">
      <c r="A647" s="358"/>
      <c r="B647" s="357"/>
      <c r="C647" s="358"/>
      <c r="D647" s="373"/>
      <c r="E647" s="373"/>
      <c r="F647" s="373"/>
      <c r="G647" s="374"/>
      <c r="H647" s="357"/>
      <c r="I647" s="358"/>
      <c r="J647" s="357"/>
      <c r="K647" s="358"/>
      <c r="L647" s="359"/>
      <c r="M647" s="307"/>
      <c r="N647" s="359"/>
      <c r="O647" s="307"/>
      <c r="P647" s="357"/>
      <c r="Q647" s="357"/>
      <c r="R647" s="357"/>
      <c r="S647" s="357"/>
      <c r="T647" s="357"/>
      <c r="U647" s="357"/>
      <c r="V647" s="357"/>
      <c r="W647" s="357"/>
    </row>
    <row r="648">
      <c r="A648" s="358"/>
      <c r="B648" s="357"/>
      <c r="C648" s="358"/>
      <c r="D648" s="373"/>
      <c r="E648" s="373"/>
      <c r="F648" s="373"/>
      <c r="G648" s="374"/>
      <c r="H648" s="357"/>
      <c r="I648" s="358"/>
      <c r="J648" s="357"/>
      <c r="K648" s="358"/>
      <c r="L648" s="359"/>
      <c r="M648" s="307"/>
      <c r="N648" s="359"/>
      <c r="O648" s="307"/>
      <c r="P648" s="357"/>
      <c r="Q648" s="357"/>
      <c r="R648" s="357"/>
      <c r="S648" s="357"/>
      <c r="T648" s="357"/>
      <c r="U648" s="357"/>
      <c r="V648" s="357"/>
      <c r="W648" s="357"/>
    </row>
    <row r="649">
      <c r="A649" s="358"/>
      <c r="B649" s="357"/>
      <c r="C649" s="358"/>
      <c r="D649" s="373"/>
      <c r="E649" s="373"/>
      <c r="F649" s="373"/>
      <c r="G649" s="374"/>
      <c r="H649" s="357"/>
      <c r="I649" s="358"/>
      <c r="J649" s="357"/>
      <c r="K649" s="358"/>
      <c r="L649" s="359"/>
      <c r="M649" s="307"/>
      <c r="N649" s="359"/>
      <c r="O649" s="307"/>
      <c r="P649" s="357"/>
      <c r="Q649" s="357"/>
      <c r="R649" s="357"/>
      <c r="S649" s="357"/>
      <c r="T649" s="357"/>
      <c r="U649" s="357"/>
      <c r="V649" s="357"/>
      <c r="W649" s="357"/>
    </row>
    <row r="650">
      <c r="A650" s="358"/>
      <c r="B650" s="357"/>
      <c r="C650" s="358"/>
      <c r="D650" s="373"/>
      <c r="E650" s="373"/>
      <c r="F650" s="373"/>
      <c r="G650" s="374"/>
      <c r="H650" s="357"/>
      <c r="I650" s="358"/>
      <c r="J650" s="357"/>
      <c r="K650" s="358"/>
      <c r="L650" s="359"/>
      <c r="M650" s="307"/>
      <c r="N650" s="359"/>
      <c r="O650" s="307"/>
      <c r="P650" s="357"/>
      <c r="Q650" s="357"/>
      <c r="R650" s="357"/>
      <c r="S650" s="357"/>
      <c r="T650" s="357"/>
      <c r="U650" s="357"/>
      <c r="V650" s="357"/>
      <c r="W650" s="357"/>
    </row>
    <row r="651">
      <c r="A651" s="358"/>
      <c r="B651" s="357"/>
      <c r="C651" s="358"/>
      <c r="D651" s="373"/>
      <c r="E651" s="373"/>
      <c r="F651" s="373"/>
      <c r="G651" s="374"/>
      <c r="H651" s="357"/>
      <c r="I651" s="358"/>
      <c r="J651" s="357"/>
      <c r="K651" s="358"/>
      <c r="L651" s="359"/>
      <c r="M651" s="307"/>
      <c r="N651" s="359"/>
      <c r="O651" s="307"/>
      <c r="P651" s="357"/>
      <c r="Q651" s="357"/>
      <c r="R651" s="357"/>
      <c r="S651" s="357"/>
      <c r="T651" s="357"/>
      <c r="U651" s="357"/>
      <c r="V651" s="357"/>
      <c r="W651" s="357"/>
    </row>
    <row r="652">
      <c r="A652" s="358"/>
      <c r="B652" s="357"/>
      <c r="C652" s="358"/>
      <c r="D652" s="373"/>
      <c r="E652" s="373"/>
      <c r="F652" s="373"/>
      <c r="G652" s="374"/>
      <c r="H652" s="357"/>
      <c r="I652" s="358"/>
      <c r="J652" s="357"/>
      <c r="K652" s="358"/>
      <c r="L652" s="359"/>
      <c r="M652" s="307"/>
      <c r="N652" s="359"/>
      <c r="O652" s="307"/>
      <c r="P652" s="357"/>
      <c r="Q652" s="357"/>
      <c r="R652" s="357"/>
      <c r="S652" s="357"/>
      <c r="T652" s="357"/>
      <c r="U652" s="357"/>
      <c r="V652" s="357"/>
      <c r="W652" s="357"/>
    </row>
    <row r="653">
      <c r="A653" s="358"/>
      <c r="B653" s="357"/>
      <c r="C653" s="358"/>
      <c r="D653" s="373"/>
      <c r="E653" s="373"/>
      <c r="F653" s="373"/>
      <c r="G653" s="374"/>
      <c r="H653" s="357"/>
      <c r="I653" s="358"/>
      <c r="J653" s="357"/>
      <c r="K653" s="358"/>
      <c r="L653" s="359"/>
      <c r="M653" s="307"/>
      <c r="N653" s="359"/>
      <c r="O653" s="307"/>
      <c r="P653" s="357"/>
      <c r="Q653" s="357"/>
      <c r="R653" s="357"/>
      <c r="S653" s="357"/>
      <c r="T653" s="357"/>
      <c r="U653" s="357"/>
      <c r="V653" s="357"/>
      <c r="W653" s="357"/>
    </row>
    <row r="654">
      <c r="A654" s="358"/>
      <c r="B654" s="357"/>
      <c r="C654" s="358"/>
      <c r="D654" s="373"/>
      <c r="E654" s="373"/>
      <c r="F654" s="373"/>
      <c r="G654" s="374"/>
      <c r="H654" s="357"/>
      <c r="I654" s="358"/>
      <c r="J654" s="357"/>
      <c r="K654" s="358"/>
      <c r="L654" s="359"/>
      <c r="M654" s="307"/>
      <c r="N654" s="359"/>
      <c r="O654" s="307"/>
      <c r="P654" s="357"/>
      <c r="Q654" s="357"/>
      <c r="R654" s="357"/>
      <c r="S654" s="357"/>
      <c r="T654" s="357"/>
      <c r="U654" s="357"/>
      <c r="V654" s="357"/>
      <c r="W654" s="357"/>
    </row>
    <row r="655">
      <c r="A655" s="358"/>
      <c r="B655" s="357"/>
      <c r="C655" s="358"/>
      <c r="D655" s="373"/>
      <c r="E655" s="373"/>
      <c r="F655" s="373"/>
      <c r="G655" s="374"/>
      <c r="H655" s="357"/>
      <c r="I655" s="358"/>
      <c r="J655" s="357"/>
      <c r="K655" s="358"/>
      <c r="L655" s="359"/>
      <c r="M655" s="307"/>
      <c r="N655" s="359"/>
      <c r="O655" s="307"/>
      <c r="P655" s="357"/>
      <c r="Q655" s="357"/>
      <c r="R655" s="357"/>
      <c r="S655" s="357"/>
      <c r="T655" s="357"/>
      <c r="U655" s="357"/>
      <c r="V655" s="357"/>
      <c r="W655" s="357"/>
    </row>
    <row r="656">
      <c r="A656" s="358"/>
      <c r="B656" s="357"/>
      <c r="C656" s="358"/>
      <c r="D656" s="373"/>
      <c r="E656" s="373"/>
      <c r="F656" s="373"/>
      <c r="G656" s="374"/>
      <c r="H656" s="357"/>
      <c r="I656" s="358"/>
      <c r="J656" s="357"/>
      <c r="K656" s="358"/>
      <c r="L656" s="359"/>
      <c r="M656" s="307"/>
      <c r="N656" s="359"/>
      <c r="O656" s="307"/>
      <c r="P656" s="357"/>
      <c r="Q656" s="357"/>
      <c r="R656" s="357"/>
      <c r="S656" s="357"/>
      <c r="T656" s="357"/>
      <c r="U656" s="357"/>
      <c r="V656" s="357"/>
      <c r="W656" s="357"/>
    </row>
    <row r="657">
      <c r="A657" s="358"/>
      <c r="B657" s="357"/>
      <c r="C657" s="358"/>
      <c r="D657" s="373"/>
      <c r="E657" s="373"/>
      <c r="F657" s="373"/>
      <c r="G657" s="374"/>
      <c r="H657" s="357"/>
      <c r="I657" s="358"/>
      <c r="J657" s="357"/>
      <c r="K657" s="358"/>
      <c r="L657" s="359"/>
      <c r="M657" s="307"/>
      <c r="N657" s="359"/>
      <c r="O657" s="307"/>
      <c r="P657" s="357"/>
      <c r="Q657" s="357"/>
      <c r="R657" s="357"/>
      <c r="S657" s="357"/>
      <c r="T657" s="357"/>
      <c r="U657" s="357"/>
      <c r="V657" s="357"/>
      <c r="W657" s="357"/>
    </row>
    <row r="658">
      <c r="A658" s="358"/>
      <c r="B658" s="357"/>
      <c r="C658" s="358"/>
      <c r="D658" s="373"/>
      <c r="E658" s="373"/>
      <c r="F658" s="373"/>
      <c r="G658" s="374"/>
      <c r="H658" s="357"/>
      <c r="I658" s="358"/>
      <c r="J658" s="357"/>
      <c r="K658" s="358"/>
      <c r="L658" s="359"/>
      <c r="M658" s="307"/>
      <c r="N658" s="359"/>
      <c r="O658" s="307"/>
      <c r="P658" s="357"/>
      <c r="Q658" s="357"/>
      <c r="R658" s="357"/>
      <c r="S658" s="357"/>
      <c r="T658" s="357"/>
      <c r="U658" s="357"/>
      <c r="V658" s="357"/>
      <c r="W658" s="357"/>
    </row>
    <row r="659">
      <c r="A659" s="358"/>
      <c r="B659" s="357"/>
      <c r="C659" s="358"/>
      <c r="D659" s="373"/>
      <c r="E659" s="373"/>
      <c r="F659" s="373"/>
      <c r="G659" s="374"/>
      <c r="H659" s="357"/>
      <c r="I659" s="358"/>
      <c r="J659" s="357"/>
      <c r="K659" s="358"/>
      <c r="L659" s="359"/>
      <c r="M659" s="307"/>
      <c r="N659" s="359"/>
      <c r="O659" s="307"/>
      <c r="P659" s="357"/>
      <c r="Q659" s="357"/>
      <c r="R659" s="357"/>
      <c r="S659" s="357"/>
      <c r="T659" s="357"/>
      <c r="U659" s="357"/>
      <c r="V659" s="357"/>
      <c r="W659" s="357"/>
    </row>
    <row r="660">
      <c r="A660" s="358"/>
      <c r="B660" s="357"/>
      <c r="C660" s="358"/>
      <c r="D660" s="373"/>
      <c r="E660" s="373"/>
      <c r="F660" s="373"/>
      <c r="G660" s="374"/>
      <c r="H660" s="357"/>
      <c r="I660" s="358"/>
      <c r="J660" s="357"/>
      <c r="K660" s="358"/>
      <c r="L660" s="359"/>
      <c r="M660" s="307"/>
      <c r="N660" s="359"/>
      <c r="O660" s="307"/>
      <c r="P660" s="357"/>
      <c r="Q660" s="357"/>
      <c r="R660" s="357"/>
      <c r="S660" s="357"/>
      <c r="T660" s="357"/>
      <c r="U660" s="357"/>
      <c r="V660" s="357"/>
      <c r="W660" s="357"/>
    </row>
    <row r="661">
      <c r="A661" s="358"/>
      <c r="B661" s="357"/>
      <c r="C661" s="358"/>
      <c r="D661" s="373"/>
      <c r="E661" s="373"/>
      <c r="F661" s="373"/>
      <c r="G661" s="374"/>
      <c r="H661" s="357"/>
      <c r="I661" s="358"/>
      <c r="J661" s="357"/>
      <c r="K661" s="358"/>
      <c r="L661" s="359"/>
      <c r="M661" s="307"/>
      <c r="N661" s="359"/>
      <c r="O661" s="307"/>
      <c r="P661" s="357"/>
      <c r="Q661" s="357"/>
      <c r="R661" s="357"/>
      <c r="S661" s="357"/>
      <c r="T661" s="357"/>
      <c r="U661" s="357"/>
      <c r="V661" s="357"/>
      <c r="W661" s="357"/>
    </row>
    <row r="662">
      <c r="A662" s="358"/>
      <c r="B662" s="357"/>
      <c r="C662" s="358"/>
      <c r="D662" s="373"/>
      <c r="E662" s="373"/>
      <c r="F662" s="373"/>
      <c r="G662" s="374"/>
      <c r="H662" s="357"/>
      <c r="I662" s="358"/>
      <c r="J662" s="357"/>
      <c r="K662" s="358"/>
      <c r="L662" s="359"/>
      <c r="M662" s="307"/>
      <c r="N662" s="359"/>
      <c r="O662" s="307"/>
      <c r="P662" s="357"/>
      <c r="Q662" s="357"/>
      <c r="R662" s="357"/>
      <c r="S662" s="357"/>
      <c r="T662" s="357"/>
      <c r="U662" s="357"/>
      <c r="V662" s="357"/>
      <c r="W662" s="357"/>
    </row>
    <row r="663">
      <c r="A663" s="358"/>
      <c r="B663" s="357"/>
      <c r="C663" s="358"/>
      <c r="D663" s="373"/>
      <c r="E663" s="373"/>
      <c r="F663" s="373"/>
      <c r="G663" s="374"/>
      <c r="H663" s="357"/>
      <c r="I663" s="358"/>
      <c r="J663" s="357"/>
      <c r="K663" s="358"/>
      <c r="L663" s="359"/>
      <c r="M663" s="307"/>
      <c r="N663" s="359"/>
      <c r="O663" s="307"/>
      <c r="P663" s="357"/>
      <c r="Q663" s="357"/>
      <c r="R663" s="357"/>
      <c r="S663" s="357"/>
      <c r="T663" s="357"/>
      <c r="U663" s="357"/>
      <c r="V663" s="357"/>
      <c r="W663" s="357"/>
    </row>
    <row r="664">
      <c r="A664" s="358"/>
      <c r="B664" s="357"/>
      <c r="C664" s="358"/>
      <c r="D664" s="373"/>
      <c r="E664" s="373"/>
      <c r="F664" s="373"/>
      <c r="G664" s="374"/>
      <c r="H664" s="357"/>
      <c r="I664" s="358"/>
      <c r="J664" s="357"/>
      <c r="K664" s="358"/>
      <c r="L664" s="359"/>
      <c r="M664" s="307"/>
      <c r="N664" s="359"/>
      <c r="O664" s="307"/>
      <c r="P664" s="357"/>
      <c r="Q664" s="357"/>
      <c r="R664" s="357"/>
      <c r="S664" s="357"/>
      <c r="T664" s="357"/>
      <c r="U664" s="357"/>
      <c r="V664" s="357"/>
      <c r="W664" s="357"/>
    </row>
    <row r="665">
      <c r="A665" s="358"/>
      <c r="B665" s="357"/>
      <c r="C665" s="358"/>
      <c r="D665" s="373"/>
      <c r="E665" s="373"/>
      <c r="F665" s="373"/>
      <c r="G665" s="374"/>
      <c r="H665" s="357"/>
      <c r="I665" s="358"/>
      <c r="J665" s="357"/>
      <c r="K665" s="358"/>
      <c r="L665" s="359"/>
      <c r="M665" s="307"/>
      <c r="N665" s="359"/>
      <c r="O665" s="307"/>
      <c r="P665" s="357"/>
      <c r="Q665" s="357"/>
      <c r="R665" s="357"/>
      <c r="S665" s="357"/>
      <c r="T665" s="357"/>
      <c r="U665" s="357"/>
      <c r="V665" s="357"/>
      <c r="W665" s="357"/>
    </row>
    <row r="666">
      <c r="A666" s="358"/>
      <c r="B666" s="357"/>
      <c r="C666" s="358"/>
      <c r="D666" s="373"/>
      <c r="E666" s="373"/>
      <c r="F666" s="373"/>
      <c r="G666" s="374"/>
      <c r="H666" s="357"/>
      <c r="I666" s="358"/>
      <c r="J666" s="357"/>
      <c r="K666" s="358"/>
      <c r="L666" s="359"/>
      <c r="M666" s="307"/>
      <c r="N666" s="359"/>
      <c r="O666" s="307"/>
      <c r="P666" s="357"/>
      <c r="Q666" s="357"/>
      <c r="R666" s="357"/>
      <c r="S666" s="357"/>
      <c r="T666" s="357"/>
      <c r="U666" s="357"/>
      <c r="V666" s="357"/>
      <c r="W666" s="357"/>
    </row>
    <row r="667">
      <c r="A667" s="358"/>
      <c r="B667" s="357"/>
      <c r="C667" s="358"/>
      <c r="D667" s="373"/>
      <c r="E667" s="373"/>
      <c r="F667" s="373"/>
      <c r="G667" s="374"/>
      <c r="H667" s="357"/>
      <c r="I667" s="358"/>
      <c r="J667" s="357"/>
      <c r="K667" s="358"/>
      <c r="L667" s="359"/>
      <c r="M667" s="307"/>
      <c r="N667" s="359"/>
      <c r="O667" s="307"/>
      <c r="P667" s="357"/>
      <c r="Q667" s="357"/>
      <c r="R667" s="357"/>
      <c r="S667" s="357"/>
      <c r="T667" s="357"/>
      <c r="U667" s="357"/>
      <c r="V667" s="357"/>
      <c r="W667" s="357"/>
    </row>
    <row r="668">
      <c r="A668" s="358"/>
      <c r="B668" s="357"/>
      <c r="C668" s="358"/>
      <c r="D668" s="373"/>
      <c r="E668" s="373"/>
      <c r="F668" s="373"/>
      <c r="G668" s="374"/>
      <c r="H668" s="357"/>
      <c r="I668" s="358"/>
      <c r="J668" s="357"/>
      <c r="K668" s="358"/>
      <c r="L668" s="359"/>
      <c r="M668" s="307"/>
      <c r="N668" s="359"/>
      <c r="O668" s="307"/>
      <c r="P668" s="357"/>
      <c r="Q668" s="357"/>
      <c r="R668" s="357"/>
      <c r="S668" s="357"/>
      <c r="T668" s="357"/>
      <c r="U668" s="357"/>
      <c r="V668" s="357"/>
      <c r="W668" s="357"/>
    </row>
    <row r="669">
      <c r="A669" s="358"/>
      <c r="B669" s="357"/>
      <c r="C669" s="358"/>
      <c r="D669" s="373"/>
      <c r="E669" s="373"/>
      <c r="F669" s="373"/>
      <c r="G669" s="374"/>
      <c r="H669" s="357"/>
      <c r="I669" s="358"/>
      <c r="J669" s="357"/>
      <c r="K669" s="358"/>
      <c r="L669" s="359"/>
      <c r="M669" s="307"/>
      <c r="N669" s="359"/>
      <c r="O669" s="307"/>
      <c r="P669" s="357"/>
      <c r="Q669" s="357"/>
      <c r="R669" s="357"/>
      <c r="S669" s="357"/>
      <c r="T669" s="357"/>
      <c r="U669" s="357"/>
      <c r="V669" s="357"/>
      <c r="W669" s="357"/>
    </row>
    <row r="670">
      <c r="A670" s="358"/>
      <c r="B670" s="357"/>
      <c r="C670" s="358"/>
      <c r="D670" s="373"/>
      <c r="E670" s="373"/>
      <c r="F670" s="373"/>
      <c r="G670" s="374"/>
      <c r="H670" s="357"/>
      <c r="I670" s="358"/>
      <c r="J670" s="357"/>
      <c r="K670" s="358"/>
      <c r="L670" s="359"/>
      <c r="M670" s="307"/>
      <c r="N670" s="359"/>
      <c r="O670" s="307"/>
      <c r="P670" s="357"/>
      <c r="Q670" s="357"/>
      <c r="R670" s="357"/>
      <c r="S670" s="357"/>
      <c r="T670" s="357"/>
      <c r="U670" s="357"/>
      <c r="V670" s="357"/>
      <c r="W670" s="357"/>
    </row>
    <row r="671">
      <c r="A671" s="358"/>
      <c r="B671" s="357"/>
      <c r="C671" s="358"/>
      <c r="D671" s="373"/>
      <c r="E671" s="373"/>
      <c r="F671" s="373"/>
      <c r="G671" s="374"/>
      <c r="H671" s="357"/>
      <c r="I671" s="358"/>
      <c r="J671" s="357"/>
      <c r="K671" s="358"/>
      <c r="L671" s="359"/>
      <c r="M671" s="307"/>
      <c r="N671" s="359"/>
      <c r="O671" s="307"/>
      <c r="P671" s="357"/>
      <c r="Q671" s="357"/>
      <c r="R671" s="357"/>
      <c r="S671" s="357"/>
      <c r="T671" s="357"/>
      <c r="U671" s="357"/>
      <c r="V671" s="357"/>
      <c r="W671" s="357"/>
    </row>
    <row r="672">
      <c r="A672" s="358"/>
      <c r="B672" s="357"/>
      <c r="C672" s="358"/>
      <c r="D672" s="373"/>
      <c r="E672" s="373"/>
      <c r="F672" s="373"/>
      <c r="G672" s="374"/>
      <c r="H672" s="357"/>
      <c r="I672" s="358"/>
      <c r="J672" s="357"/>
      <c r="K672" s="358"/>
      <c r="L672" s="359"/>
      <c r="M672" s="307"/>
      <c r="N672" s="359"/>
      <c r="O672" s="307"/>
      <c r="P672" s="357"/>
      <c r="Q672" s="357"/>
      <c r="R672" s="357"/>
      <c r="S672" s="357"/>
      <c r="T672" s="357"/>
      <c r="U672" s="357"/>
      <c r="V672" s="357"/>
      <c r="W672" s="357"/>
    </row>
    <row r="673">
      <c r="A673" s="358"/>
      <c r="B673" s="357"/>
      <c r="C673" s="358"/>
      <c r="D673" s="373"/>
      <c r="E673" s="373"/>
      <c r="F673" s="373"/>
      <c r="G673" s="374"/>
      <c r="H673" s="357"/>
      <c r="I673" s="358"/>
      <c r="J673" s="357"/>
      <c r="K673" s="358"/>
      <c r="L673" s="359"/>
      <c r="M673" s="307"/>
      <c r="N673" s="359"/>
      <c r="O673" s="307"/>
      <c r="P673" s="357"/>
      <c r="Q673" s="357"/>
      <c r="R673" s="357"/>
      <c r="S673" s="357"/>
      <c r="T673" s="357"/>
      <c r="U673" s="357"/>
      <c r="V673" s="357"/>
      <c r="W673" s="357"/>
    </row>
    <row r="674">
      <c r="A674" s="358"/>
      <c r="B674" s="357"/>
      <c r="C674" s="358"/>
      <c r="D674" s="373"/>
      <c r="E674" s="373"/>
      <c r="F674" s="373"/>
      <c r="G674" s="374"/>
      <c r="H674" s="357"/>
      <c r="I674" s="358"/>
      <c r="J674" s="357"/>
      <c r="K674" s="358"/>
      <c r="L674" s="359"/>
      <c r="M674" s="307"/>
      <c r="N674" s="359"/>
      <c r="O674" s="307"/>
      <c r="P674" s="357"/>
      <c r="Q674" s="357"/>
      <c r="R674" s="357"/>
      <c r="S674" s="357"/>
      <c r="T674" s="357"/>
      <c r="U674" s="357"/>
      <c r="V674" s="357"/>
      <c r="W674" s="357"/>
    </row>
    <row r="675">
      <c r="A675" s="358"/>
      <c r="B675" s="357"/>
      <c r="C675" s="358"/>
      <c r="D675" s="373"/>
      <c r="E675" s="373"/>
      <c r="F675" s="373"/>
      <c r="G675" s="374"/>
      <c r="H675" s="357"/>
      <c r="I675" s="358"/>
      <c r="J675" s="357"/>
      <c r="K675" s="358"/>
      <c r="L675" s="359"/>
      <c r="M675" s="307"/>
      <c r="N675" s="359"/>
      <c r="O675" s="307"/>
      <c r="P675" s="357"/>
      <c r="Q675" s="357"/>
      <c r="R675" s="357"/>
      <c r="S675" s="357"/>
      <c r="T675" s="357"/>
      <c r="U675" s="357"/>
      <c r="V675" s="357"/>
      <c r="W675" s="357"/>
    </row>
    <row r="676">
      <c r="A676" s="358"/>
      <c r="B676" s="357"/>
      <c r="C676" s="358"/>
      <c r="D676" s="373"/>
      <c r="E676" s="373"/>
      <c r="F676" s="373"/>
      <c r="G676" s="374"/>
      <c r="H676" s="357"/>
      <c r="I676" s="358"/>
      <c r="J676" s="357"/>
      <c r="K676" s="358"/>
      <c r="L676" s="359"/>
      <c r="M676" s="307"/>
      <c r="N676" s="359"/>
      <c r="O676" s="307"/>
      <c r="P676" s="357"/>
      <c r="Q676" s="357"/>
      <c r="R676" s="357"/>
      <c r="S676" s="357"/>
      <c r="T676" s="357"/>
      <c r="U676" s="357"/>
      <c r="V676" s="357"/>
      <c r="W676" s="357"/>
    </row>
    <row r="677">
      <c r="A677" s="358"/>
      <c r="B677" s="357"/>
      <c r="C677" s="358"/>
      <c r="D677" s="373"/>
      <c r="E677" s="373"/>
      <c r="F677" s="373"/>
      <c r="G677" s="374"/>
      <c r="H677" s="357"/>
      <c r="I677" s="358"/>
      <c r="J677" s="357"/>
      <c r="K677" s="358"/>
      <c r="L677" s="359"/>
      <c r="M677" s="307"/>
      <c r="N677" s="359"/>
      <c r="O677" s="307"/>
      <c r="P677" s="357"/>
      <c r="Q677" s="357"/>
      <c r="R677" s="357"/>
      <c r="S677" s="357"/>
      <c r="T677" s="357"/>
      <c r="U677" s="357"/>
      <c r="V677" s="357"/>
      <c r="W677" s="357"/>
    </row>
    <row r="678">
      <c r="A678" s="358"/>
      <c r="B678" s="357"/>
      <c r="C678" s="358"/>
      <c r="D678" s="373"/>
      <c r="E678" s="373"/>
      <c r="F678" s="373"/>
      <c r="G678" s="374"/>
      <c r="H678" s="357"/>
      <c r="I678" s="358"/>
      <c r="J678" s="357"/>
      <c r="K678" s="358"/>
      <c r="L678" s="359"/>
      <c r="M678" s="307"/>
      <c r="N678" s="359"/>
      <c r="O678" s="307"/>
      <c r="P678" s="357"/>
      <c r="Q678" s="357"/>
      <c r="R678" s="357"/>
      <c r="S678" s="357"/>
      <c r="T678" s="357"/>
      <c r="U678" s="357"/>
      <c r="V678" s="357"/>
      <c r="W678" s="357"/>
    </row>
    <row r="679">
      <c r="A679" s="358"/>
      <c r="B679" s="357"/>
      <c r="C679" s="358"/>
      <c r="D679" s="373"/>
      <c r="E679" s="373"/>
      <c r="F679" s="373"/>
      <c r="G679" s="374"/>
      <c r="H679" s="357"/>
      <c r="I679" s="358"/>
      <c r="J679" s="357"/>
      <c r="K679" s="358"/>
      <c r="L679" s="359"/>
      <c r="M679" s="307"/>
      <c r="N679" s="359"/>
      <c r="O679" s="307"/>
      <c r="P679" s="357"/>
      <c r="Q679" s="357"/>
      <c r="R679" s="357"/>
      <c r="S679" s="357"/>
      <c r="T679" s="357"/>
      <c r="U679" s="357"/>
      <c r="V679" s="357"/>
      <c r="W679" s="357"/>
    </row>
    <row r="680">
      <c r="A680" s="358"/>
      <c r="B680" s="357"/>
      <c r="C680" s="358"/>
      <c r="D680" s="373"/>
      <c r="E680" s="373"/>
      <c r="F680" s="373"/>
      <c r="G680" s="374"/>
      <c r="H680" s="357"/>
      <c r="I680" s="358"/>
      <c r="J680" s="357"/>
      <c r="K680" s="358"/>
      <c r="L680" s="359"/>
      <c r="M680" s="307"/>
      <c r="N680" s="359"/>
      <c r="O680" s="307"/>
      <c r="P680" s="357"/>
      <c r="Q680" s="357"/>
      <c r="R680" s="357"/>
      <c r="S680" s="357"/>
      <c r="T680" s="357"/>
      <c r="U680" s="357"/>
      <c r="V680" s="357"/>
      <c r="W680" s="357"/>
    </row>
    <row r="681">
      <c r="A681" s="358"/>
      <c r="B681" s="357"/>
      <c r="C681" s="358"/>
      <c r="D681" s="373"/>
      <c r="E681" s="373"/>
      <c r="F681" s="373"/>
      <c r="G681" s="374"/>
      <c r="H681" s="357"/>
      <c r="I681" s="358"/>
      <c r="J681" s="357"/>
      <c r="K681" s="358"/>
      <c r="L681" s="359"/>
      <c r="M681" s="307"/>
      <c r="N681" s="359"/>
      <c r="O681" s="307"/>
      <c r="P681" s="357"/>
      <c r="Q681" s="357"/>
      <c r="R681" s="357"/>
      <c r="S681" s="357"/>
      <c r="T681" s="357"/>
      <c r="U681" s="357"/>
      <c r="V681" s="357"/>
      <c r="W681" s="357"/>
    </row>
    <row r="682">
      <c r="A682" s="358"/>
      <c r="B682" s="357"/>
      <c r="C682" s="358"/>
      <c r="D682" s="373"/>
      <c r="E682" s="373"/>
      <c r="F682" s="373"/>
      <c r="G682" s="374"/>
      <c r="H682" s="357"/>
      <c r="I682" s="358"/>
      <c r="J682" s="357"/>
      <c r="K682" s="358"/>
      <c r="L682" s="359"/>
      <c r="M682" s="307"/>
      <c r="N682" s="359"/>
      <c r="O682" s="307"/>
      <c r="P682" s="357"/>
      <c r="Q682" s="357"/>
      <c r="R682" s="357"/>
      <c r="S682" s="357"/>
      <c r="T682" s="357"/>
      <c r="U682" s="357"/>
      <c r="V682" s="357"/>
      <c r="W682" s="357"/>
    </row>
    <row r="683">
      <c r="A683" s="358"/>
      <c r="B683" s="357"/>
      <c r="C683" s="358"/>
      <c r="D683" s="373"/>
      <c r="E683" s="373"/>
      <c r="F683" s="373"/>
      <c r="G683" s="374"/>
      <c r="H683" s="357"/>
      <c r="I683" s="358"/>
      <c r="J683" s="357"/>
      <c r="K683" s="358"/>
      <c r="L683" s="359"/>
      <c r="M683" s="307"/>
      <c r="N683" s="359"/>
      <c r="O683" s="307"/>
      <c r="P683" s="357"/>
      <c r="Q683" s="357"/>
      <c r="R683" s="357"/>
      <c r="S683" s="357"/>
      <c r="T683" s="357"/>
      <c r="U683" s="357"/>
      <c r="V683" s="357"/>
      <c r="W683" s="357"/>
    </row>
    <row r="684">
      <c r="A684" s="358"/>
      <c r="B684" s="357"/>
      <c r="C684" s="358"/>
      <c r="D684" s="373"/>
      <c r="E684" s="373"/>
      <c r="F684" s="373"/>
      <c r="G684" s="374"/>
      <c r="H684" s="357"/>
      <c r="I684" s="358"/>
      <c r="J684" s="357"/>
      <c r="K684" s="358"/>
      <c r="L684" s="359"/>
      <c r="M684" s="307"/>
      <c r="N684" s="359"/>
      <c r="O684" s="307"/>
      <c r="P684" s="357"/>
      <c r="Q684" s="357"/>
      <c r="R684" s="357"/>
      <c r="S684" s="357"/>
      <c r="T684" s="357"/>
      <c r="U684" s="357"/>
      <c r="V684" s="357"/>
      <c r="W684" s="357"/>
    </row>
    <row r="685">
      <c r="A685" s="358"/>
      <c r="B685" s="357"/>
      <c r="C685" s="358"/>
      <c r="D685" s="373"/>
      <c r="E685" s="373"/>
      <c r="F685" s="373"/>
      <c r="G685" s="374"/>
      <c r="H685" s="357"/>
      <c r="I685" s="358"/>
      <c r="J685" s="357"/>
      <c r="K685" s="358"/>
      <c r="L685" s="359"/>
      <c r="M685" s="307"/>
      <c r="N685" s="359"/>
      <c r="O685" s="307"/>
      <c r="P685" s="357"/>
      <c r="Q685" s="357"/>
      <c r="R685" s="357"/>
      <c r="S685" s="357"/>
      <c r="T685" s="357"/>
      <c r="U685" s="357"/>
      <c r="V685" s="357"/>
      <c r="W685" s="357"/>
    </row>
    <row r="686">
      <c r="A686" s="358"/>
      <c r="B686" s="357"/>
      <c r="C686" s="358"/>
      <c r="D686" s="373"/>
      <c r="E686" s="373"/>
      <c r="F686" s="373"/>
      <c r="G686" s="374"/>
      <c r="H686" s="357"/>
      <c r="I686" s="358"/>
      <c r="J686" s="357"/>
      <c r="K686" s="358"/>
      <c r="L686" s="359"/>
      <c r="M686" s="307"/>
      <c r="N686" s="359"/>
      <c r="O686" s="307"/>
      <c r="P686" s="357"/>
      <c r="Q686" s="357"/>
      <c r="R686" s="357"/>
      <c r="S686" s="357"/>
      <c r="T686" s="357"/>
      <c r="U686" s="357"/>
      <c r="V686" s="357"/>
      <c r="W686" s="357"/>
    </row>
    <row r="687">
      <c r="A687" s="358"/>
      <c r="B687" s="357"/>
      <c r="C687" s="358"/>
      <c r="D687" s="373"/>
      <c r="E687" s="373"/>
      <c r="F687" s="373"/>
      <c r="G687" s="374"/>
      <c r="H687" s="357"/>
      <c r="I687" s="358"/>
      <c r="J687" s="357"/>
      <c r="K687" s="358"/>
      <c r="L687" s="359"/>
      <c r="M687" s="307"/>
      <c r="N687" s="359"/>
      <c r="O687" s="307"/>
      <c r="P687" s="357"/>
      <c r="Q687" s="357"/>
      <c r="R687" s="357"/>
      <c r="S687" s="357"/>
      <c r="T687" s="357"/>
      <c r="U687" s="357"/>
      <c r="V687" s="357"/>
      <c r="W687" s="357"/>
    </row>
    <row r="688">
      <c r="A688" s="358"/>
      <c r="B688" s="357"/>
      <c r="C688" s="358"/>
      <c r="D688" s="373"/>
      <c r="E688" s="373"/>
      <c r="F688" s="373"/>
      <c r="G688" s="374"/>
      <c r="H688" s="357"/>
      <c r="I688" s="358"/>
      <c r="J688" s="357"/>
      <c r="K688" s="358"/>
      <c r="L688" s="359"/>
      <c r="M688" s="307"/>
      <c r="N688" s="359"/>
      <c r="O688" s="307"/>
      <c r="P688" s="357"/>
      <c r="Q688" s="357"/>
      <c r="R688" s="357"/>
      <c r="S688" s="357"/>
      <c r="T688" s="357"/>
      <c r="U688" s="357"/>
      <c r="V688" s="357"/>
      <c r="W688" s="357"/>
    </row>
    <row r="689">
      <c r="A689" s="358"/>
      <c r="B689" s="357"/>
      <c r="C689" s="358"/>
      <c r="D689" s="373"/>
      <c r="E689" s="373"/>
      <c r="F689" s="373"/>
      <c r="G689" s="374"/>
      <c r="H689" s="357"/>
      <c r="I689" s="358"/>
      <c r="J689" s="357"/>
      <c r="K689" s="358"/>
      <c r="L689" s="359"/>
      <c r="M689" s="307"/>
      <c r="N689" s="359"/>
      <c r="O689" s="307"/>
      <c r="P689" s="357"/>
      <c r="Q689" s="357"/>
      <c r="R689" s="357"/>
      <c r="S689" s="357"/>
      <c r="T689" s="357"/>
      <c r="U689" s="357"/>
      <c r="V689" s="357"/>
      <c r="W689" s="357"/>
    </row>
    <row r="690">
      <c r="A690" s="358"/>
      <c r="B690" s="357"/>
      <c r="C690" s="358"/>
      <c r="D690" s="373"/>
      <c r="E690" s="373"/>
      <c r="F690" s="373"/>
      <c r="G690" s="374"/>
      <c r="H690" s="357"/>
      <c r="I690" s="358"/>
      <c r="J690" s="357"/>
      <c r="K690" s="358"/>
      <c r="L690" s="359"/>
      <c r="M690" s="307"/>
      <c r="N690" s="359"/>
      <c r="O690" s="307"/>
      <c r="P690" s="357"/>
      <c r="Q690" s="357"/>
      <c r="R690" s="357"/>
      <c r="S690" s="357"/>
      <c r="T690" s="357"/>
      <c r="U690" s="357"/>
      <c r="V690" s="357"/>
      <c r="W690" s="357"/>
    </row>
    <row r="691">
      <c r="A691" s="358"/>
      <c r="B691" s="357"/>
      <c r="C691" s="358"/>
      <c r="D691" s="373"/>
      <c r="E691" s="373"/>
      <c r="F691" s="373"/>
      <c r="G691" s="374"/>
      <c r="H691" s="357"/>
      <c r="I691" s="358"/>
      <c r="J691" s="357"/>
      <c r="K691" s="358"/>
      <c r="L691" s="359"/>
      <c r="M691" s="307"/>
      <c r="N691" s="359"/>
      <c r="O691" s="307"/>
      <c r="P691" s="357"/>
      <c r="Q691" s="357"/>
      <c r="R691" s="357"/>
      <c r="S691" s="357"/>
      <c r="T691" s="357"/>
      <c r="U691" s="357"/>
      <c r="V691" s="357"/>
      <c r="W691" s="357"/>
    </row>
    <row r="692">
      <c r="A692" s="358"/>
      <c r="B692" s="357"/>
      <c r="C692" s="358"/>
      <c r="D692" s="373"/>
      <c r="E692" s="373"/>
      <c r="F692" s="373"/>
      <c r="G692" s="374"/>
      <c r="H692" s="357"/>
      <c r="I692" s="358"/>
      <c r="J692" s="357"/>
      <c r="K692" s="358"/>
      <c r="L692" s="359"/>
      <c r="M692" s="307"/>
      <c r="N692" s="359"/>
      <c r="O692" s="307"/>
      <c r="P692" s="357"/>
      <c r="Q692" s="357"/>
      <c r="R692" s="357"/>
      <c r="S692" s="357"/>
      <c r="T692" s="357"/>
      <c r="U692" s="357"/>
      <c r="V692" s="357"/>
      <c r="W692" s="357"/>
    </row>
    <row r="693">
      <c r="A693" s="358"/>
      <c r="B693" s="357"/>
      <c r="C693" s="358"/>
      <c r="D693" s="373"/>
      <c r="E693" s="373"/>
      <c r="F693" s="373"/>
      <c r="G693" s="374"/>
      <c r="H693" s="357"/>
      <c r="I693" s="358"/>
      <c r="J693" s="357"/>
      <c r="K693" s="358"/>
      <c r="L693" s="359"/>
      <c r="M693" s="307"/>
      <c r="N693" s="359"/>
      <c r="O693" s="307"/>
      <c r="P693" s="357"/>
      <c r="Q693" s="357"/>
      <c r="R693" s="357"/>
      <c r="S693" s="357"/>
      <c r="T693" s="357"/>
      <c r="U693" s="357"/>
      <c r="V693" s="357"/>
      <c r="W693" s="357"/>
    </row>
    <row r="694">
      <c r="A694" s="358"/>
      <c r="B694" s="357"/>
      <c r="C694" s="358"/>
      <c r="D694" s="373"/>
      <c r="E694" s="373"/>
      <c r="F694" s="373"/>
      <c r="G694" s="374"/>
      <c r="H694" s="357"/>
      <c r="I694" s="358"/>
      <c r="J694" s="357"/>
      <c r="K694" s="358"/>
      <c r="L694" s="359"/>
      <c r="M694" s="307"/>
      <c r="N694" s="359"/>
      <c r="O694" s="307"/>
      <c r="P694" s="357"/>
      <c r="Q694" s="357"/>
      <c r="R694" s="357"/>
      <c r="S694" s="357"/>
      <c r="T694" s="357"/>
      <c r="U694" s="357"/>
      <c r="V694" s="357"/>
      <c r="W694" s="357"/>
    </row>
    <row r="695">
      <c r="A695" s="358"/>
      <c r="B695" s="357"/>
      <c r="C695" s="358"/>
      <c r="D695" s="373"/>
      <c r="E695" s="373"/>
      <c r="F695" s="373"/>
      <c r="G695" s="374"/>
      <c r="H695" s="357"/>
      <c r="I695" s="358"/>
      <c r="J695" s="357"/>
      <c r="K695" s="358"/>
      <c r="L695" s="359"/>
      <c r="M695" s="307"/>
      <c r="N695" s="359"/>
      <c r="O695" s="307"/>
      <c r="P695" s="357"/>
      <c r="Q695" s="357"/>
      <c r="R695" s="357"/>
      <c r="S695" s="357"/>
      <c r="T695" s="357"/>
      <c r="U695" s="357"/>
      <c r="V695" s="357"/>
      <c r="W695" s="357"/>
    </row>
    <row r="696">
      <c r="A696" s="358"/>
      <c r="B696" s="357"/>
      <c r="C696" s="358"/>
      <c r="D696" s="373"/>
      <c r="E696" s="373"/>
      <c r="F696" s="373"/>
      <c r="G696" s="374"/>
      <c r="H696" s="357"/>
      <c r="I696" s="358"/>
      <c r="J696" s="357"/>
      <c r="K696" s="358"/>
      <c r="L696" s="359"/>
      <c r="M696" s="307"/>
      <c r="N696" s="359"/>
      <c r="O696" s="307"/>
      <c r="P696" s="357"/>
      <c r="Q696" s="357"/>
      <c r="R696" s="357"/>
      <c r="S696" s="357"/>
      <c r="T696" s="357"/>
      <c r="U696" s="357"/>
      <c r="V696" s="357"/>
      <c r="W696" s="357"/>
    </row>
    <row r="697">
      <c r="A697" s="358"/>
      <c r="B697" s="357"/>
      <c r="C697" s="358"/>
      <c r="D697" s="373"/>
      <c r="E697" s="373"/>
      <c r="F697" s="373"/>
      <c r="G697" s="374"/>
      <c r="H697" s="357"/>
      <c r="I697" s="358"/>
      <c r="J697" s="357"/>
      <c r="K697" s="358"/>
      <c r="L697" s="359"/>
      <c r="M697" s="307"/>
      <c r="N697" s="359"/>
      <c r="O697" s="307"/>
      <c r="P697" s="357"/>
      <c r="Q697" s="357"/>
      <c r="R697" s="357"/>
      <c r="S697" s="357"/>
      <c r="T697" s="357"/>
      <c r="U697" s="357"/>
      <c r="V697" s="357"/>
      <c r="W697" s="357"/>
    </row>
    <row r="698">
      <c r="A698" s="358"/>
      <c r="B698" s="357"/>
      <c r="C698" s="358"/>
      <c r="D698" s="373"/>
      <c r="E698" s="373"/>
      <c r="F698" s="373"/>
      <c r="G698" s="374"/>
      <c r="H698" s="357"/>
      <c r="I698" s="358"/>
      <c r="J698" s="357"/>
      <c r="K698" s="358"/>
      <c r="L698" s="359"/>
      <c r="M698" s="307"/>
      <c r="N698" s="359"/>
      <c r="O698" s="307"/>
      <c r="P698" s="357"/>
      <c r="Q698" s="357"/>
      <c r="R698" s="357"/>
      <c r="S698" s="357"/>
      <c r="T698" s="357"/>
      <c r="U698" s="357"/>
      <c r="V698" s="357"/>
      <c r="W698" s="357"/>
    </row>
    <row r="699">
      <c r="A699" s="358"/>
      <c r="B699" s="357"/>
      <c r="C699" s="358"/>
      <c r="D699" s="373"/>
      <c r="E699" s="373"/>
      <c r="F699" s="373"/>
      <c r="G699" s="374"/>
      <c r="H699" s="357"/>
      <c r="I699" s="358"/>
      <c r="J699" s="357"/>
      <c r="K699" s="358"/>
      <c r="L699" s="359"/>
      <c r="M699" s="307"/>
      <c r="N699" s="359"/>
      <c r="O699" s="307"/>
      <c r="P699" s="357"/>
      <c r="Q699" s="357"/>
      <c r="R699" s="357"/>
      <c r="S699" s="357"/>
      <c r="T699" s="357"/>
      <c r="U699" s="357"/>
      <c r="V699" s="357"/>
      <c r="W699" s="357"/>
    </row>
    <row r="700">
      <c r="A700" s="358"/>
      <c r="B700" s="357"/>
      <c r="C700" s="358"/>
      <c r="D700" s="373"/>
      <c r="E700" s="373"/>
      <c r="F700" s="373"/>
      <c r="G700" s="374"/>
      <c r="H700" s="357"/>
      <c r="I700" s="358"/>
      <c r="J700" s="357"/>
      <c r="K700" s="358"/>
      <c r="L700" s="359"/>
      <c r="M700" s="307"/>
      <c r="N700" s="359"/>
      <c r="O700" s="307"/>
      <c r="P700" s="357"/>
      <c r="Q700" s="357"/>
      <c r="R700" s="357"/>
      <c r="S700" s="357"/>
      <c r="T700" s="357"/>
      <c r="U700" s="357"/>
      <c r="V700" s="357"/>
      <c r="W700" s="357"/>
    </row>
    <row r="701">
      <c r="A701" s="358"/>
      <c r="B701" s="357"/>
      <c r="C701" s="358"/>
      <c r="D701" s="373"/>
      <c r="E701" s="373"/>
      <c r="F701" s="373"/>
      <c r="G701" s="374"/>
      <c r="H701" s="357"/>
      <c r="I701" s="358"/>
      <c r="J701" s="357"/>
      <c r="K701" s="358"/>
      <c r="L701" s="359"/>
      <c r="M701" s="307"/>
      <c r="N701" s="359"/>
      <c r="O701" s="307"/>
      <c r="P701" s="357"/>
      <c r="Q701" s="357"/>
      <c r="R701" s="357"/>
      <c r="S701" s="357"/>
      <c r="T701" s="357"/>
      <c r="U701" s="357"/>
      <c r="V701" s="357"/>
      <c r="W701" s="357"/>
    </row>
    <row r="702">
      <c r="A702" s="358"/>
      <c r="B702" s="357"/>
      <c r="C702" s="358"/>
      <c r="D702" s="373"/>
      <c r="E702" s="373"/>
      <c r="F702" s="373"/>
      <c r="G702" s="374"/>
      <c r="H702" s="357"/>
      <c r="I702" s="358"/>
      <c r="J702" s="357"/>
      <c r="K702" s="358"/>
      <c r="L702" s="359"/>
      <c r="M702" s="307"/>
      <c r="N702" s="359"/>
      <c r="O702" s="307"/>
      <c r="P702" s="357"/>
      <c r="Q702" s="357"/>
      <c r="R702" s="357"/>
      <c r="S702" s="357"/>
      <c r="T702" s="357"/>
      <c r="U702" s="357"/>
      <c r="V702" s="357"/>
      <c r="W702" s="357"/>
    </row>
    <row r="703">
      <c r="A703" s="358"/>
      <c r="B703" s="357"/>
      <c r="C703" s="358"/>
      <c r="D703" s="373"/>
      <c r="E703" s="373"/>
      <c r="F703" s="373"/>
      <c r="G703" s="374"/>
      <c r="H703" s="357"/>
      <c r="I703" s="358"/>
      <c r="J703" s="357"/>
      <c r="K703" s="358"/>
      <c r="L703" s="359"/>
      <c r="M703" s="307"/>
      <c r="N703" s="359"/>
      <c r="O703" s="307"/>
      <c r="P703" s="357"/>
      <c r="Q703" s="357"/>
      <c r="R703" s="357"/>
      <c r="S703" s="357"/>
      <c r="T703" s="357"/>
      <c r="U703" s="357"/>
      <c r="V703" s="357"/>
      <c r="W703" s="357"/>
    </row>
    <row r="704">
      <c r="A704" s="358"/>
      <c r="B704" s="357"/>
      <c r="C704" s="358"/>
      <c r="D704" s="373"/>
      <c r="E704" s="373"/>
      <c r="F704" s="373"/>
      <c r="G704" s="374"/>
      <c r="H704" s="357"/>
      <c r="I704" s="358"/>
      <c r="J704" s="357"/>
      <c r="K704" s="358"/>
      <c r="L704" s="359"/>
      <c r="M704" s="307"/>
      <c r="N704" s="359"/>
      <c r="O704" s="307"/>
      <c r="P704" s="357"/>
      <c r="Q704" s="357"/>
      <c r="R704" s="357"/>
      <c r="S704" s="357"/>
      <c r="T704" s="357"/>
      <c r="U704" s="357"/>
      <c r="V704" s="357"/>
      <c r="W704" s="357"/>
    </row>
    <row r="705">
      <c r="A705" s="358"/>
      <c r="B705" s="357"/>
      <c r="C705" s="358"/>
      <c r="D705" s="373"/>
      <c r="E705" s="373"/>
      <c r="F705" s="373"/>
      <c r="G705" s="374"/>
      <c r="H705" s="357"/>
      <c r="I705" s="358"/>
      <c r="J705" s="357"/>
      <c r="K705" s="358"/>
      <c r="L705" s="359"/>
      <c r="M705" s="307"/>
      <c r="N705" s="359"/>
      <c r="O705" s="307"/>
      <c r="P705" s="357"/>
      <c r="Q705" s="357"/>
      <c r="R705" s="357"/>
      <c r="S705" s="357"/>
      <c r="T705" s="357"/>
      <c r="U705" s="357"/>
      <c r="V705" s="357"/>
      <c r="W705" s="357"/>
    </row>
    <row r="706">
      <c r="A706" s="358"/>
      <c r="B706" s="357"/>
      <c r="C706" s="358"/>
      <c r="D706" s="373"/>
      <c r="E706" s="373"/>
      <c r="F706" s="373"/>
      <c r="G706" s="374"/>
      <c r="H706" s="357"/>
      <c r="I706" s="358"/>
      <c r="J706" s="357"/>
      <c r="K706" s="358"/>
      <c r="L706" s="359"/>
      <c r="M706" s="307"/>
      <c r="N706" s="359"/>
      <c r="O706" s="307"/>
      <c r="P706" s="357"/>
      <c r="Q706" s="357"/>
      <c r="R706" s="357"/>
      <c r="S706" s="357"/>
      <c r="T706" s="357"/>
      <c r="U706" s="357"/>
      <c r="V706" s="357"/>
      <c r="W706" s="357"/>
    </row>
    <row r="707">
      <c r="A707" s="358"/>
      <c r="B707" s="357"/>
      <c r="C707" s="358"/>
      <c r="D707" s="373"/>
      <c r="E707" s="373"/>
      <c r="F707" s="373"/>
      <c r="G707" s="374"/>
      <c r="H707" s="357"/>
      <c r="I707" s="358"/>
      <c r="J707" s="357"/>
      <c r="K707" s="358"/>
      <c r="L707" s="359"/>
      <c r="M707" s="307"/>
      <c r="N707" s="359"/>
      <c r="O707" s="307"/>
      <c r="P707" s="357"/>
      <c r="Q707" s="357"/>
      <c r="R707" s="357"/>
      <c r="S707" s="357"/>
      <c r="T707" s="357"/>
      <c r="U707" s="357"/>
      <c r="V707" s="357"/>
      <c r="W707" s="357"/>
    </row>
    <row r="708">
      <c r="A708" s="358"/>
      <c r="B708" s="357"/>
      <c r="C708" s="358"/>
      <c r="D708" s="373"/>
      <c r="E708" s="373"/>
      <c r="F708" s="373"/>
      <c r="G708" s="374"/>
      <c r="H708" s="357"/>
      <c r="I708" s="358"/>
      <c r="J708" s="357"/>
      <c r="K708" s="358"/>
      <c r="L708" s="359"/>
      <c r="M708" s="307"/>
      <c r="N708" s="359"/>
      <c r="O708" s="307"/>
      <c r="P708" s="357"/>
      <c r="Q708" s="357"/>
      <c r="R708" s="357"/>
      <c r="S708" s="357"/>
      <c r="T708" s="357"/>
      <c r="U708" s="357"/>
      <c r="V708" s="357"/>
      <c r="W708" s="357"/>
    </row>
    <row r="709">
      <c r="A709" s="358"/>
      <c r="B709" s="357"/>
      <c r="C709" s="358"/>
      <c r="D709" s="373"/>
      <c r="E709" s="373"/>
      <c r="F709" s="373"/>
      <c r="G709" s="374"/>
      <c r="H709" s="357"/>
      <c r="I709" s="358"/>
      <c r="J709" s="357"/>
      <c r="K709" s="358"/>
      <c r="L709" s="359"/>
      <c r="M709" s="307"/>
      <c r="N709" s="359"/>
      <c r="O709" s="307"/>
      <c r="P709" s="357"/>
      <c r="Q709" s="357"/>
      <c r="R709" s="357"/>
      <c r="S709" s="357"/>
      <c r="T709" s="357"/>
      <c r="U709" s="357"/>
      <c r="V709" s="357"/>
      <c r="W709" s="357"/>
    </row>
    <row r="710">
      <c r="A710" s="358"/>
      <c r="B710" s="357"/>
      <c r="C710" s="358"/>
      <c r="D710" s="373"/>
      <c r="E710" s="373"/>
      <c r="F710" s="373"/>
      <c r="G710" s="374"/>
      <c r="H710" s="357"/>
      <c r="I710" s="358"/>
      <c r="J710" s="357"/>
      <c r="K710" s="358"/>
      <c r="L710" s="359"/>
      <c r="M710" s="307"/>
      <c r="N710" s="359"/>
      <c r="O710" s="307"/>
      <c r="P710" s="357"/>
      <c r="Q710" s="357"/>
      <c r="R710" s="357"/>
      <c r="S710" s="357"/>
      <c r="T710" s="357"/>
      <c r="U710" s="357"/>
      <c r="V710" s="357"/>
      <c r="W710" s="357"/>
    </row>
    <row r="711">
      <c r="A711" s="358"/>
      <c r="B711" s="357"/>
      <c r="C711" s="358"/>
      <c r="D711" s="373"/>
      <c r="E711" s="373"/>
      <c r="F711" s="373"/>
      <c r="G711" s="374"/>
      <c r="H711" s="357"/>
      <c r="I711" s="358"/>
      <c r="J711" s="357"/>
      <c r="K711" s="358"/>
      <c r="L711" s="359"/>
      <c r="M711" s="307"/>
      <c r="N711" s="359"/>
      <c r="O711" s="307"/>
      <c r="P711" s="357"/>
      <c r="Q711" s="357"/>
      <c r="R711" s="357"/>
      <c r="S711" s="357"/>
      <c r="T711" s="357"/>
      <c r="U711" s="357"/>
      <c r="V711" s="357"/>
      <c r="W711" s="357"/>
    </row>
    <row r="712">
      <c r="A712" s="358"/>
      <c r="B712" s="357"/>
      <c r="C712" s="358"/>
      <c r="D712" s="373"/>
      <c r="E712" s="373"/>
      <c r="F712" s="373"/>
      <c r="G712" s="374"/>
      <c r="H712" s="357"/>
      <c r="I712" s="358"/>
      <c r="J712" s="357"/>
      <c r="K712" s="358"/>
      <c r="L712" s="359"/>
      <c r="M712" s="307"/>
      <c r="N712" s="359"/>
      <c r="O712" s="307"/>
      <c r="P712" s="357"/>
      <c r="Q712" s="357"/>
      <c r="R712" s="357"/>
      <c r="S712" s="357"/>
      <c r="T712" s="357"/>
      <c r="U712" s="357"/>
      <c r="V712" s="357"/>
      <c r="W712" s="357"/>
    </row>
    <row r="713">
      <c r="A713" s="358"/>
      <c r="B713" s="357"/>
      <c r="C713" s="358"/>
      <c r="D713" s="373"/>
      <c r="E713" s="373"/>
      <c r="F713" s="373"/>
      <c r="G713" s="374"/>
      <c r="H713" s="357"/>
      <c r="I713" s="358"/>
      <c r="J713" s="357"/>
      <c r="K713" s="358"/>
      <c r="L713" s="359"/>
      <c r="M713" s="307"/>
      <c r="N713" s="359"/>
      <c r="O713" s="307"/>
      <c r="P713" s="357"/>
      <c r="Q713" s="357"/>
      <c r="R713" s="357"/>
      <c r="S713" s="357"/>
      <c r="T713" s="357"/>
      <c r="U713" s="357"/>
      <c r="V713" s="357"/>
      <c r="W713" s="357"/>
    </row>
    <row r="714">
      <c r="A714" s="358"/>
      <c r="B714" s="357"/>
      <c r="C714" s="358"/>
      <c r="D714" s="373"/>
      <c r="E714" s="373"/>
      <c r="F714" s="373"/>
      <c r="G714" s="374"/>
      <c r="H714" s="357"/>
      <c r="I714" s="358"/>
      <c r="J714" s="357"/>
      <c r="K714" s="358"/>
      <c r="L714" s="359"/>
      <c r="M714" s="307"/>
      <c r="N714" s="359"/>
      <c r="O714" s="307"/>
      <c r="P714" s="357"/>
      <c r="Q714" s="357"/>
      <c r="R714" s="357"/>
      <c r="S714" s="357"/>
      <c r="T714" s="357"/>
      <c r="U714" s="357"/>
      <c r="V714" s="357"/>
      <c r="W714" s="357"/>
    </row>
    <row r="715">
      <c r="A715" s="358"/>
      <c r="B715" s="357"/>
      <c r="C715" s="358"/>
      <c r="D715" s="373"/>
      <c r="E715" s="373"/>
      <c r="F715" s="373"/>
      <c r="G715" s="374"/>
      <c r="H715" s="357"/>
      <c r="I715" s="358"/>
      <c r="J715" s="357"/>
      <c r="K715" s="358"/>
      <c r="L715" s="359"/>
      <c r="M715" s="307"/>
      <c r="N715" s="359"/>
      <c r="O715" s="307"/>
      <c r="P715" s="357"/>
      <c r="Q715" s="357"/>
      <c r="R715" s="357"/>
      <c r="S715" s="357"/>
      <c r="T715" s="357"/>
      <c r="U715" s="357"/>
      <c r="V715" s="357"/>
      <c r="W715" s="357"/>
    </row>
    <row r="716">
      <c r="A716" s="358"/>
      <c r="B716" s="357"/>
      <c r="C716" s="358"/>
      <c r="D716" s="373"/>
      <c r="E716" s="373"/>
      <c r="F716" s="373"/>
      <c r="G716" s="374"/>
      <c r="H716" s="357"/>
      <c r="I716" s="358"/>
      <c r="J716" s="357"/>
      <c r="K716" s="358"/>
      <c r="L716" s="359"/>
      <c r="M716" s="307"/>
      <c r="N716" s="359"/>
      <c r="O716" s="307"/>
      <c r="P716" s="357"/>
      <c r="Q716" s="357"/>
      <c r="R716" s="357"/>
      <c r="S716" s="357"/>
      <c r="T716" s="357"/>
      <c r="U716" s="357"/>
      <c r="V716" s="357"/>
      <c r="W716" s="357"/>
    </row>
    <row r="717">
      <c r="A717" s="358"/>
      <c r="B717" s="357"/>
      <c r="C717" s="358"/>
      <c r="D717" s="373"/>
      <c r="E717" s="373"/>
      <c r="F717" s="373"/>
      <c r="G717" s="374"/>
      <c r="H717" s="357"/>
      <c r="I717" s="358"/>
      <c r="J717" s="357"/>
      <c r="K717" s="358"/>
      <c r="L717" s="359"/>
      <c r="M717" s="307"/>
      <c r="N717" s="359"/>
      <c r="O717" s="307"/>
      <c r="P717" s="357"/>
      <c r="Q717" s="357"/>
      <c r="R717" s="357"/>
      <c r="S717" s="357"/>
      <c r="T717" s="357"/>
      <c r="U717" s="357"/>
      <c r="V717" s="357"/>
      <c r="W717" s="357"/>
    </row>
    <row r="718">
      <c r="A718" s="358"/>
      <c r="B718" s="357"/>
      <c r="C718" s="358"/>
      <c r="D718" s="373"/>
      <c r="E718" s="373"/>
      <c r="F718" s="373"/>
      <c r="G718" s="374"/>
      <c r="H718" s="357"/>
      <c r="I718" s="358"/>
      <c r="J718" s="357"/>
      <c r="K718" s="358"/>
      <c r="L718" s="359"/>
      <c r="M718" s="307"/>
      <c r="N718" s="359"/>
      <c r="O718" s="307"/>
      <c r="P718" s="357"/>
      <c r="Q718" s="357"/>
      <c r="R718" s="357"/>
      <c r="S718" s="357"/>
      <c r="T718" s="357"/>
      <c r="U718" s="357"/>
      <c r="V718" s="357"/>
      <c r="W718" s="357"/>
    </row>
    <row r="719">
      <c r="A719" s="358"/>
      <c r="B719" s="357"/>
      <c r="C719" s="358"/>
      <c r="D719" s="373"/>
      <c r="E719" s="373"/>
      <c r="F719" s="373"/>
      <c r="G719" s="374"/>
      <c r="H719" s="357"/>
      <c r="I719" s="358"/>
      <c r="J719" s="357"/>
      <c r="K719" s="358"/>
      <c r="L719" s="359"/>
      <c r="M719" s="307"/>
      <c r="N719" s="359"/>
      <c r="O719" s="307"/>
      <c r="P719" s="357"/>
      <c r="Q719" s="357"/>
      <c r="R719" s="357"/>
      <c r="S719" s="357"/>
      <c r="T719" s="357"/>
      <c r="U719" s="357"/>
      <c r="V719" s="357"/>
      <c r="W719" s="357"/>
    </row>
    <row r="720">
      <c r="A720" s="358"/>
      <c r="B720" s="357"/>
      <c r="C720" s="358"/>
      <c r="D720" s="373"/>
      <c r="E720" s="373"/>
      <c r="F720" s="373"/>
      <c r="G720" s="374"/>
      <c r="H720" s="357"/>
      <c r="I720" s="358"/>
      <c r="J720" s="357"/>
      <c r="K720" s="358"/>
      <c r="L720" s="359"/>
      <c r="M720" s="307"/>
      <c r="N720" s="359"/>
      <c r="O720" s="307"/>
      <c r="P720" s="357"/>
      <c r="Q720" s="357"/>
      <c r="R720" s="357"/>
      <c r="S720" s="357"/>
      <c r="T720" s="357"/>
      <c r="U720" s="357"/>
      <c r="V720" s="357"/>
      <c r="W720" s="357"/>
    </row>
    <row r="721">
      <c r="A721" s="358"/>
      <c r="B721" s="357"/>
      <c r="C721" s="358"/>
      <c r="D721" s="373"/>
      <c r="E721" s="373"/>
      <c r="F721" s="373"/>
      <c r="G721" s="374"/>
      <c r="H721" s="357"/>
      <c r="I721" s="358"/>
      <c r="J721" s="357"/>
      <c r="K721" s="358"/>
      <c r="L721" s="359"/>
      <c r="M721" s="307"/>
      <c r="N721" s="359"/>
      <c r="O721" s="307"/>
      <c r="P721" s="357"/>
      <c r="Q721" s="357"/>
      <c r="R721" s="357"/>
      <c r="S721" s="357"/>
      <c r="T721" s="357"/>
      <c r="U721" s="357"/>
      <c r="V721" s="357"/>
      <c r="W721" s="357"/>
    </row>
    <row r="722">
      <c r="A722" s="358"/>
      <c r="B722" s="357"/>
      <c r="C722" s="358"/>
      <c r="D722" s="373"/>
      <c r="E722" s="373"/>
      <c r="F722" s="373"/>
      <c r="G722" s="374"/>
      <c r="H722" s="357"/>
      <c r="I722" s="358"/>
      <c r="J722" s="357"/>
      <c r="K722" s="358"/>
      <c r="L722" s="359"/>
      <c r="M722" s="307"/>
      <c r="N722" s="359"/>
      <c r="O722" s="307"/>
      <c r="P722" s="357"/>
      <c r="Q722" s="357"/>
      <c r="R722" s="357"/>
      <c r="S722" s="357"/>
      <c r="T722" s="357"/>
      <c r="U722" s="357"/>
      <c r="V722" s="357"/>
      <c r="W722" s="357"/>
    </row>
    <row r="723">
      <c r="A723" s="358"/>
      <c r="B723" s="357"/>
      <c r="C723" s="358"/>
      <c r="D723" s="373"/>
      <c r="E723" s="373"/>
      <c r="F723" s="373"/>
      <c r="G723" s="374"/>
      <c r="H723" s="357"/>
      <c r="I723" s="358"/>
      <c r="J723" s="357"/>
      <c r="K723" s="358"/>
      <c r="L723" s="359"/>
      <c r="M723" s="307"/>
      <c r="N723" s="359"/>
      <c r="O723" s="307"/>
      <c r="P723" s="357"/>
      <c r="Q723" s="357"/>
      <c r="R723" s="357"/>
      <c r="S723" s="357"/>
      <c r="T723" s="357"/>
      <c r="U723" s="357"/>
      <c r="V723" s="357"/>
      <c r="W723" s="357"/>
    </row>
    <row r="724">
      <c r="A724" s="358"/>
      <c r="B724" s="357"/>
      <c r="C724" s="358"/>
      <c r="D724" s="373"/>
      <c r="E724" s="373"/>
      <c r="F724" s="373"/>
      <c r="G724" s="374"/>
      <c r="H724" s="357"/>
      <c r="I724" s="358"/>
      <c r="J724" s="357"/>
      <c r="K724" s="358"/>
      <c r="L724" s="359"/>
      <c r="M724" s="307"/>
      <c r="N724" s="359"/>
      <c r="O724" s="307"/>
      <c r="P724" s="357"/>
      <c r="Q724" s="357"/>
      <c r="R724" s="357"/>
      <c r="S724" s="357"/>
      <c r="T724" s="357"/>
      <c r="U724" s="357"/>
      <c r="V724" s="357"/>
      <c r="W724" s="357"/>
    </row>
    <row r="725">
      <c r="A725" s="358"/>
      <c r="B725" s="357"/>
      <c r="C725" s="358"/>
      <c r="D725" s="373"/>
      <c r="E725" s="373"/>
      <c r="F725" s="373"/>
      <c r="G725" s="374"/>
      <c r="H725" s="357"/>
      <c r="I725" s="358"/>
      <c r="J725" s="357"/>
      <c r="K725" s="358"/>
      <c r="L725" s="359"/>
      <c r="M725" s="307"/>
      <c r="N725" s="359"/>
      <c r="O725" s="307"/>
      <c r="P725" s="357"/>
      <c r="Q725" s="357"/>
      <c r="R725" s="357"/>
      <c r="S725" s="357"/>
      <c r="T725" s="357"/>
      <c r="U725" s="357"/>
      <c r="V725" s="357"/>
      <c r="W725" s="357"/>
    </row>
    <row r="726">
      <c r="A726" s="358"/>
      <c r="B726" s="357"/>
      <c r="C726" s="358"/>
      <c r="D726" s="373"/>
      <c r="E726" s="373"/>
      <c r="F726" s="373"/>
      <c r="G726" s="374"/>
      <c r="H726" s="357"/>
      <c r="I726" s="358"/>
      <c r="J726" s="357"/>
      <c r="K726" s="358"/>
      <c r="L726" s="359"/>
      <c r="M726" s="307"/>
      <c r="N726" s="359"/>
      <c r="O726" s="307"/>
      <c r="P726" s="357"/>
      <c r="Q726" s="357"/>
      <c r="R726" s="357"/>
      <c r="S726" s="357"/>
      <c r="T726" s="357"/>
      <c r="U726" s="357"/>
      <c r="V726" s="357"/>
      <c r="W726" s="357"/>
    </row>
    <row r="727">
      <c r="A727" s="358"/>
      <c r="B727" s="357"/>
      <c r="C727" s="358"/>
      <c r="D727" s="373"/>
      <c r="E727" s="373"/>
      <c r="F727" s="373"/>
      <c r="G727" s="374"/>
      <c r="H727" s="357"/>
      <c r="I727" s="358"/>
      <c r="J727" s="357"/>
      <c r="K727" s="358"/>
      <c r="L727" s="359"/>
      <c r="M727" s="307"/>
      <c r="N727" s="359"/>
      <c r="O727" s="307"/>
      <c r="P727" s="357"/>
      <c r="Q727" s="357"/>
      <c r="R727" s="357"/>
      <c r="S727" s="357"/>
      <c r="T727" s="357"/>
      <c r="U727" s="357"/>
      <c r="V727" s="357"/>
      <c r="W727" s="357"/>
    </row>
    <row r="728">
      <c r="A728" s="358"/>
      <c r="B728" s="357"/>
      <c r="C728" s="358"/>
      <c r="D728" s="373"/>
      <c r="E728" s="373"/>
      <c r="F728" s="373"/>
      <c r="G728" s="374"/>
      <c r="H728" s="357"/>
      <c r="I728" s="358"/>
      <c r="J728" s="357"/>
      <c r="K728" s="358"/>
      <c r="L728" s="359"/>
      <c r="M728" s="307"/>
      <c r="N728" s="359"/>
      <c r="O728" s="307"/>
      <c r="P728" s="357"/>
      <c r="Q728" s="357"/>
      <c r="R728" s="357"/>
      <c r="S728" s="357"/>
      <c r="T728" s="357"/>
      <c r="U728" s="357"/>
      <c r="V728" s="357"/>
      <c r="W728" s="357"/>
    </row>
    <row r="729">
      <c r="A729" s="358"/>
      <c r="B729" s="357"/>
      <c r="C729" s="358"/>
      <c r="D729" s="373"/>
      <c r="E729" s="373"/>
      <c r="F729" s="373"/>
      <c r="G729" s="374"/>
      <c r="H729" s="357"/>
      <c r="I729" s="358"/>
      <c r="J729" s="357"/>
      <c r="K729" s="358"/>
      <c r="L729" s="359"/>
      <c r="M729" s="307"/>
      <c r="N729" s="359"/>
      <c r="O729" s="307"/>
      <c r="P729" s="357"/>
      <c r="Q729" s="357"/>
      <c r="R729" s="357"/>
      <c r="S729" s="357"/>
      <c r="T729" s="357"/>
      <c r="U729" s="357"/>
      <c r="V729" s="357"/>
      <c r="W729" s="357"/>
    </row>
    <row r="730">
      <c r="A730" s="358"/>
      <c r="B730" s="357"/>
      <c r="C730" s="358"/>
      <c r="D730" s="373"/>
      <c r="E730" s="373"/>
      <c r="F730" s="373"/>
      <c r="G730" s="374"/>
      <c r="H730" s="357"/>
      <c r="I730" s="358"/>
      <c r="J730" s="357"/>
      <c r="K730" s="358"/>
      <c r="L730" s="359"/>
      <c r="M730" s="307"/>
      <c r="N730" s="359"/>
      <c r="O730" s="307"/>
      <c r="P730" s="357"/>
      <c r="Q730" s="357"/>
      <c r="R730" s="357"/>
      <c r="S730" s="357"/>
      <c r="T730" s="357"/>
      <c r="U730" s="357"/>
      <c r="V730" s="357"/>
      <c r="W730" s="357"/>
    </row>
    <row r="731">
      <c r="A731" s="358"/>
      <c r="B731" s="357"/>
      <c r="C731" s="358"/>
      <c r="D731" s="373"/>
      <c r="E731" s="373"/>
      <c r="F731" s="373"/>
      <c r="G731" s="374"/>
      <c r="H731" s="357"/>
      <c r="I731" s="358"/>
      <c r="J731" s="357"/>
      <c r="K731" s="358"/>
      <c r="L731" s="359"/>
      <c r="M731" s="307"/>
      <c r="N731" s="359"/>
      <c r="O731" s="307"/>
      <c r="P731" s="357"/>
      <c r="Q731" s="357"/>
      <c r="R731" s="357"/>
      <c r="S731" s="357"/>
      <c r="T731" s="357"/>
      <c r="U731" s="357"/>
      <c r="V731" s="357"/>
      <c r="W731" s="357"/>
    </row>
    <row r="732">
      <c r="A732" s="358"/>
      <c r="B732" s="357"/>
      <c r="C732" s="358"/>
      <c r="D732" s="373"/>
      <c r="E732" s="373"/>
      <c r="F732" s="373"/>
      <c r="G732" s="374"/>
      <c r="H732" s="357"/>
      <c r="I732" s="358"/>
      <c r="J732" s="357"/>
      <c r="K732" s="358"/>
      <c r="L732" s="359"/>
      <c r="M732" s="307"/>
      <c r="N732" s="359"/>
      <c r="O732" s="307"/>
      <c r="P732" s="357"/>
      <c r="Q732" s="357"/>
      <c r="R732" s="357"/>
      <c r="S732" s="357"/>
      <c r="T732" s="357"/>
      <c r="U732" s="357"/>
      <c r="V732" s="357"/>
      <c r="W732" s="357"/>
    </row>
    <row r="733">
      <c r="A733" s="358"/>
      <c r="B733" s="357"/>
      <c r="C733" s="358"/>
      <c r="D733" s="373"/>
      <c r="E733" s="373"/>
      <c r="F733" s="373"/>
      <c r="G733" s="374"/>
      <c r="H733" s="357"/>
      <c r="I733" s="358"/>
      <c r="J733" s="357"/>
      <c r="K733" s="358"/>
      <c r="L733" s="359"/>
      <c r="M733" s="307"/>
      <c r="N733" s="359"/>
      <c r="O733" s="307"/>
      <c r="P733" s="357"/>
      <c r="Q733" s="357"/>
      <c r="R733" s="357"/>
      <c r="S733" s="357"/>
      <c r="T733" s="357"/>
      <c r="U733" s="357"/>
      <c r="V733" s="357"/>
      <c r="W733" s="357"/>
    </row>
    <row r="734">
      <c r="A734" s="358"/>
      <c r="B734" s="357"/>
      <c r="C734" s="358"/>
      <c r="D734" s="373"/>
      <c r="E734" s="373"/>
      <c r="F734" s="373"/>
      <c r="G734" s="374"/>
      <c r="H734" s="357"/>
      <c r="I734" s="358"/>
      <c r="J734" s="357"/>
      <c r="K734" s="358"/>
      <c r="L734" s="359"/>
      <c r="M734" s="307"/>
      <c r="N734" s="359"/>
      <c r="O734" s="307"/>
      <c r="P734" s="357"/>
      <c r="Q734" s="357"/>
      <c r="R734" s="357"/>
      <c r="S734" s="357"/>
      <c r="T734" s="357"/>
      <c r="U734" s="357"/>
      <c r="V734" s="357"/>
      <c r="W734" s="357"/>
    </row>
    <row r="735">
      <c r="A735" s="358"/>
      <c r="B735" s="357"/>
      <c r="C735" s="358"/>
      <c r="D735" s="373"/>
      <c r="E735" s="373"/>
      <c r="F735" s="373"/>
      <c r="G735" s="374"/>
      <c r="H735" s="357"/>
      <c r="I735" s="358"/>
      <c r="J735" s="357"/>
      <c r="K735" s="358"/>
      <c r="L735" s="359"/>
      <c r="M735" s="307"/>
      <c r="N735" s="359"/>
      <c r="O735" s="307"/>
      <c r="P735" s="357"/>
      <c r="Q735" s="357"/>
      <c r="R735" s="357"/>
      <c r="S735" s="357"/>
      <c r="T735" s="357"/>
      <c r="U735" s="357"/>
      <c r="V735" s="357"/>
      <c r="W735" s="357"/>
    </row>
    <row r="736">
      <c r="A736" s="358"/>
      <c r="B736" s="357"/>
      <c r="C736" s="358"/>
      <c r="D736" s="373"/>
      <c r="E736" s="373"/>
      <c r="F736" s="373"/>
      <c r="G736" s="374"/>
      <c r="H736" s="357"/>
      <c r="I736" s="358"/>
      <c r="J736" s="357"/>
      <c r="K736" s="358"/>
      <c r="L736" s="359"/>
      <c r="M736" s="307"/>
      <c r="N736" s="359"/>
      <c r="O736" s="307"/>
      <c r="P736" s="357"/>
      <c r="Q736" s="357"/>
      <c r="R736" s="357"/>
      <c r="S736" s="357"/>
      <c r="T736" s="357"/>
      <c r="U736" s="357"/>
      <c r="V736" s="357"/>
      <c r="W736" s="357"/>
    </row>
    <row r="737">
      <c r="A737" s="358"/>
      <c r="B737" s="357"/>
      <c r="C737" s="358"/>
      <c r="D737" s="373"/>
      <c r="E737" s="373"/>
      <c r="F737" s="373"/>
      <c r="G737" s="374"/>
      <c r="H737" s="357"/>
      <c r="I737" s="358"/>
      <c r="J737" s="357"/>
      <c r="K737" s="358"/>
      <c r="L737" s="359"/>
      <c r="M737" s="307"/>
      <c r="N737" s="359"/>
      <c r="O737" s="307"/>
      <c r="P737" s="357"/>
      <c r="Q737" s="357"/>
      <c r="R737" s="357"/>
      <c r="S737" s="357"/>
      <c r="T737" s="357"/>
      <c r="U737" s="357"/>
      <c r="V737" s="357"/>
      <c r="W737" s="357"/>
    </row>
    <row r="738">
      <c r="A738" s="358"/>
      <c r="B738" s="357"/>
      <c r="C738" s="358"/>
      <c r="D738" s="373"/>
      <c r="E738" s="373"/>
      <c r="F738" s="373"/>
      <c r="G738" s="374"/>
      <c r="H738" s="357"/>
      <c r="I738" s="358"/>
      <c r="J738" s="357"/>
      <c r="K738" s="358"/>
      <c r="L738" s="359"/>
      <c r="M738" s="307"/>
      <c r="N738" s="359"/>
      <c r="O738" s="307"/>
      <c r="P738" s="357"/>
      <c r="Q738" s="357"/>
      <c r="R738" s="357"/>
      <c r="S738" s="357"/>
      <c r="T738" s="357"/>
      <c r="U738" s="357"/>
      <c r="V738" s="357"/>
      <c r="W738" s="357"/>
    </row>
    <row r="739">
      <c r="A739" s="358"/>
      <c r="B739" s="357"/>
      <c r="C739" s="358"/>
      <c r="D739" s="373"/>
      <c r="E739" s="373"/>
      <c r="F739" s="373"/>
      <c r="G739" s="374"/>
      <c r="H739" s="357"/>
      <c r="I739" s="358"/>
      <c r="J739" s="357"/>
      <c r="K739" s="358"/>
      <c r="L739" s="359"/>
      <c r="M739" s="307"/>
      <c r="N739" s="359"/>
      <c r="O739" s="307"/>
      <c r="P739" s="357"/>
      <c r="Q739" s="357"/>
      <c r="R739" s="357"/>
      <c r="S739" s="357"/>
      <c r="T739" s="357"/>
      <c r="U739" s="357"/>
      <c r="V739" s="357"/>
      <c r="W739" s="357"/>
    </row>
    <row r="740">
      <c r="A740" s="358"/>
      <c r="B740" s="357"/>
      <c r="C740" s="358"/>
      <c r="D740" s="373"/>
      <c r="E740" s="373"/>
      <c r="F740" s="373"/>
      <c r="G740" s="374"/>
      <c r="H740" s="357"/>
      <c r="I740" s="358"/>
      <c r="J740" s="357"/>
      <c r="K740" s="358"/>
      <c r="L740" s="359"/>
      <c r="M740" s="307"/>
      <c r="N740" s="359"/>
      <c r="O740" s="307"/>
      <c r="P740" s="357"/>
      <c r="Q740" s="357"/>
      <c r="R740" s="357"/>
      <c r="S740" s="357"/>
      <c r="T740" s="357"/>
      <c r="U740" s="357"/>
      <c r="V740" s="357"/>
      <c r="W740" s="357"/>
    </row>
    <row r="741">
      <c r="A741" s="358"/>
      <c r="B741" s="357"/>
      <c r="C741" s="358"/>
      <c r="D741" s="373"/>
      <c r="E741" s="373"/>
      <c r="F741" s="373"/>
      <c r="G741" s="374"/>
      <c r="H741" s="357"/>
      <c r="I741" s="358"/>
      <c r="J741" s="357"/>
      <c r="K741" s="358"/>
      <c r="L741" s="359"/>
      <c r="M741" s="307"/>
      <c r="N741" s="359"/>
      <c r="O741" s="307"/>
      <c r="P741" s="357"/>
      <c r="Q741" s="357"/>
      <c r="R741" s="357"/>
      <c r="S741" s="357"/>
      <c r="T741" s="357"/>
      <c r="U741" s="357"/>
      <c r="V741" s="357"/>
      <c r="W741" s="357"/>
    </row>
    <row r="742">
      <c r="A742" s="358"/>
      <c r="B742" s="357"/>
      <c r="C742" s="358"/>
      <c r="D742" s="373"/>
      <c r="E742" s="373"/>
      <c r="F742" s="373"/>
      <c r="G742" s="374"/>
      <c r="H742" s="357"/>
      <c r="I742" s="358"/>
      <c r="J742" s="357"/>
      <c r="K742" s="358"/>
      <c r="L742" s="359"/>
      <c r="M742" s="307"/>
      <c r="N742" s="359"/>
      <c r="O742" s="307"/>
      <c r="P742" s="357"/>
      <c r="Q742" s="357"/>
      <c r="R742" s="357"/>
      <c r="S742" s="357"/>
      <c r="T742" s="357"/>
      <c r="U742" s="357"/>
      <c r="V742" s="357"/>
      <c r="W742" s="357"/>
    </row>
    <row r="743">
      <c r="A743" s="358"/>
      <c r="B743" s="357"/>
      <c r="C743" s="358"/>
      <c r="D743" s="373"/>
      <c r="E743" s="373"/>
      <c r="F743" s="373"/>
      <c r="G743" s="374"/>
      <c r="H743" s="357"/>
      <c r="I743" s="358"/>
      <c r="J743" s="357"/>
      <c r="K743" s="358"/>
      <c r="L743" s="359"/>
      <c r="M743" s="307"/>
      <c r="N743" s="359"/>
      <c r="O743" s="307"/>
      <c r="P743" s="357"/>
      <c r="Q743" s="357"/>
      <c r="R743" s="357"/>
      <c r="S743" s="357"/>
      <c r="T743" s="357"/>
      <c r="U743" s="357"/>
      <c r="V743" s="357"/>
      <c r="W743" s="357"/>
    </row>
    <row r="744">
      <c r="A744" s="358"/>
      <c r="B744" s="357"/>
      <c r="C744" s="358"/>
      <c r="D744" s="373"/>
      <c r="E744" s="373"/>
      <c r="F744" s="373"/>
      <c r="G744" s="374"/>
      <c r="H744" s="357"/>
      <c r="I744" s="358"/>
      <c r="J744" s="357"/>
      <c r="K744" s="358"/>
      <c r="L744" s="359"/>
      <c r="M744" s="307"/>
      <c r="N744" s="359"/>
      <c r="O744" s="307"/>
      <c r="P744" s="357"/>
      <c r="Q744" s="357"/>
      <c r="R744" s="357"/>
      <c r="S744" s="357"/>
      <c r="T744" s="357"/>
      <c r="U744" s="357"/>
      <c r="V744" s="357"/>
      <c r="W744" s="357"/>
    </row>
    <row r="745">
      <c r="A745" s="358"/>
      <c r="B745" s="357"/>
      <c r="C745" s="358"/>
      <c r="D745" s="373"/>
      <c r="E745" s="373"/>
      <c r="F745" s="373"/>
      <c r="G745" s="374"/>
      <c r="H745" s="357"/>
      <c r="I745" s="358"/>
      <c r="J745" s="357"/>
      <c r="K745" s="358"/>
      <c r="L745" s="359"/>
      <c r="M745" s="307"/>
      <c r="N745" s="359"/>
      <c r="O745" s="307"/>
      <c r="P745" s="357"/>
      <c r="Q745" s="357"/>
      <c r="R745" s="357"/>
      <c r="S745" s="357"/>
      <c r="T745" s="357"/>
      <c r="U745" s="357"/>
      <c r="V745" s="357"/>
      <c r="W745" s="357"/>
    </row>
    <row r="746">
      <c r="A746" s="358"/>
      <c r="B746" s="357"/>
      <c r="C746" s="358"/>
      <c r="D746" s="373"/>
      <c r="E746" s="373"/>
      <c r="F746" s="373"/>
      <c r="G746" s="374"/>
      <c r="H746" s="357"/>
      <c r="I746" s="358"/>
      <c r="J746" s="357"/>
      <c r="K746" s="358"/>
      <c r="L746" s="359"/>
      <c r="M746" s="307"/>
      <c r="N746" s="359"/>
      <c r="O746" s="307"/>
      <c r="P746" s="357"/>
      <c r="Q746" s="357"/>
      <c r="R746" s="357"/>
      <c r="S746" s="357"/>
      <c r="T746" s="357"/>
      <c r="U746" s="357"/>
      <c r="V746" s="357"/>
      <c r="W746" s="357"/>
    </row>
    <row r="747">
      <c r="A747" s="358"/>
      <c r="B747" s="357"/>
      <c r="C747" s="358"/>
      <c r="D747" s="373"/>
      <c r="E747" s="373"/>
      <c r="F747" s="373"/>
      <c r="G747" s="374"/>
      <c r="H747" s="357"/>
      <c r="I747" s="358"/>
      <c r="J747" s="357"/>
      <c r="K747" s="358"/>
      <c r="L747" s="359"/>
      <c r="M747" s="307"/>
      <c r="N747" s="359"/>
      <c r="O747" s="307"/>
      <c r="P747" s="357"/>
      <c r="Q747" s="357"/>
      <c r="R747" s="357"/>
      <c r="S747" s="357"/>
      <c r="T747" s="357"/>
      <c r="U747" s="357"/>
      <c r="V747" s="357"/>
      <c r="W747" s="357"/>
    </row>
    <row r="748">
      <c r="A748" s="358"/>
      <c r="B748" s="357"/>
      <c r="C748" s="358"/>
      <c r="D748" s="373"/>
      <c r="E748" s="373"/>
      <c r="F748" s="373"/>
      <c r="G748" s="374"/>
      <c r="H748" s="357"/>
      <c r="I748" s="358"/>
      <c r="J748" s="357"/>
      <c r="K748" s="358"/>
      <c r="L748" s="359"/>
      <c r="M748" s="307"/>
      <c r="N748" s="359"/>
      <c r="O748" s="307"/>
      <c r="P748" s="357"/>
      <c r="Q748" s="357"/>
      <c r="R748" s="357"/>
      <c r="S748" s="357"/>
      <c r="T748" s="357"/>
      <c r="U748" s="357"/>
      <c r="V748" s="357"/>
      <c r="W748" s="357"/>
    </row>
    <row r="749">
      <c r="A749" s="358"/>
      <c r="B749" s="357"/>
      <c r="C749" s="358"/>
      <c r="D749" s="373"/>
      <c r="E749" s="373"/>
      <c r="F749" s="373"/>
      <c r="G749" s="374"/>
      <c r="H749" s="357"/>
      <c r="I749" s="358"/>
      <c r="J749" s="357"/>
      <c r="K749" s="358"/>
      <c r="L749" s="359"/>
      <c r="M749" s="307"/>
      <c r="N749" s="359"/>
      <c r="O749" s="307"/>
      <c r="P749" s="357"/>
      <c r="Q749" s="357"/>
      <c r="R749" s="357"/>
      <c r="S749" s="357"/>
      <c r="T749" s="357"/>
      <c r="U749" s="357"/>
      <c r="V749" s="357"/>
      <c r="W749" s="357"/>
    </row>
    <row r="750">
      <c r="A750" s="358"/>
      <c r="B750" s="357"/>
      <c r="C750" s="358"/>
      <c r="D750" s="373"/>
      <c r="E750" s="373"/>
      <c r="F750" s="373"/>
      <c r="G750" s="374"/>
      <c r="H750" s="357"/>
      <c r="I750" s="358"/>
      <c r="J750" s="357"/>
      <c r="K750" s="358"/>
      <c r="L750" s="359"/>
      <c r="M750" s="307"/>
      <c r="N750" s="359"/>
      <c r="O750" s="307"/>
      <c r="P750" s="357"/>
      <c r="Q750" s="357"/>
      <c r="R750" s="357"/>
      <c r="S750" s="357"/>
      <c r="T750" s="357"/>
      <c r="U750" s="357"/>
      <c r="V750" s="357"/>
      <c r="W750" s="357"/>
    </row>
    <row r="751">
      <c r="A751" s="358"/>
      <c r="B751" s="357"/>
      <c r="C751" s="358"/>
      <c r="D751" s="373"/>
      <c r="E751" s="373"/>
      <c r="F751" s="373"/>
      <c r="G751" s="374"/>
      <c r="H751" s="357"/>
      <c r="I751" s="358"/>
      <c r="J751" s="357"/>
      <c r="K751" s="358"/>
      <c r="L751" s="359"/>
      <c r="M751" s="307"/>
      <c r="N751" s="359"/>
      <c r="O751" s="307"/>
      <c r="P751" s="357"/>
      <c r="Q751" s="357"/>
      <c r="R751" s="357"/>
      <c r="S751" s="357"/>
      <c r="T751" s="357"/>
      <c r="U751" s="357"/>
      <c r="V751" s="357"/>
      <c r="W751" s="357"/>
    </row>
    <row r="752">
      <c r="A752" s="358"/>
      <c r="B752" s="357"/>
      <c r="C752" s="358"/>
      <c r="D752" s="373"/>
      <c r="E752" s="373"/>
      <c r="F752" s="373"/>
      <c r="G752" s="374"/>
      <c r="H752" s="357"/>
      <c r="I752" s="358"/>
      <c r="J752" s="357"/>
      <c r="K752" s="358"/>
      <c r="L752" s="359"/>
      <c r="M752" s="307"/>
      <c r="N752" s="359"/>
      <c r="O752" s="307"/>
      <c r="P752" s="357"/>
      <c r="Q752" s="357"/>
      <c r="R752" s="357"/>
      <c r="S752" s="357"/>
      <c r="T752" s="357"/>
      <c r="U752" s="357"/>
      <c r="V752" s="357"/>
      <c r="W752" s="357"/>
    </row>
    <row r="753">
      <c r="A753" s="358"/>
      <c r="B753" s="357"/>
      <c r="C753" s="358"/>
      <c r="D753" s="373"/>
      <c r="E753" s="373"/>
      <c r="F753" s="373"/>
      <c r="G753" s="374"/>
      <c r="H753" s="357"/>
      <c r="I753" s="358"/>
      <c r="J753" s="357"/>
      <c r="K753" s="358"/>
      <c r="L753" s="359"/>
      <c r="M753" s="307"/>
      <c r="N753" s="359"/>
      <c r="O753" s="307"/>
      <c r="P753" s="357"/>
      <c r="Q753" s="357"/>
      <c r="R753" s="357"/>
      <c r="S753" s="357"/>
      <c r="T753" s="357"/>
      <c r="U753" s="357"/>
      <c r="V753" s="357"/>
      <c r="W753" s="357"/>
    </row>
    <row r="754">
      <c r="A754" s="358"/>
      <c r="B754" s="357"/>
      <c r="C754" s="358"/>
      <c r="D754" s="373"/>
      <c r="E754" s="373"/>
      <c r="F754" s="373"/>
      <c r="G754" s="374"/>
      <c r="H754" s="357"/>
      <c r="I754" s="358"/>
      <c r="J754" s="357"/>
      <c r="K754" s="358"/>
      <c r="L754" s="359"/>
      <c r="M754" s="307"/>
      <c r="N754" s="359"/>
      <c r="O754" s="307"/>
      <c r="P754" s="357"/>
      <c r="Q754" s="357"/>
      <c r="R754" s="357"/>
      <c r="S754" s="357"/>
      <c r="T754" s="357"/>
      <c r="U754" s="357"/>
      <c r="V754" s="357"/>
      <c r="W754" s="357"/>
    </row>
    <row r="755">
      <c r="A755" s="358"/>
      <c r="B755" s="357"/>
      <c r="C755" s="358"/>
      <c r="D755" s="373"/>
      <c r="E755" s="373"/>
      <c r="F755" s="373"/>
      <c r="G755" s="374"/>
      <c r="H755" s="357"/>
      <c r="I755" s="358"/>
      <c r="J755" s="357"/>
      <c r="K755" s="358"/>
      <c r="L755" s="359"/>
      <c r="M755" s="307"/>
      <c r="N755" s="359"/>
      <c r="O755" s="307"/>
      <c r="P755" s="357"/>
      <c r="Q755" s="357"/>
      <c r="R755" s="357"/>
      <c r="S755" s="357"/>
      <c r="T755" s="357"/>
      <c r="U755" s="357"/>
      <c r="V755" s="357"/>
      <c r="W755" s="357"/>
    </row>
    <row r="756">
      <c r="A756" s="358"/>
      <c r="B756" s="357"/>
      <c r="C756" s="358"/>
      <c r="D756" s="373"/>
      <c r="E756" s="373"/>
      <c r="F756" s="373"/>
      <c r="G756" s="374"/>
      <c r="H756" s="357"/>
      <c r="I756" s="358"/>
      <c r="J756" s="357"/>
      <c r="K756" s="358"/>
      <c r="L756" s="359"/>
      <c r="M756" s="307"/>
      <c r="N756" s="359"/>
      <c r="O756" s="307"/>
      <c r="P756" s="357"/>
      <c r="Q756" s="357"/>
      <c r="R756" s="357"/>
      <c r="S756" s="357"/>
      <c r="T756" s="357"/>
      <c r="U756" s="357"/>
      <c r="V756" s="357"/>
      <c r="W756" s="357"/>
    </row>
    <row r="757">
      <c r="A757" s="358"/>
      <c r="B757" s="357"/>
      <c r="C757" s="358"/>
      <c r="D757" s="373"/>
      <c r="E757" s="373"/>
      <c r="F757" s="373"/>
      <c r="G757" s="374"/>
      <c r="H757" s="357"/>
      <c r="I757" s="358"/>
      <c r="J757" s="357"/>
      <c r="K757" s="358"/>
      <c r="L757" s="359"/>
      <c r="M757" s="307"/>
      <c r="N757" s="359"/>
      <c r="O757" s="307"/>
      <c r="P757" s="357"/>
      <c r="Q757" s="357"/>
      <c r="R757" s="357"/>
      <c r="S757" s="357"/>
      <c r="T757" s="357"/>
      <c r="U757" s="357"/>
      <c r="V757" s="357"/>
      <c r="W757" s="357"/>
    </row>
    <row r="758">
      <c r="A758" s="358"/>
      <c r="B758" s="357"/>
      <c r="C758" s="358"/>
      <c r="D758" s="373"/>
      <c r="E758" s="373"/>
      <c r="F758" s="373"/>
      <c r="G758" s="374"/>
      <c r="H758" s="357"/>
      <c r="I758" s="358"/>
      <c r="J758" s="357"/>
      <c r="K758" s="358"/>
      <c r="L758" s="359"/>
      <c r="M758" s="307"/>
      <c r="N758" s="359"/>
      <c r="O758" s="307"/>
      <c r="P758" s="357"/>
      <c r="Q758" s="357"/>
      <c r="R758" s="357"/>
      <c r="S758" s="357"/>
      <c r="T758" s="357"/>
      <c r="U758" s="357"/>
      <c r="V758" s="357"/>
      <c r="W758" s="357"/>
    </row>
    <row r="759">
      <c r="A759" s="358"/>
      <c r="B759" s="357"/>
      <c r="C759" s="358"/>
      <c r="D759" s="373"/>
      <c r="E759" s="373"/>
      <c r="F759" s="373"/>
      <c r="G759" s="374"/>
      <c r="H759" s="357"/>
      <c r="I759" s="358"/>
      <c r="J759" s="357"/>
      <c r="K759" s="358"/>
      <c r="L759" s="359"/>
      <c r="M759" s="307"/>
      <c r="N759" s="359"/>
      <c r="O759" s="307"/>
      <c r="P759" s="357"/>
      <c r="Q759" s="357"/>
      <c r="R759" s="357"/>
      <c r="S759" s="357"/>
      <c r="T759" s="357"/>
      <c r="U759" s="357"/>
      <c r="V759" s="357"/>
      <c r="W759" s="357"/>
    </row>
    <row r="760">
      <c r="A760" s="358"/>
      <c r="B760" s="357"/>
      <c r="C760" s="358"/>
      <c r="D760" s="373"/>
      <c r="E760" s="373"/>
      <c r="F760" s="373"/>
      <c r="G760" s="374"/>
      <c r="H760" s="357"/>
      <c r="I760" s="358"/>
      <c r="J760" s="357"/>
      <c r="K760" s="358"/>
      <c r="L760" s="359"/>
      <c r="M760" s="307"/>
      <c r="N760" s="359"/>
      <c r="O760" s="307"/>
      <c r="P760" s="357"/>
      <c r="Q760" s="357"/>
      <c r="R760" s="357"/>
      <c r="S760" s="357"/>
      <c r="T760" s="357"/>
      <c r="U760" s="357"/>
      <c r="V760" s="357"/>
      <c r="W760" s="357"/>
    </row>
    <row r="761">
      <c r="A761" s="358"/>
      <c r="B761" s="357"/>
      <c r="C761" s="358"/>
      <c r="D761" s="373"/>
      <c r="E761" s="373"/>
      <c r="F761" s="373"/>
      <c r="G761" s="374"/>
      <c r="H761" s="357"/>
      <c r="I761" s="358"/>
      <c r="J761" s="357"/>
      <c r="K761" s="358"/>
      <c r="L761" s="359"/>
      <c r="M761" s="307"/>
      <c r="N761" s="359"/>
      <c r="O761" s="307"/>
      <c r="P761" s="357"/>
      <c r="Q761" s="357"/>
      <c r="R761" s="357"/>
      <c r="S761" s="357"/>
      <c r="T761" s="357"/>
      <c r="U761" s="357"/>
      <c r="V761" s="357"/>
      <c r="W761" s="357"/>
    </row>
    <row r="762">
      <c r="A762" s="358"/>
      <c r="B762" s="357"/>
      <c r="C762" s="358"/>
      <c r="D762" s="373"/>
      <c r="E762" s="373"/>
      <c r="F762" s="373"/>
      <c r="G762" s="374"/>
      <c r="H762" s="357"/>
      <c r="I762" s="358"/>
      <c r="J762" s="357"/>
      <c r="K762" s="358"/>
      <c r="L762" s="359"/>
      <c r="M762" s="307"/>
      <c r="N762" s="359"/>
      <c r="O762" s="307"/>
      <c r="P762" s="357"/>
      <c r="Q762" s="357"/>
      <c r="R762" s="357"/>
      <c r="S762" s="357"/>
      <c r="T762" s="357"/>
      <c r="U762" s="357"/>
      <c r="V762" s="357"/>
      <c r="W762" s="357"/>
    </row>
    <row r="763">
      <c r="A763" s="358"/>
      <c r="B763" s="357"/>
      <c r="C763" s="358"/>
      <c r="D763" s="373"/>
      <c r="E763" s="373"/>
      <c r="F763" s="373"/>
      <c r="G763" s="374"/>
      <c r="H763" s="357"/>
      <c r="I763" s="358"/>
      <c r="J763" s="357"/>
      <c r="K763" s="358"/>
      <c r="L763" s="359"/>
      <c r="M763" s="307"/>
      <c r="N763" s="359"/>
      <c r="O763" s="307"/>
      <c r="P763" s="357"/>
      <c r="Q763" s="357"/>
      <c r="R763" s="357"/>
      <c r="S763" s="357"/>
      <c r="T763" s="357"/>
      <c r="U763" s="357"/>
      <c r="V763" s="357"/>
      <c r="W763" s="357"/>
    </row>
    <row r="764">
      <c r="A764" s="358"/>
      <c r="B764" s="357"/>
      <c r="C764" s="358"/>
      <c r="D764" s="373"/>
      <c r="E764" s="373"/>
      <c r="F764" s="373"/>
      <c r="G764" s="374"/>
      <c r="H764" s="357"/>
      <c r="I764" s="358"/>
      <c r="J764" s="357"/>
      <c r="K764" s="358"/>
      <c r="L764" s="359"/>
      <c r="M764" s="307"/>
      <c r="N764" s="359"/>
      <c r="O764" s="307"/>
      <c r="P764" s="357"/>
      <c r="Q764" s="357"/>
      <c r="R764" s="357"/>
      <c r="S764" s="357"/>
      <c r="T764" s="357"/>
      <c r="U764" s="357"/>
      <c r="V764" s="357"/>
      <c r="W764" s="357"/>
    </row>
    <row r="765">
      <c r="A765" s="358"/>
      <c r="B765" s="357"/>
      <c r="C765" s="358"/>
      <c r="D765" s="373"/>
      <c r="E765" s="373"/>
      <c r="F765" s="373"/>
      <c r="G765" s="374"/>
      <c r="H765" s="357"/>
      <c r="I765" s="358"/>
      <c r="J765" s="357"/>
      <c r="K765" s="358"/>
      <c r="L765" s="359"/>
      <c r="M765" s="307"/>
      <c r="N765" s="359"/>
      <c r="O765" s="307"/>
      <c r="P765" s="357"/>
      <c r="Q765" s="357"/>
      <c r="R765" s="357"/>
      <c r="S765" s="357"/>
      <c r="T765" s="357"/>
      <c r="U765" s="357"/>
      <c r="V765" s="357"/>
      <c r="W765" s="357"/>
    </row>
    <row r="766">
      <c r="A766" s="358"/>
      <c r="B766" s="357"/>
      <c r="C766" s="358"/>
      <c r="D766" s="373"/>
      <c r="E766" s="373"/>
      <c r="F766" s="373"/>
      <c r="G766" s="374"/>
      <c r="H766" s="357"/>
      <c r="I766" s="358"/>
      <c r="J766" s="357"/>
      <c r="K766" s="358"/>
      <c r="L766" s="359"/>
      <c r="M766" s="307"/>
      <c r="N766" s="359"/>
      <c r="O766" s="307"/>
      <c r="P766" s="357"/>
      <c r="Q766" s="357"/>
      <c r="R766" s="357"/>
      <c r="S766" s="357"/>
      <c r="T766" s="357"/>
      <c r="U766" s="357"/>
      <c r="V766" s="357"/>
      <c r="W766" s="357"/>
    </row>
    <row r="767">
      <c r="A767" s="358"/>
      <c r="B767" s="357"/>
      <c r="C767" s="358"/>
      <c r="D767" s="373"/>
      <c r="E767" s="373"/>
      <c r="F767" s="373"/>
      <c r="G767" s="374"/>
      <c r="H767" s="357"/>
      <c r="I767" s="358"/>
      <c r="J767" s="357"/>
      <c r="K767" s="358"/>
      <c r="L767" s="359"/>
      <c r="M767" s="307"/>
      <c r="N767" s="359"/>
      <c r="O767" s="307"/>
      <c r="P767" s="357"/>
      <c r="Q767" s="357"/>
      <c r="R767" s="357"/>
      <c r="S767" s="357"/>
      <c r="T767" s="357"/>
      <c r="U767" s="357"/>
      <c r="V767" s="357"/>
      <c r="W767" s="357"/>
    </row>
    <row r="768">
      <c r="A768" s="358"/>
      <c r="B768" s="357"/>
      <c r="C768" s="358"/>
      <c r="D768" s="373"/>
      <c r="E768" s="373"/>
      <c r="F768" s="373"/>
      <c r="G768" s="374"/>
      <c r="H768" s="357"/>
      <c r="I768" s="358"/>
      <c r="J768" s="357"/>
      <c r="K768" s="358"/>
      <c r="L768" s="359"/>
      <c r="M768" s="307"/>
      <c r="N768" s="359"/>
      <c r="O768" s="307"/>
      <c r="P768" s="357"/>
      <c r="Q768" s="357"/>
      <c r="R768" s="357"/>
      <c r="S768" s="357"/>
      <c r="T768" s="357"/>
      <c r="U768" s="357"/>
      <c r="V768" s="357"/>
      <c r="W768" s="357"/>
    </row>
    <row r="769">
      <c r="A769" s="358"/>
      <c r="B769" s="357"/>
      <c r="C769" s="358"/>
      <c r="D769" s="373"/>
      <c r="E769" s="373"/>
      <c r="F769" s="373"/>
      <c r="G769" s="374"/>
      <c r="H769" s="357"/>
      <c r="I769" s="358"/>
      <c r="J769" s="357"/>
      <c r="K769" s="358"/>
      <c r="L769" s="359"/>
      <c r="M769" s="307"/>
      <c r="N769" s="359"/>
      <c r="O769" s="307"/>
      <c r="P769" s="357"/>
      <c r="Q769" s="357"/>
      <c r="R769" s="357"/>
      <c r="S769" s="357"/>
      <c r="T769" s="357"/>
      <c r="U769" s="357"/>
      <c r="V769" s="357"/>
      <c r="W769" s="357"/>
    </row>
    <row r="770">
      <c r="A770" s="358"/>
      <c r="B770" s="357"/>
      <c r="C770" s="358"/>
      <c r="D770" s="373"/>
      <c r="E770" s="373"/>
      <c r="F770" s="373"/>
      <c r="G770" s="374"/>
      <c r="H770" s="357"/>
      <c r="I770" s="358"/>
      <c r="J770" s="357"/>
      <c r="K770" s="358"/>
      <c r="L770" s="359"/>
      <c r="M770" s="307"/>
      <c r="N770" s="359"/>
      <c r="O770" s="307"/>
      <c r="P770" s="357"/>
      <c r="Q770" s="357"/>
      <c r="R770" s="357"/>
      <c r="S770" s="357"/>
      <c r="T770" s="357"/>
      <c r="U770" s="357"/>
      <c r="V770" s="357"/>
      <c r="W770" s="357"/>
    </row>
    <row r="771">
      <c r="A771" s="358"/>
      <c r="B771" s="357"/>
      <c r="C771" s="358"/>
      <c r="D771" s="373"/>
      <c r="E771" s="373"/>
      <c r="F771" s="373"/>
      <c r="G771" s="374"/>
      <c r="H771" s="357"/>
      <c r="I771" s="358"/>
      <c r="J771" s="357"/>
      <c r="K771" s="358"/>
      <c r="L771" s="359"/>
      <c r="M771" s="307"/>
      <c r="N771" s="359"/>
      <c r="O771" s="307"/>
      <c r="P771" s="357"/>
      <c r="Q771" s="357"/>
      <c r="R771" s="357"/>
      <c r="S771" s="357"/>
      <c r="T771" s="357"/>
      <c r="U771" s="357"/>
      <c r="V771" s="357"/>
      <c r="W771" s="357"/>
    </row>
    <row r="772">
      <c r="A772" s="358"/>
      <c r="B772" s="357"/>
      <c r="C772" s="358"/>
      <c r="D772" s="373"/>
      <c r="E772" s="373"/>
      <c r="F772" s="373"/>
      <c r="G772" s="374"/>
      <c r="H772" s="357"/>
      <c r="I772" s="358"/>
      <c r="J772" s="357"/>
      <c r="K772" s="358"/>
      <c r="L772" s="359"/>
      <c r="M772" s="307"/>
      <c r="N772" s="359"/>
      <c r="O772" s="307"/>
      <c r="P772" s="357"/>
      <c r="Q772" s="357"/>
      <c r="R772" s="357"/>
      <c r="S772" s="357"/>
      <c r="T772" s="357"/>
      <c r="U772" s="357"/>
      <c r="V772" s="357"/>
      <c r="W772" s="357"/>
    </row>
    <row r="773">
      <c r="A773" s="358"/>
      <c r="B773" s="357"/>
      <c r="C773" s="358"/>
      <c r="D773" s="373"/>
      <c r="E773" s="373"/>
      <c r="F773" s="373"/>
      <c r="G773" s="374"/>
      <c r="H773" s="357"/>
      <c r="I773" s="358"/>
      <c r="J773" s="357"/>
      <c r="K773" s="358"/>
      <c r="L773" s="359"/>
      <c r="M773" s="307"/>
      <c r="N773" s="359"/>
      <c r="O773" s="307"/>
      <c r="P773" s="357"/>
      <c r="Q773" s="357"/>
      <c r="R773" s="357"/>
      <c r="S773" s="357"/>
      <c r="T773" s="357"/>
      <c r="U773" s="357"/>
      <c r="V773" s="357"/>
      <c r="W773" s="357"/>
    </row>
    <row r="774">
      <c r="A774" s="358"/>
      <c r="B774" s="357"/>
      <c r="C774" s="358"/>
      <c r="D774" s="373"/>
      <c r="E774" s="373"/>
      <c r="F774" s="373"/>
      <c r="G774" s="374"/>
      <c r="H774" s="357"/>
      <c r="I774" s="358"/>
      <c r="J774" s="357"/>
      <c r="K774" s="358"/>
      <c r="L774" s="359"/>
      <c r="M774" s="307"/>
      <c r="N774" s="359"/>
      <c r="O774" s="307"/>
      <c r="P774" s="357"/>
      <c r="Q774" s="357"/>
      <c r="R774" s="357"/>
      <c r="S774" s="357"/>
      <c r="T774" s="357"/>
      <c r="U774" s="357"/>
      <c r="V774" s="357"/>
      <c r="W774" s="357"/>
    </row>
    <row r="775">
      <c r="A775" s="358"/>
      <c r="B775" s="357"/>
      <c r="C775" s="358"/>
      <c r="D775" s="373"/>
      <c r="E775" s="373"/>
      <c r="F775" s="373"/>
      <c r="G775" s="374"/>
      <c r="H775" s="357"/>
      <c r="I775" s="358"/>
      <c r="J775" s="357"/>
      <c r="K775" s="358"/>
      <c r="L775" s="359"/>
      <c r="M775" s="307"/>
      <c r="N775" s="359"/>
      <c r="O775" s="307"/>
      <c r="P775" s="357"/>
      <c r="Q775" s="357"/>
      <c r="R775" s="357"/>
      <c r="S775" s="357"/>
      <c r="T775" s="357"/>
      <c r="U775" s="357"/>
      <c r="V775" s="357"/>
      <c r="W775" s="357"/>
    </row>
    <row r="776">
      <c r="A776" s="358"/>
      <c r="B776" s="357"/>
      <c r="C776" s="358"/>
      <c r="D776" s="373"/>
      <c r="E776" s="373"/>
      <c r="F776" s="373"/>
      <c r="G776" s="374"/>
      <c r="H776" s="357"/>
      <c r="I776" s="358"/>
      <c r="J776" s="357"/>
      <c r="K776" s="358"/>
      <c r="L776" s="359"/>
      <c r="M776" s="307"/>
      <c r="N776" s="359"/>
      <c r="O776" s="307"/>
      <c r="P776" s="357"/>
      <c r="Q776" s="357"/>
      <c r="R776" s="357"/>
      <c r="S776" s="357"/>
      <c r="T776" s="357"/>
      <c r="U776" s="357"/>
      <c r="V776" s="357"/>
      <c r="W776" s="357"/>
    </row>
    <row r="777">
      <c r="A777" s="358"/>
      <c r="B777" s="357"/>
      <c r="C777" s="358"/>
      <c r="D777" s="373"/>
      <c r="E777" s="373"/>
      <c r="F777" s="373"/>
      <c r="G777" s="374"/>
      <c r="H777" s="357"/>
      <c r="I777" s="358"/>
      <c r="J777" s="357"/>
      <c r="K777" s="358"/>
      <c r="L777" s="359"/>
      <c r="M777" s="307"/>
      <c r="N777" s="359"/>
      <c r="O777" s="307"/>
      <c r="P777" s="357"/>
      <c r="Q777" s="357"/>
      <c r="R777" s="357"/>
      <c r="S777" s="357"/>
      <c r="T777" s="357"/>
      <c r="U777" s="357"/>
      <c r="V777" s="357"/>
      <c r="W777" s="357"/>
    </row>
    <row r="778">
      <c r="A778" s="358"/>
      <c r="B778" s="357"/>
      <c r="C778" s="358"/>
      <c r="D778" s="373"/>
      <c r="E778" s="373"/>
      <c r="F778" s="373"/>
      <c r="G778" s="374"/>
      <c r="H778" s="357"/>
      <c r="I778" s="358"/>
      <c r="J778" s="357"/>
      <c r="K778" s="358"/>
      <c r="L778" s="359"/>
      <c r="M778" s="307"/>
      <c r="N778" s="359"/>
      <c r="O778" s="307"/>
      <c r="P778" s="357"/>
      <c r="Q778" s="357"/>
      <c r="R778" s="357"/>
      <c r="S778" s="357"/>
      <c r="T778" s="357"/>
      <c r="U778" s="357"/>
      <c r="V778" s="357"/>
      <c r="W778" s="357"/>
    </row>
    <row r="779">
      <c r="A779" s="358"/>
      <c r="B779" s="357"/>
      <c r="C779" s="358"/>
      <c r="D779" s="373"/>
      <c r="E779" s="373"/>
      <c r="F779" s="373"/>
      <c r="G779" s="374"/>
      <c r="H779" s="357"/>
      <c r="I779" s="358"/>
      <c r="J779" s="357"/>
      <c r="K779" s="358"/>
      <c r="L779" s="359"/>
      <c r="M779" s="307"/>
      <c r="N779" s="359"/>
      <c r="O779" s="307"/>
      <c r="P779" s="357"/>
      <c r="Q779" s="357"/>
      <c r="R779" s="357"/>
      <c r="S779" s="357"/>
      <c r="T779" s="357"/>
      <c r="U779" s="357"/>
      <c r="V779" s="357"/>
      <c r="W779" s="357"/>
    </row>
    <row r="780">
      <c r="A780" s="358"/>
      <c r="B780" s="357"/>
      <c r="C780" s="358"/>
      <c r="D780" s="373"/>
      <c r="E780" s="373"/>
      <c r="F780" s="373"/>
      <c r="G780" s="374"/>
      <c r="H780" s="357"/>
      <c r="I780" s="358"/>
      <c r="J780" s="357"/>
      <c r="K780" s="358"/>
      <c r="L780" s="359"/>
      <c r="M780" s="307"/>
      <c r="N780" s="359"/>
      <c r="O780" s="307"/>
      <c r="P780" s="357"/>
      <c r="Q780" s="357"/>
      <c r="R780" s="357"/>
      <c r="S780" s="357"/>
      <c r="T780" s="357"/>
      <c r="U780" s="357"/>
      <c r="V780" s="357"/>
      <c r="W780" s="357"/>
    </row>
    <row r="781">
      <c r="A781" s="358"/>
      <c r="B781" s="357"/>
      <c r="C781" s="358"/>
      <c r="D781" s="373"/>
      <c r="E781" s="373"/>
      <c r="F781" s="373"/>
      <c r="G781" s="374"/>
      <c r="H781" s="357"/>
      <c r="I781" s="358"/>
      <c r="J781" s="357"/>
      <c r="K781" s="358"/>
      <c r="L781" s="359"/>
      <c r="M781" s="307"/>
      <c r="N781" s="359"/>
      <c r="O781" s="307"/>
      <c r="P781" s="357"/>
      <c r="Q781" s="357"/>
      <c r="R781" s="357"/>
      <c r="S781" s="357"/>
      <c r="T781" s="357"/>
      <c r="U781" s="357"/>
      <c r="V781" s="357"/>
      <c r="W781" s="357"/>
    </row>
    <row r="782">
      <c r="A782" s="358"/>
      <c r="B782" s="357"/>
      <c r="C782" s="358"/>
      <c r="D782" s="373"/>
      <c r="E782" s="373"/>
      <c r="F782" s="373"/>
      <c r="G782" s="374"/>
      <c r="H782" s="357"/>
      <c r="I782" s="358"/>
      <c r="J782" s="357"/>
      <c r="K782" s="358"/>
      <c r="L782" s="359"/>
      <c r="M782" s="307"/>
      <c r="N782" s="359"/>
      <c r="O782" s="307"/>
      <c r="P782" s="357"/>
      <c r="Q782" s="357"/>
      <c r="R782" s="357"/>
      <c r="S782" s="357"/>
      <c r="T782" s="357"/>
      <c r="U782" s="357"/>
      <c r="V782" s="357"/>
      <c r="W782" s="357"/>
    </row>
    <row r="783">
      <c r="A783" s="358"/>
      <c r="B783" s="357"/>
      <c r="C783" s="358"/>
      <c r="D783" s="373"/>
      <c r="E783" s="373"/>
      <c r="F783" s="373"/>
      <c r="G783" s="374"/>
      <c r="H783" s="357"/>
      <c r="I783" s="358"/>
      <c r="J783" s="357"/>
      <c r="K783" s="358"/>
      <c r="L783" s="359"/>
      <c r="M783" s="307"/>
      <c r="N783" s="359"/>
      <c r="O783" s="307"/>
      <c r="P783" s="357"/>
      <c r="Q783" s="357"/>
      <c r="R783" s="357"/>
      <c r="S783" s="357"/>
      <c r="T783" s="357"/>
      <c r="U783" s="357"/>
      <c r="V783" s="357"/>
      <c r="W783" s="357"/>
    </row>
    <row r="784">
      <c r="A784" s="358"/>
      <c r="B784" s="357"/>
      <c r="C784" s="358"/>
      <c r="D784" s="373"/>
      <c r="E784" s="373"/>
      <c r="F784" s="373"/>
      <c r="G784" s="374"/>
      <c r="H784" s="357"/>
      <c r="I784" s="358"/>
      <c r="J784" s="357"/>
      <c r="K784" s="358"/>
      <c r="L784" s="359"/>
      <c r="M784" s="307"/>
      <c r="N784" s="359"/>
      <c r="O784" s="307"/>
      <c r="P784" s="357"/>
      <c r="Q784" s="357"/>
      <c r="R784" s="357"/>
      <c r="S784" s="357"/>
      <c r="T784" s="357"/>
      <c r="U784" s="357"/>
      <c r="V784" s="357"/>
      <c r="W784" s="357"/>
    </row>
    <row r="785">
      <c r="A785" s="358"/>
      <c r="B785" s="357"/>
      <c r="C785" s="358"/>
      <c r="D785" s="373"/>
      <c r="E785" s="373"/>
      <c r="F785" s="373"/>
      <c r="G785" s="374"/>
      <c r="H785" s="357"/>
      <c r="I785" s="358"/>
      <c r="J785" s="357"/>
      <c r="K785" s="358"/>
      <c r="L785" s="359"/>
      <c r="M785" s="307"/>
      <c r="N785" s="359"/>
      <c r="O785" s="307"/>
      <c r="P785" s="357"/>
      <c r="Q785" s="357"/>
      <c r="R785" s="357"/>
      <c r="S785" s="357"/>
      <c r="T785" s="357"/>
      <c r="U785" s="357"/>
      <c r="V785" s="357"/>
      <c r="W785" s="357"/>
    </row>
    <row r="786">
      <c r="A786" s="358"/>
      <c r="B786" s="357"/>
      <c r="C786" s="358"/>
      <c r="D786" s="373"/>
      <c r="E786" s="373"/>
      <c r="F786" s="373"/>
      <c r="G786" s="374"/>
      <c r="H786" s="357"/>
      <c r="I786" s="358"/>
      <c r="J786" s="357"/>
      <c r="K786" s="358"/>
      <c r="L786" s="359"/>
      <c r="M786" s="307"/>
      <c r="N786" s="359"/>
      <c r="O786" s="307"/>
      <c r="P786" s="357"/>
      <c r="Q786" s="357"/>
      <c r="R786" s="357"/>
      <c r="S786" s="357"/>
      <c r="T786" s="357"/>
      <c r="U786" s="357"/>
      <c r="V786" s="357"/>
      <c r="W786" s="357"/>
    </row>
    <row r="787">
      <c r="A787" s="358"/>
      <c r="B787" s="357"/>
      <c r="C787" s="358"/>
      <c r="D787" s="373"/>
      <c r="E787" s="373"/>
      <c r="F787" s="373"/>
      <c r="G787" s="374"/>
      <c r="H787" s="357"/>
      <c r="I787" s="358"/>
      <c r="J787" s="357"/>
      <c r="K787" s="358"/>
      <c r="L787" s="359"/>
      <c r="M787" s="307"/>
      <c r="N787" s="359"/>
      <c r="O787" s="307"/>
      <c r="P787" s="357"/>
      <c r="Q787" s="357"/>
      <c r="R787" s="357"/>
      <c r="S787" s="357"/>
      <c r="T787" s="357"/>
      <c r="U787" s="357"/>
      <c r="V787" s="357"/>
      <c r="W787" s="357"/>
    </row>
    <row r="788">
      <c r="A788" s="358"/>
      <c r="B788" s="357"/>
      <c r="C788" s="358"/>
      <c r="D788" s="373"/>
      <c r="E788" s="373"/>
      <c r="F788" s="373"/>
      <c r="G788" s="374"/>
      <c r="H788" s="357"/>
      <c r="I788" s="358"/>
      <c r="J788" s="357"/>
      <c r="K788" s="358"/>
      <c r="L788" s="359"/>
      <c r="M788" s="307"/>
      <c r="N788" s="359"/>
      <c r="O788" s="307"/>
      <c r="P788" s="357"/>
      <c r="Q788" s="357"/>
      <c r="R788" s="357"/>
      <c r="S788" s="357"/>
      <c r="T788" s="357"/>
      <c r="U788" s="357"/>
      <c r="V788" s="357"/>
      <c r="W788" s="357"/>
    </row>
    <row r="789">
      <c r="A789" s="358"/>
      <c r="B789" s="357"/>
      <c r="C789" s="358"/>
      <c r="D789" s="373"/>
      <c r="E789" s="373"/>
      <c r="F789" s="373"/>
      <c r="G789" s="374"/>
      <c r="H789" s="357"/>
      <c r="I789" s="358"/>
      <c r="J789" s="357"/>
      <c r="K789" s="358"/>
      <c r="L789" s="359"/>
      <c r="M789" s="307"/>
      <c r="N789" s="359"/>
      <c r="O789" s="307"/>
      <c r="P789" s="357"/>
      <c r="Q789" s="357"/>
      <c r="R789" s="357"/>
      <c r="S789" s="357"/>
      <c r="T789" s="357"/>
      <c r="U789" s="357"/>
      <c r="V789" s="357"/>
      <c r="W789" s="357"/>
    </row>
    <row r="790">
      <c r="A790" s="358"/>
      <c r="B790" s="357"/>
      <c r="C790" s="358"/>
      <c r="D790" s="373"/>
      <c r="E790" s="373"/>
      <c r="F790" s="373"/>
      <c r="G790" s="374"/>
      <c r="H790" s="357"/>
      <c r="I790" s="358"/>
      <c r="J790" s="357"/>
      <c r="K790" s="358"/>
      <c r="L790" s="359"/>
      <c r="M790" s="307"/>
      <c r="N790" s="359"/>
      <c r="O790" s="307"/>
      <c r="P790" s="357"/>
      <c r="Q790" s="357"/>
      <c r="R790" s="357"/>
      <c r="S790" s="357"/>
      <c r="T790" s="357"/>
      <c r="U790" s="357"/>
      <c r="V790" s="357"/>
      <c r="W790" s="357"/>
    </row>
    <row r="791">
      <c r="A791" s="358"/>
      <c r="B791" s="357"/>
      <c r="C791" s="358"/>
      <c r="D791" s="373"/>
      <c r="E791" s="373"/>
      <c r="F791" s="373"/>
      <c r="G791" s="374"/>
      <c r="H791" s="357"/>
      <c r="I791" s="358"/>
      <c r="J791" s="357"/>
      <c r="K791" s="358"/>
      <c r="L791" s="359"/>
      <c r="M791" s="307"/>
      <c r="N791" s="359"/>
      <c r="O791" s="307"/>
      <c r="P791" s="357"/>
      <c r="Q791" s="357"/>
      <c r="R791" s="357"/>
      <c r="S791" s="357"/>
      <c r="T791" s="357"/>
      <c r="U791" s="357"/>
      <c r="V791" s="357"/>
      <c r="W791" s="357"/>
    </row>
    <row r="792">
      <c r="A792" s="358"/>
      <c r="B792" s="357"/>
      <c r="C792" s="358"/>
      <c r="D792" s="373"/>
      <c r="E792" s="373"/>
      <c r="F792" s="373"/>
      <c r="G792" s="374"/>
      <c r="H792" s="357"/>
      <c r="I792" s="358"/>
      <c r="J792" s="357"/>
      <c r="K792" s="358"/>
      <c r="L792" s="359"/>
      <c r="M792" s="307"/>
      <c r="N792" s="359"/>
      <c r="O792" s="307"/>
      <c r="P792" s="357"/>
      <c r="Q792" s="357"/>
      <c r="R792" s="357"/>
      <c r="S792" s="357"/>
      <c r="T792" s="357"/>
      <c r="U792" s="357"/>
      <c r="V792" s="357"/>
      <c r="W792" s="357"/>
    </row>
    <row r="793">
      <c r="A793" s="358"/>
      <c r="B793" s="357"/>
      <c r="C793" s="358"/>
      <c r="D793" s="373"/>
      <c r="E793" s="373"/>
      <c r="F793" s="373"/>
      <c r="G793" s="374"/>
      <c r="H793" s="357"/>
      <c r="I793" s="358"/>
      <c r="J793" s="357"/>
      <c r="K793" s="358"/>
      <c r="L793" s="359"/>
      <c r="M793" s="307"/>
      <c r="N793" s="359"/>
      <c r="O793" s="307"/>
      <c r="P793" s="357"/>
      <c r="Q793" s="357"/>
      <c r="R793" s="357"/>
      <c r="S793" s="357"/>
      <c r="T793" s="357"/>
      <c r="U793" s="357"/>
      <c r="V793" s="357"/>
      <c r="W793" s="357"/>
    </row>
    <row r="794">
      <c r="A794" s="358"/>
      <c r="B794" s="357"/>
      <c r="C794" s="358"/>
      <c r="D794" s="373"/>
      <c r="E794" s="373"/>
      <c r="F794" s="373"/>
      <c r="G794" s="374"/>
      <c r="H794" s="357"/>
      <c r="I794" s="358"/>
      <c r="J794" s="357"/>
      <c r="K794" s="358"/>
      <c r="L794" s="359"/>
      <c r="M794" s="307"/>
      <c r="N794" s="359"/>
      <c r="O794" s="307"/>
      <c r="P794" s="357"/>
      <c r="Q794" s="357"/>
      <c r="R794" s="357"/>
      <c r="S794" s="357"/>
      <c r="T794" s="357"/>
      <c r="U794" s="357"/>
      <c r="V794" s="357"/>
      <c r="W794" s="357"/>
    </row>
    <row r="795">
      <c r="A795" s="358"/>
      <c r="B795" s="357"/>
      <c r="C795" s="358"/>
      <c r="D795" s="373"/>
      <c r="E795" s="373"/>
      <c r="F795" s="373"/>
      <c r="G795" s="374"/>
      <c r="H795" s="357"/>
      <c r="I795" s="358"/>
      <c r="J795" s="357"/>
      <c r="K795" s="358"/>
      <c r="L795" s="359"/>
      <c r="M795" s="307"/>
      <c r="N795" s="359"/>
      <c r="O795" s="307"/>
      <c r="P795" s="357"/>
      <c r="Q795" s="357"/>
      <c r="R795" s="357"/>
      <c r="S795" s="357"/>
      <c r="T795" s="357"/>
      <c r="U795" s="357"/>
      <c r="V795" s="357"/>
      <c r="W795" s="357"/>
    </row>
    <row r="796">
      <c r="A796" s="358"/>
      <c r="B796" s="357"/>
      <c r="C796" s="358"/>
      <c r="D796" s="373"/>
      <c r="E796" s="373"/>
      <c r="F796" s="373"/>
      <c r="G796" s="374"/>
      <c r="H796" s="357"/>
      <c r="I796" s="358"/>
      <c r="J796" s="357"/>
      <c r="K796" s="358"/>
      <c r="L796" s="359"/>
      <c r="M796" s="307"/>
      <c r="N796" s="359"/>
      <c r="O796" s="307"/>
      <c r="P796" s="357"/>
      <c r="Q796" s="357"/>
      <c r="R796" s="357"/>
      <c r="S796" s="357"/>
      <c r="T796" s="357"/>
      <c r="U796" s="357"/>
      <c r="V796" s="357"/>
      <c r="W796" s="357"/>
    </row>
    <row r="797">
      <c r="A797" s="358"/>
      <c r="B797" s="357"/>
      <c r="C797" s="358"/>
      <c r="D797" s="373"/>
      <c r="E797" s="373"/>
      <c r="F797" s="373"/>
      <c r="G797" s="374"/>
      <c r="H797" s="357"/>
      <c r="I797" s="358"/>
      <c r="J797" s="357"/>
      <c r="K797" s="358"/>
      <c r="L797" s="359"/>
      <c r="M797" s="307"/>
      <c r="N797" s="359"/>
      <c r="O797" s="307"/>
      <c r="P797" s="357"/>
      <c r="Q797" s="357"/>
      <c r="R797" s="357"/>
      <c r="S797" s="357"/>
      <c r="T797" s="357"/>
      <c r="U797" s="357"/>
      <c r="V797" s="357"/>
      <c r="W797" s="357"/>
    </row>
    <row r="798">
      <c r="A798" s="358"/>
      <c r="B798" s="357"/>
      <c r="C798" s="358"/>
      <c r="D798" s="373"/>
      <c r="E798" s="373"/>
      <c r="F798" s="373"/>
      <c r="G798" s="374"/>
      <c r="H798" s="357"/>
      <c r="I798" s="358"/>
      <c r="J798" s="357"/>
      <c r="K798" s="358"/>
      <c r="L798" s="359"/>
      <c r="M798" s="307"/>
      <c r="N798" s="359"/>
      <c r="O798" s="307"/>
      <c r="P798" s="357"/>
      <c r="Q798" s="357"/>
      <c r="R798" s="357"/>
      <c r="S798" s="357"/>
      <c r="T798" s="357"/>
      <c r="U798" s="357"/>
      <c r="V798" s="357"/>
      <c r="W798" s="357"/>
    </row>
    <row r="799">
      <c r="A799" s="358"/>
      <c r="B799" s="357"/>
      <c r="C799" s="358"/>
      <c r="D799" s="373"/>
      <c r="E799" s="373"/>
      <c r="F799" s="373"/>
      <c r="G799" s="374"/>
      <c r="H799" s="357"/>
      <c r="I799" s="358"/>
      <c r="J799" s="357"/>
      <c r="K799" s="358"/>
      <c r="L799" s="359"/>
      <c r="M799" s="307"/>
      <c r="N799" s="359"/>
      <c r="O799" s="307"/>
      <c r="P799" s="357"/>
      <c r="Q799" s="357"/>
      <c r="R799" s="357"/>
      <c r="S799" s="357"/>
      <c r="T799" s="357"/>
      <c r="U799" s="357"/>
      <c r="V799" s="357"/>
      <c r="W799" s="357"/>
    </row>
    <row r="800">
      <c r="A800" s="358"/>
      <c r="B800" s="357"/>
      <c r="C800" s="358"/>
      <c r="D800" s="373"/>
      <c r="E800" s="373"/>
      <c r="F800" s="373"/>
      <c r="G800" s="374"/>
      <c r="H800" s="357"/>
      <c r="I800" s="358"/>
      <c r="J800" s="357"/>
      <c r="K800" s="358"/>
      <c r="L800" s="359"/>
      <c r="M800" s="307"/>
      <c r="N800" s="359"/>
      <c r="O800" s="307"/>
      <c r="P800" s="357"/>
      <c r="Q800" s="357"/>
      <c r="R800" s="357"/>
      <c r="S800" s="357"/>
      <c r="T800" s="357"/>
      <c r="U800" s="357"/>
      <c r="V800" s="357"/>
      <c r="W800" s="357"/>
    </row>
    <row r="801">
      <c r="A801" s="358"/>
      <c r="B801" s="357"/>
      <c r="C801" s="358"/>
      <c r="D801" s="373"/>
      <c r="E801" s="373"/>
      <c r="F801" s="373"/>
      <c r="G801" s="374"/>
      <c r="H801" s="357"/>
      <c r="I801" s="358"/>
      <c r="J801" s="357"/>
      <c r="K801" s="358"/>
      <c r="L801" s="359"/>
      <c r="M801" s="307"/>
      <c r="N801" s="359"/>
      <c r="O801" s="307"/>
      <c r="P801" s="357"/>
      <c r="Q801" s="357"/>
      <c r="R801" s="357"/>
      <c r="S801" s="357"/>
      <c r="T801" s="357"/>
      <c r="U801" s="357"/>
      <c r="V801" s="357"/>
      <c r="W801" s="357"/>
    </row>
    <row r="802">
      <c r="A802" s="358"/>
      <c r="B802" s="357"/>
      <c r="C802" s="358"/>
      <c r="D802" s="373"/>
      <c r="E802" s="373"/>
      <c r="F802" s="373"/>
      <c r="G802" s="374"/>
      <c r="H802" s="357"/>
      <c r="I802" s="358"/>
      <c r="J802" s="357"/>
      <c r="K802" s="358"/>
      <c r="L802" s="359"/>
      <c r="M802" s="307"/>
      <c r="N802" s="359"/>
      <c r="O802" s="307"/>
      <c r="P802" s="357"/>
      <c r="Q802" s="357"/>
      <c r="R802" s="357"/>
      <c r="S802" s="357"/>
      <c r="T802" s="357"/>
      <c r="U802" s="357"/>
      <c r="V802" s="357"/>
      <c r="W802" s="357"/>
    </row>
    <row r="803">
      <c r="A803" s="358"/>
      <c r="B803" s="357"/>
      <c r="C803" s="358"/>
      <c r="D803" s="373"/>
      <c r="E803" s="373"/>
      <c r="F803" s="373"/>
      <c r="G803" s="374"/>
      <c r="H803" s="357"/>
      <c r="I803" s="358"/>
      <c r="J803" s="357"/>
      <c r="K803" s="358"/>
      <c r="L803" s="359"/>
      <c r="M803" s="307"/>
      <c r="N803" s="359"/>
      <c r="O803" s="307"/>
      <c r="P803" s="357"/>
      <c r="Q803" s="357"/>
      <c r="R803" s="357"/>
      <c r="S803" s="357"/>
      <c r="T803" s="357"/>
      <c r="U803" s="357"/>
      <c r="V803" s="357"/>
      <c r="W803" s="357"/>
    </row>
    <row r="804">
      <c r="A804" s="358"/>
      <c r="B804" s="357"/>
      <c r="C804" s="358"/>
      <c r="D804" s="373"/>
      <c r="E804" s="373"/>
      <c r="F804" s="373"/>
      <c r="G804" s="374"/>
      <c r="H804" s="357"/>
      <c r="I804" s="358"/>
      <c r="J804" s="357"/>
      <c r="K804" s="358"/>
      <c r="L804" s="359"/>
      <c r="M804" s="307"/>
      <c r="N804" s="359"/>
      <c r="O804" s="307"/>
      <c r="P804" s="357"/>
      <c r="Q804" s="357"/>
      <c r="R804" s="357"/>
      <c r="S804" s="357"/>
      <c r="T804" s="357"/>
      <c r="U804" s="357"/>
      <c r="V804" s="357"/>
      <c r="W804" s="357"/>
    </row>
    <row r="805">
      <c r="A805" s="358"/>
      <c r="B805" s="357"/>
      <c r="C805" s="358"/>
      <c r="D805" s="373"/>
      <c r="E805" s="373"/>
      <c r="F805" s="373"/>
      <c r="G805" s="374"/>
      <c r="H805" s="357"/>
      <c r="I805" s="358"/>
      <c r="J805" s="357"/>
      <c r="K805" s="358"/>
      <c r="L805" s="359"/>
      <c r="M805" s="307"/>
      <c r="N805" s="359"/>
      <c r="O805" s="307"/>
      <c r="P805" s="357"/>
      <c r="Q805" s="357"/>
      <c r="R805" s="357"/>
      <c r="S805" s="357"/>
      <c r="T805" s="357"/>
      <c r="U805" s="357"/>
      <c r="V805" s="357"/>
      <c r="W805" s="357"/>
    </row>
    <row r="806">
      <c r="A806" s="358"/>
      <c r="B806" s="357"/>
      <c r="C806" s="358"/>
      <c r="D806" s="373"/>
      <c r="E806" s="373"/>
      <c r="F806" s="373"/>
      <c r="G806" s="374"/>
      <c r="H806" s="357"/>
      <c r="I806" s="358"/>
      <c r="J806" s="357"/>
      <c r="K806" s="358"/>
      <c r="L806" s="359"/>
      <c r="M806" s="307"/>
      <c r="N806" s="359"/>
      <c r="O806" s="307"/>
      <c r="P806" s="357"/>
      <c r="Q806" s="357"/>
      <c r="R806" s="357"/>
      <c r="S806" s="357"/>
      <c r="T806" s="357"/>
      <c r="U806" s="357"/>
      <c r="V806" s="357"/>
      <c r="W806" s="357"/>
    </row>
    <row r="807">
      <c r="A807" s="358"/>
      <c r="B807" s="357"/>
      <c r="C807" s="358"/>
      <c r="D807" s="373"/>
      <c r="E807" s="373"/>
      <c r="F807" s="373"/>
      <c r="G807" s="374"/>
      <c r="H807" s="357"/>
      <c r="I807" s="358"/>
      <c r="J807" s="357"/>
      <c r="K807" s="358"/>
      <c r="L807" s="359"/>
      <c r="M807" s="307"/>
      <c r="N807" s="359"/>
      <c r="O807" s="307"/>
      <c r="P807" s="357"/>
      <c r="Q807" s="357"/>
      <c r="R807" s="357"/>
      <c r="S807" s="357"/>
      <c r="T807" s="357"/>
      <c r="U807" s="357"/>
      <c r="V807" s="357"/>
      <c r="W807" s="357"/>
    </row>
    <row r="808">
      <c r="A808" s="358"/>
      <c r="B808" s="357"/>
      <c r="C808" s="358"/>
      <c r="D808" s="373"/>
      <c r="E808" s="373"/>
      <c r="F808" s="373"/>
      <c r="G808" s="374"/>
      <c r="H808" s="357"/>
      <c r="I808" s="358"/>
      <c r="J808" s="357"/>
      <c r="K808" s="358"/>
      <c r="L808" s="359"/>
      <c r="M808" s="307"/>
      <c r="N808" s="359"/>
      <c r="O808" s="307"/>
      <c r="P808" s="357"/>
      <c r="Q808" s="357"/>
      <c r="R808" s="357"/>
      <c r="S808" s="357"/>
      <c r="T808" s="357"/>
      <c r="U808" s="357"/>
      <c r="V808" s="357"/>
      <c r="W808" s="357"/>
    </row>
    <row r="809">
      <c r="A809" s="358"/>
      <c r="B809" s="357"/>
      <c r="C809" s="358"/>
      <c r="D809" s="373"/>
      <c r="E809" s="373"/>
      <c r="F809" s="373"/>
      <c r="G809" s="374"/>
      <c r="H809" s="357"/>
      <c r="I809" s="358"/>
      <c r="J809" s="357"/>
      <c r="K809" s="358"/>
      <c r="L809" s="359"/>
      <c r="M809" s="307"/>
      <c r="N809" s="359"/>
      <c r="O809" s="307"/>
      <c r="P809" s="357"/>
      <c r="Q809" s="357"/>
      <c r="R809" s="357"/>
      <c r="S809" s="357"/>
      <c r="T809" s="357"/>
      <c r="U809" s="357"/>
      <c r="V809" s="357"/>
      <c r="W809" s="357"/>
    </row>
    <row r="810">
      <c r="A810" s="358"/>
      <c r="B810" s="357"/>
      <c r="C810" s="358"/>
      <c r="D810" s="373"/>
      <c r="E810" s="373"/>
      <c r="F810" s="373"/>
      <c r="G810" s="374"/>
      <c r="H810" s="357"/>
      <c r="I810" s="358"/>
      <c r="J810" s="357"/>
      <c r="K810" s="358"/>
      <c r="L810" s="359"/>
      <c r="M810" s="307"/>
      <c r="N810" s="359"/>
      <c r="O810" s="307"/>
      <c r="P810" s="357"/>
      <c r="Q810" s="357"/>
      <c r="R810" s="357"/>
      <c r="S810" s="357"/>
      <c r="T810" s="357"/>
      <c r="U810" s="357"/>
      <c r="V810" s="357"/>
      <c r="W810" s="357"/>
    </row>
    <row r="811">
      <c r="A811" s="358"/>
      <c r="B811" s="357"/>
      <c r="C811" s="358"/>
      <c r="D811" s="373"/>
      <c r="E811" s="373"/>
      <c r="F811" s="373"/>
      <c r="G811" s="374"/>
      <c r="H811" s="357"/>
      <c r="I811" s="358"/>
      <c r="J811" s="357"/>
      <c r="K811" s="358"/>
      <c r="L811" s="359"/>
      <c r="M811" s="307"/>
      <c r="N811" s="359"/>
      <c r="O811" s="307"/>
      <c r="P811" s="357"/>
      <c r="Q811" s="357"/>
      <c r="R811" s="357"/>
      <c r="S811" s="357"/>
      <c r="T811" s="357"/>
      <c r="U811" s="357"/>
      <c r="V811" s="357"/>
      <c r="W811" s="357"/>
    </row>
    <row r="812">
      <c r="A812" s="358"/>
      <c r="B812" s="357"/>
      <c r="C812" s="358"/>
      <c r="D812" s="373"/>
      <c r="E812" s="373"/>
      <c r="F812" s="373"/>
      <c r="G812" s="374"/>
      <c r="H812" s="357"/>
      <c r="I812" s="358"/>
      <c r="J812" s="357"/>
      <c r="K812" s="358"/>
      <c r="L812" s="359"/>
      <c r="M812" s="307"/>
      <c r="N812" s="359"/>
      <c r="O812" s="307"/>
      <c r="P812" s="357"/>
      <c r="Q812" s="357"/>
      <c r="R812" s="357"/>
      <c r="S812" s="357"/>
      <c r="T812" s="357"/>
      <c r="U812" s="357"/>
      <c r="V812" s="357"/>
      <c r="W812" s="357"/>
    </row>
    <row r="813">
      <c r="A813" s="358"/>
      <c r="B813" s="357"/>
      <c r="C813" s="358"/>
      <c r="D813" s="373"/>
      <c r="E813" s="373"/>
      <c r="F813" s="373"/>
      <c r="G813" s="374"/>
      <c r="H813" s="357"/>
      <c r="I813" s="358"/>
      <c r="J813" s="357"/>
      <c r="K813" s="358"/>
      <c r="L813" s="359"/>
      <c r="M813" s="307"/>
      <c r="N813" s="359"/>
      <c r="O813" s="307"/>
      <c r="P813" s="357"/>
      <c r="Q813" s="357"/>
      <c r="R813" s="357"/>
      <c r="S813" s="357"/>
      <c r="T813" s="357"/>
      <c r="U813" s="357"/>
      <c r="V813" s="357"/>
      <c r="W813" s="357"/>
    </row>
    <row r="814">
      <c r="A814" s="358"/>
      <c r="B814" s="357"/>
      <c r="C814" s="358"/>
      <c r="D814" s="373"/>
      <c r="E814" s="373"/>
      <c r="F814" s="373"/>
      <c r="G814" s="374"/>
      <c r="H814" s="357"/>
      <c r="I814" s="358"/>
      <c r="J814" s="357"/>
      <c r="K814" s="358"/>
      <c r="L814" s="359"/>
      <c r="M814" s="307"/>
      <c r="N814" s="359"/>
      <c r="O814" s="307"/>
      <c r="P814" s="357"/>
      <c r="Q814" s="357"/>
      <c r="R814" s="357"/>
      <c r="S814" s="357"/>
      <c r="T814" s="357"/>
      <c r="U814" s="357"/>
      <c r="V814" s="357"/>
      <c r="W814" s="357"/>
    </row>
    <row r="815">
      <c r="A815" s="358"/>
      <c r="B815" s="357"/>
      <c r="C815" s="358"/>
      <c r="D815" s="373"/>
      <c r="E815" s="373"/>
      <c r="F815" s="373"/>
      <c r="G815" s="374"/>
      <c r="H815" s="357"/>
      <c r="I815" s="358"/>
      <c r="J815" s="357"/>
      <c r="K815" s="358"/>
      <c r="L815" s="359"/>
      <c r="M815" s="307"/>
      <c r="N815" s="359"/>
      <c r="O815" s="307"/>
      <c r="P815" s="357"/>
      <c r="Q815" s="357"/>
      <c r="R815" s="357"/>
      <c r="S815" s="357"/>
      <c r="T815" s="357"/>
      <c r="U815" s="357"/>
      <c r="V815" s="357"/>
      <c r="W815" s="357"/>
    </row>
    <row r="816">
      <c r="A816" s="358"/>
      <c r="B816" s="357"/>
      <c r="C816" s="358"/>
      <c r="D816" s="373"/>
      <c r="E816" s="373"/>
      <c r="F816" s="373"/>
      <c r="G816" s="374"/>
      <c r="H816" s="357"/>
      <c r="I816" s="358"/>
      <c r="J816" s="357"/>
      <c r="K816" s="358"/>
      <c r="L816" s="359"/>
      <c r="M816" s="307"/>
      <c r="N816" s="359"/>
      <c r="O816" s="307"/>
      <c r="P816" s="357"/>
      <c r="Q816" s="357"/>
      <c r="R816" s="357"/>
      <c r="S816" s="357"/>
      <c r="T816" s="357"/>
      <c r="U816" s="357"/>
      <c r="V816" s="357"/>
      <c r="W816" s="357"/>
    </row>
    <row r="817">
      <c r="A817" s="358"/>
      <c r="B817" s="357"/>
      <c r="C817" s="358"/>
      <c r="D817" s="373"/>
      <c r="E817" s="373"/>
      <c r="F817" s="373"/>
      <c r="G817" s="374"/>
      <c r="H817" s="357"/>
      <c r="I817" s="358"/>
      <c r="J817" s="357"/>
      <c r="K817" s="358"/>
      <c r="L817" s="359"/>
      <c r="M817" s="307"/>
      <c r="N817" s="359"/>
      <c r="O817" s="307"/>
      <c r="P817" s="357"/>
      <c r="Q817" s="357"/>
      <c r="R817" s="357"/>
      <c r="S817" s="357"/>
      <c r="T817" s="357"/>
      <c r="U817" s="357"/>
      <c r="V817" s="357"/>
      <c r="W817" s="357"/>
    </row>
    <row r="818">
      <c r="A818" s="358"/>
      <c r="B818" s="357"/>
      <c r="C818" s="358"/>
      <c r="D818" s="373"/>
      <c r="E818" s="373"/>
      <c r="F818" s="373"/>
      <c r="G818" s="374"/>
      <c r="H818" s="357"/>
      <c r="I818" s="358"/>
      <c r="J818" s="357"/>
      <c r="K818" s="358"/>
      <c r="L818" s="359"/>
      <c r="M818" s="307"/>
      <c r="N818" s="359"/>
      <c r="O818" s="307"/>
      <c r="P818" s="357"/>
      <c r="Q818" s="357"/>
      <c r="R818" s="357"/>
      <c r="S818" s="357"/>
      <c r="T818" s="357"/>
      <c r="U818" s="357"/>
      <c r="V818" s="357"/>
      <c r="W818" s="357"/>
    </row>
    <row r="819">
      <c r="A819" s="358"/>
      <c r="B819" s="357"/>
      <c r="C819" s="358"/>
      <c r="D819" s="373"/>
      <c r="E819" s="373"/>
      <c r="F819" s="373"/>
      <c r="G819" s="374"/>
      <c r="H819" s="357"/>
      <c r="I819" s="358"/>
      <c r="J819" s="357"/>
      <c r="K819" s="358"/>
      <c r="L819" s="359"/>
      <c r="M819" s="307"/>
      <c r="N819" s="359"/>
      <c r="O819" s="307"/>
      <c r="P819" s="357"/>
      <c r="Q819" s="357"/>
      <c r="R819" s="357"/>
      <c r="S819" s="357"/>
      <c r="T819" s="357"/>
      <c r="U819" s="357"/>
      <c r="V819" s="357"/>
      <c r="W819" s="357"/>
    </row>
    <row r="820">
      <c r="A820" s="358"/>
      <c r="B820" s="357"/>
      <c r="C820" s="358"/>
      <c r="D820" s="373"/>
      <c r="E820" s="373"/>
      <c r="F820" s="373"/>
      <c r="G820" s="374"/>
      <c r="H820" s="357"/>
      <c r="I820" s="358"/>
      <c r="J820" s="357"/>
      <c r="K820" s="358"/>
      <c r="L820" s="359"/>
      <c r="M820" s="307"/>
      <c r="N820" s="359"/>
      <c r="O820" s="307"/>
      <c r="P820" s="357"/>
      <c r="Q820" s="357"/>
      <c r="R820" s="357"/>
      <c r="S820" s="357"/>
      <c r="T820" s="357"/>
      <c r="U820" s="357"/>
      <c r="V820" s="357"/>
      <c r="W820" s="357"/>
    </row>
    <row r="821">
      <c r="A821" s="358"/>
      <c r="B821" s="357"/>
      <c r="C821" s="358"/>
      <c r="D821" s="373"/>
      <c r="E821" s="373"/>
      <c r="F821" s="373"/>
      <c r="G821" s="374"/>
      <c r="H821" s="357"/>
      <c r="I821" s="358"/>
      <c r="J821" s="357"/>
      <c r="K821" s="358"/>
      <c r="L821" s="359"/>
      <c r="M821" s="307"/>
      <c r="N821" s="359"/>
      <c r="O821" s="307"/>
      <c r="P821" s="357"/>
      <c r="Q821" s="357"/>
      <c r="R821" s="357"/>
      <c r="S821" s="357"/>
      <c r="T821" s="357"/>
      <c r="U821" s="357"/>
      <c r="V821" s="357"/>
      <c r="W821" s="357"/>
    </row>
    <row r="822">
      <c r="A822" s="358"/>
      <c r="B822" s="357"/>
      <c r="C822" s="358"/>
      <c r="D822" s="373"/>
      <c r="E822" s="373"/>
      <c r="F822" s="373"/>
      <c r="G822" s="374"/>
      <c r="H822" s="357"/>
      <c r="I822" s="358"/>
      <c r="J822" s="357"/>
      <c r="K822" s="358"/>
      <c r="L822" s="359"/>
      <c r="M822" s="307"/>
      <c r="N822" s="359"/>
      <c r="O822" s="307"/>
      <c r="P822" s="357"/>
      <c r="Q822" s="357"/>
      <c r="R822" s="357"/>
      <c r="S822" s="357"/>
      <c r="T822" s="357"/>
      <c r="U822" s="357"/>
      <c r="V822" s="357"/>
      <c r="W822" s="357"/>
    </row>
    <row r="823">
      <c r="A823" s="358"/>
      <c r="B823" s="357"/>
      <c r="C823" s="358"/>
      <c r="D823" s="373"/>
      <c r="E823" s="373"/>
      <c r="F823" s="373"/>
      <c r="G823" s="374"/>
      <c r="H823" s="357"/>
      <c r="I823" s="358"/>
      <c r="J823" s="357"/>
      <c r="K823" s="358"/>
      <c r="L823" s="359"/>
      <c r="M823" s="307"/>
      <c r="N823" s="359"/>
      <c r="O823" s="307"/>
      <c r="P823" s="357"/>
      <c r="Q823" s="357"/>
      <c r="R823" s="357"/>
      <c r="S823" s="357"/>
      <c r="T823" s="357"/>
      <c r="U823" s="357"/>
      <c r="V823" s="357"/>
      <c r="W823" s="357"/>
    </row>
    <row r="824">
      <c r="A824" s="358"/>
      <c r="B824" s="357"/>
      <c r="C824" s="358"/>
      <c r="D824" s="373"/>
      <c r="E824" s="373"/>
      <c r="F824" s="373"/>
      <c r="G824" s="374"/>
      <c r="H824" s="357"/>
      <c r="I824" s="358"/>
      <c r="J824" s="357"/>
      <c r="K824" s="358"/>
      <c r="L824" s="359"/>
      <c r="M824" s="307"/>
      <c r="N824" s="359"/>
      <c r="O824" s="307"/>
      <c r="P824" s="357"/>
      <c r="Q824" s="357"/>
      <c r="R824" s="357"/>
      <c r="S824" s="357"/>
      <c r="T824" s="357"/>
      <c r="U824" s="357"/>
      <c r="V824" s="357"/>
      <c r="W824" s="357"/>
    </row>
    <row r="825">
      <c r="A825" s="358"/>
      <c r="B825" s="357"/>
      <c r="C825" s="358"/>
      <c r="D825" s="373"/>
      <c r="E825" s="373"/>
      <c r="F825" s="373"/>
      <c r="G825" s="374"/>
      <c r="H825" s="357"/>
      <c r="I825" s="358"/>
      <c r="J825" s="357"/>
      <c r="K825" s="358"/>
      <c r="L825" s="359"/>
      <c r="M825" s="307"/>
      <c r="N825" s="359"/>
      <c r="O825" s="307"/>
      <c r="P825" s="357"/>
      <c r="Q825" s="357"/>
      <c r="R825" s="357"/>
      <c r="S825" s="357"/>
      <c r="T825" s="357"/>
      <c r="U825" s="357"/>
      <c r="V825" s="357"/>
      <c r="W825" s="357"/>
    </row>
    <row r="826">
      <c r="A826" s="358"/>
      <c r="B826" s="357"/>
      <c r="C826" s="358"/>
      <c r="D826" s="373"/>
      <c r="E826" s="373"/>
      <c r="F826" s="373"/>
      <c r="G826" s="374"/>
      <c r="H826" s="357"/>
      <c r="I826" s="358"/>
      <c r="J826" s="357"/>
      <c r="K826" s="358"/>
      <c r="L826" s="359"/>
      <c r="M826" s="307"/>
      <c r="N826" s="359"/>
      <c r="O826" s="307"/>
      <c r="P826" s="357"/>
      <c r="Q826" s="357"/>
      <c r="R826" s="357"/>
      <c r="S826" s="357"/>
      <c r="T826" s="357"/>
      <c r="U826" s="357"/>
      <c r="V826" s="357"/>
      <c r="W826" s="357"/>
    </row>
    <row r="827">
      <c r="A827" s="358"/>
      <c r="B827" s="357"/>
      <c r="C827" s="358"/>
      <c r="D827" s="373"/>
      <c r="E827" s="373"/>
      <c r="F827" s="373"/>
      <c r="G827" s="374"/>
      <c r="H827" s="357"/>
      <c r="I827" s="358"/>
      <c r="J827" s="357"/>
      <c r="K827" s="358"/>
      <c r="L827" s="359"/>
      <c r="M827" s="307"/>
      <c r="N827" s="359"/>
      <c r="O827" s="307"/>
      <c r="P827" s="357"/>
      <c r="Q827" s="357"/>
      <c r="R827" s="357"/>
      <c r="S827" s="357"/>
      <c r="T827" s="357"/>
      <c r="U827" s="357"/>
      <c r="V827" s="357"/>
      <c r="W827" s="357"/>
    </row>
    <row r="828">
      <c r="A828" s="358"/>
      <c r="B828" s="357"/>
      <c r="C828" s="358"/>
      <c r="D828" s="373"/>
      <c r="E828" s="373"/>
      <c r="F828" s="373"/>
      <c r="G828" s="374"/>
      <c r="H828" s="357"/>
      <c r="I828" s="358"/>
      <c r="J828" s="357"/>
      <c r="K828" s="358"/>
      <c r="L828" s="359"/>
      <c r="M828" s="307"/>
      <c r="N828" s="359"/>
      <c r="O828" s="307"/>
      <c r="P828" s="357"/>
      <c r="Q828" s="357"/>
      <c r="R828" s="357"/>
      <c r="S828" s="357"/>
      <c r="T828" s="357"/>
      <c r="U828" s="357"/>
      <c r="V828" s="357"/>
      <c r="W828" s="357"/>
    </row>
    <row r="829">
      <c r="A829" s="358"/>
      <c r="B829" s="357"/>
      <c r="C829" s="358"/>
      <c r="D829" s="373"/>
      <c r="E829" s="373"/>
      <c r="F829" s="373"/>
      <c r="G829" s="374"/>
      <c r="H829" s="357"/>
      <c r="I829" s="358"/>
      <c r="J829" s="357"/>
      <c r="K829" s="358"/>
      <c r="L829" s="359"/>
      <c r="M829" s="307"/>
      <c r="N829" s="359"/>
      <c r="O829" s="307"/>
      <c r="P829" s="357"/>
      <c r="Q829" s="357"/>
      <c r="R829" s="357"/>
      <c r="S829" s="357"/>
      <c r="T829" s="357"/>
      <c r="U829" s="357"/>
      <c r="V829" s="357"/>
      <c r="W829" s="357"/>
    </row>
    <row r="830">
      <c r="A830" s="358"/>
      <c r="B830" s="357"/>
      <c r="C830" s="358"/>
      <c r="D830" s="373"/>
      <c r="E830" s="373"/>
      <c r="F830" s="373"/>
      <c r="G830" s="374"/>
      <c r="H830" s="357"/>
      <c r="I830" s="358"/>
      <c r="J830" s="357"/>
      <c r="K830" s="358"/>
      <c r="L830" s="359"/>
      <c r="M830" s="307"/>
      <c r="N830" s="359"/>
      <c r="O830" s="307"/>
      <c r="P830" s="357"/>
      <c r="Q830" s="357"/>
      <c r="R830" s="357"/>
      <c r="S830" s="357"/>
      <c r="T830" s="357"/>
      <c r="U830" s="357"/>
      <c r="V830" s="357"/>
      <c r="W830" s="357"/>
    </row>
    <row r="831">
      <c r="A831" s="358"/>
      <c r="B831" s="357"/>
      <c r="C831" s="358"/>
      <c r="D831" s="373"/>
      <c r="E831" s="373"/>
      <c r="F831" s="373"/>
      <c r="G831" s="374"/>
      <c r="H831" s="357"/>
      <c r="I831" s="358"/>
      <c r="J831" s="357"/>
      <c r="K831" s="358"/>
      <c r="L831" s="359"/>
      <c r="M831" s="307"/>
      <c r="N831" s="359"/>
      <c r="O831" s="307"/>
      <c r="P831" s="357"/>
      <c r="Q831" s="357"/>
      <c r="R831" s="357"/>
      <c r="S831" s="357"/>
      <c r="T831" s="357"/>
      <c r="U831" s="357"/>
      <c r="V831" s="357"/>
      <c r="W831" s="357"/>
    </row>
    <row r="832">
      <c r="A832" s="358"/>
      <c r="B832" s="357"/>
      <c r="C832" s="358"/>
      <c r="D832" s="373"/>
      <c r="E832" s="373"/>
      <c r="F832" s="373"/>
      <c r="G832" s="374"/>
      <c r="H832" s="357"/>
      <c r="I832" s="358"/>
      <c r="J832" s="357"/>
      <c r="K832" s="358"/>
      <c r="L832" s="359"/>
      <c r="M832" s="307"/>
      <c r="N832" s="359"/>
      <c r="O832" s="307"/>
      <c r="P832" s="357"/>
      <c r="Q832" s="357"/>
      <c r="R832" s="357"/>
      <c r="S832" s="357"/>
      <c r="T832" s="357"/>
      <c r="U832" s="357"/>
      <c r="V832" s="357"/>
      <c r="W832" s="357"/>
    </row>
    <row r="833">
      <c r="A833" s="358"/>
      <c r="B833" s="357"/>
      <c r="C833" s="358"/>
      <c r="D833" s="373"/>
      <c r="E833" s="373"/>
      <c r="F833" s="373"/>
      <c r="G833" s="374"/>
      <c r="H833" s="357"/>
      <c r="I833" s="358"/>
      <c r="J833" s="357"/>
      <c r="K833" s="358"/>
      <c r="L833" s="359"/>
      <c r="M833" s="307"/>
      <c r="N833" s="359"/>
      <c r="O833" s="307"/>
      <c r="P833" s="357"/>
      <c r="Q833" s="357"/>
      <c r="R833" s="357"/>
      <c r="S833" s="357"/>
      <c r="T833" s="357"/>
      <c r="U833" s="357"/>
      <c r="V833" s="357"/>
      <c r="W833" s="357"/>
    </row>
    <row r="834">
      <c r="A834" s="358"/>
      <c r="B834" s="357"/>
      <c r="C834" s="358"/>
      <c r="D834" s="373"/>
      <c r="E834" s="373"/>
      <c r="F834" s="373"/>
      <c r="G834" s="374"/>
      <c r="H834" s="357"/>
      <c r="I834" s="358"/>
      <c r="J834" s="357"/>
      <c r="K834" s="358"/>
      <c r="L834" s="359"/>
      <c r="M834" s="307"/>
      <c r="N834" s="359"/>
      <c r="O834" s="307"/>
      <c r="P834" s="357"/>
      <c r="Q834" s="357"/>
      <c r="R834" s="357"/>
      <c r="S834" s="357"/>
      <c r="T834" s="357"/>
      <c r="U834" s="357"/>
      <c r="V834" s="357"/>
      <c r="W834" s="357"/>
    </row>
    <row r="835">
      <c r="A835" s="358"/>
      <c r="B835" s="357"/>
      <c r="C835" s="358"/>
      <c r="D835" s="373"/>
      <c r="E835" s="373"/>
      <c r="F835" s="373"/>
      <c r="G835" s="374"/>
      <c r="H835" s="357"/>
      <c r="I835" s="358"/>
      <c r="J835" s="357"/>
      <c r="K835" s="358"/>
      <c r="L835" s="359"/>
      <c r="M835" s="307"/>
      <c r="N835" s="359"/>
      <c r="O835" s="307"/>
      <c r="P835" s="357"/>
      <c r="Q835" s="357"/>
      <c r="R835" s="357"/>
      <c r="S835" s="357"/>
      <c r="T835" s="357"/>
      <c r="U835" s="357"/>
      <c r="V835" s="357"/>
      <c r="W835" s="357"/>
    </row>
    <row r="836">
      <c r="A836" s="358"/>
      <c r="B836" s="357"/>
      <c r="C836" s="358"/>
      <c r="D836" s="373"/>
      <c r="E836" s="373"/>
      <c r="F836" s="373"/>
      <c r="G836" s="374"/>
      <c r="H836" s="357"/>
      <c r="I836" s="358"/>
      <c r="J836" s="357"/>
      <c r="K836" s="358"/>
      <c r="L836" s="359"/>
      <c r="M836" s="307"/>
      <c r="N836" s="359"/>
      <c r="O836" s="307"/>
      <c r="P836" s="357"/>
      <c r="Q836" s="357"/>
      <c r="R836" s="357"/>
      <c r="S836" s="357"/>
      <c r="T836" s="357"/>
      <c r="U836" s="357"/>
      <c r="V836" s="357"/>
      <c r="W836" s="357"/>
    </row>
    <row r="837">
      <c r="A837" s="358"/>
      <c r="B837" s="357"/>
      <c r="C837" s="358"/>
      <c r="D837" s="373"/>
      <c r="E837" s="373"/>
      <c r="F837" s="373"/>
      <c r="G837" s="374"/>
      <c r="H837" s="357"/>
      <c r="I837" s="358"/>
      <c r="J837" s="357"/>
      <c r="K837" s="358"/>
      <c r="L837" s="359"/>
      <c r="M837" s="307"/>
      <c r="N837" s="359"/>
      <c r="O837" s="307"/>
      <c r="P837" s="357"/>
      <c r="Q837" s="357"/>
      <c r="R837" s="357"/>
      <c r="S837" s="357"/>
      <c r="T837" s="357"/>
      <c r="U837" s="357"/>
      <c r="V837" s="357"/>
      <c r="W837" s="357"/>
    </row>
    <row r="838">
      <c r="A838" s="358"/>
      <c r="B838" s="357"/>
      <c r="C838" s="358"/>
      <c r="D838" s="373"/>
      <c r="E838" s="373"/>
      <c r="F838" s="373"/>
      <c r="G838" s="374"/>
      <c r="H838" s="357"/>
      <c r="I838" s="358"/>
      <c r="J838" s="357"/>
      <c r="K838" s="358"/>
      <c r="L838" s="359"/>
      <c r="M838" s="307"/>
      <c r="N838" s="359"/>
      <c r="O838" s="307"/>
      <c r="P838" s="357"/>
      <c r="Q838" s="357"/>
      <c r="R838" s="357"/>
      <c r="S838" s="357"/>
      <c r="T838" s="357"/>
      <c r="U838" s="357"/>
      <c r="V838" s="357"/>
      <c r="W838" s="357"/>
    </row>
    <row r="839">
      <c r="A839" s="358"/>
      <c r="B839" s="357"/>
      <c r="C839" s="358"/>
      <c r="D839" s="373"/>
      <c r="E839" s="373"/>
      <c r="F839" s="373"/>
      <c r="G839" s="374"/>
      <c r="H839" s="357"/>
      <c r="I839" s="358"/>
      <c r="J839" s="357"/>
      <c r="K839" s="358"/>
      <c r="L839" s="359"/>
      <c r="M839" s="307"/>
      <c r="N839" s="359"/>
      <c r="O839" s="307"/>
      <c r="P839" s="357"/>
      <c r="Q839" s="357"/>
      <c r="R839" s="357"/>
      <c r="S839" s="357"/>
      <c r="T839" s="357"/>
      <c r="U839" s="357"/>
      <c r="V839" s="357"/>
      <c r="W839" s="357"/>
    </row>
    <row r="840">
      <c r="A840" s="358"/>
      <c r="B840" s="357"/>
      <c r="C840" s="358"/>
      <c r="D840" s="373"/>
      <c r="E840" s="373"/>
      <c r="F840" s="373"/>
      <c r="G840" s="374"/>
      <c r="H840" s="357"/>
      <c r="I840" s="358"/>
      <c r="J840" s="357"/>
      <c r="K840" s="358"/>
      <c r="L840" s="359"/>
      <c r="M840" s="307"/>
      <c r="N840" s="359"/>
      <c r="O840" s="307"/>
      <c r="P840" s="357"/>
      <c r="Q840" s="357"/>
      <c r="R840" s="357"/>
      <c r="S840" s="357"/>
      <c r="T840" s="357"/>
      <c r="U840" s="357"/>
      <c r="V840" s="357"/>
      <c r="W840" s="357"/>
    </row>
    <row r="841">
      <c r="A841" s="358"/>
      <c r="B841" s="357"/>
      <c r="C841" s="358"/>
      <c r="D841" s="373"/>
      <c r="E841" s="373"/>
      <c r="F841" s="373"/>
      <c r="G841" s="374"/>
      <c r="H841" s="357"/>
      <c r="I841" s="358"/>
      <c r="J841" s="357"/>
      <c r="K841" s="358"/>
      <c r="L841" s="359"/>
      <c r="M841" s="307"/>
      <c r="N841" s="359"/>
      <c r="O841" s="307"/>
      <c r="P841" s="357"/>
      <c r="Q841" s="357"/>
      <c r="R841" s="357"/>
      <c r="S841" s="357"/>
      <c r="T841" s="357"/>
      <c r="U841" s="357"/>
      <c r="V841" s="357"/>
      <c r="W841" s="357"/>
    </row>
    <row r="842">
      <c r="A842" s="358"/>
      <c r="B842" s="357"/>
      <c r="C842" s="358"/>
      <c r="D842" s="373"/>
      <c r="E842" s="373"/>
      <c r="F842" s="373"/>
      <c r="G842" s="374"/>
      <c r="H842" s="357"/>
      <c r="I842" s="358"/>
      <c r="J842" s="357"/>
      <c r="K842" s="358"/>
      <c r="L842" s="359"/>
      <c r="M842" s="307"/>
      <c r="N842" s="359"/>
      <c r="O842" s="307"/>
      <c r="P842" s="357"/>
      <c r="Q842" s="357"/>
      <c r="R842" s="357"/>
      <c r="S842" s="357"/>
      <c r="T842" s="357"/>
      <c r="U842" s="357"/>
      <c r="V842" s="357"/>
      <c r="W842" s="357"/>
    </row>
    <row r="843">
      <c r="A843" s="358"/>
      <c r="B843" s="357"/>
      <c r="C843" s="358"/>
      <c r="D843" s="373"/>
      <c r="E843" s="373"/>
      <c r="F843" s="373"/>
      <c r="G843" s="374"/>
      <c r="H843" s="357"/>
      <c r="I843" s="358"/>
      <c r="J843" s="357"/>
      <c r="K843" s="358"/>
      <c r="L843" s="359"/>
      <c r="M843" s="307"/>
      <c r="N843" s="359"/>
      <c r="O843" s="307"/>
      <c r="P843" s="357"/>
      <c r="Q843" s="357"/>
      <c r="R843" s="357"/>
      <c r="S843" s="357"/>
      <c r="T843" s="357"/>
      <c r="U843" s="357"/>
      <c r="V843" s="357"/>
      <c r="W843" s="357"/>
    </row>
    <row r="844">
      <c r="A844" s="358"/>
      <c r="B844" s="357"/>
      <c r="C844" s="358"/>
      <c r="D844" s="373"/>
      <c r="E844" s="373"/>
      <c r="F844" s="373"/>
      <c r="G844" s="374"/>
      <c r="H844" s="357"/>
      <c r="I844" s="358"/>
      <c r="J844" s="357"/>
      <c r="K844" s="358"/>
      <c r="L844" s="359"/>
      <c r="M844" s="307"/>
      <c r="N844" s="359"/>
      <c r="O844" s="307"/>
      <c r="P844" s="357"/>
      <c r="Q844" s="357"/>
      <c r="R844" s="357"/>
      <c r="S844" s="357"/>
      <c r="T844" s="357"/>
      <c r="U844" s="357"/>
      <c r="V844" s="357"/>
      <c r="W844" s="357"/>
    </row>
    <row r="845">
      <c r="A845" s="358"/>
      <c r="B845" s="357"/>
      <c r="C845" s="358"/>
      <c r="D845" s="373"/>
      <c r="E845" s="373"/>
      <c r="F845" s="373"/>
      <c r="G845" s="374"/>
      <c r="H845" s="357"/>
      <c r="I845" s="358"/>
      <c r="J845" s="357"/>
      <c r="K845" s="358"/>
      <c r="L845" s="359"/>
      <c r="M845" s="307"/>
      <c r="N845" s="359"/>
      <c r="O845" s="307"/>
      <c r="P845" s="357"/>
      <c r="Q845" s="357"/>
      <c r="R845" s="357"/>
      <c r="S845" s="357"/>
      <c r="T845" s="357"/>
      <c r="U845" s="357"/>
      <c r="V845" s="357"/>
      <c r="W845" s="357"/>
    </row>
    <row r="846">
      <c r="A846" s="358"/>
      <c r="B846" s="357"/>
      <c r="C846" s="358"/>
      <c r="D846" s="373"/>
      <c r="E846" s="373"/>
      <c r="F846" s="373"/>
      <c r="G846" s="374"/>
      <c r="H846" s="357"/>
      <c r="I846" s="358"/>
      <c r="J846" s="357"/>
      <c r="K846" s="358"/>
      <c r="L846" s="359"/>
      <c r="M846" s="307"/>
      <c r="N846" s="359"/>
      <c r="O846" s="307"/>
      <c r="P846" s="357"/>
      <c r="Q846" s="357"/>
      <c r="R846" s="357"/>
      <c r="S846" s="357"/>
      <c r="T846" s="357"/>
      <c r="U846" s="357"/>
      <c r="V846" s="357"/>
      <c r="W846" s="357"/>
    </row>
    <row r="847">
      <c r="A847" s="358"/>
      <c r="B847" s="357"/>
      <c r="C847" s="358"/>
      <c r="D847" s="373"/>
      <c r="E847" s="373"/>
      <c r="F847" s="373"/>
      <c r="G847" s="374"/>
      <c r="H847" s="357"/>
      <c r="I847" s="358"/>
      <c r="J847" s="357"/>
      <c r="K847" s="358"/>
      <c r="L847" s="359"/>
      <c r="M847" s="307"/>
      <c r="N847" s="359"/>
      <c r="O847" s="307"/>
      <c r="P847" s="357"/>
      <c r="Q847" s="357"/>
      <c r="R847" s="357"/>
      <c r="S847" s="357"/>
      <c r="T847" s="357"/>
      <c r="U847" s="357"/>
      <c r="V847" s="357"/>
      <c r="W847" s="357"/>
    </row>
    <row r="848">
      <c r="A848" s="358"/>
      <c r="B848" s="357"/>
      <c r="C848" s="358"/>
      <c r="D848" s="373"/>
      <c r="E848" s="373"/>
      <c r="F848" s="373"/>
      <c r="G848" s="374"/>
      <c r="H848" s="357"/>
      <c r="I848" s="358"/>
      <c r="J848" s="357"/>
      <c r="K848" s="358"/>
      <c r="L848" s="359"/>
      <c r="M848" s="307"/>
      <c r="N848" s="359"/>
      <c r="O848" s="307"/>
      <c r="P848" s="357"/>
      <c r="Q848" s="357"/>
      <c r="R848" s="357"/>
      <c r="S848" s="357"/>
      <c r="T848" s="357"/>
      <c r="U848" s="357"/>
      <c r="V848" s="357"/>
      <c r="W848" s="357"/>
    </row>
    <row r="849">
      <c r="A849" s="358"/>
      <c r="B849" s="357"/>
      <c r="C849" s="358"/>
      <c r="D849" s="373"/>
      <c r="E849" s="373"/>
      <c r="F849" s="373"/>
      <c r="G849" s="374"/>
      <c r="H849" s="357"/>
      <c r="I849" s="358"/>
      <c r="J849" s="357"/>
      <c r="K849" s="358"/>
      <c r="L849" s="359"/>
      <c r="M849" s="307"/>
      <c r="N849" s="359"/>
      <c r="O849" s="307"/>
      <c r="P849" s="357"/>
      <c r="Q849" s="357"/>
      <c r="R849" s="357"/>
      <c r="S849" s="357"/>
      <c r="T849" s="357"/>
      <c r="U849" s="357"/>
      <c r="V849" s="357"/>
      <c r="W849" s="357"/>
    </row>
    <row r="850">
      <c r="A850" s="358"/>
      <c r="B850" s="357"/>
      <c r="C850" s="358"/>
      <c r="D850" s="373"/>
      <c r="E850" s="373"/>
      <c r="F850" s="373"/>
      <c r="G850" s="374"/>
      <c r="H850" s="357"/>
      <c r="I850" s="358"/>
      <c r="J850" s="357"/>
      <c r="K850" s="358"/>
      <c r="L850" s="359"/>
      <c r="M850" s="307"/>
      <c r="N850" s="359"/>
      <c r="O850" s="307"/>
      <c r="P850" s="357"/>
      <c r="Q850" s="357"/>
      <c r="R850" s="357"/>
      <c r="S850" s="357"/>
      <c r="T850" s="357"/>
      <c r="U850" s="357"/>
      <c r="V850" s="357"/>
      <c r="W850" s="357"/>
    </row>
    <row r="851">
      <c r="A851" s="358"/>
      <c r="B851" s="357"/>
      <c r="C851" s="358"/>
      <c r="D851" s="373"/>
      <c r="E851" s="373"/>
      <c r="F851" s="373"/>
      <c r="G851" s="374"/>
      <c r="H851" s="357"/>
      <c r="I851" s="358"/>
      <c r="J851" s="357"/>
      <c r="K851" s="358"/>
      <c r="L851" s="359"/>
      <c r="M851" s="307"/>
      <c r="N851" s="359"/>
      <c r="O851" s="307"/>
      <c r="P851" s="357"/>
      <c r="Q851" s="357"/>
      <c r="R851" s="357"/>
      <c r="S851" s="357"/>
      <c r="T851" s="357"/>
      <c r="U851" s="357"/>
      <c r="V851" s="357"/>
      <c r="W851" s="357"/>
    </row>
    <row r="852">
      <c r="A852" s="358"/>
      <c r="B852" s="357"/>
      <c r="C852" s="358"/>
      <c r="D852" s="373"/>
      <c r="E852" s="373"/>
      <c r="F852" s="373"/>
      <c r="G852" s="374"/>
      <c r="H852" s="357"/>
      <c r="I852" s="358"/>
      <c r="J852" s="357"/>
      <c r="K852" s="358"/>
      <c r="L852" s="359"/>
      <c r="M852" s="307"/>
      <c r="N852" s="359"/>
      <c r="O852" s="307"/>
      <c r="P852" s="357"/>
      <c r="Q852" s="357"/>
      <c r="R852" s="357"/>
      <c r="S852" s="357"/>
      <c r="T852" s="357"/>
      <c r="U852" s="357"/>
      <c r="V852" s="357"/>
      <c r="W852" s="357"/>
    </row>
    <row r="853">
      <c r="A853" s="358"/>
      <c r="B853" s="357"/>
      <c r="C853" s="358"/>
      <c r="D853" s="373"/>
      <c r="E853" s="373"/>
      <c r="F853" s="373"/>
      <c r="G853" s="374"/>
      <c r="H853" s="357"/>
      <c r="I853" s="358"/>
      <c r="J853" s="357"/>
      <c r="K853" s="358"/>
      <c r="L853" s="359"/>
      <c r="M853" s="307"/>
      <c r="N853" s="359"/>
      <c r="O853" s="307"/>
      <c r="P853" s="357"/>
      <c r="Q853" s="357"/>
      <c r="R853" s="357"/>
      <c r="S853" s="357"/>
      <c r="T853" s="357"/>
      <c r="U853" s="357"/>
      <c r="V853" s="357"/>
      <c r="W853" s="357"/>
    </row>
    <row r="854">
      <c r="A854" s="358"/>
      <c r="B854" s="357"/>
      <c r="C854" s="358"/>
      <c r="D854" s="373"/>
      <c r="E854" s="373"/>
      <c r="F854" s="373"/>
      <c r="G854" s="374"/>
      <c r="H854" s="357"/>
      <c r="I854" s="358"/>
      <c r="J854" s="357"/>
      <c r="K854" s="358"/>
      <c r="L854" s="359"/>
      <c r="M854" s="307"/>
      <c r="N854" s="359"/>
      <c r="O854" s="307"/>
      <c r="P854" s="357"/>
      <c r="Q854" s="357"/>
      <c r="R854" s="357"/>
      <c r="S854" s="357"/>
      <c r="T854" s="357"/>
      <c r="U854" s="357"/>
      <c r="V854" s="357"/>
      <c r="W854" s="357"/>
    </row>
    <row r="855">
      <c r="A855" s="358"/>
      <c r="B855" s="357"/>
      <c r="C855" s="358"/>
      <c r="D855" s="373"/>
      <c r="E855" s="373"/>
      <c r="F855" s="373"/>
      <c r="G855" s="374"/>
      <c r="H855" s="357"/>
      <c r="I855" s="358"/>
      <c r="J855" s="357"/>
      <c r="K855" s="358"/>
      <c r="L855" s="359"/>
      <c r="M855" s="307"/>
      <c r="N855" s="359"/>
      <c r="O855" s="307"/>
      <c r="P855" s="357"/>
      <c r="Q855" s="357"/>
      <c r="R855" s="357"/>
      <c r="S855" s="357"/>
      <c r="T855" s="357"/>
      <c r="U855" s="357"/>
      <c r="V855" s="357"/>
      <c r="W855" s="357"/>
    </row>
    <row r="856">
      <c r="A856" s="358"/>
      <c r="B856" s="357"/>
      <c r="C856" s="358"/>
      <c r="D856" s="373"/>
      <c r="E856" s="373"/>
      <c r="F856" s="373"/>
      <c r="G856" s="374"/>
      <c r="H856" s="357"/>
      <c r="I856" s="358"/>
      <c r="J856" s="357"/>
      <c r="K856" s="358"/>
      <c r="L856" s="359"/>
      <c r="M856" s="307"/>
      <c r="N856" s="359"/>
      <c r="O856" s="307"/>
      <c r="P856" s="357"/>
      <c r="Q856" s="357"/>
      <c r="R856" s="357"/>
      <c r="S856" s="357"/>
      <c r="T856" s="357"/>
      <c r="U856" s="357"/>
      <c r="V856" s="357"/>
      <c r="W856" s="357"/>
    </row>
    <row r="857">
      <c r="A857" s="358"/>
      <c r="B857" s="357"/>
      <c r="C857" s="358"/>
      <c r="D857" s="373"/>
      <c r="E857" s="373"/>
      <c r="F857" s="373"/>
      <c r="G857" s="374"/>
      <c r="H857" s="357"/>
      <c r="I857" s="358"/>
      <c r="J857" s="357"/>
      <c r="K857" s="358"/>
      <c r="L857" s="359"/>
      <c r="M857" s="307"/>
      <c r="N857" s="359"/>
      <c r="O857" s="307"/>
      <c r="P857" s="357"/>
      <c r="Q857" s="357"/>
      <c r="R857" s="357"/>
      <c r="S857" s="357"/>
      <c r="T857" s="357"/>
      <c r="U857" s="357"/>
      <c r="V857" s="357"/>
      <c r="W857" s="357"/>
    </row>
    <row r="858">
      <c r="A858" s="358"/>
      <c r="B858" s="357"/>
      <c r="C858" s="358"/>
      <c r="D858" s="373"/>
      <c r="E858" s="373"/>
      <c r="F858" s="373"/>
      <c r="G858" s="374"/>
      <c r="H858" s="357"/>
      <c r="I858" s="358"/>
      <c r="J858" s="357"/>
      <c r="K858" s="358"/>
      <c r="L858" s="359"/>
      <c r="M858" s="307"/>
      <c r="N858" s="359"/>
      <c r="O858" s="307"/>
      <c r="P858" s="357"/>
      <c r="Q858" s="357"/>
      <c r="R858" s="357"/>
      <c r="S858" s="357"/>
      <c r="T858" s="357"/>
      <c r="U858" s="357"/>
      <c r="V858" s="357"/>
      <c r="W858" s="357"/>
    </row>
    <row r="859">
      <c r="A859" s="358"/>
      <c r="B859" s="357"/>
      <c r="C859" s="358"/>
      <c r="D859" s="373"/>
      <c r="E859" s="373"/>
      <c r="F859" s="373"/>
      <c r="G859" s="374"/>
      <c r="H859" s="357"/>
      <c r="I859" s="358"/>
      <c r="J859" s="357"/>
      <c r="K859" s="358"/>
      <c r="L859" s="359"/>
      <c r="M859" s="307"/>
      <c r="N859" s="359"/>
      <c r="O859" s="307"/>
      <c r="P859" s="357"/>
      <c r="Q859" s="357"/>
      <c r="R859" s="357"/>
      <c r="S859" s="357"/>
      <c r="T859" s="357"/>
      <c r="U859" s="357"/>
      <c r="V859" s="357"/>
      <c r="W859" s="357"/>
    </row>
    <row r="860">
      <c r="A860" s="358"/>
      <c r="B860" s="357"/>
      <c r="C860" s="358"/>
      <c r="D860" s="373"/>
      <c r="E860" s="373"/>
      <c r="F860" s="373"/>
      <c r="G860" s="374"/>
      <c r="H860" s="357"/>
      <c r="I860" s="358"/>
      <c r="J860" s="357"/>
      <c r="K860" s="358"/>
      <c r="L860" s="359"/>
      <c r="M860" s="307"/>
      <c r="N860" s="359"/>
      <c r="O860" s="307"/>
      <c r="P860" s="357"/>
      <c r="Q860" s="357"/>
      <c r="R860" s="357"/>
      <c r="S860" s="357"/>
      <c r="T860" s="357"/>
      <c r="U860" s="357"/>
      <c r="V860" s="357"/>
      <c r="W860" s="357"/>
    </row>
    <row r="861">
      <c r="A861" s="358"/>
      <c r="B861" s="357"/>
      <c r="C861" s="358"/>
      <c r="D861" s="373"/>
      <c r="E861" s="373"/>
      <c r="F861" s="373"/>
      <c r="G861" s="374"/>
      <c r="H861" s="357"/>
      <c r="I861" s="358"/>
      <c r="J861" s="357"/>
      <c r="K861" s="358"/>
      <c r="L861" s="359"/>
      <c r="M861" s="307"/>
      <c r="N861" s="359"/>
      <c r="O861" s="307"/>
      <c r="P861" s="357"/>
      <c r="Q861" s="357"/>
      <c r="R861" s="357"/>
      <c r="S861" s="357"/>
      <c r="T861" s="357"/>
      <c r="U861" s="357"/>
      <c r="V861" s="357"/>
      <c r="W861" s="357"/>
    </row>
    <row r="862">
      <c r="A862" s="358"/>
      <c r="B862" s="357"/>
      <c r="C862" s="358"/>
      <c r="D862" s="373"/>
      <c r="E862" s="373"/>
      <c r="F862" s="373"/>
      <c r="G862" s="374"/>
      <c r="H862" s="357"/>
      <c r="I862" s="358"/>
      <c r="J862" s="357"/>
      <c r="K862" s="358"/>
      <c r="L862" s="359"/>
      <c r="M862" s="307"/>
      <c r="N862" s="359"/>
      <c r="O862" s="307"/>
      <c r="P862" s="357"/>
      <c r="Q862" s="357"/>
      <c r="R862" s="357"/>
      <c r="S862" s="357"/>
      <c r="T862" s="357"/>
      <c r="U862" s="357"/>
      <c r="V862" s="357"/>
      <c r="W862" s="357"/>
    </row>
    <row r="863">
      <c r="A863" s="358"/>
      <c r="B863" s="357"/>
      <c r="C863" s="358"/>
      <c r="D863" s="373"/>
      <c r="E863" s="373"/>
      <c r="F863" s="373"/>
      <c r="G863" s="374"/>
      <c r="H863" s="357"/>
      <c r="I863" s="358"/>
      <c r="J863" s="357"/>
      <c r="K863" s="358"/>
      <c r="L863" s="359"/>
      <c r="M863" s="307"/>
      <c r="N863" s="359"/>
      <c r="O863" s="307"/>
      <c r="P863" s="357"/>
      <c r="Q863" s="357"/>
      <c r="R863" s="357"/>
      <c r="S863" s="357"/>
      <c r="T863" s="357"/>
      <c r="U863" s="357"/>
      <c r="V863" s="357"/>
      <c r="W863" s="357"/>
    </row>
    <row r="864">
      <c r="A864" s="358"/>
      <c r="B864" s="357"/>
      <c r="C864" s="358"/>
      <c r="D864" s="373"/>
      <c r="E864" s="373"/>
      <c r="F864" s="373"/>
      <c r="G864" s="374"/>
      <c r="H864" s="357"/>
      <c r="I864" s="358"/>
      <c r="J864" s="357"/>
      <c r="K864" s="358"/>
      <c r="L864" s="359"/>
      <c r="M864" s="307"/>
      <c r="N864" s="359"/>
      <c r="O864" s="307"/>
      <c r="P864" s="357"/>
      <c r="Q864" s="357"/>
      <c r="R864" s="357"/>
      <c r="S864" s="357"/>
      <c r="T864" s="357"/>
      <c r="U864" s="357"/>
      <c r="V864" s="357"/>
      <c r="W864" s="357"/>
    </row>
    <row r="865">
      <c r="A865" s="358"/>
      <c r="B865" s="357"/>
      <c r="C865" s="358"/>
      <c r="D865" s="373"/>
      <c r="E865" s="373"/>
      <c r="F865" s="373"/>
      <c r="G865" s="374"/>
      <c r="H865" s="357"/>
      <c r="I865" s="358"/>
      <c r="J865" s="357"/>
      <c r="K865" s="358"/>
      <c r="L865" s="359"/>
      <c r="M865" s="307"/>
      <c r="N865" s="359"/>
      <c r="O865" s="307"/>
      <c r="P865" s="357"/>
      <c r="Q865" s="357"/>
      <c r="R865" s="357"/>
      <c r="S865" s="357"/>
      <c r="T865" s="357"/>
      <c r="U865" s="357"/>
      <c r="V865" s="357"/>
      <c r="W865" s="357"/>
    </row>
    <row r="866">
      <c r="A866" s="358"/>
      <c r="B866" s="357"/>
      <c r="C866" s="358"/>
      <c r="D866" s="373"/>
      <c r="E866" s="373"/>
      <c r="F866" s="373"/>
      <c r="G866" s="374"/>
      <c r="H866" s="357"/>
      <c r="I866" s="358"/>
      <c r="J866" s="357"/>
      <c r="K866" s="358"/>
      <c r="L866" s="359"/>
      <c r="M866" s="307"/>
      <c r="N866" s="359"/>
      <c r="O866" s="307"/>
      <c r="P866" s="357"/>
      <c r="Q866" s="357"/>
      <c r="R866" s="357"/>
      <c r="S866" s="357"/>
      <c r="T866" s="357"/>
      <c r="U866" s="357"/>
      <c r="V866" s="357"/>
      <c r="W866" s="357"/>
    </row>
    <row r="867">
      <c r="A867" s="358"/>
      <c r="B867" s="357"/>
      <c r="C867" s="358"/>
      <c r="D867" s="373"/>
      <c r="E867" s="373"/>
      <c r="F867" s="373"/>
      <c r="G867" s="374"/>
      <c r="H867" s="357"/>
      <c r="I867" s="358"/>
      <c r="J867" s="357"/>
      <c r="K867" s="358"/>
      <c r="L867" s="359"/>
      <c r="M867" s="307"/>
      <c r="N867" s="359"/>
      <c r="O867" s="307"/>
      <c r="P867" s="357"/>
      <c r="Q867" s="357"/>
      <c r="R867" s="357"/>
      <c r="S867" s="357"/>
      <c r="T867" s="357"/>
      <c r="U867" s="357"/>
      <c r="V867" s="357"/>
      <c r="W867" s="357"/>
    </row>
    <row r="868">
      <c r="A868" s="358"/>
      <c r="B868" s="357"/>
      <c r="C868" s="358"/>
      <c r="D868" s="373"/>
      <c r="E868" s="373"/>
      <c r="F868" s="373"/>
      <c r="G868" s="374"/>
      <c r="H868" s="357"/>
      <c r="I868" s="358"/>
      <c r="J868" s="357"/>
      <c r="K868" s="358"/>
      <c r="L868" s="359"/>
      <c r="M868" s="307"/>
      <c r="N868" s="359"/>
      <c r="O868" s="307"/>
      <c r="P868" s="357"/>
      <c r="Q868" s="357"/>
      <c r="R868" s="357"/>
      <c r="S868" s="357"/>
      <c r="T868" s="357"/>
      <c r="U868" s="357"/>
      <c r="V868" s="357"/>
      <c r="W868" s="357"/>
    </row>
    <row r="869">
      <c r="A869" s="358"/>
      <c r="B869" s="357"/>
      <c r="C869" s="358"/>
      <c r="D869" s="373"/>
      <c r="E869" s="373"/>
      <c r="F869" s="373"/>
      <c r="G869" s="374"/>
      <c r="H869" s="357"/>
      <c r="I869" s="358"/>
      <c r="J869" s="357"/>
      <c r="K869" s="358"/>
      <c r="L869" s="359"/>
      <c r="M869" s="307"/>
      <c r="N869" s="359"/>
      <c r="O869" s="307"/>
      <c r="P869" s="357"/>
      <c r="Q869" s="357"/>
      <c r="R869" s="357"/>
      <c r="S869" s="357"/>
      <c r="T869" s="357"/>
      <c r="U869" s="357"/>
      <c r="V869" s="357"/>
      <c r="W869" s="357"/>
    </row>
    <row r="870">
      <c r="A870" s="358"/>
      <c r="B870" s="357"/>
      <c r="C870" s="358"/>
      <c r="D870" s="373"/>
      <c r="E870" s="373"/>
      <c r="F870" s="373"/>
      <c r="G870" s="374"/>
      <c r="H870" s="357"/>
      <c r="I870" s="358"/>
      <c r="J870" s="357"/>
      <c r="K870" s="358"/>
      <c r="L870" s="359"/>
      <c r="M870" s="307"/>
      <c r="N870" s="359"/>
      <c r="O870" s="307"/>
      <c r="P870" s="357"/>
      <c r="Q870" s="357"/>
      <c r="R870" s="357"/>
      <c r="S870" s="357"/>
      <c r="T870" s="357"/>
      <c r="U870" s="357"/>
      <c r="V870" s="357"/>
      <c r="W870" s="357"/>
    </row>
    <row r="871">
      <c r="A871" s="358"/>
      <c r="B871" s="357"/>
      <c r="C871" s="358"/>
      <c r="D871" s="373"/>
      <c r="E871" s="373"/>
      <c r="F871" s="373"/>
      <c r="G871" s="374"/>
      <c r="H871" s="357"/>
      <c r="I871" s="358"/>
      <c r="J871" s="357"/>
      <c r="K871" s="358"/>
      <c r="L871" s="359"/>
      <c r="M871" s="307"/>
      <c r="N871" s="359"/>
      <c r="O871" s="307"/>
      <c r="P871" s="357"/>
      <c r="Q871" s="357"/>
      <c r="R871" s="357"/>
      <c r="S871" s="357"/>
      <c r="T871" s="357"/>
      <c r="U871" s="357"/>
      <c r="V871" s="357"/>
      <c r="W871" s="357"/>
    </row>
    <row r="872">
      <c r="A872" s="358"/>
      <c r="B872" s="357"/>
      <c r="C872" s="358"/>
      <c r="D872" s="373"/>
      <c r="E872" s="373"/>
      <c r="F872" s="373"/>
      <c r="G872" s="374"/>
      <c r="H872" s="357"/>
      <c r="I872" s="358"/>
      <c r="J872" s="357"/>
      <c r="K872" s="358"/>
      <c r="L872" s="359"/>
      <c r="M872" s="307"/>
      <c r="N872" s="359"/>
      <c r="O872" s="307"/>
      <c r="P872" s="357"/>
      <c r="Q872" s="357"/>
      <c r="R872" s="357"/>
      <c r="S872" s="357"/>
      <c r="T872" s="357"/>
      <c r="U872" s="357"/>
      <c r="V872" s="357"/>
      <c r="W872" s="357"/>
    </row>
    <row r="873">
      <c r="A873" s="358"/>
      <c r="B873" s="357"/>
      <c r="C873" s="358"/>
      <c r="D873" s="373"/>
      <c r="E873" s="373"/>
      <c r="F873" s="373"/>
      <c r="G873" s="374"/>
      <c r="H873" s="357"/>
      <c r="I873" s="358"/>
      <c r="J873" s="357"/>
      <c r="K873" s="358"/>
      <c r="L873" s="359"/>
      <c r="M873" s="307"/>
      <c r="N873" s="359"/>
      <c r="O873" s="307"/>
      <c r="P873" s="357"/>
      <c r="Q873" s="357"/>
      <c r="R873" s="357"/>
      <c r="S873" s="357"/>
      <c r="T873" s="357"/>
      <c r="U873" s="357"/>
      <c r="V873" s="357"/>
      <c r="W873" s="357"/>
    </row>
    <row r="874">
      <c r="A874" s="358"/>
      <c r="B874" s="357"/>
      <c r="C874" s="358"/>
      <c r="D874" s="373"/>
      <c r="E874" s="373"/>
      <c r="F874" s="373"/>
      <c r="G874" s="374"/>
      <c r="H874" s="357"/>
      <c r="I874" s="358"/>
      <c r="J874" s="357"/>
      <c r="K874" s="358"/>
      <c r="L874" s="359"/>
      <c r="M874" s="307"/>
      <c r="N874" s="359"/>
      <c r="O874" s="307"/>
      <c r="P874" s="357"/>
      <c r="Q874" s="357"/>
      <c r="R874" s="357"/>
      <c r="S874" s="357"/>
      <c r="T874" s="357"/>
      <c r="U874" s="357"/>
      <c r="V874" s="357"/>
      <c r="W874" s="357"/>
    </row>
    <row r="875">
      <c r="A875" s="358"/>
      <c r="B875" s="357"/>
      <c r="C875" s="358"/>
      <c r="D875" s="373"/>
      <c r="E875" s="373"/>
      <c r="F875" s="373"/>
      <c r="G875" s="374"/>
      <c r="H875" s="357"/>
      <c r="I875" s="358"/>
      <c r="J875" s="357"/>
      <c r="K875" s="358"/>
      <c r="L875" s="359"/>
      <c r="M875" s="307"/>
      <c r="N875" s="359"/>
      <c r="O875" s="307"/>
      <c r="P875" s="357"/>
      <c r="Q875" s="357"/>
      <c r="R875" s="357"/>
      <c r="S875" s="357"/>
      <c r="T875" s="357"/>
      <c r="U875" s="357"/>
      <c r="V875" s="357"/>
      <c r="W875" s="357"/>
    </row>
    <row r="876">
      <c r="A876" s="358"/>
      <c r="B876" s="357"/>
      <c r="C876" s="358"/>
      <c r="D876" s="373"/>
      <c r="E876" s="373"/>
      <c r="F876" s="373"/>
      <c r="G876" s="374"/>
      <c r="H876" s="357"/>
      <c r="I876" s="358"/>
      <c r="J876" s="357"/>
      <c r="K876" s="358"/>
      <c r="L876" s="359"/>
      <c r="M876" s="307"/>
      <c r="N876" s="359"/>
      <c r="O876" s="307"/>
      <c r="P876" s="357"/>
      <c r="Q876" s="357"/>
      <c r="R876" s="357"/>
      <c r="S876" s="357"/>
      <c r="T876" s="357"/>
      <c r="U876" s="357"/>
      <c r="V876" s="357"/>
      <c r="W876" s="357"/>
    </row>
    <row r="877">
      <c r="A877" s="358"/>
      <c r="B877" s="357"/>
      <c r="C877" s="358"/>
      <c r="D877" s="373"/>
      <c r="E877" s="373"/>
      <c r="F877" s="373"/>
      <c r="G877" s="374"/>
      <c r="H877" s="357"/>
      <c r="I877" s="358"/>
      <c r="J877" s="357"/>
      <c r="K877" s="358"/>
      <c r="L877" s="359"/>
      <c r="M877" s="307"/>
      <c r="N877" s="359"/>
      <c r="O877" s="307"/>
      <c r="P877" s="357"/>
      <c r="Q877" s="357"/>
      <c r="R877" s="357"/>
      <c r="S877" s="357"/>
      <c r="T877" s="357"/>
      <c r="U877" s="357"/>
      <c r="V877" s="357"/>
      <c r="W877" s="357"/>
    </row>
    <row r="878">
      <c r="A878" s="358"/>
      <c r="B878" s="357"/>
      <c r="C878" s="358"/>
      <c r="D878" s="373"/>
      <c r="E878" s="373"/>
      <c r="F878" s="373"/>
      <c r="G878" s="374"/>
      <c r="H878" s="357"/>
      <c r="I878" s="358"/>
      <c r="J878" s="357"/>
      <c r="K878" s="358"/>
      <c r="L878" s="359"/>
      <c r="M878" s="307"/>
      <c r="N878" s="359"/>
      <c r="O878" s="307"/>
      <c r="P878" s="357"/>
      <c r="Q878" s="357"/>
      <c r="R878" s="357"/>
      <c r="S878" s="357"/>
      <c r="T878" s="357"/>
      <c r="U878" s="357"/>
      <c r="V878" s="357"/>
      <c r="W878" s="357"/>
    </row>
    <row r="879">
      <c r="A879" s="358"/>
      <c r="B879" s="357"/>
      <c r="C879" s="358"/>
      <c r="D879" s="373"/>
      <c r="E879" s="373"/>
      <c r="F879" s="373"/>
      <c r="G879" s="374"/>
      <c r="H879" s="357"/>
      <c r="I879" s="358"/>
      <c r="J879" s="357"/>
      <c r="K879" s="358"/>
      <c r="L879" s="359"/>
      <c r="M879" s="307"/>
      <c r="N879" s="359"/>
      <c r="O879" s="307"/>
      <c r="P879" s="357"/>
      <c r="Q879" s="357"/>
      <c r="R879" s="357"/>
      <c r="S879" s="357"/>
      <c r="T879" s="357"/>
      <c r="U879" s="357"/>
      <c r="V879" s="357"/>
      <c r="W879" s="357"/>
    </row>
    <row r="880">
      <c r="A880" s="358"/>
      <c r="B880" s="357"/>
      <c r="C880" s="358"/>
      <c r="D880" s="373"/>
      <c r="E880" s="373"/>
      <c r="F880" s="373"/>
      <c r="G880" s="374"/>
      <c r="H880" s="357"/>
      <c r="I880" s="358"/>
      <c r="J880" s="357"/>
      <c r="K880" s="358"/>
      <c r="L880" s="359"/>
      <c r="M880" s="307"/>
      <c r="N880" s="359"/>
      <c r="O880" s="307"/>
      <c r="P880" s="357"/>
      <c r="Q880" s="357"/>
      <c r="R880" s="357"/>
      <c r="S880" s="357"/>
      <c r="T880" s="357"/>
      <c r="U880" s="357"/>
      <c r="V880" s="357"/>
      <c r="W880" s="357"/>
    </row>
    <row r="881">
      <c r="A881" s="358"/>
      <c r="B881" s="357"/>
      <c r="C881" s="358"/>
      <c r="D881" s="373"/>
      <c r="E881" s="373"/>
      <c r="F881" s="373"/>
      <c r="G881" s="374"/>
      <c r="H881" s="357"/>
      <c r="I881" s="358"/>
      <c r="J881" s="357"/>
      <c r="K881" s="358"/>
      <c r="L881" s="359"/>
      <c r="M881" s="307"/>
      <c r="N881" s="359"/>
      <c r="O881" s="307"/>
      <c r="P881" s="357"/>
      <c r="Q881" s="357"/>
      <c r="R881" s="357"/>
      <c r="S881" s="357"/>
      <c r="T881" s="357"/>
      <c r="U881" s="357"/>
      <c r="V881" s="357"/>
      <c r="W881" s="357"/>
    </row>
    <row r="882">
      <c r="A882" s="358"/>
      <c r="B882" s="357"/>
      <c r="C882" s="358"/>
      <c r="D882" s="373"/>
      <c r="E882" s="373"/>
      <c r="F882" s="373"/>
      <c r="G882" s="374"/>
      <c r="H882" s="357"/>
      <c r="I882" s="358"/>
      <c r="J882" s="357"/>
      <c r="K882" s="358"/>
      <c r="L882" s="359"/>
      <c r="M882" s="307"/>
      <c r="N882" s="359"/>
      <c r="O882" s="307"/>
      <c r="P882" s="357"/>
      <c r="Q882" s="357"/>
      <c r="R882" s="357"/>
      <c r="S882" s="357"/>
      <c r="T882" s="357"/>
      <c r="U882" s="357"/>
      <c r="V882" s="357"/>
      <c r="W882" s="357"/>
    </row>
    <row r="883">
      <c r="A883" s="358"/>
      <c r="B883" s="357"/>
      <c r="C883" s="358"/>
      <c r="D883" s="373"/>
      <c r="E883" s="373"/>
      <c r="F883" s="373"/>
      <c r="G883" s="374"/>
      <c r="H883" s="357"/>
      <c r="I883" s="358"/>
      <c r="J883" s="357"/>
      <c r="K883" s="358"/>
      <c r="L883" s="359"/>
      <c r="M883" s="307"/>
      <c r="N883" s="359"/>
      <c r="O883" s="307"/>
      <c r="P883" s="357"/>
      <c r="Q883" s="357"/>
      <c r="R883" s="357"/>
      <c r="S883" s="357"/>
      <c r="T883" s="357"/>
      <c r="U883" s="357"/>
      <c r="V883" s="357"/>
      <c r="W883" s="357"/>
    </row>
    <row r="884">
      <c r="A884" s="358"/>
      <c r="B884" s="357"/>
      <c r="C884" s="358"/>
      <c r="D884" s="373"/>
      <c r="E884" s="373"/>
      <c r="F884" s="373"/>
      <c r="G884" s="374"/>
      <c r="H884" s="357"/>
      <c r="I884" s="358"/>
      <c r="J884" s="357"/>
      <c r="K884" s="358"/>
      <c r="L884" s="359"/>
      <c r="M884" s="307"/>
      <c r="N884" s="359"/>
      <c r="O884" s="307"/>
      <c r="P884" s="357"/>
      <c r="Q884" s="357"/>
      <c r="R884" s="357"/>
      <c r="S884" s="357"/>
      <c r="T884" s="357"/>
      <c r="U884" s="357"/>
      <c r="V884" s="357"/>
      <c r="W884" s="357"/>
    </row>
    <row r="885">
      <c r="A885" s="358"/>
      <c r="B885" s="357"/>
      <c r="C885" s="358"/>
      <c r="D885" s="373"/>
      <c r="E885" s="373"/>
      <c r="F885" s="373"/>
      <c r="G885" s="374"/>
      <c r="H885" s="357"/>
      <c r="I885" s="358"/>
      <c r="J885" s="357"/>
      <c r="K885" s="358"/>
      <c r="L885" s="359"/>
      <c r="M885" s="307"/>
      <c r="N885" s="359"/>
      <c r="O885" s="307"/>
      <c r="P885" s="357"/>
      <c r="Q885" s="357"/>
      <c r="R885" s="357"/>
      <c r="S885" s="357"/>
      <c r="T885" s="357"/>
      <c r="U885" s="357"/>
      <c r="V885" s="357"/>
      <c r="W885" s="357"/>
    </row>
    <row r="886">
      <c r="A886" s="358"/>
      <c r="B886" s="357"/>
      <c r="C886" s="358"/>
      <c r="D886" s="373"/>
      <c r="E886" s="373"/>
      <c r="F886" s="373"/>
      <c r="G886" s="374"/>
      <c r="H886" s="357"/>
      <c r="I886" s="358"/>
      <c r="J886" s="357"/>
      <c r="K886" s="358"/>
      <c r="L886" s="359"/>
      <c r="M886" s="307"/>
      <c r="N886" s="359"/>
      <c r="O886" s="307"/>
      <c r="P886" s="357"/>
      <c r="Q886" s="357"/>
      <c r="R886" s="357"/>
      <c r="S886" s="357"/>
      <c r="T886" s="357"/>
      <c r="U886" s="357"/>
      <c r="V886" s="357"/>
      <c r="W886" s="357"/>
    </row>
    <row r="887">
      <c r="A887" s="358"/>
      <c r="B887" s="357"/>
      <c r="C887" s="358"/>
      <c r="D887" s="373"/>
      <c r="E887" s="373"/>
      <c r="F887" s="373"/>
      <c r="G887" s="374"/>
      <c r="H887" s="357"/>
      <c r="I887" s="358"/>
      <c r="J887" s="357"/>
      <c r="K887" s="358"/>
      <c r="L887" s="359"/>
      <c r="M887" s="307"/>
      <c r="N887" s="359"/>
      <c r="O887" s="307"/>
      <c r="P887" s="357"/>
      <c r="Q887" s="357"/>
      <c r="R887" s="357"/>
      <c r="S887" s="357"/>
      <c r="T887" s="357"/>
      <c r="U887" s="357"/>
      <c r="V887" s="357"/>
      <c r="W887" s="357"/>
    </row>
    <row r="888">
      <c r="A888" s="358"/>
      <c r="B888" s="357"/>
      <c r="C888" s="358"/>
      <c r="D888" s="373"/>
      <c r="E888" s="373"/>
      <c r="F888" s="373"/>
      <c r="G888" s="374"/>
      <c r="H888" s="357"/>
      <c r="I888" s="358"/>
      <c r="J888" s="357"/>
      <c r="K888" s="358"/>
      <c r="L888" s="359"/>
      <c r="M888" s="307"/>
      <c r="N888" s="359"/>
      <c r="O888" s="307"/>
      <c r="P888" s="357"/>
      <c r="Q888" s="357"/>
      <c r="R888" s="357"/>
      <c r="S888" s="357"/>
      <c r="T888" s="357"/>
      <c r="U888" s="357"/>
      <c r="V888" s="357"/>
      <c r="W888" s="357"/>
    </row>
    <row r="889">
      <c r="A889" s="358"/>
      <c r="B889" s="357"/>
      <c r="C889" s="358"/>
      <c r="D889" s="373"/>
      <c r="E889" s="373"/>
      <c r="F889" s="373"/>
      <c r="G889" s="374"/>
      <c r="H889" s="357"/>
      <c r="I889" s="358"/>
      <c r="J889" s="357"/>
      <c r="K889" s="358"/>
      <c r="L889" s="359"/>
      <c r="M889" s="307"/>
      <c r="N889" s="359"/>
      <c r="O889" s="307"/>
      <c r="P889" s="357"/>
      <c r="Q889" s="357"/>
      <c r="R889" s="357"/>
      <c r="S889" s="357"/>
      <c r="T889" s="357"/>
      <c r="U889" s="357"/>
      <c r="V889" s="357"/>
      <c r="W889" s="357"/>
    </row>
    <row r="890">
      <c r="A890" s="358"/>
      <c r="B890" s="357"/>
      <c r="C890" s="358"/>
      <c r="D890" s="373"/>
      <c r="E890" s="373"/>
      <c r="F890" s="373"/>
      <c r="G890" s="374"/>
      <c r="H890" s="357"/>
      <c r="I890" s="358"/>
      <c r="J890" s="357"/>
      <c r="K890" s="358"/>
      <c r="L890" s="359"/>
      <c r="M890" s="307"/>
      <c r="N890" s="359"/>
      <c r="O890" s="307"/>
      <c r="P890" s="357"/>
      <c r="Q890" s="357"/>
      <c r="R890" s="357"/>
      <c r="S890" s="357"/>
      <c r="T890" s="357"/>
      <c r="U890" s="357"/>
      <c r="V890" s="357"/>
      <c r="W890" s="357"/>
    </row>
    <row r="891">
      <c r="A891" s="358"/>
      <c r="B891" s="357"/>
      <c r="C891" s="358"/>
      <c r="D891" s="373"/>
      <c r="E891" s="373"/>
      <c r="F891" s="373"/>
      <c r="G891" s="374"/>
      <c r="H891" s="357"/>
      <c r="I891" s="358"/>
      <c r="J891" s="357"/>
      <c r="K891" s="358"/>
      <c r="L891" s="359"/>
      <c r="M891" s="307"/>
      <c r="N891" s="359"/>
      <c r="O891" s="307"/>
      <c r="P891" s="357"/>
      <c r="Q891" s="357"/>
      <c r="R891" s="357"/>
      <c r="S891" s="357"/>
      <c r="T891" s="357"/>
      <c r="U891" s="357"/>
      <c r="V891" s="357"/>
      <c r="W891" s="357"/>
    </row>
    <row r="892">
      <c r="A892" s="358"/>
      <c r="B892" s="357"/>
      <c r="C892" s="358"/>
      <c r="D892" s="373"/>
      <c r="E892" s="373"/>
      <c r="F892" s="373"/>
      <c r="G892" s="374"/>
      <c r="H892" s="357"/>
      <c r="I892" s="358"/>
      <c r="J892" s="357"/>
      <c r="K892" s="358"/>
      <c r="L892" s="359"/>
      <c r="M892" s="307"/>
      <c r="N892" s="359"/>
      <c r="O892" s="307"/>
      <c r="P892" s="357"/>
      <c r="Q892" s="357"/>
      <c r="R892" s="357"/>
      <c r="S892" s="357"/>
      <c r="T892" s="357"/>
      <c r="U892" s="357"/>
      <c r="V892" s="357"/>
      <c r="W892" s="357"/>
    </row>
    <row r="893">
      <c r="A893" s="358"/>
      <c r="B893" s="357"/>
      <c r="C893" s="358"/>
      <c r="D893" s="373"/>
      <c r="E893" s="373"/>
      <c r="F893" s="373"/>
      <c r="G893" s="374"/>
      <c r="H893" s="357"/>
      <c r="I893" s="358"/>
      <c r="J893" s="357"/>
      <c r="K893" s="358"/>
      <c r="L893" s="359"/>
      <c r="M893" s="307"/>
      <c r="N893" s="359"/>
      <c r="O893" s="307"/>
      <c r="P893" s="357"/>
      <c r="Q893" s="357"/>
      <c r="R893" s="357"/>
      <c r="S893" s="357"/>
      <c r="T893" s="357"/>
      <c r="U893" s="357"/>
      <c r="V893" s="357"/>
      <c r="W893" s="357"/>
    </row>
    <row r="894">
      <c r="A894" s="358"/>
      <c r="B894" s="357"/>
      <c r="C894" s="358"/>
      <c r="D894" s="373"/>
      <c r="E894" s="373"/>
      <c r="F894" s="373"/>
      <c r="G894" s="374"/>
      <c r="H894" s="357"/>
      <c r="I894" s="358"/>
      <c r="J894" s="357"/>
      <c r="K894" s="358"/>
      <c r="L894" s="359"/>
      <c r="M894" s="307"/>
      <c r="N894" s="359"/>
      <c r="O894" s="307"/>
      <c r="P894" s="357"/>
      <c r="Q894" s="357"/>
      <c r="R894" s="357"/>
      <c r="S894" s="357"/>
      <c r="T894" s="357"/>
      <c r="U894" s="357"/>
      <c r="V894" s="357"/>
      <c r="W894" s="357"/>
    </row>
    <row r="895">
      <c r="A895" s="358"/>
      <c r="B895" s="357"/>
      <c r="C895" s="358"/>
      <c r="D895" s="373"/>
      <c r="E895" s="373"/>
      <c r="F895" s="373"/>
      <c r="G895" s="374"/>
      <c r="H895" s="357"/>
      <c r="I895" s="358"/>
      <c r="J895" s="357"/>
      <c r="K895" s="358"/>
      <c r="L895" s="359"/>
      <c r="M895" s="307"/>
      <c r="N895" s="359"/>
      <c r="O895" s="307"/>
      <c r="P895" s="357"/>
      <c r="Q895" s="357"/>
      <c r="R895" s="357"/>
      <c r="S895" s="357"/>
      <c r="T895" s="357"/>
      <c r="U895" s="357"/>
      <c r="V895" s="357"/>
      <c r="W895" s="357"/>
    </row>
    <row r="896">
      <c r="A896" s="358"/>
      <c r="B896" s="357"/>
      <c r="C896" s="358"/>
      <c r="D896" s="373"/>
      <c r="E896" s="373"/>
      <c r="F896" s="373"/>
      <c r="G896" s="374"/>
      <c r="H896" s="357"/>
      <c r="I896" s="358"/>
      <c r="J896" s="357"/>
      <c r="K896" s="358"/>
      <c r="L896" s="359"/>
      <c r="M896" s="307"/>
      <c r="N896" s="359"/>
      <c r="O896" s="307"/>
      <c r="P896" s="357"/>
      <c r="Q896" s="357"/>
      <c r="R896" s="357"/>
      <c r="S896" s="357"/>
      <c r="T896" s="357"/>
      <c r="U896" s="357"/>
      <c r="V896" s="357"/>
      <c r="W896" s="357"/>
    </row>
    <row r="897">
      <c r="A897" s="358"/>
      <c r="B897" s="357"/>
      <c r="C897" s="358"/>
      <c r="D897" s="373"/>
      <c r="E897" s="373"/>
      <c r="F897" s="373"/>
      <c r="G897" s="374"/>
      <c r="H897" s="357"/>
      <c r="I897" s="358"/>
      <c r="J897" s="357"/>
      <c r="K897" s="358"/>
      <c r="L897" s="359"/>
      <c r="M897" s="307"/>
      <c r="N897" s="359"/>
      <c r="O897" s="307"/>
      <c r="P897" s="357"/>
      <c r="Q897" s="357"/>
      <c r="R897" s="357"/>
      <c r="S897" s="357"/>
      <c r="T897" s="357"/>
      <c r="U897" s="357"/>
      <c r="V897" s="357"/>
      <c r="W897" s="357"/>
    </row>
    <row r="898">
      <c r="A898" s="358"/>
      <c r="B898" s="357"/>
      <c r="C898" s="358"/>
      <c r="D898" s="373"/>
      <c r="E898" s="373"/>
      <c r="F898" s="373"/>
      <c r="G898" s="374"/>
      <c r="H898" s="357"/>
      <c r="I898" s="358"/>
      <c r="J898" s="357"/>
      <c r="K898" s="358"/>
      <c r="L898" s="359"/>
      <c r="M898" s="307"/>
      <c r="N898" s="359"/>
      <c r="O898" s="307"/>
      <c r="P898" s="357"/>
      <c r="Q898" s="357"/>
      <c r="R898" s="357"/>
      <c r="S898" s="357"/>
      <c r="T898" s="357"/>
      <c r="U898" s="357"/>
      <c r="V898" s="357"/>
      <c r="W898" s="357"/>
    </row>
    <row r="899">
      <c r="A899" s="358"/>
      <c r="B899" s="357"/>
      <c r="C899" s="358"/>
      <c r="D899" s="373"/>
      <c r="E899" s="373"/>
      <c r="F899" s="373"/>
      <c r="G899" s="374"/>
      <c r="H899" s="357"/>
      <c r="I899" s="358"/>
      <c r="J899" s="357"/>
      <c r="K899" s="358"/>
      <c r="L899" s="359"/>
      <c r="M899" s="307"/>
      <c r="N899" s="359"/>
      <c r="O899" s="307"/>
      <c r="P899" s="357"/>
      <c r="Q899" s="357"/>
      <c r="R899" s="357"/>
      <c r="S899" s="357"/>
      <c r="T899" s="357"/>
      <c r="U899" s="357"/>
      <c r="V899" s="357"/>
      <c r="W899" s="357"/>
    </row>
    <row r="900">
      <c r="A900" s="358"/>
      <c r="B900" s="357"/>
      <c r="C900" s="358"/>
      <c r="D900" s="373"/>
      <c r="E900" s="373"/>
      <c r="F900" s="373"/>
      <c r="G900" s="374"/>
      <c r="H900" s="357"/>
      <c r="I900" s="358"/>
      <c r="J900" s="357"/>
      <c r="K900" s="358"/>
      <c r="L900" s="359"/>
      <c r="M900" s="307"/>
      <c r="N900" s="359"/>
      <c r="O900" s="307"/>
      <c r="P900" s="357"/>
      <c r="Q900" s="357"/>
      <c r="R900" s="357"/>
      <c r="S900" s="357"/>
      <c r="T900" s="357"/>
      <c r="U900" s="357"/>
      <c r="V900" s="357"/>
      <c r="W900" s="357"/>
    </row>
    <row r="901">
      <c r="A901" s="358"/>
      <c r="B901" s="357"/>
      <c r="C901" s="358"/>
      <c r="D901" s="373"/>
      <c r="E901" s="373"/>
      <c r="F901" s="373"/>
      <c r="G901" s="374"/>
      <c r="H901" s="357"/>
      <c r="I901" s="358"/>
      <c r="J901" s="357"/>
      <c r="K901" s="358"/>
      <c r="L901" s="359"/>
      <c r="M901" s="307"/>
      <c r="N901" s="359"/>
      <c r="O901" s="307"/>
      <c r="P901" s="357"/>
      <c r="Q901" s="357"/>
      <c r="R901" s="357"/>
      <c r="S901" s="357"/>
      <c r="T901" s="357"/>
      <c r="U901" s="357"/>
      <c r="V901" s="357"/>
      <c r="W901" s="357"/>
    </row>
    <row r="902">
      <c r="A902" s="358"/>
      <c r="B902" s="357"/>
      <c r="C902" s="358"/>
      <c r="D902" s="373"/>
      <c r="E902" s="373"/>
      <c r="F902" s="373"/>
      <c r="G902" s="374"/>
      <c r="H902" s="357"/>
      <c r="I902" s="358"/>
      <c r="J902" s="357"/>
      <c r="K902" s="358"/>
      <c r="L902" s="359"/>
      <c r="M902" s="307"/>
      <c r="N902" s="359"/>
      <c r="O902" s="307"/>
      <c r="P902" s="357"/>
      <c r="Q902" s="357"/>
      <c r="R902" s="357"/>
      <c r="S902" s="357"/>
      <c r="T902" s="357"/>
      <c r="U902" s="357"/>
      <c r="V902" s="357"/>
      <c r="W902" s="357"/>
    </row>
    <row r="903">
      <c r="A903" s="358"/>
      <c r="B903" s="357"/>
      <c r="C903" s="358"/>
      <c r="D903" s="373"/>
      <c r="E903" s="373"/>
      <c r="F903" s="373"/>
      <c r="G903" s="374"/>
      <c r="H903" s="357"/>
      <c r="I903" s="358"/>
      <c r="J903" s="357"/>
      <c r="K903" s="358"/>
      <c r="L903" s="359"/>
      <c r="M903" s="307"/>
      <c r="N903" s="359"/>
      <c r="O903" s="307"/>
      <c r="P903" s="357"/>
      <c r="Q903" s="357"/>
      <c r="R903" s="357"/>
      <c r="S903" s="357"/>
      <c r="T903" s="357"/>
      <c r="U903" s="357"/>
      <c r="V903" s="357"/>
      <c r="W903" s="357"/>
    </row>
    <row r="904">
      <c r="A904" s="358"/>
      <c r="B904" s="357"/>
      <c r="C904" s="358"/>
      <c r="D904" s="373"/>
      <c r="E904" s="373"/>
      <c r="F904" s="373"/>
      <c r="G904" s="374"/>
      <c r="H904" s="357"/>
      <c r="I904" s="358"/>
      <c r="J904" s="357"/>
      <c r="K904" s="358"/>
      <c r="L904" s="359"/>
      <c r="M904" s="307"/>
      <c r="N904" s="359"/>
      <c r="O904" s="307"/>
      <c r="P904" s="357"/>
      <c r="Q904" s="357"/>
      <c r="R904" s="357"/>
      <c r="S904" s="357"/>
      <c r="T904" s="357"/>
      <c r="U904" s="357"/>
      <c r="V904" s="357"/>
      <c r="W904" s="357"/>
    </row>
    <row r="905">
      <c r="A905" s="358"/>
      <c r="B905" s="357"/>
      <c r="C905" s="358"/>
      <c r="D905" s="373"/>
      <c r="E905" s="373"/>
      <c r="F905" s="373"/>
      <c r="G905" s="374"/>
      <c r="H905" s="357"/>
      <c r="I905" s="358"/>
      <c r="J905" s="357"/>
      <c r="K905" s="358"/>
      <c r="L905" s="359"/>
      <c r="M905" s="307"/>
      <c r="N905" s="359"/>
      <c r="O905" s="307"/>
      <c r="P905" s="357"/>
      <c r="Q905" s="357"/>
      <c r="R905" s="357"/>
      <c r="S905" s="357"/>
      <c r="T905" s="357"/>
      <c r="U905" s="357"/>
      <c r="V905" s="357"/>
      <c r="W905" s="357"/>
    </row>
    <row r="906">
      <c r="A906" s="358"/>
      <c r="B906" s="357"/>
      <c r="C906" s="358"/>
      <c r="D906" s="373"/>
      <c r="E906" s="373"/>
      <c r="F906" s="373"/>
      <c r="G906" s="374"/>
      <c r="H906" s="357"/>
      <c r="I906" s="358"/>
      <c r="J906" s="357"/>
      <c r="K906" s="358"/>
      <c r="L906" s="359"/>
      <c r="M906" s="307"/>
      <c r="N906" s="359"/>
      <c r="O906" s="307"/>
      <c r="P906" s="357"/>
      <c r="Q906" s="357"/>
      <c r="R906" s="357"/>
      <c r="S906" s="357"/>
      <c r="T906" s="357"/>
      <c r="U906" s="357"/>
      <c r="V906" s="357"/>
      <c r="W906" s="357"/>
    </row>
    <row r="907">
      <c r="A907" s="358"/>
      <c r="B907" s="357"/>
      <c r="C907" s="358"/>
      <c r="D907" s="373"/>
      <c r="E907" s="373"/>
      <c r="F907" s="373"/>
      <c r="G907" s="374"/>
      <c r="H907" s="357"/>
      <c r="I907" s="358"/>
      <c r="J907" s="357"/>
      <c r="K907" s="358"/>
      <c r="L907" s="359"/>
      <c r="M907" s="307"/>
      <c r="N907" s="359"/>
      <c r="O907" s="307"/>
      <c r="P907" s="357"/>
      <c r="Q907" s="357"/>
      <c r="R907" s="357"/>
      <c r="S907" s="357"/>
      <c r="T907" s="357"/>
      <c r="U907" s="357"/>
      <c r="V907" s="357"/>
      <c r="W907" s="357"/>
    </row>
    <row r="908">
      <c r="A908" s="358"/>
      <c r="B908" s="357"/>
      <c r="C908" s="358"/>
      <c r="D908" s="373"/>
      <c r="E908" s="373"/>
      <c r="F908" s="373"/>
      <c r="G908" s="374"/>
      <c r="H908" s="357"/>
      <c r="I908" s="358"/>
      <c r="J908" s="357"/>
      <c r="K908" s="358"/>
      <c r="L908" s="359"/>
      <c r="M908" s="307"/>
      <c r="N908" s="359"/>
      <c r="O908" s="307"/>
      <c r="P908" s="357"/>
      <c r="Q908" s="357"/>
      <c r="R908" s="357"/>
      <c r="S908" s="357"/>
      <c r="T908" s="357"/>
      <c r="U908" s="357"/>
      <c r="V908" s="357"/>
      <c r="W908" s="357"/>
    </row>
    <row r="909">
      <c r="A909" s="358"/>
      <c r="B909" s="357"/>
      <c r="C909" s="358"/>
      <c r="D909" s="373"/>
      <c r="E909" s="373"/>
      <c r="F909" s="373"/>
      <c r="G909" s="374"/>
      <c r="H909" s="357"/>
      <c r="I909" s="358"/>
      <c r="J909" s="357"/>
      <c r="K909" s="358"/>
      <c r="L909" s="359"/>
      <c r="M909" s="307"/>
      <c r="N909" s="359"/>
      <c r="O909" s="307"/>
      <c r="P909" s="357"/>
      <c r="Q909" s="357"/>
      <c r="R909" s="357"/>
      <c r="S909" s="357"/>
      <c r="T909" s="357"/>
      <c r="U909" s="357"/>
      <c r="V909" s="357"/>
      <c r="W909" s="357"/>
    </row>
    <row r="910">
      <c r="A910" s="358"/>
      <c r="B910" s="357"/>
      <c r="C910" s="358"/>
      <c r="D910" s="373"/>
      <c r="E910" s="373"/>
      <c r="F910" s="373"/>
      <c r="G910" s="374"/>
      <c r="H910" s="357"/>
      <c r="I910" s="358"/>
      <c r="J910" s="357"/>
      <c r="K910" s="358"/>
      <c r="L910" s="359"/>
      <c r="M910" s="307"/>
      <c r="N910" s="359"/>
      <c r="O910" s="307"/>
      <c r="P910" s="357"/>
      <c r="Q910" s="357"/>
      <c r="R910" s="357"/>
      <c r="S910" s="357"/>
      <c r="T910" s="357"/>
      <c r="U910" s="357"/>
      <c r="V910" s="357"/>
      <c r="W910" s="357"/>
    </row>
    <row r="911">
      <c r="A911" s="358"/>
      <c r="B911" s="357"/>
      <c r="C911" s="358"/>
      <c r="D911" s="373"/>
      <c r="E911" s="373"/>
      <c r="F911" s="373"/>
      <c r="G911" s="374"/>
      <c r="H911" s="357"/>
      <c r="I911" s="358"/>
      <c r="J911" s="357"/>
      <c r="K911" s="358"/>
      <c r="L911" s="359"/>
      <c r="M911" s="307"/>
      <c r="N911" s="359"/>
      <c r="O911" s="307"/>
      <c r="P911" s="357"/>
      <c r="Q911" s="357"/>
      <c r="R911" s="357"/>
      <c r="S911" s="357"/>
      <c r="T911" s="357"/>
      <c r="U911" s="357"/>
      <c r="V911" s="357"/>
      <c r="W911" s="357"/>
    </row>
    <row r="912">
      <c r="A912" s="358"/>
      <c r="B912" s="357"/>
      <c r="C912" s="358"/>
      <c r="D912" s="373"/>
      <c r="E912" s="373"/>
      <c r="F912" s="373"/>
      <c r="G912" s="374"/>
      <c r="H912" s="357"/>
      <c r="I912" s="358"/>
      <c r="J912" s="357"/>
      <c r="K912" s="358"/>
      <c r="L912" s="359"/>
      <c r="M912" s="307"/>
      <c r="N912" s="359"/>
      <c r="O912" s="307"/>
      <c r="P912" s="357"/>
      <c r="Q912" s="357"/>
      <c r="R912" s="357"/>
      <c r="S912" s="357"/>
      <c r="T912" s="357"/>
      <c r="U912" s="357"/>
      <c r="V912" s="357"/>
      <c r="W912" s="357"/>
    </row>
    <row r="913">
      <c r="A913" s="358"/>
      <c r="B913" s="357"/>
      <c r="C913" s="358"/>
      <c r="D913" s="373"/>
      <c r="E913" s="373"/>
      <c r="F913" s="373"/>
      <c r="G913" s="374"/>
      <c r="H913" s="357"/>
      <c r="I913" s="358"/>
      <c r="J913" s="357"/>
      <c r="K913" s="358"/>
      <c r="L913" s="359"/>
      <c r="M913" s="307"/>
      <c r="N913" s="359"/>
      <c r="O913" s="307"/>
      <c r="P913" s="357"/>
      <c r="Q913" s="357"/>
      <c r="R913" s="357"/>
      <c r="S913" s="357"/>
      <c r="T913" s="357"/>
      <c r="U913" s="357"/>
      <c r="V913" s="357"/>
      <c r="W913" s="357"/>
    </row>
    <row r="914">
      <c r="A914" s="358"/>
      <c r="B914" s="357"/>
      <c r="C914" s="358"/>
      <c r="D914" s="373"/>
      <c r="E914" s="373"/>
      <c r="F914" s="373"/>
      <c r="G914" s="374"/>
      <c r="H914" s="357"/>
      <c r="I914" s="358"/>
      <c r="J914" s="357"/>
      <c r="K914" s="358"/>
      <c r="L914" s="359"/>
      <c r="M914" s="307"/>
      <c r="N914" s="359"/>
      <c r="O914" s="307"/>
      <c r="P914" s="357"/>
      <c r="Q914" s="357"/>
      <c r="R914" s="357"/>
      <c r="S914" s="357"/>
      <c r="T914" s="357"/>
      <c r="U914" s="357"/>
      <c r="V914" s="357"/>
      <c r="W914" s="357"/>
    </row>
    <row r="915">
      <c r="A915" s="358"/>
      <c r="B915" s="357"/>
      <c r="C915" s="358"/>
      <c r="D915" s="373"/>
      <c r="E915" s="373"/>
      <c r="F915" s="373"/>
      <c r="G915" s="374"/>
      <c r="H915" s="357"/>
      <c r="I915" s="358"/>
      <c r="J915" s="357"/>
      <c r="K915" s="358"/>
      <c r="L915" s="359"/>
      <c r="M915" s="307"/>
      <c r="N915" s="359"/>
      <c r="O915" s="307"/>
      <c r="P915" s="357"/>
      <c r="Q915" s="357"/>
      <c r="R915" s="357"/>
      <c r="S915" s="357"/>
      <c r="T915" s="357"/>
      <c r="U915" s="357"/>
      <c r="V915" s="357"/>
      <c r="W915" s="357"/>
    </row>
    <row r="916">
      <c r="A916" s="358"/>
      <c r="B916" s="357"/>
      <c r="C916" s="358"/>
      <c r="D916" s="373"/>
      <c r="E916" s="373"/>
      <c r="F916" s="373"/>
      <c r="G916" s="374"/>
      <c r="H916" s="357"/>
      <c r="I916" s="358"/>
      <c r="J916" s="357"/>
      <c r="K916" s="358"/>
      <c r="L916" s="359"/>
      <c r="M916" s="307"/>
      <c r="N916" s="359"/>
      <c r="O916" s="307"/>
      <c r="P916" s="357"/>
      <c r="Q916" s="357"/>
      <c r="R916" s="357"/>
      <c r="S916" s="357"/>
      <c r="T916" s="357"/>
      <c r="U916" s="357"/>
      <c r="V916" s="357"/>
      <c r="W916" s="357"/>
    </row>
    <row r="917">
      <c r="A917" s="358"/>
      <c r="B917" s="357"/>
      <c r="C917" s="358"/>
      <c r="D917" s="373"/>
      <c r="E917" s="373"/>
      <c r="F917" s="373"/>
      <c r="G917" s="374"/>
      <c r="H917" s="357"/>
      <c r="I917" s="358"/>
      <c r="J917" s="357"/>
      <c r="K917" s="358"/>
      <c r="L917" s="359"/>
      <c r="M917" s="307"/>
      <c r="N917" s="359"/>
      <c r="O917" s="307"/>
      <c r="P917" s="357"/>
      <c r="Q917" s="357"/>
      <c r="R917" s="357"/>
      <c r="S917" s="357"/>
      <c r="T917" s="357"/>
      <c r="U917" s="357"/>
      <c r="V917" s="357"/>
      <c r="W917" s="357"/>
    </row>
    <row r="918">
      <c r="A918" s="358"/>
      <c r="B918" s="357"/>
      <c r="C918" s="358"/>
      <c r="D918" s="373"/>
      <c r="E918" s="373"/>
      <c r="F918" s="373"/>
      <c r="G918" s="374"/>
      <c r="H918" s="357"/>
      <c r="I918" s="358"/>
      <c r="J918" s="357"/>
      <c r="K918" s="358"/>
      <c r="L918" s="359"/>
      <c r="M918" s="307"/>
      <c r="N918" s="359"/>
      <c r="O918" s="307"/>
      <c r="P918" s="357"/>
      <c r="Q918" s="357"/>
      <c r="R918" s="357"/>
      <c r="S918" s="357"/>
      <c r="T918" s="357"/>
      <c r="U918" s="357"/>
      <c r="V918" s="357"/>
      <c r="W918" s="357"/>
    </row>
    <row r="919">
      <c r="A919" s="358"/>
      <c r="B919" s="357"/>
      <c r="C919" s="358"/>
      <c r="D919" s="373"/>
      <c r="E919" s="373"/>
      <c r="F919" s="373"/>
      <c r="G919" s="374"/>
      <c r="H919" s="357"/>
      <c r="I919" s="358"/>
      <c r="J919" s="357"/>
      <c r="K919" s="358"/>
      <c r="L919" s="359"/>
      <c r="M919" s="307"/>
      <c r="N919" s="359"/>
      <c r="O919" s="307"/>
      <c r="P919" s="357"/>
      <c r="Q919" s="357"/>
      <c r="R919" s="357"/>
      <c r="S919" s="357"/>
      <c r="T919" s="357"/>
      <c r="U919" s="357"/>
      <c r="V919" s="357"/>
      <c r="W919" s="357"/>
    </row>
    <row r="920">
      <c r="A920" s="358"/>
      <c r="B920" s="357"/>
      <c r="C920" s="358"/>
      <c r="D920" s="373"/>
      <c r="E920" s="373"/>
      <c r="F920" s="373"/>
      <c r="G920" s="374"/>
      <c r="H920" s="357"/>
      <c r="I920" s="358"/>
      <c r="J920" s="357"/>
      <c r="K920" s="358"/>
      <c r="L920" s="359"/>
      <c r="M920" s="307"/>
      <c r="N920" s="359"/>
      <c r="O920" s="307"/>
      <c r="P920" s="357"/>
      <c r="Q920" s="357"/>
      <c r="R920" s="357"/>
      <c r="S920" s="357"/>
      <c r="T920" s="357"/>
      <c r="U920" s="357"/>
      <c r="V920" s="357"/>
      <c r="W920" s="357"/>
    </row>
    <row r="921">
      <c r="A921" s="358"/>
      <c r="B921" s="357"/>
      <c r="C921" s="358"/>
      <c r="D921" s="373"/>
      <c r="E921" s="373"/>
      <c r="F921" s="373"/>
      <c r="G921" s="374"/>
      <c r="H921" s="357"/>
      <c r="I921" s="358"/>
      <c r="J921" s="357"/>
      <c r="K921" s="358"/>
      <c r="L921" s="359"/>
      <c r="M921" s="307"/>
      <c r="N921" s="359"/>
      <c r="O921" s="307"/>
      <c r="P921" s="357"/>
      <c r="Q921" s="357"/>
      <c r="R921" s="357"/>
      <c r="S921" s="357"/>
      <c r="T921" s="357"/>
      <c r="U921" s="357"/>
      <c r="V921" s="357"/>
      <c r="W921" s="357"/>
    </row>
    <row r="922">
      <c r="A922" s="358"/>
      <c r="B922" s="357"/>
      <c r="C922" s="358"/>
      <c r="D922" s="373"/>
      <c r="E922" s="373"/>
      <c r="F922" s="373"/>
      <c r="G922" s="374"/>
      <c r="H922" s="357"/>
      <c r="I922" s="358"/>
      <c r="J922" s="357"/>
      <c r="K922" s="358"/>
      <c r="L922" s="359"/>
      <c r="M922" s="307"/>
      <c r="N922" s="359"/>
      <c r="O922" s="307"/>
      <c r="P922" s="357"/>
      <c r="Q922" s="357"/>
      <c r="R922" s="357"/>
      <c r="S922" s="357"/>
      <c r="T922" s="357"/>
      <c r="U922" s="357"/>
      <c r="V922" s="357"/>
      <c r="W922" s="357"/>
    </row>
    <row r="923">
      <c r="A923" s="358"/>
      <c r="B923" s="357"/>
      <c r="C923" s="358"/>
      <c r="D923" s="373"/>
      <c r="E923" s="373"/>
      <c r="F923" s="373"/>
      <c r="G923" s="374"/>
      <c r="H923" s="357"/>
      <c r="I923" s="358"/>
      <c r="J923" s="357"/>
      <c r="K923" s="358"/>
      <c r="L923" s="359"/>
      <c r="M923" s="307"/>
      <c r="N923" s="359"/>
      <c r="O923" s="307"/>
      <c r="P923" s="357"/>
      <c r="Q923" s="357"/>
      <c r="R923" s="357"/>
      <c r="S923" s="357"/>
      <c r="T923" s="357"/>
      <c r="U923" s="357"/>
      <c r="V923" s="357"/>
      <c r="W923" s="357"/>
    </row>
    <row r="924">
      <c r="A924" s="358"/>
      <c r="B924" s="357"/>
      <c r="C924" s="358"/>
      <c r="D924" s="373"/>
      <c r="E924" s="373"/>
      <c r="F924" s="373"/>
      <c r="G924" s="374"/>
      <c r="H924" s="357"/>
      <c r="I924" s="358"/>
      <c r="J924" s="357"/>
      <c r="K924" s="358"/>
      <c r="L924" s="359"/>
      <c r="M924" s="307"/>
      <c r="N924" s="359"/>
      <c r="O924" s="307"/>
      <c r="P924" s="357"/>
      <c r="Q924" s="357"/>
      <c r="R924" s="357"/>
      <c r="S924" s="357"/>
      <c r="T924" s="357"/>
      <c r="U924" s="357"/>
      <c r="V924" s="357"/>
      <c r="W924" s="357"/>
    </row>
    <row r="925">
      <c r="A925" s="358"/>
      <c r="B925" s="357"/>
      <c r="C925" s="358"/>
      <c r="D925" s="373"/>
      <c r="E925" s="373"/>
      <c r="F925" s="373"/>
      <c r="G925" s="374"/>
      <c r="H925" s="357"/>
      <c r="I925" s="358"/>
      <c r="J925" s="357"/>
      <c r="K925" s="358"/>
      <c r="L925" s="359"/>
      <c r="M925" s="307"/>
      <c r="N925" s="359"/>
      <c r="O925" s="307"/>
      <c r="P925" s="357"/>
      <c r="Q925" s="357"/>
      <c r="R925" s="357"/>
      <c r="S925" s="357"/>
      <c r="T925" s="357"/>
      <c r="U925" s="357"/>
      <c r="V925" s="357"/>
      <c r="W925" s="357"/>
    </row>
    <row r="926">
      <c r="A926" s="358"/>
      <c r="B926" s="357"/>
      <c r="C926" s="358"/>
      <c r="D926" s="373"/>
      <c r="E926" s="373"/>
      <c r="F926" s="373"/>
      <c r="G926" s="374"/>
      <c r="H926" s="357"/>
      <c r="I926" s="358"/>
      <c r="J926" s="357"/>
      <c r="K926" s="358"/>
      <c r="L926" s="359"/>
      <c r="M926" s="307"/>
      <c r="N926" s="359"/>
      <c r="O926" s="307"/>
      <c r="P926" s="357"/>
      <c r="Q926" s="357"/>
      <c r="R926" s="357"/>
      <c r="S926" s="357"/>
      <c r="T926" s="357"/>
      <c r="U926" s="357"/>
      <c r="V926" s="357"/>
      <c r="W926" s="357"/>
    </row>
    <row r="927">
      <c r="A927" s="358"/>
      <c r="B927" s="357"/>
      <c r="C927" s="358"/>
      <c r="D927" s="373"/>
      <c r="E927" s="373"/>
      <c r="F927" s="373"/>
      <c r="G927" s="374"/>
      <c r="H927" s="357"/>
      <c r="I927" s="358"/>
      <c r="J927" s="357"/>
      <c r="K927" s="358"/>
      <c r="L927" s="359"/>
      <c r="M927" s="307"/>
      <c r="N927" s="359"/>
      <c r="O927" s="307"/>
      <c r="P927" s="357"/>
      <c r="Q927" s="357"/>
      <c r="R927" s="357"/>
      <c r="S927" s="357"/>
      <c r="T927" s="357"/>
      <c r="U927" s="357"/>
      <c r="V927" s="357"/>
      <c r="W927" s="357"/>
    </row>
    <row r="928">
      <c r="A928" s="358"/>
      <c r="B928" s="357"/>
      <c r="C928" s="358"/>
      <c r="D928" s="373"/>
      <c r="E928" s="373"/>
      <c r="F928" s="373"/>
      <c r="G928" s="374"/>
      <c r="H928" s="357"/>
      <c r="I928" s="358"/>
      <c r="J928" s="357"/>
      <c r="K928" s="358"/>
      <c r="L928" s="359"/>
      <c r="M928" s="307"/>
      <c r="N928" s="359"/>
      <c r="O928" s="307"/>
      <c r="P928" s="357"/>
      <c r="Q928" s="357"/>
      <c r="R928" s="357"/>
      <c r="S928" s="357"/>
      <c r="T928" s="357"/>
      <c r="U928" s="357"/>
      <c r="V928" s="357"/>
      <c r="W928" s="357"/>
    </row>
    <row r="929">
      <c r="A929" s="358"/>
      <c r="B929" s="357"/>
      <c r="C929" s="358"/>
      <c r="D929" s="373"/>
      <c r="E929" s="373"/>
      <c r="F929" s="373"/>
      <c r="G929" s="374"/>
      <c r="H929" s="357"/>
      <c r="I929" s="358"/>
      <c r="J929" s="357"/>
      <c r="K929" s="358"/>
      <c r="L929" s="359"/>
      <c r="M929" s="307"/>
      <c r="N929" s="359"/>
      <c r="O929" s="307"/>
      <c r="P929" s="357"/>
      <c r="Q929" s="357"/>
      <c r="R929" s="357"/>
      <c r="S929" s="357"/>
      <c r="T929" s="357"/>
      <c r="U929" s="357"/>
      <c r="V929" s="357"/>
      <c r="W929" s="357"/>
    </row>
    <row r="930">
      <c r="A930" s="358"/>
      <c r="B930" s="357"/>
      <c r="C930" s="358"/>
      <c r="D930" s="373"/>
      <c r="E930" s="373"/>
      <c r="F930" s="373"/>
      <c r="G930" s="374"/>
      <c r="H930" s="357"/>
      <c r="I930" s="358"/>
      <c r="J930" s="357"/>
      <c r="K930" s="358"/>
      <c r="L930" s="359"/>
      <c r="M930" s="307"/>
      <c r="N930" s="359"/>
      <c r="O930" s="307"/>
      <c r="P930" s="357"/>
      <c r="Q930" s="357"/>
      <c r="R930" s="357"/>
      <c r="S930" s="357"/>
      <c r="T930" s="357"/>
      <c r="U930" s="357"/>
      <c r="V930" s="357"/>
      <c r="W930" s="357"/>
    </row>
    <row r="931">
      <c r="A931" s="358"/>
      <c r="B931" s="357"/>
      <c r="C931" s="358"/>
      <c r="D931" s="373"/>
      <c r="E931" s="373"/>
      <c r="F931" s="373"/>
      <c r="G931" s="374"/>
      <c r="H931" s="357"/>
      <c r="I931" s="358"/>
      <c r="J931" s="357"/>
      <c r="K931" s="358"/>
      <c r="L931" s="359"/>
      <c r="M931" s="307"/>
      <c r="N931" s="359"/>
      <c r="O931" s="307"/>
      <c r="P931" s="357"/>
      <c r="Q931" s="357"/>
      <c r="R931" s="357"/>
      <c r="S931" s="357"/>
      <c r="T931" s="357"/>
      <c r="U931" s="357"/>
      <c r="V931" s="357"/>
      <c r="W931" s="357"/>
    </row>
    <row r="932">
      <c r="A932" s="358"/>
      <c r="B932" s="357"/>
      <c r="C932" s="358"/>
      <c r="D932" s="373"/>
      <c r="E932" s="373"/>
      <c r="F932" s="373"/>
      <c r="G932" s="374"/>
      <c r="H932" s="357"/>
      <c r="I932" s="358"/>
      <c r="J932" s="357"/>
      <c r="K932" s="358"/>
      <c r="L932" s="359"/>
      <c r="M932" s="307"/>
      <c r="N932" s="359"/>
      <c r="O932" s="307"/>
      <c r="P932" s="357"/>
      <c r="Q932" s="357"/>
      <c r="R932" s="357"/>
      <c r="S932" s="357"/>
      <c r="T932" s="357"/>
      <c r="U932" s="357"/>
      <c r="V932" s="357"/>
      <c r="W932" s="357"/>
    </row>
    <row r="933">
      <c r="A933" s="358"/>
      <c r="B933" s="357"/>
      <c r="C933" s="358"/>
      <c r="D933" s="373"/>
      <c r="E933" s="373"/>
      <c r="F933" s="373"/>
      <c r="G933" s="374"/>
      <c r="H933" s="357"/>
      <c r="I933" s="358"/>
      <c r="J933" s="357"/>
      <c r="K933" s="358"/>
      <c r="L933" s="359"/>
      <c r="M933" s="307"/>
      <c r="N933" s="359"/>
      <c r="O933" s="307"/>
      <c r="P933" s="357"/>
      <c r="Q933" s="357"/>
      <c r="R933" s="357"/>
      <c r="S933" s="357"/>
      <c r="T933" s="357"/>
      <c r="U933" s="357"/>
      <c r="V933" s="357"/>
      <c r="W933" s="357"/>
    </row>
    <row r="934">
      <c r="A934" s="358"/>
      <c r="B934" s="357"/>
      <c r="C934" s="358"/>
      <c r="D934" s="373"/>
      <c r="E934" s="373"/>
      <c r="F934" s="373"/>
      <c r="G934" s="374"/>
      <c r="H934" s="357"/>
      <c r="I934" s="358"/>
      <c r="J934" s="357"/>
      <c r="K934" s="358"/>
      <c r="L934" s="359"/>
      <c r="M934" s="307"/>
      <c r="N934" s="359"/>
      <c r="O934" s="307"/>
      <c r="P934" s="357"/>
      <c r="Q934" s="357"/>
      <c r="R934" s="357"/>
      <c r="S934" s="357"/>
      <c r="T934" s="357"/>
      <c r="U934" s="357"/>
      <c r="V934" s="357"/>
      <c r="W934" s="357"/>
    </row>
    <row r="935">
      <c r="A935" s="358"/>
      <c r="B935" s="357"/>
      <c r="C935" s="358"/>
      <c r="D935" s="373"/>
      <c r="E935" s="373"/>
      <c r="F935" s="373"/>
      <c r="G935" s="374"/>
      <c r="H935" s="357"/>
      <c r="I935" s="358"/>
      <c r="J935" s="357"/>
      <c r="K935" s="358"/>
      <c r="L935" s="359"/>
      <c r="M935" s="307"/>
      <c r="N935" s="359"/>
      <c r="O935" s="307"/>
      <c r="P935" s="357"/>
      <c r="Q935" s="357"/>
      <c r="R935" s="357"/>
      <c r="S935" s="357"/>
      <c r="T935" s="357"/>
      <c r="U935" s="357"/>
      <c r="V935" s="357"/>
      <c r="W935" s="357"/>
    </row>
    <row r="936">
      <c r="A936" s="358"/>
      <c r="B936" s="357"/>
      <c r="C936" s="358"/>
      <c r="D936" s="373"/>
      <c r="E936" s="373"/>
      <c r="F936" s="373"/>
      <c r="G936" s="374"/>
      <c r="H936" s="357"/>
      <c r="I936" s="358"/>
      <c r="J936" s="357"/>
      <c r="K936" s="358"/>
      <c r="L936" s="359"/>
      <c r="M936" s="307"/>
      <c r="N936" s="359"/>
      <c r="O936" s="307"/>
      <c r="P936" s="357"/>
      <c r="Q936" s="357"/>
      <c r="R936" s="357"/>
      <c r="S936" s="357"/>
      <c r="T936" s="357"/>
      <c r="U936" s="357"/>
      <c r="V936" s="357"/>
      <c r="W936" s="357"/>
    </row>
    <row r="937">
      <c r="A937" s="358"/>
      <c r="B937" s="357"/>
      <c r="C937" s="358"/>
      <c r="D937" s="373"/>
      <c r="E937" s="373"/>
      <c r="F937" s="373"/>
      <c r="G937" s="374"/>
      <c r="H937" s="357"/>
      <c r="I937" s="358"/>
      <c r="J937" s="357"/>
      <c r="K937" s="358"/>
      <c r="L937" s="359"/>
      <c r="M937" s="307"/>
      <c r="N937" s="359"/>
      <c r="O937" s="307"/>
      <c r="P937" s="357"/>
      <c r="Q937" s="357"/>
      <c r="R937" s="357"/>
      <c r="S937" s="357"/>
      <c r="T937" s="357"/>
      <c r="U937" s="357"/>
      <c r="V937" s="357"/>
      <c r="W937" s="357"/>
    </row>
    <row r="938">
      <c r="A938" s="358"/>
      <c r="B938" s="357"/>
      <c r="C938" s="358"/>
      <c r="D938" s="373"/>
      <c r="E938" s="373"/>
      <c r="F938" s="373"/>
      <c r="G938" s="374"/>
      <c r="H938" s="357"/>
      <c r="I938" s="358"/>
      <c r="J938" s="357"/>
      <c r="K938" s="358"/>
      <c r="L938" s="359"/>
      <c r="M938" s="307"/>
      <c r="N938" s="359"/>
      <c r="O938" s="307"/>
      <c r="P938" s="357"/>
      <c r="Q938" s="357"/>
      <c r="R938" s="357"/>
      <c r="S938" s="357"/>
      <c r="T938" s="357"/>
      <c r="U938" s="357"/>
      <c r="V938" s="357"/>
      <c r="W938" s="357"/>
    </row>
    <row r="939">
      <c r="A939" s="358"/>
      <c r="B939" s="357"/>
      <c r="C939" s="358"/>
      <c r="D939" s="373"/>
      <c r="E939" s="373"/>
      <c r="F939" s="373"/>
      <c r="G939" s="374"/>
      <c r="H939" s="357"/>
      <c r="I939" s="358"/>
      <c r="J939" s="357"/>
      <c r="K939" s="358"/>
      <c r="L939" s="359"/>
      <c r="M939" s="307"/>
      <c r="N939" s="359"/>
      <c r="O939" s="307"/>
      <c r="P939" s="357"/>
      <c r="Q939" s="357"/>
      <c r="R939" s="357"/>
      <c r="S939" s="357"/>
      <c r="T939" s="357"/>
      <c r="U939" s="357"/>
      <c r="V939" s="357"/>
      <c r="W939" s="357"/>
    </row>
    <row r="940">
      <c r="A940" s="358"/>
      <c r="B940" s="357"/>
      <c r="C940" s="358"/>
      <c r="D940" s="373"/>
      <c r="E940" s="373"/>
      <c r="F940" s="373"/>
      <c r="G940" s="374"/>
      <c r="H940" s="357"/>
      <c r="I940" s="358"/>
      <c r="J940" s="357"/>
      <c r="K940" s="358"/>
      <c r="L940" s="359"/>
      <c r="M940" s="307"/>
      <c r="N940" s="359"/>
      <c r="O940" s="307"/>
      <c r="P940" s="357"/>
      <c r="Q940" s="357"/>
      <c r="R940" s="357"/>
      <c r="S940" s="357"/>
      <c r="T940" s="357"/>
      <c r="U940" s="357"/>
      <c r="V940" s="357"/>
      <c r="W940" s="357"/>
    </row>
    <row r="941">
      <c r="A941" s="358"/>
      <c r="B941" s="357"/>
      <c r="C941" s="358"/>
      <c r="D941" s="373"/>
      <c r="E941" s="373"/>
      <c r="F941" s="373"/>
      <c r="G941" s="374"/>
      <c r="H941" s="357"/>
      <c r="I941" s="358"/>
      <c r="J941" s="357"/>
      <c r="K941" s="358"/>
      <c r="L941" s="359"/>
      <c r="M941" s="307"/>
      <c r="N941" s="359"/>
      <c r="O941" s="307"/>
      <c r="P941" s="357"/>
      <c r="Q941" s="357"/>
      <c r="R941" s="357"/>
      <c r="S941" s="357"/>
      <c r="T941" s="357"/>
      <c r="U941" s="357"/>
      <c r="V941" s="357"/>
      <c r="W941" s="357"/>
    </row>
    <row r="942">
      <c r="A942" s="358"/>
      <c r="B942" s="357"/>
      <c r="C942" s="358"/>
      <c r="D942" s="373"/>
      <c r="E942" s="373"/>
      <c r="F942" s="373"/>
      <c r="G942" s="374"/>
      <c r="H942" s="357"/>
      <c r="I942" s="358"/>
      <c r="J942" s="357"/>
      <c r="K942" s="358"/>
      <c r="L942" s="359"/>
      <c r="M942" s="307"/>
      <c r="N942" s="359"/>
      <c r="O942" s="307"/>
      <c r="P942" s="357"/>
      <c r="Q942" s="357"/>
      <c r="R942" s="357"/>
      <c r="S942" s="357"/>
      <c r="T942" s="357"/>
      <c r="U942" s="357"/>
      <c r="V942" s="357"/>
      <c r="W942" s="357"/>
    </row>
    <row r="943">
      <c r="A943" s="358"/>
      <c r="B943" s="357"/>
      <c r="C943" s="358"/>
      <c r="D943" s="373"/>
      <c r="E943" s="373"/>
      <c r="F943" s="373"/>
      <c r="G943" s="374"/>
      <c r="H943" s="357"/>
      <c r="I943" s="358"/>
      <c r="J943" s="357"/>
      <c r="K943" s="358"/>
      <c r="L943" s="359"/>
      <c r="M943" s="307"/>
      <c r="N943" s="359"/>
      <c r="O943" s="307"/>
      <c r="P943" s="357"/>
      <c r="Q943" s="357"/>
      <c r="R943" s="357"/>
      <c r="S943" s="357"/>
      <c r="T943" s="357"/>
      <c r="U943" s="357"/>
      <c r="V943" s="357"/>
      <c r="W943" s="357"/>
    </row>
    <row r="944">
      <c r="A944" s="358"/>
      <c r="B944" s="357"/>
      <c r="C944" s="358"/>
      <c r="D944" s="373"/>
      <c r="E944" s="373"/>
      <c r="F944" s="373"/>
      <c r="G944" s="374"/>
      <c r="H944" s="357"/>
      <c r="I944" s="358"/>
      <c r="J944" s="357"/>
      <c r="K944" s="358"/>
      <c r="L944" s="359"/>
      <c r="M944" s="307"/>
      <c r="N944" s="359"/>
      <c r="O944" s="307"/>
      <c r="P944" s="357"/>
      <c r="Q944" s="357"/>
      <c r="R944" s="357"/>
      <c r="S944" s="357"/>
      <c r="T944" s="357"/>
      <c r="U944" s="357"/>
      <c r="V944" s="357"/>
      <c r="W944" s="357"/>
    </row>
    <row r="945">
      <c r="A945" s="358"/>
      <c r="B945" s="357"/>
      <c r="C945" s="358"/>
      <c r="D945" s="373"/>
      <c r="E945" s="373"/>
      <c r="F945" s="373"/>
      <c r="G945" s="374"/>
      <c r="H945" s="357"/>
      <c r="I945" s="358"/>
      <c r="J945" s="357"/>
      <c r="K945" s="358"/>
      <c r="L945" s="359"/>
      <c r="M945" s="307"/>
      <c r="N945" s="359"/>
      <c r="O945" s="307"/>
      <c r="P945" s="357"/>
      <c r="Q945" s="357"/>
      <c r="R945" s="357"/>
      <c r="S945" s="357"/>
      <c r="T945" s="357"/>
      <c r="U945" s="357"/>
      <c r="V945" s="357"/>
      <c r="W945" s="357"/>
    </row>
    <row r="946">
      <c r="A946" s="358"/>
      <c r="B946" s="357"/>
      <c r="C946" s="358"/>
      <c r="D946" s="373"/>
      <c r="E946" s="373"/>
      <c r="F946" s="373"/>
      <c r="G946" s="374"/>
      <c r="H946" s="357"/>
      <c r="I946" s="358"/>
      <c r="J946" s="357"/>
      <c r="K946" s="358"/>
      <c r="L946" s="359"/>
      <c r="M946" s="307"/>
      <c r="N946" s="359"/>
      <c r="O946" s="307"/>
      <c r="P946" s="357"/>
      <c r="Q946" s="357"/>
      <c r="R946" s="357"/>
      <c r="S946" s="357"/>
      <c r="T946" s="357"/>
      <c r="U946" s="357"/>
      <c r="V946" s="357"/>
      <c r="W946" s="357"/>
    </row>
    <row r="947">
      <c r="A947" s="358"/>
      <c r="B947" s="357"/>
      <c r="C947" s="358"/>
      <c r="D947" s="373"/>
      <c r="E947" s="373"/>
      <c r="F947" s="373"/>
      <c r="G947" s="374"/>
      <c r="H947" s="357"/>
      <c r="I947" s="358"/>
      <c r="J947" s="357"/>
      <c r="K947" s="358"/>
      <c r="L947" s="359"/>
      <c r="M947" s="307"/>
      <c r="N947" s="359"/>
      <c r="O947" s="307"/>
      <c r="P947" s="357"/>
      <c r="Q947" s="357"/>
      <c r="R947" s="357"/>
      <c r="S947" s="357"/>
      <c r="T947" s="357"/>
      <c r="U947" s="357"/>
      <c r="V947" s="357"/>
      <c r="W947" s="357"/>
    </row>
    <row r="948">
      <c r="A948" s="358"/>
      <c r="B948" s="357"/>
      <c r="C948" s="358"/>
      <c r="D948" s="373"/>
      <c r="E948" s="373"/>
      <c r="F948" s="373"/>
      <c r="G948" s="374"/>
      <c r="H948" s="357"/>
      <c r="I948" s="358"/>
      <c r="J948" s="357"/>
      <c r="K948" s="358"/>
      <c r="L948" s="359"/>
      <c r="M948" s="307"/>
      <c r="N948" s="359"/>
      <c r="O948" s="307"/>
      <c r="P948" s="357"/>
      <c r="Q948" s="357"/>
      <c r="R948" s="357"/>
      <c r="S948" s="357"/>
      <c r="T948" s="357"/>
      <c r="U948" s="357"/>
      <c r="V948" s="357"/>
      <c r="W948" s="357"/>
    </row>
    <row r="949">
      <c r="A949" s="358"/>
      <c r="B949" s="357"/>
      <c r="C949" s="358"/>
      <c r="D949" s="373"/>
      <c r="E949" s="373"/>
      <c r="F949" s="373"/>
      <c r="G949" s="374"/>
      <c r="H949" s="357"/>
      <c r="I949" s="358"/>
      <c r="J949" s="357"/>
      <c r="K949" s="358"/>
      <c r="L949" s="359"/>
      <c r="M949" s="307"/>
      <c r="N949" s="359"/>
      <c r="O949" s="307"/>
      <c r="P949" s="357"/>
      <c r="Q949" s="357"/>
      <c r="R949" s="357"/>
      <c r="S949" s="357"/>
      <c r="T949" s="357"/>
      <c r="U949" s="357"/>
      <c r="V949" s="357"/>
      <c r="W949" s="357"/>
    </row>
    <row r="950">
      <c r="A950" s="358"/>
      <c r="B950" s="357"/>
      <c r="C950" s="358"/>
      <c r="D950" s="373"/>
      <c r="E950" s="373"/>
      <c r="F950" s="373"/>
      <c r="G950" s="374"/>
      <c r="H950" s="357"/>
      <c r="I950" s="358"/>
      <c r="J950" s="357"/>
      <c r="K950" s="358"/>
      <c r="L950" s="359"/>
      <c r="M950" s="307"/>
      <c r="N950" s="359"/>
      <c r="O950" s="307"/>
      <c r="P950" s="357"/>
      <c r="Q950" s="357"/>
      <c r="R950" s="357"/>
      <c r="S950" s="357"/>
      <c r="T950" s="357"/>
      <c r="U950" s="357"/>
      <c r="V950" s="357"/>
      <c r="W950" s="357"/>
    </row>
    <row r="951">
      <c r="A951" s="358"/>
      <c r="B951" s="357"/>
      <c r="C951" s="358"/>
      <c r="D951" s="373"/>
      <c r="E951" s="373"/>
      <c r="F951" s="373"/>
      <c r="G951" s="374"/>
      <c r="H951" s="357"/>
      <c r="I951" s="358"/>
      <c r="J951" s="357"/>
      <c r="K951" s="358"/>
      <c r="L951" s="359"/>
      <c r="M951" s="307"/>
      <c r="N951" s="359"/>
      <c r="O951" s="307"/>
      <c r="P951" s="357"/>
      <c r="Q951" s="357"/>
      <c r="R951" s="357"/>
      <c r="S951" s="357"/>
      <c r="T951" s="357"/>
      <c r="U951" s="357"/>
      <c r="V951" s="357"/>
      <c r="W951" s="357"/>
    </row>
    <row r="952">
      <c r="A952" s="358"/>
      <c r="B952" s="357"/>
      <c r="C952" s="358"/>
      <c r="D952" s="373"/>
      <c r="E952" s="373"/>
      <c r="F952" s="373"/>
      <c r="G952" s="374"/>
      <c r="H952" s="357"/>
      <c r="I952" s="358"/>
      <c r="J952" s="357"/>
      <c r="K952" s="358"/>
      <c r="L952" s="359"/>
      <c r="M952" s="307"/>
      <c r="N952" s="359"/>
      <c r="O952" s="307"/>
      <c r="P952" s="357"/>
      <c r="Q952" s="357"/>
      <c r="R952" s="357"/>
      <c r="S952" s="357"/>
      <c r="T952" s="357"/>
      <c r="U952" s="357"/>
      <c r="V952" s="357"/>
      <c r="W952" s="357"/>
    </row>
    <row r="953">
      <c r="A953" s="358"/>
      <c r="B953" s="357"/>
      <c r="C953" s="358"/>
      <c r="D953" s="373"/>
      <c r="E953" s="373"/>
      <c r="F953" s="373"/>
      <c r="G953" s="374"/>
      <c r="H953" s="357"/>
      <c r="I953" s="358"/>
      <c r="J953" s="357"/>
      <c r="K953" s="358"/>
      <c r="L953" s="359"/>
      <c r="M953" s="307"/>
      <c r="N953" s="359"/>
      <c r="O953" s="307"/>
      <c r="P953" s="357"/>
      <c r="Q953" s="357"/>
      <c r="R953" s="357"/>
      <c r="S953" s="357"/>
      <c r="T953" s="357"/>
      <c r="U953" s="357"/>
      <c r="V953" s="357"/>
      <c r="W953" s="357"/>
    </row>
    <row r="954">
      <c r="A954" s="358"/>
      <c r="B954" s="357"/>
      <c r="C954" s="358"/>
      <c r="D954" s="373"/>
      <c r="E954" s="373"/>
      <c r="F954" s="373"/>
      <c r="G954" s="374"/>
      <c r="H954" s="357"/>
      <c r="I954" s="358"/>
      <c r="J954" s="357"/>
      <c r="K954" s="358"/>
      <c r="L954" s="359"/>
      <c r="M954" s="307"/>
      <c r="N954" s="359"/>
      <c r="O954" s="307"/>
      <c r="P954" s="357"/>
      <c r="Q954" s="357"/>
      <c r="R954" s="357"/>
      <c r="S954" s="357"/>
      <c r="T954" s="357"/>
      <c r="U954" s="357"/>
      <c r="V954" s="357"/>
      <c r="W954" s="357"/>
    </row>
    <row r="955">
      <c r="A955" s="358"/>
      <c r="B955" s="357"/>
      <c r="C955" s="358"/>
      <c r="D955" s="373"/>
      <c r="E955" s="373"/>
      <c r="F955" s="373"/>
      <c r="G955" s="374"/>
      <c r="H955" s="357"/>
      <c r="I955" s="358"/>
      <c r="J955" s="357"/>
      <c r="K955" s="358"/>
      <c r="L955" s="359"/>
      <c r="M955" s="307"/>
      <c r="N955" s="359"/>
      <c r="O955" s="307"/>
      <c r="P955" s="357"/>
      <c r="Q955" s="357"/>
      <c r="R955" s="357"/>
      <c r="S955" s="357"/>
      <c r="T955" s="357"/>
      <c r="U955" s="357"/>
      <c r="V955" s="357"/>
      <c r="W955" s="357"/>
    </row>
    <row r="956">
      <c r="A956" s="358"/>
      <c r="B956" s="357"/>
      <c r="C956" s="358"/>
      <c r="D956" s="373"/>
      <c r="E956" s="373"/>
      <c r="F956" s="373"/>
      <c r="G956" s="374"/>
      <c r="H956" s="357"/>
      <c r="I956" s="358"/>
      <c r="J956" s="357"/>
      <c r="K956" s="358"/>
      <c r="L956" s="359"/>
      <c r="M956" s="307"/>
      <c r="N956" s="359"/>
      <c r="O956" s="307"/>
      <c r="P956" s="357"/>
      <c r="Q956" s="357"/>
      <c r="R956" s="357"/>
      <c r="S956" s="357"/>
      <c r="T956" s="357"/>
      <c r="U956" s="357"/>
      <c r="V956" s="357"/>
      <c r="W956" s="357"/>
    </row>
    <row r="957">
      <c r="A957" s="358"/>
      <c r="B957" s="357"/>
      <c r="C957" s="358"/>
      <c r="D957" s="373"/>
      <c r="E957" s="373"/>
      <c r="F957" s="373"/>
      <c r="G957" s="374"/>
      <c r="H957" s="357"/>
      <c r="I957" s="358"/>
      <c r="J957" s="357"/>
      <c r="K957" s="358"/>
      <c r="L957" s="359"/>
      <c r="M957" s="307"/>
      <c r="N957" s="359"/>
      <c r="O957" s="307"/>
      <c r="P957" s="357"/>
      <c r="Q957" s="357"/>
      <c r="R957" s="357"/>
      <c r="S957" s="357"/>
      <c r="T957" s="357"/>
      <c r="U957" s="357"/>
      <c r="V957" s="357"/>
      <c r="W957" s="357"/>
    </row>
    <row r="958">
      <c r="A958" s="358"/>
      <c r="B958" s="357"/>
      <c r="C958" s="358"/>
      <c r="D958" s="373"/>
      <c r="E958" s="373"/>
      <c r="F958" s="373"/>
      <c r="G958" s="374"/>
      <c r="H958" s="357"/>
      <c r="I958" s="358"/>
      <c r="J958" s="357"/>
      <c r="K958" s="358"/>
      <c r="L958" s="359"/>
      <c r="M958" s="307"/>
      <c r="N958" s="359"/>
      <c r="O958" s="307"/>
      <c r="P958" s="357"/>
      <c r="Q958" s="357"/>
      <c r="R958" s="357"/>
      <c r="S958" s="357"/>
      <c r="T958" s="357"/>
      <c r="U958" s="357"/>
      <c r="V958" s="357"/>
      <c r="W958" s="357"/>
    </row>
    <row r="959">
      <c r="A959" s="358"/>
      <c r="B959" s="357"/>
      <c r="C959" s="358"/>
      <c r="D959" s="373"/>
      <c r="E959" s="373"/>
      <c r="F959" s="373"/>
      <c r="G959" s="374"/>
      <c r="H959" s="357"/>
      <c r="I959" s="358"/>
      <c r="J959" s="357"/>
      <c r="K959" s="358"/>
      <c r="L959" s="359"/>
      <c r="M959" s="307"/>
      <c r="N959" s="359"/>
      <c r="O959" s="307"/>
      <c r="P959" s="357"/>
      <c r="Q959" s="357"/>
      <c r="R959" s="357"/>
      <c r="S959" s="357"/>
      <c r="T959" s="357"/>
      <c r="U959" s="357"/>
      <c r="V959" s="357"/>
      <c r="W959" s="357"/>
    </row>
    <row r="960">
      <c r="A960" s="358"/>
      <c r="B960" s="357"/>
      <c r="C960" s="358"/>
      <c r="D960" s="373"/>
      <c r="E960" s="373"/>
      <c r="F960" s="373"/>
      <c r="G960" s="374"/>
      <c r="H960" s="357"/>
      <c r="I960" s="358"/>
      <c r="J960" s="357"/>
      <c r="K960" s="358"/>
      <c r="L960" s="359"/>
      <c r="M960" s="307"/>
      <c r="N960" s="359"/>
      <c r="O960" s="307"/>
      <c r="P960" s="357"/>
      <c r="Q960" s="357"/>
      <c r="R960" s="357"/>
      <c r="S960" s="357"/>
      <c r="T960" s="357"/>
      <c r="U960" s="357"/>
      <c r="V960" s="357"/>
      <c r="W960" s="357"/>
    </row>
    <row r="961">
      <c r="A961" s="358"/>
      <c r="B961" s="357"/>
      <c r="C961" s="358"/>
      <c r="D961" s="373"/>
      <c r="E961" s="373"/>
      <c r="F961" s="373"/>
      <c r="G961" s="374"/>
      <c r="H961" s="357"/>
      <c r="I961" s="358"/>
      <c r="J961" s="357"/>
      <c r="K961" s="358"/>
      <c r="L961" s="359"/>
      <c r="M961" s="307"/>
      <c r="N961" s="359"/>
      <c r="O961" s="307"/>
      <c r="P961" s="357"/>
      <c r="Q961" s="357"/>
      <c r="R961" s="357"/>
      <c r="S961" s="357"/>
      <c r="T961" s="357"/>
      <c r="U961" s="357"/>
      <c r="V961" s="357"/>
      <c r="W961" s="357"/>
    </row>
    <row r="962">
      <c r="A962" s="358"/>
      <c r="B962" s="357"/>
      <c r="C962" s="358"/>
      <c r="D962" s="373"/>
      <c r="E962" s="373"/>
      <c r="F962" s="373"/>
      <c r="G962" s="374"/>
      <c r="H962" s="357"/>
      <c r="I962" s="358"/>
      <c r="J962" s="357"/>
      <c r="K962" s="358"/>
      <c r="L962" s="359"/>
      <c r="M962" s="307"/>
      <c r="N962" s="359"/>
      <c r="O962" s="307"/>
      <c r="P962" s="357"/>
      <c r="Q962" s="357"/>
      <c r="R962" s="357"/>
      <c r="S962" s="357"/>
      <c r="T962" s="357"/>
      <c r="U962" s="357"/>
      <c r="V962" s="357"/>
      <c r="W962" s="357"/>
    </row>
    <row r="963">
      <c r="A963" s="358"/>
      <c r="B963" s="357"/>
      <c r="C963" s="358"/>
      <c r="D963" s="373"/>
      <c r="E963" s="373"/>
      <c r="F963" s="373"/>
      <c r="G963" s="374"/>
      <c r="H963" s="357"/>
      <c r="I963" s="358"/>
      <c r="J963" s="357"/>
      <c r="K963" s="358"/>
      <c r="L963" s="359"/>
      <c r="M963" s="307"/>
      <c r="N963" s="359"/>
      <c r="O963" s="307"/>
      <c r="P963" s="357"/>
      <c r="Q963" s="357"/>
      <c r="R963" s="357"/>
      <c r="S963" s="357"/>
      <c r="T963" s="357"/>
      <c r="U963" s="357"/>
      <c r="V963" s="357"/>
      <c r="W963" s="357"/>
    </row>
    <row r="964">
      <c r="A964" s="358"/>
      <c r="B964" s="357"/>
      <c r="C964" s="358"/>
      <c r="D964" s="373"/>
      <c r="E964" s="373"/>
      <c r="F964" s="373"/>
      <c r="G964" s="374"/>
      <c r="H964" s="357"/>
      <c r="I964" s="358"/>
      <c r="J964" s="357"/>
      <c r="K964" s="358"/>
      <c r="L964" s="359"/>
      <c r="M964" s="307"/>
      <c r="N964" s="359"/>
      <c r="O964" s="307"/>
      <c r="P964" s="357"/>
      <c r="Q964" s="357"/>
      <c r="R964" s="357"/>
      <c r="S964" s="357"/>
      <c r="T964" s="357"/>
      <c r="U964" s="357"/>
      <c r="V964" s="357"/>
      <c r="W964" s="357"/>
    </row>
    <row r="965">
      <c r="A965" s="358"/>
      <c r="B965" s="357"/>
      <c r="C965" s="358"/>
      <c r="D965" s="373"/>
      <c r="E965" s="373"/>
      <c r="F965" s="373"/>
      <c r="G965" s="374"/>
      <c r="H965" s="357"/>
      <c r="I965" s="358"/>
      <c r="J965" s="357"/>
      <c r="K965" s="358"/>
      <c r="L965" s="359"/>
      <c r="M965" s="307"/>
      <c r="N965" s="359"/>
      <c r="O965" s="307"/>
      <c r="P965" s="357"/>
      <c r="Q965" s="357"/>
      <c r="R965" s="357"/>
      <c r="S965" s="357"/>
      <c r="T965" s="357"/>
      <c r="U965" s="357"/>
      <c r="V965" s="357"/>
      <c r="W965" s="357"/>
    </row>
    <row r="966">
      <c r="A966" s="358"/>
      <c r="B966" s="357"/>
      <c r="C966" s="358"/>
      <c r="D966" s="373"/>
      <c r="E966" s="373"/>
      <c r="F966" s="373"/>
      <c r="G966" s="374"/>
      <c r="H966" s="357"/>
      <c r="I966" s="358"/>
      <c r="J966" s="357"/>
      <c r="K966" s="358"/>
      <c r="L966" s="359"/>
      <c r="M966" s="307"/>
      <c r="N966" s="359"/>
      <c r="O966" s="307"/>
      <c r="P966" s="357"/>
      <c r="Q966" s="357"/>
      <c r="R966" s="357"/>
      <c r="S966" s="357"/>
      <c r="T966" s="357"/>
      <c r="U966" s="357"/>
      <c r="V966" s="357"/>
      <c r="W966" s="357"/>
    </row>
    <row r="967">
      <c r="A967" s="358"/>
      <c r="B967" s="357"/>
      <c r="C967" s="358"/>
      <c r="D967" s="373"/>
      <c r="E967" s="373"/>
      <c r="F967" s="373"/>
      <c r="G967" s="374"/>
      <c r="H967" s="357"/>
      <c r="I967" s="358"/>
      <c r="J967" s="357"/>
      <c r="K967" s="358"/>
      <c r="L967" s="359"/>
      <c r="M967" s="307"/>
      <c r="N967" s="359"/>
      <c r="O967" s="307"/>
      <c r="P967" s="357"/>
      <c r="Q967" s="357"/>
      <c r="R967" s="357"/>
      <c r="S967" s="357"/>
      <c r="T967" s="357"/>
      <c r="U967" s="357"/>
      <c r="V967" s="357"/>
      <c r="W967" s="357"/>
    </row>
    <row r="968">
      <c r="A968" s="358"/>
      <c r="B968" s="357"/>
      <c r="C968" s="358"/>
      <c r="D968" s="373"/>
      <c r="E968" s="373"/>
      <c r="F968" s="373"/>
      <c r="G968" s="374"/>
      <c r="H968" s="357"/>
      <c r="I968" s="358"/>
      <c r="J968" s="357"/>
      <c r="K968" s="358"/>
      <c r="L968" s="359"/>
      <c r="M968" s="307"/>
      <c r="N968" s="359"/>
      <c r="O968" s="307"/>
      <c r="P968" s="357"/>
      <c r="Q968" s="357"/>
      <c r="R968" s="357"/>
      <c r="S968" s="357"/>
      <c r="T968" s="357"/>
      <c r="U968" s="357"/>
      <c r="V968" s="357"/>
      <c r="W968" s="357"/>
    </row>
    <row r="969">
      <c r="A969" s="358"/>
      <c r="B969" s="357"/>
      <c r="C969" s="358"/>
      <c r="D969" s="373"/>
      <c r="E969" s="373"/>
      <c r="F969" s="373"/>
      <c r="G969" s="374"/>
      <c r="H969" s="357"/>
      <c r="I969" s="358"/>
      <c r="J969" s="357"/>
      <c r="K969" s="358"/>
      <c r="L969" s="359"/>
      <c r="M969" s="307"/>
      <c r="N969" s="359"/>
      <c r="O969" s="307"/>
      <c r="P969" s="357"/>
      <c r="Q969" s="357"/>
      <c r="R969" s="357"/>
      <c r="S969" s="357"/>
      <c r="T969" s="357"/>
      <c r="U969" s="357"/>
      <c r="V969" s="357"/>
      <c r="W969" s="357"/>
    </row>
    <row r="970">
      <c r="A970" s="358"/>
      <c r="B970" s="357"/>
      <c r="C970" s="358"/>
      <c r="D970" s="373"/>
      <c r="E970" s="373"/>
      <c r="F970" s="373"/>
      <c r="G970" s="374"/>
      <c r="H970" s="357"/>
      <c r="I970" s="358"/>
      <c r="J970" s="357"/>
      <c r="K970" s="358"/>
      <c r="L970" s="359"/>
      <c r="M970" s="307"/>
      <c r="N970" s="359"/>
      <c r="O970" s="307"/>
      <c r="P970" s="357"/>
      <c r="Q970" s="357"/>
      <c r="R970" s="357"/>
      <c r="S970" s="357"/>
      <c r="T970" s="357"/>
      <c r="U970" s="357"/>
      <c r="V970" s="357"/>
      <c r="W970" s="357"/>
    </row>
    <row r="971">
      <c r="A971" s="358"/>
      <c r="B971" s="357"/>
      <c r="C971" s="358"/>
      <c r="D971" s="373"/>
      <c r="E971" s="373"/>
      <c r="F971" s="373"/>
      <c r="G971" s="374"/>
      <c r="H971" s="357"/>
      <c r="I971" s="358"/>
      <c r="J971" s="357"/>
      <c r="K971" s="358"/>
      <c r="L971" s="359"/>
      <c r="M971" s="307"/>
      <c r="N971" s="359"/>
      <c r="O971" s="307"/>
      <c r="P971" s="357"/>
      <c r="Q971" s="357"/>
      <c r="R971" s="357"/>
      <c r="S971" s="357"/>
      <c r="T971" s="357"/>
      <c r="U971" s="357"/>
      <c r="V971" s="357"/>
      <c r="W971" s="357"/>
    </row>
    <row r="972">
      <c r="A972" s="358"/>
      <c r="B972" s="357"/>
      <c r="C972" s="358"/>
      <c r="D972" s="373"/>
      <c r="E972" s="373"/>
      <c r="F972" s="373"/>
      <c r="G972" s="374"/>
      <c r="H972" s="357"/>
      <c r="I972" s="358"/>
      <c r="J972" s="357"/>
      <c r="K972" s="358"/>
      <c r="L972" s="359"/>
      <c r="M972" s="307"/>
      <c r="N972" s="359"/>
      <c r="O972" s="307"/>
      <c r="P972" s="357"/>
      <c r="Q972" s="357"/>
      <c r="R972" s="357"/>
      <c r="S972" s="357"/>
      <c r="T972" s="357"/>
      <c r="U972" s="357"/>
      <c r="V972" s="357"/>
      <c r="W972" s="357"/>
    </row>
    <row r="973">
      <c r="A973" s="358"/>
      <c r="B973" s="357"/>
      <c r="C973" s="358"/>
      <c r="D973" s="373"/>
      <c r="E973" s="373"/>
      <c r="F973" s="373"/>
      <c r="G973" s="374"/>
      <c r="H973" s="357"/>
      <c r="I973" s="358"/>
      <c r="J973" s="357"/>
      <c r="K973" s="358"/>
      <c r="L973" s="359"/>
      <c r="M973" s="307"/>
      <c r="N973" s="359"/>
      <c r="O973" s="307"/>
      <c r="P973" s="357"/>
      <c r="Q973" s="357"/>
      <c r="R973" s="357"/>
      <c r="S973" s="357"/>
      <c r="T973" s="357"/>
      <c r="U973" s="357"/>
      <c r="V973" s="357"/>
      <c r="W973" s="357"/>
    </row>
    <row r="974">
      <c r="A974" s="358"/>
      <c r="B974" s="357"/>
      <c r="C974" s="358"/>
      <c r="D974" s="373"/>
      <c r="E974" s="373"/>
      <c r="F974" s="373"/>
      <c r="G974" s="374"/>
      <c r="H974" s="357"/>
      <c r="I974" s="358"/>
      <c r="J974" s="357"/>
      <c r="K974" s="358"/>
      <c r="L974" s="359"/>
      <c r="M974" s="307"/>
      <c r="N974" s="359"/>
      <c r="O974" s="307"/>
      <c r="P974" s="357"/>
      <c r="Q974" s="357"/>
      <c r="R974" s="357"/>
      <c r="S974" s="357"/>
      <c r="T974" s="357"/>
      <c r="U974" s="357"/>
      <c r="V974" s="357"/>
      <c r="W974" s="357"/>
    </row>
    <row r="975">
      <c r="A975" s="358"/>
      <c r="B975" s="357"/>
      <c r="C975" s="358"/>
      <c r="D975" s="373"/>
      <c r="E975" s="373"/>
      <c r="F975" s="373"/>
      <c r="G975" s="374"/>
      <c r="H975" s="357"/>
      <c r="I975" s="358"/>
      <c r="J975" s="357"/>
      <c r="K975" s="358"/>
      <c r="L975" s="359"/>
      <c r="M975" s="307"/>
      <c r="N975" s="359"/>
      <c r="O975" s="307"/>
      <c r="P975" s="357"/>
      <c r="Q975" s="357"/>
      <c r="R975" s="357"/>
      <c r="S975" s="357"/>
      <c r="T975" s="357"/>
      <c r="U975" s="357"/>
      <c r="V975" s="357"/>
      <c r="W975" s="357"/>
    </row>
    <row r="976">
      <c r="A976" s="358"/>
      <c r="B976" s="357"/>
      <c r="C976" s="358"/>
      <c r="D976" s="373"/>
      <c r="E976" s="373"/>
      <c r="F976" s="373"/>
      <c r="G976" s="374"/>
      <c r="H976" s="357"/>
      <c r="I976" s="358"/>
      <c r="J976" s="357"/>
      <c r="K976" s="358"/>
      <c r="L976" s="359"/>
      <c r="M976" s="307"/>
      <c r="N976" s="359"/>
      <c r="O976" s="307"/>
      <c r="P976" s="357"/>
      <c r="Q976" s="357"/>
      <c r="R976" s="357"/>
      <c r="S976" s="357"/>
      <c r="T976" s="357"/>
      <c r="U976" s="357"/>
      <c r="V976" s="357"/>
      <c r="W976" s="357"/>
    </row>
    <row r="977">
      <c r="A977" s="358"/>
      <c r="B977" s="357"/>
      <c r="C977" s="358"/>
      <c r="D977" s="373"/>
      <c r="E977" s="373"/>
      <c r="F977" s="373"/>
      <c r="G977" s="374"/>
      <c r="H977" s="357"/>
      <c r="I977" s="358"/>
      <c r="J977" s="357"/>
      <c r="K977" s="358"/>
      <c r="L977" s="359"/>
      <c r="M977" s="307"/>
      <c r="N977" s="359"/>
      <c r="O977" s="307"/>
      <c r="P977" s="357"/>
      <c r="Q977" s="357"/>
      <c r="R977" s="357"/>
      <c r="S977" s="357"/>
      <c r="T977" s="357"/>
      <c r="U977" s="357"/>
      <c r="V977" s="357"/>
      <c r="W977" s="357"/>
    </row>
    <row r="978">
      <c r="A978" s="358"/>
      <c r="B978" s="357"/>
      <c r="C978" s="358"/>
      <c r="D978" s="373"/>
      <c r="E978" s="373"/>
      <c r="F978" s="373"/>
      <c r="G978" s="374"/>
      <c r="H978" s="357"/>
      <c r="I978" s="358"/>
      <c r="J978" s="357"/>
      <c r="K978" s="358"/>
      <c r="L978" s="359"/>
      <c r="M978" s="307"/>
      <c r="N978" s="359"/>
      <c r="O978" s="307"/>
      <c r="P978" s="357"/>
      <c r="Q978" s="357"/>
      <c r="R978" s="357"/>
      <c r="S978" s="357"/>
      <c r="T978" s="357"/>
      <c r="U978" s="357"/>
      <c r="V978" s="357"/>
      <c r="W978" s="357"/>
    </row>
    <row r="979">
      <c r="A979" s="358"/>
      <c r="B979" s="357"/>
      <c r="C979" s="358"/>
      <c r="D979" s="373"/>
      <c r="E979" s="373"/>
      <c r="F979" s="373"/>
      <c r="G979" s="374"/>
      <c r="H979" s="357"/>
      <c r="I979" s="358"/>
      <c r="J979" s="357"/>
      <c r="K979" s="358"/>
      <c r="L979" s="359"/>
      <c r="M979" s="307"/>
      <c r="N979" s="359"/>
      <c r="O979" s="307"/>
      <c r="P979" s="357"/>
      <c r="Q979" s="357"/>
      <c r="R979" s="357"/>
      <c r="S979" s="357"/>
      <c r="T979" s="357"/>
      <c r="U979" s="357"/>
      <c r="V979" s="357"/>
      <c r="W979" s="357"/>
    </row>
    <row r="980">
      <c r="A980" s="358"/>
      <c r="B980" s="357"/>
      <c r="C980" s="358"/>
      <c r="D980" s="373"/>
      <c r="E980" s="373"/>
      <c r="F980" s="373"/>
      <c r="G980" s="374"/>
      <c r="H980" s="357"/>
      <c r="I980" s="358"/>
      <c r="J980" s="357"/>
      <c r="K980" s="358"/>
      <c r="L980" s="359"/>
      <c r="M980" s="307"/>
      <c r="N980" s="359"/>
      <c r="O980" s="307"/>
      <c r="P980" s="357"/>
      <c r="Q980" s="357"/>
      <c r="R980" s="357"/>
      <c r="S980" s="357"/>
      <c r="T980" s="357"/>
      <c r="U980" s="357"/>
      <c r="V980" s="357"/>
      <c r="W980" s="357"/>
    </row>
    <row r="981">
      <c r="A981" s="358"/>
      <c r="B981" s="357"/>
      <c r="C981" s="358"/>
      <c r="D981" s="373"/>
      <c r="E981" s="373"/>
      <c r="F981" s="373"/>
      <c r="G981" s="374"/>
      <c r="H981" s="357"/>
      <c r="I981" s="358"/>
      <c r="J981" s="357"/>
      <c r="K981" s="358"/>
      <c r="L981" s="359"/>
      <c r="M981" s="307"/>
      <c r="N981" s="359"/>
      <c r="O981" s="307"/>
      <c r="P981" s="357"/>
      <c r="Q981" s="357"/>
      <c r="R981" s="357"/>
      <c r="S981" s="357"/>
      <c r="T981" s="357"/>
      <c r="U981" s="357"/>
      <c r="V981" s="357"/>
      <c r="W981" s="357"/>
    </row>
    <row r="982">
      <c r="A982" s="358"/>
      <c r="B982" s="357"/>
      <c r="C982" s="358"/>
      <c r="D982" s="373"/>
      <c r="E982" s="373"/>
      <c r="F982" s="373"/>
      <c r="G982" s="374"/>
      <c r="H982" s="357"/>
      <c r="I982" s="358"/>
      <c r="J982" s="357"/>
      <c r="K982" s="358"/>
      <c r="L982" s="359"/>
      <c r="M982" s="307"/>
      <c r="N982" s="359"/>
      <c r="O982" s="307"/>
      <c r="P982" s="357"/>
      <c r="Q982" s="357"/>
      <c r="R982" s="357"/>
      <c r="S982" s="357"/>
      <c r="T982" s="357"/>
      <c r="U982" s="357"/>
      <c r="V982" s="357"/>
      <c r="W982" s="357"/>
    </row>
    <row r="983">
      <c r="A983" s="358"/>
      <c r="B983" s="357"/>
      <c r="C983" s="358"/>
      <c r="D983" s="373"/>
      <c r="E983" s="373"/>
      <c r="F983" s="373"/>
      <c r="G983" s="374"/>
      <c r="H983" s="357"/>
      <c r="I983" s="358"/>
      <c r="J983" s="357"/>
      <c r="K983" s="358"/>
      <c r="L983" s="359"/>
      <c r="M983" s="307"/>
      <c r="N983" s="359"/>
      <c r="O983" s="307"/>
      <c r="P983" s="357"/>
      <c r="Q983" s="357"/>
      <c r="R983" s="357"/>
      <c r="S983" s="357"/>
      <c r="T983" s="357"/>
      <c r="U983" s="357"/>
      <c r="V983" s="357"/>
      <c r="W983" s="357"/>
    </row>
    <row r="984">
      <c r="A984" s="358"/>
      <c r="B984" s="357"/>
      <c r="C984" s="358"/>
      <c r="D984" s="373"/>
      <c r="E984" s="373"/>
      <c r="F984" s="373"/>
      <c r="G984" s="374"/>
      <c r="H984" s="357"/>
      <c r="I984" s="358"/>
      <c r="J984" s="357"/>
      <c r="K984" s="358"/>
      <c r="L984" s="359"/>
      <c r="M984" s="307"/>
      <c r="N984" s="359"/>
      <c r="O984" s="307"/>
      <c r="P984" s="357"/>
      <c r="Q984" s="357"/>
      <c r="R984" s="357"/>
      <c r="S984" s="357"/>
      <c r="T984" s="357"/>
      <c r="U984" s="357"/>
      <c r="V984" s="357"/>
      <c r="W984" s="357"/>
    </row>
    <row r="985">
      <c r="A985" s="358"/>
      <c r="B985" s="357"/>
      <c r="C985" s="358"/>
      <c r="D985" s="373"/>
      <c r="E985" s="373"/>
      <c r="F985" s="373"/>
      <c r="G985" s="374"/>
      <c r="H985" s="357"/>
      <c r="I985" s="358"/>
      <c r="J985" s="357"/>
      <c r="K985" s="358"/>
      <c r="L985" s="359"/>
      <c r="M985" s="307"/>
      <c r="N985" s="359"/>
      <c r="O985" s="307"/>
      <c r="P985" s="357"/>
      <c r="Q985" s="357"/>
      <c r="R985" s="357"/>
      <c r="S985" s="357"/>
      <c r="T985" s="357"/>
      <c r="U985" s="357"/>
      <c r="V985" s="357"/>
      <c r="W985" s="357"/>
    </row>
    <row r="986">
      <c r="A986" s="358"/>
      <c r="B986" s="357"/>
      <c r="C986" s="358"/>
      <c r="D986" s="373"/>
      <c r="E986" s="373"/>
      <c r="F986" s="373"/>
      <c r="G986" s="374"/>
      <c r="H986" s="357"/>
      <c r="I986" s="358"/>
      <c r="J986" s="357"/>
      <c r="K986" s="358"/>
      <c r="L986" s="359"/>
      <c r="M986" s="307"/>
      <c r="N986" s="359"/>
      <c r="O986" s="307"/>
      <c r="P986" s="357"/>
      <c r="Q986" s="357"/>
      <c r="R986" s="357"/>
      <c r="S986" s="357"/>
      <c r="T986" s="357"/>
      <c r="U986" s="357"/>
      <c r="V986" s="357"/>
      <c r="W986" s="357"/>
    </row>
    <row r="987">
      <c r="A987" s="358"/>
      <c r="B987" s="357"/>
      <c r="C987" s="358"/>
      <c r="D987" s="373"/>
      <c r="E987" s="373"/>
      <c r="F987" s="373"/>
      <c r="G987" s="374"/>
      <c r="H987" s="357"/>
      <c r="I987" s="358"/>
      <c r="J987" s="357"/>
      <c r="K987" s="358"/>
      <c r="L987" s="359"/>
      <c r="M987" s="307"/>
      <c r="N987" s="359"/>
      <c r="O987" s="307"/>
      <c r="P987" s="357"/>
      <c r="Q987" s="357"/>
      <c r="R987" s="357"/>
      <c r="S987" s="357"/>
      <c r="T987" s="357"/>
      <c r="U987" s="357"/>
      <c r="V987" s="357"/>
      <c r="W987" s="357"/>
    </row>
    <row r="988">
      <c r="A988" s="358"/>
      <c r="B988" s="357"/>
      <c r="C988" s="358"/>
      <c r="D988" s="373"/>
      <c r="E988" s="373"/>
      <c r="F988" s="373"/>
      <c r="G988" s="374"/>
      <c r="H988" s="357"/>
      <c r="I988" s="358"/>
      <c r="J988" s="357"/>
      <c r="K988" s="358"/>
      <c r="L988" s="359"/>
      <c r="M988" s="307"/>
      <c r="N988" s="359"/>
      <c r="O988" s="307"/>
      <c r="P988" s="357"/>
      <c r="Q988" s="357"/>
      <c r="R988" s="357"/>
      <c r="S988" s="357"/>
      <c r="T988" s="357"/>
      <c r="U988" s="357"/>
      <c r="V988" s="357"/>
      <c r="W988" s="357"/>
    </row>
    <row r="989">
      <c r="A989" s="358"/>
      <c r="B989" s="357"/>
      <c r="C989" s="358"/>
      <c r="D989" s="373"/>
      <c r="E989" s="373"/>
      <c r="F989" s="373"/>
      <c r="G989" s="374"/>
      <c r="H989" s="357"/>
      <c r="I989" s="358"/>
      <c r="J989" s="357"/>
      <c r="K989" s="358"/>
      <c r="L989" s="359"/>
      <c r="M989" s="307"/>
      <c r="N989" s="359"/>
      <c r="O989" s="307"/>
      <c r="P989" s="357"/>
      <c r="Q989" s="357"/>
      <c r="R989" s="357"/>
      <c r="S989" s="357"/>
      <c r="T989" s="357"/>
      <c r="U989" s="357"/>
      <c r="V989" s="357"/>
      <c r="W989" s="357"/>
    </row>
    <row r="990">
      <c r="A990" s="358"/>
      <c r="B990" s="357"/>
      <c r="C990" s="358"/>
      <c r="D990" s="373"/>
      <c r="E990" s="373"/>
      <c r="F990" s="373"/>
      <c r="G990" s="374"/>
      <c r="H990" s="357"/>
      <c r="I990" s="358"/>
      <c r="J990" s="357"/>
      <c r="K990" s="358"/>
      <c r="L990" s="359"/>
      <c r="M990" s="307"/>
      <c r="N990" s="359"/>
      <c r="O990" s="307"/>
      <c r="P990" s="357"/>
      <c r="Q990" s="357"/>
      <c r="R990" s="357"/>
      <c r="S990" s="357"/>
      <c r="T990" s="357"/>
      <c r="U990" s="357"/>
      <c r="V990" s="357"/>
      <c r="W990" s="357"/>
    </row>
    <row r="991">
      <c r="A991" s="358"/>
      <c r="B991" s="357"/>
      <c r="C991" s="358"/>
      <c r="D991" s="373"/>
      <c r="E991" s="373"/>
      <c r="F991" s="373"/>
      <c r="G991" s="374"/>
      <c r="H991" s="357"/>
      <c r="I991" s="358"/>
      <c r="J991" s="357"/>
      <c r="K991" s="358"/>
      <c r="L991" s="359"/>
      <c r="M991" s="307"/>
      <c r="N991" s="359"/>
      <c r="O991" s="307"/>
      <c r="P991" s="357"/>
      <c r="Q991" s="357"/>
      <c r="R991" s="357"/>
      <c r="S991" s="357"/>
      <c r="T991" s="357"/>
      <c r="U991" s="357"/>
      <c r="V991" s="357"/>
      <c r="W991" s="357"/>
    </row>
    <row r="992">
      <c r="A992" s="358"/>
      <c r="B992" s="357"/>
      <c r="C992" s="358"/>
      <c r="D992" s="373"/>
      <c r="E992" s="373"/>
      <c r="F992" s="373"/>
      <c r="G992" s="374"/>
      <c r="H992" s="357"/>
      <c r="I992" s="358"/>
      <c r="J992" s="357"/>
      <c r="K992" s="358"/>
      <c r="L992" s="359"/>
      <c r="M992" s="307"/>
      <c r="N992" s="359"/>
      <c r="O992" s="307"/>
      <c r="P992" s="357"/>
      <c r="Q992" s="357"/>
      <c r="R992" s="357"/>
      <c r="S992" s="357"/>
      <c r="T992" s="357"/>
      <c r="U992" s="357"/>
      <c r="V992" s="357"/>
      <c r="W992" s="357"/>
    </row>
    <row r="993">
      <c r="A993" s="358"/>
      <c r="B993" s="357"/>
      <c r="C993" s="358"/>
      <c r="D993" s="373"/>
      <c r="E993" s="373"/>
      <c r="F993" s="373"/>
      <c r="G993" s="374"/>
      <c r="H993" s="357"/>
      <c r="I993" s="358"/>
      <c r="J993" s="357"/>
      <c r="K993" s="358"/>
      <c r="L993" s="359"/>
      <c r="M993" s="307"/>
      <c r="N993" s="359"/>
      <c r="O993" s="307"/>
      <c r="P993" s="357"/>
      <c r="Q993" s="357"/>
      <c r="R993" s="357"/>
      <c r="S993" s="357"/>
      <c r="T993" s="357"/>
      <c r="U993" s="357"/>
      <c r="V993" s="357"/>
      <c r="W993" s="357"/>
    </row>
    <row r="994">
      <c r="A994" s="358"/>
      <c r="B994" s="357"/>
      <c r="C994" s="358"/>
      <c r="D994" s="373"/>
      <c r="E994" s="373"/>
      <c r="F994" s="373"/>
      <c r="G994" s="374"/>
      <c r="H994" s="357"/>
      <c r="I994" s="358"/>
      <c r="J994" s="357"/>
      <c r="K994" s="358"/>
      <c r="L994" s="359"/>
      <c r="M994" s="307"/>
      <c r="N994" s="359"/>
      <c r="O994" s="307"/>
      <c r="P994" s="357"/>
      <c r="Q994" s="357"/>
      <c r="R994" s="357"/>
      <c r="S994" s="357"/>
      <c r="T994" s="357"/>
      <c r="U994" s="357"/>
      <c r="V994" s="357"/>
      <c r="W994" s="357"/>
    </row>
    <row r="995">
      <c r="A995" s="358"/>
      <c r="B995" s="357"/>
      <c r="C995" s="358"/>
      <c r="D995" s="373"/>
      <c r="E995" s="373"/>
      <c r="F995" s="373"/>
      <c r="G995" s="374"/>
      <c r="H995" s="357"/>
      <c r="I995" s="358"/>
      <c r="J995" s="357"/>
      <c r="K995" s="358"/>
      <c r="L995" s="359"/>
      <c r="M995" s="307"/>
      <c r="N995" s="359"/>
      <c r="O995" s="307"/>
      <c r="P995" s="357"/>
      <c r="Q995" s="357"/>
      <c r="R995" s="357"/>
      <c r="S995" s="357"/>
      <c r="T995" s="357"/>
      <c r="U995" s="357"/>
      <c r="V995" s="357"/>
      <c r="W995" s="357"/>
    </row>
  </sheetData>
  <mergeCells count="15">
    <mergeCell ref="A17:G17"/>
    <mergeCell ref="A18:C18"/>
    <mergeCell ref="D18:G18"/>
    <mergeCell ref="A19:C23"/>
    <mergeCell ref="D19:E19"/>
    <mergeCell ref="F19:G19"/>
    <mergeCell ref="D20:E23"/>
    <mergeCell ref="F20:G23"/>
    <mergeCell ref="A1:B1"/>
    <mergeCell ref="C1:G1"/>
    <mergeCell ref="A2:G2"/>
    <mergeCell ref="A3:G3"/>
    <mergeCell ref="I4:O4"/>
    <mergeCell ref="G5:G12"/>
    <mergeCell ref="A16:E16"/>
  </mergeCells>
  <hyperlinks>
    <hyperlink r:id="rId1" ref="M6"/>
    <hyperlink r:id="rId2" ref="M7"/>
    <hyperlink r:id="rId3" ref="M8"/>
    <hyperlink r:id="rId4" ref="O8"/>
    <hyperlink r:id="rId5" ref="M9"/>
    <hyperlink r:id="rId6" ref="O9"/>
    <hyperlink r:id="rId7" ref="M10"/>
    <hyperlink r:id="rId8" ref="M11"/>
    <hyperlink r:id="rId9" ref="M12"/>
    <hyperlink r:id="rId10" ref="G13"/>
    <hyperlink r:id="rId11" ref="G14"/>
  </hyperlinks>
  <printOptions horizontalCentered="1"/>
  <pageMargins bottom="0.75" footer="0.0" header="0.0" left="0.25" right="0.25" top="0.75"/>
  <pageSetup fitToHeight="0" paperSize="9" cellComments="atEnd" orientation="portrait" pageOrder="overThenDown"/>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5.67"/>
    <col customWidth="1" min="2" max="2" width="16.78"/>
    <col customWidth="1" min="4" max="5" width="16.78"/>
    <col customWidth="1" min="6" max="6" width="22.33"/>
    <col customWidth="1" min="7" max="8" width="14.0"/>
  </cols>
  <sheetData>
    <row r="1" ht="18.75" customHeight="1">
      <c r="A1" s="375" t="s">
        <v>1645</v>
      </c>
      <c r="D1" s="376"/>
      <c r="E1" s="376"/>
      <c r="F1" s="376"/>
      <c r="G1" s="376"/>
      <c r="H1" s="377"/>
    </row>
    <row r="2" ht="18.75" customHeight="1">
      <c r="A2" s="378" t="s">
        <v>1646</v>
      </c>
      <c r="D2" s="376"/>
      <c r="E2" s="376"/>
      <c r="F2" s="376"/>
      <c r="G2" s="376"/>
      <c r="H2" s="377"/>
    </row>
    <row r="3">
      <c r="A3" s="377"/>
      <c r="B3" s="377"/>
      <c r="C3" s="376"/>
      <c r="D3" s="376"/>
      <c r="E3" s="376"/>
      <c r="F3" s="376"/>
      <c r="G3" s="376"/>
      <c r="H3" s="377"/>
    </row>
    <row r="4" ht="26.25" customHeight="1">
      <c r="A4" s="379" t="s">
        <v>1172</v>
      </c>
      <c r="B4" s="379" t="s">
        <v>1647</v>
      </c>
      <c r="C4" s="379" t="s">
        <v>1648</v>
      </c>
      <c r="D4" s="379" t="s">
        <v>1649</v>
      </c>
      <c r="E4" s="379" t="s">
        <v>1650</v>
      </c>
      <c r="F4" s="379" t="s">
        <v>1651</v>
      </c>
      <c r="G4" s="379" t="s">
        <v>1652</v>
      </c>
      <c r="H4" s="379" t="s">
        <v>1653</v>
      </c>
    </row>
    <row r="5">
      <c r="A5" s="380">
        <v>1.0</v>
      </c>
      <c r="B5" s="381">
        <v>45668.0</v>
      </c>
      <c r="C5" s="382" t="s">
        <v>1654</v>
      </c>
      <c r="D5" s="383" t="s">
        <v>731</v>
      </c>
      <c r="E5" s="384"/>
      <c r="F5" s="384" t="s">
        <v>1655</v>
      </c>
      <c r="G5" s="384" t="s">
        <v>120</v>
      </c>
      <c r="H5" s="385"/>
    </row>
    <row r="6">
      <c r="A6" s="380">
        <v>2.0</v>
      </c>
      <c r="B6" s="381">
        <v>45677.0</v>
      </c>
      <c r="C6" s="382" t="s">
        <v>1656</v>
      </c>
      <c r="D6" s="382" t="s">
        <v>734</v>
      </c>
      <c r="E6" s="384" t="s">
        <v>1657</v>
      </c>
      <c r="F6" s="384" t="s">
        <v>1655</v>
      </c>
      <c r="G6" s="384" t="s">
        <v>1658</v>
      </c>
      <c r="H6" s="385"/>
    </row>
    <row r="7">
      <c r="A7" s="380">
        <v>3.0</v>
      </c>
      <c r="B7" s="386">
        <v>45700.0</v>
      </c>
      <c r="C7" s="387" t="s">
        <v>1654</v>
      </c>
      <c r="D7" s="388" t="s">
        <v>731</v>
      </c>
      <c r="E7" s="389"/>
      <c r="F7" s="389" t="s">
        <v>1659</v>
      </c>
      <c r="G7" s="389" t="s">
        <v>1660</v>
      </c>
      <c r="H7" s="390"/>
    </row>
    <row r="8">
      <c r="A8" s="380">
        <v>4.0</v>
      </c>
      <c r="B8" s="386">
        <v>45755.0</v>
      </c>
      <c r="C8" s="387" t="s">
        <v>1661</v>
      </c>
      <c r="D8" s="387" t="s">
        <v>289</v>
      </c>
      <c r="E8" s="389" t="s">
        <v>1662</v>
      </c>
      <c r="F8" s="389" t="s">
        <v>1663</v>
      </c>
      <c r="G8" s="389" t="s">
        <v>120</v>
      </c>
      <c r="H8" s="390">
        <v>100000.0</v>
      </c>
    </row>
    <row r="9">
      <c r="A9" s="380">
        <v>5.0</v>
      </c>
      <c r="B9" s="386">
        <v>45756.0</v>
      </c>
      <c r="C9" s="382" t="s">
        <v>1664</v>
      </c>
      <c r="D9" s="382" t="s">
        <v>586</v>
      </c>
      <c r="E9" s="384" t="s">
        <v>1665</v>
      </c>
      <c r="F9" s="389" t="s">
        <v>1655</v>
      </c>
      <c r="G9" s="389" t="s">
        <v>1658</v>
      </c>
      <c r="H9" s="390"/>
    </row>
    <row r="10">
      <c r="A10" s="380">
        <v>6.0</v>
      </c>
      <c r="B10" s="386">
        <v>45776.0</v>
      </c>
      <c r="C10" s="387" t="s">
        <v>1656</v>
      </c>
      <c r="D10" s="387" t="s">
        <v>734</v>
      </c>
      <c r="E10" s="389" t="s">
        <v>1657</v>
      </c>
      <c r="F10" s="389" t="s">
        <v>1666</v>
      </c>
      <c r="G10" s="389" t="s">
        <v>1658</v>
      </c>
      <c r="H10" s="390">
        <v>0.0</v>
      </c>
    </row>
    <row r="11">
      <c r="A11" s="380">
        <v>7.0</v>
      </c>
      <c r="B11" s="386">
        <v>45802.0</v>
      </c>
      <c r="C11" s="382" t="s">
        <v>1664</v>
      </c>
      <c r="D11" s="382" t="s">
        <v>586</v>
      </c>
      <c r="E11" s="384" t="s">
        <v>1665</v>
      </c>
      <c r="F11" s="384" t="s">
        <v>1667</v>
      </c>
      <c r="G11" s="384" t="s">
        <v>1658</v>
      </c>
      <c r="H11" s="385">
        <v>576000.0</v>
      </c>
    </row>
    <row r="12">
      <c r="A12" s="380">
        <v>8.0</v>
      </c>
      <c r="B12" s="386">
        <v>45832.0</v>
      </c>
      <c r="C12" s="382" t="s">
        <v>1664</v>
      </c>
      <c r="D12" s="382" t="s">
        <v>586</v>
      </c>
      <c r="E12" s="384" t="s">
        <v>1665</v>
      </c>
      <c r="F12" s="384" t="s">
        <v>1668</v>
      </c>
      <c r="G12" s="384" t="s">
        <v>1658</v>
      </c>
      <c r="H12" s="385">
        <v>550000.0</v>
      </c>
    </row>
    <row r="13">
      <c r="A13" s="380">
        <v>9.0</v>
      </c>
      <c r="B13" s="386">
        <v>45838.0</v>
      </c>
      <c r="C13" s="389" t="s">
        <v>1654</v>
      </c>
      <c r="D13" s="389" t="s">
        <v>1669</v>
      </c>
      <c r="E13" s="389" t="s">
        <v>1670</v>
      </c>
      <c r="F13" s="389" t="s">
        <v>1671</v>
      </c>
      <c r="G13" s="389" t="s">
        <v>120</v>
      </c>
      <c r="H13" s="390">
        <v>384500.0</v>
      </c>
    </row>
    <row r="14">
      <c r="A14" s="380">
        <v>10.0</v>
      </c>
      <c r="B14" s="381">
        <v>45848.0</v>
      </c>
      <c r="C14" s="382" t="s">
        <v>1672</v>
      </c>
      <c r="D14" s="382" t="s">
        <v>790</v>
      </c>
      <c r="E14" s="384" t="s">
        <v>1224</v>
      </c>
      <c r="F14" s="384" t="s">
        <v>1673</v>
      </c>
      <c r="G14" s="384" t="s">
        <v>112</v>
      </c>
      <c r="H14" s="385">
        <v>0.0</v>
      </c>
    </row>
    <row r="15">
      <c r="A15" s="380">
        <v>11.0</v>
      </c>
      <c r="B15" s="381">
        <v>45864.0</v>
      </c>
      <c r="C15" s="382" t="s">
        <v>1661</v>
      </c>
      <c r="D15" s="382" t="s">
        <v>289</v>
      </c>
      <c r="E15" s="384" t="s">
        <v>1674</v>
      </c>
      <c r="F15" s="384" t="s">
        <v>1675</v>
      </c>
      <c r="G15" s="384" t="s">
        <v>120</v>
      </c>
      <c r="H15" s="385">
        <v>2990500.0</v>
      </c>
    </row>
    <row r="16">
      <c r="A16" s="380">
        <v>12.0</v>
      </c>
      <c r="B16" s="381">
        <v>45890.0</v>
      </c>
      <c r="C16" s="382" t="s">
        <v>1661</v>
      </c>
      <c r="D16" s="382" t="s">
        <v>289</v>
      </c>
      <c r="E16" s="384" t="s">
        <v>1674</v>
      </c>
      <c r="F16" s="384" t="s">
        <v>1676</v>
      </c>
      <c r="G16" s="384" t="s">
        <v>120</v>
      </c>
      <c r="H16" s="385">
        <v>2342500.0</v>
      </c>
    </row>
    <row r="17">
      <c r="A17" s="380">
        <v>13.0</v>
      </c>
      <c r="B17" s="381">
        <v>45913.0</v>
      </c>
      <c r="C17" s="382" t="s">
        <v>1677</v>
      </c>
      <c r="D17" s="382" t="s">
        <v>289</v>
      </c>
      <c r="E17" s="384" t="s">
        <v>1674</v>
      </c>
      <c r="F17" s="384" t="s">
        <v>1678</v>
      </c>
      <c r="G17" s="384" t="s">
        <v>1679</v>
      </c>
      <c r="H17" s="385">
        <v>1500000.0</v>
      </c>
    </row>
    <row r="18">
      <c r="A18" s="380">
        <v>14.0</v>
      </c>
      <c r="B18" s="391">
        <v>45975.0</v>
      </c>
      <c r="C18" s="384" t="s">
        <v>1680</v>
      </c>
      <c r="D18" s="384" t="s">
        <v>388</v>
      </c>
      <c r="E18" s="392"/>
      <c r="F18" s="384" t="s">
        <v>1681</v>
      </c>
      <c r="G18" s="384" t="s">
        <v>112</v>
      </c>
      <c r="H18" s="385">
        <v>50000.0</v>
      </c>
    </row>
    <row r="19">
      <c r="A19" s="380">
        <v>15.0</v>
      </c>
      <c r="B19" s="391">
        <v>45978.0</v>
      </c>
      <c r="C19" s="384" t="s">
        <v>1680</v>
      </c>
      <c r="D19" s="384" t="s">
        <v>388</v>
      </c>
      <c r="E19" s="392"/>
      <c r="F19" s="384" t="s">
        <v>1682</v>
      </c>
      <c r="G19" s="384" t="s">
        <v>112</v>
      </c>
      <c r="H19" s="385">
        <v>0.0</v>
      </c>
    </row>
    <row r="20">
      <c r="A20" s="380">
        <v>16.0</v>
      </c>
      <c r="B20" s="391">
        <v>45973.0</v>
      </c>
      <c r="C20" s="384" t="s">
        <v>1683</v>
      </c>
      <c r="D20" s="384" t="s">
        <v>868</v>
      </c>
      <c r="E20" s="392"/>
      <c r="F20" s="384" t="s">
        <v>1684</v>
      </c>
      <c r="G20" s="384" t="s">
        <v>112</v>
      </c>
      <c r="H20" s="385">
        <v>0.0</v>
      </c>
    </row>
    <row r="21">
      <c r="A21" s="380">
        <v>17.0</v>
      </c>
      <c r="B21" s="393"/>
      <c r="C21" s="384" t="s">
        <v>1685</v>
      </c>
      <c r="D21" s="384" t="s">
        <v>281</v>
      </c>
      <c r="E21" s="392"/>
      <c r="F21" s="384" t="s">
        <v>1686</v>
      </c>
      <c r="G21" s="384" t="s">
        <v>112</v>
      </c>
      <c r="H21" s="385">
        <v>0.0</v>
      </c>
    </row>
    <row r="22">
      <c r="A22" s="380">
        <v>18.0</v>
      </c>
      <c r="B22" s="393"/>
      <c r="C22" s="384" t="s">
        <v>1687</v>
      </c>
      <c r="D22" s="384" t="s">
        <v>724</v>
      </c>
      <c r="E22" s="392"/>
      <c r="F22" s="384" t="s">
        <v>1686</v>
      </c>
      <c r="G22" s="384" t="s">
        <v>112</v>
      </c>
      <c r="H22" s="385">
        <v>0.0</v>
      </c>
    </row>
    <row r="23">
      <c r="A23" s="380">
        <v>19.0</v>
      </c>
      <c r="B23" s="381">
        <v>45968.0</v>
      </c>
      <c r="C23" s="384" t="s">
        <v>1118</v>
      </c>
      <c r="D23" s="384" t="s">
        <v>106</v>
      </c>
      <c r="E23" s="392"/>
      <c r="F23" s="384" t="s">
        <v>1688</v>
      </c>
      <c r="G23" s="384" t="s">
        <v>112</v>
      </c>
      <c r="H23" s="385">
        <v>75000.0</v>
      </c>
    </row>
    <row r="24">
      <c r="A24" s="380">
        <v>20.0</v>
      </c>
      <c r="B24" s="381">
        <v>45957.0</v>
      </c>
      <c r="C24" s="384" t="s">
        <v>1689</v>
      </c>
      <c r="D24" s="384" t="s">
        <v>391</v>
      </c>
      <c r="E24" s="392"/>
      <c r="F24" s="384" t="s">
        <v>1686</v>
      </c>
      <c r="G24" s="384" t="s">
        <v>112</v>
      </c>
      <c r="H24" s="385">
        <v>0.0</v>
      </c>
    </row>
    <row r="25">
      <c r="A25" s="380">
        <v>21.0</v>
      </c>
      <c r="B25" s="381">
        <v>45958.0</v>
      </c>
      <c r="C25" s="384" t="s">
        <v>1690</v>
      </c>
      <c r="D25" s="384" t="s">
        <v>690</v>
      </c>
      <c r="E25" s="392"/>
      <c r="F25" s="384" t="s">
        <v>1686</v>
      </c>
      <c r="G25" s="384" t="s">
        <v>112</v>
      </c>
      <c r="H25" s="385">
        <v>0.0</v>
      </c>
    </row>
    <row r="26">
      <c r="A26" s="380">
        <v>22.0</v>
      </c>
      <c r="B26" s="393"/>
      <c r="C26" s="392"/>
      <c r="D26" s="392"/>
      <c r="E26" s="392"/>
      <c r="F26" s="392"/>
      <c r="G26" s="392"/>
      <c r="H26" s="394"/>
    </row>
    <row r="27">
      <c r="A27" s="380">
        <v>23.0</v>
      </c>
      <c r="B27" s="393"/>
      <c r="C27" s="392"/>
      <c r="D27" s="392"/>
      <c r="E27" s="392"/>
      <c r="F27" s="392"/>
      <c r="G27" s="392"/>
      <c r="H27" s="394"/>
    </row>
    <row r="28">
      <c r="A28" s="380">
        <v>24.0</v>
      </c>
      <c r="B28" s="393"/>
      <c r="C28" s="392"/>
      <c r="D28" s="392"/>
      <c r="E28" s="392"/>
      <c r="F28" s="392"/>
      <c r="G28" s="392"/>
      <c r="H28" s="394"/>
    </row>
    <row r="29">
      <c r="A29" s="380">
        <v>25.0</v>
      </c>
      <c r="B29" s="393"/>
      <c r="C29" s="392"/>
      <c r="D29" s="392"/>
      <c r="E29" s="392"/>
      <c r="F29" s="392"/>
      <c r="G29" s="392"/>
      <c r="H29" s="394"/>
    </row>
    <row r="30">
      <c r="A30" s="380">
        <v>26.0</v>
      </c>
      <c r="B30" s="393"/>
      <c r="C30" s="392"/>
      <c r="D30" s="392"/>
      <c r="E30" s="392"/>
      <c r="F30" s="392"/>
      <c r="G30" s="392"/>
      <c r="H30" s="394"/>
    </row>
    <row r="31">
      <c r="A31" s="380">
        <v>27.0</v>
      </c>
      <c r="B31" s="393"/>
      <c r="C31" s="392"/>
      <c r="D31" s="392"/>
      <c r="E31" s="392"/>
      <c r="F31" s="392"/>
      <c r="G31" s="392"/>
      <c r="H31" s="394"/>
    </row>
    <row r="32">
      <c r="A32" s="380">
        <v>28.0</v>
      </c>
      <c r="B32" s="393"/>
      <c r="C32" s="392"/>
      <c r="D32" s="392"/>
      <c r="E32" s="392"/>
      <c r="F32" s="392"/>
      <c r="G32" s="392"/>
      <c r="H32" s="394"/>
    </row>
    <row r="33">
      <c r="A33" s="380">
        <v>29.0</v>
      </c>
      <c r="B33" s="393"/>
      <c r="C33" s="392"/>
      <c r="D33" s="392"/>
      <c r="E33" s="392"/>
      <c r="F33" s="392"/>
      <c r="G33" s="392"/>
      <c r="H33" s="394"/>
    </row>
    <row r="34">
      <c r="A34" s="380">
        <v>30.0</v>
      </c>
      <c r="B34" s="393"/>
      <c r="C34" s="392"/>
      <c r="D34" s="392"/>
      <c r="E34" s="392"/>
      <c r="F34" s="392"/>
      <c r="G34" s="392"/>
      <c r="H34" s="394"/>
    </row>
    <row r="35">
      <c r="A35" s="380">
        <v>31.0</v>
      </c>
      <c r="B35" s="393"/>
      <c r="C35" s="392"/>
      <c r="D35" s="392"/>
      <c r="E35" s="392"/>
      <c r="F35" s="392"/>
      <c r="G35" s="392"/>
      <c r="H35" s="394"/>
    </row>
    <row r="36">
      <c r="A36" s="380">
        <v>32.0</v>
      </c>
      <c r="B36" s="393"/>
      <c r="C36" s="392"/>
      <c r="D36" s="392"/>
      <c r="E36" s="392"/>
      <c r="F36" s="392"/>
      <c r="G36" s="392"/>
      <c r="H36" s="394"/>
    </row>
    <row r="37">
      <c r="A37" s="380">
        <v>33.0</v>
      </c>
      <c r="B37" s="393"/>
      <c r="C37" s="392"/>
      <c r="D37" s="392"/>
      <c r="E37" s="392"/>
      <c r="F37" s="392"/>
      <c r="G37" s="392"/>
      <c r="H37" s="394"/>
    </row>
    <row r="38">
      <c r="A38" s="380">
        <v>34.0</v>
      </c>
      <c r="B38" s="393"/>
      <c r="C38" s="392"/>
      <c r="D38" s="392"/>
      <c r="E38" s="392"/>
      <c r="F38" s="392"/>
      <c r="G38" s="392"/>
      <c r="H38" s="394"/>
    </row>
    <row r="39">
      <c r="A39" s="380">
        <v>35.0</v>
      </c>
      <c r="B39" s="393"/>
      <c r="C39" s="392"/>
      <c r="D39" s="392"/>
      <c r="E39" s="392"/>
      <c r="F39" s="392"/>
      <c r="G39" s="392"/>
      <c r="H39" s="394"/>
    </row>
    <row r="40">
      <c r="A40" s="380">
        <v>36.0</v>
      </c>
      <c r="B40" s="393"/>
      <c r="C40" s="392"/>
      <c r="D40" s="392"/>
      <c r="E40" s="392"/>
      <c r="F40" s="392"/>
      <c r="G40" s="392"/>
      <c r="H40" s="394"/>
    </row>
    <row r="41">
      <c r="A41" s="380">
        <v>37.0</v>
      </c>
      <c r="B41" s="393"/>
      <c r="C41" s="392"/>
      <c r="D41" s="392"/>
      <c r="E41" s="392"/>
      <c r="F41" s="392"/>
      <c r="G41" s="392"/>
      <c r="H41" s="394"/>
    </row>
    <row r="42">
      <c r="A42" s="380">
        <v>38.0</v>
      </c>
      <c r="B42" s="393"/>
      <c r="C42" s="392"/>
      <c r="D42" s="392"/>
      <c r="E42" s="392"/>
      <c r="F42" s="392"/>
      <c r="G42" s="392"/>
      <c r="H42" s="394"/>
    </row>
    <row r="43">
      <c r="A43" s="380">
        <v>39.0</v>
      </c>
      <c r="B43" s="393"/>
      <c r="C43" s="392"/>
      <c r="D43" s="392"/>
      <c r="E43" s="392"/>
      <c r="F43" s="392"/>
      <c r="G43" s="392"/>
      <c r="H43" s="394"/>
    </row>
    <row r="44">
      <c r="A44" s="380">
        <v>40.0</v>
      </c>
      <c r="B44" s="393"/>
      <c r="C44" s="392"/>
      <c r="D44" s="392"/>
      <c r="E44" s="392"/>
      <c r="F44" s="392"/>
      <c r="G44" s="392"/>
      <c r="H44" s="394"/>
    </row>
    <row r="45">
      <c r="A45" s="380">
        <v>41.0</v>
      </c>
      <c r="B45" s="393"/>
      <c r="C45" s="392"/>
      <c r="D45" s="392"/>
      <c r="E45" s="392"/>
      <c r="F45" s="392"/>
      <c r="G45" s="392"/>
      <c r="H45" s="394"/>
    </row>
    <row r="46">
      <c r="A46" s="380">
        <v>42.0</v>
      </c>
      <c r="B46" s="393"/>
      <c r="C46" s="392"/>
      <c r="D46" s="392"/>
      <c r="E46" s="392"/>
      <c r="F46" s="392"/>
      <c r="G46" s="392"/>
      <c r="H46" s="394"/>
    </row>
    <row r="47">
      <c r="A47" s="380">
        <v>43.0</v>
      </c>
      <c r="B47" s="393"/>
      <c r="C47" s="392"/>
      <c r="D47" s="392"/>
      <c r="E47" s="392"/>
      <c r="F47" s="392"/>
      <c r="G47" s="392"/>
      <c r="H47" s="394"/>
    </row>
    <row r="48">
      <c r="A48" s="380">
        <v>44.0</v>
      </c>
      <c r="B48" s="393"/>
      <c r="C48" s="392"/>
      <c r="D48" s="392"/>
      <c r="E48" s="392"/>
      <c r="F48" s="392"/>
      <c r="G48" s="392"/>
      <c r="H48" s="394"/>
    </row>
    <row r="49">
      <c r="A49" s="380">
        <v>45.0</v>
      </c>
      <c r="B49" s="393"/>
      <c r="C49" s="392"/>
      <c r="D49" s="392"/>
      <c r="E49" s="392"/>
      <c r="F49" s="392"/>
      <c r="G49" s="392"/>
      <c r="H49" s="394"/>
    </row>
    <row r="50">
      <c r="A50" s="380">
        <v>46.0</v>
      </c>
      <c r="B50" s="393"/>
      <c r="C50" s="392"/>
      <c r="D50" s="392"/>
      <c r="E50" s="392"/>
      <c r="F50" s="392"/>
      <c r="G50" s="392"/>
      <c r="H50" s="394"/>
    </row>
    <row r="51">
      <c r="A51" s="380">
        <v>47.0</v>
      </c>
      <c r="B51" s="393"/>
      <c r="C51" s="392"/>
      <c r="D51" s="392"/>
      <c r="E51" s="392"/>
      <c r="F51" s="392"/>
      <c r="G51" s="392"/>
      <c r="H51" s="394"/>
    </row>
    <row r="52">
      <c r="A52" s="380">
        <v>48.0</v>
      </c>
      <c r="B52" s="393"/>
      <c r="C52" s="392"/>
      <c r="D52" s="392"/>
      <c r="E52" s="392"/>
      <c r="F52" s="392"/>
      <c r="G52" s="392"/>
      <c r="H52" s="394"/>
    </row>
    <row r="53">
      <c r="A53" s="380">
        <v>49.0</v>
      </c>
      <c r="B53" s="393"/>
      <c r="C53" s="392"/>
      <c r="D53" s="392"/>
      <c r="E53" s="392"/>
      <c r="F53" s="392"/>
      <c r="G53" s="392"/>
      <c r="H53" s="394"/>
    </row>
    <row r="54">
      <c r="A54" s="380">
        <v>50.0</v>
      </c>
      <c r="B54" s="393"/>
      <c r="C54" s="392"/>
      <c r="D54" s="392"/>
      <c r="E54" s="392"/>
      <c r="F54" s="392"/>
      <c r="G54" s="392"/>
      <c r="H54" s="394"/>
    </row>
    <row r="55">
      <c r="A55" s="380">
        <v>51.0</v>
      </c>
      <c r="B55" s="393"/>
      <c r="C55" s="392"/>
      <c r="D55" s="392"/>
      <c r="E55" s="392"/>
      <c r="F55" s="392"/>
      <c r="G55" s="392"/>
      <c r="H55" s="394"/>
    </row>
    <row r="56">
      <c r="A56" s="380">
        <v>52.0</v>
      </c>
      <c r="B56" s="393"/>
      <c r="C56" s="392"/>
      <c r="D56" s="392"/>
      <c r="E56" s="392"/>
      <c r="F56" s="392"/>
      <c r="G56" s="392"/>
      <c r="H56" s="394"/>
    </row>
    <row r="57">
      <c r="A57" s="380">
        <v>53.0</v>
      </c>
      <c r="B57" s="393"/>
      <c r="C57" s="392"/>
      <c r="D57" s="392"/>
      <c r="E57" s="392"/>
      <c r="F57" s="392"/>
      <c r="G57" s="392"/>
      <c r="H57" s="394"/>
    </row>
    <row r="58">
      <c r="A58" s="380">
        <v>54.0</v>
      </c>
      <c r="B58" s="393"/>
      <c r="C58" s="392"/>
      <c r="D58" s="392"/>
      <c r="E58" s="392"/>
      <c r="F58" s="392"/>
      <c r="G58" s="392"/>
      <c r="H58" s="394"/>
    </row>
    <row r="59">
      <c r="A59" s="380">
        <v>55.0</v>
      </c>
      <c r="B59" s="393"/>
      <c r="C59" s="392"/>
      <c r="D59" s="392"/>
      <c r="E59" s="392"/>
      <c r="F59" s="392"/>
      <c r="G59" s="392"/>
      <c r="H59" s="394"/>
    </row>
    <row r="60">
      <c r="A60" s="380">
        <v>56.0</v>
      </c>
      <c r="B60" s="393"/>
      <c r="C60" s="392"/>
      <c r="D60" s="392"/>
      <c r="E60" s="392"/>
      <c r="F60" s="392"/>
      <c r="G60" s="392"/>
      <c r="H60" s="394"/>
    </row>
    <row r="61">
      <c r="A61" s="380">
        <v>57.0</v>
      </c>
      <c r="B61" s="393"/>
      <c r="C61" s="392"/>
      <c r="D61" s="392"/>
      <c r="E61" s="392"/>
      <c r="F61" s="392"/>
      <c r="G61" s="392"/>
      <c r="H61" s="394"/>
    </row>
    <row r="62">
      <c r="A62" s="380">
        <v>58.0</v>
      </c>
      <c r="B62" s="393"/>
      <c r="C62" s="392"/>
      <c r="D62" s="392"/>
      <c r="E62" s="392"/>
      <c r="F62" s="392"/>
      <c r="G62" s="392"/>
      <c r="H62" s="394"/>
    </row>
    <row r="63">
      <c r="A63" s="380">
        <v>59.0</v>
      </c>
      <c r="B63" s="393"/>
      <c r="C63" s="392"/>
      <c r="D63" s="392"/>
      <c r="E63" s="392"/>
      <c r="F63" s="392"/>
      <c r="G63" s="392"/>
      <c r="H63" s="394"/>
    </row>
    <row r="64">
      <c r="A64" s="380">
        <v>60.0</v>
      </c>
      <c r="B64" s="393"/>
      <c r="C64" s="392"/>
      <c r="D64" s="392"/>
      <c r="E64" s="392"/>
      <c r="F64" s="392"/>
      <c r="G64" s="392"/>
      <c r="H64" s="394"/>
    </row>
    <row r="65">
      <c r="A65" s="380">
        <v>61.0</v>
      </c>
      <c r="B65" s="393"/>
      <c r="C65" s="392"/>
      <c r="D65" s="392"/>
      <c r="E65" s="392"/>
      <c r="F65" s="392"/>
      <c r="G65" s="392"/>
      <c r="H65" s="394"/>
    </row>
    <row r="66">
      <c r="A66" s="380">
        <v>62.0</v>
      </c>
      <c r="B66" s="393"/>
      <c r="C66" s="392"/>
      <c r="D66" s="392"/>
      <c r="E66" s="392"/>
      <c r="F66" s="392"/>
      <c r="G66" s="392"/>
      <c r="H66" s="394"/>
    </row>
    <row r="67">
      <c r="A67" s="380">
        <v>63.0</v>
      </c>
      <c r="B67" s="393"/>
      <c r="C67" s="392"/>
      <c r="D67" s="392"/>
      <c r="E67" s="392"/>
      <c r="F67" s="392"/>
      <c r="G67" s="392"/>
      <c r="H67" s="394"/>
    </row>
    <row r="68">
      <c r="A68" s="380">
        <v>64.0</v>
      </c>
      <c r="B68" s="393"/>
      <c r="C68" s="392"/>
      <c r="D68" s="392"/>
      <c r="E68" s="392"/>
      <c r="F68" s="392"/>
      <c r="G68" s="392"/>
      <c r="H68" s="394"/>
    </row>
    <row r="69">
      <c r="A69" s="380">
        <v>65.0</v>
      </c>
      <c r="B69" s="393"/>
      <c r="C69" s="392"/>
      <c r="D69" s="392"/>
      <c r="E69" s="392"/>
      <c r="F69" s="392"/>
      <c r="G69" s="392"/>
      <c r="H69" s="394"/>
    </row>
    <row r="70">
      <c r="A70" s="380">
        <v>66.0</v>
      </c>
      <c r="B70" s="393"/>
      <c r="C70" s="392"/>
      <c r="D70" s="392"/>
      <c r="E70" s="392"/>
      <c r="F70" s="392"/>
      <c r="G70" s="392"/>
      <c r="H70" s="394"/>
    </row>
    <row r="71">
      <c r="A71" s="380">
        <v>67.0</v>
      </c>
      <c r="B71" s="393"/>
      <c r="C71" s="392"/>
      <c r="D71" s="392"/>
      <c r="E71" s="392"/>
      <c r="F71" s="392"/>
      <c r="G71" s="392"/>
      <c r="H71" s="394"/>
    </row>
    <row r="72">
      <c r="A72" s="380">
        <v>68.0</v>
      </c>
      <c r="B72" s="393"/>
      <c r="C72" s="392"/>
      <c r="D72" s="392"/>
      <c r="E72" s="392"/>
      <c r="F72" s="392"/>
      <c r="G72" s="392"/>
      <c r="H72" s="394"/>
    </row>
    <row r="73">
      <c r="A73" s="380">
        <v>69.0</v>
      </c>
      <c r="B73" s="393"/>
      <c r="C73" s="392"/>
      <c r="D73" s="392"/>
      <c r="E73" s="392"/>
      <c r="F73" s="392"/>
      <c r="G73" s="392"/>
      <c r="H73" s="394"/>
    </row>
    <row r="74">
      <c r="A74" s="380">
        <v>70.0</v>
      </c>
      <c r="B74" s="393"/>
      <c r="C74" s="392"/>
      <c r="D74" s="392"/>
      <c r="E74" s="392"/>
      <c r="F74" s="392"/>
      <c r="G74" s="392"/>
      <c r="H74" s="394"/>
    </row>
    <row r="75">
      <c r="A75" s="380">
        <v>71.0</v>
      </c>
      <c r="B75" s="393"/>
      <c r="C75" s="392"/>
      <c r="D75" s="392"/>
      <c r="E75" s="392"/>
      <c r="F75" s="392"/>
      <c r="G75" s="392"/>
      <c r="H75" s="394"/>
    </row>
    <row r="76">
      <c r="A76" s="380">
        <v>72.0</v>
      </c>
      <c r="B76" s="393"/>
      <c r="C76" s="392"/>
      <c r="D76" s="392"/>
      <c r="E76" s="392"/>
      <c r="F76" s="392"/>
      <c r="G76" s="392"/>
      <c r="H76" s="394"/>
    </row>
    <row r="77">
      <c r="A77" s="380">
        <v>73.0</v>
      </c>
      <c r="B77" s="393"/>
      <c r="C77" s="392"/>
      <c r="D77" s="392"/>
      <c r="E77" s="392"/>
      <c r="F77" s="392"/>
      <c r="G77" s="392"/>
      <c r="H77" s="394"/>
    </row>
    <row r="78">
      <c r="A78" s="380">
        <v>74.0</v>
      </c>
      <c r="B78" s="393"/>
      <c r="C78" s="392"/>
      <c r="D78" s="392"/>
      <c r="E78" s="392"/>
      <c r="F78" s="392"/>
      <c r="G78" s="392"/>
      <c r="H78" s="394"/>
    </row>
    <row r="79">
      <c r="A79" s="380">
        <v>75.0</v>
      </c>
      <c r="B79" s="393"/>
      <c r="C79" s="392"/>
      <c r="D79" s="392"/>
      <c r="E79" s="392"/>
      <c r="F79" s="392"/>
      <c r="G79" s="392"/>
      <c r="H79" s="394"/>
    </row>
    <row r="80">
      <c r="A80" s="380">
        <v>76.0</v>
      </c>
      <c r="B80" s="393"/>
      <c r="C80" s="392"/>
      <c r="D80" s="392"/>
      <c r="E80" s="392"/>
      <c r="F80" s="392"/>
      <c r="G80" s="392"/>
      <c r="H80" s="394"/>
    </row>
    <row r="81">
      <c r="A81" s="380">
        <v>77.0</v>
      </c>
      <c r="B81" s="393"/>
      <c r="C81" s="392"/>
      <c r="D81" s="392"/>
      <c r="E81" s="392"/>
      <c r="F81" s="392"/>
      <c r="G81" s="392"/>
      <c r="H81" s="394"/>
    </row>
    <row r="82">
      <c r="A82" s="380">
        <v>78.0</v>
      </c>
      <c r="B82" s="393"/>
      <c r="C82" s="392"/>
      <c r="D82" s="392"/>
      <c r="E82" s="392"/>
      <c r="F82" s="392"/>
      <c r="G82" s="392"/>
      <c r="H82" s="394"/>
    </row>
    <row r="83">
      <c r="A83" s="380">
        <v>79.0</v>
      </c>
      <c r="B83" s="393"/>
      <c r="C83" s="392"/>
      <c r="D83" s="392"/>
      <c r="E83" s="392"/>
      <c r="F83" s="392"/>
      <c r="G83" s="392"/>
      <c r="H83" s="394"/>
    </row>
    <row r="84">
      <c r="A84" s="380">
        <v>80.0</v>
      </c>
      <c r="B84" s="393"/>
      <c r="C84" s="392"/>
      <c r="D84" s="392"/>
      <c r="E84" s="392"/>
      <c r="F84" s="392"/>
      <c r="G84" s="392"/>
      <c r="H84" s="394"/>
    </row>
    <row r="85">
      <c r="A85" s="380">
        <v>81.0</v>
      </c>
      <c r="B85" s="393"/>
      <c r="C85" s="392"/>
      <c r="D85" s="392"/>
      <c r="E85" s="392"/>
      <c r="F85" s="392"/>
      <c r="G85" s="392"/>
      <c r="H85" s="394"/>
    </row>
    <row r="86">
      <c r="A86" s="380">
        <v>82.0</v>
      </c>
      <c r="B86" s="393"/>
      <c r="C86" s="392"/>
      <c r="D86" s="392"/>
      <c r="E86" s="392"/>
      <c r="F86" s="392"/>
      <c r="G86" s="392"/>
      <c r="H86" s="394"/>
    </row>
    <row r="87">
      <c r="A87" s="380">
        <v>83.0</v>
      </c>
      <c r="B87" s="393"/>
      <c r="C87" s="392"/>
      <c r="D87" s="392"/>
      <c r="E87" s="392"/>
      <c r="F87" s="392"/>
      <c r="G87" s="392"/>
      <c r="H87" s="394"/>
    </row>
    <row r="88">
      <c r="A88" s="380">
        <v>84.0</v>
      </c>
      <c r="B88" s="393"/>
      <c r="C88" s="392"/>
      <c r="D88" s="392"/>
      <c r="E88" s="392"/>
      <c r="F88" s="392"/>
      <c r="G88" s="392"/>
      <c r="H88" s="394"/>
    </row>
    <row r="89">
      <c r="A89" s="380">
        <v>85.0</v>
      </c>
      <c r="B89" s="393"/>
      <c r="C89" s="392"/>
      <c r="D89" s="392"/>
      <c r="E89" s="392"/>
      <c r="F89" s="392"/>
      <c r="G89" s="392"/>
      <c r="H89" s="394"/>
    </row>
    <row r="90">
      <c r="A90" s="380">
        <v>86.0</v>
      </c>
      <c r="B90" s="393"/>
      <c r="C90" s="392"/>
      <c r="D90" s="392"/>
      <c r="E90" s="392"/>
      <c r="F90" s="392"/>
      <c r="G90" s="392"/>
      <c r="H90" s="394"/>
    </row>
    <row r="91">
      <c r="A91" s="380">
        <v>87.0</v>
      </c>
      <c r="B91" s="393"/>
      <c r="C91" s="392"/>
      <c r="D91" s="392"/>
      <c r="E91" s="392"/>
      <c r="F91" s="392"/>
      <c r="G91" s="392"/>
      <c r="H91" s="394"/>
    </row>
    <row r="92">
      <c r="A92" s="380">
        <v>88.0</v>
      </c>
      <c r="B92" s="393"/>
      <c r="C92" s="392"/>
      <c r="D92" s="392"/>
      <c r="E92" s="392"/>
      <c r="F92" s="392"/>
      <c r="G92" s="392"/>
      <c r="H92" s="394"/>
    </row>
    <row r="93">
      <c r="A93" s="380">
        <v>89.0</v>
      </c>
      <c r="B93" s="393"/>
      <c r="C93" s="392"/>
      <c r="D93" s="392"/>
      <c r="E93" s="392"/>
      <c r="F93" s="392"/>
      <c r="G93" s="392"/>
      <c r="H93" s="394"/>
    </row>
    <row r="94">
      <c r="A94" s="380">
        <v>90.0</v>
      </c>
      <c r="B94" s="393"/>
      <c r="C94" s="392"/>
      <c r="D94" s="392"/>
      <c r="E94" s="392"/>
      <c r="F94" s="392"/>
      <c r="G94" s="392"/>
      <c r="H94" s="394"/>
    </row>
    <row r="95">
      <c r="A95" s="380">
        <v>91.0</v>
      </c>
      <c r="B95" s="393"/>
      <c r="C95" s="392"/>
      <c r="D95" s="392"/>
      <c r="E95" s="392"/>
      <c r="F95" s="392"/>
      <c r="G95" s="392"/>
      <c r="H95" s="394"/>
    </row>
    <row r="96">
      <c r="A96" s="380">
        <v>92.0</v>
      </c>
      <c r="B96" s="393"/>
      <c r="C96" s="392"/>
      <c r="D96" s="392"/>
      <c r="E96" s="392"/>
      <c r="F96" s="392"/>
      <c r="G96" s="392"/>
      <c r="H96" s="394"/>
    </row>
    <row r="97">
      <c r="A97" s="380">
        <v>93.0</v>
      </c>
      <c r="B97" s="393"/>
      <c r="C97" s="392"/>
      <c r="D97" s="392"/>
      <c r="E97" s="392"/>
      <c r="F97" s="392"/>
      <c r="G97" s="392"/>
      <c r="H97" s="394"/>
    </row>
    <row r="98">
      <c r="A98" s="380">
        <v>94.0</v>
      </c>
      <c r="B98" s="393"/>
      <c r="C98" s="392"/>
      <c r="D98" s="392"/>
      <c r="E98" s="392"/>
      <c r="F98" s="392"/>
      <c r="G98" s="392"/>
      <c r="H98" s="394"/>
    </row>
    <row r="99">
      <c r="A99" s="380">
        <v>95.0</v>
      </c>
      <c r="B99" s="393"/>
      <c r="C99" s="392"/>
      <c r="D99" s="392"/>
      <c r="E99" s="392"/>
      <c r="F99" s="392"/>
      <c r="G99" s="392"/>
      <c r="H99" s="394"/>
    </row>
    <row r="100">
      <c r="A100" s="380">
        <v>96.0</v>
      </c>
      <c r="B100" s="393"/>
      <c r="C100" s="392"/>
      <c r="D100" s="392"/>
      <c r="E100" s="392"/>
      <c r="F100" s="392"/>
      <c r="G100" s="392"/>
      <c r="H100" s="394"/>
    </row>
    <row r="101">
      <c r="A101" s="380">
        <v>97.0</v>
      </c>
      <c r="B101" s="393"/>
      <c r="C101" s="392"/>
      <c r="D101" s="392"/>
      <c r="E101" s="392"/>
      <c r="F101" s="392"/>
      <c r="G101" s="392"/>
      <c r="H101" s="394"/>
    </row>
    <row r="102">
      <c r="A102" s="380">
        <v>98.0</v>
      </c>
      <c r="B102" s="393"/>
      <c r="C102" s="392"/>
      <c r="D102" s="392"/>
      <c r="E102" s="392"/>
      <c r="F102" s="392"/>
      <c r="G102" s="392"/>
      <c r="H102" s="394"/>
    </row>
    <row r="103">
      <c r="A103" s="380">
        <v>99.0</v>
      </c>
      <c r="B103" s="393"/>
      <c r="C103" s="392"/>
      <c r="D103" s="392"/>
      <c r="E103" s="392"/>
      <c r="F103" s="392"/>
      <c r="G103" s="392"/>
      <c r="H103" s="394"/>
    </row>
    <row r="104">
      <c r="A104" s="380">
        <v>100.0</v>
      </c>
      <c r="B104" s="393"/>
      <c r="C104" s="392"/>
      <c r="D104" s="392"/>
      <c r="E104" s="392"/>
      <c r="F104" s="392"/>
      <c r="G104" s="392"/>
      <c r="H104" s="394"/>
    </row>
    <row r="105">
      <c r="A105" s="380">
        <v>101.0</v>
      </c>
      <c r="B105" s="393"/>
      <c r="C105" s="392"/>
      <c r="D105" s="392"/>
      <c r="E105" s="392"/>
      <c r="F105" s="392"/>
      <c r="G105" s="392"/>
      <c r="H105" s="394"/>
    </row>
    <row r="106">
      <c r="A106" s="380">
        <v>102.0</v>
      </c>
      <c r="B106" s="393"/>
      <c r="C106" s="392"/>
      <c r="D106" s="392"/>
      <c r="E106" s="392"/>
      <c r="F106" s="392"/>
      <c r="G106" s="392"/>
      <c r="H106" s="394"/>
    </row>
    <row r="107">
      <c r="A107" s="380">
        <v>103.0</v>
      </c>
      <c r="B107" s="393"/>
      <c r="C107" s="392"/>
      <c r="D107" s="392"/>
      <c r="E107" s="392"/>
      <c r="F107" s="392"/>
      <c r="G107" s="392"/>
      <c r="H107" s="394"/>
    </row>
    <row r="108">
      <c r="A108" s="380">
        <v>104.0</v>
      </c>
      <c r="B108" s="393"/>
      <c r="C108" s="392"/>
      <c r="D108" s="392"/>
      <c r="E108" s="392"/>
      <c r="F108" s="392"/>
      <c r="G108" s="392"/>
      <c r="H108" s="394"/>
    </row>
    <row r="109">
      <c r="A109" s="380">
        <v>105.0</v>
      </c>
      <c r="B109" s="393"/>
      <c r="C109" s="392"/>
      <c r="D109" s="392"/>
      <c r="E109" s="392"/>
      <c r="F109" s="392"/>
      <c r="G109" s="392"/>
      <c r="H109" s="394"/>
    </row>
    <row r="110">
      <c r="A110" s="380">
        <v>106.0</v>
      </c>
      <c r="B110" s="393"/>
      <c r="C110" s="392"/>
      <c r="D110" s="392"/>
      <c r="E110" s="392"/>
      <c r="F110" s="392"/>
      <c r="G110" s="392"/>
      <c r="H110" s="394"/>
    </row>
    <row r="111">
      <c r="A111" s="380">
        <v>107.0</v>
      </c>
      <c r="B111" s="393"/>
      <c r="C111" s="392"/>
      <c r="D111" s="392"/>
      <c r="E111" s="392"/>
      <c r="F111" s="392"/>
      <c r="G111" s="392"/>
      <c r="H111" s="394"/>
    </row>
    <row r="112">
      <c r="A112" s="380">
        <v>108.0</v>
      </c>
      <c r="B112" s="393"/>
      <c r="C112" s="392"/>
      <c r="D112" s="392"/>
      <c r="E112" s="392"/>
      <c r="F112" s="392"/>
      <c r="G112" s="392"/>
      <c r="H112" s="394"/>
    </row>
    <row r="113">
      <c r="A113" s="380">
        <v>109.0</v>
      </c>
      <c r="B113" s="393"/>
      <c r="C113" s="392"/>
      <c r="D113" s="392"/>
      <c r="E113" s="392"/>
      <c r="F113" s="392"/>
      <c r="G113" s="392"/>
      <c r="H113" s="394"/>
    </row>
    <row r="114">
      <c r="A114" s="380">
        <v>110.0</v>
      </c>
      <c r="B114" s="393"/>
      <c r="C114" s="392"/>
      <c r="D114" s="392"/>
      <c r="E114" s="392"/>
      <c r="F114" s="392"/>
      <c r="G114" s="392"/>
      <c r="H114" s="394"/>
    </row>
    <row r="115">
      <c r="A115" s="380">
        <v>111.0</v>
      </c>
      <c r="B115" s="393"/>
      <c r="C115" s="392"/>
      <c r="D115" s="392"/>
      <c r="E115" s="392"/>
      <c r="F115" s="392"/>
      <c r="G115" s="392"/>
      <c r="H115" s="394"/>
    </row>
    <row r="116">
      <c r="A116" s="380">
        <v>112.0</v>
      </c>
      <c r="B116" s="393"/>
      <c r="C116" s="392"/>
      <c r="D116" s="392"/>
      <c r="E116" s="392"/>
      <c r="F116" s="392"/>
      <c r="G116" s="392"/>
      <c r="H116" s="394"/>
    </row>
    <row r="117">
      <c r="A117" s="380">
        <v>113.0</v>
      </c>
      <c r="B117" s="393"/>
      <c r="C117" s="392"/>
      <c r="D117" s="392"/>
      <c r="E117" s="392"/>
      <c r="F117" s="392"/>
      <c r="G117" s="392"/>
      <c r="H117" s="394"/>
    </row>
    <row r="118">
      <c r="A118" s="380">
        <v>114.0</v>
      </c>
      <c r="B118" s="393"/>
      <c r="C118" s="392"/>
      <c r="D118" s="392"/>
      <c r="E118" s="392"/>
      <c r="F118" s="392"/>
      <c r="G118" s="392"/>
      <c r="H118" s="394"/>
    </row>
    <row r="119">
      <c r="A119" s="380">
        <v>115.0</v>
      </c>
      <c r="B119" s="393"/>
      <c r="C119" s="392"/>
      <c r="D119" s="392"/>
      <c r="E119" s="392"/>
      <c r="F119" s="392"/>
      <c r="G119" s="392"/>
      <c r="H119" s="394"/>
    </row>
    <row r="120">
      <c r="A120" s="380">
        <v>116.0</v>
      </c>
      <c r="B120" s="393"/>
      <c r="C120" s="392"/>
      <c r="D120" s="392"/>
      <c r="E120" s="392"/>
      <c r="F120" s="392"/>
      <c r="G120" s="392"/>
      <c r="H120" s="394"/>
    </row>
    <row r="121">
      <c r="A121" s="395"/>
      <c r="B121" s="393"/>
      <c r="C121" s="392"/>
      <c r="D121" s="392"/>
      <c r="E121" s="392"/>
      <c r="F121" s="392"/>
      <c r="G121" s="392"/>
      <c r="H121" s="394"/>
    </row>
    <row r="122">
      <c r="A122" s="395"/>
      <c r="B122" s="393"/>
      <c r="C122" s="392"/>
      <c r="D122" s="392"/>
      <c r="E122" s="392"/>
      <c r="F122" s="392"/>
      <c r="G122" s="392"/>
      <c r="H122" s="394"/>
    </row>
    <row r="123">
      <c r="A123" s="395"/>
      <c r="B123" s="393"/>
      <c r="C123" s="392"/>
      <c r="D123" s="392"/>
      <c r="E123" s="392"/>
      <c r="F123" s="392"/>
      <c r="G123" s="392"/>
      <c r="H123" s="394"/>
    </row>
    <row r="124">
      <c r="A124" s="395"/>
      <c r="B124" s="393"/>
      <c r="C124" s="392"/>
      <c r="D124" s="392"/>
      <c r="E124" s="392"/>
      <c r="F124" s="392"/>
      <c r="G124" s="392"/>
      <c r="H124" s="394"/>
    </row>
    <row r="125">
      <c r="A125" s="395"/>
      <c r="B125" s="393"/>
      <c r="C125" s="392"/>
      <c r="D125" s="392"/>
      <c r="E125" s="392"/>
      <c r="F125" s="392"/>
      <c r="G125" s="392"/>
      <c r="H125" s="394"/>
    </row>
    <row r="126">
      <c r="A126" s="395"/>
      <c r="B126" s="393"/>
      <c r="C126" s="392"/>
      <c r="D126" s="392"/>
      <c r="E126" s="392"/>
      <c r="F126" s="392"/>
      <c r="G126" s="392"/>
      <c r="H126" s="394"/>
    </row>
    <row r="127">
      <c r="A127" s="395"/>
      <c r="B127" s="393"/>
      <c r="C127" s="392"/>
      <c r="D127" s="392"/>
      <c r="E127" s="392"/>
      <c r="F127" s="392"/>
      <c r="G127" s="392"/>
      <c r="H127" s="394"/>
    </row>
    <row r="128">
      <c r="A128" s="395"/>
      <c r="B128" s="393"/>
      <c r="C128" s="392"/>
      <c r="D128" s="392"/>
      <c r="E128" s="392"/>
      <c r="F128" s="392"/>
      <c r="G128" s="392"/>
      <c r="H128" s="394"/>
    </row>
    <row r="129">
      <c r="A129" s="395"/>
      <c r="B129" s="393"/>
      <c r="C129" s="392"/>
      <c r="D129" s="392"/>
      <c r="E129" s="392"/>
      <c r="F129" s="392"/>
      <c r="G129" s="392"/>
      <c r="H129" s="394"/>
    </row>
    <row r="130">
      <c r="A130" s="395"/>
      <c r="B130" s="393"/>
      <c r="C130" s="392"/>
      <c r="D130" s="392"/>
      <c r="E130" s="392"/>
      <c r="F130" s="392"/>
      <c r="G130" s="392"/>
      <c r="H130" s="394"/>
    </row>
    <row r="131">
      <c r="A131" s="395"/>
      <c r="B131" s="393"/>
      <c r="C131" s="392"/>
      <c r="D131" s="392"/>
      <c r="E131" s="392"/>
      <c r="F131" s="392"/>
      <c r="G131" s="392"/>
      <c r="H131" s="394"/>
    </row>
    <row r="132">
      <c r="A132" s="395"/>
      <c r="B132" s="393"/>
      <c r="C132" s="392"/>
      <c r="D132" s="392"/>
      <c r="E132" s="392"/>
      <c r="F132" s="392"/>
      <c r="G132" s="392"/>
      <c r="H132" s="394"/>
    </row>
    <row r="133">
      <c r="A133" s="395"/>
      <c r="B133" s="393"/>
      <c r="C133" s="392"/>
      <c r="D133" s="392"/>
      <c r="E133" s="392"/>
      <c r="F133" s="392"/>
      <c r="G133" s="392"/>
      <c r="H133" s="394"/>
    </row>
    <row r="134">
      <c r="A134" s="395"/>
      <c r="B134" s="393"/>
      <c r="C134" s="392"/>
      <c r="D134" s="392"/>
      <c r="E134" s="392"/>
      <c r="F134" s="392"/>
      <c r="G134" s="392"/>
      <c r="H134" s="394"/>
    </row>
    <row r="135">
      <c r="A135" s="395"/>
      <c r="B135" s="393"/>
      <c r="C135" s="392"/>
      <c r="D135" s="392"/>
      <c r="E135" s="392"/>
      <c r="F135" s="392"/>
      <c r="G135" s="392"/>
      <c r="H135" s="394"/>
    </row>
    <row r="136">
      <c r="A136" s="395"/>
      <c r="B136" s="393"/>
      <c r="C136" s="392"/>
      <c r="D136" s="392"/>
      <c r="E136" s="392"/>
      <c r="F136" s="392"/>
      <c r="G136" s="392"/>
      <c r="H136" s="394"/>
    </row>
    <row r="137">
      <c r="A137" s="395"/>
      <c r="B137" s="393"/>
      <c r="C137" s="392"/>
      <c r="D137" s="392"/>
      <c r="E137" s="392"/>
      <c r="F137" s="392"/>
      <c r="G137" s="392"/>
      <c r="H137" s="394"/>
    </row>
    <row r="138">
      <c r="A138" s="395"/>
      <c r="B138" s="393"/>
      <c r="C138" s="392"/>
      <c r="D138" s="392"/>
      <c r="E138" s="392"/>
      <c r="F138" s="392"/>
      <c r="G138" s="392"/>
      <c r="H138" s="394"/>
    </row>
    <row r="139">
      <c r="A139" s="395"/>
      <c r="B139" s="393"/>
      <c r="C139" s="392"/>
      <c r="D139" s="392"/>
      <c r="E139" s="392"/>
      <c r="F139" s="392"/>
      <c r="G139" s="392"/>
      <c r="H139" s="394"/>
    </row>
    <row r="140">
      <c r="A140" s="395"/>
      <c r="B140" s="393"/>
      <c r="C140" s="392"/>
      <c r="D140" s="392"/>
      <c r="E140" s="392"/>
      <c r="F140" s="392"/>
      <c r="G140" s="392"/>
      <c r="H140" s="394"/>
    </row>
    <row r="141">
      <c r="A141" s="395"/>
      <c r="B141" s="393"/>
      <c r="C141" s="392"/>
      <c r="D141" s="392"/>
      <c r="E141" s="392"/>
      <c r="F141" s="392"/>
      <c r="G141" s="392"/>
      <c r="H141" s="394"/>
    </row>
    <row r="142">
      <c r="A142" s="395"/>
      <c r="B142" s="393"/>
      <c r="C142" s="392"/>
      <c r="D142" s="392"/>
      <c r="E142" s="392"/>
      <c r="F142" s="392"/>
      <c r="G142" s="392"/>
      <c r="H142" s="394"/>
    </row>
    <row r="143">
      <c r="A143" s="395"/>
      <c r="B143" s="393"/>
      <c r="C143" s="392"/>
      <c r="D143" s="392"/>
      <c r="E143" s="392"/>
      <c r="F143" s="392"/>
      <c r="G143" s="392"/>
      <c r="H143" s="394"/>
    </row>
    <row r="144">
      <c r="A144" s="395"/>
      <c r="B144" s="393"/>
      <c r="C144" s="392"/>
      <c r="D144" s="392"/>
      <c r="E144" s="392"/>
      <c r="F144" s="392"/>
      <c r="G144" s="392"/>
      <c r="H144" s="394"/>
    </row>
    <row r="145">
      <c r="A145" s="395"/>
      <c r="B145" s="393"/>
      <c r="C145" s="392"/>
      <c r="D145" s="392"/>
      <c r="E145" s="392"/>
      <c r="F145" s="392"/>
      <c r="G145" s="392"/>
      <c r="H145" s="394"/>
    </row>
    <row r="146">
      <c r="A146" s="395"/>
      <c r="B146" s="393"/>
      <c r="C146" s="392"/>
      <c r="D146" s="392"/>
      <c r="E146" s="392"/>
      <c r="F146" s="392"/>
      <c r="G146" s="392"/>
      <c r="H146" s="394"/>
    </row>
    <row r="147">
      <c r="A147" s="395"/>
      <c r="B147" s="393"/>
      <c r="C147" s="392"/>
      <c r="D147" s="392"/>
      <c r="E147" s="392"/>
      <c r="F147" s="392"/>
      <c r="G147" s="392"/>
      <c r="H147" s="394"/>
    </row>
    <row r="148">
      <c r="A148" s="395"/>
      <c r="B148" s="393"/>
      <c r="C148" s="392"/>
      <c r="D148" s="392"/>
      <c r="E148" s="392"/>
      <c r="F148" s="392"/>
      <c r="G148" s="392"/>
      <c r="H148" s="394"/>
    </row>
    <row r="149">
      <c r="A149" s="395"/>
      <c r="B149" s="393"/>
      <c r="C149" s="392"/>
      <c r="D149" s="392"/>
      <c r="E149" s="392"/>
      <c r="F149" s="392"/>
      <c r="G149" s="392"/>
      <c r="H149" s="394"/>
    </row>
    <row r="150">
      <c r="A150" s="395"/>
      <c r="B150" s="393"/>
      <c r="C150" s="392"/>
      <c r="D150" s="392"/>
      <c r="E150" s="392"/>
      <c r="F150" s="392"/>
      <c r="G150" s="392"/>
      <c r="H150" s="394"/>
    </row>
    <row r="151">
      <c r="A151" s="395"/>
      <c r="B151" s="393"/>
      <c r="C151" s="392"/>
      <c r="D151" s="392"/>
      <c r="E151" s="392"/>
      <c r="F151" s="392"/>
      <c r="G151" s="392"/>
      <c r="H151" s="394"/>
    </row>
    <row r="152">
      <c r="A152" s="395"/>
      <c r="B152" s="393"/>
      <c r="C152" s="392"/>
      <c r="D152" s="392"/>
      <c r="E152" s="392"/>
      <c r="F152" s="392"/>
      <c r="G152" s="392"/>
      <c r="H152" s="394"/>
    </row>
    <row r="153">
      <c r="A153" s="395"/>
      <c r="B153" s="393"/>
      <c r="C153" s="392"/>
      <c r="D153" s="392"/>
      <c r="E153" s="392"/>
      <c r="F153" s="392"/>
      <c r="G153" s="392"/>
      <c r="H153" s="394"/>
    </row>
    <row r="154">
      <c r="A154" s="395"/>
      <c r="B154" s="393"/>
      <c r="C154" s="392"/>
      <c r="D154" s="392"/>
      <c r="E154" s="392"/>
      <c r="F154" s="392"/>
      <c r="G154" s="392"/>
      <c r="H154" s="394"/>
    </row>
    <row r="155">
      <c r="A155" s="395"/>
      <c r="B155" s="393"/>
      <c r="C155" s="392"/>
      <c r="D155" s="392"/>
      <c r="E155" s="392"/>
      <c r="F155" s="392"/>
      <c r="G155" s="392"/>
      <c r="H155" s="394"/>
    </row>
    <row r="156">
      <c r="A156" s="395"/>
      <c r="B156" s="393"/>
      <c r="C156" s="392"/>
      <c r="D156" s="392"/>
      <c r="E156" s="392"/>
      <c r="F156" s="392"/>
      <c r="G156" s="392"/>
      <c r="H156" s="394"/>
    </row>
    <row r="157">
      <c r="A157" s="395"/>
      <c r="B157" s="393"/>
      <c r="C157" s="392"/>
      <c r="D157" s="392"/>
      <c r="E157" s="392"/>
      <c r="F157" s="392"/>
      <c r="G157" s="392"/>
      <c r="H157" s="394"/>
    </row>
    <row r="158">
      <c r="A158" s="395"/>
      <c r="B158" s="393"/>
      <c r="C158" s="392"/>
      <c r="D158" s="392"/>
      <c r="E158" s="392"/>
      <c r="F158" s="392"/>
      <c r="G158" s="392"/>
      <c r="H158" s="394"/>
    </row>
    <row r="159">
      <c r="A159" s="395"/>
      <c r="B159" s="393"/>
      <c r="C159" s="392"/>
      <c r="D159" s="392"/>
      <c r="E159" s="392"/>
      <c r="F159" s="392"/>
      <c r="G159" s="392"/>
      <c r="H159" s="394"/>
    </row>
    <row r="160">
      <c r="A160" s="395"/>
      <c r="B160" s="393"/>
      <c r="C160" s="392"/>
      <c r="D160" s="392"/>
      <c r="E160" s="392"/>
      <c r="F160" s="392"/>
      <c r="G160" s="392"/>
      <c r="H160" s="394"/>
    </row>
    <row r="161">
      <c r="A161" s="395"/>
      <c r="B161" s="393"/>
      <c r="C161" s="392"/>
      <c r="D161" s="392"/>
      <c r="E161" s="392"/>
      <c r="F161" s="392"/>
      <c r="G161" s="392"/>
      <c r="H161" s="394"/>
    </row>
    <row r="162">
      <c r="A162" s="395"/>
      <c r="B162" s="393"/>
      <c r="C162" s="392"/>
      <c r="D162" s="392"/>
      <c r="E162" s="392"/>
      <c r="F162" s="392"/>
      <c r="G162" s="392"/>
      <c r="H162" s="394"/>
    </row>
    <row r="163">
      <c r="A163" s="395"/>
      <c r="B163" s="393"/>
      <c r="C163" s="392"/>
      <c r="D163" s="392"/>
      <c r="E163" s="392"/>
      <c r="F163" s="392"/>
      <c r="G163" s="392"/>
      <c r="H163" s="394"/>
    </row>
    <row r="164">
      <c r="A164" s="395"/>
      <c r="B164" s="393"/>
      <c r="C164" s="392"/>
      <c r="D164" s="392"/>
      <c r="E164" s="392"/>
      <c r="F164" s="392"/>
      <c r="G164" s="392"/>
      <c r="H164" s="394"/>
    </row>
    <row r="165">
      <c r="A165" s="395"/>
      <c r="B165" s="393"/>
      <c r="C165" s="392"/>
      <c r="D165" s="392"/>
      <c r="E165" s="392"/>
      <c r="F165" s="392"/>
      <c r="G165" s="392"/>
      <c r="H165" s="394"/>
    </row>
    <row r="166">
      <c r="A166" s="395"/>
      <c r="B166" s="393"/>
      <c r="C166" s="392"/>
      <c r="D166" s="392"/>
      <c r="E166" s="392"/>
      <c r="F166" s="392"/>
      <c r="G166" s="392"/>
      <c r="H166" s="394"/>
    </row>
    <row r="167">
      <c r="A167" s="395"/>
      <c r="B167" s="393"/>
      <c r="C167" s="392"/>
      <c r="D167" s="392"/>
      <c r="E167" s="392"/>
      <c r="F167" s="392"/>
      <c r="G167" s="392"/>
      <c r="H167" s="394"/>
    </row>
    <row r="168">
      <c r="A168" s="395"/>
      <c r="B168" s="393"/>
      <c r="C168" s="392"/>
      <c r="D168" s="392"/>
      <c r="E168" s="392"/>
      <c r="F168" s="392"/>
      <c r="G168" s="392"/>
      <c r="H168" s="394"/>
    </row>
    <row r="169">
      <c r="A169" s="395"/>
      <c r="B169" s="393"/>
      <c r="C169" s="392"/>
      <c r="D169" s="392"/>
      <c r="E169" s="392"/>
      <c r="F169" s="392"/>
      <c r="G169" s="392"/>
      <c r="H169" s="394"/>
    </row>
    <row r="170">
      <c r="A170" s="395"/>
      <c r="B170" s="393"/>
      <c r="C170" s="392"/>
      <c r="D170" s="392"/>
      <c r="E170" s="392"/>
      <c r="F170" s="392"/>
      <c r="G170" s="392"/>
      <c r="H170" s="394"/>
    </row>
    <row r="171">
      <c r="A171" s="395"/>
      <c r="B171" s="393"/>
      <c r="C171" s="392"/>
      <c r="D171" s="392"/>
      <c r="E171" s="392"/>
      <c r="F171" s="392"/>
      <c r="G171" s="392"/>
      <c r="H171" s="394"/>
    </row>
    <row r="172">
      <c r="A172" s="395"/>
      <c r="B172" s="393"/>
      <c r="C172" s="392"/>
      <c r="D172" s="392"/>
      <c r="E172" s="392"/>
      <c r="F172" s="392"/>
      <c r="G172" s="392"/>
      <c r="H172" s="394"/>
    </row>
    <row r="173">
      <c r="A173" s="395"/>
      <c r="B173" s="393"/>
      <c r="C173" s="392"/>
      <c r="D173" s="392"/>
      <c r="E173" s="392"/>
      <c r="F173" s="392"/>
      <c r="G173" s="392"/>
      <c r="H173" s="394"/>
    </row>
    <row r="174">
      <c r="A174" s="395"/>
      <c r="B174" s="393"/>
      <c r="C174" s="392"/>
      <c r="D174" s="392"/>
      <c r="E174" s="392"/>
      <c r="F174" s="392"/>
      <c r="G174" s="392"/>
      <c r="H174" s="394"/>
    </row>
    <row r="175">
      <c r="A175" s="395"/>
      <c r="B175" s="393"/>
      <c r="C175" s="392"/>
      <c r="D175" s="392"/>
      <c r="E175" s="392"/>
      <c r="F175" s="392"/>
      <c r="G175" s="392"/>
      <c r="H175" s="394"/>
    </row>
    <row r="176">
      <c r="A176" s="395"/>
      <c r="B176" s="393"/>
      <c r="C176" s="392"/>
      <c r="D176" s="392"/>
      <c r="E176" s="392"/>
      <c r="F176" s="392"/>
      <c r="G176" s="392"/>
      <c r="H176" s="394"/>
    </row>
    <row r="177">
      <c r="A177" s="395"/>
      <c r="B177" s="393"/>
      <c r="C177" s="392"/>
      <c r="D177" s="392"/>
      <c r="E177" s="392"/>
      <c r="F177" s="392"/>
      <c r="G177" s="392"/>
      <c r="H177" s="394"/>
    </row>
    <row r="178">
      <c r="A178" s="395"/>
      <c r="B178" s="393"/>
      <c r="C178" s="392"/>
      <c r="D178" s="392"/>
      <c r="E178" s="392"/>
      <c r="F178" s="392"/>
      <c r="G178" s="392"/>
      <c r="H178" s="394"/>
    </row>
    <row r="179">
      <c r="A179" s="395"/>
      <c r="B179" s="393"/>
      <c r="C179" s="392"/>
      <c r="D179" s="392"/>
      <c r="E179" s="392"/>
      <c r="F179" s="392"/>
      <c r="G179" s="392"/>
      <c r="H179" s="394"/>
    </row>
    <row r="180">
      <c r="A180" s="395"/>
      <c r="B180" s="393"/>
      <c r="C180" s="392"/>
      <c r="D180" s="392"/>
      <c r="E180" s="392"/>
      <c r="F180" s="392"/>
      <c r="G180" s="392"/>
      <c r="H180" s="394"/>
    </row>
    <row r="181">
      <c r="A181" s="395"/>
      <c r="B181" s="393"/>
      <c r="C181" s="392"/>
      <c r="D181" s="392"/>
      <c r="E181" s="392"/>
      <c r="F181" s="392"/>
      <c r="G181" s="392"/>
      <c r="H181" s="394"/>
    </row>
    <row r="182">
      <c r="A182" s="395"/>
      <c r="B182" s="393"/>
      <c r="C182" s="392"/>
      <c r="D182" s="392"/>
      <c r="E182" s="392"/>
      <c r="F182" s="392"/>
      <c r="G182" s="392"/>
      <c r="H182" s="394"/>
    </row>
    <row r="183">
      <c r="A183" s="395"/>
      <c r="B183" s="393"/>
      <c r="C183" s="392"/>
      <c r="D183" s="392"/>
      <c r="E183" s="392"/>
      <c r="F183" s="392"/>
      <c r="G183" s="392"/>
      <c r="H183" s="394"/>
    </row>
    <row r="184">
      <c r="A184" s="395"/>
      <c r="B184" s="393"/>
      <c r="C184" s="392"/>
      <c r="D184" s="392"/>
      <c r="E184" s="392"/>
      <c r="F184" s="392"/>
      <c r="G184" s="392"/>
      <c r="H184" s="394"/>
    </row>
    <row r="185">
      <c r="A185" s="395"/>
      <c r="B185" s="393"/>
      <c r="C185" s="392"/>
      <c r="D185" s="392"/>
      <c r="E185" s="392"/>
      <c r="F185" s="392"/>
      <c r="G185" s="392"/>
      <c r="H185" s="394"/>
    </row>
    <row r="186">
      <c r="A186" s="395"/>
      <c r="B186" s="393"/>
      <c r="C186" s="392"/>
      <c r="D186" s="392"/>
      <c r="E186" s="392"/>
      <c r="F186" s="392"/>
      <c r="G186" s="392"/>
      <c r="H186" s="394"/>
    </row>
    <row r="187">
      <c r="A187" s="395"/>
      <c r="B187" s="393"/>
      <c r="C187" s="392"/>
      <c r="D187" s="392"/>
      <c r="E187" s="392"/>
      <c r="F187" s="392"/>
      <c r="G187" s="392"/>
      <c r="H187" s="394"/>
    </row>
    <row r="188">
      <c r="A188" s="395"/>
      <c r="B188" s="393"/>
      <c r="C188" s="392"/>
      <c r="D188" s="392"/>
      <c r="E188" s="392"/>
      <c r="F188" s="392"/>
      <c r="G188" s="392"/>
      <c r="H188" s="394"/>
    </row>
    <row r="189">
      <c r="A189" s="395"/>
      <c r="B189" s="393"/>
      <c r="C189" s="392"/>
      <c r="D189" s="392"/>
      <c r="E189" s="392"/>
      <c r="F189" s="392"/>
      <c r="G189" s="392"/>
      <c r="H189" s="394"/>
    </row>
    <row r="190">
      <c r="A190" s="395"/>
      <c r="B190" s="393"/>
      <c r="C190" s="392"/>
      <c r="D190" s="392"/>
      <c r="E190" s="392"/>
      <c r="F190" s="392"/>
      <c r="G190" s="392"/>
      <c r="H190" s="394"/>
    </row>
    <row r="191">
      <c r="A191" s="395"/>
      <c r="B191" s="393"/>
      <c r="C191" s="392"/>
      <c r="D191" s="392"/>
      <c r="E191" s="392"/>
      <c r="F191" s="392"/>
      <c r="G191" s="392"/>
      <c r="H191" s="394"/>
    </row>
    <row r="192">
      <c r="A192" s="395"/>
      <c r="B192" s="393"/>
      <c r="C192" s="392"/>
      <c r="D192" s="392"/>
      <c r="E192" s="392"/>
      <c r="F192" s="392"/>
      <c r="G192" s="392"/>
      <c r="H192" s="394"/>
    </row>
    <row r="193">
      <c r="A193" s="395"/>
      <c r="B193" s="393"/>
      <c r="C193" s="392"/>
      <c r="D193" s="392"/>
      <c r="E193" s="392"/>
      <c r="F193" s="392"/>
      <c r="G193" s="392"/>
      <c r="H193" s="394"/>
    </row>
    <row r="194">
      <c r="A194" s="395"/>
      <c r="B194" s="393"/>
      <c r="C194" s="392"/>
      <c r="D194" s="392"/>
      <c r="E194" s="392"/>
      <c r="F194" s="392"/>
      <c r="G194" s="392"/>
      <c r="H194" s="394"/>
    </row>
    <row r="195">
      <c r="A195" s="395"/>
      <c r="B195" s="393"/>
      <c r="C195" s="392"/>
      <c r="D195" s="392"/>
      <c r="E195" s="392"/>
      <c r="F195" s="392"/>
      <c r="G195" s="392"/>
      <c r="H195" s="394"/>
    </row>
    <row r="196">
      <c r="A196" s="395"/>
      <c r="B196" s="393"/>
      <c r="C196" s="392"/>
      <c r="D196" s="392"/>
      <c r="E196" s="392"/>
      <c r="F196" s="392"/>
      <c r="G196" s="392"/>
      <c r="H196" s="394"/>
    </row>
    <row r="197">
      <c r="A197" s="395"/>
      <c r="B197" s="393"/>
      <c r="C197" s="392"/>
      <c r="D197" s="392"/>
      <c r="E197" s="392"/>
      <c r="F197" s="392"/>
      <c r="G197" s="392"/>
      <c r="H197" s="394"/>
    </row>
    <row r="198">
      <c r="A198" s="395"/>
      <c r="B198" s="393"/>
      <c r="C198" s="392"/>
      <c r="D198" s="392"/>
      <c r="E198" s="392"/>
      <c r="F198" s="392"/>
      <c r="G198" s="392"/>
      <c r="H198" s="394"/>
    </row>
    <row r="199">
      <c r="A199" s="395"/>
      <c r="B199" s="393"/>
      <c r="C199" s="392"/>
      <c r="D199" s="392"/>
      <c r="E199" s="392"/>
      <c r="F199" s="392"/>
      <c r="G199" s="392"/>
      <c r="H199" s="394"/>
    </row>
    <row r="200">
      <c r="A200" s="395"/>
      <c r="B200" s="393"/>
      <c r="C200" s="392"/>
      <c r="D200" s="392"/>
      <c r="E200" s="392"/>
      <c r="F200" s="392"/>
      <c r="G200" s="392"/>
      <c r="H200" s="394"/>
    </row>
    <row r="201">
      <c r="A201" s="395"/>
      <c r="B201" s="393"/>
      <c r="C201" s="392"/>
      <c r="D201" s="392"/>
      <c r="E201" s="392"/>
      <c r="F201" s="392"/>
      <c r="G201" s="392"/>
      <c r="H201" s="394"/>
    </row>
    <row r="202">
      <c r="A202" s="395"/>
      <c r="B202" s="393"/>
      <c r="C202" s="392"/>
      <c r="D202" s="392"/>
      <c r="E202" s="392"/>
      <c r="F202" s="392"/>
      <c r="G202" s="392"/>
      <c r="H202" s="394"/>
    </row>
    <row r="203">
      <c r="A203" s="395"/>
      <c r="B203" s="393"/>
      <c r="C203" s="392"/>
      <c r="D203" s="392"/>
      <c r="E203" s="392"/>
      <c r="F203" s="392"/>
      <c r="G203" s="392"/>
      <c r="H203" s="394"/>
    </row>
    <row r="204">
      <c r="A204" s="395"/>
      <c r="B204" s="393"/>
      <c r="C204" s="392"/>
      <c r="D204" s="392"/>
      <c r="E204" s="392"/>
      <c r="F204" s="392"/>
      <c r="G204" s="392"/>
      <c r="H204" s="394"/>
    </row>
    <row r="205">
      <c r="A205" s="395"/>
      <c r="B205" s="393"/>
      <c r="C205" s="392"/>
      <c r="D205" s="392"/>
      <c r="E205" s="392"/>
      <c r="F205" s="392"/>
      <c r="G205" s="392"/>
      <c r="H205" s="394"/>
    </row>
    <row r="206">
      <c r="A206" s="395"/>
      <c r="B206" s="393"/>
      <c r="C206" s="392"/>
      <c r="D206" s="392"/>
      <c r="E206" s="392"/>
      <c r="F206" s="392"/>
      <c r="G206" s="392"/>
      <c r="H206" s="394"/>
    </row>
    <row r="207">
      <c r="A207" s="395"/>
      <c r="B207" s="393"/>
      <c r="C207" s="392"/>
      <c r="D207" s="392"/>
      <c r="E207" s="392"/>
      <c r="F207" s="392"/>
      <c r="G207" s="392"/>
      <c r="H207" s="394"/>
    </row>
    <row r="208">
      <c r="A208" s="395"/>
      <c r="B208" s="393"/>
      <c r="C208" s="392"/>
      <c r="D208" s="392"/>
      <c r="E208" s="392"/>
      <c r="F208" s="392"/>
      <c r="G208" s="392"/>
      <c r="H208" s="394"/>
    </row>
    <row r="209">
      <c r="A209" s="395"/>
      <c r="B209" s="393"/>
      <c r="C209" s="392"/>
      <c r="D209" s="392"/>
      <c r="E209" s="392"/>
      <c r="F209" s="392"/>
      <c r="G209" s="392"/>
      <c r="H209" s="394"/>
    </row>
    <row r="210">
      <c r="A210" s="395"/>
      <c r="B210" s="393"/>
      <c r="C210" s="392"/>
      <c r="D210" s="392"/>
      <c r="E210" s="392"/>
      <c r="F210" s="392"/>
      <c r="G210" s="392"/>
      <c r="H210" s="394"/>
    </row>
    <row r="211">
      <c r="A211" s="395"/>
      <c r="B211" s="393"/>
      <c r="C211" s="392"/>
      <c r="D211" s="392"/>
      <c r="E211" s="392"/>
      <c r="F211" s="392"/>
      <c r="G211" s="392"/>
      <c r="H211" s="394"/>
    </row>
    <row r="212">
      <c r="A212" s="395"/>
      <c r="B212" s="393"/>
      <c r="C212" s="392"/>
      <c r="D212" s="392"/>
      <c r="E212" s="392"/>
      <c r="F212" s="392"/>
      <c r="G212" s="392"/>
      <c r="H212" s="394"/>
    </row>
    <row r="213">
      <c r="A213" s="395"/>
      <c r="B213" s="393"/>
      <c r="C213" s="392"/>
      <c r="D213" s="392"/>
      <c r="E213" s="392"/>
      <c r="F213" s="392"/>
      <c r="G213" s="392"/>
      <c r="H213" s="394"/>
    </row>
    <row r="214">
      <c r="A214" s="395"/>
      <c r="B214" s="393"/>
      <c r="C214" s="392"/>
      <c r="D214" s="392"/>
      <c r="E214" s="392"/>
      <c r="F214" s="392"/>
      <c r="G214" s="392"/>
      <c r="H214" s="394"/>
    </row>
    <row r="215">
      <c r="A215" s="395"/>
      <c r="B215" s="393"/>
      <c r="C215" s="392"/>
      <c r="D215" s="392"/>
      <c r="E215" s="392"/>
      <c r="F215" s="392"/>
      <c r="G215" s="392"/>
      <c r="H215" s="394"/>
    </row>
    <row r="216">
      <c r="A216" s="395"/>
      <c r="B216" s="393"/>
      <c r="C216" s="392"/>
      <c r="D216" s="392"/>
      <c r="E216" s="392"/>
      <c r="F216" s="392"/>
      <c r="G216" s="392"/>
      <c r="H216" s="394"/>
    </row>
    <row r="217">
      <c r="A217" s="395"/>
      <c r="B217" s="393"/>
      <c r="C217" s="392"/>
      <c r="D217" s="392"/>
      <c r="E217" s="392"/>
      <c r="F217" s="392"/>
      <c r="G217" s="392"/>
      <c r="H217" s="394"/>
    </row>
    <row r="218">
      <c r="A218" s="395"/>
      <c r="B218" s="393"/>
      <c r="C218" s="392"/>
      <c r="D218" s="392"/>
      <c r="E218" s="392"/>
      <c r="F218" s="392"/>
      <c r="G218" s="392"/>
      <c r="H218" s="394"/>
    </row>
    <row r="219">
      <c r="A219" s="395"/>
      <c r="B219" s="393"/>
      <c r="C219" s="392"/>
      <c r="D219" s="392"/>
      <c r="E219" s="392"/>
      <c r="F219" s="392"/>
      <c r="G219" s="392"/>
      <c r="H219" s="394"/>
    </row>
    <row r="220">
      <c r="A220" s="395"/>
      <c r="B220" s="393"/>
      <c r="C220" s="392"/>
      <c r="D220" s="392"/>
      <c r="E220" s="392"/>
      <c r="F220" s="392"/>
      <c r="G220" s="392"/>
      <c r="H220" s="394"/>
    </row>
    <row r="221">
      <c r="A221" s="395"/>
      <c r="B221" s="393"/>
      <c r="C221" s="392"/>
      <c r="D221" s="392"/>
      <c r="E221" s="392"/>
      <c r="F221" s="392"/>
      <c r="G221" s="392"/>
      <c r="H221" s="394"/>
    </row>
    <row r="222">
      <c r="A222" s="395"/>
      <c r="B222" s="393"/>
      <c r="C222" s="392"/>
      <c r="D222" s="392"/>
      <c r="E222" s="392"/>
      <c r="F222" s="392"/>
      <c r="G222" s="392"/>
      <c r="H222" s="394"/>
    </row>
    <row r="223">
      <c r="A223" s="395"/>
      <c r="B223" s="393"/>
      <c r="C223" s="392"/>
      <c r="D223" s="392"/>
      <c r="E223" s="392"/>
      <c r="F223" s="392"/>
      <c r="G223" s="392"/>
      <c r="H223" s="394"/>
    </row>
    <row r="224">
      <c r="A224" s="395"/>
      <c r="B224" s="393"/>
      <c r="C224" s="392"/>
      <c r="D224" s="392"/>
      <c r="E224" s="392"/>
      <c r="F224" s="392"/>
      <c r="G224" s="392"/>
      <c r="H224" s="394"/>
    </row>
    <row r="225">
      <c r="A225" s="395"/>
      <c r="B225" s="393"/>
      <c r="C225" s="392"/>
      <c r="D225" s="392"/>
      <c r="E225" s="392"/>
      <c r="F225" s="392"/>
      <c r="G225" s="392"/>
      <c r="H225" s="394"/>
    </row>
    <row r="226">
      <c r="A226" s="395"/>
      <c r="B226" s="393"/>
      <c r="C226" s="392"/>
      <c r="D226" s="392"/>
      <c r="E226" s="392"/>
      <c r="F226" s="392"/>
      <c r="G226" s="392"/>
      <c r="H226" s="394"/>
    </row>
    <row r="227">
      <c r="A227" s="395"/>
      <c r="B227" s="393"/>
      <c r="C227" s="392"/>
      <c r="D227" s="392"/>
      <c r="E227" s="392"/>
      <c r="F227" s="392"/>
      <c r="G227" s="392"/>
      <c r="H227" s="394"/>
    </row>
    <row r="228">
      <c r="A228" s="395"/>
      <c r="B228" s="393"/>
      <c r="C228" s="392"/>
      <c r="D228" s="392"/>
      <c r="E228" s="392"/>
      <c r="F228" s="392"/>
      <c r="G228" s="392"/>
      <c r="H228" s="394"/>
    </row>
    <row r="229">
      <c r="A229" s="395"/>
      <c r="B229" s="393"/>
      <c r="C229" s="392"/>
      <c r="D229" s="392"/>
      <c r="E229" s="392"/>
      <c r="F229" s="392"/>
      <c r="G229" s="392"/>
      <c r="H229" s="394"/>
    </row>
    <row r="230">
      <c r="A230" s="395"/>
      <c r="B230" s="393"/>
      <c r="C230" s="392"/>
      <c r="D230" s="392"/>
      <c r="E230" s="392"/>
      <c r="F230" s="392"/>
      <c r="G230" s="392"/>
      <c r="H230" s="394"/>
    </row>
    <row r="231">
      <c r="A231" s="395"/>
      <c r="B231" s="393"/>
      <c r="C231" s="392"/>
      <c r="D231" s="392"/>
      <c r="E231" s="392"/>
      <c r="F231" s="392"/>
      <c r="G231" s="392"/>
      <c r="H231" s="394"/>
    </row>
    <row r="232">
      <c r="A232" s="395"/>
      <c r="B232" s="393"/>
      <c r="C232" s="392"/>
      <c r="D232" s="392"/>
      <c r="E232" s="392"/>
      <c r="F232" s="392"/>
      <c r="G232" s="392"/>
      <c r="H232" s="394"/>
    </row>
    <row r="233">
      <c r="A233" s="395"/>
      <c r="B233" s="393"/>
      <c r="C233" s="392"/>
      <c r="D233" s="392"/>
      <c r="E233" s="392"/>
      <c r="F233" s="392"/>
      <c r="G233" s="392"/>
      <c r="H233" s="394"/>
    </row>
    <row r="234">
      <c r="A234" s="395"/>
      <c r="B234" s="393"/>
      <c r="C234" s="392"/>
      <c r="D234" s="392"/>
      <c r="E234" s="392"/>
      <c r="F234" s="392"/>
      <c r="G234" s="392"/>
      <c r="H234" s="394"/>
    </row>
    <row r="235">
      <c r="A235" s="395"/>
      <c r="B235" s="393"/>
      <c r="C235" s="392"/>
      <c r="D235" s="392"/>
      <c r="E235" s="392"/>
      <c r="F235" s="392"/>
      <c r="G235" s="392"/>
      <c r="H235" s="394"/>
    </row>
    <row r="236">
      <c r="A236" s="395"/>
      <c r="B236" s="393"/>
      <c r="C236" s="392"/>
      <c r="D236" s="392"/>
      <c r="E236" s="392"/>
      <c r="F236" s="392"/>
      <c r="G236" s="392"/>
      <c r="H236" s="394"/>
    </row>
    <row r="237">
      <c r="A237" s="395"/>
      <c r="B237" s="393"/>
      <c r="C237" s="392"/>
      <c r="D237" s="392"/>
      <c r="E237" s="392"/>
      <c r="F237" s="392"/>
      <c r="G237" s="392"/>
      <c r="H237" s="394"/>
    </row>
    <row r="238">
      <c r="A238" s="395"/>
      <c r="B238" s="393"/>
      <c r="C238" s="392"/>
      <c r="D238" s="392"/>
      <c r="E238" s="392"/>
      <c r="F238" s="392"/>
      <c r="G238" s="392"/>
      <c r="H238" s="394"/>
    </row>
    <row r="239">
      <c r="A239" s="395"/>
      <c r="B239" s="393"/>
      <c r="C239" s="392"/>
      <c r="D239" s="392"/>
      <c r="E239" s="392"/>
      <c r="F239" s="392"/>
      <c r="G239" s="392"/>
      <c r="H239" s="394"/>
    </row>
    <row r="240">
      <c r="A240" s="395"/>
      <c r="B240" s="393"/>
      <c r="C240" s="392"/>
      <c r="D240" s="392"/>
      <c r="E240" s="392"/>
      <c r="F240" s="392"/>
      <c r="G240" s="392"/>
      <c r="H240" s="394"/>
    </row>
    <row r="241">
      <c r="A241" s="395"/>
      <c r="B241" s="393"/>
      <c r="C241" s="392"/>
      <c r="D241" s="392"/>
      <c r="E241" s="392"/>
      <c r="F241" s="392"/>
      <c r="G241" s="392"/>
      <c r="H241" s="394"/>
    </row>
    <row r="242">
      <c r="A242" s="395"/>
      <c r="B242" s="393"/>
      <c r="C242" s="392"/>
      <c r="D242" s="392"/>
      <c r="E242" s="392"/>
      <c r="F242" s="392"/>
      <c r="G242" s="392"/>
      <c r="H242" s="394"/>
    </row>
    <row r="243">
      <c r="A243" s="395"/>
      <c r="B243" s="393"/>
      <c r="C243" s="392"/>
      <c r="D243" s="392"/>
      <c r="E243" s="392"/>
      <c r="F243" s="392"/>
      <c r="G243" s="392"/>
      <c r="H243" s="394"/>
    </row>
    <row r="244">
      <c r="A244" s="395"/>
      <c r="B244" s="393"/>
      <c r="C244" s="392"/>
      <c r="D244" s="392"/>
      <c r="E244" s="392"/>
      <c r="F244" s="392"/>
      <c r="G244" s="392"/>
      <c r="H244" s="394"/>
    </row>
    <row r="245">
      <c r="A245" s="395"/>
      <c r="B245" s="393"/>
      <c r="C245" s="392"/>
      <c r="D245" s="392"/>
      <c r="E245" s="392"/>
      <c r="F245" s="392"/>
      <c r="G245" s="392"/>
      <c r="H245" s="394"/>
    </row>
    <row r="246">
      <c r="A246" s="395"/>
      <c r="B246" s="393"/>
      <c r="C246" s="392"/>
      <c r="D246" s="392"/>
      <c r="E246" s="392"/>
      <c r="F246" s="392"/>
      <c r="G246" s="392"/>
      <c r="H246" s="394"/>
    </row>
    <row r="247">
      <c r="A247" s="395"/>
      <c r="B247" s="393"/>
      <c r="C247" s="392"/>
      <c r="D247" s="392"/>
      <c r="E247" s="392"/>
      <c r="F247" s="392"/>
      <c r="G247" s="392"/>
      <c r="H247" s="394"/>
    </row>
    <row r="248">
      <c r="A248" s="395"/>
      <c r="B248" s="393"/>
      <c r="C248" s="392"/>
      <c r="D248" s="392"/>
      <c r="E248" s="392"/>
      <c r="F248" s="392"/>
      <c r="G248" s="392"/>
      <c r="H248" s="394"/>
    </row>
    <row r="249">
      <c r="A249" s="395"/>
      <c r="B249" s="393"/>
      <c r="C249" s="392"/>
      <c r="D249" s="392"/>
      <c r="E249" s="392"/>
      <c r="F249" s="392"/>
      <c r="G249" s="392"/>
      <c r="H249" s="394"/>
    </row>
    <row r="250">
      <c r="A250" s="395"/>
      <c r="B250" s="393"/>
      <c r="C250" s="392"/>
      <c r="D250" s="392"/>
      <c r="E250" s="392"/>
      <c r="F250" s="392"/>
      <c r="G250" s="392"/>
      <c r="H250" s="394"/>
    </row>
    <row r="251">
      <c r="A251" s="395"/>
      <c r="B251" s="393"/>
      <c r="C251" s="392"/>
      <c r="D251" s="392"/>
      <c r="E251" s="392"/>
      <c r="F251" s="392"/>
      <c r="G251" s="392"/>
      <c r="H251" s="394"/>
    </row>
    <row r="252">
      <c r="A252" s="395"/>
      <c r="B252" s="393"/>
      <c r="C252" s="392"/>
      <c r="D252" s="392"/>
      <c r="E252" s="392"/>
      <c r="F252" s="392"/>
      <c r="G252" s="392"/>
      <c r="H252" s="394"/>
    </row>
    <row r="253">
      <c r="A253" s="395"/>
      <c r="B253" s="393"/>
      <c r="C253" s="392"/>
      <c r="D253" s="392"/>
      <c r="E253" s="392"/>
      <c r="F253" s="392"/>
      <c r="G253" s="392"/>
      <c r="H253" s="394"/>
    </row>
    <row r="254">
      <c r="A254" s="395"/>
      <c r="B254" s="393"/>
      <c r="C254" s="392"/>
      <c r="D254" s="392"/>
      <c r="E254" s="392"/>
      <c r="F254" s="392"/>
      <c r="G254" s="392"/>
      <c r="H254" s="394"/>
    </row>
    <row r="255">
      <c r="A255" s="395"/>
      <c r="B255" s="393"/>
      <c r="C255" s="392"/>
      <c r="D255" s="392"/>
      <c r="E255" s="392"/>
      <c r="F255" s="392"/>
      <c r="G255" s="392"/>
      <c r="H255" s="394"/>
    </row>
    <row r="256">
      <c r="A256" s="395"/>
      <c r="B256" s="393"/>
      <c r="C256" s="392"/>
      <c r="D256" s="392"/>
      <c r="E256" s="392"/>
      <c r="F256" s="392"/>
      <c r="G256" s="392"/>
      <c r="H256" s="394"/>
    </row>
    <row r="257">
      <c r="A257" s="395"/>
      <c r="B257" s="393"/>
      <c r="C257" s="392"/>
      <c r="D257" s="392"/>
      <c r="E257" s="392"/>
      <c r="F257" s="392"/>
      <c r="G257" s="392"/>
      <c r="H257" s="394"/>
    </row>
    <row r="258">
      <c r="A258" s="395"/>
      <c r="B258" s="393"/>
      <c r="C258" s="392"/>
      <c r="D258" s="392"/>
      <c r="E258" s="392"/>
      <c r="F258" s="392"/>
      <c r="G258" s="392"/>
      <c r="H258" s="394"/>
    </row>
    <row r="259">
      <c r="A259" s="395"/>
      <c r="B259" s="393"/>
      <c r="C259" s="392"/>
      <c r="D259" s="392"/>
      <c r="E259" s="392"/>
      <c r="F259" s="392"/>
      <c r="G259" s="392"/>
      <c r="H259" s="394"/>
    </row>
    <row r="260">
      <c r="A260" s="395"/>
      <c r="B260" s="393"/>
      <c r="C260" s="392"/>
      <c r="D260" s="392"/>
      <c r="E260" s="392"/>
      <c r="F260" s="392"/>
      <c r="G260" s="392"/>
      <c r="H260" s="394"/>
    </row>
    <row r="261">
      <c r="A261" s="395"/>
      <c r="B261" s="393"/>
      <c r="C261" s="392"/>
      <c r="D261" s="392"/>
      <c r="E261" s="392"/>
      <c r="F261" s="392"/>
      <c r="G261" s="392"/>
      <c r="H261" s="394"/>
    </row>
    <row r="262">
      <c r="A262" s="395"/>
      <c r="B262" s="393"/>
      <c r="C262" s="392"/>
      <c r="D262" s="392"/>
      <c r="E262" s="392"/>
      <c r="F262" s="392"/>
      <c r="G262" s="392"/>
      <c r="H262" s="394"/>
    </row>
    <row r="263">
      <c r="A263" s="395"/>
      <c r="B263" s="393"/>
      <c r="C263" s="392"/>
      <c r="D263" s="392"/>
      <c r="E263" s="392"/>
      <c r="F263" s="392"/>
      <c r="G263" s="392"/>
      <c r="H263" s="394"/>
    </row>
    <row r="264">
      <c r="A264" s="395"/>
      <c r="B264" s="393"/>
      <c r="C264" s="392"/>
      <c r="D264" s="392"/>
      <c r="E264" s="392"/>
      <c r="F264" s="392"/>
      <c r="G264" s="392"/>
      <c r="H264" s="394"/>
    </row>
    <row r="265">
      <c r="A265" s="395"/>
      <c r="B265" s="393"/>
      <c r="C265" s="392"/>
      <c r="D265" s="392"/>
      <c r="E265" s="392"/>
      <c r="F265" s="392"/>
      <c r="G265" s="392"/>
      <c r="H265" s="394"/>
    </row>
    <row r="266">
      <c r="A266" s="395"/>
      <c r="B266" s="393"/>
      <c r="C266" s="392"/>
      <c r="D266" s="392"/>
      <c r="E266" s="392"/>
      <c r="F266" s="392"/>
      <c r="G266" s="392"/>
      <c r="H266" s="394"/>
    </row>
    <row r="267">
      <c r="A267" s="395"/>
      <c r="B267" s="393"/>
      <c r="C267" s="392"/>
      <c r="D267" s="392"/>
      <c r="E267" s="392"/>
      <c r="F267" s="392"/>
      <c r="G267" s="392"/>
      <c r="H267" s="394"/>
    </row>
    <row r="268">
      <c r="A268" s="395"/>
      <c r="B268" s="393"/>
      <c r="C268" s="392"/>
      <c r="D268" s="392"/>
      <c r="E268" s="392"/>
      <c r="F268" s="392"/>
      <c r="G268" s="392"/>
      <c r="H268" s="394"/>
    </row>
    <row r="269">
      <c r="A269" s="395"/>
      <c r="B269" s="393"/>
      <c r="C269" s="392"/>
      <c r="D269" s="392"/>
      <c r="E269" s="392"/>
      <c r="F269" s="392"/>
      <c r="G269" s="392"/>
      <c r="H269" s="394"/>
    </row>
    <row r="270">
      <c r="A270" s="395"/>
      <c r="B270" s="393"/>
      <c r="C270" s="392"/>
      <c r="D270" s="392"/>
      <c r="E270" s="392"/>
      <c r="F270" s="392"/>
      <c r="G270" s="392"/>
      <c r="H270" s="394"/>
    </row>
    <row r="271">
      <c r="A271" s="395"/>
      <c r="B271" s="393"/>
      <c r="C271" s="392"/>
      <c r="D271" s="392"/>
      <c r="E271" s="392"/>
      <c r="F271" s="392"/>
      <c r="G271" s="392"/>
      <c r="H271" s="394"/>
    </row>
    <row r="272">
      <c r="A272" s="395"/>
      <c r="B272" s="393"/>
      <c r="C272" s="392"/>
      <c r="D272" s="392"/>
      <c r="E272" s="392"/>
      <c r="F272" s="392"/>
      <c r="G272" s="392"/>
      <c r="H272" s="394"/>
    </row>
    <row r="273">
      <c r="A273" s="395"/>
      <c r="B273" s="393"/>
      <c r="C273" s="392"/>
      <c r="D273" s="392"/>
      <c r="E273" s="392"/>
      <c r="F273" s="392"/>
      <c r="G273" s="392"/>
      <c r="H273" s="394"/>
    </row>
    <row r="274">
      <c r="A274" s="395"/>
      <c r="B274" s="393"/>
      <c r="C274" s="392"/>
      <c r="D274" s="392"/>
      <c r="E274" s="392"/>
      <c r="F274" s="392"/>
      <c r="G274" s="392"/>
      <c r="H274" s="394"/>
    </row>
    <row r="275">
      <c r="A275" s="395"/>
      <c r="B275" s="393"/>
      <c r="C275" s="392"/>
      <c r="D275" s="392"/>
      <c r="E275" s="392"/>
      <c r="F275" s="392"/>
      <c r="G275" s="392"/>
      <c r="H275" s="394"/>
    </row>
    <row r="276">
      <c r="A276" s="395"/>
      <c r="B276" s="393"/>
      <c r="C276" s="392"/>
      <c r="D276" s="392"/>
      <c r="E276" s="392"/>
      <c r="F276" s="392"/>
      <c r="G276" s="392"/>
      <c r="H276" s="394"/>
    </row>
    <row r="277">
      <c r="A277" s="395"/>
      <c r="B277" s="393"/>
      <c r="C277" s="392"/>
      <c r="D277" s="392"/>
      <c r="E277" s="392"/>
      <c r="F277" s="392"/>
      <c r="G277" s="392"/>
      <c r="H277" s="394"/>
    </row>
    <row r="278">
      <c r="A278" s="395"/>
      <c r="B278" s="393"/>
      <c r="C278" s="392"/>
      <c r="D278" s="392"/>
      <c r="E278" s="392"/>
      <c r="F278" s="392"/>
      <c r="G278" s="392"/>
      <c r="H278" s="394"/>
    </row>
    <row r="279">
      <c r="A279" s="395"/>
      <c r="B279" s="393"/>
      <c r="C279" s="392"/>
      <c r="D279" s="392"/>
      <c r="E279" s="392"/>
      <c r="F279" s="392"/>
      <c r="G279" s="392"/>
      <c r="H279" s="394"/>
    </row>
    <row r="280">
      <c r="A280" s="395"/>
      <c r="B280" s="393"/>
      <c r="C280" s="392"/>
      <c r="D280" s="392"/>
      <c r="E280" s="392"/>
      <c r="F280" s="392"/>
      <c r="G280" s="392"/>
      <c r="H280" s="394"/>
    </row>
    <row r="281">
      <c r="A281" s="395"/>
      <c r="B281" s="393"/>
      <c r="C281" s="392"/>
      <c r="D281" s="392"/>
      <c r="E281" s="392"/>
      <c r="F281" s="392"/>
      <c r="G281" s="392"/>
      <c r="H281" s="394"/>
    </row>
    <row r="282">
      <c r="A282" s="395"/>
      <c r="B282" s="393"/>
      <c r="C282" s="392"/>
      <c r="D282" s="392"/>
      <c r="E282" s="392"/>
      <c r="F282" s="392"/>
      <c r="G282" s="392"/>
      <c r="H282" s="394"/>
    </row>
    <row r="283">
      <c r="A283" s="395"/>
      <c r="B283" s="393"/>
      <c r="C283" s="392"/>
      <c r="D283" s="392"/>
      <c r="E283" s="392"/>
      <c r="F283" s="392"/>
      <c r="G283" s="392"/>
      <c r="H283" s="394"/>
    </row>
    <row r="284">
      <c r="A284" s="395"/>
      <c r="B284" s="393"/>
      <c r="C284" s="392"/>
      <c r="D284" s="392"/>
      <c r="E284" s="392"/>
      <c r="F284" s="392"/>
      <c r="G284" s="392"/>
      <c r="H284" s="394"/>
    </row>
    <row r="285">
      <c r="A285" s="395"/>
      <c r="B285" s="393"/>
      <c r="C285" s="392"/>
      <c r="D285" s="392"/>
      <c r="E285" s="392"/>
      <c r="F285" s="392"/>
      <c r="G285" s="392"/>
      <c r="H285" s="394"/>
    </row>
    <row r="286">
      <c r="A286" s="395"/>
      <c r="B286" s="393"/>
      <c r="C286" s="392"/>
      <c r="D286" s="392"/>
      <c r="E286" s="392"/>
      <c r="F286" s="392"/>
      <c r="G286" s="392"/>
      <c r="H286" s="394"/>
    </row>
    <row r="287">
      <c r="A287" s="395"/>
      <c r="B287" s="393"/>
      <c r="C287" s="392"/>
      <c r="D287" s="392"/>
      <c r="E287" s="392"/>
      <c r="F287" s="392"/>
      <c r="G287" s="392"/>
      <c r="H287" s="394"/>
    </row>
    <row r="288">
      <c r="A288" s="395"/>
      <c r="B288" s="393"/>
      <c r="C288" s="392"/>
      <c r="D288" s="392"/>
      <c r="E288" s="392"/>
      <c r="F288" s="392"/>
      <c r="G288" s="392"/>
      <c r="H288" s="394"/>
    </row>
    <row r="289">
      <c r="A289" s="395"/>
      <c r="B289" s="393"/>
      <c r="C289" s="392"/>
      <c r="D289" s="392"/>
      <c r="E289" s="392"/>
      <c r="F289" s="392"/>
      <c r="G289" s="392"/>
      <c r="H289" s="394"/>
    </row>
    <row r="290">
      <c r="A290" s="395"/>
      <c r="B290" s="393"/>
      <c r="C290" s="392"/>
      <c r="D290" s="392"/>
      <c r="E290" s="392"/>
      <c r="F290" s="392"/>
      <c r="G290" s="392"/>
      <c r="H290" s="394"/>
    </row>
    <row r="291">
      <c r="A291" s="395"/>
      <c r="B291" s="393"/>
      <c r="C291" s="392"/>
      <c r="D291" s="392"/>
      <c r="E291" s="392"/>
      <c r="F291" s="392"/>
      <c r="G291" s="392"/>
      <c r="H291" s="394"/>
    </row>
    <row r="292">
      <c r="A292" s="395"/>
      <c r="B292" s="393"/>
      <c r="C292" s="392"/>
      <c r="D292" s="392"/>
      <c r="E292" s="392"/>
      <c r="F292" s="392"/>
      <c r="G292" s="392"/>
      <c r="H292" s="394"/>
    </row>
    <row r="293">
      <c r="A293" s="395"/>
      <c r="B293" s="393"/>
      <c r="C293" s="392"/>
      <c r="D293" s="392"/>
      <c r="E293" s="392"/>
      <c r="F293" s="392"/>
      <c r="G293" s="392"/>
      <c r="H293" s="394"/>
    </row>
    <row r="294">
      <c r="A294" s="395"/>
      <c r="B294" s="393"/>
      <c r="C294" s="392"/>
      <c r="D294" s="392"/>
      <c r="E294" s="392"/>
      <c r="F294" s="392"/>
      <c r="G294" s="392"/>
      <c r="H294" s="394"/>
    </row>
    <row r="295">
      <c r="A295" s="395"/>
      <c r="B295" s="393"/>
      <c r="C295" s="392"/>
      <c r="D295" s="392"/>
      <c r="E295" s="392"/>
      <c r="F295" s="392"/>
      <c r="G295" s="392"/>
      <c r="H295" s="394"/>
    </row>
    <row r="296">
      <c r="A296" s="395"/>
      <c r="B296" s="393"/>
      <c r="C296" s="392"/>
      <c r="D296" s="392"/>
      <c r="E296" s="392"/>
      <c r="F296" s="392"/>
      <c r="G296" s="392"/>
      <c r="H296" s="394"/>
    </row>
    <row r="297">
      <c r="A297" s="395"/>
      <c r="B297" s="393"/>
      <c r="C297" s="392"/>
      <c r="D297" s="392"/>
      <c r="E297" s="392"/>
      <c r="F297" s="392"/>
      <c r="G297" s="392"/>
      <c r="H297" s="394"/>
    </row>
    <row r="298">
      <c r="A298" s="395"/>
      <c r="B298" s="393"/>
      <c r="C298" s="392"/>
      <c r="D298" s="392"/>
      <c r="E298" s="392"/>
      <c r="F298" s="392"/>
      <c r="G298" s="392"/>
      <c r="H298" s="394"/>
    </row>
    <row r="299">
      <c r="A299" s="395"/>
      <c r="B299" s="393"/>
      <c r="C299" s="392"/>
      <c r="D299" s="392"/>
      <c r="E299" s="392"/>
      <c r="F299" s="392"/>
      <c r="G299" s="392"/>
      <c r="H299" s="394"/>
    </row>
    <row r="300">
      <c r="A300" s="395"/>
      <c r="B300" s="393"/>
      <c r="C300" s="392"/>
      <c r="D300" s="392"/>
      <c r="E300" s="392"/>
      <c r="F300" s="392"/>
      <c r="G300" s="392"/>
      <c r="H300" s="394"/>
    </row>
    <row r="301">
      <c r="A301" s="395"/>
      <c r="B301" s="393"/>
      <c r="C301" s="392"/>
      <c r="D301" s="392"/>
      <c r="E301" s="392"/>
      <c r="F301" s="392"/>
      <c r="G301" s="392"/>
      <c r="H301" s="394"/>
    </row>
    <row r="302">
      <c r="A302" s="395"/>
      <c r="B302" s="393"/>
      <c r="C302" s="392"/>
      <c r="D302" s="392"/>
      <c r="E302" s="392"/>
      <c r="F302" s="392"/>
      <c r="G302" s="392"/>
      <c r="H302" s="394"/>
    </row>
    <row r="303">
      <c r="A303" s="395"/>
      <c r="B303" s="393"/>
      <c r="C303" s="392"/>
      <c r="D303" s="392"/>
      <c r="E303" s="392"/>
      <c r="F303" s="392"/>
      <c r="G303" s="392"/>
      <c r="H303" s="394"/>
    </row>
    <row r="304">
      <c r="A304" s="395"/>
      <c r="B304" s="393"/>
      <c r="C304" s="392"/>
      <c r="D304" s="392"/>
      <c r="E304" s="392"/>
      <c r="F304" s="392"/>
      <c r="G304" s="392"/>
      <c r="H304" s="394"/>
    </row>
    <row r="305">
      <c r="A305" s="395"/>
      <c r="B305" s="393"/>
      <c r="C305" s="392"/>
      <c r="D305" s="392"/>
      <c r="E305" s="392"/>
      <c r="F305" s="392"/>
      <c r="G305" s="392"/>
      <c r="H305" s="394"/>
    </row>
    <row r="306">
      <c r="A306" s="395"/>
      <c r="B306" s="393"/>
      <c r="C306" s="392"/>
      <c r="D306" s="392"/>
      <c r="E306" s="392"/>
      <c r="F306" s="392"/>
      <c r="G306" s="392"/>
      <c r="H306" s="394"/>
    </row>
    <row r="307">
      <c r="A307" s="395"/>
      <c r="B307" s="393"/>
      <c r="C307" s="392"/>
      <c r="D307" s="392"/>
      <c r="E307" s="392"/>
      <c r="F307" s="392"/>
      <c r="G307" s="392"/>
      <c r="H307" s="394"/>
    </row>
    <row r="308">
      <c r="A308" s="395"/>
      <c r="B308" s="393"/>
      <c r="C308" s="392"/>
      <c r="D308" s="392"/>
      <c r="E308" s="392"/>
      <c r="F308" s="392"/>
      <c r="G308" s="392"/>
      <c r="H308" s="394"/>
    </row>
    <row r="309">
      <c r="A309" s="395"/>
      <c r="B309" s="393"/>
      <c r="C309" s="392"/>
      <c r="D309" s="392"/>
      <c r="E309" s="392"/>
      <c r="F309" s="392"/>
      <c r="G309" s="392"/>
      <c r="H309" s="394"/>
    </row>
    <row r="310">
      <c r="A310" s="395"/>
      <c r="B310" s="393"/>
      <c r="C310" s="392"/>
      <c r="D310" s="392"/>
      <c r="E310" s="392"/>
      <c r="F310" s="392"/>
      <c r="G310" s="392"/>
      <c r="H310" s="394"/>
    </row>
    <row r="311">
      <c r="A311" s="395"/>
      <c r="B311" s="393"/>
      <c r="C311" s="392"/>
      <c r="D311" s="392"/>
      <c r="E311" s="392"/>
      <c r="F311" s="392"/>
      <c r="G311" s="392"/>
      <c r="H311" s="394"/>
    </row>
    <row r="312">
      <c r="A312" s="395"/>
      <c r="B312" s="393"/>
      <c r="C312" s="392"/>
      <c r="D312" s="392"/>
      <c r="E312" s="392"/>
      <c r="F312" s="392"/>
      <c r="G312" s="392"/>
      <c r="H312" s="394"/>
    </row>
    <row r="313">
      <c r="A313" s="395"/>
      <c r="B313" s="393"/>
      <c r="C313" s="392"/>
      <c r="D313" s="392"/>
      <c r="E313" s="392"/>
      <c r="F313" s="392"/>
      <c r="G313" s="392"/>
      <c r="H313" s="394"/>
    </row>
    <row r="314">
      <c r="A314" s="395"/>
      <c r="B314" s="393"/>
      <c r="C314" s="392"/>
      <c r="D314" s="392"/>
      <c r="E314" s="392"/>
      <c r="F314" s="392"/>
      <c r="G314" s="392"/>
      <c r="H314" s="394"/>
    </row>
    <row r="315">
      <c r="A315" s="395"/>
      <c r="B315" s="393"/>
      <c r="C315" s="392"/>
      <c r="D315" s="392"/>
      <c r="E315" s="392"/>
      <c r="F315" s="392"/>
      <c r="G315" s="392"/>
      <c r="H315" s="394"/>
    </row>
    <row r="316">
      <c r="A316" s="395"/>
      <c r="B316" s="393"/>
      <c r="C316" s="392"/>
      <c r="D316" s="392"/>
      <c r="E316" s="392"/>
      <c r="F316" s="392"/>
      <c r="G316" s="392"/>
      <c r="H316" s="394"/>
    </row>
    <row r="317">
      <c r="A317" s="395"/>
      <c r="B317" s="393"/>
      <c r="C317" s="392"/>
      <c r="D317" s="392"/>
      <c r="E317" s="392"/>
      <c r="F317" s="392"/>
      <c r="G317" s="392"/>
      <c r="H317" s="394"/>
    </row>
    <row r="318">
      <c r="A318" s="395"/>
      <c r="B318" s="393"/>
      <c r="C318" s="392"/>
      <c r="D318" s="392"/>
      <c r="E318" s="392"/>
      <c r="F318" s="392"/>
      <c r="G318" s="392"/>
      <c r="H318" s="394"/>
    </row>
    <row r="319">
      <c r="A319" s="395"/>
      <c r="B319" s="393"/>
      <c r="C319" s="392"/>
      <c r="D319" s="392"/>
      <c r="E319" s="392"/>
      <c r="F319" s="392"/>
      <c r="G319" s="392"/>
      <c r="H319" s="394"/>
    </row>
    <row r="320">
      <c r="A320" s="395"/>
      <c r="B320" s="393"/>
      <c r="C320" s="392"/>
      <c r="D320" s="392"/>
      <c r="E320" s="392"/>
      <c r="F320" s="392"/>
      <c r="G320" s="392"/>
      <c r="H320" s="394"/>
    </row>
    <row r="321">
      <c r="A321" s="395"/>
      <c r="B321" s="393"/>
      <c r="C321" s="392"/>
      <c r="D321" s="392"/>
      <c r="E321" s="392"/>
      <c r="F321" s="392"/>
      <c r="G321" s="392"/>
      <c r="H321" s="394"/>
    </row>
    <row r="322">
      <c r="A322" s="395"/>
      <c r="B322" s="393"/>
      <c r="C322" s="392"/>
      <c r="D322" s="392"/>
      <c r="E322" s="392"/>
      <c r="F322" s="392"/>
      <c r="G322" s="392"/>
      <c r="H322" s="394"/>
    </row>
    <row r="323">
      <c r="A323" s="395"/>
      <c r="B323" s="393"/>
      <c r="C323" s="392"/>
      <c r="D323" s="392"/>
      <c r="E323" s="392"/>
      <c r="F323" s="392"/>
      <c r="G323" s="392"/>
      <c r="H323" s="394"/>
    </row>
    <row r="324">
      <c r="A324" s="395"/>
      <c r="B324" s="393"/>
      <c r="C324" s="392"/>
      <c r="D324" s="392"/>
      <c r="E324" s="392"/>
      <c r="F324" s="392"/>
      <c r="G324" s="392"/>
      <c r="H324" s="394"/>
    </row>
    <row r="325">
      <c r="A325" s="395"/>
      <c r="B325" s="393"/>
      <c r="C325" s="392"/>
      <c r="D325" s="392"/>
      <c r="E325" s="392"/>
      <c r="F325" s="392"/>
      <c r="G325" s="392"/>
      <c r="H325" s="394"/>
    </row>
    <row r="326">
      <c r="A326" s="395"/>
      <c r="B326" s="393"/>
      <c r="C326" s="392"/>
      <c r="D326" s="392"/>
      <c r="E326" s="392"/>
      <c r="F326" s="392"/>
      <c r="G326" s="392"/>
      <c r="H326" s="394"/>
    </row>
    <row r="327">
      <c r="A327" s="395"/>
      <c r="B327" s="393"/>
      <c r="C327" s="392"/>
      <c r="D327" s="392"/>
      <c r="E327" s="392"/>
      <c r="F327" s="392"/>
      <c r="G327" s="392"/>
      <c r="H327" s="394"/>
    </row>
    <row r="328">
      <c r="A328" s="395"/>
      <c r="B328" s="393"/>
      <c r="C328" s="392"/>
      <c r="D328" s="392"/>
      <c r="E328" s="392"/>
      <c r="F328" s="392"/>
      <c r="G328" s="392"/>
      <c r="H328" s="394"/>
    </row>
    <row r="329">
      <c r="A329" s="395"/>
      <c r="B329" s="393"/>
      <c r="C329" s="392"/>
      <c r="D329" s="392"/>
      <c r="E329" s="392"/>
      <c r="F329" s="392"/>
      <c r="G329" s="392"/>
      <c r="H329" s="394"/>
    </row>
    <row r="330">
      <c r="A330" s="395"/>
      <c r="B330" s="393"/>
      <c r="C330" s="392"/>
      <c r="D330" s="392"/>
      <c r="E330" s="392"/>
      <c r="F330" s="392"/>
      <c r="G330" s="392"/>
      <c r="H330" s="394"/>
    </row>
    <row r="331">
      <c r="A331" s="395"/>
      <c r="B331" s="393"/>
      <c r="C331" s="392"/>
      <c r="D331" s="392"/>
      <c r="E331" s="392"/>
      <c r="F331" s="392"/>
      <c r="G331" s="392"/>
      <c r="H331" s="394"/>
    </row>
    <row r="332">
      <c r="A332" s="395"/>
      <c r="B332" s="393"/>
      <c r="C332" s="392"/>
      <c r="D332" s="392"/>
      <c r="E332" s="392"/>
      <c r="F332" s="392"/>
      <c r="G332" s="392"/>
      <c r="H332" s="394"/>
    </row>
    <row r="333">
      <c r="A333" s="395"/>
      <c r="B333" s="393"/>
      <c r="C333" s="392"/>
      <c r="D333" s="392"/>
      <c r="E333" s="392"/>
      <c r="F333" s="392"/>
      <c r="G333" s="392"/>
      <c r="H333" s="394"/>
    </row>
    <row r="334">
      <c r="A334" s="395"/>
      <c r="B334" s="393"/>
      <c r="C334" s="392"/>
      <c r="D334" s="392"/>
      <c r="E334" s="392"/>
      <c r="F334" s="392"/>
      <c r="G334" s="392"/>
      <c r="H334" s="394"/>
    </row>
    <row r="335">
      <c r="A335" s="395"/>
      <c r="B335" s="393"/>
      <c r="C335" s="392"/>
      <c r="D335" s="392"/>
      <c r="E335" s="392"/>
      <c r="F335" s="392"/>
      <c r="G335" s="392"/>
      <c r="H335" s="394"/>
    </row>
    <row r="336">
      <c r="A336" s="395"/>
      <c r="B336" s="393"/>
      <c r="C336" s="392"/>
      <c r="D336" s="392"/>
      <c r="E336" s="392"/>
      <c r="F336" s="392"/>
      <c r="G336" s="392"/>
      <c r="H336" s="394"/>
    </row>
    <row r="337">
      <c r="A337" s="395"/>
      <c r="B337" s="393"/>
      <c r="C337" s="392"/>
      <c r="D337" s="392"/>
      <c r="E337" s="392"/>
      <c r="F337" s="392"/>
      <c r="G337" s="392"/>
      <c r="H337" s="394"/>
    </row>
    <row r="338">
      <c r="A338" s="395"/>
      <c r="B338" s="393"/>
      <c r="C338" s="392"/>
      <c r="D338" s="392"/>
      <c r="E338" s="392"/>
      <c r="F338" s="392"/>
      <c r="G338" s="392"/>
      <c r="H338" s="394"/>
    </row>
    <row r="339">
      <c r="A339" s="395"/>
      <c r="B339" s="393"/>
      <c r="C339" s="392"/>
      <c r="D339" s="392"/>
      <c r="E339" s="392"/>
      <c r="F339" s="392"/>
      <c r="G339" s="392"/>
      <c r="H339" s="394"/>
    </row>
    <row r="340">
      <c r="A340" s="395"/>
      <c r="B340" s="393"/>
      <c r="C340" s="392"/>
      <c r="D340" s="392"/>
      <c r="E340" s="392"/>
      <c r="F340" s="392"/>
      <c r="G340" s="392"/>
      <c r="H340" s="394"/>
    </row>
    <row r="341">
      <c r="A341" s="395"/>
      <c r="B341" s="393"/>
      <c r="C341" s="392"/>
      <c r="D341" s="392"/>
      <c r="E341" s="392"/>
      <c r="F341" s="392"/>
      <c r="G341" s="392"/>
      <c r="H341" s="394"/>
    </row>
    <row r="342">
      <c r="A342" s="395"/>
      <c r="B342" s="393"/>
      <c r="C342" s="392"/>
      <c r="D342" s="392"/>
      <c r="E342" s="392"/>
      <c r="F342" s="392"/>
      <c r="G342" s="392"/>
      <c r="H342" s="394"/>
    </row>
    <row r="343">
      <c r="A343" s="395"/>
      <c r="B343" s="393"/>
      <c r="C343" s="392"/>
      <c r="D343" s="392"/>
      <c r="E343" s="392"/>
      <c r="F343" s="392"/>
      <c r="G343" s="392"/>
      <c r="H343" s="394"/>
    </row>
    <row r="344">
      <c r="A344" s="395"/>
      <c r="B344" s="393"/>
      <c r="C344" s="392"/>
      <c r="D344" s="392"/>
      <c r="E344" s="392"/>
      <c r="F344" s="392"/>
      <c r="G344" s="392"/>
      <c r="H344" s="394"/>
    </row>
    <row r="345">
      <c r="A345" s="395"/>
      <c r="B345" s="393"/>
      <c r="C345" s="392"/>
      <c r="D345" s="392"/>
      <c r="E345" s="392"/>
      <c r="F345" s="392"/>
      <c r="G345" s="392"/>
      <c r="H345" s="394"/>
    </row>
    <row r="346">
      <c r="A346" s="395"/>
      <c r="B346" s="393"/>
      <c r="C346" s="392"/>
      <c r="D346" s="392"/>
      <c r="E346" s="392"/>
      <c r="F346" s="392"/>
      <c r="G346" s="392"/>
      <c r="H346" s="394"/>
    </row>
    <row r="347">
      <c r="A347" s="395"/>
      <c r="B347" s="393"/>
      <c r="C347" s="392"/>
      <c r="D347" s="392"/>
      <c r="E347" s="392"/>
      <c r="F347" s="392"/>
      <c r="G347" s="392"/>
      <c r="H347" s="394"/>
    </row>
    <row r="348">
      <c r="A348" s="395"/>
      <c r="B348" s="393"/>
      <c r="C348" s="392"/>
      <c r="D348" s="392"/>
      <c r="E348" s="392"/>
      <c r="F348" s="392"/>
      <c r="G348" s="392"/>
      <c r="H348" s="394"/>
    </row>
    <row r="349">
      <c r="A349" s="395"/>
      <c r="B349" s="393"/>
      <c r="C349" s="392"/>
      <c r="D349" s="392"/>
      <c r="E349" s="392"/>
      <c r="F349" s="392"/>
      <c r="G349" s="392"/>
      <c r="H349" s="394"/>
    </row>
    <row r="350">
      <c r="A350" s="395"/>
      <c r="B350" s="393"/>
      <c r="C350" s="392"/>
      <c r="D350" s="392"/>
      <c r="E350" s="392"/>
      <c r="F350" s="392"/>
      <c r="G350" s="392"/>
      <c r="H350" s="394"/>
    </row>
    <row r="351">
      <c r="A351" s="395"/>
      <c r="B351" s="393"/>
      <c r="C351" s="392"/>
      <c r="D351" s="392"/>
      <c r="E351" s="392"/>
      <c r="F351" s="392"/>
      <c r="G351" s="392"/>
      <c r="H351" s="394"/>
    </row>
    <row r="352">
      <c r="A352" s="395"/>
      <c r="B352" s="393"/>
      <c r="C352" s="392"/>
      <c r="D352" s="392"/>
      <c r="E352" s="392"/>
      <c r="F352" s="392"/>
      <c r="G352" s="392"/>
      <c r="H352" s="394"/>
    </row>
    <row r="353">
      <c r="A353" s="395"/>
      <c r="B353" s="393"/>
      <c r="C353" s="392"/>
      <c r="D353" s="392"/>
      <c r="E353" s="392"/>
      <c r="F353" s="392"/>
      <c r="G353" s="392"/>
      <c r="H353" s="394"/>
    </row>
    <row r="354">
      <c r="A354" s="395"/>
      <c r="B354" s="393"/>
      <c r="C354" s="392"/>
      <c r="D354" s="392"/>
      <c r="E354" s="392"/>
      <c r="F354" s="392"/>
      <c r="G354" s="392"/>
      <c r="H354" s="394"/>
    </row>
    <row r="355">
      <c r="A355" s="395"/>
      <c r="B355" s="393"/>
      <c r="C355" s="392"/>
      <c r="D355" s="392"/>
      <c r="E355" s="392"/>
      <c r="F355" s="392"/>
      <c r="G355" s="392"/>
      <c r="H355" s="394"/>
    </row>
    <row r="356">
      <c r="A356" s="395"/>
      <c r="B356" s="393"/>
      <c r="C356" s="392"/>
      <c r="D356" s="392"/>
      <c r="E356" s="392"/>
      <c r="F356" s="392"/>
      <c r="G356" s="392"/>
      <c r="H356" s="394"/>
    </row>
    <row r="357">
      <c r="A357" s="395"/>
      <c r="B357" s="393"/>
      <c r="C357" s="392"/>
      <c r="D357" s="392"/>
      <c r="E357" s="392"/>
      <c r="F357" s="392"/>
      <c r="G357" s="392"/>
      <c r="H357" s="394"/>
    </row>
    <row r="358">
      <c r="A358" s="395"/>
      <c r="B358" s="393"/>
      <c r="C358" s="392"/>
      <c r="D358" s="392"/>
      <c r="E358" s="392"/>
      <c r="F358" s="392"/>
      <c r="G358" s="392"/>
      <c r="H358" s="394"/>
    </row>
    <row r="359">
      <c r="A359" s="395"/>
      <c r="B359" s="393"/>
      <c r="C359" s="392"/>
      <c r="D359" s="392"/>
      <c r="E359" s="392"/>
      <c r="F359" s="392"/>
      <c r="G359" s="392"/>
      <c r="H359" s="394"/>
    </row>
    <row r="360">
      <c r="A360" s="395"/>
      <c r="B360" s="393"/>
      <c r="C360" s="392"/>
      <c r="D360" s="392"/>
      <c r="E360" s="392"/>
      <c r="F360" s="392"/>
      <c r="G360" s="392"/>
      <c r="H360" s="394"/>
    </row>
    <row r="361">
      <c r="A361" s="395"/>
      <c r="B361" s="393"/>
      <c r="C361" s="392"/>
      <c r="D361" s="392"/>
      <c r="E361" s="392"/>
      <c r="F361" s="392"/>
      <c r="G361" s="392"/>
      <c r="H361" s="394"/>
    </row>
    <row r="362">
      <c r="A362" s="395"/>
      <c r="B362" s="393"/>
      <c r="C362" s="392"/>
      <c r="D362" s="392"/>
      <c r="E362" s="392"/>
      <c r="F362" s="392"/>
      <c r="G362" s="392"/>
      <c r="H362" s="394"/>
    </row>
    <row r="363">
      <c r="A363" s="395"/>
      <c r="B363" s="393"/>
      <c r="C363" s="392"/>
      <c r="D363" s="392"/>
      <c r="E363" s="392"/>
      <c r="F363" s="392"/>
      <c r="G363" s="392"/>
      <c r="H363" s="394"/>
    </row>
    <row r="364">
      <c r="A364" s="395"/>
      <c r="B364" s="393"/>
      <c r="C364" s="392"/>
      <c r="D364" s="392"/>
      <c r="E364" s="392"/>
      <c r="F364" s="392"/>
      <c r="G364" s="392"/>
      <c r="H364" s="394"/>
    </row>
    <row r="365">
      <c r="A365" s="395"/>
      <c r="B365" s="393"/>
      <c r="C365" s="392"/>
      <c r="D365" s="392"/>
      <c r="E365" s="392"/>
      <c r="F365" s="392"/>
      <c r="G365" s="392"/>
      <c r="H365" s="394"/>
    </row>
    <row r="366">
      <c r="A366" s="395"/>
      <c r="B366" s="393"/>
      <c r="C366" s="392"/>
      <c r="D366" s="392"/>
      <c r="E366" s="392"/>
      <c r="F366" s="392"/>
      <c r="G366" s="392"/>
      <c r="H366" s="394"/>
    </row>
    <row r="367">
      <c r="A367" s="395"/>
      <c r="B367" s="393"/>
      <c r="C367" s="392"/>
      <c r="D367" s="392"/>
      <c r="E367" s="392"/>
      <c r="F367" s="392"/>
      <c r="G367" s="392"/>
      <c r="H367" s="394"/>
    </row>
    <row r="368">
      <c r="A368" s="395"/>
      <c r="B368" s="393"/>
      <c r="C368" s="392"/>
      <c r="D368" s="392"/>
      <c r="E368" s="392"/>
      <c r="F368" s="392"/>
      <c r="G368" s="392"/>
      <c r="H368" s="394"/>
    </row>
    <row r="369">
      <c r="A369" s="395"/>
      <c r="B369" s="393"/>
      <c r="C369" s="392"/>
      <c r="D369" s="392"/>
      <c r="E369" s="392"/>
      <c r="F369" s="392"/>
      <c r="G369" s="392"/>
      <c r="H369" s="394"/>
    </row>
    <row r="370">
      <c r="A370" s="395"/>
      <c r="B370" s="393"/>
      <c r="C370" s="392"/>
      <c r="D370" s="392"/>
      <c r="E370" s="392"/>
      <c r="F370" s="392"/>
      <c r="G370" s="392"/>
      <c r="H370" s="394"/>
    </row>
    <row r="371">
      <c r="A371" s="395"/>
      <c r="B371" s="393"/>
      <c r="C371" s="392"/>
      <c r="D371" s="392"/>
      <c r="E371" s="392"/>
      <c r="F371" s="392"/>
      <c r="G371" s="392"/>
      <c r="H371" s="394"/>
    </row>
    <row r="372">
      <c r="A372" s="395"/>
      <c r="B372" s="393"/>
      <c r="C372" s="392"/>
      <c r="D372" s="392"/>
      <c r="E372" s="392"/>
      <c r="F372" s="392"/>
      <c r="G372" s="392"/>
      <c r="H372" s="394"/>
    </row>
    <row r="373">
      <c r="A373" s="395"/>
      <c r="B373" s="393"/>
      <c r="C373" s="392"/>
      <c r="D373" s="392"/>
      <c r="E373" s="392"/>
      <c r="F373" s="392"/>
      <c r="G373" s="392"/>
      <c r="H373" s="394"/>
    </row>
    <row r="374">
      <c r="A374" s="395"/>
      <c r="B374" s="393"/>
      <c r="C374" s="392"/>
      <c r="D374" s="392"/>
      <c r="E374" s="392"/>
      <c r="F374" s="392"/>
      <c r="G374" s="392"/>
      <c r="H374" s="394"/>
    </row>
    <row r="375">
      <c r="A375" s="395"/>
      <c r="B375" s="393"/>
      <c r="C375" s="392"/>
      <c r="D375" s="392"/>
      <c r="E375" s="392"/>
      <c r="F375" s="392"/>
      <c r="G375" s="392"/>
      <c r="H375" s="394"/>
    </row>
    <row r="376">
      <c r="A376" s="395"/>
      <c r="B376" s="393"/>
      <c r="C376" s="392"/>
      <c r="D376" s="392"/>
      <c r="E376" s="392"/>
      <c r="F376" s="392"/>
      <c r="G376" s="392"/>
      <c r="H376" s="394"/>
    </row>
    <row r="377">
      <c r="A377" s="395"/>
      <c r="B377" s="393"/>
      <c r="C377" s="392"/>
      <c r="D377" s="392"/>
      <c r="E377" s="392"/>
      <c r="F377" s="392"/>
      <c r="G377" s="392"/>
      <c r="H377" s="394"/>
    </row>
    <row r="378">
      <c r="A378" s="395"/>
      <c r="B378" s="393"/>
      <c r="C378" s="392"/>
      <c r="D378" s="392"/>
      <c r="E378" s="392"/>
      <c r="F378" s="392"/>
      <c r="G378" s="392"/>
      <c r="H378" s="394"/>
    </row>
    <row r="379">
      <c r="A379" s="395"/>
      <c r="B379" s="393"/>
      <c r="C379" s="392"/>
      <c r="D379" s="392"/>
      <c r="E379" s="392"/>
      <c r="F379" s="392"/>
      <c r="G379" s="392"/>
      <c r="H379" s="394"/>
    </row>
    <row r="380">
      <c r="A380" s="395"/>
      <c r="B380" s="393"/>
      <c r="C380" s="392"/>
      <c r="D380" s="392"/>
      <c r="E380" s="392"/>
      <c r="F380" s="392"/>
      <c r="G380" s="392"/>
      <c r="H380" s="394"/>
    </row>
    <row r="381">
      <c r="A381" s="395"/>
      <c r="B381" s="393"/>
      <c r="C381" s="392"/>
      <c r="D381" s="392"/>
      <c r="E381" s="392"/>
      <c r="F381" s="392"/>
      <c r="G381" s="392"/>
      <c r="H381" s="394"/>
    </row>
    <row r="382">
      <c r="A382" s="395"/>
      <c r="B382" s="393"/>
      <c r="C382" s="392"/>
      <c r="D382" s="392"/>
      <c r="E382" s="392"/>
      <c r="F382" s="392"/>
      <c r="G382" s="392"/>
      <c r="H382" s="394"/>
    </row>
    <row r="383">
      <c r="A383" s="395"/>
      <c r="B383" s="393"/>
      <c r="C383" s="392"/>
      <c r="D383" s="392"/>
      <c r="E383" s="392"/>
      <c r="F383" s="392"/>
      <c r="G383" s="392"/>
      <c r="H383" s="394"/>
    </row>
    <row r="384">
      <c r="A384" s="395"/>
      <c r="B384" s="393"/>
      <c r="C384" s="392"/>
      <c r="D384" s="392"/>
      <c r="E384" s="392"/>
      <c r="F384" s="392"/>
      <c r="G384" s="392"/>
      <c r="H384" s="394"/>
    </row>
    <row r="385">
      <c r="A385" s="395"/>
      <c r="B385" s="393"/>
      <c r="C385" s="392"/>
      <c r="D385" s="392"/>
      <c r="E385" s="392"/>
      <c r="F385" s="392"/>
      <c r="G385" s="392"/>
      <c r="H385" s="394"/>
    </row>
    <row r="386">
      <c r="A386" s="395"/>
      <c r="B386" s="393"/>
      <c r="C386" s="392"/>
      <c r="D386" s="392"/>
      <c r="E386" s="392"/>
      <c r="F386" s="392"/>
      <c r="G386" s="392"/>
      <c r="H386" s="394"/>
    </row>
    <row r="387">
      <c r="A387" s="395"/>
      <c r="B387" s="393"/>
      <c r="C387" s="392"/>
      <c r="D387" s="392"/>
      <c r="E387" s="392"/>
      <c r="F387" s="392"/>
      <c r="G387" s="392"/>
      <c r="H387" s="394"/>
    </row>
    <row r="388">
      <c r="A388" s="395"/>
      <c r="B388" s="393"/>
      <c r="C388" s="392"/>
      <c r="D388" s="392"/>
      <c r="E388" s="392"/>
      <c r="F388" s="392"/>
      <c r="G388" s="392"/>
      <c r="H388" s="394"/>
    </row>
    <row r="389">
      <c r="A389" s="395"/>
      <c r="B389" s="393"/>
      <c r="C389" s="392"/>
      <c r="D389" s="392"/>
      <c r="E389" s="392"/>
      <c r="F389" s="392"/>
      <c r="G389" s="392"/>
      <c r="H389" s="394"/>
    </row>
    <row r="390">
      <c r="A390" s="395"/>
      <c r="B390" s="393"/>
      <c r="C390" s="392"/>
      <c r="D390" s="392"/>
      <c r="E390" s="392"/>
      <c r="F390" s="392"/>
      <c r="G390" s="392"/>
      <c r="H390" s="394"/>
    </row>
    <row r="391">
      <c r="A391" s="395"/>
      <c r="B391" s="393"/>
      <c r="C391" s="392"/>
      <c r="D391" s="392"/>
      <c r="E391" s="392"/>
      <c r="F391" s="392"/>
      <c r="G391" s="392"/>
      <c r="H391" s="394"/>
    </row>
    <row r="392">
      <c r="A392" s="395"/>
      <c r="B392" s="393"/>
      <c r="C392" s="392"/>
      <c r="D392" s="392"/>
      <c r="E392" s="392"/>
      <c r="F392" s="392"/>
      <c r="G392" s="392"/>
      <c r="H392" s="394"/>
    </row>
    <row r="393">
      <c r="A393" s="395"/>
      <c r="B393" s="393"/>
      <c r="C393" s="392"/>
      <c r="D393" s="392"/>
      <c r="E393" s="392"/>
      <c r="F393" s="392"/>
      <c r="G393" s="392"/>
      <c r="H393" s="394"/>
    </row>
    <row r="394">
      <c r="A394" s="395"/>
      <c r="B394" s="393"/>
      <c r="C394" s="392"/>
      <c r="D394" s="392"/>
      <c r="E394" s="392"/>
      <c r="F394" s="392"/>
      <c r="G394" s="392"/>
      <c r="H394" s="394"/>
    </row>
    <row r="395">
      <c r="A395" s="395"/>
      <c r="B395" s="393"/>
      <c r="C395" s="392"/>
      <c r="D395" s="392"/>
      <c r="E395" s="392"/>
      <c r="F395" s="392"/>
      <c r="G395" s="392"/>
      <c r="H395" s="394"/>
    </row>
    <row r="396">
      <c r="A396" s="395"/>
      <c r="B396" s="393"/>
      <c r="C396" s="392"/>
      <c r="D396" s="392"/>
      <c r="E396" s="392"/>
      <c r="F396" s="392"/>
      <c r="G396" s="392"/>
      <c r="H396" s="394"/>
    </row>
    <row r="397">
      <c r="A397" s="395"/>
      <c r="B397" s="393"/>
      <c r="C397" s="392"/>
      <c r="D397" s="392"/>
      <c r="E397" s="392"/>
      <c r="F397" s="392"/>
      <c r="G397" s="392"/>
      <c r="H397" s="394"/>
    </row>
    <row r="398">
      <c r="A398" s="395"/>
      <c r="B398" s="393"/>
      <c r="C398" s="392"/>
      <c r="D398" s="392"/>
      <c r="E398" s="392"/>
      <c r="F398" s="392"/>
      <c r="G398" s="392"/>
      <c r="H398" s="394"/>
    </row>
    <row r="399">
      <c r="A399" s="395"/>
      <c r="B399" s="393"/>
      <c r="C399" s="392"/>
      <c r="D399" s="392"/>
      <c r="E399" s="392"/>
      <c r="F399" s="392"/>
      <c r="G399" s="392"/>
      <c r="H399" s="394"/>
    </row>
    <row r="400">
      <c r="A400" s="395"/>
      <c r="B400" s="393"/>
      <c r="C400" s="392"/>
      <c r="D400" s="392"/>
      <c r="E400" s="392"/>
      <c r="F400" s="392"/>
      <c r="G400" s="392"/>
      <c r="H400" s="394"/>
    </row>
    <row r="401">
      <c r="A401" s="395"/>
      <c r="B401" s="393"/>
      <c r="C401" s="392"/>
      <c r="D401" s="392"/>
      <c r="E401" s="392"/>
      <c r="F401" s="392"/>
      <c r="G401" s="392"/>
      <c r="H401" s="394"/>
    </row>
    <row r="402">
      <c r="A402" s="395"/>
      <c r="B402" s="393"/>
      <c r="C402" s="392"/>
      <c r="D402" s="392"/>
      <c r="E402" s="392"/>
      <c r="F402" s="392"/>
      <c r="G402" s="392"/>
      <c r="H402" s="394"/>
    </row>
    <row r="403">
      <c r="A403" s="395"/>
      <c r="B403" s="393"/>
      <c r="C403" s="392"/>
      <c r="D403" s="392"/>
      <c r="E403" s="392"/>
      <c r="F403" s="392"/>
      <c r="G403" s="392"/>
      <c r="H403" s="394"/>
    </row>
    <row r="404">
      <c r="A404" s="395"/>
      <c r="B404" s="393"/>
      <c r="C404" s="392"/>
      <c r="D404" s="392"/>
      <c r="E404" s="392"/>
      <c r="F404" s="392"/>
      <c r="G404" s="392"/>
      <c r="H404" s="394"/>
    </row>
    <row r="405">
      <c r="A405" s="395"/>
      <c r="B405" s="393"/>
      <c r="C405" s="392"/>
      <c r="D405" s="392"/>
      <c r="E405" s="392"/>
      <c r="F405" s="392"/>
      <c r="G405" s="392"/>
      <c r="H405" s="394"/>
    </row>
    <row r="406">
      <c r="A406" s="395"/>
      <c r="B406" s="393"/>
      <c r="C406" s="392"/>
      <c r="D406" s="392"/>
      <c r="E406" s="392"/>
      <c r="F406" s="392"/>
      <c r="G406" s="392"/>
      <c r="H406" s="394"/>
    </row>
    <row r="407">
      <c r="A407" s="395"/>
      <c r="B407" s="393"/>
      <c r="C407" s="392"/>
      <c r="D407" s="392"/>
      <c r="E407" s="392"/>
      <c r="F407" s="392"/>
      <c r="G407" s="392"/>
      <c r="H407" s="394"/>
    </row>
    <row r="408">
      <c r="A408" s="395"/>
      <c r="B408" s="393"/>
      <c r="C408" s="392"/>
      <c r="D408" s="392"/>
      <c r="E408" s="392"/>
      <c r="F408" s="392"/>
      <c r="G408" s="392"/>
      <c r="H408" s="394"/>
    </row>
    <row r="409">
      <c r="A409" s="395"/>
      <c r="B409" s="393"/>
      <c r="C409" s="392"/>
      <c r="D409" s="392"/>
      <c r="E409" s="392"/>
      <c r="F409" s="392"/>
      <c r="G409" s="392"/>
      <c r="H409" s="394"/>
    </row>
    <row r="410">
      <c r="A410" s="395"/>
      <c r="B410" s="393"/>
      <c r="C410" s="392"/>
      <c r="D410" s="392"/>
      <c r="E410" s="392"/>
      <c r="F410" s="392"/>
      <c r="G410" s="392"/>
      <c r="H410" s="394"/>
    </row>
    <row r="411">
      <c r="A411" s="395"/>
      <c r="B411" s="393"/>
      <c r="C411" s="392"/>
      <c r="D411" s="392"/>
      <c r="E411" s="392"/>
      <c r="F411" s="392"/>
      <c r="G411" s="392"/>
      <c r="H411" s="394"/>
    </row>
    <row r="412">
      <c r="A412" s="395"/>
      <c r="B412" s="393"/>
      <c r="C412" s="392"/>
      <c r="D412" s="392"/>
      <c r="E412" s="392"/>
      <c r="F412" s="392"/>
      <c r="G412" s="392"/>
      <c r="H412" s="394"/>
    </row>
    <row r="413">
      <c r="A413" s="395"/>
      <c r="B413" s="393"/>
      <c r="C413" s="392"/>
      <c r="D413" s="392"/>
      <c r="E413" s="392"/>
      <c r="F413" s="392"/>
      <c r="G413" s="392"/>
      <c r="H413" s="394"/>
    </row>
    <row r="414">
      <c r="A414" s="395"/>
      <c r="B414" s="393"/>
      <c r="C414" s="392"/>
      <c r="D414" s="392"/>
      <c r="E414" s="392"/>
      <c r="F414" s="392"/>
      <c r="G414" s="392"/>
      <c r="H414" s="394"/>
    </row>
    <row r="415">
      <c r="A415" s="395"/>
      <c r="B415" s="393"/>
      <c r="C415" s="392"/>
      <c r="D415" s="392"/>
      <c r="E415" s="392"/>
      <c r="F415" s="392"/>
      <c r="G415" s="392"/>
      <c r="H415" s="394"/>
    </row>
    <row r="416">
      <c r="A416" s="395"/>
      <c r="B416" s="393"/>
      <c r="C416" s="392"/>
      <c r="D416" s="392"/>
      <c r="E416" s="392"/>
      <c r="F416" s="392"/>
      <c r="G416" s="392"/>
      <c r="H416" s="394"/>
    </row>
    <row r="417">
      <c r="A417" s="395"/>
      <c r="B417" s="393"/>
      <c r="C417" s="392"/>
      <c r="D417" s="392"/>
      <c r="E417" s="392"/>
      <c r="F417" s="392"/>
      <c r="G417" s="392"/>
      <c r="H417" s="394"/>
    </row>
    <row r="418">
      <c r="A418" s="395"/>
      <c r="B418" s="393"/>
      <c r="C418" s="392"/>
      <c r="D418" s="392"/>
      <c r="E418" s="392"/>
      <c r="F418" s="392"/>
      <c r="G418" s="392"/>
      <c r="H418" s="394"/>
    </row>
    <row r="419">
      <c r="A419" s="395"/>
      <c r="B419" s="393"/>
      <c r="C419" s="392"/>
      <c r="D419" s="392"/>
      <c r="E419" s="392"/>
      <c r="F419" s="392"/>
      <c r="G419" s="392"/>
      <c r="H419" s="394"/>
    </row>
    <row r="420">
      <c r="A420" s="395"/>
      <c r="B420" s="393"/>
      <c r="C420" s="392"/>
      <c r="D420" s="392"/>
      <c r="E420" s="392"/>
      <c r="F420" s="392"/>
      <c r="G420" s="392"/>
      <c r="H420" s="394"/>
    </row>
    <row r="421">
      <c r="A421" s="395"/>
      <c r="B421" s="393"/>
      <c r="C421" s="392"/>
      <c r="D421" s="392"/>
      <c r="E421" s="392"/>
      <c r="F421" s="392"/>
      <c r="G421" s="392"/>
      <c r="H421" s="394"/>
    </row>
    <row r="422">
      <c r="A422" s="395"/>
      <c r="B422" s="393"/>
      <c r="C422" s="392"/>
      <c r="D422" s="392"/>
      <c r="E422" s="392"/>
      <c r="F422" s="392"/>
      <c r="G422" s="392"/>
      <c r="H422" s="394"/>
    </row>
    <row r="423">
      <c r="A423" s="395"/>
      <c r="B423" s="393"/>
      <c r="C423" s="392"/>
      <c r="D423" s="392"/>
      <c r="E423" s="392"/>
      <c r="F423" s="392"/>
      <c r="G423" s="392"/>
      <c r="H423" s="394"/>
    </row>
    <row r="424">
      <c r="A424" s="395"/>
      <c r="B424" s="393"/>
      <c r="C424" s="392"/>
      <c r="D424" s="392"/>
      <c r="E424" s="392"/>
      <c r="F424" s="392"/>
      <c r="G424" s="392"/>
      <c r="H424" s="394"/>
    </row>
    <row r="425">
      <c r="A425" s="395"/>
      <c r="B425" s="393"/>
      <c r="C425" s="392"/>
      <c r="D425" s="392"/>
      <c r="E425" s="392"/>
      <c r="F425" s="392"/>
      <c r="G425" s="392"/>
      <c r="H425" s="394"/>
    </row>
    <row r="426">
      <c r="A426" s="395"/>
      <c r="B426" s="393"/>
      <c r="C426" s="392"/>
      <c r="D426" s="392"/>
      <c r="E426" s="392"/>
      <c r="F426" s="392"/>
      <c r="G426" s="392"/>
      <c r="H426" s="394"/>
    </row>
    <row r="427">
      <c r="A427" s="395"/>
      <c r="B427" s="393"/>
      <c r="C427" s="392"/>
      <c r="D427" s="392"/>
      <c r="E427" s="392"/>
      <c r="F427" s="392"/>
      <c r="G427" s="392"/>
      <c r="H427" s="394"/>
    </row>
    <row r="428">
      <c r="A428" s="395"/>
      <c r="B428" s="393"/>
      <c r="C428" s="392"/>
      <c r="D428" s="392"/>
      <c r="E428" s="392"/>
      <c r="F428" s="392"/>
      <c r="G428" s="392"/>
      <c r="H428" s="394"/>
    </row>
    <row r="429">
      <c r="A429" s="395"/>
      <c r="B429" s="393"/>
      <c r="C429" s="392"/>
      <c r="D429" s="392"/>
      <c r="E429" s="392"/>
      <c r="F429" s="392"/>
      <c r="G429" s="392"/>
      <c r="H429" s="394"/>
    </row>
    <row r="430">
      <c r="A430" s="395"/>
      <c r="B430" s="393"/>
      <c r="C430" s="392"/>
      <c r="D430" s="392"/>
      <c r="E430" s="392"/>
      <c r="F430" s="392"/>
      <c r="G430" s="392"/>
      <c r="H430" s="394"/>
    </row>
    <row r="431">
      <c r="A431" s="395"/>
      <c r="B431" s="393"/>
      <c r="C431" s="392"/>
      <c r="D431" s="392"/>
      <c r="E431" s="392"/>
      <c r="F431" s="392"/>
      <c r="G431" s="392"/>
      <c r="H431" s="394"/>
    </row>
    <row r="432">
      <c r="A432" s="395"/>
      <c r="B432" s="393"/>
      <c r="C432" s="392"/>
      <c r="D432" s="392"/>
      <c r="E432" s="392"/>
      <c r="F432" s="392"/>
      <c r="G432" s="392"/>
      <c r="H432" s="394"/>
    </row>
    <row r="433">
      <c r="A433" s="395"/>
      <c r="B433" s="393"/>
      <c r="C433" s="392"/>
      <c r="D433" s="392"/>
      <c r="E433" s="392"/>
      <c r="F433" s="392"/>
      <c r="G433" s="392"/>
      <c r="H433" s="394"/>
    </row>
    <row r="434">
      <c r="A434" s="395"/>
      <c r="B434" s="393"/>
      <c r="C434" s="392"/>
      <c r="D434" s="392"/>
      <c r="E434" s="392"/>
      <c r="F434" s="392"/>
      <c r="G434" s="392"/>
      <c r="H434" s="394"/>
    </row>
    <row r="435">
      <c r="A435" s="395"/>
      <c r="B435" s="393"/>
      <c r="C435" s="392"/>
      <c r="D435" s="392"/>
      <c r="E435" s="392"/>
      <c r="F435" s="392"/>
      <c r="G435" s="392"/>
      <c r="H435" s="394"/>
    </row>
    <row r="436">
      <c r="A436" s="395"/>
      <c r="B436" s="393"/>
      <c r="C436" s="392"/>
      <c r="D436" s="392"/>
      <c r="E436" s="392"/>
      <c r="F436" s="392"/>
      <c r="G436" s="392"/>
      <c r="H436" s="394"/>
    </row>
    <row r="437">
      <c r="A437" s="395"/>
      <c r="B437" s="393"/>
      <c r="C437" s="392"/>
      <c r="D437" s="392"/>
      <c r="E437" s="392"/>
      <c r="F437" s="392"/>
      <c r="G437" s="392"/>
      <c r="H437" s="394"/>
    </row>
    <row r="438">
      <c r="A438" s="395"/>
      <c r="B438" s="393"/>
      <c r="C438" s="392"/>
      <c r="D438" s="392"/>
      <c r="E438" s="392"/>
      <c r="F438" s="392"/>
      <c r="G438" s="392"/>
      <c r="H438" s="394"/>
    </row>
    <row r="439">
      <c r="A439" s="395"/>
      <c r="B439" s="393"/>
      <c r="C439" s="392"/>
      <c r="D439" s="392"/>
      <c r="E439" s="392"/>
      <c r="F439" s="392"/>
      <c r="G439" s="392"/>
      <c r="H439" s="394"/>
    </row>
    <row r="440">
      <c r="A440" s="395"/>
      <c r="B440" s="393"/>
      <c r="C440" s="392"/>
      <c r="D440" s="392"/>
      <c r="E440" s="392"/>
      <c r="F440" s="392"/>
      <c r="G440" s="392"/>
      <c r="H440" s="394"/>
    </row>
    <row r="441">
      <c r="A441" s="395"/>
      <c r="B441" s="393"/>
      <c r="C441" s="392"/>
      <c r="D441" s="392"/>
      <c r="E441" s="392"/>
      <c r="F441" s="392"/>
      <c r="G441" s="392"/>
      <c r="H441" s="394"/>
    </row>
    <row r="442">
      <c r="A442" s="395"/>
      <c r="B442" s="393"/>
      <c r="C442" s="392"/>
      <c r="D442" s="392"/>
      <c r="E442" s="392"/>
      <c r="F442" s="392"/>
      <c r="G442" s="392"/>
      <c r="H442" s="394"/>
    </row>
    <row r="443">
      <c r="A443" s="395"/>
      <c r="B443" s="393"/>
      <c r="C443" s="392"/>
      <c r="D443" s="392"/>
      <c r="E443" s="392"/>
      <c r="F443" s="392"/>
      <c r="G443" s="392"/>
      <c r="H443" s="394"/>
    </row>
    <row r="444">
      <c r="A444" s="395"/>
      <c r="B444" s="393"/>
      <c r="C444" s="392"/>
      <c r="D444" s="392"/>
      <c r="E444" s="392"/>
      <c r="F444" s="392"/>
      <c r="G444" s="392"/>
      <c r="H444" s="394"/>
    </row>
    <row r="445">
      <c r="A445" s="395"/>
      <c r="B445" s="393"/>
      <c r="C445" s="392"/>
      <c r="D445" s="392"/>
      <c r="E445" s="392"/>
      <c r="F445" s="392"/>
      <c r="G445" s="392"/>
      <c r="H445" s="394"/>
    </row>
    <row r="446">
      <c r="A446" s="395"/>
      <c r="B446" s="393"/>
      <c r="C446" s="392"/>
      <c r="D446" s="392"/>
      <c r="E446" s="392"/>
      <c r="F446" s="392"/>
      <c r="G446" s="392"/>
      <c r="H446" s="394"/>
    </row>
    <row r="447">
      <c r="A447" s="395"/>
      <c r="B447" s="393"/>
      <c r="C447" s="392"/>
      <c r="D447" s="392"/>
      <c r="E447" s="392"/>
      <c r="F447" s="392"/>
      <c r="G447" s="392"/>
      <c r="H447" s="394"/>
    </row>
    <row r="448">
      <c r="A448" s="395"/>
      <c r="B448" s="393"/>
      <c r="C448" s="392"/>
      <c r="D448" s="392"/>
      <c r="E448" s="392"/>
      <c r="F448" s="392"/>
      <c r="G448" s="392"/>
      <c r="H448" s="394"/>
    </row>
    <row r="449">
      <c r="A449" s="395"/>
      <c r="B449" s="393"/>
      <c r="C449" s="392"/>
      <c r="D449" s="392"/>
      <c r="E449" s="392"/>
      <c r="F449" s="392"/>
      <c r="G449" s="392"/>
      <c r="H449" s="394"/>
    </row>
    <row r="450">
      <c r="A450" s="395"/>
      <c r="B450" s="393"/>
      <c r="C450" s="392"/>
      <c r="D450" s="392"/>
      <c r="E450" s="392"/>
      <c r="F450" s="392"/>
      <c r="G450" s="392"/>
      <c r="H450" s="394"/>
    </row>
    <row r="451">
      <c r="A451" s="395"/>
      <c r="B451" s="393"/>
      <c r="C451" s="392"/>
      <c r="D451" s="392"/>
      <c r="E451" s="392"/>
      <c r="F451" s="392"/>
      <c r="G451" s="392"/>
      <c r="H451" s="394"/>
    </row>
    <row r="452">
      <c r="A452" s="395"/>
      <c r="B452" s="393"/>
      <c r="C452" s="392"/>
      <c r="D452" s="392"/>
      <c r="E452" s="392"/>
      <c r="F452" s="392"/>
      <c r="G452" s="392"/>
      <c r="H452" s="394"/>
    </row>
    <row r="453">
      <c r="A453" s="395"/>
      <c r="B453" s="393"/>
      <c r="C453" s="392"/>
      <c r="D453" s="392"/>
      <c r="E453" s="392"/>
      <c r="F453" s="392"/>
      <c r="G453" s="392"/>
      <c r="H453" s="394"/>
    </row>
    <row r="454">
      <c r="A454" s="395"/>
      <c r="B454" s="393"/>
      <c r="C454" s="392"/>
      <c r="D454" s="392"/>
      <c r="E454" s="392"/>
      <c r="F454" s="392"/>
      <c r="G454" s="392"/>
      <c r="H454" s="394"/>
    </row>
    <row r="455">
      <c r="A455" s="395"/>
      <c r="B455" s="393"/>
      <c r="C455" s="392"/>
      <c r="D455" s="392"/>
      <c r="E455" s="392"/>
      <c r="F455" s="392"/>
      <c r="G455" s="392"/>
      <c r="H455" s="394"/>
    </row>
    <row r="456">
      <c r="A456" s="395"/>
      <c r="B456" s="393"/>
      <c r="C456" s="392"/>
      <c r="D456" s="392"/>
      <c r="E456" s="392"/>
      <c r="F456" s="392"/>
      <c r="G456" s="392"/>
      <c r="H456" s="394"/>
    </row>
    <row r="457">
      <c r="A457" s="395"/>
      <c r="B457" s="393"/>
      <c r="C457" s="392"/>
      <c r="D457" s="392"/>
      <c r="E457" s="392"/>
      <c r="F457" s="392"/>
      <c r="G457" s="392"/>
      <c r="H457" s="394"/>
    </row>
    <row r="458">
      <c r="A458" s="395"/>
      <c r="B458" s="393"/>
      <c r="C458" s="392"/>
      <c r="D458" s="392"/>
      <c r="E458" s="392"/>
      <c r="F458" s="392"/>
      <c r="G458" s="392"/>
      <c r="H458" s="394"/>
    </row>
    <row r="459">
      <c r="A459" s="395"/>
      <c r="B459" s="393"/>
      <c r="C459" s="392"/>
      <c r="D459" s="392"/>
      <c r="E459" s="392"/>
      <c r="F459" s="392"/>
      <c r="G459" s="392"/>
      <c r="H459" s="394"/>
    </row>
    <row r="460">
      <c r="A460" s="395"/>
      <c r="B460" s="393"/>
      <c r="C460" s="392"/>
      <c r="D460" s="392"/>
      <c r="E460" s="392"/>
      <c r="F460" s="392"/>
      <c r="G460" s="392"/>
      <c r="H460" s="394"/>
    </row>
    <row r="461">
      <c r="A461" s="395"/>
      <c r="B461" s="393"/>
      <c r="C461" s="392"/>
      <c r="D461" s="392"/>
      <c r="E461" s="392"/>
      <c r="F461" s="392"/>
      <c r="G461" s="392"/>
      <c r="H461" s="394"/>
    </row>
    <row r="462">
      <c r="A462" s="395"/>
      <c r="B462" s="393"/>
      <c r="C462" s="392"/>
      <c r="D462" s="392"/>
      <c r="E462" s="392"/>
      <c r="F462" s="392"/>
      <c r="G462" s="392"/>
      <c r="H462" s="394"/>
    </row>
    <row r="463">
      <c r="A463" s="395"/>
      <c r="B463" s="393"/>
      <c r="C463" s="392"/>
      <c r="D463" s="392"/>
      <c r="E463" s="392"/>
      <c r="F463" s="392"/>
      <c r="G463" s="392"/>
      <c r="H463" s="394"/>
    </row>
    <row r="464">
      <c r="A464" s="395"/>
      <c r="B464" s="393"/>
      <c r="C464" s="392"/>
      <c r="D464" s="392"/>
      <c r="E464" s="392"/>
      <c r="F464" s="392"/>
      <c r="G464" s="392"/>
      <c r="H464" s="394"/>
    </row>
    <row r="465">
      <c r="A465" s="395"/>
      <c r="B465" s="393"/>
      <c r="C465" s="392"/>
      <c r="D465" s="392"/>
      <c r="E465" s="392"/>
      <c r="F465" s="392"/>
      <c r="G465" s="392"/>
      <c r="H465" s="394"/>
    </row>
    <row r="466">
      <c r="A466" s="395"/>
      <c r="B466" s="393"/>
      <c r="C466" s="392"/>
      <c r="D466" s="392"/>
      <c r="E466" s="392"/>
      <c r="F466" s="392"/>
      <c r="G466" s="392"/>
      <c r="H466" s="394"/>
    </row>
    <row r="467">
      <c r="A467" s="395"/>
      <c r="B467" s="393"/>
      <c r="C467" s="392"/>
      <c r="D467" s="392"/>
      <c r="E467" s="392"/>
      <c r="F467" s="392"/>
      <c r="G467" s="392"/>
      <c r="H467" s="394"/>
    </row>
    <row r="468">
      <c r="A468" s="395"/>
      <c r="B468" s="393"/>
      <c r="C468" s="392"/>
      <c r="D468" s="392"/>
      <c r="E468" s="392"/>
      <c r="F468" s="392"/>
      <c r="G468" s="392"/>
      <c r="H468" s="394"/>
    </row>
    <row r="469">
      <c r="A469" s="395"/>
      <c r="B469" s="393"/>
      <c r="C469" s="392"/>
      <c r="D469" s="392"/>
      <c r="E469" s="392"/>
      <c r="F469" s="392"/>
      <c r="G469" s="392"/>
      <c r="H469" s="394"/>
    </row>
    <row r="470">
      <c r="A470" s="395"/>
      <c r="B470" s="393"/>
      <c r="C470" s="392"/>
      <c r="D470" s="392"/>
      <c r="E470" s="392"/>
      <c r="F470" s="392"/>
      <c r="G470" s="392"/>
      <c r="H470" s="394"/>
    </row>
    <row r="471">
      <c r="A471" s="395"/>
      <c r="B471" s="393"/>
      <c r="C471" s="392"/>
      <c r="D471" s="392"/>
      <c r="E471" s="392"/>
      <c r="F471" s="392"/>
      <c r="G471" s="392"/>
      <c r="H471" s="394"/>
    </row>
    <row r="472">
      <c r="A472" s="395"/>
      <c r="B472" s="393"/>
      <c r="C472" s="392"/>
      <c r="D472" s="392"/>
      <c r="E472" s="392"/>
      <c r="F472" s="392"/>
      <c r="G472" s="392"/>
      <c r="H472" s="394"/>
    </row>
    <row r="473">
      <c r="A473" s="395"/>
      <c r="B473" s="393"/>
      <c r="C473" s="392"/>
      <c r="D473" s="392"/>
      <c r="E473" s="392"/>
      <c r="F473" s="392"/>
      <c r="G473" s="392"/>
      <c r="H473" s="394"/>
    </row>
    <row r="474">
      <c r="A474" s="395"/>
      <c r="B474" s="393"/>
      <c r="C474" s="392"/>
      <c r="D474" s="392"/>
      <c r="E474" s="392"/>
      <c r="F474" s="392"/>
      <c r="G474" s="392"/>
      <c r="H474" s="394"/>
    </row>
    <row r="475">
      <c r="A475" s="395"/>
      <c r="B475" s="393"/>
      <c r="C475" s="392"/>
      <c r="D475" s="392"/>
      <c r="E475" s="392"/>
      <c r="F475" s="392"/>
      <c r="G475" s="392"/>
      <c r="H475" s="394"/>
    </row>
    <row r="476">
      <c r="A476" s="395"/>
      <c r="B476" s="393"/>
      <c r="C476" s="392"/>
      <c r="D476" s="392"/>
      <c r="E476" s="392"/>
      <c r="F476" s="392"/>
      <c r="G476" s="392"/>
      <c r="H476" s="394"/>
    </row>
    <row r="477">
      <c r="A477" s="395"/>
      <c r="B477" s="393"/>
      <c r="C477" s="392"/>
      <c r="D477" s="392"/>
      <c r="E477" s="392"/>
      <c r="F477" s="392"/>
      <c r="G477" s="392"/>
      <c r="H477" s="394"/>
    </row>
    <row r="478">
      <c r="A478" s="395"/>
      <c r="B478" s="393"/>
      <c r="C478" s="392"/>
      <c r="D478" s="392"/>
      <c r="E478" s="392"/>
      <c r="F478" s="392"/>
      <c r="G478" s="392"/>
      <c r="H478" s="394"/>
    </row>
    <row r="479">
      <c r="A479" s="395"/>
      <c r="B479" s="393"/>
      <c r="C479" s="392"/>
      <c r="D479" s="392"/>
      <c r="E479" s="392"/>
      <c r="F479" s="392"/>
      <c r="G479" s="392"/>
      <c r="H479" s="394"/>
    </row>
    <row r="480">
      <c r="A480" s="395"/>
      <c r="B480" s="393"/>
      <c r="C480" s="392"/>
      <c r="D480" s="392"/>
      <c r="E480" s="392"/>
      <c r="F480" s="392"/>
      <c r="G480" s="392"/>
      <c r="H480" s="394"/>
    </row>
    <row r="481">
      <c r="A481" s="395"/>
      <c r="B481" s="393"/>
      <c r="C481" s="392"/>
      <c r="D481" s="392"/>
      <c r="E481" s="392"/>
      <c r="F481" s="392"/>
      <c r="G481" s="392"/>
      <c r="H481" s="394"/>
    </row>
    <row r="482">
      <c r="A482" s="395"/>
      <c r="B482" s="393"/>
      <c r="C482" s="392"/>
      <c r="D482" s="392"/>
      <c r="E482" s="392"/>
      <c r="F482" s="392"/>
      <c r="G482" s="392"/>
      <c r="H482" s="394"/>
    </row>
    <row r="483">
      <c r="A483" s="395"/>
      <c r="B483" s="393"/>
      <c r="C483" s="392"/>
      <c r="D483" s="392"/>
      <c r="E483" s="392"/>
      <c r="F483" s="392"/>
      <c r="G483" s="392"/>
      <c r="H483" s="394"/>
    </row>
    <row r="484">
      <c r="A484" s="395"/>
      <c r="B484" s="393"/>
      <c r="C484" s="392"/>
      <c r="D484" s="392"/>
      <c r="E484" s="392"/>
      <c r="F484" s="392"/>
      <c r="G484" s="392"/>
      <c r="H484" s="394"/>
    </row>
    <row r="485">
      <c r="A485" s="395"/>
      <c r="B485" s="393"/>
      <c r="C485" s="392"/>
      <c r="D485" s="392"/>
      <c r="E485" s="392"/>
      <c r="F485" s="392"/>
      <c r="G485" s="392"/>
      <c r="H485" s="394"/>
    </row>
    <row r="486">
      <c r="A486" s="395"/>
      <c r="B486" s="393"/>
      <c r="C486" s="392"/>
      <c r="D486" s="392"/>
      <c r="E486" s="392"/>
      <c r="F486" s="392"/>
      <c r="G486" s="392"/>
      <c r="H486" s="394"/>
    </row>
    <row r="487">
      <c r="A487" s="395"/>
      <c r="B487" s="393"/>
      <c r="C487" s="392"/>
      <c r="D487" s="392"/>
      <c r="E487" s="392"/>
      <c r="F487" s="392"/>
      <c r="G487" s="392"/>
      <c r="H487" s="394"/>
    </row>
    <row r="488">
      <c r="A488" s="395"/>
      <c r="B488" s="393"/>
      <c r="C488" s="392"/>
      <c r="D488" s="392"/>
      <c r="E488" s="392"/>
      <c r="F488" s="392"/>
      <c r="G488" s="392"/>
      <c r="H488" s="394"/>
    </row>
    <row r="489">
      <c r="A489" s="395"/>
      <c r="B489" s="393"/>
      <c r="C489" s="392"/>
      <c r="D489" s="392"/>
      <c r="E489" s="392"/>
      <c r="F489" s="392"/>
      <c r="G489" s="392"/>
      <c r="H489" s="394"/>
    </row>
    <row r="490">
      <c r="A490" s="395"/>
      <c r="B490" s="393"/>
      <c r="C490" s="392"/>
      <c r="D490" s="392"/>
      <c r="E490" s="392"/>
      <c r="F490" s="392"/>
      <c r="G490" s="392"/>
      <c r="H490" s="394"/>
    </row>
    <row r="491">
      <c r="A491" s="395"/>
      <c r="B491" s="393"/>
      <c r="C491" s="392"/>
      <c r="D491" s="392"/>
      <c r="E491" s="392"/>
      <c r="F491" s="392"/>
      <c r="G491" s="392"/>
      <c r="H491" s="394"/>
    </row>
    <row r="492">
      <c r="A492" s="395"/>
      <c r="B492" s="393"/>
      <c r="C492" s="392"/>
      <c r="D492" s="392"/>
      <c r="E492" s="392"/>
      <c r="F492" s="392"/>
      <c r="G492" s="392"/>
      <c r="H492" s="394"/>
    </row>
    <row r="493">
      <c r="A493" s="395"/>
      <c r="B493" s="393"/>
      <c r="C493" s="392"/>
      <c r="D493" s="392"/>
      <c r="E493" s="392"/>
      <c r="F493" s="392"/>
      <c r="G493" s="392"/>
      <c r="H493" s="394"/>
    </row>
    <row r="494">
      <c r="A494" s="395"/>
      <c r="B494" s="393"/>
      <c r="C494" s="392"/>
      <c r="D494" s="392"/>
      <c r="E494" s="392"/>
      <c r="F494" s="392"/>
      <c r="G494" s="392"/>
      <c r="H494" s="394"/>
    </row>
    <row r="495">
      <c r="A495" s="395"/>
      <c r="B495" s="393"/>
      <c r="C495" s="392"/>
      <c r="D495" s="392"/>
      <c r="E495" s="392"/>
      <c r="F495" s="392"/>
      <c r="G495" s="392"/>
      <c r="H495" s="394"/>
    </row>
    <row r="496">
      <c r="A496" s="395"/>
      <c r="B496" s="393"/>
      <c r="C496" s="392"/>
      <c r="D496" s="392"/>
      <c r="E496" s="392"/>
      <c r="F496" s="392"/>
      <c r="G496" s="392"/>
      <c r="H496" s="394"/>
    </row>
    <row r="497">
      <c r="A497" s="395"/>
      <c r="B497" s="393"/>
      <c r="C497" s="392"/>
      <c r="D497" s="392"/>
      <c r="E497" s="392"/>
      <c r="F497" s="392"/>
      <c r="G497" s="392"/>
      <c r="H497" s="394"/>
    </row>
    <row r="498">
      <c r="A498" s="395"/>
      <c r="B498" s="393"/>
      <c r="C498" s="392"/>
      <c r="D498" s="392"/>
      <c r="E498" s="392"/>
      <c r="F498" s="392"/>
      <c r="G498" s="392"/>
      <c r="H498" s="394"/>
    </row>
    <row r="499">
      <c r="A499" s="395"/>
      <c r="B499" s="393"/>
      <c r="C499" s="392"/>
      <c r="D499" s="392"/>
      <c r="E499" s="392"/>
      <c r="F499" s="392"/>
      <c r="G499" s="392"/>
      <c r="H499" s="394"/>
    </row>
    <row r="500">
      <c r="A500" s="395"/>
      <c r="B500" s="393"/>
      <c r="C500" s="392"/>
      <c r="D500" s="392"/>
      <c r="E500" s="392"/>
      <c r="F500" s="392"/>
      <c r="G500" s="392"/>
      <c r="H500" s="394"/>
    </row>
    <row r="501">
      <c r="A501" s="395"/>
      <c r="B501" s="393"/>
      <c r="C501" s="392"/>
      <c r="D501" s="392"/>
      <c r="E501" s="392"/>
      <c r="F501" s="392"/>
      <c r="G501" s="392"/>
      <c r="H501" s="394"/>
    </row>
    <row r="502">
      <c r="A502" s="395"/>
      <c r="B502" s="393"/>
      <c r="C502" s="392"/>
      <c r="D502" s="392"/>
      <c r="E502" s="392"/>
      <c r="F502" s="392"/>
      <c r="G502" s="392"/>
      <c r="H502" s="394"/>
    </row>
    <row r="503">
      <c r="A503" s="395"/>
      <c r="B503" s="393"/>
      <c r="C503" s="392"/>
      <c r="D503" s="392"/>
      <c r="E503" s="392"/>
      <c r="F503" s="392"/>
      <c r="G503" s="392"/>
      <c r="H503" s="394"/>
    </row>
    <row r="504">
      <c r="A504" s="395"/>
      <c r="B504" s="393"/>
      <c r="C504" s="392"/>
      <c r="D504" s="392"/>
      <c r="E504" s="392"/>
      <c r="F504" s="392"/>
      <c r="G504" s="392"/>
      <c r="H504" s="394"/>
    </row>
    <row r="505">
      <c r="A505" s="395"/>
      <c r="B505" s="393"/>
      <c r="C505" s="392"/>
      <c r="D505" s="392"/>
      <c r="E505" s="392"/>
      <c r="F505" s="392"/>
      <c r="G505" s="392"/>
      <c r="H505" s="394"/>
    </row>
    <row r="506">
      <c r="A506" s="395"/>
      <c r="B506" s="393"/>
      <c r="C506" s="392"/>
      <c r="D506" s="392"/>
      <c r="E506" s="392"/>
      <c r="F506" s="392"/>
      <c r="G506" s="392"/>
      <c r="H506" s="394"/>
    </row>
    <row r="507">
      <c r="A507" s="395"/>
      <c r="B507" s="393"/>
      <c r="C507" s="392"/>
      <c r="D507" s="392"/>
      <c r="E507" s="392"/>
      <c r="F507" s="392"/>
      <c r="G507" s="392"/>
      <c r="H507" s="394"/>
    </row>
    <row r="508">
      <c r="A508" s="395"/>
      <c r="B508" s="393"/>
      <c r="C508" s="392"/>
      <c r="D508" s="392"/>
      <c r="E508" s="392"/>
      <c r="F508" s="392"/>
      <c r="G508" s="392"/>
      <c r="H508" s="394"/>
    </row>
    <row r="509">
      <c r="A509" s="395"/>
      <c r="B509" s="393"/>
      <c r="C509" s="392"/>
      <c r="D509" s="392"/>
      <c r="E509" s="392"/>
      <c r="F509" s="392"/>
      <c r="G509" s="392"/>
      <c r="H509" s="394"/>
    </row>
    <row r="510">
      <c r="A510" s="395"/>
      <c r="B510" s="393"/>
      <c r="C510" s="392"/>
      <c r="D510" s="392"/>
      <c r="E510" s="392"/>
      <c r="F510" s="392"/>
      <c r="G510" s="392"/>
      <c r="H510" s="394"/>
    </row>
    <row r="511">
      <c r="A511" s="395"/>
      <c r="B511" s="393"/>
      <c r="C511" s="392"/>
      <c r="D511" s="392"/>
      <c r="E511" s="392"/>
      <c r="F511" s="392"/>
      <c r="G511" s="392"/>
      <c r="H511" s="394"/>
    </row>
    <row r="512">
      <c r="A512" s="395"/>
      <c r="B512" s="393"/>
      <c r="C512" s="392"/>
      <c r="D512" s="392"/>
      <c r="E512" s="392"/>
      <c r="F512" s="392"/>
      <c r="G512" s="392"/>
      <c r="H512" s="394"/>
    </row>
    <row r="513">
      <c r="A513" s="395"/>
      <c r="B513" s="393"/>
      <c r="C513" s="392"/>
      <c r="D513" s="392"/>
      <c r="E513" s="392"/>
      <c r="F513" s="392"/>
      <c r="G513" s="392"/>
      <c r="H513" s="394"/>
    </row>
    <row r="514">
      <c r="A514" s="395"/>
      <c r="B514" s="393"/>
      <c r="C514" s="392"/>
      <c r="D514" s="392"/>
      <c r="E514" s="392"/>
      <c r="F514" s="392"/>
      <c r="G514" s="392"/>
      <c r="H514" s="394"/>
    </row>
    <row r="515">
      <c r="A515" s="395"/>
      <c r="B515" s="393"/>
      <c r="C515" s="392"/>
      <c r="D515" s="392"/>
      <c r="E515" s="392"/>
      <c r="F515" s="392"/>
      <c r="G515" s="392"/>
      <c r="H515" s="394"/>
    </row>
    <row r="516">
      <c r="A516" s="395"/>
      <c r="B516" s="393"/>
      <c r="C516" s="392"/>
      <c r="D516" s="392"/>
      <c r="E516" s="392"/>
      <c r="F516" s="392"/>
      <c r="G516" s="392"/>
      <c r="H516" s="394"/>
    </row>
    <row r="517">
      <c r="A517" s="395"/>
      <c r="B517" s="393"/>
      <c r="C517" s="392"/>
      <c r="D517" s="392"/>
      <c r="E517" s="392"/>
      <c r="F517" s="392"/>
      <c r="G517" s="392"/>
      <c r="H517" s="394"/>
    </row>
    <row r="518">
      <c r="A518" s="395"/>
      <c r="B518" s="393"/>
      <c r="C518" s="392"/>
      <c r="D518" s="392"/>
      <c r="E518" s="392"/>
      <c r="F518" s="392"/>
      <c r="G518" s="392"/>
      <c r="H518" s="394"/>
    </row>
    <row r="519">
      <c r="A519" s="395"/>
      <c r="B519" s="393"/>
      <c r="C519" s="392"/>
      <c r="D519" s="392"/>
      <c r="E519" s="392"/>
      <c r="F519" s="392"/>
      <c r="G519" s="392"/>
      <c r="H519" s="394"/>
    </row>
    <row r="520">
      <c r="A520" s="395"/>
      <c r="B520" s="393"/>
      <c r="C520" s="392"/>
      <c r="D520" s="392"/>
      <c r="E520" s="392"/>
      <c r="F520" s="392"/>
      <c r="G520" s="392"/>
      <c r="H520" s="394"/>
    </row>
    <row r="521">
      <c r="A521" s="395"/>
      <c r="B521" s="393"/>
      <c r="C521" s="392"/>
      <c r="D521" s="392"/>
      <c r="E521" s="392"/>
      <c r="F521" s="392"/>
      <c r="G521" s="392"/>
      <c r="H521" s="394"/>
    </row>
    <row r="522">
      <c r="A522" s="395"/>
      <c r="B522" s="393"/>
      <c r="C522" s="392"/>
      <c r="D522" s="392"/>
      <c r="E522" s="392"/>
      <c r="F522" s="392"/>
      <c r="G522" s="392"/>
      <c r="H522" s="394"/>
    </row>
    <row r="523">
      <c r="A523" s="395"/>
      <c r="B523" s="393"/>
      <c r="C523" s="392"/>
      <c r="D523" s="392"/>
      <c r="E523" s="392"/>
      <c r="F523" s="392"/>
      <c r="G523" s="392"/>
      <c r="H523" s="394"/>
    </row>
    <row r="524">
      <c r="A524" s="395"/>
      <c r="B524" s="393"/>
      <c r="C524" s="392"/>
      <c r="D524" s="392"/>
      <c r="E524" s="392"/>
      <c r="F524" s="392"/>
      <c r="G524" s="392"/>
      <c r="H524" s="394"/>
    </row>
    <row r="525">
      <c r="A525" s="395"/>
      <c r="B525" s="393"/>
      <c r="C525" s="392"/>
      <c r="D525" s="392"/>
      <c r="E525" s="392"/>
      <c r="F525" s="392"/>
      <c r="G525" s="392"/>
      <c r="H525" s="394"/>
    </row>
    <row r="526">
      <c r="A526" s="395"/>
      <c r="B526" s="393"/>
      <c r="C526" s="392"/>
      <c r="D526" s="392"/>
      <c r="E526" s="392"/>
      <c r="F526" s="392"/>
      <c r="G526" s="392"/>
      <c r="H526" s="394"/>
    </row>
    <row r="527">
      <c r="A527" s="395"/>
      <c r="B527" s="393"/>
      <c r="C527" s="392"/>
      <c r="D527" s="392"/>
      <c r="E527" s="392"/>
      <c r="F527" s="392"/>
      <c r="G527" s="392"/>
      <c r="H527" s="394"/>
    </row>
    <row r="528">
      <c r="A528" s="395"/>
      <c r="B528" s="393"/>
      <c r="C528" s="392"/>
      <c r="D528" s="392"/>
      <c r="E528" s="392"/>
      <c r="F528" s="392"/>
      <c r="G528" s="392"/>
      <c r="H528" s="394"/>
    </row>
    <row r="529">
      <c r="A529" s="395"/>
      <c r="B529" s="393"/>
      <c r="C529" s="392"/>
      <c r="D529" s="392"/>
      <c r="E529" s="392"/>
      <c r="F529" s="392"/>
      <c r="G529" s="392"/>
      <c r="H529" s="394"/>
    </row>
    <row r="530">
      <c r="A530" s="395"/>
      <c r="B530" s="393"/>
      <c r="C530" s="392"/>
      <c r="D530" s="392"/>
      <c r="E530" s="392"/>
      <c r="F530" s="392"/>
      <c r="G530" s="392"/>
      <c r="H530" s="394"/>
    </row>
    <row r="531">
      <c r="A531" s="395"/>
      <c r="B531" s="393"/>
      <c r="C531" s="392"/>
      <c r="D531" s="392"/>
      <c r="E531" s="392"/>
      <c r="F531" s="392"/>
      <c r="G531" s="392"/>
      <c r="H531" s="394"/>
    </row>
    <row r="532">
      <c r="A532" s="395"/>
      <c r="B532" s="393"/>
      <c r="C532" s="392"/>
      <c r="D532" s="392"/>
      <c r="E532" s="392"/>
      <c r="F532" s="392"/>
      <c r="G532" s="392"/>
      <c r="H532" s="394"/>
    </row>
    <row r="533">
      <c r="A533" s="395"/>
      <c r="B533" s="393"/>
      <c r="C533" s="392"/>
      <c r="D533" s="392"/>
      <c r="E533" s="392"/>
      <c r="F533" s="392"/>
      <c r="G533" s="392"/>
      <c r="H533" s="394"/>
    </row>
    <row r="534">
      <c r="A534" s="395"/>
      <c r="B534" s="393"/>
      <c r="C534" s="392"/>
      <c r="D534" s="392"/>
      <c r="E534" s="392"/>
      <c r="F534" s="392"/>
      <c r="G534" s="392"/>
      <c r="H534" s="394"/>
    </row>
    <row r="535">
      <c r="A535" s="395"/>
      <c r="B535" s="393"/>
      <c r="C535" s="392"/>
      <c r="D535" s="392"/>
      <c r="E535" s="392"/>
      <c r="F535" s="392"/>
      <c r="G535" s="392"/>
      <c r="H535" s="394"/>
    </row>
    <row r="536">
      <c r="A536" s="395"/>
      <c r="B536" s="393"/>
      <c r="C536" s="392"/>
      <c r="D536" s="392"/>
      <c r="E536" s="392"/>
      <c r="F536" s="392"/>
      <c r="G536" s="392"/>
      <c r="H536" s="394"/>
    </row>
    <row r="537">
      <c r="A537" s="395"/>
      <c r="B537" s="393"/>
      <c r="C537" s="392"/>
      <c r="D537" s="392"/>
      <c r="E537" s="392"/>
      <c r="F537" s="392"/>
      <c r="G537" s="392"/>
      <c r="H537" s="394"/>
    </row>
    <row r="538">
      <c r="A538" s="395"/>
      <c r="B538" s="393"/>
      <c r="C538" s="392"/>
      <c r="D538" s="392"/>
      <c r="E538" s="392"/>
      <c r="F538" s="392"/>
      <c r="G538" s="392"/>
      <c r="H538" s="394"/>
    </row>
    <row r="539">
      <c r="A539" s="395"/>
      <c r="B539" s="393"/>
      <c r="C539" s="392"/>
      <c r="D539" s="392"/>
      <c r="E539" s="392"/>
      <c r="F539" s="392"/>
      <c r="G539" s="392"/>
      <c r="H539" s="394"/>
    </row>
    <row r="540">
      <c r="A540" s="395"/>
      <c r="B540" s="393"/>
      <c r="C540" s="392"/>
      <c r="D540" s="392"/>
      <c r="E540" s="392"/>
      <c r="F540" s="392"/>
      <c r="G540" s="392"/>
      <c r="H540" s="394"/>
    </row>
    <row r="541">
      <c r="A541" s="395"/>
      <c r="B541" s="393"/>
      <c r="C541" s="392"/>
      <c r="D541" s="392"/>
      <c r="E541" s="392"/>
      <c r="F541" s="392"/>
      <c r="G541" s="392"/>
      <c r="H541" s="394"/>
    </row>
    <row r="542">
      <c r="A542" s="395"/>
      <c r="B542" s="393"/>
      <c r="C542" s="392"/>
      <c r="D542" s="392"/>
      <c r="E542" s="392"/>
      <c r="F542" s="392"/>
      <c r="G542" s="392"/>
      <c r="H542" s="394"/>
    </row>
    <row r="543">
      <c r="A543" s="395"/>
      <c r="B543" s="393"/>
      <c r="C543" s="392"/>
      <c r="D543" s="392"/>
      <c r="E543" s="392"/>
      <c r="F543" s="392"/>
      <c r="G543" s="392"/>
      <c r="H543" s="394"/>
    </row>
    <row r="544">
      <c r="A544" s="395"/>
      <c r="B544" s="393"/>
      <c r="C544" s="392"/>
      <c r="D544" s="392"/>
      <c r="E544" s="392"/>
      <c r="F544" s="392"/>
      <c r="G544" s="392"/>
      <c r="H544" s="394"/>
    </row>
    <row r="545">
      <c r="A545" s="395"/>
      <c r="B545" s="393"/>
      <c r="C545" s="392"/>
      <c r="D545" s="392"/>
      <c r="E545" s="392"/>
      <c r="F545" s="392"/>
      <c r="G545" s="392"/>
      <c r="H545" s="394"/>
    </row>
    <row r="546">
      <c r="A546" s="395"/>
      <c r="B546" s="393"/>
      <c r="C546" s="392"/>
      <c r="D546" s="392"/>
      <c r="E546" s="392"/>
      <c r="F546" s="392"/>
      <c r="G546" s="392"/>
      <c r="H546" s="394"/>
    </row>
    <row r="547">
      <c r="A547" s="395"/>
      <c r="B547" s="393"/>
      <c r="C547" s="392"/>
      <c r="D547" s="392"/>
      <c r="E547" s="392"/>
      <c r="F547" s="392"/>
      <c r="G547" s="392"/>
      <c r="H547" s="394"/>
    </row>
    <row r="548">
      <c r="A548" s="395"/>
      <c r="B548" s="393"/>
      <c r="C548" s="392"/>
      <c r="D548" s="392"/>
      <c r="E548" s="392"/>
      <c r="F548" s="392"/>
      <c r="G548" s="392"/>
      <c r="H548" s="394"/>
    </row>
    <row r="549">
      <c r="A549" s="395"/>
      <c r="B549" s="393"/>
      <c r="C549" s="392"/>
      <c r="D549" s="392"/>
      <c r="E549" s="392"/>
      <c r="F549" s="392"/>
      <c r="G549" s="392"/>
      <c r="H549" s="394"/>
    </row>
    <row r="550">
      <c r="A550" s="395"/>
      <c r="B550" s="393"/>
      <c r="C550" s="392"/>
      <c r="D550" s="392"/>
      <c r="E550" s="392"/>
      <c r="F550" s="392"/>
      <c r="G550" s="392"/>
      <c r="H550" s="394"/>
    </row>
    <row r="551">
      <c r="A551" s="395"/>
      <c r="B551" s="393"/>
      <c r="C551" s="392"/>
      <c r="D551" s="392"/>
      <c r="E551" s="392"/>
      <c r="F551" s="392"/>
      <c r="G551" s="392"/>
      <c r="H551" s="394"/>
    </row>
    <row r="552">
      <c r="A552" s="395"/>
      <c r="B552" s="393"/>
      <c r="C552" s="392"/>
      <c r="D552" s="392"/>
      <c r="E552" s="392"/>
      <c r="F552" s="392"/>
      <c r="G552" s="392"/>
      <c r="H552" s="394"/>
    </row>
    <row r="553">
      <c r="A553" s="395"/>
      <c r="B553" s="393"/>
      <c r="C553" s="392"/>
      <c r="D553" s="392"/>
      <c r="E553" s="392"/>
      <c r="F553" s="392"/>
      <c r="G553" s="392"/>
      <c r="H553" s="394"/>
    </row>
    <row r="554">
      <c r="A554" s="395"/>
      <c r="B554" s="393"/>
      <c r="C554" s="392"/>
      <c r="D554" s="392"/>
      <c r="E554" s="392"/>
      <c r="F554" s="392"/>
      <c r="G554" s="392"/>
      <c r="H554" s="394"/>
    </row>
    <row r="555">
      <c r="A555" s="395"/>
      <c r="B555" s="393"/>
      <c r="C555" s="392"/>
      <c r="D555" s="392"/>
      <c r="E555" s="392"/>
      <c r="F555" s="392"/>
      <c r="G555" s="392"/>
      <c r="H555" s="394"/>
    </row>
    <row r="556">
      <c r="A556" s="395"/>
      <c r="B556" s="393"/>
      <c r="C556" s="392"/>
      <c r="D556" s="392"/>
      <c r="E556" s="392"/>
      <c r="F556" s="392"/>
      <c r="G556" s="392"/>
      <c r="H556" s="394"/>
    </row>
    <row r="557">
      <c r="A557" s="395"/>
      <c r="B557" s="393"/>
      <c r="C557" s="392"/>
      <c r="D557" s="392"/>
      <c r="E557" s="392"/>
      <c r="F557" s="392"/>
      <c r="G557" s="392"/>
      <c r="H557" s="394"/>
    </row>
    <row r="558">
      <c r="A558" s="395"/>
      <c r="B558" s="393"/>
      <c r="C558" s="392"/>
      <c r="D558" s="392"/>
      <c r="E558" s="392"/>
      <c r="F558" s="392"/>
      <c r="G558" s="392"/>
      <c r="H558" s="394"/>
    </row>
    <row r="559">
      <c r="A559" s="395"/>
      <c r="B559" s="393"/>
      <c r="C559" s="392"/>
      <c r="D559" s="392"/>
      <c r="E559" s="392"/>
      <c r="F559" s="392"/>
      <c r="G559" s="392"/>
      <c r="H559" s="394"/>
    </row>
    <row r="560">
      <c r="A560" s="395"/>
      <c r="B560" s="393"/>
      <c r="C560" s="392"/>
      <c r="D560" s="392"/>
      <c r="E560" s="392"/>
      <c r="F560" s="392"/>
      <c r="G560" s="392"/>
      <c r="H560" s="394"/>
    </row>
    <row r="561">
      <c r="A561" s="395"/>
      <c r="B561" s="393"/>
      <c r="C561" s="392"/>
      <c r="D561" s="392"/>
      <c r="E561" s="392"/>
      <c r="F561" s="392"/>
      <c r="G561" s="392"/>
      <c r="H561" s="394"/>
    </row>
    <row r="562">
      <c r="A562" s="395"/>
      <c r="B562" s="393"/>
      <c r="C562" s="392"/>
      <c r="D562" s="392"/>
      <c r="E562" s="392"/>
      <c r="F562" s="392"/>
      <c r="G562" s="392"/>
      <c r="H562" s="394"/>
    </row>
    <row r="563">
      <c r="A563" s="395"/>
      <c r="B563" s="393"/>
      <c r="C563" s="392"/>
      <c r="D563" s="392"/>
      <c r="E563" s="392"/>
      <c r="F563" s="392"/>
      <c r="G563" s="392"/>
      <c r="H563" s="394"/>
    </row>
    <row r="564">
      <c r="A564" s="395"/>
      <c r="B564" s="393"/>
      <c r="C564" s="392"/>
      <c r="D564" s="392"/>
      <c r="E564" s="392"/>
      <c r="F564" s="392"/>
      <c r="G564" s="392"/>
      <c r="H564" s="394"/>
    </row>
    <row r="565">
      <c r="A565" s="395"/>
      <c r="B565" s="393"/>
      <c r="C565" s="392"/>
      <c r="D565" s="392"/>
      <c r="E565" s="392"/>
      <c r="F565" s="392"/>
      <c r="G565" s="392"/>
      <c r="H565" s="394"/>
    </row>
    <row r="566">
      <c r="A566" s="395"/>
      <c r="B566" s="393"/>
      <c r="C566" s="392"/>
      <c r="D566" s="392"/>
      <c r="E566" s="392"/>
      <c r="F566" s="392"/>
      <c r="G566" s="392"/>
      <c r="H566" s="394"/>
    </row>
    <row r="567">
      <c r="A567" s="395"/>
      <c r="B567" s="393"/>
      <c r="C567" s="392"/>
      <c r="D567" s="392"/>
      <c r="E567" s="392"/>
      <c r="F567" s="392"/>
      <c r="G567" s="392"/>
      <c r="H567" s="394"/>
    </row>
    <row r="568">
      <c r="A568" s="395"/>
      <c r="B568" s="393"/>
      <c r="C568" s="392"/>
      <c r="D568" s="392"/>
      <c r="E568" s="392"/>
      <c r="F568" s="392"/>
      <c r="G568" s="392"/>
      <c r="H568" s="394"/>
    </row>
    <row r="569">
      <c r="A569" s="395"/>
      <c r="B569" s="393"/>
      <c r="C569" s="392"/>
      <c r="D569" s="392"/>
      <c r="E569" s="392"/>
      <c r="F569" s="392"/>
      <c r="G569" s="392"/>
      <c r="H569" s="394"/>
    </row>
    <row r="570">
      <c r="A570" s="395"/>
      <c r="B570" s="393"/>
      <c r="C570" s="392"/>
      <c r="D570" s="392"/>
      <c r="E570" s="392"/>
      <c r="F570" s="392"/>
      <c r="G570" s="392"/>
      <c r="H570" s="394"/>
    </row>
    <row r="571">
      <c r="A571" s="395"/>
      <c r="B571" s="393"/>
      <c r="C571" s="392"/>
      <c r="D571" s="392"/>
      <c r="E571" s="392"/>
      <c r="F571" s="392"/>
      <c r="G571" s="392"/>
      <c r="H571" s="394"/>
    </row>
    <row r="572">
      <c r="A572" s="395"/>
      <c r="B572" s="393"/>
      <c r="C572" s="392"/>
      <c r="D572" s="392"/>
      <c r="E572" s="392"/>
      <c r="F572" s="392"/>
      <c r="G572" s="392"/>
      <c r="H572" s="394"/>
    </row>
    <row r="573">
      <c r="A573" s="395"/>
      <c r="B573" s="393"/>
      <c r="C573" s="392"/>
      <c r="D573" s="392"/>
      <c r="E573" s="392"/>
      <c r="F573" s="392"/>
      <c r="G573" s="392"/>
      <c r="H573" s="394"/>
    </row>
    <row r="574">
      <c r="A574" s="395"/>
      <c r="B574" s="393"/>
      <c r="C574" s="392"/>
      <c r="D574" s="392"/>
      <c r="E574" s="392"/>
      <c r="F574" s="392"/>
      <c r="G574" s="392"/>
      <c r="H574" s="394"/>
    </row>
    <row r="575">
      <c r="A575" s="395"/>
      <c r="B575" s="393"/>
      <c r="C575" s="392"/>
      <c r="D575" s="392"/>
      <c r="E575" s="392"/>
      <c r="F575" s="392"/>
      <c r="G575" s="392"/>
      <c r="H575" s="394"/>
    </row>
    <row r="576">
      <c r="A576" s="395"/>
      <c r="B576" s="393"/>
      <c r="C576" s="392"/>
      <c r="D576" s="392"/>
      <c r="E576" s="392"/>
      <c r="F576" s="392"/>
      <c r="G576" s="392"/>
      <c r="H576" s="394"/>
    </row>
    <row r="577">
      <c r="A577" s="395"/>
      <c r="B577" s="393"/>
      <c r="C577" s="392"/>
      <c r="D577" s="392"/>
      <c r="E577" s="392"/>
      <c r="F577" s="392"/>
      <c r="G577" s="392"/>
      <c r="H577" s="394"/>
    </row>
    <row r="578">
      <c r="A578" s="395"/>
      <c r="B578" s="393"/>
      <c r="C578" s="392"/>
      <c r="D578" s="392"/>
      <c r="E578" s="392"/>
      <c r="F578" s="392"/>
      <c r="G578" s="392"/>
      <c r="H578" s="394"/>
    </row>
    <row r="579">
      <c r="A579" s="395"/>
      <c r="B579" s="393"/>
      <c r="C579" s="392"/>
      <c r="D579" s="392"/>
      <c r="E579" s="392"/>
      <c r="F579" s="392"/>
      <c r="G579" s="392"/>
      <c r="H579" s="394"/>
    </row>
    <row r="580">
      <c r="A580" s="395"/>
      <c r="B580" s="393"/>
      <c r="C580" s="392"/>
      <c r="D580" s="392"/>
      <c r="E580" s="392"/>
      <c r="F580" s="392"/>
      <c r="G580" s="392"/>
      <c r="H580" s="394"/>
    </row>
    <row r="581">
      <c r="A581" s="395"/>
      <c r="B581" s="393"/>
      <c r="C581" s="392"/>
      <c r="D581" s="392"/>
      <c r="E581" s="392"/>
      <c r="F581" s="392"/>
      <c r="G581" s="392"/>
      <c r="H581" s="394"/>
    </row>
    <row r="582">
      <c r="A582" s="395"/>
      <c r="B582" s="393"/>
      <c r="C582" s="392"/>
      <c r="D582" s="392"/>
      <c r="E582" s="392"/>
      <c r="F582" s="392"/>
      <c r="G582" s="392"/>
      <c r="H582" s="394"/>
    </row>
    <row r="583">
      <c r="A583" s="395"/>
      <c r="B583" s="393"/>
      <c r="C583" s="392"/>
      <c r="D583" s="392"/>
      <c r="E583" s="392"/>
      <c r="F583" s="392"/>
      <c r="G583" s="392"/>
      <c r="H583" s="394"/>
    </row>
    <row r="584">
      <c r="A584" s="395"/>
      <c r="B584" s="393"/>
      <c r="C584" s="392"/>
      <c r="D584" s="392"/>
      <c r="E584" s="392"/>
      <c r="F584" s="392"/>
      <c r="G584" s="392"/>
      <c r="H584" s="394"/>
    </row>
    <row r="585">
      <c r="A585" s="395"/>
      <c r="B585" s="393"/>
      <c r="C585" s="392"/>
      <c r="D585" s="392"/>
      <c r="E585" s="392"/>
      <c r="F585" s="392"/>
      <c r="G585" s="392"/>
      <c r="H585" s="394"/>
    </row>
    <row r="586">
      <c r="A586" s="395"/>
      <c r="B586" s="393"/>
      <c r="C586" s="392"/>
      <c r="D586" s="392"/>
      <c r="E586" s="392"/>
      <c r="F586" s="392"/>
      <c r="G586" s="392"/>
      <c r="H586" s="394"/>
    </row>
    <row r="587">
      <c r="A587" s="395"/>
      <c r="B587" s="393"/>
      <c r="C587" s="392"/>
      <c r="D587" s="392"/>
      <c r="E587" s="392"/>
      <c r="F587" s="392"/>
      <c r="G587" s="392"/>
      <c r="H587" s="394"/>
    </row>
    <row r="588">
      <c r="A588" s="395"/>
      <c r="B588" s="393"/>
      <c r="C588" s="392"/>
      <c r="D588" s="392"/>
      <c r="E588" s="392"/>
      <c r="F588" s="392"/>
      <c r="G588" s="392"/>
      <c r="H588" s="394"/>
    </row>
    <row r="589">
      <c r="A589" s="395"/>
      <c r="B589" s="393"/>
      <c r="C589" s="392"/>
      <c r="D589" s="392"/>
      <c r="E589" s="392"/>
      <c r="F589" s="392"/>
      <c r="G589" s="392"/>
      <c r="H589" s="394"/>
    </row>
    <row r="590">
      <c r="A590" s="395"/>
      <c r="B590" s="393"/>
      <c r="C590" s="392"/>
      <c r="D590" s="392"/>
      <c r="E590" s="392"/>
      <c r="F590" s="392"/>
      <c r="G590" s="392"/>
      <c r="H590" s="394"/>
    </row>
    <row r="591">
      <c r="A591" s="395"/>
      <c r="B591" s="393"/>
      <c r="C591" s="392"/>
      <c r="D591" s="392"/>
      <c r="E591" s="392"/>
      <c r="F591" s="392"/>
      <c r="G591" s="392"/>
      <c r="H591" s="394"/>
    </row>
    <row r="592">
      <c r="A592" s="395"/>
      <c r="B592" s="393"/>
      <c r="C592" s="392"/>
      <c r="D592" s="392"/>
      <c r="E592" s="392"/>
      <c r="F592" s="392"/>
      <c r="G592" s="392"/>
      <c r="H592" s="394"/>
    </row>
    <row r="593">
      <c r="A593" s="395"/>
      <c r="B593" s="393"/>
      <c r="C593" s="392"/>
      <c r="D593" s="392"/>
      <c r="E593" s="392"/>
      <c r="F593" s="392"/>
      <c r="G593" s="392"/>
      <c r="H593" s="394"/>
    </row>
    <row r="594">
      <c r="A594" s="395"/>
      <c r="B594" s="393"/>
      <c r="C594" s="392"/>
      <c r="D594" s="392"/>
      <c r="E594" s="392"/>
      <c r="F594" s="392"/>
      <c r="G594" s="392"/>
      <c r="H594" s="394"/>
    </row>
    <row r="595">
      <c r="A595" s="395"/>
      <c r="B595" s="393"/>
      <c r="C595" s="392"/>
      <c r="D595" s="392"/>
      <c r="E595" s="392"/>
      <c r="F595" s="392"/>
      <c r="G595" s="392"/>
      <c r="H595" s="394"/>
    </row>
    <row r="596">
      <c r="A596" s="395"/>
      <c r="B596" s="393"/>
      <c r="C596" s="392"/>
      <c r="D596" s="392"/>
      <c r="E596" s="392"/>
      <c r="F596" s="392"/>
      <c r="G596" s="392"/>
      <c r="H596" s="394"/>
    </row>
    <row r="597">
      <c r="A597" s="395"/>
      <c r="B597" s="393"/>
      <c r="C597" s="392"/>
      <c r="D597" s="392"/>
      <c r="E597" s="392"/>
      <c r="F597" s="392"/>
      <c r="G597" s="392"/>
      <c r="H597" s="394"/>
    </row>
    <row r="598">
      <c r="A598" s="395"/>
      <c r="B598" s="393"/>
      <c r="C598" s="392"/>
      <c r="D598" s="392"/>
      <c r="E598" s="392"/>
      <c r="F598" s="392"/>
      <c r="G598" s="392"/>
      <c r="H598" s="394"/>
    </row>
    <row r="599">
      <c r="A599" s="395"/>
      <c r="B599" s="393"/>
      <c r="C599" s="392"/>
      <c r="D599" s="392"/>
      <c r="E599" s="392"/>
      <c r="F599" s="392"/>
      <c r="G599" s="392"/>
      <c r="H599" s="394"/>
    </row>
    <row r="600">
      <c r="A600" s="395"/>
      <c r="B600" s="393"/>
      <c r="C600" s="392"/>
      <c r="D600" s="392"/>
      <c r="E600" s="392"/>
      <c r="F600" s="392"/>
      <c r="G600" s="392"/>
      <c r="H600" s="394"/>
    </row>
    <row r="601">
      <c r="A601" s="395"/>
      <c r="B601" s="393"/>
      <c r="C601" s="392"/>
      <c r="D601" s="392"/>
      <c r="E601" s="392"/>
      <c r="F601" s="392"/>
      <c r="G601" s="392"/>
      <c r="H601" s="394"/>
    </row>
    <row r="602">
      <c r="A602" s="395"/>
      <c r="B602" s="393"/>
      <c r="C602" s="392"/>
      <c r="D602" s="392"/>
      <c r="E602" s="392"/>
      <c r="F602" s="392"/>
      <c r="G602" s="392"/>
      <c r="H602" s="394"/>
    </row>
    <row r="603">
      <c r="A603" s="395"/>
      <c r="B603" s="393"/>
      <c r="C603" s="392"/>
      <c r="D603" s="392"/>
      <c r="E603" s="392"/>
      <c r="F603" s="392"/>
      <c r="G603" s="392"/>
      <c r="H603" s="394"/>
    </row>
    <row r="604">
      <c r="A604" s="395"/>
      <c r="B604" s="393"/>
      <c r="C604" s="392"/>
      <c r="D604" s="392"/>
      <c r="E604" s="392"/>
      <c r="F604" s="392"/>
      <c r="G604" s="392"/>
      <c r="H604" s="394"/>
    </row>
    <row r="605">
      <c r="A605" s="395"/>
      <c r="B605" s="393"/>
      <c r="C605" s="392"/>
      <c r="D605" s="392"/>
      <c r="E605" s="392"/>
      <c r="F605" s="392"/>
      <c r="G605" s="392"/>
      <c r="H605" s="394"/>
    </row>
    <row r="606">
      <c r="A606" s="395"/>
      <c r="B606" s="393"/>
      <c r="C606" s="392"/>
      <c r="D606" s="392"/>
      <c r="E606" s="392"/>
      <c r="F606" s="392"/>
      <c r="G606" s="392"/>
      <c r="H606" s="394"/>
    </row>
    <row r="607">
      <c r="A607" s="395"/>
      <c r="B607" s="393"/>
      <c r="C607" s="392"/>
      <c r="D607" s="392"/>
      <c r="E607" s="392"/>
      <c r="F607" s="392"/>
      <c r="G607" s="392"/>
      <c r="H607" s="394"/>
    </row>
    <row r="608">
      <c r="A608" s="395"/>
      <c r="B608" s="393"/>
      <c r="C608" s="392"/>
      <c r="D608" s="392"/>
      <c r="E608" s="392"/>
      <c r="F608" s="392"/>
      <c r="G608" s="392"/>
      <c r="H608" s="394"/>
    </row>
    <row r="609">
      <c r="A609" s="395"/>
      <c r="B609" s="393"/>
      <c r="C609" s="392"/>
      <c r="D609" s="392"/>
      <c r="E609" s="392"/>
      <c r="F609" s="392"/>
      <c r="G609" s="392"/>
      <c r="H609" s="394"/>
    </row>
    <row r="610">
      <c r="A610" s="395"/>
      <c r="B610" s="393"/>
      <c r="C610" s="392"/>
      <c r="D610" s="392"/>
      <c r="E610" s="392"/>
      <c r="F610" s="392"/>
      <c r="G610" s="392"/>
      <c r="H610" s="394"/>
    </row>
    <row r="611">
      <c r="A611" s="395"/>
      <c r="B611" s="393"/>
      <c r="C611" s="392"/>
      <c r="D611" s="392"/>
      <c r="E611" s="392"/>
      <c r="F611" s="392"/>
      <c r="G611" s="392"/>
      <c r="H611" s="394"/>
    </row>
    <row r="612">
      <c r="A612" s="395"/>
      <c r="B612" s="393"/>
      <c r="C612" s="392"/>
      <c r="D612" s="392"/>
      <c r="E612" s="392"/>
      <c r="F612" s="392"/>
      <c r="G612" s="392"/>
      <c r="H612" s="394"/>
    </row>
    <row r="613">
      <c r="A613" s="395"/>
      <c r="B613" s="393"/>
      <c r="C613" s="392"/>
      <c r="D613" s="392"/>
      <c r="E613" s="392"/>
      <c r="F613" s="392"/>
      <c r="G613" s="392"/>
      <c r="H613" s="394"/>
    </row>
    <row r="614">
      <c r="A614" s="395"/>
      <c r="B614" s="393"/>
      <c r="C614" s="392"/>
      <c r="D614" s="392"/>
      <c r="E614" s="392"/>
      <c r="F614" s="392"/>
      <c r="G614" s="392"/>
      <c r="H614" s="394"/>
    </row>
    <row r="615">
      <c r="A615" s="395"/>
      <c r="B615" s="393"/>
      <c r="C615" s="392"/>
      <c r="D615" s="392"/>
      <c r="E615" s="392"/>
      <c r="F615" s="392"/>
      <c r="G615" s="392"/>
      <c r="H615" s="394"/>
    </row>
    <row r="616">
      <c r="A616" s="395"/>
      <c r="B616" s="393"/>
      <c r="C616" s="392"/>
      <c r="D616" s="392"/>
      <c r="E616" s="392"/>
      <c r="F616" s="392"/>
      <c r="G616" s="392"/>
      <c r="H616" s="394"/>
    </row>
    <row r="617">
      <c r="A617" s="395"/>
      <c r="B617" s="393"/>
      <c r="C617" s="392"/>
      <c r="D617" s="392"/>
      <c r="E617" s="392"/>
      <c r="F617" s="392"/>
      <c r="G617" s="392"/>
      <c r="H617" s="394"/>
    </row>
    <row r="618">
      <c r="A618" s="395"/>
      <c r="B618" s="393"/>
      <c r="C618" s="392"/>
      <c r="D618" s="392"/>
      <c r="E618" s="392"/>
      <c r="F618" s="392"/>
      <c r="G618" s="392"/>
      <c r="H618" s="394"/>
    </row>
    <row r="619">
      <c r="A619" s="395"/>
      <c r="B619" s="393"/>
      <c r="C619" s="392"/>
      <c r="D619" s="392"/>
      <c r="E619" s="392"/>
      <c r="F619" s="392"/>
      <c r="G619" s="392"/>
      <c r="H619" s="394"/>
    </row>
    <row r="620">
      <c r="A620" s="395"/>
      <c r="B620" s="393"/>
      <c r="C620" s="392"/>
      <c r="D620" s="392"/>
      <c r="E620" s="392"/>
      <c r="F620" s="392"/>
      <c r="G620" s="392"/>
      <c r="H620" s="394"/>
    </row>
    <row r="621">
      <c r="A621" s="395"/>
      <c r="B621" s="393"/>
      <c r="C621" s="392"/>
      <c r="D621" s="392"/>
      <c r="E621" s="392"/>
      <c r="F621" s="392"/>
      <c r="G621" s="392"/>
      <c r="H621" s="394"/>
    </row>
    <row r="622">
      <c r="A622" s="395"/>
      <c r="B622" s="393"/>
      <c r="C622" s="392"/>
      <c r="D622" s="392"/>
      <c r="E622" s="392"/>
      <c r="F622" s="392"/>
      <c r="G622" s="392"/>
      <c r="H622" s="394"/>
    </row>
    <row r="623">
      <c r="A623" s="395"/>
      <c r="B623" s="393"/>
      <c r="C623" s="392"/>
      <c r="D623" s="392"/>
      <c r="E623" s="392"/>
      <c r="F623" s="392"/>
      <c r="G623" s="392"/>
      <c r="H623" s="394"/>
    </row>
    <row r="624">
      <c r="A624" s="395"/>
      <c r="B624" s="393"/>
      <c r="C624" s="392"/>
      <c r="D624" s="392"/>
      <c r="E624" s="392"/>
      <c r="F624" s="392"/>
      <c r="G624" s="392"/>
      <c r="H624" s="394"/>
    </row>
    <row r="625">
      <c r="A625" s="395"/>
      <c r="B625" s="393"/>
      <c r="C625" s="392"/>
      <c r="D625" s="392"/>
      <c r="E625" s="392"/>
      <c r="F625" s="392"/>
      <c r="G625" s="392"/>
      <c r="H625" s="394"/>
    </row>
    <row r="626">
      <c r="A626" s="395"/>
      <c r="B626" s="393"/>
      <c r="C626" s="392"/>
      <c r="D626" s="392"/>
      <c r="E626" s="392"/>
      <c r="F626" s="392"/>
      <c r="G626" s="392"/>
      <c r="H626" s="394"/>
    </row>
    <row r="627">
      <c r="A627" s="395"/>
      <c r="B627" s="393"/>
      <c r="C627" s="392"/>
      <c r="D627" s="392"/>
      <c r="E627" s="392"/>
      <c r="F627" s="392"/>
      <c r="G627" s="392"/>
      <c r="H627" s="394"/>
    </row>
    <row r="628">
      <c r="A628" s="395"/>
      <c r="B628" s="393"/>
      <c r="C628" s="392"/>
      <c r="D628" s="392"/>
      <c r="E628" s="392"/>
      <c r="F628" s="392"/>
      <c r="G628" s="392"/>
      <c r="H628" s="394"/>
    </row>
    <row r="629">
      <c r="A629" s="395"/>
      <c r="B629" s="393"/>
      <c r="C629" s="392"/>
      <c r="D629" s="392"/>
      <c r="E629" s="392"/>
      <c r="F629" s="392"/>
      <c r="G629" s="392"/>
      <c r="H629" s="394"/>
    </row>
    <row r="630">
      <c r="A630" s="395"/>
      <c r="B630" s="393"/>
      <c r="C630" s="392"/>
      <c r="D630" s="392"/>
      <c r="E630" s="392"/>
      <c r="F630" s="392"/>
      <c r="G630" s="392"/>
      <c r="H630" s="394"/>
    </row>
    <row r="631">
      <c r="A631" s="395"/>
      <c r="B631" s="393"/>
      <c r="C631" s="392"/>
      <c r="D631" s="392"/>
      <c r="E631" s="392"/>
      <c r="F631" s="392"/>
      <c r="G631" s="392"/>
      <c r="H631" s="394"/>
    </row>
    <row r="632">
      <c r="A632" s="395"/>
      <c r="B632" s="393"/>
      <c r="C632" s="392"/>
      <c r="D632" s="392"/>
      <c r="E632" s="392"/>
      <c r="F632" s="392"/>
      <c r="G632" s="392"/>
      <c r="H632" s="394"/>
    </row>
    <row r="633">
      <c r="A633" s="395"/>
      <c r="B633" s="393"/>
      <c r="C633" s="392"/>
      <c r="D633" s="392"/>
      <c r="E633" s="392"/>
      <c r="F633" s="392"/>
      <c r="G633" s="392"/>
      <c r="H633" s="394"/>
    </row>
    <row r="634">
      <c r="A634" s="395"/>
      <c r="B634" s="393"/>
      <c r="C634" s="392"/>
      <c r="D634" s="392"/>
      <c r="E634" s="392"/>
      <c r="F634" s="392"/>
      <c r="G634" s="392"/>
      <c r="H634" s="394"/>
    </row>
    <row r="635">
      <c r="A635" s="395"/>
      <c r="B635" s="393"/>
      <c r="C635" s="392"/>
      <c r="D635" s="392"/>
      <c r="E635" s="392"/>
      <c r="F635" s="392"/>
      <c r="G635" s="392"/>
      <c r="H635" s="394"/>
    </row>
    <row r="636">
      <c r="A636" s="395"/>
      <c r="B636" s="393"/>
      <c r="C636" s="392"/>
      <c r="D636" s="392"/>
      <c r="E636" s="392"/>
      <c r="F636" s="392"/>
      <c r="G636" s="392"/>
      <c r="H636" s="394"/>
    </row>
    <row r="637">
      <c r="A637" s="395"/>
      <c r="B637" s="393"/>
      <c r="C637" s="392"/>
      <c r="D637" s="392"/>
      <c r="E637" s="392"/>
      <c r="F637" s="392"/>
      <c r="G637" s="392"/>
      <c r="H637" s="394"/>
    </row>
    <row r="638">
      <c r="A638" s="395"/>
      <c r="B638" s="393"/>
      <c r="C638" s="392"/>
      <c r="D638" s="392"/>
      <c r="E638" s="392"/>
      <c r="F638" s="392"/>
      <c r="G638" s="392"/>
      <c r="H638" s="394"/>
    </row>
    <row r="639">
      <c r="A639" s="395"/>
      <c r="B639" s="393"/>
      <c r="C639" s="392"/>
      <c r="D639" s="392"/>
      <c r="E639" s="392"/>
      <c r="F639" s="392"/>
      <c r="G639" s="392"/>
      <c r="H639" s="394"/>
    </row>
    <row r="640">
      <c r="A640" s="395"/>
      <c r="B640" s="393"/>
      <c r="C640" s="392"/>
      <c r="D640" s="392"/>
      <c r="E640" s="392"/>
      <c r="F640" s="392"/>
      <c r="G640" s="392"/>
      <c r="H640" s="394"/>
    </row>
    <row r="641">
      <c r="A641" s="395"/>
      <c r="B641" s="393"/>
      <c r="C641" s="392"/>
      <c r="D641" s="392"/>
      <c r="E641" s="392"/>
      <c r="F641" s="392"/>
      <c r="G641" s="392"/>
      <c r="H641" s="394"/>
    </row>
    <row r="642">
      <c r="A642" s="395"/>
      <c r="B642" s="393"/>
      <c r="C642" s="392"/>
      <c r="D642" s="392"/>
      <c r="E642" s="392"/>
      <c r="F642" s="392"/>
      <c r="G642" s="392"/>
      <c r="H642" s="394"/>
    </row>
    <row r="643">
      <c r="A643" s="395"/>
      <c r="B643" s="393"/>
      <c r="C643" s="392"/>
      <c r="D643" s="392"/>
      <c r="E643" s="392"/>
      <c r="F643" s="392"/>
      <c r="G643" s="392"/>
      <c r="H643" s="394"/>
    </row>
    <row r="644">
      <c r="A644" s="395"/>
      <c r="B644" s="393"/>
      <c r="C644" s="392"/>
      <c r="D644" s="392"/>
      <c r="E644" s="392"/>
      <c r="F644" s="392"/>
      <c r="G644" s="392"/>
      <c r="H644" s="394"/>
    </row>
    <row r="645">
      <c r="A645" s="395"/>
      <c r="B645" s="393"/>
      <c r="C645" s="392"/>
      <c r="D645" s="392"/>
      <c r="E645" s="392"/>
      <c r="F645" s="392"/>
      <c r="G645" s="392"/>
      <c r="H645" s="394"/>
    </row>
    <row r="646">
      <c r="A646" s="395"/>
      <c r="B646" s="393"/>
      <c r="C646" s="392"/>
      <c r="D646" s="392"/>
      <c r="E646" s="392"/>
      <c r="F646" s="392"/>
      <c r="G646" s="392"/>
      <c r="H646" s="394"/>
    </row>
    <row r="647">
      <c r="A647" s="395"/>
      <c r="B647" s="393"/>
      <c r="C647" s="392"/>
      <c r="D647" s="392"/>
      <c r="E647" s="392"/>
      <c r="F647" s="392"/>
      <c r="G647" s="392"/>
      <c r="H647" s="394"/>
    </row>
    <row r="648">
      <c r="A648" s="395"/>
      <c r="B648" s="393"/>
      <c r="C648" s="392"/>
      <c r="D648" s="392"/>
      <c r="E648" s="392"/>
      <c r="F648" s="392"/>
      <c r="G648" s="392"/>
      <c r="H648" s="394"/>
    </row>
    <row r="649">
      <c r="A649" s="395"/>
      <c r="B649" s="393"/>
      <c r="C649" s="392"/>
      <c r="D649" s="392"/>
      <c r="E649" s="392"/>
      <c r="F649" s="392"/>
      <c r="G649" s="392"/>
      <c r="H649" s="394"/>
    </row>
    <row r="650">
      <c r="A650" s="395"/>
      <c r="B650" s="393"/>
      <c r="C650" s="392"/>
      <c r="D650" s="392"/>
      <c r="E650" s="392"/>
      <c r="F650" s="392"/>
      <c r="G650" s="392"/>
      <c r="H650" s="394"/>
    </row>
    <row r="651">
      <c r="A651" s="395"/>
      <c r="B651" s="393"/>
      <c r="C651" s="392"/>
      <c r="D651" s="392"/>
      <c r="E651" s="392"/>
      <c r="F651" s="392"/>
      <c r="G651" s="392"/>
      <c r="H651" s="394"/>
    </row>
    <row r="652">
      <c r="A652" s="395"/>
      <c r="B652" s="393"/>
      <c r="C652" s="392"/>
      <c r="D652" s="392"/>
      <c r="E652" s="392"/>
      <c r="F652" s="392"/>
      <c r="G652" s="392"/>
      <c r="H652" s="394"/>
    </row>
    <row r="653">
      <c r="A653" s="395"/>
      <c r="B653" s="393"/>
      <c r="C653" s="392"/>
      <c r="D653" s="392"/>
      <c r="E653" s="392"/>
      <c r="F653" s="392"/>
      <c r="G653" s="392"/>
      <c r="H653" s="394"/>
    </row>
    <row r="654">
      <c r="A654" s="395"/>
      <c r="B654" s="393"/>
      <c r="C654" s="392"/>
      <c r="D654" s="392"/>
      <c r="E654" s="392"/>
      <c r="F654" s="392"/>
      <c r="G654" s="392"/>
      <c r="H654" s="394"/>
    </row>
    <row r="655">
      <c r="A655" s="395"/>
      <c r="B655" s="393"/>
      <c r="C655" s="392"/>
      <c r="D655" s="392"/>
      <c r="E655" s="392"/>
      <c r="F655" s="392"/>
      <c r="G655" s="392"/>
      <c r="H655" s="394"/>
    </row>
    <row r="656">
      <c r="A656" s="395"/>
      <c r="B656" s="393"/>
      <c r="C656" s="392"/>
      <c r="D656" s="392"/>
      <c r="E656" s="392"/>
      <c r="F656" s="392"/>
      <c r="G656" s="392"/>
      <c r="H656" s="394"/>
    </row>
    <row r="657">
      <c r="A657" s="395"/>
      <c r="B657" s="393"/>
      <c r="C657" s="392"/>
      <c r="D657" s="392"/>
      <c r="E657" s="392"/>
      <c r="F657" s="392"/>
      <c r="G657" s="392"/>
      <c r="H657" s="394"/>
    </row>
    <row r="658">
      <c r="A658" s="395"/>
      <c r="B658" s="393"/>
      <c r="C658" s="392"/>
      <c r="D658" s="392"/>
      <c r="E658" s="392"/>
      <c r="F658" s="392"/>
      <c r="G658" s="392"/>
      <c r="H658" s="394"/>
    </row>
    <row r="659">
      <c r="A659" s="395"/>
      <c r="B659" s="393"/>
      <c r="C659" s="392"/>
      <c r="D659" s="392"/>
      <c r="E659" s="392"/>
      <c r="F659" s="392"/>
      <c r="G659" s="392"/>
      <c r="H659" s="394"/>
    </row>
    <row r="660">
      <c r="A660" s="395"/>
      <c r="B660" s="393"/>
      <c r="C660" s="392"/>
      <c r="D660" s="392"/>
      <c r="E660" s="392"/>
      <c r="F660" s="392"/>
      <c r="G660" s="392"/>
      <c r="H660" s="394"/>
    </row>
    <row r="661">
      <c r="A661" s="395"/>
      <c r="B661" s="393"/>
      <c r="C661" s="392"/>
      <c r="D661" s="392"/>
      <c r="E661" s="392"/>
      <c r="F661" s="392"/>
      <c r="G661" s="392"/>
      <c r="H661" s="394"/>
    </row>
    <row r="662">
      <c r="A662" s="395"/>
      <c r="B662" s="393"/>
      <c r="C662" s="392"/>
      <c r="D662" s="392"/>
      <c r="E662" s="392"/>
      <c r="F662" s="392"/>
      <c r="G662" s="392"/>
      <c r="H662" s="394"/>
    </row>
    <row r="663">
      <c r="A663" s="395"/>
      <c r="B663" s="393"/>
      <c r="C663" s="392"/>
      <c r="D663" s="392"/>
      <c r="E663" s="392"/>
      <c r="F663" s="392"/>
      <c r="G663" s="392"/>
      <c r="H663" s="394"/>
    </row>
    <row r="664">
      <c r="A664" s="395"/>
      <c r="B664" s="393"/>
      <c r="C664" s="392"/>
      <c r="D664" s="392"/>
      <c r="E664" s="392"/>
      <c r="F664" s="392"/>
      <c r="G664" s="392"/>
      <c r="H664" s="394"/>
    </row>
    <row r="665">
      <c r="A665" s="395"/>
      <c r="B665" s="393"/>
      <c r="C665" s="392"/>
      <c r="D665" s="392"/>
      <c r="E665" s="392"/>
      <c r="F665" s="392"/>
      <c r="G665" s="392"/>
      <c r="H665" s="394"/>
    </row>
    <row r="666">
      <c r="A666" s="395"/>
      <c r="B666" s="393"/>
      <c r="C666" s="392"/>
      <c r="D666" s="392"/>
      <c r="E666" s="392"/>
      <c r="F666" s="392"/>
      <c r="G666" s="392"/>
      <c r="H666" s="394"/>
    </row>
    <row r="667">
      <c r="A667" s="395"/>
      <c r="B667" s="393"/>
      <c r="C667" s="392"/>
      <c r="D667" s="392"/>
      <c r="E667" s="392"/>
      <c r="F667" s="392"/>
      <c r="G667" s="392"/>
      <c r="H667" s="394"/>
    </row>
    <row r="668">
      <c r="A668" s="395"/>
      <c r="B668" s="393"/>
      <c r="C668" s="392"/>
      <c r="D668" s="392"/>
      <c r="E668" s="392"/>
      <c r="F668" s="392"/>
      <c r="G668" s="392"/>
      <c r="H668" s="394"/>
    </row>
    <row r="669">
      <c r="A669" s="395"/>
      <c r="B669" s="393"/>
      <c r="C669" s="392"/>
      <c r="D669" s="392"/>
      <c r="E669" s="392"/>
      <c r="F669" s="392"/>
      <c r="G669" s="392"/>
      <c r="H669" s="394"/>
    </row>
    <row r="670">
      <c r="A670" s="395"/>
      <c r="B670" s="393"/>
      <c r="C670" s="392"/>
      <c r="D670" s="392"/>
      <c r="E670" s="392"/>
      <c r="F670" s="392"/>
      <c r="G670" s="392"/>
      <c r="H670" s="394"/>
    </row>
    <row r="671">
      <c r="A671" s="395"/>
      <c r="B671" s="393"/>
      <c r="C671" s="392"/>
      <c r="D671" s="392"/>
      <c r="E671" s="392"/>
      <c r="F671" s="392"/>
      <c r="G671" s="392"/>
      <c r="H671" s="394"/>
    </row>
    <row r="672">
      <c r="A672" s="395"/>
      <c r="B672" s="393"/>
      <c r="C672" s="392"/>
      <c r="D672" s="392"/>
      <c r="E672" s="392"/>
      <c r="F672" s="392"/>
      <c r="G672" s="392"/>
      <c r="H672" s="394"/>
    </row>
    <row r="673">
      <c r="A673" s="395"/>
      <c r="B673" s="393"/>
      <c r="C673" s="392"/>
      <c r="D673" s="392"/>
      <c r="E673" s="392"/>
      <c r="F673" s="392"/>
      <c r="G673" s="392"/>
      <c r="H673" s="394"/>
    </row>
    <row r="674">
      <c r="A674" s="395"/>
      <c r="B674" s="393"/>
      <c r="C674" s="392"/>
      <c r="D674" s="392"/>
      <c r="E674" s="392"/>
      <c r="F674" s="392"/>
      <c r="G674" s="392"/>
      <c r="H674" s="394"/>
    </row>
    <row r="675">
      <c r="A675" s="395"/>
      <c r="B675" s="393"/>
      <c r="C675" s="392"/>
      <c r="D675" s="392"/>
      <c r="E675" s="392"/>
      <c r="F675" s="392"/>
      <c r="G675" s="392"/>
      <c r="H675" s="394"/>
    </row>
    <row r="676">
      <c r="A676" s="395"/>
      <c r="B676" s="393"/>
      <c r="C676" s="392"/>
      <c r="D676" s="392"/>
      <c r="E676" s="392"/>
      <c r="F676" s="392"/>
      <c r="G676" s="392"/>
      <c r="H676" s="394"/>
    </row>
    <row r="677">
      <c r="A677" s="395"/>
      <c r="B677" s="393"/>
      <c r="C677" s="392"/>
      <c r="D677" s="392"/>
      <c r="E677" s="392"/>
      <c r="F677" s="392"/>
      <c r="G677" s="392"/>
      <c r="H677" s="394"/>
    </row>
    <row r="678">
      <c r="A678" s="395"/>
      <c r="B678" s="393"/>
      <c r="C678" s="392"/>
      <c r="D678" s="392"/>
      <c r="E678" s="392"/>
      <c r="F678" s="392"/>
      <c r="G678" s="392"/>
      <c r="H678" s="394"/>
    </row>
    <row r="679">
      <c r="A679" s="395"/>
      <c r="B679" s="393"/>
      <c r="C679" s="392"/>
      <c r="D679" s="392"/>
      <c r="E679" s="392"/>
      <c r="F679" s="392"/>
      <c r="G679" s="392"/>
      <c r="H679" s="394"/>
    </row>
    <row r="680">
      <c r="A680" s="395"/>
      <c r="B680" s="393"/>
      <c r="C680" s="392"/>
      <c r="D680" s="392"/>
      <c r="E680" s="392"/>
      <c r="F680" s="392"/>
      <c r="G680" s="392"/>
      <c r="H680" s="394"/>
    </row>
    <row r="681">
      <c r="A681" s="395"/>
      <c r="B681" s="393"/>
      <c r="C681" s="392"/>
      <c r="D681" s="392"/>
      <c r="E681" s="392"/>
      <c r="F681" s="392"/>
      <c r="G681" s="392"/>
      <c r="H681" s="394"/>
    </row>
    <row r="682">
      <c r="A682" s="395"/>
      <c r="B682" s="393"/>
      <c r="C682" s="392"/>
      <c r="D682" s="392"/>
      <c r="E682" s="392"/>
      <c r="F682" s="392"/>
      <c r="G682" s="392"/>
      <c r="H682" s="394"/>
    </row>
    <row r="683">
      <c r="A683" s="395"/>
      <c r="B683" s="393"/>
      <c r="C683" s="392"/>
      <c r="D683" s="392"/>
      <c r="E683" s="392"/>
      <c r="F683" s="392"/>
      <c r="G683" s="392"/>
      <c r="H683" s="394"/>
    </row>
    <row r="684">
      <c r="A684" s="395"/>
      <c r="B684" s="393"/>
      <c r="C684" s="392"/>
      <c r="D684" s="392"/>
      <c r="E684" s="392"/>
      <c r="F684" s="392"/>
      <c r="G684" s="392"/>
      <c r="H684" s="394"/>
    </row>
    <row r="685">
      <c r="A685" s="395"/>
      <c r="B685" s="393"/>
      <c r="C685" s="392"/>
      <c r="D685" s="392"/>
      <c r="E685" s="392"/>
      <c r="F685" s="392"/>
      <c r="G685" s="392"/>
      <c r="H685" s="394"/>
    </row>
    <row r="686">
      <c r="A686" s="395"/>
      <c r="B686" s="393"/>
      <c r="C686" s="392"/>
      <c r="D686" s="392"/>
      <c r="E686" s="392"/>
      <c r="F686" s="392"/>
      <c r="G686" s="392"/>
      <c r="H686" s="394"/>
    </row>
    <row r="687">
      <c r="A687" s="395"/>
      <c r="B687" s="393"/>
      <c r="C687" s="392"/>
      <c r="D687" s="392"/>
      <c r="E687" s="392"/>
      <c r="F687" s="392"/>
      <c r="G687" s="392"/>
      <c r="H687" s="394"/>
    </row>
    <row r="688">
      <c r="A688" s="395"/>
      <c r="B688" s="393"/>
      <c r="C688" s="392"/>
      <c r="D688" s="392"/>
      <c r="E688" s="392"/>
      <c r="F688" s="392"/>
      <c r="G688" s="392"/>
      <c r="H688" s="394"/>
    </row>
    <row r="689">
      <c r="A689" s="395"/>
      <c r="B689" s="393"/>
      <c r="C689" s="392"/>
      <c r="D689" s="392"/>
      <c r="E689" s="392"/>
      <c r="F689" s="392"/>
      <c r="G689" s="392"/>
      <c r="H689" s="394"/>
    </row>
    <row r="690">
      <c r="A690" s="395"/>
      <c r="B690" s="393"/>
      <c r="C690" s="392"/>
      <c r="D690" s="392"/>
      <c r="E690" s="392"/>
      <c r="F690" s="392"/>
      <c r="G690" s="392"/>
      <c r="H690" s="394"/>
    </row>
    <row r="691">
      <c r="A691" s="395"/>
      <c r="B691" s="393"/>
      <c r="C691" s="392"/>
      <c r="D691" s="392"/>
      <c r="E691" s="392"/>
      <c r="F691" s="392"/>
      <c r="G691" s="392"/>
      <c r="H691" s="394"/>
    </row>
    <row r="692">
      <c r="A692" s="395"/>
      <c r="B692" s="393"/>
      <c r="C692" s="392"/>
      <c r="D692" s="392"/>
      <c r="E692" s="392"/>
      <c r="F692" s="392"/>
      <c r="G692" s="392"/>
      <c r="H692" s="394"/>
    </row>
    <row r="693">
      <c r="A693" s="395"/>
      <c r="B693" s="393"/>
      <c r="C693" s="392"/>
      <c r="D693" s="392"/>
      <c r="E693" s="392"/>
      <c r="F693" s="392"/>
      <c r="G693" s="392"/>
      <c r="H693" s="394"/>
    </row>
    <row r="694">
      <c r="A694" s="395"/>
      <c r="B694" s="393"/>
      <c r="C694" s="392"/>
      <c r="D694" s="392"/>
      <c r="E694" s="392"/>
      <c r="F694" s="392"/>
      <c r="G694" s="392"/>
      <c r="H694" s="394"/>
    </row>
    <row r="695">
      <c r="A695" s="395"/>
      <c r="B695" s="393"/>
      <c r="C695" s="392"/>
      <c r="D695" s="392"/>
      <c r="E695" s="392"/>
      <c r="F695" s="392"/>
      <c r="G695" s="392"/>
      <c r="H695" s="394"/>
    </row>
    <row r="696">
      <c r="A696" s="395"/>
      <c r="B696" s="393"/>
      <c r="C696" s="392"/>
      <c r="D696" s="392"/>
      <c r="E696" s="392"/>
      <c r="F696" s="392"/>
      <c r="G696" s="392"/>
      <c r="H696" s="394"/>
    </row>
    <row r="697">
      <c r="A697" s="395"/>
      <c r="B697" s="393"/>
      <c r="C697" s="392"/>
      <c r="D697" s="392"/>
      <c r="E697" s="392"/>
      <c r="F697" s="392"/>
      <c r="G697" s="392"/>
      <c r="H697" s="394"/>
    </row>
    <row r="698">
      <c r="A698" s="395"/>
      <c r="B698" s="393"/>
      <c r="C698" s="392"/>
      <c r="D698" s="392"/>
      <c r="E698" s="392"/>
      <c r="F698" s="392"/>
      <c r="G698" s="392"/>
      <c r="H698" s="394"/>
    </row>
    <row r="699">
      <c r="A699" s="395"/>
      <c r="B699" s="393"/>
      <c r="C699" s="392"/>
      <c r="D699" s="392"/>
      <c r="E699" s="392"/>
      <c r="F699" s="392"/>
      <c r="G699" s="392"/>
      <c r="H699" s="394"/>
    </row>
    <row r="700">
      <c r="A700" s="395"/>
      <c r="B700" s="393"/>
      <c r="C700" s="392"/>
      <c r="D700" s="392"/>
      <c r="E700" s="392"/>
      <c r="F700" s="392"/>
      <c r="G700" s="392"/>
      <c r="H700" s="394"/>
    </row>
    <row r="701">
      <c r="A701" s="395"/>
      <c r="B701" s="393"/>
      <c r="C701" s="392"/>
      <c r="D701" s="392"/>
      <c r="E701" s="392"/>
      <c r="F701" s="392"/>
      <c r="G701" s="392"/>
      <c r="H701" s="394"/>
    </row>
    <row r="702">
      <c r="A702" s="395"/>
      <c r="B702" s="393"/>
      <c r="C702" s="392"/>
      <c r="D702" s="392"/>
      <c r="E702" s="392"/>
      <c r="F702" s="392"/>
      <c r="G702" s="392"/>
      <c r="H702" s="394"/>
    </row>
    <row r="703">
      <c r="A703" s="395"/>
      <c r="B703" s="393"/>
      <c r="C703" s="392"/>
      <c r="D703" s="392"/>
      <c r="E703" s="392"/>
      <c r="F703" s="392"/>
      <c r="G703" s="392"/>
      <c r="H703" s="394"/>
    </row>
    <row r="704">
      <c r="A704" s="395"/>
      <c r="B704" s="393"/>
      <c r="C704" s="392"/>
      <c r="D704" s="392"/>
      <c r="E704" s="392"/>
      <c r="F704" s="392"/>
      <c r="G704" s="392"/>
      <c r="H704" s="394"/>
    </row>
    <row r="705">
      <c r="A705" s="395"/>
      <c r="B705" s="393"/>
      <c r="C705" s="392"/>
      <c r="D705" s="392"/>
      <c r="E705" s="392"/>
      <c r="F705" s="392"/>
      <c r="G705" s="392"/>
      <c r="H705" s="394"/>
    </row>
    <row r="706">
      <c r="A706" s="395"/>
      <c r="B706" s="393"/>
      <c r="C706" s="392"/>
      <c r="D706" s="392"/>
      <c r="E706" s="392"/>
      <c r="F706" s="392"/>
      <c r="G706" s="392"/>
      <c r="H706" s="394"/>
    </row>
    <row r="707">
      <c r="A707" s="395"/>
      <c r="B707" s="393"/>
      <c r="C707" s="392"/>
      <c r="D707" s="392"/>
      <c r="E707" s="392"/>
      <c r="F707" s="392"/>
      <c r="G707" s="392"/>
      <c r="H707" s="394"/>
    </row>
    <row r="708">
      <c r="A708" s="395"/>
      <c r="B708" s="393"/>
      <c r="C708" s="392"/>
      <c r="D708" s="392"/>
      <c r="E708" s="392"/>
      <c r="F708" s="392"/>
      <c r="G708" s="392"/>
      <c r="H708" s="394"/>
    </row>
    <row r="709">
      <c r="A709" s="395"/>
      <c r="B709" s="393"/>
      <c r="C709" s="392"/>
      <c r="D709" s="392"/>
      <c r="E709" s="392"/>
      <c r="F709" s="392"/>
      <c r="G709" s="392"/>
      <c r="H709" s="394"/>
    </row>
    <row r="710">
      <c r="A710" s="395"/>
      <c r="B710" s="393"/>
      <c r="C710" s="392"/>
      <c r="D710" s="392"/>
      <c r="E710" s="392"/>
      <c r="F710" s="392"/>
      <c r="G710" s="392"/>
      <c r="H710" s="394"/>
    </row>
    <row r="711">
      <c r="A711" s="395"/>
      <c r="B711" s="393"/>
      <c r="C711" s="392"/>
      <c r="D711" s="392"/>
      <c r="E711" s="392"/>
      <c r="F711" s="392"/>
      <c r="G711" s="392"/>
      <c r="H711" s="394"/>
    </row>
    <row r="712">
      <c r="A712" s="395"/>
      <c r="B712" s="393"/>
      <c r="C712" s="392"/>
      <c r="D712" s="392"/>
      <c r="E712" s="392"/>
      <c r="F712" s="392"/>
      <c r="G712" s="392"/>
      <c r="H712" s="394"/>
    </row>
    <row r="713">
      <c r="A713" s="395"/>
      <c r="B713" s="393"/>
      <c r="C713" s="392"/>
      <c r="D713" s="392"/>
      <c r="E713" s="392"/>
      <c r="F713" s="392"/>
      <c r="G713" s="392"/>
      <c r="H713" s="394"/>
    </row>
    <row r="714">
      <c r="A714" s="395"/>
      <c r="B714" s="393"/>
      <c r="C714" s="392"/>
      <c r="D714" s="392"/>
      <c r="E714" s="392"/>
      <c r="F714" s="392"/>
      <c r="G714" s="392"/>
      <c r="H714" s="394"/>
    </row>
    <row r="715">
      <c r="A715" s="395"/>
      <c r="B715" s="393"/>
      <c r="C715" s="392"/>
      <c r="D715" s="392"/>
      <c r="E715" s="392"/>
      <c r="F715" s="392"/>
      <c r="G715" s="392"/>
      <c r="H715" s="394"/>
    </row>
    <row r="716">
      <c r="A716" s="395"/>
      <c r="B716" s="393"/>
      <c r="C716" s="392"/>
      <c r="D716" s="392"/>
      <c r="E716" s="392"/>
      <c r="F716" s="392"/>
      <c r="G716" s="392"/>
      <c r="H716" s="394"/>
    </row>
    <row r="717">
      <c r="A717" s="395"/>
      <c r="B717" s="393"/>
      <c r="C717" s="392"/>
      <c r="D717" s="392"/>
      <c r="E717" s="392"/>
      <c r="F717" s="392"/>
      <c r="G717" s="392"/>
      <c r="H717" s="394"/>
    </row>
    <row r="718">
      <c r="A718" s="395"/>
      <c r="B718" s="393"/>
      <c r="C718" s="392"/>
      <c r="D718" s="392"/>
      <c r="E718" s="392"/>
      <c r="F718" s="392"/>
      <c r="G718" s="392"/>
      <c r="H718" s="394"/>
    </row>
    <row r="719">
      <c r="A719" s="395"/>
      <c r="B719" s="393"/>
      <c r="C719" s="392"/>
      <c r="D719" s="392"/>
      <c r="E719" s="392"/>
      <c r="F719" s="392"/>
      <c r="G719" s="392"/>
      <c r="H719" s="394"/>
    </row>
    <row r="720">
      <c r="A720" s="395"/>
      <c r="B720" s="393"/>
      <c r="C720" s="392"/>
      <c r="D720" s="392"/>
      <c r="E720" s="392"/>
      <c r="F720" s="392"/>
      <c r="G720" s="392"/>
      <c r="H720" s="394"/>
    </row>
    <row r="721">
      <c r="A721" s="395"/>
      <c r="B721" s="393"/>
      <c r="C721" s="392"/>
      <c r="D721" s="392"/>
      <c r="E721" s="392"/>
      <c r="F721" s="392"/>
      <c r="G721" s="392"/>
      <c r="H721" s="394"/>
    </row>
    <row r="722">
      <c r="A722" s="395"/>
      <c r="B722" s="393"/>
      <c r="C722" s="392"/>
      <c r="D722" s="392"/>
      <c r="E722" s="392"/>
      <c r="F722" s="392"/>
      <c r="G722" s="392"/>
      <c r="H722" s="394"/>
    </row>
    <row r="723">
      <c r="A723" s="395"/>
      <c r="B723" s="393"/>
      <c r="C723" s="392"/>
      <c r="D723" s="392"/>
      <c r="E723" s="392"/>
      <c r="F723" s="392"/>
      <c r="G723" s="392"/>
      <c r="H723" s="394"/>
    </row>
    <row r="724">
      <c r="A724" s="395"/>
      <c r="B724" s="393"/>
      <c r="C724" s="392"/>
      <c r="D724" s="392"/>
      <c r="E724" s="392"/>
      <c r="F724" s="392"/>
      <c r="G724" s="392"/>
      <c r="H724" s="394"/>
    </row>
    <row r="725">
      <c r="A725" s="395"/>
      <c r="B725" s="393"/>
      <c r="C725" s="392"/>
      <c r="D725" s="392"/>
      <c r="E725" s="392"/>
      <c r="F725" s="392"/>
      <c r="G725" s="392"/>
      <c r="H725" s="394"/>
    </row>
    <row r="726">
      <c r="A726" s="395"/>
      <c r="B726" s="393"/>
      <c r="C726" s="392"/>
      <c r="D726" s="392"/>
      <c r="E726" s="392"/>
      <c r="F726" s="392"/>
      <c r="G726" s="392"/>
      <c r="H726" s="394"/>
    </row>
    <row r="727">
      <c r="A727" s="395"/>
      <c r="B727" s="393"/>
      <c r="C727" s="392"/>
      <c r="D727" s="392"/>
      <c r="E727" s="392"/>
      <c r="F727" s="392"/>
      <c r="G727" s="392"/>
      <c r="H727" s="394"/>
    </row>
    <row r="728">
      <c r="A728" s="395"/>
      <c r="B728" s="393"/>
      <c r="C728" s="392"/>
      <c r="D728" s="392"/>
      <c r="E728" s="392"/>
      <c r="F728" s="392"/>
      <c r="G728" s="392"/>
      <c r="H728" s="394"/>
    </row>
    <row r="729">
      <c r="A729" s="395"/>
      <c r="B729" s="393"/>
      <c r="C729" s="392"/>
      <c r="D729" s="392"/>
      <c r="E729" s="392"/>
      <c r="F729" s="392"/>
      <c r="G729" s="392"/>
      <c r="H729" s="394"/>
    </row>
    <row r="730">
      <c r="A730" s="395"/>
      <c r="B730" s="393"/>
      <c r="C730" s="392"/>
      <c r="D730" s="392"/>
      <c r="E730" s="392"/>
      <c r="F730" s="392"/>
      <c r="G730" s="392"/>
      <c r="H730" s="394"/>
    </row>
    <row r="731">
      <c r="A731" s="395"/>
      <c r="B731" s="393"/>
      <c r="C731" s="392"/>
      <c r="D731" s="392"/>
      <c r="E731" s="392"/>
      <c r="F731" s="392"/>
      <c r="G731" s="392"/>
      <c r="H731" s="394"/>
    </row>
    <row r="732">
      <c r="A732" s="395"/>
      <c r="B732" s="393"/>
      <c r="C732" s="392"/>
      <c r="D732" s="392"/>
      <c r="E732" s="392"/>
      <c r="F732" s="392"/>
      <c r="G732" s="392"/>
      <c r="H732" s="394"/>
    </row>
    <row r="733">
      <c r="A733" s="395"/>
      <c r="B733" s="393"/>
      <c r="C733" s="392"/>
      <c r="D733" s="392"/>
      <c r="E733" s="392"/>
      <c r="F733" s="392"/>
      <c r="G733" s="392"/>
      <c r="H733" s="394"/>
    </row>
    <row r="734">
      <c r="A734" s="395"/>
      <c r="B734" s="393"/>
      <c r="C734" s="392"/>
      <c r="D734" s="392"/>
      <c r="E734" s="392"/>
      <c r="F734" s="392"/>
      <c r="G734" s="392"/>
      <c r="H734" s="394"/>
    </row>
    <row r="735">
      <c r="A735" s="395"/>
      <c r="B735" s="393"/>
      <c r="C735" s="392"/>
      <c r="D735" s="392"/>
      <c r="E735" s="392"/>
      <c r="F735" s="392"/>
      <c r="G735" s="392"/>
      <c r="H735" s="394"/>
    </row>
    <row r="736">
      <c r="A736" s="395"/>
      <c r="B736" s="393"/>
      <c r="C736" s="392"/>
      <c r="D736" s="392"/>
      <c r="E736" s="392"/>
      <c r="F736" s="392"/>
      <c r="G736" s="392"/>
      <c r="H736" s="394"/>
    </row>
    <row r="737">
      <c r="A737" s="395"/>
      <c r="B737" s="393"/>
      <c r="C737" s="392"/>
      <c r="D737" s="392"/>
      <c r="E737" s="392"/>
      <c r="F737" s="392"/>
      <c r="G737" s="392"/>
      <c r="H737" s="394"/>
    </row>
    <row r="738">
      <c r="A738" s="395"/>
      <c r="B738" s="393"/>
      <c r="C738" s="392"/>
      <c r="D738" s="392"/>
      <c r="E738" s="392"/>
      <c r="F738" s="392"/>
      <c r="G738" s="392"/>
      <c r="H738" s="394"/>
    </row>
    <row r="739">
      <c r="A739" s="395"/>
      <c r="B739" s="393"/>
      <c r="C739" s="392"/>
      <c r="D739" s="392"/>
      <c r="E739" s="392"/>
      <c r="F739" s="392"/>
      <c r="G739" s="392"/>
      <c r="H739" s="394"/>
    </row>
    <row r="740">
      <c r="A740" s="395"/>
      <c r="B740" s="393"/>
      <c r="C740" s="392"/>
      <c r="D740" s="392"/>
      <c r="E740" s="392"/>
      <c r="F740" s="392"/>
      <c r="G740" s="392"/>
      <c r="H740" s="394"/>
    </row>
    <row r="741">
      <c r="A741" s="395"/>
      <c r="B741" s="393"/>
      <c r="C741" s="392"/>
      <c r="D741" s="392"/>
      <c r="E741" s="392"/>
      <c r="F741" s="392"/>
      <c r="G741" s="392"/>
      <c r="H741" s="394"/>
    </row>
    <row r="742">
      <c r="A742" s="395"/>
      <c r="B742" s="393"/>
      <c r="C742" s="392"/>
      <c r="D742" s="392"/>
      <c r="E742" s="392"/>
      <c r="F742" s="392"/>
      <c r="G742" s="392"/>
      <c r="H742" s="394"/>
    </row>
    <row r="743">
      <c r="A743" s="395"/>
      <c r="B743" s="393"/>
      <c r="C743" s="392"/>
      <c r="D743" s="392"/>
      <c r="E743" s="392"/>
      <c r="F743" s="392"/>
      <c r="G743" s="392"/>
      <c r="H743" s="394"/>
    </row>
    <row r="744">
      <c r="A744" s="395"/>
      <c r="B744" s="393"/>
      <c r="C744" s="392"/>
      <c r="D744" s="392"/>
      <c r="E744" s="392"/>
      <c r="F744" s="392"/>
      <c r="G744" s="392"/>
      <c r="H744" s="394"/>
    </row>
    <row r="745">
      <c r="A745" s="395"/>
      <c r="B745" s="393"/>
      <c r="C745" s="392"/>
      <c r="D745" s="392"/>
      <c r="E745" s="392"/>
      <c r="F745" s="392"/>
      <c r="G745" s="392"/>
      <c r="H745" s="394"/>
    </row>
    <row r="746">
      <c r="A746" s="395"/>
      <c r="B746" s="393"/>
      <c r="C746" s="392"/>
      <c r="D746" s="392"/>
      <c r="E746" s="392"/>
      <c r="F746" s="392"/>
      <c r="G746" s="392"/>
      <c r="H746" s="394"/>
    </row>
    <row r="747">
      <c r="A747" s="395"/>
      <c r="B747" s="393"/>
      <c r="C747" s="392"/>
      <c r="D747" s="392"/>
      <c r="E747" s="392"/>
      <c r="F747" s="392"/>
      <c r="G747" s="392"/>
      <c r="H747" s="394"/>
    </row>
    <row r="748">
      <c r="A748" s="395"/>
      <c r="B748" s="393"/>
      <c r="C748" s="392"/>
      <c r="D748" s="392"/>
      <c r="E748" s="392"/>
      <c r="F748" s="392"/>
      <c r="G748" s="392"/>
      <c r="H748" s="394"/>
    </row>
    <row r="749">
      <c r="A749" s="395"/>
      <c r="B749" s="393"/>
      <c r="C749" s="392"/>
      <c r="D749" s="392"/>
      <c r="E749" s="392"/>
      <c r="F749" s="392"/>
      <c r="G749" s="392"/>
      <c r="H749" s="394"/>
    </row>
    <row r="750">
      <c r="A750" s="395"/>
      <c r="B750" s="393"/>
      <c r="C750" s="392"/>
      <c r="D750" s="392"/>
      <c r="E750" s="392"/>
      <c r="F750" s="392"/>
      <c r="G750" s="392"/>
      <c r="H750" s="394"/>
    </row>
    <row r="751">
      <c r="A751" s="395"/>
      <c r="B751" s="393"/>
      <c r="C751" s="392"/>
      <c r="D751" s="392"/>
      <c r="E751" s="392"/>
      <c r="F751" s="392"/>
      <c r="G751" s="392"/>
      <c r="H751" s="394"/>
    </row>
    <row r="752">
      <c r="A752" s="395"/>
      <c r="B752" s="393"/>
      <c r="C752" s="392"/>
      <c r="D752" s="392"/>
      <c r="E752" s="392"/>
      <c r="F752" s="392"/>
      <c r="G752" s="392"/>
      <c r="H752" s="394"/>
    </row>
    <row r="753">
      <c r="A753" s="395"/>
      <c r="B753" s="393"/>
      <c r="C753" s="392"/>
      <c r="D753" s="392"/>
      <c r="E753" s="392"/>
      <c r="F753" s="392"/>
      <c r="G753" s="392"/>
      <c r="H753" s="394"/>
    </row>
    <row r="754">
      <c r="A754" s="395"/>
      <c r="B754" s="393"/>
      <c r="C754" s="392"/>
      <c r="D754" s="392"/>
      <c r="E754" s="392"/>
      <c r="F754" s="392"/>
      <c r="G754" s="392"/>
      <c r="H754" s="394"/>
    </row>
    <row r="755">
      <c r="A755" s="395"/>
      <c r="B755" s="393"/>
      <c r="C755" s="392"/>
      <c r="D755" s="392"/>
      <c r="E755" s="392"/>
      <c r="F755" s="392"/>
      <c r="G755" s="392"/>
      <c r="H755" s="394"/>
    </row>
    <row r="756">
      <c r="A756" s="395"/>
      <c r="B756" s="393"/>
      <c r="C756" s="392"/>
      <c r="D756" s="392"/>
      <c r="E756" s="392"/>
      <c r="F756" s="392"/>
      <c r="G756" s="392"/>
      <c r="H756" s="394"/>
    </row>
    <row r="757">
      <c r="A757" s="395"/>
      <c r="B757" s="393"/>
      <c r="C757" s="392"/>
      <c r="D757" s="392"/>
      <c r="E757" s="392"/>
      <c r="F757" s="392"/>
      <c r="G757" s="392"/>
      <c r="H757" s="394"/>
    </row>
    <row r="758">
      <c r="A758" s="395"/>
      <c r="B758" s="393"/>
      <c r="C758" s="392"/>
      <c r="D758" s="392"/>
      <c r="E758" s="392"/>
      <c r="F758" s="392"/>
      <c r="G758" s="392"/>
      <c r="H758" s="394"/>
    </row>
    <row r="759">
      <c r="A759" s="395"/>
      <c r="B759" s="393"/>
      <c r="C759" s="392"/>
      <c r="D759" s="392"/>
      <c r="E759" s="392"/>
      <c r="F759" s="392"/>
      <c r="G759" s="392"/>
      <c r="H759" s="394"/>
    </row>
    <row r="760">
      <c r="A760" s="395"/>
      <c r="B760" s="393"/>
      <c r="C760" s="392"/>
      <c r="D760" s="392"/>
      <c r="E760" s="392"/>
      <c r="F760" s="392"/>
      <c r="G760" s="392"/>
      <c r="H760" s="394"/>
    </row>
    <row r="761">
      <c r="A761" s="395"/>
      <c r="B761" s="393"/>
      <c r="C761" s="392"/>
      <c r="D761" s="392"/>
      <c r="E761" s="392"/>
      <c r="F761" s="392"/>
      <c r="G761" s="392"/>
      <c r="H761" s="394"/>
    </row>
    <row r="762">
      <c r="A762" s="395"/>
      <c r="B762" s="393"/>
      <c r="C762" s="392"/>
      <c r="D762" s="392"/>
      <c r="E762" s="392"/>
      <c r="F762" s="392"/>
      <c r="G762" s="392"/>
      <c r="H762" s="394"/>
    </row>
    <row r="763">
      <c r="A763" s="395"/>
      <c r="B763" s="393"/>
      <c r="C763" s="392"/>
      <c r="D763" s="392"/>
      <c r="E763" s="392"/>
      <c r="F763" s="392"/>
      <c r="G763" s="392"/>
      <c r="H763" s="394"/>
    </row>
    <row r="764">
      <c r="A764" s="395"/>
      <c r="B764" s="393"/>
      <c r="C764" s="392"/>
      <c r="D764" s="392"/>
      <c r="E764" s="392"/>
      <c r="F764" s="392"/>
      <c r="G764" s="392"/>
      <c r="H764" s="394"/>
    </row>
    <row r="765">
      <c r="A765" s="395"/>
      <c r="B765" s="393"/>
      <c r="C765" s="392"/>
      <c r="D765" s="392"/>
      <c r="E765" s="392"/>
      <c r="F765" s="392"/>
      <c r="G765" s="392"/>
      <c r="H765" s="394"/>
    </row>
    <row r="766">
      <c r="A766" s="395"/>
      <c r="B766" s="393"/>
      <c r="C766" s="392"/>
      <c r="D766" s="392"/>
      <c r="E766" s="392"/>
      <c r="F766" s="392"/>
      <c r="G766" s="392"/>
      <c r="H766" s="394"/>
    </row>
    <row r="767">
      <c r="A767" s="395"/>
      <c r="B767" s="393"/>
      <c r="C767" s="392"/>
      <c r="D767" s="392"/>
      <c r="E767" s="392"/>
      <c r="F767" s="392"/>
      <c r="G767" s="392"/>
      <c r="H767" s="394"/>
    </row>
    <row r="768">
      <c r="A768" s="395"/>
      <c r="B768" s="393"/>
      <c r="C768" s="392"/>
      <c r="D768" s="392"/>
      <c r="E768" s="392"/>
      <c r="F768" s="392"/>
      <c r="G768" s="392"/>
      <c r="H768" s="394"/>
    </row>
    <row r="769">
      <c r="A769" s="395"/>
      <c r="B769" s="393"/>
      <c r="C769" s="392"/>
      <c r="D769" s="392"/>
      <c r="E769" s="392"/>
      <c r="F769" s="392"/>
      <c r="G769" s="392"/>
      <c r="H769" s="394"/>
    </row>
    <row r="770">
      <c r="A770" s="395"/>
      <c r="B770" s="393"/>
      <c r="C770" s="392"/>
      <c r="D770" s="392"/>
      <c r="E770" s="392"/>
      <c r="F770" s="392"/>
      <c r="G770" s="392"/>
      <c r="H770" s="394"/>
    </row>
    <row r="771">
      <c r="A771" s="395"/>
      <c r="B771" s="393"/>
      <c r="C771" s="392"/>
      <c r="D771" s="392"/>
      <c r="E771" s="392"/>
      <c r="F771" s="392"/>
      <c r="G771" s="392"/>
      <c r="H771" s="394"/>
    </row>
    <row r="772">
      <c r="A772" s="395"/>
      <c r="B772" s="393"/>
      <c r="C772" s="392"/>
      <c r="D772" s="392"/>
      <c r="E772" s="392"/>
      <c r="F772" s="392"/>
      <c r="G772" s="392"/>
      <c r="H772" s="394"/>
    </row>
    <row r="773">
      <c r="A773" s="395"/>
      <c r="B773" s="393"/>
      <c r="C773" s="392"/>
      <c r="D773" s="392"/>
      <c r="E773" s="392"/>
      <c r="F773" s="392"/>
      <c r="G773" s="392"/>
      <c r="H773" s="394"/>
    </row>
    <row r="774">
      <c r="A774" s="395"/>
      <c r="B774" s="393"/>
      <c r="C774" s="392"/>
      <c r="D774" s="392"/>
      <c r="E774" s="392"/>
      <c r="F774" s="392"/>
      <c r="G774" s="392"/>
      <c r="H774" s="394"/>
    </row>
    <row r="775">
      <c r="A775" s="395"/>
      <c r="B775" s="393"/>
      <c r="C775" s="392"/>
      <c r="D775" s="392"/>
      <c r="E775" s="392"/>
      <c r="F775" s="392"/>
      <c r="G775" s="392"/>
      <c r="H775" s="394"/>
    </row>
    <row r="776">
      <c r="A776" s="395"/>
      <c r="B776" s="393"/>
      <c r="C776" s="392"/>
      <c r="D776" s="392"/>
      <c r="E776" s="392"/>
      <c r="F776" s="392"/>
      <c r="G776" s="392"/>
      <c r="H776" s="394"/>
    </row>
    <row r="777">
      <c r="A777" s="395"/>
      <c r="B777" s="393"/>
      <c r="C777" s="392"/>
      <c r="D777" s="392"/>
      <c r="E777" s="392"/>
      <c r="F777" s="392"/>
      <c r="G777" s="392"/>
      <c r="H777" s="394"/>
    </row>
    <row r="778">
      <c r="A778" s="395"/>
      <c r="B778" s="393"/>
      <c r="C778" s="392"/>
      <c r="D778" s="392"/>
      <c r="E778" s="392"/>
      <c r="F778" s="392"/>
      <c r="G778" s="392"/>
      <c r="H778" s="394"/>
    </row>
    <row r="779">
      <c r="A779" s="395"/>
      <c r="B779" s="393"/>
      <c r="C779" s="392"/>
      <c r="D779" s="392"/>
      <c r="E779" s="392"/>
      <c r="F779" s="392"/>
      <c r="G779" s="392"/>
      <c r="H779" s="394"/>
    </row>
    <row r="780">
      <c r="A780" s="395"/>
      <c r="B780" s="393"/>
      <c r="C780" s="392"/>
      <c r="D780" s="392"/>
      <c r="E780" s="392"/>
      <c r="F780" s="392"/>
      <c r="G780" s="392"/>
      <c r="H780" s="394"/>
    </row>
    <row r="781">
      <c r="A781" s="395"/>
      <c r="B781" s="393"/>
      <c r="C781" s="392"/>
      <c r="D781" s="392"/>
      <c r="E781" s="392"/>
      <c r="F781" s="392"/>
      <c r="G781" s="392"/>
      <c r="H781" s="394"/>
    </row>
    <row r="782">
      <c r="A782" s="395"/>
      <c r="B782" s="393"/>
      <c r="C782" s="392"/>
      <c r="D782" s="392"/>
      <c r="E782" s="392"/>
      <c r="F782" s="392"/>
      <c r="G782" s="392"/>
      <c r="H782" s="394"/>
    </row>
    <row r="783">
      <c r="A783" s="395"/>
      <c r="B783" s="393"/>
      <c r="C783" s="392"/>
      <c r="D783" s="392"/>
      <c r="E783" s="392"/>
      <c r="F783" s="392"/>
      <c r="G783" s="392"/>
      <c r="H783" s="394"/>
    </row>
    <row r="784">
      <c r="A784" s="395"/>
      <c r="B784" s="393"/>
      <c r="C784" s="392"/>
      <c r="D784" s="392"/>
      <c r="E784" s="392"/>
      <c r="F784" s="392"/>
      <c r="G784" s="392"/>
      <c r="H784" s="394"/>
    </row>
    <row r="785">
      <c r="A785" s="395"/>
      <c r="B785" s="393"/>
      <c r="C785" s="392"/>
      <c r="D785" s="392"/>
      <c r="E785" s="392"/>
      <c r="F785" s="392"/>
      <c r="G785" s="392"/>
      <c r="H785" s="394"/>
    </row>
    <row r="786">
      <c r="A786" s="395"/>
      <c r="B786" s="393"/>
      <c r="C786" s="392"/>
      <c r="D786" s="392"/>
      <c r="E786" s="392"/>
      <c r="F786" s="392"/>
      <c r="G786" s="392"/>
      <c r="H786" s="394"/>
    </row>
    <row r="787">
      <c r="A787" s="395"/>
      <c r="B787" s="393"/>
      <c r="C787" s="392"/>
      <c r="D787" s="392"/>
      <c r="E787" s="392"/>
      <c r="F787" s="392"/>
      <c r="G787" s="392"/>
      <c r="H787" s="394"/>
    </row>
    <row r="788">
      <c r="A788" s="395"/>
      <c r="B788" s="393"/>
      <c r="C788" s="392"/>
      <c r="D788" s="392"/>
      <c r="E788" s="392"/>
      <c r="F788" s="392"/>
      <c r="G788" s="392"/>
      <c r="H788" s="394"/>
    </row>
    <row r="789">
      <c r="A789" s="395"/>
      <c r="B789" s="393"/>
      <c r="C789" s="392"/>
      <c r="D789" s="392"/>
      <c r="E789" s="392"/>
      <c r="F789" s="392"/>
      <c r="G789" s="392"/>
      <c r="H789" s="394"/>
    </row>
    <row r="790">
      <c r="A790" s="395"/>
      <c r="B790" s="393"/>
      <c r="C790" s="392"/>
      <c r="D790" s="392"/>
      <c r="E790" s="392"/>
      <c r="F790" s="392"/>
      <c r="G790" s="392"/>
      <c r="H790" s="394"/>
    </row>
    <row r="791">
      <c r="A791" s="395"/>
      <c r="B791" s="393"/>
      <c r="C791" s="392"/>
      <c r="D791" s="392"/>
      <c r="E791" s="392"/>
      <c r="F791" s="392"/>
      <c r="G791" s="392"/>
      <c r="H791" s="394"/>
    </row>
    <row r="792">
      <c r="A792" s="395"/>
      <c r="B792" s="393"/>
      <c r="C792" s="392"/>
      <c r="D792" s="392"/>
      <c r="E792" s="392"/>
      <c r="F792" s="392"/>
      <c r="G792" s="392"/>
      <c r="H792" s="394"/>
    </row>
    <row r="793">
      <c r="A793" s="395"/>
      <c r="B793" s="393"/>
      <c r="C793" s="392"/>
      <c r="D793" s="392"/>
      <c r="E793" s="392"/>
      <c r="F793" s="392"/>
      <c r="G793" s="392"/>
      <c r="H793" s="394"/>
    </row>
    <row r="794">
      <c r="A794" s="395"/>
      <c r="B794" s="393"/>
      <c r="C794" s="392"/>
      <c r="D794" s="392"/>
      <c r="E794" s="392"/>
      <c r="F794" s="392"/>
      <c r="G794" s="392"/>
      <c r="H794" s="394"/>
    </row>
    <row r="795">
      <c r="A795" s="395"/>
      <c r="B795" s="393"/>
      <c r="C795" s="392"/>
      <c r="D795" s="392"/>
      <c r="E795" s="392"/>
      <c r="F795" s="392"/>
      <c r="G795" s="392"/>
      <c r="H795" s="394"/>
    </row>
    <row r="796">
      <c r="A796" s="395"/>
      <c r="B796" s="393"/>
      <c r="C796" s="392"/>
      <c r="D796" s="392"/>
      <c r="E796" s="392"/>
      <c r="F796" s="392"/>
      <c r="G796" s="392"/>
      <c r="H796" s="394"/>
    </row>
    <row r="797">
      <c r="A797" s="395"/>
      <c r="B797" s="393"/>
      <c r="C797" s="392"/>
      <c r="D797" s="392"/>
      <c r="E797" s="392"/>
      <c r="F797" s="392"/>
      <c r="G797" s="392"/>
      <c r="H797" s="394"/>
    </row>
    <row r="798">
      <c r="A798" s="395"/>
      <c r="B798" s="393"/>
      <c r="C798" s="392"/>
      <c r="D798" s="392"/>
      <c r="E798" s="392"/>
      <c r="F798" s="392"/>
      <c r="G798" s="392"/>
      <c r="H798" s="394"/>
    </row>
    <row r="799">
      <c r="A799" s="395"/>
      <c r="B799" s="393"/>
      <c r="C799" s="392"/>
      <c r="D799" s="392"/>
      <c r="E799" s="392"/>
      <c r="F799" s="392"/>
      <c r="G799" s="392"/>
      <c r="H799" s="394"/>
    </row>
    <row r="800">
      <c r="A800" s="395"/>
      <c r="B800" s="393"/>
      <c r="C800" s="392"/>
      <c r="D800" s="392"/>
      <c r="E800" s="392"/>
      <c r="F800" s="392"/>
      <c r="G800" s="392"/>
      <c r="H800" s="394"/>
    </row>
    <row r="801">
      <c r="A801" s="395"/>
      <c r="B801" s="393"/>
      <c r="C801" s="392"/>
      <c r="D801" s="392"/>
      <c r="E801" s="392"/>
      <c r="F801" s="392"/>
      <c r="G801" s="392"/>
      <c r="H801" s="394"/>
    </row>
    <row r="802">
      <c r="A802" s="395"/>
      <c r="B802" s="393"/>
      <c r="C802" s="392"/>
      <c r="D802" s="392"/>
      <c r="E802" s="392"/>
      <c r="F802" s="392"/>
      <c r="G802" s="392"/>
      <c r="H802" s="394"/>
    </row>
    <row r="803">
      <c r="A803" s="395"/>
      <c r="B803" s="393"/>
      <c r="C803" s="392"/>
      <c r="D803" s="392"/>
      <c r="E803" s="392"/>
      <c r="F803" s="392"/>
      <c r="G803" s="392"/>
      <c r="H803" s="394"/>
    </row>
    <row r="804">
      <c r="A804" s="395"/>
      <c r="B804" s="393"/>
      <c r="C804" s="392"/>
      <c r="D804" s="392"/>
      <c r="E804" s="392"/>
      <c r="F804" s="392"/>
      <c r="G804" s="392"/>
      <c r="H804" s="394"/>
    </row>
    <row r="805">
      <c r="A805" s="395"/>
      <c r="B805" s="393"/>
      <c r="C805" s="392"/>
      <c r="D805" s="392"/>
      <c r="E805" s="392"/>
      <c r="F805" s="392"/>
      <c r="G805" s="392"/>
      <c r="H805" s="394"/>
    </row>
    <row r="806">
      <c r="A806" s="395"/>
      <c r="B806" s="393"/>
      <c r="C806" s="392"/>
      <c r="D806" s="392"/>
      <c r="E806" s="392"/>
      <c r="F806" s="392"/>
      <c r="G806" s="392"/>
      <c r="H806" s="394"/>
    </row>
    <row r="807">
      <c r="A807" s="395"/>
      <c r="B807" s="393"/>
      <c r="C807" s="392"/>
      <c r="D807" s="392"/>
      <c r="E807" s="392"/>
      <c r="F807" s="392"/>
      <c r="G807" s="392"/>
      <c r="H807" s="394"/>
    </row>
    <row r="808">
      <c r="A808" s="395"/>
      <c r="B808" s="393"/>
      <c r="C808" s="392"/>
      <c r="D808" s="392"/>
      <c r="E808" s="392"/>
      <c r="F808" s="392"/>
      <c r="G808" s="392"/>
      <c r="H808" s="394"/>
    </row>
    <row r="809">
      <c r="A809" s="395"/>
      <c r="B809" s="393"/>
      <c r="C809" s="392"/>
      <c r="D809" s="392"/>
      <c r="E809" s="392"/>
      <c r="F809" s="392"/>
      <c r="G809" s="392"/>
      <c r="H809" s="394"/>
    </row>
    <row r="810">
      <c r="A810" s="395"/>
      <c r="B810" s="393"/>
      <c r="C810" s="392"/>
      <c r="D810" s="392"/>
      <c r="E810" s="392"/>
      <c r="F810" s="392"/>
      <c r="G810" s="392"/>
      <c r="H810" s="394"/>
    </row>
    <row r="811">
      <c r="A811" s="395"/>
      <c r="B811" s="393"/>
      <c r="C811" s="392"/>
      <c r="D811" s="392"/>
      <c r="E811" s="392"/>
      <c r="F811" s="392"/>
      <c r="G811" s="392"/>
      <c r="H811" s="394"/>
    </row>
    <row r="812">
      <c r="A812" s="395"/>
      <c r="B812" s="393"/>
      <c r="C812" s="392"/>
      <c r="D812" s="392"/>
      <c r="E812" s="392"/>
      <c r="F812" s="392"/>
      <c r="G812" s="392"/>
      <c r="H812" s="394"/>
    </row>
    <row r="813">
      <c r="A813" s="395"/>
      <c r="B813" s="393"/>
      <c r="C813" s="392"/>
      <c r="D813" s="392"/>
      <c r="E813" s="392"/>
      <c r="F813" s="392"/>
      <c r="G813" s="392"/>
      <c r="H813" s="394"/>
    </row>
    <row r="814">
      <c r="A814" s="395"/>
      <c r="B814" s="393"/>
      <c r="C814" s="392"/>
      <c r="D814" s="392"/>
      <c r="E814" s="392"/>
      <c r="F814" s="392"/>
      <c r="G814" s="392"/>
      <c r="H814" s="394"/>
    </row>
    <row r="815">
      <c r="A815" s="395"/>
      <c r="B815" s="393"/>
      <c r="C815" s="392"/>
      <c r="D815" s="392"/>
      <c r="E815" s="392"/>
      <c r="F815" s="392"/>
      <c r="G815" s="392"/>
      <c r="H815" s="394"/>
    </row>
    <row r="816">
      <c r="A816" s="395"/>
      <c r="B816" s="393"/>
      <c r="C816" s="392"/>
      <c r="D816" s="392"/>
      <c r="E816" s="392"/>
      <c r="F816" s="392"/>
      <c r="G816" s="392"/>
      <c r="H816" s="394"/>
    </row>
    <row r="817">
      <c r="A817" s="395"/>
      <c r="B817" s="393"/>
      <c r="C817" s="392"/>
      <c r="D817" s="392"/>
      <c r="E817" s="392"/>
      <c r="F817" s="392"/>
      <c r="G817" s="392"/>
      <c r="H817" s="394"/>
    </row>
    <row r="818">
      <c r="A818" s="395"/>
      <c r="B818" s="393"/>
      <c r="C818" s="392"/>
      <c r="D818" s="392"/>
      <c r="E818" s="392"/>
      <c r="F818" s="392"/>
      <c r="G818" s="392"/>
      <c r="H818" s="394"/>
    </row>
    <row r="819">
      <c r="A819" s="395"/>
      <c r="B819" s="393"/>
      <c r="C819" s="392"/>
      <c r="D819" s="392"/>
      <c r="E819" s="392"/>
      <c r="F819" s="392"/>
      <c r="G819" s="392"/>
      <c r="H819" s="394"/>
    </row>
    <row r="820">
      <c r="A820" s="395"/>
      <c r="B820" s="393"/>
      <c r="C820" s="392"/>
      <c r="D820" s="392"/>
      <c r="E820" s="392"/>
      <c r="F820" s="392"/>
      <c r="G820" s="392"/>
      <c r="H820" s="394"/>
    </row>
    <row r="821">
      <c r="A821" s="395"/>
      <c r="B821" s="393"/>
      <c r="C821" s="392"/>
      <c r="D821" s="392"/>
      <c r="E821" s="392"/>
      <c r="F821" s="392"/>
      <c r="G821" s="392"/>
      <c r="H821" s="394"/>
    </row>
    <row r="822">
      <c r="A822" s="395"/>
      <c r="B822" s="393"/>
      <c r="C822" s="392"/>
      <c r="D822" s="392"/>
      <c r="E822" s="392"/>
      <c r="F822" s="392"/>
      <c r="G822" s="392"/>
      <c r="H822" s="394"/>
    </row>
    <row r="823">
      <c r="A823" s="395"/>
      <c r="B823" s="393"/>
      <c r="C823" s="392"/>
      <c r="D823" s="392"/>
      <c r="E823" s="392"/>
      <c r="F823" s="392"/>
      <c r="G823" s="392"/>
      <c r="H823" s="394"/>
    </row>
    <row r="824">
      <c r="A824" s="395"/>
      <c r="B824" s="393"/>
      <c r="C824" s="392"/>
      <c r="D824" s="392"/>
      <c r="E824" s="392"/>
      <c r="F824" s="392"/>
      <c r="G824" s="392"/>
      <c r="H824" s="394"/>
    </row>
    <row r="825">
      <c r="A825" s="395"/>
      <c r="B825" s="393"/>
      <c r="C825" s="392"/>
      <c r="D825" s="392"/>
      <c r="E825" s="392"/>
      <c r="F825" s="392"/>
      <c r="G825" s="392"/>
      <c r="H825" s="394"/>
    </row>
    <row r="826">
      <c r="A826" s="395"/>
      <c r="B826" s="393"/>
      <c r="C826" s="392"/>
      <c r="D826" s="392"/>
      <c r="E826" s="392"/>
      <c r="F826" s="392"/>
      <c r="G826" s="392"/>
      <c r="H826" s="394"/>
    </row>
    <row r="827">
      <c r="A827" s="395"/>
      <c r="B827" s="393"/>
      <c r="C827" s="392"/>
      <c r="D827" s="392"/>
      <c r="E827" s="392"/>
      <c r="F827" s="392"/>
      <c r="G827" s="392"/>
      <c r="H827" s="394"/>
    </row>
    <row r="828">
      <c r="A828" s="395"/>
      <c r="B828" s="393"/>
      <c r="C828" s="392"/>
      <c r="D828" s="392"/>
      <c r="E828" s="392"/>
      <c r="F828" s="392"/>
      <c r="G828" s="392"/>
      <c r="H828" s="394"/>
    </row>
    <row r="829">
      <c r="A829" s="395"/>
      <c r="B829" s="393"/>
      <c r="C829" s="392"/>
      <c r="D829" s="392"/>
      <c r="E829" s="392"/>
      <c r="F829" s="392"/>
      <c r="G829" s="392"/>
      <c r="H829" s="394"/>
    </row>
    <row r="830">
      <c r="A830" s="395"/>
      <c r="B830" s="393"/>
      <c r="C830" s="392"/>
      <c r="D830" s="392"/>
      <c r="E830" s="392"/>
      <c r="F830" s="392"/>
      <c r="G830" s="392"/>
      <c r="H830" s="394"/>
    </row>
    <row r="831">
      <c r="A831" s="395"/>
      <c r="B831" s="393"/>
      <c r="C831" s="392"/>
      <c r="D831" s="392"/>
      <c r="E831" s="392"/>
      <c r="F831" s="392"/>
      <c r="G831" s="392"/>
      <c r="H831" s="394"/>
    </row>
    <row r="832">
      <c r="A832" s="395"/>
      <c r="B832" s="393"/>
      <c r="C832" s="392"/>
      <c r="D832" s="392"/>
      <c r="E832" s="392"/>
      <c r="F832" s="392"/>
      <c r="G832" s="392"/>
      <c r="H832" s="394"/>
    </row>
    <row r="833">
      <c r="A833" s="395"/>
      <c r="B833" s="393"/>
      <c r="C833" s="392"/>
      <c r="D833" s="392"/>
      <c r="E833" s="392"/>
      <c r="F833" s="392"/>
      <c r="G833" s="392"/>
      <c r="H833" s="394"/>
    </row>
    <row r="834">
      <c r="A834" s="395"/>
      <c r="B834" s="393"/>
      <c r="C834" s="392"/>
      <c r="D834" s="392"/>
      <c r="E834" s="392"/>
      <c r="F834" s="392"/>
      <c r="G834" s="392"/>
      <c r="H834" s="394"/>
    </row>
    <row r="835">
      <c r="A835" s="395"/>
      <c r="B835" s="393"/>
      <c r="C835" s="392"/>
      <c r="D835" s="392"/>
      <c r="E835" s="392"/>
      <c r="F835" s="392"/>
      <c r="G835" s="392"/>
      <c r="H835" s="394"/>
    </row>
    <row r="836">
      <c r="A836" s="395"/>
      <c r="B836" s="393"/>
      <c r="C836" s="392"/>
      <c r="D836" s="392"/>
      <c r="E836" s="392"/>
      <c r="F836" s="392"/>
      <c r="G836" s="392"/>
      <c r="H836" s="394"/>
    </row>
    <row r="837">
      <c r="A837" s="395"/>
      <c r="B837" s="393"/>
      <c r="C837" s="392"/>
      <c r="D837" s="392"/>
      <c r="E837" s="392"/>
      <c r="F837" s="392"/>
      <c r="G837" s="392"/>
      <c r="H837" s="394"/>
    </row>
    <row r="838">
      <c r="A838" s="395"/>
      <c r="B838" s="393"/>
      <c r="C838" s="392"/>
      <c r="D838" s="392"/>
      <c r="E838" s="392"/>
      <c r="F838" s="392"/>
      <c r="G838" s="392"/>
      <c r="H838" s="394"/>
    </row>
    <row r="839">
      <c r="A839" s="395"/>
      <c r="B839" s="393"/>
      <c r="C839" s="392"/>
      <c r="D839" s="392"/>
      <c r="E839" s="392"/>
      <c r="F839" s="392"/>
      <c r="G839" s="392"/>
      <c r="H839" s="394"/>
    </row>
    <row r="840">
      <c r="A840" s="395"/>
      <c r="B840" s="393"/>
      <c r="C840" s="392"/>
      <c r="D840" s="392"/>
      <c r="E840" s="392"/>
      <c r="F840" s="392"/>
      <c r="G840" s="392"/>
      <c r="H840" s="394"/>
    </row>
    <row r="841">
      <c r="A841" s="395"/>
      <c r="B841" s="393"/>
      <c r="C841" s="392"/>
      <c r="D841" s="392"/>
      <c r="E841" s="392"/>
      <c r="F841" s="392"/>
      <c r="G841" s="392"/>
      <c r="H841" s="394"/>
    </row>
    <row r="842">
      <c r="A842" s="395"/>
      <c r="B842" s="393"/>
      <c r="C842" s="392"/>
      <c r="D842" s="392"/>
      <c r="E842" s="392"/>
      <c r="F842" s="392"/>
      <c r="G842" s="392"/>
      <c r="H842" s="394"/>
    </row>
    <row r="843">
      <c r="A843" s="395"/>
      <c r="B843" s="393"/>
      <c r="C843" s="392"/>
      <c r="D843" s="392"/>
      <c r="E843" s="392"/>
      <c r="F843" s="392"/>
      <c r="G843" s="392"/>
      <c r="H843" s="394"/>
    </row>
    <row r="844">
      <c r="A844" s="395"/>
      <c r="B844" s="393"/>
      <c r="C844" s="392"/>
      <c r="D844" s="392"/>
      <c r="E844" s="392"/>
      <c r="F844" s="392"/>
      <c r="G844" s="392"/>
      <c r="H844" s="394"/>
    </row>
    <row r="845">
      <c r="A845" s="395"/>
      <c r="B845" s="393"/>
      <c r="C845" s="392"/>
      <c r="D845" s="392"/>
      <c r="E845" s="392"/>
      <c r="F845" s="392"/>
      <c r="G845" s="392"/>
      <c r="H845" s="394"/>
    </row>
    <row r="846">
      <c r="A846" s="395"/>
      <c r="B846" s="393"/>
      <c r="C846" s="392"/>
      <c r="D846" s="392"/>
      <c r="E846" s="392"/>
      <c r="F846" s="392"/>
      <c r="G846" s="392"/>
      <c r="H846" s="394"/>
    </row>
    <row r="847">
      <c r="A847" s="395"/>
      <c r="B847" s="393"/>
      <c r="C847" s="392"/>
      <c r="D847" s="392"/>
      <c r="E847" s="392"/>
      <c r="F847" s="392"/>
      <c r="G847" s="392"/>
      <c r="H847" s="394"/>
    </row>
    <row r="848">
      <c r="A848" s="395"/>
      <c r="B848" s="393"/>
      <c r="C848" s="392"/>
      <c r="D848" s="392"/>
      <c r="E848" s="392"/>
      <c r="F848" s="392"/>
      <c r="G848" s="392"/>
      <c r="H848" s="394"/>
    </row>
    <row r="849">
      <c r="A849" s="395"/>
      <c r="B849" s="393"/>
      <c r="C849" s="392"/>
      <c r="D849" s="392"/>
      <c r="E849" s="392"/>
      <c r="F849" s="392"/>
      <c r="G849" s="392"/>
      <c r="H849" s="394"/>
    </row>
    <row r="850">
      <c r="A850" s="395"/>
      <c r="B850" s="393"/>
      <c r="C850" s="392"/>
      <c r="D850" s="392"/>
      <c r="E850" s="392"/>
      <c r="F850" s="392"/>
      <c r="G850" s="392"/>
      <c r="H850" s="394"/>
    </row>
    <row r="851">
      <c r="A851" s="395"/>
      <c r="B851" s="393"/>
      <c r="C851" s="392"/>
      <c r="D851" s="392"/>
      <c r="E851" s="392"/>
      <c r="F851" s="392"/>
      <c r="G851" s="392"/>
      <c r="H851" s="394"/>
    </row>
    <row r="852">
      <c r="A852" s="395"/>
      <c r="B852" s="393"/>
      <c r="C852" s="392"/>
      <c r="D852" s="392"/>
      <c r="E852" s="392"/>
      <c r="F852" s="392"/>
      <c r="G852" s="392"/>
      <c r="H852" s="394"/>
    </row>
    <row r="853">
      <c r="A853" s="395"/>
      <c r="B853" s="393"/>
      <c r="C853" s="392"/>
      <c r="D853" s="392"/>
      <c r="E853" s="392"/>
      <c r="F853" s="392"/>
      <c r="G853" s="392"/>
      <c r="H853" s="394"/>
    </row>
    <row r="854">
      <c r="A854" s="395"/>
      <c r="B854" s="393"/>
      <c r="C854" s="392"/>
      <c r="D854" s="392"/>
      <c r="E854" s="392"/>
      <c r="F854" s="392"/>
      <c r="G854" s="392"/>
      <c r="H854" s="394"/>
    </row>
    <row r="855">
      <c r="A855" s="395"/>
      <c r="B855" s="393"/>
      <c r="C855" s="392"/>
      <c r="D855" s="392"/>
      <c r="E855" s="392"/>
      <c r="F855" s="392"/>
      <c r="G855" s="392"/>
      <c r="H855" s="394"/>
    </row>
    <row r="856">
      <c r="A856" s="395"/>
      <c r="B856" s="393"/>
      <c r="C856" s="392"/>
      <c r="D856" s="392"/>
      <c r="E856" s="392"/>
      <c r="F856" s="392"/>
      <c r="G856" s="392"/>
      <c r="H856" s="394"/>
    </row>
    <row r="857">
      <c r="A857" s="395"/>
      <c r="B857" s="393"/>
      <c r="C857" s="392"/>
      <c r="D857" s="392"/>
      <c r="E857" s="392"/>
      <c r="F857" s="392"/>
      <c r="G857" s="392"/>
      <c r="H857" s="394"/>
    </row>
    <row r="858">
      <c r="A858" s="395"/>
      <c r="B858" s="393"/>
      <c r="C858" s="392"/>
      <c r="D858" s="392"/>
      <c r="E858" s="392"/>
      <c r="F858" s="392"/>
      <c r="G858" s="392"/>
      <c r="H858" s="394"/>
    </row>
    <row r="859">
      <c r="A859" s="395"/>
      <c r="B859" s="393"/>
      <c r="C859" s="392"/>
      <c r="D859" s="392"/>
      <c r="E859" s="392"/>
      <c r="F859" s="392"/>
      <c r="G859" s="392"/>
      <c r="H859" s="394"/>
    </row>
    <row r="860">
      <c r="A860" s="395"/>
      <c r="B860" s="393"/>
      <c r="C860" s="392"/>
      <c r="D860" s="392"/>
      <c r="E860" s="392"/>
      <c r="F860" s="392"/>
      <c r="G860" s="392"/>
      <c r="H860" s="394"/>
    </row>
    <row r="861">
      <c r="A861" s="395"/>
      <c r="B861" s="393"/>
      <c r="C861" s="392"/>
      <c r="D861" s="392"/>
      <c r="E861" s="392"/>
      <c r="F861" s="392"/>
      <c r="G861" s="392"/>
      <c r="H861" s="394"/>
    </row>
    <row r="862">
      <c r="A862" s="395"/>
      <c r="B862" s="393"/>
      <c r="C862" s="392"/>
      <c r="D862" s="392"/>
      <c r="E862" s="392"/>
      <c r="F862" s="392"/>
      <c r="G862" s="392"/>
      <c r="H862" s="394"/>
    </row>
    <row r="863">
      <c r="A863" s="395"/>
      <c r="B863" s="393"/>
      <c r="C863" s="392"/>
      <c r="D863" s="392"/>
      <c r="E863" s="392"/>
      <c r="F863" s="392"/>
      <c r="G863" s="392"/>
      <c r="H863" s="394"/>
    </row>
    <row r="864">
      <c r="A864" s="395"/>
      <c r="B864" s="393"/>
      <c r="C864" s="392"/>
      <c r="D864" s="392"/>
      <c r="E864" s="392"/>
      <c r="F864" s="392"/>
      <c r="G864" s="392"/>
      <c r="H864" s="394"/>
    </row>
    <row r="865">
      <c r="A865" s="395"/>
      <c r="B865" s="393"/>
      <c r="C865" s="392"/>
      <c r="D865" s="392"/>
      <c r="E865" s="392"/>
      <c r="F865" s="392"/>
      <c r="G865" s="392"/>
      <c r="H865" s="394"/>
    </row>
    <row r="866">
      <c r="A866" s="395"/>
      <c r="B866" s="393"/>
      <c r="C866" s="392"/>
      <c r="D866" s="392"/>
      <c r="E866" s="392"/>
      <c r="F866" s="392"/>
      <c r="G866" s="392"/>
      <c r="H866" s="394"/>
    </row>
    <row r="867">
      <c r="A867" s="395"/>
      <c r="B867" s="393"/>
      <c r="C867" s="392"/>
      <c r="D867" s="392"/>
      <c r="E867" s="392"/>
      <c r="F867" s="392"/>
      <c r="G867" s="392"/>
      <c r="H867" s="394"/>
    </row>
    <row r="868">
      <c r="A868" s="395"/>
      <c r="B868" s="393"/>
      <c r="C868" s="392"/>
      <c r="D868" s="392"/>
      <c r="E868" s="392"/>
      <c r="F868" s="392"/>
      <c r="G868" s="392"/>
      <c r="H868" s="394"/>
    </row>
    <row r="869">
      <c r="A869" s="395"/>
      <c r="B869" s="393"/>
      <c r="C869" s="392"/>
      <c r="D869" s="392"/>
      <c r="E869" s="392"/>
      <c r="F869" s="392"/>
      <c r="G869" s="392"/>
      <c r="H869" s="394"/>
    </row>
    <row r="870">
      <c r="A870" s="395"/>
      <c r="B870" s="393"/>
      <c r="C870" s="392"/>
      <c r="D870" s="392"/>
      <c r="E870" s="392"/>
      <c r="F870" s="392"/>
      <c r="G870" s="392"/>
      <c r="H870" s="394"/>
    </row>
    <row r="871">
      <c r="A871" s="395"/>
      <c r="B871" s="393"/>
      <c r="C871" s="392"/>
      <c r="D871" s="392"/>
      <c r="E871" s="392"/>
      <c r="F871" s="392"/>
      <c r="G871" s="392"/>
      <c r="H871" s="394"/>
    </row>
    <row r="872">
      <c r="A872" s="395"/>
      <c r="B872" s="393"/>
      <c r="C872" s="392"/>
      <c r="D872" s="392"/>
      <c r="E872" s="392"/>
      <c r="F872" s="392"/>
      <c r="G872" s="392"/>
      <c r="H872" s="394"/>
    </row>
    <row r="873">
      <c r="A873" s="395"/>
      <c r="B873" s="393"/>
      <c r="C873" s="392"/>
      <c r="D873" s="392"/>
      <c r="E873" s="392"/>
      <c r="F873" s="392"/>
      <c r="G873" s="392"/>
      <c r="H873" s="394"/>
    </row>
    <row r="874">
      <c r="A874" s="395"/>
      <c r="B874" s="393"/>
      <c r="C874" s="392"/>
      <c r="D874" s="392"/>
      <c r="E874" s="392"/>
      <c r="F874" s="392"/>
      <c r="G874" s="392"/>
      <c r="H874" s="394"/>
    </row>
    <row r="875">
      <c r="A875" s="395"/>
      <c r="B875" s="393"/>
      <c r="C875" s="392"/>
      <c r="D875" s="392"/>
      <c r="E875" s="392"/>
      <c r="F875" s="392"/>
      <c r="G875" s="392"/>
      <c r="H875" s="394"/>
    </row>
    <row r="876">
      <c r="A876" s="395"/>
      <c r="B876" s="393"/>
      <c r="C876" s="392"/>
      <c r="D876" s="392"/>
      <c r="E876" s="392"/>
      <c r="F876" s="392"/>
      <c r="G876" s="392"/>
      <c r="H876" s="394"/>
    </row>
    <row r="877">
      <c r="A877" s="395"/>
      <c r="B877" s="393"/>
      <c r="C877" s="392"/>
      <c r="D877" s="392"/>
      <c r="E877" s="392"/>
      <c r="F877" s="392"/>
      <c r="G877" s="392"/>
      <c r="H877" s="394"/>
    </row>
    <row r="878">
      <c r="A878" s="395"/>
      <c r="B878" s="393"/>
      <c r="C878" s="392"/>
      <c r="D878" s="392"/>
      <c r="E878" s="392"/>
      <c r="F878" s="392"/>
      <c r="G878" s="392"/>
      <c r="H878" s="394"/>
    </row>
    <row r="879">
      <c r="A879" s="395"/>
      <c r="B879" s="393"/>
      <c r="C879" s="392"/>
      <c r="D879" s="392"/>
      <c r="E879" s="392"/>
      <c r="F879" s="392"/>
      <c r="G879" s="392"/>
      <c r="H879" s="394"/>
    </row>
    <row r="880">
      <c r="A880" s="395"/>
      <c r="B880" s="393"/>
      <c r="C880" s="392"/>
      <c r="D880" s="392"/>
      <c r="E880" s="392"/>
      <c r="F880" s="392"/>
      <c r="G880" s="392"/>
      <c r="H880" s="394"/>
    </row>
    <row r="881">
      <c r="A881" s="395"/>
      <c r="B881" s="393"/>
      <c r="C881" s="392"/>
      <c r="D881" s="392"/>
      <c r="E881" s="392"/>
      <c r="F881" s="392"/>
      <c r="G881" s="392"/>
      <c r="H881" s="394"/>
    </row>
    <row r="882">
      <c r="A882" s="395"/>
      <c r="B882" s="393"/>
      <c r="C882" s="392"/>
      <c r="D882" s="392"/>
      <c r="E882" s="392"/>
      <c r="F882" s="392"/>
      <c r="G882" s="392"/>
      <c r="H882" s="394"/>
    </row>
    <row r="883">
      <c r="A883" s="395"/>
      <c r="B883" s="393"/>
      <c r="C883" s="392"/>
      <c r="D883" s="392"/>
      <c r="E883" s="392"/>
      <c r="F883" s="392"/>
      <c r="G883" s="392"/>
      <c r="H883" s="394"/>
    </row>
    <row r="884">
      <c r="A884" s="395"/>
      <c r="B884" s="393"/>
      <c r="C884" s="392"/>
      <c r="D884" s="392"/>
      <c r="E884" s="392"/>
      <c r="F884" s="392"/>
      <c r="G884" s="392"/>
      <c r="H884" s="394"/>
    </row>
    <row r="885">
      <c r="A885" s="395"/>
      <c r="B885" s="393"/>
      <c r="C885" s="392"/>
      <c r="D885" s="392"/>
      <c r="E885" s="392"/>
      <c r="F885" s="392"/>
      <c r="G885" s="392"/>
      <c r="H885" s="394"/>
    </row>
    <row r="886">
      <c r="A886" s="395"/>
      <c r="B886" s="393"/>
      <c r="C886" s="392"/>
      <c r="D886" s="392"/>
      <c r="E886" s="392"/>
      <c r="F886" s="392"/>
      <c r="G886" s="392"/>
      <c r="H886" s="394"/>
    </row>
    <row r="887">
      <c r="A887" s="395"/>
      <c r="B887" s="393"/>
      <c r="C887" s="392"/>
      <c r="D887" s="392"/>
      <c r="E887" s="392"/>
      <c r="F887" s="392"/>
      <c r="G887" s="392"/>
      <c r="H887" s="394"/>
    </row>
    <row r="888">
      <c r="A888" s="395"/>
      <c r="B888" s="393"/>
      <c r="C888" s="392"/>
      <c r="D888" s="392"/>
      <c r="E888" s="392"/>
      <c r="F888" s="392"/>
      <c r="G888" s="392"/>
      <c r="H888" s="394"/>
    </row>
    <row r="889">
      <c r="A889" s="395"/>
      <c r="B889" s="393"/>
      <c r="C889" s="392"/>
      <c r="D889" s="392"/>
      <c r="E889" s="392"/>
      <c r="F889" s="392"/>
      <c r="G889" s="392"/>
      <c r="H889" s="394"/>
    </row>
    <row r="890">
      <c r="A890" s="395"/>
      <c r="B890" s="393"/>
      <c r="C890" s="392"/>
      <c r="D890" s="392"/>
      <c r="E890" s="392"/>
      <c r="F890" s="392"/>
      <c r="G890" s="392"/>
      <c r="H890" s="394"/>
    </row>
    <row r="891">
      <c r="A891" s="395"/>
      <c r="B891" s="393"/>
      <c r="C891" s="392"/>
      <c r="D891" s="392"/>
      <c r="E891" s="392"/>
      <c r="F891" s="392"/>
      <c r="G891" s="392"/>
      <c r="H891" s="394"/>
    </row>
    <row r="892">
      <c r="A892" s="395"/>
      <c r="B892" s="393"/>
      <c r="C892" s="392"/>
      <c r="D892" s="392"/>
      <c r="E892" s="392"/>
      <c r="F892" s="392"/>
      <c r="G892" s="392"/>
      <c r="H892" s="394"/>
    </row>
    <row r="893">
      <c r="A893" s="395"/>
      <c r="B893" s="393"/>
      <c r="C893" s="392"/>
      <c r="D893" s="392"/>
      <c r="E893" s="392"/>
      <c r="F893" s="392"/>
      <c r="G893" s="392"/>
      <c r="H893" s="394"/>
    </row>
    <row r="894">
      <c r="A894" s="395"/>
      <c r="B894" s="393"/>
      <c r="C894" s="392"/>
      <c r="D894" s="392"/>
      <c r="E894" s="392"/>
      <c r="F894" s="392"/>
      <c r="G894" s="392"/>
      <c r="H894" s="394"/>
    </row>
    <row r="895">
      <c r="A895" s="395"/>
      <c r="B895" s="393"/>
      <c r="C895" s="392"/>
      <c r="D895" s="392"/>
      <c r="E895" s="392"/>
      <c r="F895" s="392"/>
      <c r="G895" s="392"/>
      <c r="H895" s="394"/>
    </row>
    <row r="896">
      <c r="A896" s="395"/>
      <c r="B896" s="393"/>
      <c r="C896" s="392"/>
      <c r="D896" s="392"/>
      <c r="E896" s="392"/>
      <c r="F896" s="392"/>
      <c r="G896" s="392"/>
      <c r="H896" s="394"/>
    </row>
    <row r="897">
      <c r="A897" s="395"/>
      <c r="B897" s="393"/>
      <c r="C897" s="392"/>
      <c r="D897" s="392"/>
      <c r="E897" s="392"/>
      <c r="F897" s="392"/>
      <c r="G897" s="392"/>
      <c r="H897" s="394"/>
    </row>
    <row r="898">
      <c r="A898" s="395"/>
      <c r="B898" s="393"/>
      <c r="C898" s="392"/>
      <c r="D898" s="392"/>
      <c r="E898" s="392"/>
      <c r="F898" s="392"/>
      <c r="G898" s="392"/>
      <c r="H898" s="394"/>
    </row>
    <row r="899">
      <c r="A899" s="395"/>
      <c r="B899" s="393"/>
      <c r="C899" s="392"/>
      <c r="D899" s="392"/>
      <c r="E899" s="392"/>
      <c r="F899" s="392"/>
      <c r="G899" s="392"/>
      <c r="H899" s="394"/>
    </row>
    <row r="900">
      <c r="A900" s="395"/>
      <c r="B900" s="393"/>
      <c r="C900" s="392"/>
      <c r="D900" s="392"/>
      <c r="E900" s="392"/>
      <c r="F900" s="392"/>
      <c r="G900" s="392"/>
      <c r="H900" s="394"/>
    </row>
    <row r="901">
      <c r="A901" s="395"/>
      <c r="B901" s="393"/>
      <c r="C901" s="392"/>
      <c r="D901" s="392"/>
      <c r="E901" s="392"/>
      <c r="F901" s="392"/>
      <c r="G901" s="392"/>
      <c r="H901" s="394"/>
    </row>
    <row r="902">
      <c r="A902" s="395"/>
      <c r="B902" s="393"/>
      <c r="C902" s="392"/>
      <c r="D902" s="392"/>
      <c r="E902" s="392"/>
      <c r="F902" s="392"/>
      <c r="G902" s="392"/>
      <c r="H902" s="394"/>
    </row>
    <row r="903">
      <c r="A903" s="395"/>
      <c r="B903" s="393"/>
      <c r="C903" s="392"/>
      <c r="D903" s="392"/>
      <c r="E903" s="392"/>
      <c r="F903" s="392"/>
      <c r="G903" s="392"/>
      <c r="H903" s="394"/>
    </row>
    <row r="904">
      <c r="A904" s="395"/>
      <c r="B904" s="393"/>
      <c r="C904" s="392"/>
      <c r="D904" s="392"/>
      <c r="E904" s="392"/>
      <c r="F904" s="392"/>
      <c r="G904" s="392"/>
      <c r="H904" s="394"/>
    </row>
    <row r="905">
      <c r="A905" s="395"/>
      <c r="B905" s="393"/>
      <c r="C905" s="392"/>
      <c r="D905" s="392"/>
      <c r="E905" s="392"/>
      <c r="F905" s="392"/>
      <c r="G905" s="392"/>
      <c r="H905" s="394"/>
    </row>
    <row r="906">
      <c r="A906" s="395"/>
      <c r="B906" s="393"/>
      <c r="C906" s="392"/>
      <c r="D906" s="392"/>
      <c r="E906" s="392"/>
      <c r="F906" s="392"/>
      <c r="G906" s="392"/>
      <c r="H906" s="394"/>
    </row>
    <row r="907">
      <c r="A907" s="395"/>
      <c r="B907" s="393"/>
      <c r="C907" s="392"/>
      <c r="D907" s="392"/>
      <c r="E907" s="392"/>
      <c r="F907" s="392"/>
      <c r="G907" s="392"/>
      <c r="H907" s="394"/>
    </row>
    <row r="908">
      <c r="A908" s="395"/>
      <c r="B908" s="393"/>
      <c r="C908" s="392"/>
      <c r="D908" s="392"/>
      <c r="E908" s="392"/>
      <c r="F908" s="392"/>
      <c r="G908" s="392"/>
      <c r="H908" s="394"/>
    </row>
    <row r="909">
      <c r="A909" s="395"/>
      <c r="B909" s="393"/>
      <c r="C909" s="392"/>
      <c r="D909" s="392"/>
      <c r="E909" s="392"/>
      <c r="F909" s="392"/>
      <c r="G909" s="392"/>
      <c r="H909" s="394"/>
    </row>
    <row r="910">
      <c r="A910" s="395"/>
      <c r="B910" s="393"/>
      <c r="C910" s="392"/>
      <c r="D910" s="392"/>
      <c r="E910" s="392"/>
      <c r="F910" s="392"/>
      <c r="G910" s="392"/>
      <c r="H910" s="394"/>
    </row>
    <row r="911">
      <c r="A911" s="395"/>
      <c r="B911" s="393"/>
      <c r="C911" s="392"/>
      <c r="D911" s="392"/>
      <c r="E911" s="392"/>
      <c r="F911" s="392"/>
      <c r="G911" s="392"/>
      <c r="H911" s="394"/>
    </row>
    <row r="912">
      <c r="A912" s="395"/>
      <c r="B912" s="393"/>
      <c r="C912" s="392"/>
      <c r="D912" s="392"/>
      <c r="E912" s="392"/>
      <c r="F912" s="392"/>
      <c r="G912" s="392"/>
      <c r="H912" s="394"/>
    </row>
    <row r="913">
      <c r="A913" s="395"/>
      <c r="B913" s="393"/>
      <c r="C913" s="392"/>
      <c r="D913" s="392"/>
      <c r="E913" s="392"/>
      <c r="F913" s="392"/>
      <c r="G913" s="392"/>
      <c r="H913" s="394"/>
    </row>
    <row r="914">
      <c r="A914" s="395"/>
      <c r="B914" s="393"/>
      <c r="C914" s="392"/>
      <c r="D914" s="392"/>
      <c r="E914" s="392"/>
      <c r="F914" s="392"/>
      <c r="G914" s="392"/>
      <c r="H914" s="394"/>
    </row>
    <row r="915">
      <c r="A915" s="395"/>
      <c r="B915" s="393"/>
      <c r="C915" s="392"/>
      <c r="D915" s="392"/>
      <c r="E915" s="392"/>
      <c r="F915" s="392"/>
      <c r="G915" s="392"/>
      <c r="H915" s="394"/>
    </row>
    <row r="916">
      <c r="A916" s="395"/>
      <c r="B916" s="393"/>
      <c r="C916" s="392"/>
      <c r="D916" s="392"/>
      <c r="E916" s="392"/>
      <c r="F916" s="392"/>
      <c r="G916" s="392"/>
      <c r="H916" s="394"/>
    </row>
    <row r="917">
      <c r="A917" s="395"/>
      <c r="B917" s="393"/>
      <c r="C917" s="392"/>
      <c r="D917" s="392"/>
      <c r="E917" s="392"/>
      <c r="F917" s="392"/>
      <c r="G917" s="392"/>
      <c r="H917" s="394"/>
    </row>
    <row r="918">
      <c r="A918" s="395"/>
      <c r="B918" s="393"/>
      <c r="C918" s="392"/>
      <c r="D918" s="392"/>
      <c r="E918" s="392"/>
      <c r="F918" s="392"/>
      <c r="G918" s="392"/>
      <c r="H918" s="394"/>
    </row>
    <row r="919">
      <c r="A919" s="395"/>
      <c r="B919" s="393"/>
      <c r="C919" s="392"/>
      <c r="D919" s="392"/>
      <c r="E919" s="392"/>
      <c r="F919" s="392"/>
      <c r="G919" s="392"/>
      <c r="H919" s="394"/>
    </row>
    <row r="920">
      <c r="A920" s="395"/>
      <c r="B920" s="393"/>
      <c r="C920" s="392"/>
      <c r="D920" s="392"/>
      <c r="E920" s="392"/>
      <c r="F920" s="392"/>
      <c r="G920" s="392"/>
      <c r="H920" s="394"/>
    </row>
    <row r="921">
      <c r="A921" s="395"/>
      <c r="B921" s="393"/>
      <c r="C921" s="392"/>
      <c r="D921" s="392"/>
      <c r="E921" s="392"/>
      <c r="F921" s="392"/>
      <c r="G921" s="392"/>
      <c r="H921" s="394"/>
    </row>
    <row r="922">
      <c r="A922" s="395"/>
      <c r="B922" s="393"/>
      <c r="C922" s="392"/>
      <c r="D922" s="392"/>
      <c r="E922" s="392"/>
      <c r="F922" s="392"/>
      <c r="G922" s="392"/>
      <c r="H922" s="394"/>
    </row>
    <row r="923">
      <c r="A923" s="395"/>
      <c r="B923" s="393"/>
      <c r="C923" s="392"/>
      <c r="D923" s="392"/>
      <c r="E923" s="392"/>
      <c r="F923" s="392"/>
      <c r="G923" s="392"/>
      <c r="H923" s="394"/>
    </row>
    <row r="924">
      <c r="A924" s="395"/>
      <c r="B924" s="393"/>
      <c r="C924" s="392"/>
      <c r="D924" s="392"/>
      <c r="E924" s="392"/>
      <c r="F924" s="392"/>
      <c r="G924" s="392"/>
      <c r="H924" s="394"/>
    </row>
    <row r="925">
      <c r="A925" s="395"/>
      <c r="B925" s="393"/>
      <c r="C925" s="392"/>
      <c r="D925" s="392"/>
      <c r="E925" s="392"/>
      <c r="F925" s="392"/>
      <c r="G925" s="392"/>
      <c r="H925" s="394"/>
    </row>
    <row r="926">
      <c r="A926" s="395"/>
      <c r="B926" s="393"/>
      <c r="C926" s="392"/>
      <c r="D926" s="392"/>
      <c r="E926" s="392"/>
      <c r="F926" s="392"/>
      <c r="G926" s="392"/>
      <c r="H926" s="394"/>
    </row>
    <row r="927">
      <c r="A927" s="395"/>
      <c r="B927" s="393"/>
      <c r="C927" s="392"/>
      <c r="D927" s="392"/>
      <c r="E927" s="392"/>
      <c r="F927" s="392"/>
      <c r="G927" s="392"/>
      <c r="H927" s="394"/>
    </row>
    <row r="928">
      <c r="A928" s="395"/>
      <c r="B928" s="393"/>
      <c r="C928" s="392"/>
      <c r="D928" s="392"/>
      <c r="E928" s="392"/>
      <c r="F928" s="392"/>
      <c r="G928" s="392"/>
      <c r="H928" s="394"/>
    </row>
    <row r="929">
      <c r="A929" s="395"/>
      <c r="B929" s="393"/>
      <c r="C929" s="392"/>
      <c r="D929" s="392"/>
      <c r="E929" s="392"/>
      <c r="F929" s="392"/>
      <c r="G929" s="392"/>
      <c r="H929" s="394"/>
    </row>
    <row r="930">
      <c r="A930" s="395"/>
      <c r="B930" s="393"/>
      <c r="C930" s="392"/>
      <c r="D930" s="392"/>
      <c r="E930" s="392"/>
      <c r="F930" s="392"/>
      <c r="G930" s="392"/>
      <c r="H930" s="394"/>
    </row>
    <row r="931">
      <c r="A931" s="395"/>
      <c r="B931" s="393"/>
      <c r="C931" s="392"/>
      <c r="D931" s="392"/>
      <c r="E931" s="392"/>
      <c r="F931" s="392"/>
      <c r="G931" s="392"/>
      <c r="H931" s="394"/>
    </row>
    <row r="932">
      <c r="A932" s="395"/>
      <c r="B932" s="393"/>
      <c r="C932" s="392"/>
      <c r="D932" s="392"/>
      <c r="E932" s="392"/>
      <c r="F932" s="392"/>
      <c r="G932" s="392"/>
      <c r="H932" s="394"/>
    </row>
    <row r="933">
      <c r="A933" s="395"/>
      <c r="B933" s="393"/>
      <c r="C933" s="392"/>
      <c r="D933" s="392"/>
      <c r="E933" s="392"/>
      <c r="F933" s="392"/>
      <c r="G933" s="392"/>
      <c r="H933" s="394"/>
    </row>
    <row r="934">
      <c r="A934" s="395"/>
      <c r="B934" s="393"/>
      <c r="C934" s="392"/>
      <c r="D934" s="392"/>
      <c r="E934" s="392"/>
      <c r="F934" s="392"/>
      <c r="G934" s="392"/>
      <c r="H934" s="394"/>
    </row>
    <row r="935">
      <c r="A935" s="395"/>
      <c r="B935" s="393"/>
      <c r="C935" s="392"/>
      <c r="D935" s="392"/>
      <c r="E935" s="392"/>
      <c r="F935" s="392"/>
      <c r="G935" s="392"/>
      <c r="H935" s="394"/>
    </row>
    <row r="936">
      <c r="A936" s="395"/>
      <c r="B936" s="393"/>
      <c r="C936" s="392"/>
      <c r="D936" s="392"/>
      <c r="E936" s="392"/>
      <c r="F936" s="392"/>
      <c r="G936" s="392"/>
      <c r="H936" s="394"/>
    </row>
    <row r="937">
      <c r="A937" s="395"/>
      <c r="B937" s="393"/>
      <c r="C937" s="392"/>
      <c r="D937" s="392"/>
      <c r="E937" s="392"/>
      <c r="F937" s="392"/>
      <c r="G937" s="392"/>
      <c r="H937" s="394"/>
    </row>
    <row r="938">
      <c r="A938" s="395"/>
      <c r="B938" s="393"/>
      <c r="C938" s="392"/>
      <c r="D938" s="392"/>
      <c r="E938" s="392"/>
      <c r="F938" s="392"/>
      <c r="G938" s="392"/>
      <c r="H938" s="394"/>
    </row>
    <row r="939">
      <c r="A939" s="395"/>
      <c r="B939" s="393"/>
      <c r="C939" s="392"/>
      <c r="D939" s="392"/>
      <c r="E939" s="392"/>
      <c r="F939" s="392"/>
      <c r="G939" s="392"/>
      <c r="H939" s="394"/>
    </row>
    <row r="940">
      <c r="A940" s="395"/>
      <c r="B940" s="393"/>
      <c r="C940" s="392"/>
      <c r="D940" s="392"/>
      <c r="E940" s="392"/>
      <c r="F940" s="392"/>
      <c r="G940" s="392"/>
      <c r="H940" s="394"/>
    </row>
    <row r="941">
      <c r="A941" s="395"/>
      <c r="B941" s="393"/>
      <c r="C941" s="392"/>
      <c r="D941" s="392"/>
      <c r="E941" s="392"/>
      <c r="F941" s="392"/>
      <c r="G941" s="392"/>
      <c r="H941" s="394"/>
    </row>
    <row r="942">
      <c r="A942" s="395"/>
      <c r="B942" s="393"/>
      <c r="C942" s="392"/>
      <c r="D942" s="392"/>
      <c r="E942" s="392"/>
      <c r="F942" s="392"/>
      <c r="G942" s="392"/>
      <c r="H942" s="394"/>
    </row>
    <row r="943">
      <c r="A943" s="395"/>
      <c r="B943" s="393"/>
      <c r="C943" s="392"/>
      <c r="D943" s="392"/>
      <c r="E943" s="392"/>
      <c r="F943" s="392"/>
      <c r="G943" s="392"/>
      <c r="H943" s="394"/>
    </row>
    <row r="944">
      <c r="A944" s="395"/>
      <c r="B944" s="393"/>
      <c r="C944" s="392"/>
      <c r="D944" s="392"/>
      <c r="E944" s="392"/>
      <c r="F944" s="392"/>
      <c r="G944" s="392"/>
      <c r="H944" s="394"/>
    </row>
    <row r="945">
      <c r="A945" s="395"/>
      <c r="B945" s="393"/>
      <c r="C945" s="392"/>
      <c r="D945" s="392"/>
      <c r="E945" s="392"/>
      <c r="F945" s="392"/>
      <c r="G945" s="392"/>
      <c r="H945" s="394"/>
    </row>
    <row r="946">
      <c r="A946" s="395"/>
      <c r="B946" s="393"/>
      <c r="C946" s="392"/>
      <c r="D946" s="392"/>
      <c r="E946" s="392"/>
      <c r="F946" s="392"/>
      <c r="G946" s="392"/>
      <c r="H946" s="394"/>
    </row>
    <row r="947">
      <c r="A947" s="395"/>
      <c r="B947" s="393"/>
      <c r="C947" s="392"/>
      <c r="D947" s="392"/>
      <c r="E947" s="392"/>
      <c r="F947" s="392"/>
      <c r="G947" s="392"/>
      <c r="H947" s="394"/>
    </row>
    <row r="948">
      <c r="A948" s="395"/>
      <c r="B948" s="393"/>
      <c r="C948" s="392"/>
      <c r="D948" s="392"/>
      <c r="E948" s="392"/>
      <c r="F948" s="392"/>
      <c r="G948" s="392"/>
      <c r="H948" s="394"/>
    </row>
    <row r="949">
      <c r="A949" s="395"/>
      <c r="B949" s="393"/>
      <c r="C949" s="392"/>
      <c r="D949" s="392"/>
      <c r="E949" s="392"/>
      <c r="F949" s="392"/>
      <c r="G949" s="392"/>
      <c r="H949" s="394"/>
    </row>
    <row r="950">
      <c r="A950" s="395"/>
      <c r="B950" s="393"/>
      <c r="C950" s="392"/>
      <c r="D950" s="392"/>
      <c r="E950" s="392"/>
      <c r="F950" s="392"/>
      <c r="G950" s="392"/>
      <c r="H950" s="394"/>
    </row>
    <row r="951">
      <c r="A951" s="395"/>
      <c r="B951" s="393"/>
      <c r="C951" s="392"/>
      <c r="D951" s="392"/>
      <c r="E951" s="392"/>
      <c r="F951" s="392"/>
      <c r="G951" s="392"/>
      <c r="H951" s="394"/>
    </row>
    <row r="952">
      <c r="A952" s="395"/>
      <c r="B952" s="393"/>
      <c r="C952" s="392"/>
      <c r="D952" s="392"/>
      <c r="E952" s="392"/>
      <c r="F952" s="392"/>
      <c r="G952" s="392"/>
      <c r="H952" s="394"/>
    </row>
    <row r="953">
      <c r="A953" s="395"/>
      <c r="B953" s="393"/>
      <c r="C953" s="392"/>
      <c r="D953" s="392"/>
      <c r="E953" s="392"/>
      <c r="F953" s="392"/>
      <c r="G953" s="392"/>
      <c r="H953" s="394"/>
    </row>
    <row r="954">
      <c r="A954" s="395"/>
      <c r="B954" s="393"/>
      <c r="C954" s="392"/>
      <c r="D954" s="392"/>
      <c r="E954" s="392"/>
      <c r="F954" s="392"/>
      <c r="G954" s="392"/>
      <c r="H954" s="394"/>
    </row>
    <row r="955">
      <c r="A955" s="395"/>
      <c r="B955" s="393"/>
      <c r="C955" s="392"/>
      <c r="D955" s="392"/>
      <c r="E955" s="392"/>
      <c r="F955" s="392"/>
      <c r="G955" s="392"/>
      <c r="H955" s="394"/>
    </row>
    <row r="956">
      <c r="A956" s="395"/>
      <c r="B956" s="393"/>
      <c r="C956" s="392"/>
      <c r="D956" s="392"/>
      <c r="E956" s="392"/>
      <c r="F956" s="392"/>
      <c r="G956" s="392"/>
      <c r="H956" s="394"/>
    </row>
    <row r="957">
      <c r="A957" s="395"/>
      <c r="B957" s="393"/>
      <c r="C957" s="392"/>
      <c r="D957" s="392"/>
      <c r="E957" s="392"/>
      <c r="F957" s="392"/>
      <c r="G957" s="392"/>
      <c r="H957" s="394"/>
    </row>
    <row r="958">
      <c r="A958" s="395"/>
      <c r="B958" s="393"/>
      <c r="C958" s="392"/>
      <c r="D958" s="392"/>
      <c r="E958" s="392"/>
      <c r="F958" s="392"/>
      <c r="G958" s="392"/>
      <c r="H958" s="394"/>
    </row>
    <row r="959">
      <c r="A959" s="395"/>
      <c r="B959" s="393"/>
      <c r="C959" s="392"/>
      <c r="D959" s="392"/>
      <c r="E959" s="392"/>
      <c r="F959" s="392"/>
      <c r="G959" s="392"/>
      <c r="H959" s="394"/>
    </row>
    <row r="960">
      <c r="A960" s="395"/>
      <c r="B960" s="393"/>
      <c r="C960" s="392"/>
      <c r="D960" s="392"/>
      <c r="E960" s="392"/>
      <c r="F960" s="392"/>
      <c r="G960" s="392"/>
      <c r="H960" s="394"/>
    </row>
    <row r="961">
      <c r="A961" s="395"/>
      <c r="B961" s="393"/>
      <c r="C961" s="392"/>
      <c r="D961" s="392"/>
      <c r="E961" s="392"/>
      <c r="F961" s="392"/>
      <c r="G961" s="392"/>
      <c r="H961" s="394"/>
    </row>
    <row r="962">
      <c r="A962" s="395"/>
      <c r="B962" s="393"/>
      <c r="C962" s="392"/>
      <c r="D962" s="392"/>
      <c r="E962" s="392"/>
      <c r="F962" s="392"/>
      <c r="G962" s="392"/>
      <c r="H962" s="394"/>
    </row>
    <row r="963">
      <c r="A963" s="395"/>
      <c r="B963" s="393"/>
      <c r="C963" s="392"/>
      <c r="D963" s="392"/>
      <c r="E963" s="392"/>
      <c r="F963" s="392"/>
      <c r="G963" s="392"/>
      <c r="H963" s="394"/>
    </row>
    <row r="964">
      <c r="A964" s="395"/>
      <c r="B964" s="393"/>
      <c r="C964" s="392"/>
      <c r="D964" s="392"/>
      <c r="E964" s="392"/>
      <c r="F964" s="392"/>
      <c r="G964" s="392"/>
      <c r="H964" s="394"/>
    </row>
    <row r="965">
      <c r="A965" s="395"/>
      <c r="B965" s="393"/>
      <c r="C965" s="392"/>
      <c r="D965" s="392"/>
      <c r="E965" s="392"/>
      <c r="F965" s="392"/>
      <c r="G965" s="392"/>
      <c r="H965" s="394"/>
    </row>
    <row r="966">
      <c r="A966" s="395"/>
      <c r="B966" s="393"/>
      <c r="C966" s="392"/>
      <c r="D966" s="392"/>
      <c r="E966" s="392"/>
      <c r="F966" s="392"/>
      <c r="G966" s="392"/>
      <c r="H966" s="394"/>
    </row>
    <row r="967">
      <c r="A967" s="395"/>
      <c r="B967" s="393"/>
      <c r="C967" s="392"/>
      <c r="D967" s="392"/>
      <c r="E967" s="392"/>
      <c r="F967" s="392"/>
      <c r="G967" s="392"/>
      <c r="H967" s="394"/>
    </row>
    <row r="968">
      <c r="A968" s="395"/>
      <c r="B968" s="393"/>
      <c r="C968" s="392"/>
      <c r="D968" s="392"/>
      <c r="E968" s="392"/>
      <c r="F968" s="392"/>
      <c r="G968" s="392"/>
      <c r="H968" s="394"/>
    </row>
    <row r="969">
      <c r="A969" s="395"/>
      <c r="B969" s="393"/>
      <c r="C969" s="392"/>
      <c r="D969" s="392"/>
      <c r="E969" s="392"/>
      <c r="F969" s="392"/>
      <c r="G969" s="392"/>
      <c r="H969" s="394"/>
    </row>
    <row r="970">
      <c r="A970" s="395"/>
      <c r="B970" s="393"/>
      <c r="C970" s="392"/>
      <c r="D970" s="392"/>
      <c r="E970" s="392"/>
      <c r="F970" s="392"/>
      <c r="G970" s="392"/>
      <c r="H970" s="394"/>
    </row>
    <row r="971">
      <c r="A971" s="395"/>
      <c r="B971" s="393"/>
      <c r="C971" s="392"/>
      <c r="D971" s="392"/>
      <c r="E971" s="392"/>
      <c r="F971" s="392"/>
      <c r="G971" s="392"/>
      <c r="H971" s="394"/>
    </row>
    <row r="972">
      <c r="A972" s="395"/>
      <c r="B972" s="393"/>
      <c r="C972" s="392"/>
      <c r="D972" s="392"/>
      <c r="E972" s="392"/>
      <c r="F972" s="392"/>
      <c r="G972" s="392"/>
      <c r="H972" s="394"/>
    </row>
    <row r="973">
      <c r="A973" s="395"/>
      <c r="B973" s="393"/>
      <c r="C973" s="392"/>
      <c r="D973" s="392"/>
      <c r="E973" s="392"/>
      <c r="F973" s="392"/>
      <c r="G973" s="392"/>
      <c r="H973" s="394"/>
    </row>
    <row r="974">
      <c r="A974" s="395"/>
      <c r="B974" s="393"/>
      <c r="C974" s="392"/>
      <c r="D974" s="392"/>
      <c r="E974" s="392"/>
      <c r="F974" s="392"/>
      <c r="G974" s="392"/>
      <c r="H974" s="394"/>
    </row>
    <row r="975">
      <c r="A975" s="395"/>
      <c r="B975" s="393"/>
      <c r="C975" s="392"/>
      <c r="D975" s="392"/>
      <c r="E975" s="392"/>
      <c r="F975" s="392"/>
      <c r="G975" s="392"/>
      <c r="H975" s="394"/>
    </row>
    <row r="976">
      <c r="A976" s="395"/>
      <c r="B976" s="393"/>
      <c r="C976" s="392"/>
      <c r="D976" s="392"/>
      <c r="E976" s="392"/>
      <c r="F976" s="392"/>
      <c r="G976" s="392"/>
      <c r="H976" s="394"/>
    </row>
    <row r="977">
      <c r="A977" s="395"/>
      <c r="B977" s="393"/>
      <c r="C977" s="392"/>
      <c r="D977" s="392"/>
      <c r="E977" s="392"/>
      <c r="F977" s="392"/>
      <c r="G977" s="392"/>
      <c r="H977" s="394"/>
    </row>
    <row r="978">
      <c r="A978" s="395"/>
      <c r="B978" s="393"/>
      <c r="C978" s="392"/>
      <c r="D978" s="392"/>
      <c r="E978" s="392"/>
      <c r="F978" s="392"/>
      <c r="G978" s="392"/>
      <c r="H978" s="394"/>
    </row>
    <row r="979">
      <c r="A979" s="395"/>
      <c r="B979" s="393"/>
      <c r="C979" s="392"/>
      <c r="D979" s="392"/>
      <c r="E979" s="392"/>
      <c r="F979" s="392"/>
      <c r="G979" s="392"/>
      <c r="H979" s="394"/>
    </row>
    <row r="980">
      <c r="A980" s="395"/>
      <c r="B980" s="393"/>
      <c r="C980" s="392"/>
      <c r="D980" s="392"/>
      <c r="E980" s="392"/>
      <c r="F980" s="392"/>
      <c r="G980" s="392"/>
      <c r="H980" s="394"/>
    </row>
    <row r="981">
      <c r="A981" s="395"/>
      <c r="B981" s="393"/>
      <c r="C981" s="392"/>
      <c r="D981" s="392"/>
      <c r="E981" s="392"/>
      <c r="F981" s="392"/>
      <c r="G981" s="392"/>
      <c r="H981" s="394"/>
    </row>
    <row r="982">
      <c r="A982" s="395"/>
      <c r="B982" s="393"/>
      <c r="C982" s="392"/>
      <c r="D982" s="392"/>
      <c r="E982" s="392"/>
      <c r="F982" s="392"/>
      <c r="G982" s="392"/>
      <c r="H982" s="394"/>
    </row>
    <row r="983">
      <c r="A983" s="395"/>
      <c r="B983" s="393"/>
      <c r="C983" s="392"/>
      <c r="D983" s="392"/>
      <c r="E983" s="392"/>
      <c r="F983" s="392"/>
      <c r="G983" s="392"/>
      <c r="H983" s="394"/>
    </row>
    <row r="984">
      <c r="A984" s="395"/>
      <c r="B984" s="393"/>
      <c r="C984" s="392"/>
      <c r="D984" s="392"/>
      <c r="E984" s="392"/>
      <c r="F984" s="392"/>
      <c r="G984" s="392"/>
      <c r="H984" s="394"/>
    </row>
    <row r="985">
      <c r="A985" s="395"/>
      <c r="B985" s="393"/>
      <c r="C985" s="392"/>
      <c r="D985" s="392"/>
      <c r="E985" s="392"/>
      <c r="F985" s="392"/>
      <c r="G985" s="392"/>
      <c r="H985" s="394"/>
    </row>
    <row r="986">
      <c r="A986" s="395"/>
      <c r="B986" s="393"/>
      <c r="C986" s="392"/>
      <c r="D986" s="392"/>
      <c r="E986" s="392"/>
      <c r="F986" s="392"/>
      <c r="G986" s="392"/>
      <c r="H986" s="394"/>
    </row>
    <row r="987">
      <c r="A987" s="395"/>
      <c r="B987" s="393"/>
      <c r="C987" s="392"/>
      <c r="D987" s="392"/>
      <c r="E987" s="392"/>
      <c r="F987" s="392"/>
      <c r="G987" s="392"/>
      <c r="H987" s="394"/>
    </row>
    <row r="988">
      <c r="A988" s="395"/>
      <c r="B988" s="393"/>
      <c r="C988" s="392"/>
      <c r="D988" s="392"/>
      <c r="E988" s="392"/>
      <c r="F988" s="392"/>
      <c r="G988" s="392"/>
      <c r="H988" s="394"/>
    </row>
    <row r="989">
      <c r="A989" s="395"/>
      <c r="B989" s="393"/>
      <c r="C989" s="392"/>
      <c r="D989" s="392"/>
      <c r="E989" s="392"/>
      <c r="F989" s="392"/>
      <c r="G989" s="392"/>
      <c r="H989" s="394"/>
    </row>
    <row r="990">
      <c r="A990" s="395"/>
      <c r="B990" s="393"/>
      <c r="C990" s="392"/>
      <c r="D990" s="392"/>
      <c r="E990" s="392"/>
      <c r="F990" s="392"/>
      <c r="G990" s="392"/>
      <c r="H990" s="394"/>
    </row>
    <row r="991">
      <c r="A991" s="395"/>
      <c r="B991" s="393"/>
      <c r="C991" s="392"/>
      <c r="D991" s="392"/>
      <c r="E991" s="392"/>
      <c r="F991" s="392"/>
      <c r="G991" s="392"/>
      <c r="H991" s="394"/>
    </row>
    <row r="992">
      <c r="A992" s="395"/>
      <c r="B992" s="393"/>
      <c r="C992" s="392"/>
      <c r="D992" s="392"/>
      <c r="E992" s="392"/>
      <c r="F992" s="392"/>
      <c r="G992" s="392"/>
      <c r="H992" s="394"/>
    </row>
    <row r="993">
      <c r="A993" s="395"/>
      <c r="B993" s="393"/>
      <c r="C993" s="392"/>
      <c r="D993" s="392"/>
      <c r="E993" s="392"/>
      <c r="F993" s="392"/>
      <c r="G993" s="392"/>
      <c r="H993" s="394"/>
    </row>
    <row r="994">
      <c r="A994" s="395"/>
      <c r="B994" s="393"/>
      <c r="C994" s="392"/>
      <c r="D994" s="392"/>
      <c r="E994" s="392"/>
      <c r="F994" s="392"/>
      <c r="G994" s="392"/>
      <c r="H994" s="394"/>
    </row>
    <row r="995">
      <c r="A995" s="395"/>
      <c r="B995" s="393"/>
      <c r="C995" s="392"/>
      <c r="D995" s="392"/>
      <c r="E995" s="392"/>
      <c r="F995" s="392"/>
      <c r="G995" s="392"/>
      <c r="H995" s="394"/>
    </row>
    <row r="996">
      <c r="A996" s="395"/>
      <c r="B996" s="393"/>
      <c r="C996" s="392"/>
      <c r="D996" s="392"/>
      <c r="E996" s="392"/>
      <c r="F996" s="392"/>
      <c r="G996" s="392"/>
      <c r="H996" s="394"/>
    </row>
    <row r="997">
      <c r="A997" s="395"/>
      <c r="B997" s="393"/>
      <c r="C997" s="392"/>
      <c r="D997" s="392"/>
      <c r="E997" s="392"/>
      <c r="F997" s="392"/>
      <c r="G997" s="392"/>
      <c r="H997" s="394"/>
    </row>
    <row r="998">
      <c r="A998" s="395"/>
      <c r="B998" s="393"/>
      <c r="C998" s="392"/>
      <c r="D998" s="392"/>
      <c r="E998" s="392"/>
      <c r="F998" s="392"/>
      <c r="G998" s="392"/>
      <c r="H998" s="394"/>
    </row>
    <row r="999">
      <c r="A999" s="395"/>
      <c r="B999" s="393"/>
      <c r="C999" s="392"/>
      <c r="D999" s="392"/>
      <c r="E999" s="392"/>
      <c r="F999" s="392"/>
      <c r="G999" s="392"/>
      <c r="H999" s="394"/>
    </row>
    <row r="1000">
      <c r="A1000" s="395"/>
      <c r="B1000" s="393"/>
      <c r="C1000" s="392"/>
      <c r="D1000" s="392"/>
      <c r="E1000" s="392"/>
      <c r="F1000" s="392"/>
      <c r="G1000" s="392"/>
      <c r="H1000" s="394"/>
    </row>
    <row r="1001">
      <c r="A1001" s="395"/>
      <c r="B1001" s="393"/>
      <c r="C1001" s="392"/>
      <c r="D1001" s="392"/>
      <c r="E1001" s="392"/>
      <c r="F1001" s="392"/>
      <c r="G1001" s="392"/>
      <c r="H1001" s="394"/>
    </row>
    <row r="1002">
      <c r="A1002" s="395"/>
      <c r="B1002" s="393"/>
      <c r="C1002" s="392"/>
      <c r="D1002" s="392"/>
      <c r="E1002" s="392"/>
      <c r="F1002" s="392"/>
      <c r="G1002" s="392"/>
      <c r="H1002" s="394"/>
    </row>
    <row r="1003">
      <c r="A1003" s="395"/>
      <c r="B1003" s="393"/>
      <c r="C1003" s="392"/>
      <c r="D1003" s="392"/>
      <c r="E1003" s="392"/>
      <c r="F1003" s="392"/>
      <c r="G1003" s="392"/>
      <c r="H1003" s="394"/>
    </row>
    <row r="1004">
      <c r="A1004" s="395"/>
      <c r="B1004" s="393"/>
      <c r="C1004" s="392"/>
      <c r="D1004" s="392"/>
      <c r="E1004" s="392"/>
      <c r="F1004" s="392"/>
      <c r="G1004" s="392"/>
      <c r="H1004" s="394"/>
    </row>
    <row r="1005">
      <c r="A1005" s="395"/>
      <c r="B1005" s="393"/>
      <c r="C1005" s="392"/>
      <c r="D1005" s="392"/>
      <c r="E1005" s="392"/>
      <c r="F1005" s="392"/>
      <c r="G1005" s="392"/>
      <c r="H1005" s="394"/>
    </row>
  </sheetData>
  <mergeCells count="2">
    <mergeCell ref="A1:C1"/>
    <mergeCell ref="A2:C2"/>
  </mergeCells>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2.56"/>
  </cols>
  <sheetData>
    <row r="1">
      <c r="A1" s="396"/>
      <c r="B1" s="397"/>
      <c r="C1" s="398"/>
      <c r="D1" s="398"/>
      <c r="E1" s="398"/>
      <c r="F1" s="398"/>
      <c r="G1" s="398"/>
      <c r="H1" s="398"/>
      <c r="I1" s="398"/>
      <c r="J1" s="398"/>
      <c r="K1" s="398"/>
      <c r="L1" s="398"/>
      <c r="M1" s="398"/>
      <c r="N1" s="398"/>
      <c r="O1" s="398"/>
      <c r="P1" s="398"/>
      <c r="Q1" s="398"/>
      <c r="R1" s="398"/>
      <c r="S1" s="398"/>
      <c r="T1" s="398"/>
      <c r="U1" s="398"/>
      <c r="V1" s="398"/>
      <c r="W1" s="398"/>
      <c r="X1" s="398"/>
      <c r="Y1" s="398"/>
      <c r="Z1" s="398"/>
    </row>
    <row r="2">
      <c r="A2" s="399" t="s">
        <v>1691</v>
      </c>
      <c r="B2" s="400" t="s">
        <v>169</v>
      </c>
      <c r="C2" s="398"/>
      <c r="D2" s="398"/>
      <c r="E2" s="398"/>
      <c r="F2" s="398"/>
      <c r="G2" s="398"/>
      <c r="H2" s="398"/>
      <c r="I2" s="398"/>
      <c r="J2" s="398"/>
      <c r="K2" s="398"/>
      <c r="L2" s="398"/>
      <c r="M2" s="398"/>
      <c r="N2" s="398"/>
      <c r="O2" s="398"/>
      <c r="P2" s="398"/>
      <c r="Q2" s="398"/>
      <c r="R2" s="398"/>
      <c r="S2" s="398"/>
      <c r="T2" s="398"/>
      <c r="U2" s="398"/>
      <c r="V2" s="398"/>
      <c r="W2" s="398"/>
      <c r="X2" s="398"/>
      <c r="Y2" s="398"/>
      <c r="Z2" s="398"/>
    </row>
    <row r="3">
      <c r="A3" s="399" t="s">
        <v>1692</v>
      </c>
      <c r="B3" s="400" t="s">
        <v>207</v>
      </c>
      <c r="C3" s="398"/>
      <c r="D3" s="398"/>
      <c r="E3" s="398"/>
      <c r="F3" s="398"/>
      <c r="G3" s="398"/>
      <c r="H3" s="398"/>
      <c r="I3" s="398"/>
      <c r="J3" s="398"/>
      <c r="K3" s="398"/>
      <c r="L3" s="398"/>
      <c r="M3" s="398"/>
      <c r="N3" s="398"/>
      <c r="O3" s="398"/>
      <c r="P3" s="398"/>
      <c r="Q3" s="398"/>
      <c r="R3" s="398"/>
      <c r="S3" s="398"/>
      <c r="T3" s="398"/>
      <c r="U3" s="398"/>
      <c r="V3" s="398"/>
      <c r="W3" s="398"/>
      <c r="X3" s="398"/>
      <c r="Y3" s="398"/>
      <c r="Z3" s="398"/>
    </row>
    <row r="4">
      <c r="A4" s="399" t="s">
        <v>1693</v>
      </c>
      <c r="B4" s="400" t="s">
        <v>392</v>
      </c>
      <c r="C4" s="398"/>
      <c r="D4" s="398"/>
      <c r="E4" s="398"/>
      <c r="F4" s="398"/>
      <c r="G4" s="398"/>
      <c r="H4" s="398"/>
      <c r="I4" s="398"/>
      <c r="J4" s="398"/>
      <c r="K4" s="398"/>
      <c r="L4" s="398"/>
      <c r="M4" s="398"/>
      <c r="N4" s="398"/>
      <c r="O4" s="398"/>
      <c r="P4" s="398"/>
      <c r="Q4" s="398"/>
      <c r="R4" s="398"/>
      <c r="S4" s="398"/>
      <c r="T4" s="398"/>
      <c r="U4" s="398"/>
      <c r="V4" s="398"/>
      <c r="W4" s="398"/>
      <c r="X4" s="398"/>
      <c r="Y4" s="398"/>
      <c r="Z4" s="398"/>
    </row>
    <row r="5">
      <c r="A5" s="399" t="s">
        <v>262</v>
      </c>
      <c r="B5" s="400" t="s">
        <v>262</v>
      </c>
      <c r="C5" s="398"/>
      <c r="D5" s="398"/>
      <c r="E5" s="398"/>
      <c r="F5" s="398"/>
      <c r="G5" s="398"/>
      <c r="H5" s="398"/>
      <c r="I5" s="398"/>
      <c r="J5" s="398"/>
      <c r="K5" s="398"/>
      <c r="L5" s="398"/>
      <c r="M5" s="398"/>
      <c r="N5" s="398"/>
      <c r="O5" s="398"/>
      <c r="P5" s="398"/>
      <c r="Q5" s="398"/>
      <c r="R5" s="398"/>
      <c r="S5" s="398"/>
      <c r="T5" s="398"/>
      <c r="U5" s="398"/>
      <c r="V5" s="398"/>
      <c r="W5" s="398"/>
      <c r="X5" s="398"/>
      <c r="Y5" s="398"/>
      <c r="Z5" s="398"/>
    </row>
    <row r="6">
      <c r="A6" s="401" t="s">
        <v>1694</v>
      </c>
      <c r="B6" s="400" t="s">
        <v>946</v>
      </c>
      <c r="C6" s="398"/>
      <c r="D6" s="398"/>
      <c r="E6" s="398"/>
      <c r="F6" s="398"/>
      <c r="G6" s="398"/>
      <c r="H6" s="398"/>
      <c r="I6" s="398"/>
      <c r="J6" s="398"/>
      <c r="K6" s="398"/>
      <c r="L6" s="398"/>
      <c r="M6" s="398"/>
      <c r="N6" s="398"/>
      <c r="O6" s="398"/>
      <c r="P6" s="398"/>
      <c r="Q6" s="398"/>
      <c r="R6" s="398"/>
      <c r="S6" s="398"/>
      <c r="T6" s="398"/>
      <c r="U6" s="398"/>
      <c r="V6" s="398"/>
      <c r="W6" s="398"/>
      <c r="X6" s="398"/>
      <c r="Y6" s="398"/>
      <c r="Z6" s="398"/>
    </row>
    <row r="7">
      <c r="A7" s="399" t="s">
        <v>50</v>
      </c>
      <c r="B7" s="400" t="s">
        <v>50</v>
      </c>
      <c r="C7" s="398"/>
      <c r="D7" s="398"/>
      <c r="E7" s="398"/>
      <c r="F7" s="398"/>
      <c r="G7" s="398"/>
      <c r="H7" s="398"/>
      <c r="I7" s="398"/>
      <c r="J7" s="398"/>
      <c r="K7" s="398"/>
      <c r="L7" s="398"/>
      <c r="M7" s="398"/>
      <c r="N7" s="398"/>
      <c r="O7" s="398"/>
      <c r="P7" s="398"/>
      <c r="Q7" s="398"/>
      <c r="R7" s="398"/>
      <c r="S7" s="398"/>
      <c r="T7" s="398"/>
      <c r="U7" s="398"/>
      <c r="V7" s="398"/>
      <c r="W7" s="398"/>
      <c r="X7" s="398"/>
      <c r="Y7" s="398"/>
      <c r="Z7" s="398"/>
    </row>
    <row r="8">
      <c r="A8" s="401" t="s">
        <v>1695</v>
      </c>
      <c r="B8" s="400" t="s">
        <v>352</v>
      </c>
      <c r="C8" s="398"/>
      <c r="D8" s="398"/>
      <c r="E8" s="398"/>
      <c r="F8" s="398"/>
      <c r="G8" s="398"/>
      <c r="H8" s="398"/>
      <c r="I8" s="398"/>
      <c r="J8" s="398"/>
      <c r="K8" s="398"/>
      <c r="L8" s="398"/>
      <c r="M8" s="398"/>
      <c r="N8" s="398"/>
      <c r="O8" s="398"/>
      <c r="P8" s="398"/>
      <c r="Q8" s="398"/>
      <c r="R8" s="398"/>
      <c r="S8" s="398"/>
      <c r="T8" s="398"/>
      <c r="U8" s="398"/>
      <c r="V8" s="398"/>
      <c r="W8" s="398"/>
      <c r="X8" s="398"/>
      <c r="Y8" s="398"/>
      <c r="Z8" s="398"/>
    </row>
    <row r="9">
      <c r="A9" s="399" t="s">
        <v>1696</v>
      </c>
      <c r="B9" s="400" t="s">
        <v>120</v>
      </c>
      <c r="C9" s="398"/>
      <c r="D9" s="398"/>
      <c r="E9" s="398"/>
      <c r="F9" s="398"/>
      <c r="G9" s="398"/>
      <c r="H9" s="398"/>
      <c r="I9" s="398"/>
      <c r="J9" s="398"/>
      <c r="K9" s="398"/>
      <c r="L9" s="398"/>
      <c r="M9" s="398"/>
      <c r="N9" s="398"/>
      <c r="O9" s="398"/>
      <c r="P9" s="398"/>
      <c r="Q9" s="398"/>
      <c r="R9" s="398"/>
      <c r="S9" s="398"/>
      <c r="T9" s="398"/>
      <c r="U9" s="398"/>
      <c r="V9" s="398"/>
      <c r="W9" s="398"/>
      <c r="X9" s="398"/>
      <c r="Y9" s="398"/>
      <c r="Z9" s="398"/>
    </row>
    <row r="10">
      <c r="A10" s="399" t="s">
        <v>198</v>
      </c>
      <c r="B10" s="400" t="s">
        <v>198</v>
      </c>
      <c r="C10" s="398"/>
      <c r="D10" s="398"/>
      <c r="E10" s="398"/>
      <c r="F10" s="398"/>
      <c r="G10" s="398"/>
      <c r="H10" s="398"/>
      <c r="I10" s="398"/>
      <c r="J10" s="398"/>
      <c r="K10" s="398"/>
      <c r="L10" s="398"/>
      <c r="M10" s="398"/>
      <c r="N10" s="398"/>
      <c r="O10" s="398"/>
      <c r="P10" s="398"/>
      <c r="Q10" s="398"/>
      <c r="R10" s="398"/>
      <c r="S10" s="398"/>
      <c r="T10" s="398"/>
      <c r="U10" s="398"/>
      <c r="V10" s="398"/>
      <c r="W10" s="398"/>
      <c r="X10" s="398"/>
      <c r="Y10" s="398"/>
      <c r="Z10" s="398"/>
    </row>
    <row r="11">
      <c r="A11" s="399" t="s">
        <v>1697</v>
      </c>
      <c r="B11" s="400" t="s">
        <v>80</v>
      </c>
      <c r="C11" s="398"/>
      <c r="D11" s="398"/>
      <c r="E11" s="398"/>
      <c r="F11" s="398"/>
      <c r="G11" s="398"/>
      <c r="H11" s="398"/>
      <c r="I11" s="398"/>
      <c r="J11" s="398"/>
      <c r="K11" s="398"/>
      <c r="L11" s="398"/>
      <c r="M11" s="398"/>
      <c r="N11" s="398"/>
      <c r="O11" s="398"/>
      <c r="P11" s="398"/>
      <c r="Q11" s="398"/>
      <c r="R11" s="398"/>
      <c r="S11" s="398"/>
      <c r="T11" s="398"/>
      <c r="U11" s="398"/>
      <c r="V11" s="398"/>
      <c r="W11" s="398"/>
      <c r="X11" s="398"/>
      <c r="Y11" s="398"/>
      <c r="Z11" s="398"/>
    </row>
    <row r="12">
      <c r="A12" s="399" t="s">
        <v>439</v>
      </c>
      <c r="B12" s="400" t="s">
        <v>439</v>
      </c>
      <c r="C12" s="398"/>
      <c r="D12" s="398"/>
      <c r="E12" s="398"/>
      <c r="F12" s="398"/>
      <c r="G12" s="398"/>
      <c r="H12" s="398"/>
      <c r="I12" s="398"/>
      <c r="J12" s="398"/>
      <c r="K12" s="398"/>
      <c r="L12" s="398"/>
      <c r="M12" s="398"/>
      <c r="N12" s="398"/>
      <c r="O12" s="398"/>
      <c r="P12" s="398"/>
      <c r="Q12" s="398"/>
      <c r="R12" s="398"/>
      <c r="S12" s="398"/>
      <c r="T12" s="398"/>
      <c r="U12" s="398"/>
      <c r="V12" s="398"/>
      <c r="W12" s="398"/>
      <c r="X12" s="398"/>
      <c r="Y12" s="398"/>
      <c r="Z12" s="398"/>
    </row>
    <row r="13">
      <c r="A13" s="399" t="s">
        <v>1698</v>
      </c>
      <c r="B13" s="400" t="s">
        <v>389</v>
      </c>
      <c r="C13" s="398"/>
      <c r="D13" s="398"/>
      <c r="E13" s="398"/>
      <c r="F13" s="398"/>
      <c r="G13" s="398"/>
      <c r="H13" s="398"/>
      <c r="I13" s="398"/>
      <c r="J13" s="398"/>
      <c r="K13" s="398"/>
      <c r="L13" s="398"/>
      <c r="M13" s="398"/>
      <c r="N13" s="398"/>
      <c r="O13" s="398"/>
      <c r="P13" s="398"/>
      <c r="Q13" s="398"/>
      <c r="R13" s="398"/>
      <c r="S13" s="398"/>
      <c r="T13" s="398"/>
      <c r="U13" s="398"/>
      <c r="V13" s="398"/>
      <c r="W13" s="398"/>
      <c r="X13" s="398"/>
      <c r="Y13" s="398"/>
      <c r="Z13" s="398"/>
    </row>
    <row r="14">
      <c r="A14" s="399" t="s">
        <v>1699</v>
      </c>
      <c r="B14" s="400" t="s">
        <v>175</v>
      </c>
      <c r="C14" s="398"/>
      <c r="D14" s="398"/>
      <c r="E14" s="398"/>
      <c r="F14" s="398"/>
      <c r="G14" s="398"/>
      <c r="H14" s="398"/>
      <c r="I14" s="398"/>
      <c r="J14" s="398"/>
      <c r="K14" s="398"/>
      <c r="L14" s="398"/>
      <c r="M14" s="398"/>
      <c r="N14" s="398"/>
      <c r="O14" s="398"/>
      <c r="P14" s="398"/>
      <c r="Q14" s="398"/>
      <c r="R14" s="398"/>
      <c r="S14" s="398"/>
      <c r="T14" s="398"/>
      <c r="U14" s="398"/>
      <c r="V14" s="398"/>
      <c r="W14" s="398"/>
      <c r="X14" s="398"/>
      <c r="Y14" s="398"/>
      <c r="Z14" s="398"/>
    </row>
    <row r="15">
      <c r="A15" s="399" t="s">
        <v>1700</v>
      </c>
      <c r="B15" s="400" t="s">
        <v>100</v>
      </c>
      <c r="C15" s="398"/>
      <c r="D15" s="398"/>
      <c r="E15" s="398"/>
      <c r="F15" s="398"/>
      <c r="G15" s="398"/>
      <c r="H15" s="398"/>
      <c r="I15" s="398"/>
      <c r="J15" s="398"/>
      <c r="K15" s="398"/>
      <c r="L15" s="398"/>
      <c r="M15" s="398"/>
      <c r="N15" s="398"/>
      <c r="O15" s="398"/>
      <c r="P15" s="398"/>
      <c r="Q15" s="398"/>
      <c r="R15" s="398"/>
      <c r="S15" s="398"/>
      <c r="T15" s="398"/>
      <c r="U15" s="398"/>
      <c r="V15" s="398"/>
      <c r="W15" s="398"/>
      <c r="X15" s="398"/>
      <c r="Y15" s="398"/>
      <c r="Z15" s="398"/>
    </row>
    <row r="16">
      <c r="A16" s="399" t="s">
        <v>264</v>
      </c>
      <c r="B16" s="400" t="s">
        <v>264</v>
      </c>
      <c r="C16" s="398"/>
      <c r="D16" s="398"/>
      <c r="E16" s="398"/>
      <c r="F16" s="398"/>
      <c r="G16" s="398"/>
      <c r="H16" s="398"/>
      <c r="I16" s="398"/>
      <c r="J16" s="398"/>
      <c r="K16" s="398"/>
      <c r="L16" s="398"/>
      <c r="M16" s="398"/>
      <c r="N16" s="398"/>
      <c r="O16" s="398"/>
      <c r="P16" s="398"/>
      <c r="Q16" s="398"/>
      <c r="R16" s="398"/>
      <c r="S16" s="398"/>
      <c r="T16" s="398"/>
      <c r="U16" s="398"/>
      <c r="V16" s="398"/>
      <c r="W16" s="398"/>
      <c r="X16" s="398"/>
      <c r="Y16" s="398"/>
      <c r="Z16" s="398"/>
    </row>
    <row r="17">
      <c r="A17" s="399" t="s">
        <v>1701</v>
      </c>
      <c r="B17" s="400" t="s">
        <v>386</v>
      </c>
      <c r="C17" s="398"/>
      <c r="D17" s="398"/>
      <c r="E17" s="398"/>
      <c r="F17" s="398"/>
      <c r="G17" s="398"/>
      <c r="H17" s="398"/>
      <c r="I17" s="398"/>
      <c r="J17" s="398"/>
      <c r="K17" s="398"/>
      <c r="L17" s="398"/>
      <c r="M17" s="398"/>
      <c r="N17" s="398"/>
      <c r="O17" s="398"/>
      <c r="P17" s="398"/>
      <c r="Q17" s="398"/>
      <c r="R17" s="398"/>
      <c r="S17" s="398"/>
      <c r="T17" s="398"/>
      <c r="U17" s="398"/>
      <c r="V17" s="398"/>
      <c r="W17" s="398"/>
      <c r="X17" s="398"/>
      <c r="Y17" s="398"/>
      <c r="Z17" s="398"/>
    </row>
    <row r="18">
      <c r="A18" s="399" t="s">
        <v>1702</v>
      </c>
      <c r="B18" s="400" t="s">
        <v>97</v>
      </c>
      <c r="C18" s="398"/>
      <c r="D18" s="398"/>
      <c r="E18" s="398"/>
      <c r="F18" s="398"/>
      <c r="G18" s="398"/>
      <c r="H18" s="398"/>
      <c r="I18" s="398"/>
      <c r="J18" s="398"/>
      <c r="K18" s="398"/>
      <c r="L18" s="398"/>
      <c r="M18" s="398"/>
      <c r="N18" s="398"/>
      <c r="O18" s="398"/>
      <c r="P18" s="398"/>
      <c r="Q18" s="398"/>
      <c r="R18" s="398"/>
      <c r="S18" s="398"/>
      <c r="T18" s="398"/>
      <c r="U18" s="398"/>
      <c r="V18" s="398"/>
      <c r="W18" s="398"/>
      <c r="X18" s="398"/>
      <c r="Y18" s="398"/>
      <c r="Z18" s="398"/>
    </row>
    <row r="19">
      <c r="A19" s="401" t="s">
        <v>338</v>
      </c>
      <c r="B19" s="400" t="s">
        <v>338</v>
      </c>
      <c r="C19" s="398"/>
      <c r="D19" s="398"/>
      <c r="E19" s="398"/>
      <c r="F19" s="398"/>
      <c r="G19" s="398"/>
      <c r="H19" s="398"/>
      <c r="I19" s="398"/>
      <c r="J19" s="398"/>
      <c r="K19" s="398"/>
      <c r="L19" s="398"/>
      <c r="M19" s="398"/>
      <c r="N19" s="398"/>
      <c r="O19" s="398"/>
      <c r="P19" s="398"/>
      <c r="Q19" s="398"/>
      <c r="R19" s="398"/>
      <c r="S19" s="398"/>
      <c r="T19" s="398"/>
      <c r="U19" s="398"/>
      <c r="V19" s="398"/>
      <c r="W19" s="398"/>
      <c r="X19" s="398"/>
      <c r="Y19" s="398"/>
      <c r="Z19" s="398"/>
    </row>
    <row r="20">
      <c r="A20" s="399" t="s">
        <v>1703</v>
      </c>
      <c r="B20" s="400" t="s">
        <v>166</v>
      </c>
      <c r="C20" s="398"/>
      <c r="D20" s="398"/>
      <c r="E20" s="398"/>
      <c r="F20" s="398"/>
      <c r="G20" s="398"/>
      <c r="H20" s="398"/>
      <c r="I20" s="398"/>
      <c r="J20" s="398"/>
      <c r="K20" s="398"/>
      <c r="L20" s="398"/>
      <c r="M20" s="398"/>
      <c r="N20" s="398"/>
      <c r="O20" s="398"/>
      <c r="P20" s="398"/>
      <c r="Q20" s="398"/>
      <c r="R20" s="398"/>
      <c r="S20" s="398"/>
      <c r="T20" s="398"/>
      <c r="U20" s="398"/>
      <c r="V20" s="398"/>
      <c r="W20" s="398"/>
      <c r="X20" s="398"/>
      <c r="Y20" s="398"/>
      <c r="Z20" s="398"/>
    </row>
    <row r="21">
      <c r="A21" s="399" t="s">
        <v>1704</v>
      </c>
      <c r="B21" s="400" t="s">
        <v>425</v>
      </c>
      <c r="C21" s="398"/>
      <c r="D21" s="398"/>
      <c r="E21" s="398"/>
      <c r="F21" s="398"/>
      <c r="G21" s="398"/>
      <c r="H21" s="398"/>
      <c r="I21" s="398"/>
      <c r="J21" s="398"/>
      <c r="K21" s="398"/>
      <c r="L21" s="398"/>
      <c r="M21" s="398"/>
      <c r="N21" s="398"/>
      <c r="O21" s="398"/>
      <c r="P21" s="398"/>
      <c r="Q21" s="398"/>
      <c r="R21" s="398"/>
      <c r="S21" s="398"/>
      <c r="T21" s="398"/>
      <c r="U21" s="398"/>
      <c r="V21" s="398"/>
      <c r="W21" s="398"/>
      <c r="X21" s="398"/>
      <c r="Y21" s="398"/>
      <c r="Z21" s="398"/>
    </row>
    <row r="22">
      <c r="A22" s="399"/>
      <c r="B22" s="400"/>
      <c r="C22" s="398"/>
      <c r="D22" s="398"/>
      <c r="E22" s="398"/>
      <c r="F22" s="398"/>
      <c r="G22" s="398"/>
      <c r="H22" s="398"/>
      <c r="I22" s="398"/>
      <c r="J22" s="398"/>
      <c r="K22" s="398"/>
      <c r="L22" s="398"/>
      <c r="M22" s="398"/>
      <c r="N22" s="398"/>
      <c r="O22" s="398"/>
      <c r="P22" s="398"/>
      <c r="Q22" s="398"/>
      <c r="R22" s="398"/>
      <c r="S22" s="398"/>
      <c r="T22" s="398"/>
      <c r="U22" s="398"/>
      <c r="V22" s="398"/>
      <c r="W22" s="398"/>
      <c r="X22" s="398"/>
      <c r="Y22" s="398"/>
      <c r="Z22" s="398"/>
    </row>
    <row r="23">
      <c r="A23" s="399" t="s">
        <v>1705</v>
      </c>
      <c r="B23" s="400" t="s">
        <v>46</v>
      </c>
      <c r="C23" s="398"/>
      <c r="D23" s="398"/>
      <c r="E23" s="398"/>
      <c r="F23" s="398"/>
      <c r="G23" s="398"/>
      <c r="H23" s="398"/>
      <c r="I23" s="398"/>
      <c r="J23" s="398"/>
      <c r="K23" s="398"/>
      <c r="L23" s="398"/>
      <c r="M23" s="398"/>
      <c r="N23" s="398"/>
      <c r="O23" s="398"/>
      <c r="P23" s="398"/>
      <c r="Q23" s="398"/>
      <c r="R23" s="398"/>
      <c r="S23" s="398"/>
      <c r="T23" s="398"/>
      <c r="U23" s="398"/>
      <c r="V23" s="398"/>
      <c r="W23" s="398"/>
      <c r="X23" s="398"/>
      <c r="Y23" s="398"/>
      <c r="Z23" s="398"/>
    </row>
    <row r="24">
      <c r="A24" s="399" t="s">
        <v>1706</v>
      </c>
      <c r="B24" s="400" t="s">
        <v>372</v>
      </c>
      <c r="C24" s="398"/>
      <c r="D24" s="398"/>
      <c r="E24" s="398"/>
      <c r="F24" s="398"/>
      <c r="G24" s="398"/>
      <c r="H24" s="398"/>
      <c r="I24" s="398"/>
      <c r="J24" s="398"/>
      <c r="K24" s="398"/>
      <c r="L24" s="398"/>
      <c r="M24" s="398"/>
      <c r="N24" s="398"/>
      <c r="O24" s="398"/>
      <c r="P24" s="398"/>
      <c r="Q24" s="398"/>
      <c r="R24" s="398"/>
      <c r="S24" s="398"/>
      <c r="T24" s="398"/>
      <c r="U24" s="398"/>
      <c r="V24" s="398"/>
      <c r="W24" s="398"/>
      <c r="X24" s="398"/>
      <c r="Y24" s="398"/>
      <c r="Z24" s="398"/>
    </row>
    <row r="25">
      <c r="A25" s="401" t="s">
        <v>1707</v>
      </c>
      <c r="B25" s="400" t="s">
        <v>1708</v>
      </c>
      <c r="C25" s="398"/>
      <c r="D25" s="398"/>
      <c r="E25" s="398"/>
      <c r="F25" s="398"/>
      <c r="G25" s="398"/>
      <c r="H25" s="398"/>
      <c r="I25" s="398"/>
      <c r="J25" s="398"/>
      <c r="K25" s="398"/>
      <c r="L25" s="398"/>
      <c r="M25" s="398"/>
      <c r="N25" s="398"/>
      <c r="O25" s="398"/>
      <c r="P25" s="398"/>
      <c r="Q25" s="398"/>
      <c r="R25" s="398"/>
      <c r="S25" s="398"/>
      <c r="T25" s="398"/>
      <c r="U25" s="398"/>
      <c r="V25" s="398"/>
      <c r="W25" s="398"/>
      <c r="X25" s="398"/>
      <c r="Y25" s="398"/>
      <c r="Z25" s="398"/>
    </row>
    <row r="26">
      <c r="A26" s="402" t="s">
        <v>1709</v>
      </c>
      <c r="B26" s="400" t="s">
        <v>138</v>
      </c>
      <c r="C26" s="398"/>
      <c r="D26" s="398"/>
      <c r="E26" s="398"/>
      <c r="F26" s="398"/>
      <c r="G26" s="398"/>
      <c r="H26" s="398"/>
      <c r="I26" s="398"/>
      <c r="J26" s="398"/>
      <c r="K26" s="398"/>
      <c r="L26" s="398"/>
      <c r="M26" s="398"/>
      <c r="N26" s="398"/>
      <c r="O26" s="398"/>
      <c r="P26" s="398"/>
      <c r="Q26" s="398"/>
      <c r="R26" s="398"/>
      <c r="S26" s="398"/>
      <c r="T26" s="398"/>
      <c r="U26" s="398"/>
      <c r="V26" s="398"/>
      <c r="W26" s="398"/>
      <c r="X26" s="398"/>
      <c r="Y26" s="398"/>
      <c r="Z26" s="398"/>
    </row>
    <row r="27">
      <c r="A27" s="401" t="s">
        <v>1710</v>
      </c>
      <c r="B27" s="400" t="s">
        <v>354</v>
      </c>
      <c r="C27" s="398"/>
      <c r="D27" s="398"/>
      <c r="E27" s="398"/>
      <c r="F27" s="398"/>
      <c r="G27" s="398"/>
      <c r="H27" s="398"/>
      <c r="I27" s="398"/>
      <c r="J27" s="398"/>
      <c r="K27" s="398"/>
      <c r="L27" s="398"/>
      <c r="M27" s="398"/>
      <c r="N27" s="398"/>
      <c r="O27" s="398"/>
      <c r="P27" s="398"/>
      <c r="Q27" s="398"/>
      <c r="R27" s="398"/>
      <c r="S27" s="398"/>
      <c r="T27" s="398"/>
      <c r="U27" s="398"/>
      <c r="V27" s="398"/>
      <c r="W27" s="398"/>
      <c r="X27" s="398"/>
      <c r="Y27" s="398"/>
      <c r="Z27" s="398"/>
    </row>
    <row r="28">
      <c r="A28" s="399" t="s">
        <v>110</v>
      </c>
      <c r="B28" s="400" t="s">
        <v>110</v>
      </c>
      <c r="C28" s="398"/>
      <c r="D28" s="398"/>
      <c r="E28" s="398"/>
      <c r="F28" s="398"/>
      <c r="G28" s="398"/>
      <c r="H28" s="398"/>
      <c r="I28" s="398"/>
      <c r="J28" s="398"/>
      <c r="K28" s="398"/>
      <c r="L28" s="398"/>
      <c r="M28" s="398"/>
      <c r="N28" s="398"/>
      <c r="O28" s="398"/>
      <c r="P28" s="398"/>
      <c r="Q28" s="398"/>
      <c r="R28" s="398"/>
      <c r="S28" s="398"/>
      <c r="T28" s="398"/>
      <c r="U28" s="398"/>
      <c r="V28" s="398"/>
      <c r="W28" s="398"/>
      <c r="X28" s="398"/>
      <c r="Y28" s="398"/>
      <c r="Z28" s="398"/>
    </row>
    <row r="29">
      <c r="A29" s="399" t="s">
        <v>1711</v>
      </c>
      <c r="B29" s="400" t="s">
        <v>357</v>
      </c>
      <c r="C29" s="398"/>
      <c r="D29" s="398"/>
      <c r="E29" s="398"/>
      <c r="F29" s="398"/>
      <c r="G29" s="398"/>
      <c r="H29" s="398"/>
      <c r="I29" s="398"/>
      <c r="J29" s="398"/>
      <c r="K29" s="398"/>
      <c r="L29" s="398"/>
      <c r="M29" s="398"/>
      <c r="N29" s="398"/>
      <c r="O29" s="398"/>
      <c r="P29" s="398"/>
      <c r="Q29" s="398"/>
      <c r="R29" s="398"/>
      <c r="S29" s="398"/>
      <c r="T29" s="398"/>
      <c r="U29" s="398"/>
      <c r="V29" s="398"/>
      <c r="W29" s="398"/>
      <c r="X29" s="398"/>
      <c r="Y29" s="398"/>
      <c r="Z29" s="398"/>
    </row>
    <row r="30">
      <c r="A30" s="399" t="s">
        <v>1712</v>
      </c>
      <c r="B30" s="400" t="s">
        <v>336</v>
      </c>
      <c r="C30" s="398"/>
      <c r="D30" s="398"/>
      <c r="E30" s="398"/>
      <c r="F30" s="398"/>
      <c r="G30" s="398"/>
      <c r="H30" s="398"/>
      <c r="I30" s="398"/>
      <c r="J30" s="398"/>
      <c r="K30" s="398"/>
      <c r="L30" s="398"/>
      <c r="M30" s="398"/>
      <c r="N30" s="398"/>
      <c r="O30" s="398"/>
      <c r="P30" s="398"/>
      <c r="Q30" s="398"/>
      <c r="R30" s="398"/>
      <c r="S30" s="398"/>
      <c r="T30" s="398"/>
      <c r="U30" s="398"/>
      <c r="V30" s="398"/>
      <c r="W30" s="398"/>
      <c r="X30" s="398"/>
      <c r="Y30" s="398"/>
      <c r="Z30" s="398"/>
    </row>
    <row r="31">
      <c r="A31" s="399" t="s">
        <v>107</v>
      </c>
      <c r="B31" s="400" t="s">
        <v>107</v>
      </c>
      <c r="C31" s="398"/>
      <c r="D31" s="398"/>
      <c r="E31" s="398"/>
      <c r="F31" s="398"/>
      <c r="G31" s="398"/>
      <c r="H31" s="398"/>
      <c r="I31" s="398"/>
      <c r="J31" s="398"/>
      <c r="K31" s="398"/>
      <c r="L31" s="398"/>
      <c r="M31" s="398"/>
      <c r="N31" s="398"/>
      <c r="O31" s="398"/>
      <c r="P31" s="398"/>
      <c r="Q31" s="398"/>
      <c r="R31" s="398"/>
      <c r="S31" s="398"/>
      <c r="T31" s="398"/>
      <c r="U31" s="398"/>
      <c r="V31" s="398"/>
      <c r="W31" s="398"/>
      <c r="X31" s="398"/>
      <c r="Y31" s="398"/>
      <c r="Z31" s="398"/>
    </row>
    <row r="32">
      <c r="A32" s="399" t="s">
        <v>1713</v>
      </c>
      <c r="B32" s="400" t="s">
        <v>489</v>
      </c>
      <c r="C32" s="398"/>
      <c r="D32" s="398"/>
      <c r="E32" s="398"/>
      <c r="F32" s="398"/>
      <c r="G32" s="398"/>
      <c r="H32" s="398"/>
      <c r="I32" s="398"/>
      <c r="J32" s="398"/>
      <c r="K32" s="398"/>
      <c r="L32" s="398"/>
      <c r="M32" s="398"/>
      <c r="N32" s="398"/>
      <c r="O32" s="398"/>
      <c r="P32" s="398"/>
      <c r="Q32" s="398"/>
      <c r="R32" s="398"/>
      <c r="S32" s="398"/>
      <c r="T32" s="398"/>
      <c r="U32" s="398"/>
      <c r="V32" s="398"/>
      <c r="W32" s="398"/>
      <c r="X32" s="398"/>
      <c r="Y32" s="398"/>
      <c r="Z32" s="398"/>
    </row>
    <row r="33">
      <c r="A33" s="399" t="s">
        <v>160</v>
      </c>
      <c r="B33" s="400" t="s">
        <v>160</v>
      </c>
      <c r="C33" s="398"/>
      <c r="D33" s="398"/>
      <c r="E33" s="398"/>
      <c r="F33" s="398"/>
      <c r="G33" s="398"/>
      <c r="H33" s="398"/>
      <c r="I33" s="398"/>
      <c r="J33" s="398"/>
      <c r="K33" s="398"/>
      <c r="L33" s="398"/>
      <c r="M33" s="398"/>
      <c r="N33" s="398"/>
      <c r="O33" s="398"/>
      <c r="P33" s="398"/>
      <c r="Q33" s="398"/>
      <c r="R33" s="398"/>
      <c r="S33" s="398"/>
      <c r="T33" s="398"/>
      <c r="U33" s="398"/>
      <c r="V33" s="398"/>
      <c r="W33" s="398"/>
      <c r="X33" s="398"/>
      <c r="Y33" s="398"/>
      <c r="Z33" s="398"/>
    </row>
    <row r="34">
      <c r="A34" s="399" t="s">
        <v>195</v>
      </c>
      <c r="B34" s="400" t="s">
        <v>195</v>
      </c>
      <c r="C34" s="398"/>
      <c r="D34" s="398"/>
      <c r="E34" s="398"/>
      <c r="F34" s="398"/>
      <c r="G34" s="398"/>
      <c r="H34" s="398"/>
      <c r="I34" s="398"/>
      <c r="J34" s="398"/>
      <c r="K34" s="398"/>
      <c r="L34" s="398"/>
      <c r="M34" s="398"/>
      <c r="N34" s="398"/>
      <c r="O34" s="398"/>
      <c r="P34" s="398"/>
      <c r="Q34" s="398"/>
      <c r="R34" s="398"/>
      <c r="S34" s="398"/>
      <c r="T34" s="398"/>
      <c r="U34" s="398"/>
      <c r="V34" s="398"/>
      <c r="W34" s="398"/>
      <c r="X34" s="398"/>
      <c r="Y34" s="398"/>
      <c r="Z34" s="398"/>
    </row>
    <row r="35">
      <c r="A35" s="399"/>
      <c r="B35" s="400"/>
      <c r="C35" s="398"/>
      <c r="D35" s="398"/>
      <c r="E35" s="398"/>
      <c r="F35" s="398"/>
      <c r="G35" s="398"/>
      <c r="H35" s="398"/>
      <c r="I35" s="398"/>
      <c r="J35" s="398"/>
      <c r="K35" s="398"/>
      <c r="L35" s="398"/>
      <c r="M35" s="398"/>
      <c r="N35" s="398"/>
      <c r="O35" s="398"/>
      <c r="P35" s="398"/>
      <c r="Q35" s="398"/>
      <c r="R35" s="398"/>
      <c r="S35" s="398"/>
      <c r="T35" s="398"/>
      <c r="U35" s="398"/>
      <c r="V35" s="398"/>
      <c r="W35" s="398"/>
      <c r="X35" s="398"/>
      <c r="Y35" s="398"/>
      <c r="Z35" s="398"/>
    </row>
    <row r="36">
      <c r="A36" s="401" t="s">
        <v>1714</v>
      </c>
      <c r="B36" s="400" t="s">
        <v>296</v>
      </c>
      <c r="C36" s="398"/>
      <c r="D36" s="398"/>
      <c r="E36" s="398"/>
      <c r="F36" s="398"/>
      <c r="G36" s="398"/>
      <c r="H36" s="398"/>
      <c r="I36" s="398"/>
      <c r="J36" s="398"/>
      <c r="K36" s="398"/>
      <c r="L36" s="398"/>
      <c r="M36" s="398"/>
      <c r="N36" s="398"/>
      <c r="O36" s="398"/>
      <c r="P36" s="398"/>
      <c r="Q36" s="398"/>
      <c r="R36" s="398"/>
      <c r="S36" s="398"/>
      <c r="T36" s="398"/>
      <c r="U36" s="398"/>
      <c r="V36" s="398"/>
      <c r="W36" s="398"/>
      <c r="X36" s="398"/>
      <c r="Y36" s="398"/>
      <c r="Z36" s="398"/>
    </row>
    <row r="37">
      <c r="A37" s="399" t="s">
        <v>322</v>
      </c>
      <c r="B37" s="400" t="s">
        <v>322</v>
      </c>
      <c r="C37" s="398"/>
      <c r="D37" s="398"/>
      <c r="E37" s="398"/>
      <c r="F37" s="398"/>
      <c r="G37" s="398"/>
      <c r="H37" s="398"/>
      <c r="I37" s="398"/>
      <c r="J37" s="398"/>
      <c r="K37" s="398"/>
      <c r="L37" s="398"/>
      <c r="M37" s="398"/>
      <c r="N37" s="398"/>
      <c r="O37" s="398"/>
      <c r="P37" s="398"/>
      <c r="Q37" s="398"/>
      <c r="R37" s="398"/>
      <c r="S37" s="398"/>
      <c r="T37" s="398"/>
      <c r="U37" s="398"/>
      <c r="V37" s="398"/>
      <c r="W37" s="398"/>
      <c r="X37" s="398"/>
      <c r="Y37" s="398"/>
      <c r="Z37" s="398"/>
    </row>
    <row r="38">
      <c r="A38" s="401" t="s">
        <v>1715</v>
      </c>
      <c r="B38" s="400" t="s">
        <v>349</v>
      </c>
      <c r="C38" s="398"/>
      <c r="D38" s="398"/>
      <c r="E38" s="398"/>
      <c r="F38" s="398"/>
      <c r="G38" s="398"/>
      <c r="H38" s="398"/>
      <c r="I38" s="398"/>
      <c r="J38" s="398"/>
      <c r="K38" s="398"/>
      <c r="L38" s="398"/>
      <c r="M38" s="398"/>
      <c r="N38" s="398"/>
      <c r="O38" s="398"/>
      <c r="P38" s="398"/>
      <c r="Q38" s="398"/>
      <c r="R38" s="398"/>
      <c r="S38" s="398"/>
      <c r="T38" s="398"/>
      <c r="U38" s="398"/>
      <c r="V38" s="398"/>
      <c r="W38" s="398"/>
      <c r="X38" s="398"/>
      <c r="Y38" s="398"/>
      <c r="Z38" s="398"/>
    </row>
    <row r="39">
      <c r="A39" s="399" t="s">
        <v>1716</v>
      </c>
      <c r="B39" s="400" t="s">
        <v>457</v>
      </c>
      <c r="C39" s="398"/>
      <c r="D39" s="398"/>
      <c r="E39" s="398"/>
      <c r="F39" s="398"/>
      <c r="G39" s="398"/>
      <c r="H39" s="398"/>
      <c r="I39" s="398"/>
      <c r="J39" s="398"/>
      <c r="K39" s="398"/>
      <c r="L39" s="398"/>
      <c r="M39" s="398"/>
      <c r="N39" s="398"/>
      <c r="O39" s="398"/>
      <c r="P39" s="398"/>
      <c r="Q39" s="398"/>
      <c r="R39" s="398"/>
      <c r="S39" s="398"/>
      <c r="T39" s="398"/>
      <c r="U39" s="398"/>
      <c r="V39" s="398"/>
      <c r="W39" s="398"/>
      <c r="X39" s="398"/>
      <c r="Y39" s="398"/>
      <c r="Z39" s="398"/>
    </row>
    <row r="40">
      <c r="A40" s="399" t="s">
        <v>1717</v>
      </c>
      <c r="B40" s="400" t="s">
        <v>59</v>
      </c>
      <c r="C40" s="398"/>
      <c r="D40" s="398"/>
      <c r="E40" s="398"/>
      <c r="F40" s="398"/>
      <c r="G40" s="398"/>
      <c r="H40" s="398"/>
      <c r="I40" s="398"/>
      <c r="J40" s="398"/>
      <c r="K40" s="398"/>
      <c r="L40" s="398"/>
      <c r="M40" s="398"/>
      <c r="N40" s="398"/>
      <c r="O40" s="398"/>
      <c r="P40" s="398"/>
      <c r="Q40" s="398"/>
      <c r="R40" s="398"/>
      <c r="S40" s="398"/>
      <c r="T40" s="398"/>
      <c r="U40" s="398"/>
      <c r="V40" s="398"/>
      <c r="W40" s="398"/>
      <c r="X40" s="398"/>
      <c r="Y40" s="398"/>
      <c r="Z40" s="398"/>
    </row>
    <row r="41">
      <c r="A41" s="399" t="s">
        <v>1718</v>
      </c>
      <c r="B41" s="400" t="s">
        <v>115</v>
      </c>
      <c r="C41" s="398"/>
      <c r="D41" s="398"/>
      <c r="E41" s="398"/>
      <c r="F41" s="398"/>
      <c r="G41" s="398"/>
      <c r="H41" s="398"/>
      <c r="I41" s="398"/>
      <c r="J41" s="398"/>
      <c r="K41" s="398"/>
      <c r="L41" s="398"/>
      <c r="M41" s="398"/>
      <c r="N41" s="398"/>
      <c r="O41" s="398"/>
      <c r="P41" s="398"/>
      <c r="Q41" s="398"/>
      <c r="R41" s="398"/>
      <c r="S41" s="398"/>
      <c r="T41" s="398"/>
      <c r="U41" s="398"/>
      <c r="V41" s="398"/>
      <c r="W41" s="398"/>
      <c r="X41" s="398"/>
      <c r="Y41" s="398"/>
      <c r="Z41" s="398"/>
    </row>
    <row r="42">
      <c r="A42" s="399" t="s">
        <v>314</v>
      </c>
      <c r="B42" s="400" t="s">
        <v>314</v>
      </c>
      <c r="C42" s="398"/>
      <c r="D42" s="398"/>
      <c r="E42" s="398"/>
      <c r="F42" s="398"/>
      <c r="G42" s="398"/>
      <c r="H42" s="398"/>
      <c r="I42" s="398"/>
      <c r="J42" s="398"/>
      <c r="K42" s="398"/>
      <c r="L42" s="398"/>
      <c r="M42" s="398"/>
      <c r="N42" s="398"/>
      <c r="O42" s="398"/>
      <c r="P42" s="398"/>
      <c r="Q42" s="398"/>
      <c r="R42" s="398"/>
      <c r="S42" s="398"/>
      <c r="T42" s="398"/>
      <c r="U42" s="398"/>
      <c r="V42" s="398"/>
      <c r="W42" s="398"/>
      <c r="X42" s="398"/>
      <c r="Y42" s="398"/>
      <c r="Z42" s="398"/>
    </row>
    <row r="43">
      <c r="A43" s="399" t="s">
        <v>1719</v>
      </c>
      <c r="B43" s="400" t="s">
        <v>112</v>
      </c>
      <c r="C43" s="398"/>
      <c r="D43" s="398"/>
      <c r="E43" s="398"/>
      <c r="F43" s="398"/>
      <c r="G43" s="398"/>
      <c r="H43" s="398"/>
      <c r="I43" s="398"/>
      <c r="J43" s="398"/>
      <c r="K43" s="398"/>
      <c r="L43" s="398"/>
      <c r="M43" s="398"/>
      <c r="N43" s="398"/>
      <c r="O43" s="398"/>
      <c r="P43" s="398"/>
      <c r="Q43" s="398"/>
      <c r="R43" s="398"/>
      <c r="S43" s="398"/>
      <c r="T43" s="398"/>
      <c r="U43" s="398"/>
      <c r="V43" s="398"/>
      <c r="W43" s="398"/>
      <c r="X43" s="398"/>
      <c r="Y43" s="398"/>
      <c r="Z43" s="398"/>
    </row>
    <row r="44">
      <c r="A44" s="399" t="s">
        <v>1720</v>
      </c>
      <c r="B44" s="400" t="s">
        <v>422</v>
      </c>
      <c r="C44" s="398"/>
      <c r="D44" s="398"/>
      <c r="E44" s="398"/>
      <c r="F44" s="398"/>
      <c r="G44" s="398"/>
      <c r="H44" s="398"/>
      <c r="I44" s="398"/>
      <c r="J44" s="398"/>
      <c r="K44" s="398"/>
      <c r="L44" s="398"/>
      <c r="M44" s="398"/>
      <c r="N44" s="398"/>
      <c r="O44" s="398"/>
      <c r="P44" s="398"/>
      <c r="Q44" s="398"/>
      <c r="R44" s="398"/>
      <c r="S44" s="398"/>
      <c r="T44" s="398"/>
      <c r="U44" s="398"/>
      <c r="V44" s="398"/>
      <c r="W44" s="398"/>
      <c r="X44" s="398"/>
      <c r="Y44" s="398"/>
      <c r="Z44" s="398"/>
    </row>
    <row r="45">
      <c r="A45" s="399" t="s">
        <v>1721</v>
      </c>
      <c r="B45" s="400" t="s">
        <v>1722</v>
      </c>
      <c r="C45" s="398"/>
      <c r="D45" s="398"/>
      <c r="E45" s="398"/>
      <c r="F45" s="398"/>
      <c r="G45" s="398"/>
      <c r="H45" s="398"/>
      <c r="I45" s="398"/>
      <c r="J45" s="398"/>
      <c r="K45" s="398"/>
      <c r="L45" s="398"/>
      <c r="M45" s="398"/>
      <c r="N45" s="398"/>
      <c r="O45" s="398"/>
      <c r="P45" s="398"/>
      <c r="Q45" s="398"/>
      <c r="R45" s="398"/>
      <c r="S45" s="398"/>
      <c r="T45" s="398"/>
      <c r="U45" s="398"/>
      <c r="V45" s="398"/>
      <c r="W45" s="398"/>
      <c r="X45" s="398"/>
      <c r="Y45" s="398"/>
      <c r="Z45" s="398"/>
    </row>
    <row r="46">
      <c r="A46" s="399" t="s">
        <v>1723</v>
      </c>
      <c r="B46" s="400" t="s">
        <v>299</v>
      </c>
      <c r="C46" s="398"/>
      <c r="D46" s="398"/>
      <c r="E46" s="398"/>
      <c r="F46" s="398"/>
      <c r="G46" s="398"/>
      <c r="H46" s="398"/>
      <c r="I46" s="398"/>
      <c r="J46" s="398"/>
      <c r="K46" s="398"/>
      <c r="L46" s="398"/>
      <c r="M46" s="398"/>
      <c r="N46" s="398"/>
      <c r="O46" s="398"/>
      <c r="P46" s="398"/>
      <c r="Q46" s="398"/>
      <c r="R46" s="398"/>
      <c r="S46" s="398"/>
      <c r="T46" s="398"/>
      <c r="U46" s="398"/>
      <c r="V46" s="398"/>
      <c r="W46" s="398"/>
      <c r="X46" s="398"/>
      <c r="Y46" s="398"/>
      <c r="Z46" s="398"/>
    </row>
    <row r="47">
      <c r="A47" s="401" t="s">
        <v>1724</v>
      </c>
      <c r="B47" s="400" t="s">
        <v>587</v>
      </c>
      <c r="C47" s="398"/>
      <c r="D47" s="398"/>
      <c r="E47" s="398"/>
      <c r="F47" s="398"/>
      <c r="G47" s="398"/>
      <c r="H47" s="398"/>
      <c r="I47" s="398"/>
      <c r="J47" s="398"/>
      <c r="K47" s="398"/>
      <c r="L47" s="398"/>
      <c r="M47" s="398"/>
      <c r="N47" s="398"/>
      <c r="O47" s="398"/>
      <c r="P47" s="398"/>
      <c r="Q47" s="398"/>
      <c r="R47" s="398"/>
      <c r="S47" s="398"/>
      <c r="T47" s="398"/>
      <c r="U47" s="398"/>
      <c r="V47" s="398"/>
      <c r="W47" s="398"/>
      <c r="X47" s="398"/>
      <c r="Y47" s="398"/>
      <c r="Z47" s="398"/>
    </row>
    <row r="48">
      <c r="A48" s="399"/>
      <c r="B48" s="400"/>
      <c r="C48" s="398"/>
      <c r="D48" s="398"/>
      <c r="E48" s="398"/>
      <c r="F48" s="398"/>
      <c r="G48" s="398"/>
      <c r="H48" s="398"/>
      <c r="I48" s="398"/>
      <c r="J48" s="398"/>
      <c r="K48" s="398"/>
      <c r="L48" s="398"/>
      <c r="M48" s="398"/>
      <c r="N48" s="398"/>
      <c r="O48" s="398"/>
      <c r="P48" s="398"/>
      <c r="Q48" s="398"/>
      <c r="R48" s="398"/>
      <c r="S48" s="398"/>
      <c r="T48" s="398"/>
      <c r="U48" s="398"/>
      <c r="V48" s="398"/>
      <c r="W48" s="398"/>
      <c r="X48" s="398"/>
      <c r="Y48" s="398"/>
      <c r="Z48" s="398"/>
    </row>
    <row r="49">
      <c r="A49" s="399" t="s">
        <v>1725</v>
      </c>
      <c r="B49" s="400" t="s">
        <v>287</v>
      </c>
      <c r="C49" s="398"/>
      <c r="D49" s="398"/>
      <c r="E49" s="398"/>
      <c r="F49" s="398"/>
      <c r="G49" s="398"/>
      <c r="H49" s="398"/>
      <c r="I49" s="398"/>
      <c r="J49" s="398"/>
      <c r="K49" s="398"/>
      <c r="L49" s="398"/>
      <c r="M49" s="398"/>
      <c r="N49" s="398"/>
      <c r="O49" s="398"/>
      <c r="P49" s="398"/>
      <c r="Q49" s="398"/>
      <c r="R49" s="398"/>
      <c r="S49" s="398"/>
      <c r="T49" s="398"/>
      <c r="U49" s="398"/>
      <c r="V49" s="398"/>
      <c r="W49" s="398"/>
      <c r="X49" s="398"/>
      <c r="Y49" s="398"/>
      <c r="Z49" s="398"/>
    </row>
    <row r="50">
      <c r="A50" s="399" t="s">
        <v>1726</v>
      </c>
      <c r="B50" s="400" t="s">
        <v>162</v>
      </c>
      <c r="C50" s="398"/>
      <c r="D50" s="398"/>
      <c r="E50" s="398"/>
      <c r="F50" s="398"/>
      <c r="G50" s="398"/>
      <c r="H50" s="398"/>
      <c r="I50" s="398"/>
      <c r="J50" s="398"/>
      <c r="K50" s="398"/>
      <c r="L50" s="398"/>
      <c r="M50" s="398"/>
      <c r="N50" s="398"/>
      <c r="O50" s="398"/>
      <c r="P50" s="398"/>
      <c r="Q50" s="398"/>
      <c r="R50" s="398"/>
      <c r="S50" s="398"/>
      <c r="T50" s="398"/>
      <c r="U50" s="398"/>
      <c r="V50" s="398"/>
      <c r="W50" s="398"/>
      <c r="X50" s="398"/>
      <c r="Y50" s="398"/>
      <c r="Z50" s="398"/>
    </row>
    <row r="51">
      <c r="A51" s="399" t="s">
        <v>1727</v>
      </c>
      <c r="B51" s="400" t="s">
        <v>276</v>
      </c>
      <c r="C51" s="398"/>
      <c r="D51" s="398"/>
      <c r="E51" s="398"/>
      <c r="F51" s="398"/>
      <c r="G51" s="398"/>
      <c r="H51" s="398"/>
      <c r="I51" s="398"/>
      <c r="J51" s="398"/>
      <c r="K51" s="398"/>
      <c r="L51" s="398"/>
      <c r="M51" s="398"/>
      <c r="N51" s="398"/>
      <c r="O51" s="398"/>
      <c r="P51" s="398"/>
      <c r="Q51" s="398"/>
      <c r="R51" s="398"/>
      <c r="S51" s="398"/>
      <c r="T51" s="398"/>
      <c r="U51" s="398"/>
      <c r="V51" s="398"/>
      <c r="W51" s="398"/>
      <c r="X51" s="398"/>
      <c r="Y51" s="398"/>
      <c r="Z51" s="398"/>
    </row>
    <row r="52">
      <c r="A52" s="399" t="s">
        <v>1728</v>
      </c>
      <c r="B52" s="400" t="s">
        <v>427</v>
      </c>
      <c r="C52" s="398"/>
      <c r="D52" s="398"/>
      <c r="E52" s="398"/>
      <c r="F52" s="398"/>
      <c r="G52" s="398"/>
      <c r="H52" s="398"/>
      <c r="I52" s="398"/>
      <c r="J52" s="398"/>
      <c r="K52" s="398"/>
      <c r="L52" s="398"/>
      <c r="M52" s="398"/>
      <c r="N52" s="398"/>
      <c r="O52" s="398"/>
      <c r="P52" s="398"/>
      <c r="Q52" s="398"/>
      <c r="R52" s="398"/>
      <c r="S52" s="398"/>
      <c r="T52" s="398"/>
      <c r="U52" s="398"/>
      <c r="V52" s="398"/>
      <c r="W52" s="398"/>
      <c r="X52" s="398"/>
      <c r="Y52" s="398"/>
      <c r="Z52" s="398"/>
    </row>
    <row r="53">
      <c r="A53" s="399" t="s">
        <v>1729</v>
      </c>
      <c r="B53" s="400" t="s">
        <v>273</v>
      </c>
      <c r="C53" s="398"/>
      <c r="D53" s="398"/>
      <c r="E53" s="398"/>
      <c r="F53" s="398"/>
      <c r="G53" s="398"/>
      <c r="H53" s="398"/>
      <c r="I53" s="398"/>
      <c r="J53" s="398"/>
      <c r="K53" s="398"/>
      <c r="L53" s="398"/>
      <c r="M53" s="398"/>
      <c r="N53" s="398"/>
      <c r="O53" s="398"/>
      <c r="P53" s="398"/>
      <c r="Q53" s="398"/>
      <c r="R53" s="398"/>
      <c r="S53" s="398"/>
      <c r="T53" s="398"/>
      <c r="U53" s="398"/>
      <c r="V53" s="398"/>
      <c r="W53" s="398"/>
      <c r="X53" s="398"/>
      <c r="Y53" s="398"/>
      <c r="Z53" s="398"/>
    </row>
    <row r="54">
      <c r="A54" s="399"/>
      <c r="B54" s="400"/>
      <c r="C54" s="398"/>
      <c r="D54" s="398"/>
      <c r="E54" s="398"/>
      <c r="F54" s="398"/>
      <c r="G54" s="398"/>
      <c r="H54" s="398"/>
      <c r="I54" s="398"/>
      <c r="J54" s="398"/>
      <c r="K54" s="398"/>
      <c r="L54" s="398"/>
      <c r="M54" s="398"/>
      <c r="N54" s="398"/>
      <c r="O54" s="398"/>
      <c r="P54" s="398"/>
      <c r="Q54" s="398"/>
      <c r="R54" s="398"/>
      <c r="S54" s="398"/>
      <c r="T54" s="398"/>
      <c r="U54" s="398"/>
      <c r="V54" s="398"/>
      <c r="W54" s="398"/>
      <c r="X54" s="398"/>
      <c r="Y54" s="398"/>
      <c r="Z54" s="398"/>
    </row>
    <row r="55">
      <c r="A55" s="399"/>
      <c r="B55" s="400"/>
      <c r="C55" s="398"/>
      <c r="D55" s="398"/>
      <c r="E55" s="398"/>
      <c r="F55" s="398"/>
      <c r="G55" s="398"/>
      <c r="H55" s="398"/>
      <c r="I55" s="398"/>
      <c r="J55" s="398"/>
      <c r="K55" s="398"/>
      <c r="L55" s="398"/>
      <c r="M55" s="398"/>
      <c r="N55" s="398"/>
      <c r="O55" s="398"/>
      <c r="P55" s="398"/>
      <c r="Q55" s="398"/>
      <c r="R55" s="398"/>
      <c r="S55" s="398"/>
      <c r="T55" s="398"/>
      <c r="U55" s="398"/>
      <c r="V55" s="398"/>
      <c r="W55" s="398"/>
      <c r="X55" s="398"/>
      <c r="Y55" s="398"/>
      <c r="Z55" s="398"/>
    </row>
    <row r="56">
      <c r="A56" s="399"/>
      <c r="B56" s="400"/>
      <c r="C56" s="398"/>
      <c r="D56" s="398"/>
      <c r="E56" s="398"/>
      <c r="F56" s="398"/>
      <c r="G56" s="398"/>
      <c r="H56" s="398"/>
      <c r="I56" s="398"/>
      <c r="J56" s="398"/>
      <c r="K56" s="398"/>
      <c r="L56" s="398"/>
      <c r="M56" s="398"/>
      <c r="N56" s="398"/>
      <c r="O56" s="398"/>
      <c r="P56" s="398"/>
      <c r="Q56" s="398"/>
      <c r="R56" s="398"/>
      <c r="S56" s="398"/>
      <c r="T56" s="398"/>
      <c r="U56" s="398"/>
      <c r="V56" s="398"/>
      <c r="W56" s="398"/>
      <c r="X56" s="398"/>
      <c r="Y56" s="398"/>
      <c r="Z56" s="398"/>
    </row>
    <row r="57">
      <c r="A57" s="396"/>
      <c r="B57" s="397"/>
      <c r="C57" s="398"/>
      <c r="D57" s="398"/>
      <c r="E57" s="398"/>
      <c r="F57" s="398"/>
      <c r="G57" s="398"/>
      <c r="H57" s="398"/>
      <c r="I57" s="398"/>
      <c r="J57" s="398"/>
      <c r="K57" s="398"/>
      <c r="L57" s="398"/>
      <c r="M57" s="398"/>
      <c r="N57" s="398"/>
      <c r="O57" s="398"/>
      <c r="P57" s="398"/>
      <c r="Q57" s="398"/>
      <c r="R57" s="398"/>
      <c r="S57" s="398"/>
      <c r="T57" s="398"/>
      <c r="U57" s="398"/>
      <c r="V57" s="398"/>
      <c r="W57" s="398"/>
      <c r="X57" s="398"/>
      <c r="Y57" s="398"/>
      <c r="Z57" s="398"/>
    </row>
    <row r="58">
      <c r="A58" s="396"/>
      <c r="B58" s="397"/>
      <c r="C58" s="398"/>
      <c r="D58" s="398"/>
      <c r="E58" s="398"/>
      <c r="F58" s="398"/>
      <c r="G58" s="398"/>
      <c r="H58" s="398"/>
      <c r="I58" s="398"/>
      <c r="J58" s="398"/>
      <c r="K58" s="398"/>
      <c r="L58" s="398"/>
      <c r="M58" s="398"/>
      <c r="N58" s="398"/>
      <c r="O58" s="398"/>
      <c r="P58" s="398"/>
      <c r="Q58" s="398"/>
      <c r="R58" s="398"/>
      <c r="S58" s="398"/>
      <c r="T58" s="398"/>
      <c r="U58" s="398"/>
      <c r="V58" s="398"/>
      <c r="W58" s="398"/>
      <c r="X58" s="398"/>
      <c r="Y58" s="398"/>
      <c r="Z58" s="398"/>
    </row>
    <row r="59">
      <c r="A59" s="396"/>
      <c r="B59" s="397"/>
      <c r="C59" s="398"/>
      <c r="D59" s="398"/>
      <c r="E59" s="398"/>
      <c r="F59" s="398"/>
      <c r="G59" s="398"/>
      <c r="H59" s="398"/>
      <c r="I59" s="398"/>
      <c r="J59" s="398"/>
      <c r="K59" s="398"/>
      <c r="L59" s="398"/>
      <c r="M59" s="398"/>
      <c r="N59" s="398"/>
      <c r="O59" s="398"/>
      <c r="P59" s="398"/>
      <c r="Q59" s="398"/>
      <c r="R59" s="398"/>
      <c r="S59" s="398"/>
      <c r="T59" s="398"/>
      <c r="U59" s="398"/>
      <c r="V59" s="398"/>
      <c r="W59" s="398"/>
      <c r="X59" s="398"/>
      <c r="Y59" s="398"/>
      <c r="Z59" s="398"/>
    </row>
    <row r="60">
      <c r="A60" s="396"/>
      <c r="B60" s="397"/>
      <c r="C60" s="398"/>
      <c r="D60" s="398"/>
      <c r="E60" s="398"/>
      <c r="F60" s="398"/>
      <c r="G60" s="398"/>
      <c r="H60" s="398"/>
      <c r="I60" s="398"/>
      <c r="J60" s="398"/>
      <c r="K60" s="398"/>
      <c r="L60" s="398"/>
      <c r="M60" s="398"/>
      <c r="N60" s="398"/>
      <c r="O60" s="398"/>
      <c r="P60" s="398"/>
      <c r="Q60" s="398"/>
      <c r="R60" s="398"/>
      <c r="S60" s="398"/>
      <c r="T60" s="398"/>
      <c r="U60" s="398"/>
      <c r="V60" s="398"/>
      <c r="W60" s="398"/>
      <c r="X60" s="398"/>
      <c r="Y60" s="398"/>
      <c r="Z60" s="398"/>
    </row>
    <row r="61">
      <c r="A61" s="396"/>
      <c r="B61" s="397"/>
      <c r="C61" s="398"/>
      <c r="D61" s="398"/>
      <c r="E61" s="398"/>
      <c r="F61" s="398"/>
      <c r="G61" s="398"/>
      <c r="H61" s="398"/>
      <c r="I61" s="398"/>
      <c r="J61" s="398"/>
      <c r="K61" s="398"/>
      <c r="L61" s="398"/>
      <c r="M61" s="398"/>
      <c r="N61" s="398"/>
      <c r="O61" s="398"/>
      <c r="P61" s="398"/>
      <c r="Q61" s="398"/>
      <c r="R61" s="398"/>
      <c r="S61" s="398"/>
      <c r="T61" s="398"/>
      <c r="U61" s="398"/>
      <c r="V61" s="398"/>
      <c r="W61" s="398"/>
      <c r="X61" s="398"/>
      <c r="Y61" s="398"/>
      <c r="Z61" s="398"/>
    </row>
    <row r="62">
      <c r="A62" s="396"/>
      <c r="B62" s="397"/>
      <c r="C62" s="398"/>
      <c r="D62" s="398"/>
      <c r="E62" s="398"/>
      <c r="F62" s="398"/>
      <c r="G62" s="398"/>
      <c r="H62" s="398"/>
      <c r="I62" s="398"/>
      <c r="J62" s="398"/>
      <c r="K62" s="398"/>
      <c r="L62" s="398"/>
      <c r="M62" s="398"/>
      <c r="N62" s="398"/>
      <c r="O62" s="398"/>
      <c r="P62" s="398"/>
      <c r="Q62" s="398"/>
      <c r="R62" s="398"/>
      <c r="S62" s="398"/>
      <c r="T62" s="398"/>
      <c r="U62" s="398"/>
      <c r="V62" s="398"/>
      <c r="W62" s="398"/>
      <c r="X62" s="398"/>
      <c r="Y62" s="398"/>
      <c r="Z62" s="398"/>
    </row>
    <row r="63">
      <c r="A63" s="396"/>
      <c r="B63" s="397"/>
      <c r="C63" s="398"/>
      <c r="D63" s="398"/>
      <c r="E63" s="398"/>
      <c r="F63" s="398"/>
      <c r="G63" s="398"/>
      <c r="H63" s="398"/>
      <c r="I63" s="398"/>
      <c r="J63" s="398"/>
      <c r="K63" s="398"/>
      <c r="L63" s="398"/>
      <c r="M63" s="398"/>
      <c r="N63" s="398"/>
      <c r="O63" s="398"/>
      <c r="P63" s="398"/>
      <c r="Q63" s="398"/>
      <c r="R63" s="398"/>
      <c r="S63" s="398"/>
      <c r="T63" s="398"/>
      <c r="U63" s="398"/>
      <c r="V63" s="398"/>
      <c r="W63" s="398"/>
      <c r="X63" s="398"/>
      <c r="Y63" s="398"/>
      <c r="Z63" s="398"/>
    </row>
    <row r="64">
      <c r="A64" s="396"/>
      <c r="B64" s="397"/>
      <c r="C64" s="398"/>
      <c r="D64" s="398"/>
      <c r="E64" s="398"/>
      <c r="F64" s="398"/>
      <c r="G64" s="398"/>
      <c r="H64" s="398"/>
      <c r="I64" s="398"/>
      <c r="J64" s="398"/>
      <c r="K64" s="398"/>
      <c r="L64" s="398"/>
      <c r="M64" s="398"/>
      <c r="N64" s="398"/>
      <c r="O64" s="398"/>
      <c r="P64" s="398"/>
      <c r="Q64" s="398"/>
      <c r="R64" s="398"/>
      <c r="S64" s="398"/>
      <c r="T64" s="398"/>
      <c r="U64" s="398"/>
      <c r="V64" s="398"/>
      <c r="W64" s="398"/>
      <c r="X64" s="398"/>
      <c r="Y64" s="398"/>
      <c r="Z64" s="398"/>
    </row>
    <row r="65">
      <c r="A65" s="396"/>
      <c r="B65" s="397"/>
      <c r="C65" s="398"/>
      <c r="D65" s="398"/>
      <c r="E65" s="398"/>
      <c r="F65" s="398"/>
      <c r="G65" s="398"/>
      <c r="H65" s="398"/>
      <c r="I65" s="398"/>
      <c r="J65" s="398"/>
      <c r="K65" s="398"/>
      <c r="L65" s="398"/>
      <c r="M65" s="398"/>
      <c r="N65" s="398"/>
      <c r="O65" s="398"/>
      <c r="P65" s="398"/>
      <c r="Q65" s="398"/>
      <c r="R65" s="398"/>
      <c r="S65" s="398"/>
      <c r="T65" s="398"/>
      <c r="U65" s="398"/>
      <c r="V65" s="398"/>
      <c r="W65" s="398"/>
      <c r="X65" s="398"/>
      <c r="Y65" s="398"/>
      <c r="Z65" s="398"/>
    </row>
    <row r="66">
      <c r="A66" s="396"/>
      <c r="B66" s="397"/>
      <c r="C66" s="398"/>
      <c r="D66" s="398"/>
      <c r="E66" s="398"/>
      <c r="F66" s="398"/>
      <c r="G66" s="398"/>
      <c r="H66" s="398"/>
      <c r="I66" s="398"/>
      <c r="J66" s="398"/>
      <c r="K66" s="398"/>
      <c r="L66" s="398"/>
      <c r="M66" s="398"/>
      <c r="N66" s="398"/>
      <c r="O66" s="398"/>
      <c r="P66" s="398"/>
      <c r="Q66" s="398"/>
      <c r="R66" s="398"/>
      <c r="S66" s="398"/>
      <c r="T66" s="398"/>
      <c r="U66" s="398"/>
      <c r="V66" s="398"/>
      <c r="W66" s="398"/>
      <c r="X66" s="398"/>
      <c r="Y66" s="398"/>
      <c r="Z66" s="398"/>
    </row>
    <row r="67">
      <c r="A67" s="396"/>
      <c r="B67" s="397"/>
      <c r="C67" s="398"/>
      <c r="D67" s="398"/>
      <c r="E67" s="398"/>
      <c r="F67" s="398"/>
      <c r="G67" s="398"/>
      <c r="H67" s="398"/>
      <c r="I67" s="398"/>
      <c r="J67" s="398"/>
      <c r="K67" s="398"/>
      <c r="L67" s="398"/>
      <c r="M67" s="398"/>
      <c r="N67" s="398"/>
      <c r="O67" s="398"/>
      <c r="P67" s="398"/>
      <c r="Q67" s="398"/>
      <c r="R67" s="398"/>
      <c r="S67" s="398"/>
      <c r="T67" s="398"/>
      <c r="U67" s="398"/>
      <c r="V67" s="398"/>
      <c r="W67" s="398"/>
      <c r="X67" s="398"/>
      <c r="Y67" s="398"/>
      <c r="Z67" s="398"/>
    </row>
    <row r="68">
      <c r="A68" s="396"/>
      <c r="B68" s="397"/>
      <c r="C68" s="398"/>
      <c r="D68" s="398"/>
      <c r="E68" s="398"/>
      <c r="F68" s="398"/>
      <c r="G68" s="398"/>
      <c r="H68" s="398"/>
      <c r="I68" s="398"/>
      <c r="J68" s="398"/>
      <c r="K68" s="398"/>
      <c r="L68" s="398"/>
      <c r="M68" s="398"/>
      <c r="N68" s="398"/>
      <c r="O68" s="398"/>
      <c r="P68" s="398"/>
      <c r="Q68" s="398"/>
      <c r="R68" s="398"/>
      <c r="S68" s="398"/>
      <c r="T68" s="398"/>
      <c r="U68" s="398"/>
      <c r="V68" s="398"/>
      <c r="W68" s="398"/>
      <c r="X68" s="398"/>
      <c r="Y68" s="398"/>
      <c r="Z68" s="398"/>
    </row>
    <row r="69">
      <c r="A69" s="396"/>
      <c r="B69" s="397"/>
      <c r="C69" s="398"/>
      <c r="D69" s="398"/>
      <c r="E69" s="398"/>
      <c r="F69" s="398"/>
      <c r="G69" s="398"/>
      <c r="H69" s="398"/>
      <c r="I69" s="398"/>
      <c r="J69" s="398"/>
      <c r="K69" s="398"/>
      <c r="L69" s="398"/>
      <c r="M69" s="398"/>
      <c r="N69" s="398"/>
      <c r="O69" s="398"/>
      <c r="P69" s="398"/>
      <c r="Q69" s="398"/>
      <c r="R69" s="398"/>
      <c r="S69" s="398"/>
      <c r="T69" s="398"/>
      <c r="U69" s="398"/>
      <c r="V69" s="398"/>
      <c r="W69" s="398"/>
      <c r="X69" s="398"/>
      <c r="Y69" s="398"/>
      <c r="Z69" s="398"/>
    </row>
    <row r="70">
      <c r="A70" s="396"/>
      <c r="B70" s="397"/>
      <c r="C70" s="398"/>
      <c r="D70" s="398"/>
      <c r="E70" s="398"/>
      <c r="F70" s="398"/>
      <c r="G70" s="398"/>
      <c r="H70" s="398"/>
      <c r="I70" s="398"/>
      <c r="J70" s="398"/>
      <c r="K70" s="398"/>
      <c r="L70" s="398"/>
      <c r="M70" s="398"/>
      <c r="N70" s="398"/>
      <c r="O70" s="398"/>
      <c r="P70" s="398"/>
      <c r="Q70" s="398"/>
      <c r="R70" s="398"/>
      <c r="S70" s="398"/>
      <c r="T70" s="398"/>
      <c r="U70" s="398"/>
      <c r="V70" s="398"/>
      <c r="W70" s="398"/>
      <c r="X70" s="398"/>
      <c r="Y70" s="398"/>
      <c r="Z70" s="398"/>
    </row>
    <row r="71">
      <c r="A71" s="396"/>
      <c r="B71" s="397"/>
      <c r="C71" s="398"/>
      <c r="D71" s="398"/>
      <c r="E71" s="398"/>
      <c r="F71" s="398"/>
      <c r="G71" s="398"/>
      <c r="H71" s="398"/>
      <c r="I71" s="398"/>
      <c r="J71" s="398"/>
      <c r="K71" s="398"/>
      <c r="L71" s="398"/>
      <c r="M71" s="398"/>
      <c r="N71" s="398"/>
      <c r="O71" s="398"/>
      <c r="P71" s="398"/>
      <c r="Q71" s="398"/>
      <c r="R71" s="398"/>
      <c r="S71" s="398"/>
      <c r="T71" s="398"/>
      <c r="U71" s="398"/>
      <c r="V71" s="398"/>
      <c r="W71" s="398"/>
      <c r="X71" s="398"/>
      <c r="Y71" s="398"/>
      <c r="Z71" s="398"/>
    </row>
    <row r="72">
      <c r="A72" s="396"/>
      <c r="B72" s="397"/>
      <c r="C72" s="398"/>
      <c r="D72" s="398"/>
      <c r="E72" s="398"/>
      <c r="F72" s="398"/>
      <c r="G72" s="398"/>
      <c r="H72" s="398"/>
      <c r="I72" s="398"/>
      <c r="J72" s="398"/>
      <c r="K72" s="398"/>
      <c r="L72" s="398"/>
      <c r="M72" s="398"/>
      <c r="N72" s="398"/>
      <c r="O72" s="398"/>
      <c r="P72" s="398"/>
      <c r="Q72" s="398"/>
      <c r="R72" s="398"/>
      <c r="S72" s="398"/>
      <c r="T72" s="398"/>
      <c r="U72" s="398"/>
      <c r="V72" s="398"/>
      <c r="W72" s="398"/>
      <c r="X72" s="398"/>
      <c r="Y72" s="398"/>
      <c r="Z72" s="398"/>
    </row>
    <row r="73">
      <c r="A73" s="396"/>
      <c r="B73" s="397"/>
      <c r="C73" s="398"/>
      <c r="D73" s="398"/>
      <c r="E73" s="398"/>
      <c r="F73" s="398"/>
      <c r="G73" s="398"/>
      <c r="H73" s="398"/>
      <c r="I73" s="398"/>
      <c r="J73" s="398"/>
      <c r="K73" s="398"/>
      <c r="L73" s="398"/>
      <c r="M73" s="398"/>
      <c r="N73" s="398"/>
      <c r="O73" s="398"/>
      <c r="P73" s="398"/>
      <c r="Q73" s="398"/>
      <c r="R73" s="398"/>
      <c r="S73" s="398"/>
      <c r="T73" s="398"/>
      <c r="U73" s="398"/>
      <c r="V73" s="398"/>
      <c r="W73" s="398"/>
      <c r="X73" s="398"/>
      <c r="Y73" s="398"/>
      <c r="Z73" s="398"/>
    </row>
    <row r="74">
      <c r="A74" s="396"/>
      <c r="B74" s="397"/>
      <c r="C74" s="398"/>
      <c r="D74" s="398"/>
      <c r="E74" s="398"/>
      <c r="F74" s="398"/>
      <c r="G74" s="398"/>
      <c r="H74" s="398"/>
      <c r="I74" s="398"/>
      <c r="J74" s="398"/>
      <c r="K74" s="398"/>
      <c r="L74" s="398"/>
      <c r="M74" s="398"/>
      <c r="N74" s="398"/>
      <c r="O74" s="398"/>
      <c r="P74" s="398"/>
      <c r="Q74" s="398"/>
      <c r="R74" s="398"/>
      <c r="S74" s="398"/>
      <c r="T74" s="398"/>
      <c r="U74" s="398"/>
      <c r="V74" s="398"/>
      <c r="W74" s="398"/>
      <c r="X74" s="398"/>
      <c r="Y74" s="398"/>
      <c r="Z74" s="398"/>
    </row>
    <row r="75">
      <c r="A75" s="396"/>
      <c r="B75" s="397"/>
      <c r="C75" s="398"/>
      <c r="D75" s="398"/>
      <c r="E75" s="398"/>
      <c r="F75" s="398"/>
      <c r="G75" s="398"/>
      <c r="H75" s="398"/>
      <c r="I75" s="398"/>
      <c r="J75" s="398"/>
      <c r="K75" s="398"/>
      <c r="L75" s="398"/>
      <c r="M75" s="398"/>
      <c r="N75" s="398"/>
      <c r="O75" s="398"/>
      <c r="P75" s="398"/>
      <c r="Q75" s="398"/>
      <c r="R75" s="398"/>
      <c r="S75" s="398"/>
      <c r="T75" s="398"/>
      <c r="U75" s="398"/>
      <c r="V75" s="398"/>
      <c r="W75" s="398"/>
      <c r="X75" s="398"/>
      <c r="Y75" s="398"/>
      <c r="Z75" s="398"/>
    </row>
    <row r="76">
      <c r="A76" s="396"/>
      <c r="B76" s="397"/>
      <c r="C76" s="398"/>
      <c r="D76" s="398"/>
      <c r="E76" s="398"/>
      <c r="F76" s="398"/>
      <c r="G76" s="398"/>
      <c r="H76" s="398"/>
      <c r="I76" s="398"/>
      <c r="J76" s="398"/>
      <c r="K76" s="398"/>
      <c r="L76" s="398"/>
      <c r="M76" s="398"/>
      <c r="N76" s="398"/>
      <c r="O76" s="398"/>
      <c r="P76" s="398"/>
      <c r="Q76" s="398"/>
      <c r="R76" s="398"/>
      <c r="S76" s="398"/>
      <c r="T76" s="398"/>
      <c r="U76" s="398"/>
      <c r="V76" s="398"/>
      <c r="W76" s="398"/>
      <c r="X76" s="398"/>
      <c r="Y76" s="398"/>
      <c r="Z76" s="398"/>
    </row>
    <row r="77">
      <c r="A77" s="396"/>
      <c r="B77" s="397"/>
      <c r="C77" s="398"/>
      <c r="D77" s="398"/>
      <c r="E77" s="398"/>
      <c r="F77" s="398"/>
      <c r="G77" s="398"/>
      <c r="H77" s="398"/>
      <c r="I77" s="398"/>
      <c r="J77" s="398"/>
      <c r="K77" s="398"/>
      <c r="L77" s="398"/>
      <c r="M77" s="398"/>
      <c r="N77" s="398"/>
      <c r="O77" s="398"/>
      <c r="P77" s="398"/>
      <c r="Q77" s="398"/>
      <c r="R77" s="398"/>
      <c r="S77" s="398"/>
      <c r="T77" s="398"/>
      <c r="U77" s="398"/>
      <c r="V77" s="398"/>
      <c r="W77" s="398"/>
      <c r="X77" s="398"/>
      <c r="Y77" s="398"/>
      <c r="Z77" s="398"/>
    </row>
    <row r="78">
      <c r="A78" s="396"/>
      <c r="B78" s="397"/>
      <c r="C78" s="398"/>
      <c r="D78" s="398"/>
      <c r="E78" s="398"/>
      <c r="F78" s="398"/>
      <c r="G78" s="398"/>
      <c r="H78" s="398"/>
      <c r="I78" s="398"/>
      <c r="J78" s="398"/>
      <c r="K78" s="398"/>
      <c r="L78" s="398"/>
      <c r="M78" s="398"/>
      <c r="N78" s="398"/>
      <c r="O78" s="398"/>
      <c r="P78" s="398"/>
      <c r="Q78" s="398"/>
      <c r="R78" s="398"/>
      <c r="S78" s="398"/>
      <c r="T78" s="398"/>
      <c r="U78" s="398"/>
      <c r="V78" s="398"/>
      <c r="W78" s="398"/>
      <c r="X78" s="398"/>
      <c r="Y78" s="398"/>
      <c r="Z78" s="398"/>
    </row>
    <row r="79">
      <c r="A79" s="396"/>
      <c r="B79" s="397"/>
      <c r="C79" s="398"/>
      <c r="D79" s="398"/>
      <c r="E79" s="398"/>
      <c r="F79" s="398"/>
      <c r="G79" s="398"/>
      <c r="H79" s="398"/>
      <c r="I79" s="398"/>
      <c r="J79" s="398"/>
      <c r="K79" s="398"/>
      <c r="L79" s="398"/>
      <c r="M79" s="398"/>
      <c r="N79" s="398"/>
      <c r="O79" s="398"/>
      <c r="P79" s="398"/>
      <c r="Q79" s="398"/>
      <c r="R79" s="398"/>
      <c r="S79" s="398"/>
      <c r="T79" s="398"/>
      <c r="U79" s="398"/>
      <c r="V79" s="398"/>
      <c r="W79" s="398"/>
      <c r="X79" s="398"/>
      <c r="Y79" s="398"/>
      <c r="Z79" s="398"/>
    </row>
    <row r="80">
      <c r="A80" s="396"/>
      <c r="B80" s="397"/>
      <c r="C80" s="398"/>
      <c r="D80" s="398"/>
      <c r="E80" s="398"/>
      <c r="F80" s="398"/>
      <c r="G80" s="398"/>
      <c r="H80" s="398"/>
      <c r="I80" s="398"/>
      <c r="J80" s="398"/>
      <c r="K80" s="398"/>
      <c r="L80" s="398"/>
      <c r="M80" s="398"/>
      <c r="N80" s="398"/>
      <c r="O80" s="398"/>
      <c r="P80" s="398"/>
      <c r="Q80" s="398"/>
      <c r="R80" s="398"/>
      <c r="S80" s="398"/>
      <c r="T80" s="398"/>
      <c r="U80" s="398"/>
      <c r="V80" s="398"/>
      <c r="W80" s="398"/>
      <c r="X80" s="398"/>
      <c r="Y80" s="398"/>
      <c r="Z80" s="398"/>
    </row>
    <row r="81">
      <c r="A81" s="396"/>
      <c r="B81" s="397"/>
      <c r="C81" s="398"/>
      <c r="D81" s="398"/>
      <c r="E81" s="398"/>
      <c r="F81" s="398"/>
      <c r="G81" s="398"/>
      <c r="H81" s="398"/>
      <c r="I81" s="398"/>
      <c r="J81" s="398"/>
      <c r="K81" s="398"/>
      <c r="L81" s="398"/>
      <c r="M81" s="398"/>
      <c r="N81" s="398"/>
      <c r="O81" s="398"/>
      <c r="P81" s="398"/>
      <c r="Q81" s="398"/>
      <c r="R81" s="398"/>
      <c r="S81" s="398"/>
      <c r="T81" s="398"/>
      <c r="U81" s="398"/>
      <c r="V81" s="398"/>
      <c r="W81" s="398"/>
      <c r="X81" s="398"/>
      <c r="Y81" s="398"/>
      <c r="Z81" s="398"/>
    </row>
    <row r="82">
      <c r="A82" s="396"/>
      <c r="B82" s="397"/>
      <c r="C82" s="398"/>
      <c r="D82" s="398"/>
      <c r="E82" s="398"/>
      <c r="F82" s="398"/>
      <c r="G82" s="398"/>
      <c r="H82" s="398"/>
      <c r="I82" s="398"/>
      <c r="J82" s="398"/>
      <c r="K82" s="398"/>
      <c r="L82" s="398"/>
      <c r="M82" s="398"/>
      <c r="N82" s="398"/>
      <c r="O82" s="398"/>
      <c r="P82" s="398"/>
      <c r="Q82" s="398"/>
      <c r="R82" s="398"/>
      <c r="S82" s="398"/>
      <c r="T82" s="398"/>
      <c r="U82" s="398"/>
      <c r="V82" s="398"/>
      <c r="W82" s="398"/>
      <c r="X82" s="398"/>
      <c r="Y82" s="398"/>
      <c r="Z82" s="398"/>
    </row>
    <row r="83">
      <c r="A83" s="396"/>
      <c r="B83" s="397"/>
      <c r="C83" s="398"/>
      <c r="D83" s="398"/>
      <c r="E83" s="398"/>
      <c r="F83" s="398"/>
      <c r="G83" s="398"/>
      <c r="H83" s="398"/>
      <c r="I83" s="398"/>
      <c r="J83" s="398"/>
      <c r="K83" s="398"/>
      <c r="L83" s="398"/>
      <c r="M83" s="398"/>
      <c r="N83" s="398"/>
      <c r="O83" s="398"/>
      <c r="P83" s="398"/>
      <c r="Q83" s="398"/>
      <c r="R83" s="398"/>
      <c r="S83" s="398"/>
      <c r="T83" s="398"/>
      <c r="U83" s="398"/>
      <c r="V83" s="398"/>
      <c r="W83" s="398"/>
      <c r="X83" s="398"/>
      <c r="Y83" s="398"/>
      <c r="Z83" s="398"/>
    </row>
    <row r="84">
      <c r="A84" s="396"/>
      <c r="B84" s="397"/>
      <c r="C84" s="398"/>
      <c r="D84" s="398"/>
      <c r="E84" s="398"/>
      <c r="F84" s="398"/>
      <c r="G84" s="398"/>
      <c r="H84" s="398"/>
      <c r="I84" s="398"/>
      <c r="J84" s="398"/>
      <c r="K84" s="398"/>
      <c r="L84" s="398"/>
      <c r="M84" s="398"/>
      <c r="N84" s="398"/>
      <c r="O84" s="398"/>
      <c r="P84" s="398"/>
      <c r="Q84" s="398"/>
      <c r="R84" s="398"/>
      <c r="S84" s="398"/>
      <c r="T84" s="398"/>
      <c r="U84" s="398"/>
      <c r="V84" s="398"/>
      <c r="W84" s="398"/>
      <c r="X84" s="398"/>
      <c r="Y84" s="398"/>
      <c r="Z84" s="398"/>
    </row>
    <row r="85">
      <c r="A85" s="396"/>
      <c r="B85" s="397"/>
      <c r="C85" s="398"/>
      <c r="D85" s="398"/>
      <c r="E85" s="398"/>
      <c r="F85" s="398"/>
      <c r="G85" s="398"/>
      <c r="H85" s="398"/>
      <c r="I85" s="398"/>
      <c r="J85" s="398"/>
      <c r="K85" s="398"/>
      <c r="L85" s="398"/>
      <c r="M85" s="398"/>
      <c r="N85" s="398"/>
      <c r="O85" s="398"/>
      <c r="P85" s="398"/>
      <c r="Q85" s="398"/>
      <c r="R85" s="398"/>
      <c r="S85" s="398"/>
      <c r="T85" s="398"/>
      <c r="U85" s="398"/>
      <c r="V85" s="398"/>
      <c r="W85" s="398"/>
      <c r="X85" s="398"/>
      <c r="Y85" s="398"/>
      <c r="Z85" s="398"/>
    </row>
    <row r="86">
      <c r="A86" s="396"/>
      <c r="B86" s="397"/>
      <c r="C86" s="398"/>
      <c r="D86" s="398"/>
      <c r="E86" s="398"/>
      <c r="F86" s="398"/>
      <c r="G86" s="398"/>
      <c r="H86" s="398"/>
      <c r="I86" s="398"/>
      <c r="J86" s="398"/>
      <c r="K86" s="398"/>
      <c r="L86" s="398"/>
      <c r="M86" s="398"/>
      <c r="N86" s="398"/>
      <c r="O86" s="398"/>
      <c r="P86" s="398"/>
      <c r="Q86" s="398"/>
      <c r="R86" s="398"/>
      <c r="S86" s="398"/>
      <c r="T86" s="398"/>
      <c r="U86" s="398"/>
      <c r="V86" s="398"/>
      <c r="W86" s="398"/>
      <c r="X86" s="398"/>
      <c r="Y86" s="398"/>
      <c r="Z86" s="398"/>
    </row>
    <row r="87">
      <c r="A87" s="396"/>
      <c r="B87" s="397"/>
      <c r="C87" s="398"/>
      <c r="D87" s="398"/>
      <c r="E87" s="398"/>
      <c r="F87" s="398"/>
      <c r="G87" s="398"/>
      <c r="H87" s="398"/>
      <c r="I87" s="398"/>
      <c r="J87" s="398"/>
      <c r="K87" s="398"/>
      <c r="L87" s="398"/>
      <c r="M87" s="398"/>
      <c r="N87" s="398"/>
      <c r="O87" s="398"/>
      <c r="P87" s="398"/>
      <c r="Q87" s="398"/>
      <c r="R87" s="398"/>
      <c r="S87" s="398"/>
      <c r="T87" s="398"/>
      <c r="U87" s="398"/>
      <c r="V87" s="398"/>
      <c r="W87" s="398"/>
      <c r="X87" s="398"/>
      <c r="Y87" s="398"/>
      <c r="Z87" s="398"/>
    </row>
    <row r="88">
      <c r="A88" s="396"/>
      <c r="B88" s="397"/>
      <c r="C88" s="398"/>
      <c r="D88" s="398"/>
      <c r="E88" s="398"/>
      <c r="F88" s="398"/>
      <c r="G88" s="398"/>
      <c r="H88" s="398"/>
      <c r="I88" s="398"/>
      <c r="J88" s="398"/>
      <c r="K88" s="398"/>
      <c r="L88" s="398"/>
      <c r="M88" s="398"/>
      <c r="N88" s="398"/>
      <c r="O88" s="398"/>
      <c r="P88" s="398"/>
      <c r="Q88" s="398"/>
      <c r="R88" s="398"/>
      <c r="S88" s="398"/>
      <c r="T88" s="398"/>
      <c r="U88" s="398"/>
      <c r="V88" s="398"/>
      <c r="W88" s="398"/>
      <c r="X88" s="398"/>
      <c r="Y88" s="398"/>
      <c r="Z88" s="398"/>
    </row>
    <row r="89">
      <c r="A89" s="396"/>
      <c r="B89" s="397"/>
      <c r="C89" s="398"/>
      <c r="D89" s="398"/>
      <c r="E89" s="398"/>
      <c r="F89" s="398"/>
      <c r="G89" s="398"/>
      <c r="H89" s="398"/>
      <c r="I89" s="398"/>
      <c r="J89" s="398"/>
      <c r="K89" s="398"/>
      <c r="L89" s="398"/>
      <c r="M89" s="398"/>
      <c r="N89" s="398"/>
      <c r="O89" s="398"/>
      <c r="P89" s="398"/>
      <c r="Q89" s="398"/>
      <c r="R89" s="398"/>
      <c r="S89" s="398"/>
      <c r="T89" s="398"/>
      <c r="U89" s="398"/>
      <c r="V89" s="398"/>
      <c r="W89" s="398"/>
      <c r="X89" s="398"/>
      <c r="Y89" s="398"/>
      <c r="Z89" s="398"/>
    </row>
    <row r="90">
      <c r="A90" s="396"/>
      <c r="B90" s="397"/>
      <c r="C90" s="398"/>
      <c r="D90" s="398"/>
      <c r="E90" s="398"/>
      <c r="F90" s="398"/>
      <c r="G90" s="398"/>
      <c r="H90" s="398"/>
      <c r="I90" s="398"/>
      <c r="J90" s="398"/>
      <c r="K90" s="398"/>
      <c r="L90" s="398"/>
      <c r="M90" s="398"/>
      <c r="N90" s="398"/>
      <c r="O90" s="398"/>
      <c r="P90" s="398"/>
      <c r="Q90" s="398"/>
      <c r="R90" s="398"/>
      <c r="S90" s="398"/>
      <c r="T90" s="398"/>
      <c r="U90" s="398"/>
      <c r="V90" s="398"/>
      <c r="W90" s="398"/>
      <c r="X90" s="398"/>
      <c r="Y90" s="398"/>
      <c r="Z90" s="398"/>
    </row>
    <row r="91">
      <c r="A91" s="396"/>
      <c r="B91" s="397"/>
      <c r="C91" s="398"/>
      <c r="D91" s="398"/>
      <c r="E91" s="398"/>
      <c r="F91" s="398"/>
      <c r="G91" s="398"/>
      <c r="H91" s="398"/>
      <c r="I91" s="398"/>
      <c r="J91" s="398"/>
      <c r="K91" s="398"/>
      <c r="L91" s="398"/>
      <c r="M91" s="398"/>
      <c r="N91" s="398"/>
      <c r="O91" s="398"/>
      <c r="P91" s="398"/>
      <c r="Q91" s="398"/>
      <c r="R91" s="398"/>
      <c r="S91" s="398"/>
      <c r="T91" s="398"/>
      <c r="U91" s="398"/>
      <c r="V91" s="398"/>
      <c r="W91" s="398"/>
      <c r="X91" s="398"/>
      <c r="Y91" s="398"/>
      <c r="Z91" s="398"/>
    </row>
    <row r="92">
      <c r="A92" s="396"/>
      <c r="B92" s="397"/>
      <c r="C92" s="398"/>
      <c r="D92" s="398"/>
      <c r="E92" s="398"/>
      <c r="F92" s="398"/>
      <c r="G92" s="398"/>
      <c r="H92" s="398"/>
      <c r="I92" s="398"/>
      <c r="J92" s="398"/>
      <c r="K92" s="398"/>
      <c r="L92" s="398"/>
      <c r="M92" s="398"/>
      <c r="N92" s="398"/>
      <c r="O92" s="398"/>
      <c r="P92" s="398"/>
      <c r="Q92" s="398"/>
      <c r="R92" s="398"/>
      <c r="S92" s="398"/>
      <c r="T92" s="398"/>
      <c r="U92" s="398"/>
      <c r="V92" s="398"/>
      <c r="W92" s="398"/>
      <c r="X92" s="398"/>
      <c r="Y92" s="398"/>
      <c r="Z92" s="398"/>
    </row>
    <row r="93">
      <c r="A93" s="396"/>
      <c r="B93" s="397"/>
      <c r="C93" s="398"/>
      <c r="D93" s="398"/>
      <c r="E93" s="398"/>
      <c r="F93" s="398"/>
      <c r="G93" s="398"/>
      <c r="H93" s="398"/>
      <c r="I93" s="398"/>
      <c r="J93" s="398"/>
      <c r="K93" s="398"/>
      <c r="L93" s="398"/>
      <c r="M93" s="398"/>
      <c r="N93" s="398"/>
      <c r="O93" s="398"/>
      <c r="P93" s="398"/>
      <c r="Q93" s="398"/>
      <c r="R93" s="398"/>
      <c r="S93" s="398"/>
      <c r="T93" s="398"/>
      <c r="U93" s="398"/>
      <c r="V93" s="398"/>
      <c r="W93" s="398"/>
      <c r="X93" s="398"/>
      <c r="Y93" s="398"/>
      <c r="Z93" s="398"/>
    </row>
    <row r="94">
      <c r="A94" s="396"/>
      <c r="B94" s="397"/>
      <c r="C94" s="398"/>
      <c r="D94" s="398"/>
      <c r="E94" s="398"/>
      <c r="F94" s="398"/>
      <c r="G94" s="398"/>
      <c r="H94" s="398"/>
      <c r="I94" s="398"/>
      <c r="J94" s="398"/>
      <c r="K94" s="398"/>
      <c r="L94" s="398"/>
      <c r="M94" s="398"/>
      <c r="N94" s="398"/>
      <c r="O94" s="398"/>
      <c r="P94" s="398"/>
      <c r="Q94" s="398"/>
      <c r="R94" s="398"/>
      <c r="S94" s="398"/>
      <c r="T94" s="398"/>
      <c r="U94" s="398"/>
      <c r="V94" s="398"/>
      <c r="W94" s="398"/>
      <c r="X94" s="398"/>
      <c r="Y94" s="398"/>
      <c r="Z94" s="398"/>
    </row>
    <row r="95">
      <c r="A95" s="396"/>
      <c r="B95" s="397"/>
      <c r="C95" s="398"/>
      <c r="D95" s="398"/>
      <c r="E95" s="398"/>
      <c r="F95" s="398"/>
      <c r="G95" s="398"/>
      <c r="H95" s="398"/>
      <c r="I95" s="398"/>
      <c r="J95" s="398"/>
      <c r="K95" s="398"/>
      <c r="L95" s="398"/>
      <c r="M95" s="398"/>
      <c r="N95" s="398"/>
      <c r="O95" s="398"/>
      <c r="P95" s="398"/>
      <c r="Q95" s="398"/>
      <c r="R95" s="398"/>
      <c r="S95" s="398"/>
      <c r="T95" s="398"/>
      <c r="U95" s="398"/>
      <c r="V95" s="398"/>
      <c r="W95" s="398"/>
      <c r="X95" s="398"/>
      <c r="Y95" s="398"/>
      <c r="Z95" s="398"/>
    </row>
    <row r="96">
      <c r="A96" s="396"/>
      <c r="B96" s="397"/>
      <c r="C96" s="398"/>
      <c r="D96" s="398"/>
      <c r="E96" s="398"/>
      <c r="F96" s="398"/>
      <c r="G96" s="398"/>
      <c r="H96" s="398"/>
      <c r="I96" s="398"/>
      <c r="J96" s="398"/>
      <c r="K96" s="398"/>
      <c r="L96" s="398"/>
      <c r="M96" s="398"/>
      <c r="N96" s="398"/>
      <c r="O96" s="398"/>
      <c r="P96" s="398"/>
      <c r="Q96" s="398"/>
      <c r="R96" s="398"/>
      <c r="S96" s="398"/>
      <c r="T96" s="398"/>
      <c r="U96" s="398"/>
      <c r="V96" s="398"/>
      <c r="W96" s="398"/>
      <c r="X96" s="398"/>
      <c r="Y96" s="398"/>
      <c r="Z96" s="398"/>
    </row>
    <row r="97">
      <c r="A97" s="396"/>
      <c r="B97" s="397"/>
      <c r="C97" s="398"/>
      <c r="D97" s="398"/>
      <c r="E97" s="398"/>
      <c r="F97" s="398"/>
      <c r="G97" s="398"/>
      <c r="H97" s="398"/>
      <c r="I97" s="398"/>
      <c r="J97" s="398"/>
      <c r="K97" s="398"/>
      <c r="L97" s="398"/>
      <c r="M97" s="398"/>
      <c r="N97" s="398"/>
      <c r="O97" s="398"/>
      <c r="P97" s="398"/>
      <c r="Q97" s="398"/>
      <c r="R97" s="398"/>
      <c r="S97" s="398"/>
      <c r="T97" s="398"/>
      <c r="U97" s="398"/>
      <c r="V97" s="398"/>
      <c r="W97" s="398"/>
      <c r="X97" s="398"/>
      <c r="Y97" s="398"/>
      <c r="Z97" s="398"/>
    </row>
    <row r="98">
      <c r="A98" s="396"/>
      <c r="B98" s="397"/>
      <c r="C98" s="398"/>
      <c r="D98" s="398"/>
      <c r="E98" s="398"/>
      <c r="F98" s="398"/>
      <c r="G98" s="398"/>
      <c r="H98" s="398"/>
      <c r="I98" s="398"/>
      <c r="J98" s="398"/>
      <c r="K98" s="398"/>
      <c r="L98" s="398"/>
      <c r="M98" s="398"/>
      <c r="N98" s="398"/>
      <c r="O98" s="398"/>
      <c r="P98" s="398"/>
      <c r="Q98" s="398"/>
      <c r="R98" s="398"/>
      <c r="S98" s="398"/>
      <c r="T98" s="398"/>
      <c r="U98" s="398"/>
      <c r="V98" s="398"/>
      <c r="W98" s="398"/>
      <c r="X98" s="398"/>
      <c r="Y98" s="398"/>
      <c r="Z98" s="398"/>
    </row>
    <row r="99">
      <c r="A99" s="396"/>
      <c r="B99" s="397"/>
      <c r="C99" s="398"/>
      <c r="D99" s="398"/>
      <c r="E99" s="398"/>
      <c r="F99" s="398"/>
      <c r="G99" s="398"/>
      <c r="H99" s="398"/>
      <c r="I99" s="398"/>
      <c r="J99" s="398"/>
      <c r="K99" s="398"/>
      <c r="L99" s="398"/>
      <c r="M99" s="398"/>
      <c r="N99" s="398"/>
      <c r="O99" s="398"/>
      <c r="P99" s="398"/>
      <c r="Q99" s="398"/>
      <c r="R99" s="398"/>
      <c r="S99" s="398"/>
      <c r="T99" s="398"/>
      <c r="U99" s="398"/>
      <c r="V99" s="398"/>
      <c r="W99" s="398"/>
      <c r="X99" s="398"/>
      <c r="Y99" s="398"/>
      <c r="Z99" s="398"/>
    </row>
    <row r="100">
      <c r="A100" s="396"/>
      <c r="B100" s="397"/>
      <c r="C100" s="398"/>
      <c r="D100" s="398"/>
      <c r="E100" s="398"/>
      <c r="F100" s="398"/>
      <c r="G100" s="398"/>
      <c r="H100" s="398"/>
      <c r="I100" s="398"/>
      <c r="J100" s="398"/>
      <c r="K100" s="398"/>
      <c r="L100" s="398"/>
      <c r="M100" s="398"/>
      <c r="N100" s="398"/>
      <c r="O100" s="398"/>
      <c r="P100" s="398"/>
      <c r="Q100" s="398"/>
      <c r="R100" s="398"/>
      <c r="S100" s="398"/>
      <c r="T100" s="398"/>
      <c r="U100" s="398"/>
      <c r="V100" s="398"/>
      <c r="W100" s="398"/>
      <c r="X100" s="398"/>
      <c r="Y100" s="398"/>
      <c r="Z100" s="398"/>
    </row>
    <row r="101">
      <c r="A101" s="396"/>
      <c r="B101" s="397"/>
      <c r="C101" s="398"/>
      <c r="D101" s="398"/>
      <c r="E101" s="398"/>
      <c r="F101" s="398"/>
      <c r="G101" s="398"/>
      <c r="H101" s="398"/>
      <c r="I101" s="398"/>
      <c r="J101" s="398"/>
      <c r="K101" s="398"/>
      <c r="L101" s="398"/>
      <c r="M101" s="398"/>
      <c r="N101" s="398"/>
      <c r="O101" s="398"/>
      <c r="P101" s="398"/>
      <c r="Q101" s="398"/>
      <c r="R101" s="398"/>
      <c r="S101" s="398"/>
      <c r="T101" s="398"/>
      <c r="U101" s="398"/>
      <c r="V101" s="398"/>
      <c r="W101" s="398"/>
      <c r="X101" s="398"/>
      <c r="Y101" s="398"/>
      <c r="Z101" s="398"/>
    </row>
    <row r="102">
      <c r="A102" s="396"/>
      <c r="B102" s="397"/>
      <c r="C102" s="398"/>
      <c r="D102" s="398"/>
      <c r="E102" s="398"/>
      <c r="F102" s="398"/>
      <c r="G102" s="398"/>
      <c r="H102" s="398"/>
      <c r="I102" s="398"/>
      <c r="J102" s="398"/>
      <c r="K102" s="398"/>
      <c r="L102" s="398"/>
      <c r="M102" s="398"/>
      <c r="N102" s="398"/>
      <c r="O102" s="398"/>
      <c r="P102" s="398"/>
      <c r="Q102" s="398"/>
      <c r="R102" s="398"/>
      <c r="S102" s="398"/>
      <c r="T102" s="398"/>
      <c r="U102" s="398"/>
      <c r="V102" s="398"/>
      <c r="W102" s="398"/>
      <c r="X102" s="398"/>
      <c r="Y102" s="398"/>
      <c r="Z102" s="398"/>
    </row>
    <row r="103">
      <c r="A103" s="396"/>
      <c r="B103" s="397"/>
      <c r="C103" s="398"/>
      <c r="D103" s="398"/>
      <c r="E103" s="398"/>
      <c r="F103" s="398"/>
      <c r="G103" s="398"/>
      <c r="H103" s="398"/>
      <c r="I103" s="398"/>
      <c r="J103" s="398"/>
      <c r="K103" s="398"/>
      <c r="L103" s="398"/>
      <c r="M103" s="398"/>
      <c r="N103" s="398"/>
      <c r="O103" s="398"/>
      <c r="P103" s="398"/>
      <c r="Q103" s="398"/>
      <c r="R103" s="398"/>
      <c r="S103" s="398"/>
      <c r="T103" s="398"/>
      <c r="U103" s="398"/>
      <c r="V103" s="398"/>
      <c r="W103" s="398"/>
      <c r="X103" s="398"/>
      <c r="Y103" s="398"/>
      <c r="Z103" s="398"/>
    </row>
    <row r="104">
      <c r="A104" s="396"/>
      <c r="B104" s="397"/>
      <c r="C104" s="398"/>
      <c r="D104" s="398"/>
      <c r="E104" s="398"/>
      <c r="F104" s="398"/>
      <c r="G104" s="398"/>
      <c r="H104" s="398"/>
      <c r="I104" s="398"/>
      <c r="J104" s="398"/>
      <c r="K104" s="398"/>
      <c r="L104" s="398"/>
      <c r="M104" s="398"/>
      <c r="N104" s="398"/>
      <c r="O104" s="398"/>
      <c r="P104" s="398"/>
      <c r="Q104" s="398"/>
      <c r="R104" s="398"/>
      <c r="S104" s="398"/>
      <c r="T104" s="398"/>
      <c r="U104" s="398"/>
      <c r="V104" s="398"/>
      <c r="W104" s="398"/>
      <c r="X104" s="398"/>
      <c r="Y104" s="398"/>
      <c r="Z104" s="398"/>
    </row>
    <row r="105">
      <c r="A105" s="396"/>
      <c r="B105" s="397"/>
      <c r="C105" s="398"/>
      <c r="D105" s="398"/>
      <c r="E105" s="398"/>
      <c r="F105" s="398"/>
      <c r="G105" s="398"/>
      <c r="H105" s="398"/>
      <c r="I105" s="398"/>
      <c r="J105" s="398"/>
      <c r="K105" s="398"/>
      <c r="L105" s="398"/>
      <c r="M105" s="398"/>
      <c r="N105" s="398"/>
      <c r="O105" s="398"/>
      <c r="P105" s="398"/>
      <c r="Q105" s="398"/>
      <c r="R105" s="398"/>
      <c r="S105" s="398"/>
      <c r="T105" s="398"/>
      <c r="U105" s="398"/>
      <c r="V105" s="398"/>
      <c r="W105" s="398"/>
      <c r="X105" s="398"/>
      <c r="Y105" s="398"/>
      <c r="Z105" s="398"/>
    </row>
    <row r="106">
      <c r="A106" s="396"/>
      <c r="B106" s="397"/>
      <c r="C106" s="398"/>
      <c r="D106" s="398"/>
      <c r="E106" s="398"/>
      <c r="F106" s="398"/>
      <c r="G106" s="398"/>
      <c r="H106" s="398"/>
      <c r="I106" s="398"/>
      <c r="J106" s="398"/>
      <c r="K106" s="398"/>
      <c r="L106" s="398"/>
      <c r="M106" s="398"/>
      <c r="N106" s="398"/>
      <c r="O106" s="398"/>
      <c r="P106" s="398"/>
      <c r="Q106" s="398"/>
      <c r="R106" s="398"/>
      <c r="S106" s="398"/>
      <c r="T106" s="398"/>
      <c r="U106" s="398"/>
      <c r="V106" s="398"/>
      <c r="W106" s="398"/>
      <c r="X106" s="398"/>
      <c r="Y106" s="398"/>
      <c r="Z106" s="398"/>
    </row>
    <row r="107">
      <c r="A107" s="396"/>
      <c r="B107" s="397"/>
      <c r="C107" s="398"/>
      <c r="D107" s="398"/>
      <c r="E107" s="398"/>
      <c r="F107" s="398"/>
      <c r="G107" s="398"/>
      <c r="H107" s="398"/>
      <c r="I107" s="398"/>
      <c r="J107" s="398"/>
      <c r="K107" s="398"/>
      <c r="L107" s="398"/>
      <c r="M107" s="398"/>
      <c r="N107" s="398"/>
      <c r="O107" s="398"/>
      <c r="P107" s="398"/>
      <c r="Q107" s="398"/>
      <c r="R107" s="398"/>
      <c r="S107" s="398"/>
      <c r="T107" s="398"/>
      <c r="U107" s="398"/>
      <c r="V107" s="398"/>
      <c r="W107" s="398"/>
      <c r="X107" s="398"/>
      <c r="Y107" s="398"/>
      <c r="Z107" s="398"/>
    </row>
    <row r="108">
      <c r="A108" s="396"/>
      <c r="B108" s="397"/>
      <c r="C108" s="398"/>
      <c r="D108" s="398"/>
      <c r="E108" s="398"/>
      <c r="F108" s="398"/>
      <c r="G108" s="398"/>
      <c r="H108" s="398"/>
      <c r="I108" s="398"/>
      <c r="J108" s="398"/>
      <c r="K108" s="398"/>
      <c r="L108" s="398"/>
      <c r="M108" s="398"/>
      <c r="N108" s="398"/>
      <c r="O108" s="398"/>
      <c r="P108" s="398"/>
      <c r="Q108" s="398"/>
      <c r="R108" s="398"/>
      <c r="S108" s="398"/>
      <c r="T108" s="398"/>
      <c r="U108" s="398"/>
      <c r="V108" s="398"/>
      <c r="W108" s="398"/>
      <c r="X108" s="398"/>
      <c r="Y108" s="398"/>
      <c r="Z108" s="398"/>
    </row>
    <row r="109">
      <c r="A109" s="396"/>
      <c r="B109" s="397"/>
      <c r="C109" s="398"/>
      <c r="D109" s="398"/>
      <c r="E109" s="398"/>
      <c r="F109" s="398"/>
      <c r="G109" s="398"/>
      <c r="H109" s="398"/>
      <c r="I109" s="398"/>
      <c r="J109" s="398"/>
      <c r="K109" s="398"/>
      <c r="L109" s="398"/>
      <c r="M109" s="398"/>
      <c r="N109" s="398"/>
      <c r="O109" s="398"/>
      <c r="P109" s="398"/>
      <c r="Q109" s="398"/>
      <c r="R109" s="398"/>
      <c r="S109" s="398"/>
      <c r="T109" s="398"/>
      <c r="U109" s="398"/>
      <c r="V109" s="398"/>
      <c r="W109" s="398"/>
      <c r="X109" s="398"/>
      <c r="Y109" s="398"/>
      <c r="Z109" s="398"/>
    </row>
    <row r="110">
      <c r="A110" s="396"/>
      <c r="B110" s="397"/>
      <c r="C110" s="398"/>
      <c r="D110" s="398"/>
      <c r="E110" s="398"/>
      <c r="F110" s="398"/>
      <c r="G110" s="398"/>
      <c r="H110" s="398"/>
      <c r="I110" s="398"/>
      <c r="J110" s="398"/>
      <c r="K110" s="398"/>
      <c r="L110" s="398"/>
      <c r="M110" s="398"/>
      <c r="N110" s="398"/>
      <c r="O110" s="398"/>
      <c r="P110" s="398"/>
      <c r="Q110" s="398"/>
      <c r="R110" s="398"/>
      <c r="S110" s="398"/>
      <c r="T110" s="398"/>
      <c r="U110" s="398"/>
      <c r="V110" s="398"/>
      <c r="W110" s="398"/>
      <c r="X110" s="398"/>
      <c r="Y110" s="398"/>
      <c r="Z110" s="398"/>
    </row>
    <row r="111">
      <c r="A111" s="396"/>
      <c r="B111" s="397"/>
      <c r="C111" s="398"/>
      <c r="D111" s="398"/>
      <c r="E111" s="398"/>
      <c r="F111" s="398"/>
      <c r="G111" s="398"/>
      <c r="H111" s="398"/>
      <c r="I111" s="398"/>
      <c r="J111" s="398"/>
      <c r="K111" s="398"/>
      <c r="L111" s="398"/>
      <c r="M111" s="398"/>
      <c r="N111" s="398"/>
      <c r="O111" s="398"/>
      <c r="P111" s="398"/>
      <c r="Q111" s="398"/>
      <c r="R111" s="398"/>
      <c r="S111" s="398"/>
      <c r="T111" s="398"/>
      <c r="U111" s="398"/>
      <c r="V111" s="398"/>
      <c r="W111" s="398"/>
      <c r="X111" s="398"/>
      <c r="Y111" s="398"/>
      <c r="Z111" s="398"/>
    </row>
    <row r="112">
      <c r="A112" s="396"/>
      <c r="B112" s="397"/>
      <c r="C112" s="398"/>
      <c r="D112" s="398"/>
      <c r="E112" s="398"/>
      <c r="F112" s="398"/>
      <c r="G112" s="398"/>
      <c r="H112" s="398"/>
      <c r="I112" s="398"/>
      <c r="J112" s="398"/>
      <c r="K112" s="398"/>
      <c r="L112" s="398"/>
      <c r="M112" s="398"/>
      <c r="N112" s="398"/>
      <c r="O112" s="398"/>
      <c r="P112" s="398"/>
      <c r="Q112" s="398"/>
      <c r="R112" s="398"/>
      <c r="S112" s="398"/>
      <c r="T112" s="398"/>
      <c r="U112" s="398"/>
      <c r="V112" s="398"/>
      <c r="W112" s="398"/>
      <c r="X112" s="398"/>
      <c r="Y112" s="398"/>
      <c r="Z112" s="398"/>
    </row>
    <row r="113">
      <c r="A113" s="396"/>
      <c r="B113" s="397"/>
      <c r="C113" s="398"/>
      <c r="D113" s="398"/>
      <c r="E113" s="398"/>
      <c r="F113" s="398"/>
      <c r="G113" s="398"/>
      <c r="H113" s="398"/>
      <c r="I113" s="398"/>
      <c r="J113" s="398"/>
      <c r="K113" s="398"/>
      <c r="L113" s="398"/>
      <c r="M113" s="398"/>
      <c r="N113" s="398"/>
      <c r="O113" s="398"/>
      <c r="P113" s="398"/>
      <c r="Q113" s="398"/>
      <c r="R113" s="398"/>
      <c r="S113" s="398"/>
      <c r="T113" s="398"/>
      <c r="U113" s="398"/>
      <c r="V113" s="398"/>
      <c r="W113" s="398"/>
      <c r="X113" s="398"/>
      <c r="Y113" s="398"/>
      <c r="Z113" s="398"/>
    </row>
    <row r="114">
      <c r="A114" s="396"/>
      <c r="B114" s="397"/>
      <c r="C114" s="398"/>
      <c r="D114" s="398"/>
      <c r="E114" s="398"/>
      <c r="F114" s="398"/>
      <c r="G114" s="398"/>
      <c r="H114" s="398"/>
      <c r="I114" s="398"/>
      <c r="J114" s="398"/>
      <c r="K114" s="398"/>
      <c r="L114" s="398"/>
      <c r="M114" s="398"/>
      <c r="N114" s="398"/>
      <c r="O114" s="398"/>
      <c r="P114" s="398"/>
      <c r="Q114" s="398"/>
      <c r="R114" s="398"/>
      <c r="S114" s="398"/>
      <c r="T114" s="398"/>
      <c r="U114" s="398"/>
      <c r="V114" s="398"/>
      <c r="W114" s="398"/>
      <c r="X114" s="398"/>
      <c r="Y114" s="398"/>
      <c r="Z114" s="398"/>
    </row>
    <row r="115">
      <c r="A115" s="396"/>
      <c r="B115" s="397"/>
      <c r="C115" s="398"/>
      <c r="D115" s="398"/>
      <c r="E115" s="398"/>
      <c r="F115" s="398"/>
      <c r="G115" s="398"/>
      <c r="H115" s="398"/>
      <c r="I115" s="398"/>
      <c r="J115" s="398"/>
      <c r="K115" s="398"/>
      <c r="L115" s="398"/>
      <c r="M115" s="398"/>
      <c r="N115" s="398"/>
      <c r="O115" s="398"/>
      <c r="P115" s="398"/>
      <c r="Q115" s="398"/>
      <c r="R115" s="398"/>
      <c r="S115" s="398"/>
      <c r="T115" s="398"/>
      <c r="U115" s="398"/>
      <c r="V115" s="398"/>
      <c r="W115" s="398"/>
      <c r="X115" s="398"/>
      <c r="Y115" s="398"/>
      <c r="Z115" s="398"/>
    </row>
    <row r="116">
      <c r="A116" s="396"/>
      <c r="B116" s="397"/>
      <c r="C116" s="398"/>
      <c r="D116" s="398"/>
      <c r="E116" s="398"/>
      <c r="F116" s="398"/>
      <c r="G116" s="398"/>
      <c r="H116" s="398"/>
      <c r="I116" s="398"/>
      <c r="J116" s="398"/>
      <c r="K116" s="398"/>
      <c r="L116" s="398"/>
      <c r="M116" s="398"/>
      <c r="N116" s="398"/>
      <c r="O116" s="398"/>
      <c r="P116" s="398"/>
      <c r="Q116" s="398"/>
      <c r="R116" s="398"/>
      <c r="S116" s="398"/>
      <c r="T116" s="398"/>
      <c r="U116" s="398"/>
      <c r="V116" s="398"/>
      <c r="W116" s="398"/>
      <c r="X116" s="398"/>
      <c r="Y116" s="398"/>
      <c r="Z116" s="398"/>
    </row>
    <row r="117">
      <c r="A117" s="396"/>
      <c r="B117" s="397"/>
      <c r="C117" s="398"/>
      <c r="D117" s="398"/>
      <c r="E117" s="398"/>
      <c r="F117" s="398"/>
      <c r="G117" s="398"/>
      <c r="H117" s="398"/>
      <c r="I117" s="398"/>
      <c r="J117" s="398"/>
      <c r="K117" s="398"/>
      <c r="L117" s="398"/>
      <c r="M117" s="398"/>
      <c r="N117" s="398"/>
      <c r="O117" s="398"/>
      <c r="P117" s="398"/>
      <c r="Q117" s="398"/>
      <c r="R117" s="398"/>
      <c r="S117" s="398"/>
      <c r="T117" s="398"/>
      <c r="U117" s="398"/>
      <c r="V117" s="398"/>
      <c r="W117" s="398"/>
      <c r="X117" s="398"/>
      <c r="Y117" s="398"/>
      <c r="Z117" s="398"/>
    </row>
    <row r="118">
      <c r="A118" s="396"/>
      <c r="B118" s="397"/>
      <c r="C118" s="398"/>
      <c r="D118" s="398"/>
      <c r="E118" s="398"/>
      <c r="F118" s="398"/>
      <c r="G118" s="398"/>
      <c r="H118" s="398"/>
      <c r="I118" s="398"/>
      <c r="J118" s="398"/>
      <c r="K118" s="398"/>
      <c r="L118" s="398"/>
      <c r="M118" s="398"/>
      <c r="N118" s="398"/>
      <c r="O118" s="398"/>
      <c r="P118" s="398"/>
      <c r="Q118" s="398"/>
      <c r="R118" s="398"/>
      <c r="S118" s="398"/>
      <c r="T118" s="398"/>
      <c r="U118" s="398"/>
      <c r="V118" s="398"/>
      <c r="W118" s="398"/>
      <c r="X118" s="398"/>
      <c r="Y118" s="398"/>
      <c r="Z118" s="398"/>
    </row>
    <row r="119">
      <c r="A119" s="396"/>
      <c r="B119" s="397"/>
      <c r="C119" s="398"/>
      <c r="D119" s="398"/>
      <c r="E119" s="398"/>
      <c r="F119" s="398"/>
      <c r="G119" s="398"/>
      <c r="H119" s="398"/>
      <c r="I119" s="398"/>
      <c r="J119" s="398"/>
      <c r="K119" s="398"/>
      <c r="L119" s="398"/>
      <c r="M119" s="398"/>
      <c r="N119" s="398"/>
      <c r="O119" s="398"/>
      <c r="P119" s="398"/>
      <c r="Q119" s="398"/>
      <c r="R119" s="398"/>
      <c r="S119" s="398"/>
      <c r="T119" s="398"/>
      <c r="U119" s="398"/>
      <c r="V119" s="398"/>
      <c r="W119" s="398"/>
      <c r="X119" s="398"/>
      <c r="Y119" s="398"/>
      <c r="Z119" s="398"/>
    </row>
    <row r="120">
      <c r="A120" s="396"/>
      <c r="B120" s="397"/>
      <c r="C120" s="398"/>
      <c r="D120" s="398"/>
      <c r="E120" s="398"/>
      <c r="F120" s="398"/>
      <c r="G120" s="398"/>
      <c r="H120" s="398"/>
      <c r="I120" s="398"/>
      <c r="J120" s="398"/>
      <c r="K120" s="398"/>
      <c r="L120" s="398"/>
      <c r="M120" s="398"/>
      <c r="N120" s="398"/>
      <c r="O120" s="398"/>
      <c r="P120" s="398"/>
      <c r="Q120" s="398"/>
      <c r="R120" s="398"/>
      <c r="S120" s="398"/>
      <c r="T120" s="398"/>
      <c r="U120" s="398"/>
      <c r="V120" s="398"/>
      <c r="W120" s="398"/>
      <c r="X120" s="398"/>
      <c r="Y120" s="398"/>
      <c r="Z120" s="398"/>
    </row>
    <row r="121">
      <c r="A121" s="396"/>
      <c r="B121" s="397"/>
      <c r="C121" s="398"/>
      <c r="D121" s="398"/>
      <c r="E121" s="398"/>
      <c r="F121" s="398"/>
      <c r="G121" s="398"/>
      <c r="H121" s="398"/>
      <c r="I121" s="398"/>
      <c r="J121" s="398"/>
      <c r="K121" s="398"/>
      <c r="L121" s="398"/>
      <c r="M121" s="398"/>
      <c r="N121" s="398"/>
      <c r="O121" s="398"/>
      <c r="P121" s="398"/>
      <c r="Q121" s="398"/>
      <c r="R121" s="398"/>
      <c r="S121" s="398"/>
      <c r="T121" s="398"/>
      <c r="U121" s="398"/>
      <c r="V121" s="398"/>
      <c r="W121" s="398"/>
      <c r="X121" s="398"/>
      <c r="Y121" s="398"/>
      <c r="Z121" s="398"/>
    </row>
    <row r="122">
      <c r="A122" s="396"/>
      <c r="B122" s="397"/>
      <c r="C122" s="398"/>
      <c r="D122" s="398"/>
      <c r="E122" s="398"/>
      <c r="F122" s="398"/>
      <c r="G122" s="398"/>
      <c r="H122" s="398"/>
      <c r="I122" s="398"/>
      <c r="J122" s="398"/>
      <c r="K122" s="398"/>
      <c r="L122" s="398"/>
      <c r="M122" s="398"/>
      <c r="N122" s="398"/>
      <c r="O122" s="398"/>
      <c r="P122" s="398"/>
      <c r="Q122" s="398"/>
      <c r="R122" s="398"/>
      <c r="S122" s="398"/>
      <c r="T122" s="398"/>
      <c r="U122" s="398"/>
      <c r="V122" s="398"/>
      <c r="W122" s="398"/>
      <c r="X122" s="398"/>
      <c r="Y122" s="398"/>
      <c r="Z122" s="398"/>
    </row>
    <row r="123">
      <c r="A123" s="396"/>
      <c r="B123" s="397"/>
      <c r="C123" s="398"/>
      <c r="D123" s="398"/>
      <c r="E123" s="398"/>
      <c r="F123" s="398"/>
      <c r="G123" s="398"/>
      <c r="H123" s="398"/>
      <c r="I123" s="398"/>
      <c r="J123" s="398"/>
      <c r="K123" s="398"/>
      <c r="L123" s="398"/>
      <c r="M123" s="398"/>
      <c r="N123" s="398"/>
      <c r="O123" s="398"/>
      <c r="P123" s="398"/>
      <c r="Q123" s="398"/>
      <c r="R123" s="398"/>
      <c r="S123" s="398"/>
      <c r="T123" s="398"/>
      <c r="U123" s="398"/>
      <c r="V123" s="398"/>
      <c r="W123" s="398"/>
      <c r="X123" s="398"/>
      <c r="Y123" s="398"/>
      <c r="Z123" s="398"/>
    </row>
    <row r="124">
      <c r="A124" s="396"/>
      <c r="B124" s="397"/>
      <c r="C124" s="398"/>
      <c r="D124" s="398"/>
      <c r="E124" s="398"/>
      <c r="F124" s="398"/>
      <c r="G124" s="398"/>
      <c r="H124" s="398"/>
      <c r="I124" s="398"/>
      <c r="J124" s="398"/>
      <c r="K124" s="398"/>
      <c r="L124" s="398"/>
      <c r="M124" s="398"/>
      <c r="N124" s="398"/>
      <c r="O124" s="398"/>
      <c r="P124" s="398"/>
      <c r="Q124" s="398"/>
      <c r="R124" s="398"/>
      <c r="S124" s="398"/>
      <c r="T124" s="398"/>
      <c r="U124" s="398"/>
      <c r="V124" s="398"/>
      <c r="W124" s="398"/>
      <c r="X124" s="398"/>
      <c r="Y124" s="398"/>
      <c r="Z124" s="398"/>
    </row>
    <row r="125">
      <c r="A125" s="396"/>
      <c r="B125" s="397"/>
      <c r="C125" s="398"/>
      <c r="D125" s="398"/>
      <c r="E125" s="398"/>
      <c r="F125" s="398"/>
      <c r="G125" s="398"/>
      <c r="H125" s="398"/>
      <c r="I125" s="398"/>
      <c r="J125" s="398"/>
      <c r="K125" s="398"/>
      <c r="L125" s="398"/>
      <c r="M125" s="398"/>
      <c r="N125" s="398"/>
      <c r="O125" s="398"/>
      <c r="P125" s="398"/>
      <c r="Q125" s="398"/>
      <c r="R125" s="398"/>
      <c r="S125" s="398"/>
      <c r="T125" s="398"/>
      <c r="U125" s="398"/>
      <c r="V125" s="398"/>
      <c r="W125" s="398"/>
      <c r="X125" s="398"/>
      <c r="Y125" s="398"/>
      <c r="Z125" s="398"/>
    </row>
    <row r="126">
      <c r="A126" s="396"/>
      <c r="B126" s="397"/>
      <c r="C126" s="398"/>
      <c r="D126" s="398"/>
      <c r="E126" s="398"/>
      <c r="F126" s="398"/>
      <c r="G126" s="398"/>
      <c r="H126" s="398"/>
      <c r="I126" s="398"/>
      <c r="J126" s="398"/>
      <c r="K126" s="398"/>
      <c r="L126" s="398"/>
      <c r="M126" s="398"/>
      <c r="N126" s="398"/>
      <c r="O126" s="398"/>
      <c r="P126" s="398"/>
      <c r="Q126" s="398"/>
      <c r="R126" s="398"/>
      <c r="S126" s="398"/>
      <c r="T126" s="398"/>
      <c r="U126" s="398"/>
      <c r="V126" s="398"/>
      <c r="W126" s="398"/>
      <c r="X126" s="398"/>
      <c r="Y126" s="398"/>
      <c r="Z126" s="398"/>
    </row>
    <row r="127">
      <c r="A127" s="396"/>
      <c r="B127" s="397"/>
      <c r="C127" s="398"/>
      <c r="D127" s="398"/>
      <c r="E127" s="398"/>
      <c r="F127" s="398"/>
      <c r="G127" s="398"/>
      <c r="H127" s="398"/>
      <c r="I127" s="398"/>
      <c r="J127" s="398"/>
      <c r="K127" s="398"/>
      <c r="L127" s="398"/>
      <c r="M127" s="398"/>
      <c r="N127" s="398"/>
      <c r="O127" s="398"/>
      <c r="P127" s="398"/>
      <c r="Q127" s="398"/>
      <c r="R127" s="398"/>
      <c r="S127" s="398"/>
      <c r="T127" s="398"/>
      <c r="U127" s="398"/>
      <c r="V127" s="398"/>
      <c r="W127" s="398"/>
      <c r="X127" s="398"/>
      <c r="Y127" s="398"/>
      <c r="Z127" s="398"/>
    </row>
    <row r="128">
      <c r="A128" s="396"/>
      <c r="B128" s="397"/>
      <c r="C128" s="398"/>
      <c r="D128" s="398"/>
      <c r="E128" s="398"/>
      <c r="F128" s="398"/>
      <c r="G128" s="398"/>
      <c r="H128" s="398"/>
      <c r="I128" s="398"/>
      <c r="J128" s="398"/>
      <c r="K128" s="398"/>
      <c r="L128" s="398"/>
      <c r="M128" s="398"/>
      <c r="N128" s="398"/>
      <c r="O128" s="398"/>
      <c r="P128" s="398"/>
      <c r="Q128" s="398"/>
      <c r="R128" s="398"/>
      <c r="S128" s="398"/>
      <c r="T128" s="398"/>
      <c r="U128" s="398"/>
      <c r="V128" s="398"/>
      <c r="W128" s="398"/>
      <c r="X128" s="398"/>
      <c r="Y128" s="398"/>
      <c r="Z128" s="398"/>
    </row>
    <row r="129">
      <c r="A129" s="396"/>
      <c r="B129" s="397"/>
      <c r="C129" s="398"/>
      <c r="D129" s="398"/>
      <c r="E129" s="398"/>
      <c r="F129" s="398"/>
      <c r="G129" s="398"/>
      <c r="H129" s="398"/>
      <c r="I129" s="398"/>
      <c r="J129" s="398"/>
      <c r="K129" s="398"/>
      <c r="L129" s="398"/>
      <c r="M129" s="398"/>
      <c r="N129" s="398"/>
      <c r="O129" s="398"/>
      <c r="P129" s="398"/>
      <c r="Q129" s="398"/>
      <c r="R129" s="398"/>
      <c r="S129" s="398"/>
      <c r="T129" s="398"/>
      <c r="U129" s="398"/>
      <c r="V129" s="398"/>
      <c r="W129" s="398"/>
      <c r="X129" s="398"/>
      <c r="Y129" s="398"/>
      <c r="Z129" s="398"/>
    </row>
    <row r="130">
      <c r="A130" s="396"/>
      <c r="B130" s="397"/>
      <c r="C130" s="398"/>
      <c r="D130" s="398"/>
      <c r="E130" s="398"/>
      <c r="F130" s="398"/>
      <c r="G130" s="398"/>
      <c r="H130" s="398"/>
      <c r="I130" s="398"/>
      <c r="J130" s="398"/>
      <c r="K130" s="398"/>
      <c r="L130" s="398"/>
      <c r="M130" s="398"/>
      <c r="N130" s="398"/>
      <c r="O130" s="398"/>
      <c r="P130" s="398"/>
      <c r="Q130" s="398"/>
      <c r="R130" s="398"/>
      <c r="S130" s="398"/>
      <c r="T130" s="398"/>
      <c r="U130" s="398"/>
      <c r="V130" s="398"/>
      <c r="W130" s="398"/>
      <c r="X130" s="398"/>
      <c r="Y130" s="398"/>
      <c r="Z130" s="398"/>
    </row>
    <row r="131">
      <c r="A131" s="396"/>
      <c r="B131" s="397"/>
      <c r="C131" s="398"/>
      <c r="D131" s="398"/>
      <c r="E131" s="398"/>
      <c r="F131" s="398"/>
      <c r="G131" s="398"/>
      <c r="H131" s="398"/>
      <c r="I131" s="398"/>
      <c r="J131" s="398"/>
      <c r="K131" s="398"/>
      <c r="L131" s="398"/>
      <c r="M131" s="398"/>
      <c r="N131" s="398"/>
      <c r="O131" s="398"/>
      <c r="P131" s="398"/>
      <c r="Q131" s="398"/>
      <c r="R131" s="398"/>
      <c r="S131" s="398"/>
      <c r="T131" s="398"/>
      <c r="U131" s="398"/>
      <c r="V131" s="398"/>
      <c r="W131" s="398"/>
      <c r="X131" s="398"/>
      <c r="Y131" s="398"/>
      <c r="Z131" s="398"/>
    </row>
    <row r="132">
      <c r="A132" s="396"/>
      <c r="B132" s="397"/>
      <c r="C132" s="398"/>
      <c r="D132" s="398"/>
      <c r="E132" s="398"/>
      <c r="F132" s="398"/>
      <c r="G132" s="398"/>
      <c r="H132" s="398"/>
      <c r="I132" s="398"/>
      <c r="J132" s="398"/>
      <c r="K132" s="398"/>
      <c r="L132" s="398"/>
      <c r="M132" s="398"/>
      <c r="N132" s="398"/>
      <c r="O132" s="398"/>
      <c r="P132" s="398"/>
      <c r="Q132" s="398"/>
      <c r="R132" s="398"/>
      <c r="S132" s="398"/>
      <c r="T132" s="398"/>
      <c r="U132" s="398"/>
      <c r="V132" s="398"/>
      <c r="W132" s="398"/>
      <c r="X132" s="398"/>
      <c r="Y132" s="398"/>
      <c r="Z132" s="398"/>
    </row>
    <row r="133">
      <c r="A133" s="396"/>
      <c r="B133" s="397"/>
      <c r="C133" s="398"/>
      <c r="D133" s="398"/>
      <c r="E133" s="398"/>
      <c r="F133" s="398"/>
      <c r="G133" s="398"/>
      <c r="H133" s="398"/>
      <c r="I133" s="398"/>
      <c r="J133" s="398"/>
      <c r="K133" s="398"/>
      <c r="L133" s="398"/>
      <c r="M133" s="398"/>
      <c r="N133" s="398"/>
      <c r="O133" s="398"/>
      <c r="P133" s="398"/>
      <c r="Q133" s="398"/>
      <c r="R133" s="398"/>
      <c r="S133" s="398"/>
      <c r="T133" s="398"/>
      <c r="U133" s="398"/>
      <c r="V133" s="398"/>
      <c r="W133" s="398"/>
      <c r="X133" s="398"/>
      <c r="Y133" s="398"/>
      <c r="Z133" s="398"/>
    </row>
    <row r="134">
      <c r="A134" s="396"/>
      <c r="B134" s="397"/>
      <c r="C134" s="398"/>
      <c r="D134" s="398"/>
      <c r="E134" s="398"/>
      <c r="F134" s="398"/>
      <c r="G134" s="398"/>
      <c r="H134" s="398"/>
      <c r="I134" s="398"/>
      <c r="J134" s="398"/>
      <c r="K134" s="398"/>
      <c r="L134" s="398"/>
      <c r="M134" s="398"/>
      <c r="N134" s="398"/>
      <c r="O134" s="398"/>
      <c r="P134" s="398"/>
      <c r="Q134" s="398"/>
      <c r="R134" s="398"/>
      <c r="S134" s="398"/>
      <c r="T134" s="398"/>
      <c r="U134" s="398"/>
      <c r="V134" s="398"/>
      <c r="W134" s="398"/>
      <c r="X134" s="398"/>
      <c r="Y134" s="398"/>
      <c r="Z134" s="398"/>
    </row>
    <row r="135">
      <c r="A135" s="396"/>
      <c r="B135" s="397"/>
      <c r="C135" s="398"/>
      <c r="D135" s="398"/>
      <c r="E135" s="398"/>
      <c r="F135" s="398"/>
      <c r="G135" s="398"/>
      <c r="H135" s="398"/>
      <c r="I135" s="398"/>
      <c r="J135" s="398"/>
      <c r="K135" s="398"/>
      <c r="L135" s="398"/>
      <c r="M135" s="398"/>
      <c r="N135" s="398"/>
      <c r="O135" s="398"/>
      <c r="P135" s="398"/>
      <c r="Q135" s="398"/>
      <c r="R135" s="398"/>
      <c r="S135" s="398"/>
      <c r="T135" s="398"/>
      <c r="U135" s="398"/>
      <c r="V135" s="398"/>
      <c r="W135" s="398"/>
      <c r="X135" s="398"/>
      <c r="Y135" s="398"/>
      <c r="Z135" s="398"/>
    </row>
    <row r="136">
      <c r="A136" s="396"/>
      <c r="B136" s="397"/>
      <c r="C136" s="398"/>
      <c r="D136" s="398"/>
      <c r="E136" s="398"/>
      <c r="F136" s="398"/>
      <c r="G136" s="398"/>
      <c r="H136" s="398"/>
      <c r="I136" s="398"/>
      <c r="J136" s="398"/>
      <c r="K136" s="398"/>
      <c r="L136" s="398"/>
      <c r="M136" s="398"/>
      <c r="N136" s="398"/>
      <c r="O136" s="398"/>
      <c r="P136" s="398"/>
      <c r="Q136" s="398"/>
      <c r="R136" s="398"/>
      <c r="S136" s="398"/>
      <c r="T136" s="398"/>
      <c r="U136" s="398"/>
      <c r="V136" s="398"/>
      <c r="W136" s="398"/>
      <c r="X136" s="398"/>
      <c r="Y136" s="398"/>
      <c r="Z136" s="398"/>
    </row>
    <row r="137">
      <c r="A137" s="396"/>
      <c r="B137" s="397"/>
      <c r="C137" s="398"/>
      <c r="D137" s="398"/>
      <c r="E137" s="398"/>
      <c r="F137" s="398"/>
      <c r="G137" s="398"/>
      <c r="H137" s="398"/>
      <c r="I137" s="398"/>
      <c r="J137" s="398"/>
      <c r="K137" s="398"/>
      <c r="L137" s="398"/>
      <c r="M137" s="398"/>
      <c r="N137" s="398"/>
      <c r="O137" s="398"/>
      <c r="P137" s="398"/>
      <c r="Q137" s="398"/>
      <c r="R137" s="398"/>
      <c r="S137" s="398"/>
      <c r="T137" s="398"/>
      <c r="U137" s="398"/>
      <c r="V137" s="398"/>
      <c r="W137" s="398"/>
      <c r="X137" s="398"/>
      <c r="Y137" s="398"/>
      <c r="Z137" s="398"/>
    </row>
    <row r="138">
      <c r="A138" s="396"/>
      <c r="B138" s="397"/>
      <c r="C138" s="398"/>
      <c r="D138" s="398"/>
      <c r="E138" s="398"/>
      <c r="F138" s="398"/>
      <c r="G138" s="398"/>
      <c r="H138" s="398"/>
      <c r="I138" s="398"/>
      <c r="J138" s="398"/>
      <c r="K138" s="398"/>
      <c r="L138" s="398"/>
      <c r="M138" s="398"/>
      <c r="N138" s="398"/>
      <c r="O138" s="398"/>
      <c r="P138" s="398"/>
      <c r="Q138" s="398"/>
      <c r="R138" s="398"/>
      <c r="S138" s="398"/>
      <c r="T138" s="398"/>
      <c r="U138" s="398"/>
      <c r="V138" s="398"/>
      <c r="W138" s="398"/>
      <c r="X138" s="398"/>
      <c r="Y138" s="398"/>
      <c r="Z138" s="398"/>
    </row>
    <row r="139">
      <c r="A139" s="396"/>
      <c r="B139" s="397"/>
      <c r="C139" s="398"/>
      <c r="D139" s="398"/>
      <c r="E139" s="398"/>
      <c r="F139" s="398"/>
      <c r="G139" s="398"/>
      <c r="H139" s="398"/>
      <c r="I139" s="398"/>
      <c r="J139" s="398"/>
      <c r="K139" s="398"/>
      <c r="L139" s="398"/>
      <c r="M139" s="398"/>
      <c r="N139" s="398"/>
      <c r="O139" s="398"/>
      <c r="P139" s="398"/>
      <c r="Q139" s="398"/>
      <c r="R139" s="398"/>
      <c r="S139" s="398"/>
      <c r="T139" s="398"/>
      <c r="U139" s="398"/>
      <c r="V139" s="398"/>
      <c r="W139" s="398"/>
      <c r="X139" s="398"/>
      <c r="Y139" s="398"/>
      <c r="Z139" s="398"/>
    </row>
    <row r="140">
      <c r="A140" s="396"/>
      <c r="B140" s="397"/>
      <c r="C140" s="398"/>
      <c r="D140" s="398"/>
      <c r="E140" s="398"/>
      <c r="F140" s="398"/>
      <c r="G140" s="398"/>
      <c r="H140" s="398"/>
      <c r="I140" s="398"/>
      <c r="J140" s="398"/>
      <c r="K140" s="398"/>
      <c r="L140" s="398"/>
      <c r="M140" s="398"/>
      <c r="N140" s="398"/>
      <c r="O140" s="398"/>
      <c r="P140" s="398"/>
      <c r="Q140" s="398"/>
      <c r="R140" s="398"/>
      <c r="S140" s="398"/>
      <c r="T140" s="398"/>
      <c r="U140" s="398"/>
      <c r="V140" s="398"/>
      <c r="W140" s="398"/>
      <c r="X140" s="398"/>
      <c r="Y140" s="398"/>
      <c r="Z140" s="398"/>
    </row>
    <row r="141">
      <c r="A141" s="396"/>
      <c r="B141" s="397"/>
      <c r="C141" s="398"/>
      <c r="D141" s="398"/>
      <c r="E141" s="398"/>
      <c r="F141" s="398"/>
      <c r="G141" s="398"/>
      <c r="H141" s="398"/>
      <c r="I141" s="398"/>
      <c r="J141" s="398"/>
      <c r="K141" s="398"/>
      <c r="L141" s="398"/>
      <c r="M141" s="398"/>
      <c r="N141" s="398"/>
      <c r="O141" s="398"/>
      <c r="P141" s="398"/>
      <c r="Q141" s="398"/>
      <c r="R141" s="398"/>
      <c r="S141" s="398"/>
      <c r="T141" s="398"/>
      <c r="U141" s="398"/>
      <c r="V141" s="398"/>
      <c r="W141" s="398"/>
      <c r="X141" s="398"/>
      <c r="Y141" s="398"/>
      <c r="Z141" s="398"/>
    </row>
    <row r="142">
      <c r="A142" s="396"/>
      <c r="B142" s="397"/>
      <c r="C142" s="398"/>
      <c r="D142" s="398"/>
      <c r="E142" s="398"/>
      <c r="F142" s="398"/>
      <c r="G142" s="398"/>
      <c r="H142" s="398"/>
      <c r="I142" s="398"/>
      <c r="J142" s="398"/>
      <c r="K142" s="398"/>
      <c r="L142" s="398"/>
      <c r="M142" s="398"/>
      <c r="N142" s="398"/>
      <c r="O142" s="398"/>
      <c r="P142" s="398"/>
      <c r="Q142" s="398"/>
      <c r="R142" s="398"/>
      <c r="S142" s="398"/>
      <c r="T142" s="398"/>
      <c r="U142" s="398"/>
      <c r="V142" s="398"/>
      <c r="W142" s="398"/>
      <c r="X142" s="398"/>
      <c r="Y142" s="398"/>
      <c r="Z142" s="398"/>
    </row>
    <row r="143">
      <c r="A143" s="396"/>
      <c r="B143" s="397"/>
      <c r="C143" s="398"/>
      <c r="D143" s="398"/>
      <c r="E143" s="398"/>
      <c r="F143" s="398"/>
      <c r="G143" s="398"/>
      <c r="H143" s="398"/>
      <c r="I143" s="398"/>
      <c r="J143" s="398"/>
      <c r="K143" s="398"/>
      <c r="L143" s="398"/>
      <c r="M143" s="398"/>
      <c r="N143" s="398"/>
      <c r="O143" s="398"/>
      <c r="P143" s="398"/>
      <c r="Q143" s="398"/>
      <c r="R143" s="398"/>
      <c r="S143" s="398"/>
      <c r="T143" s="398"/>
      <c r="U143" s="398"/>
      <c r="V143" s="398"/>
      <c r="W143" s="398"/>
      <c r="X143" s="398"/>
      <c r="Y143" s="398"/>
      <c r="Z143" s="398"/>
    </row>
    <row r="144">
      <c r="A144" s="396"/>
      <c r="B144" s="397"/>
      <c r="C144" s="398"/>
      <c r="D144" s="398"/>
      <c r="E144" s="398"/>
      <c r="F144" s="398"/>
      <c r="G144" s="398"/>
      <c r="H144" s="398"/>
      <c r="I144" s="398"/>
      <c r="J144" s="398"/>
      <c r="K144" s="398"/>
      <c r="L144" s="398"/>
      <c r="M144" s="398"/>
      <c r="N144" s="398"/>
      <c r="O144" s="398"/>
      <c r="P144" s="398"/>
      <c r="Q144" s="398"/>
      <c r="R144" s="398"/>
      <c r="S144" s="398"/>
      <c r="T144" s="398"/>
      <c r="U144" s="398"/>
      <c r="V144" s="398"/>
      <c r="W144" s="398"/>
      <c r="X144" s="398"/>
      <c r="Y144" s="398"/>
      <c r="Z144" s="398"/>
    </row>
    <row r="145">
      <c r="A145" s="396"/>
      <c r="B145" s="397"/>
      <c r="C145" s="398"/>
      <c r="D145" s="398"/>
      <c r="E145" s="398"/>
      <c r="F145" s="398"/>
      <c r="G145" s="398"/>
      <c r="H145" s="398"/>
      <c r="I145" s="398"/>
      <c r="J145" s="398"/>
      <c r="K145" s="398"/>
      <c r="L145" s="398"/>
      <c r="M145" s="398"/>
      <c r="N145" s="398"/>
      <c r="O145" s="398"/>
      <c r="P145" s="398"/>
      <c r="Q145" s="398"/>
      <c r="R145" s="398"/>
      <c r="S145" s="398"/>
      <c r="T145" s="398"/>
      <c r="U145" s="398"/>
      <c r="V145" s="398"/>
      <c r="W145" s="398"/>
      <c r="X145" s="398"/>
      <c r="Y145" s="398"/>
      <c r="Z145" s="398"/>
    </row>
    <row r="146">
      <c r="A146" s="396"/>
      <c r="B146" s="397"/>
      <c r="C146" s="398"/>
      <c r="D146" s="398"/>
      <c r="E146" s="398"/>
      <c r="F146" s="398"/>
      <c r="G146" s="398"/>
      <c r="H146" s="398"/>
      <c r="I146" s="398"/>
      <c r="J146" s="398"/>
      <c r="K146" s="398"/>
      <c r="L146" s="398"/>
      <c r="M146" s="398"/>
      <c r="N146" s="398"/>
      <c r="O146" s="398"/>
      <c r="P146" s="398"/>
      <c r="Q146" s="398"/>
      <c r="R146" s="398"/>
      <c r="S146" s="398"/>
      <c r="T146" s="398"/>
      <c r="U146" s="398"/>
      <c r="V146" s="398"/>
      <c r="W146" s="398"/>
      <c r="X146" s="398"/>
      <c r="Y146" s="398"/>
      <c r="Z146" s="398"/>
    </row>
    <row r="147">
      <c r="A147" s="396"/>
      <c r="B147" s="397"/>
      <c r="C147" s="398"/>
      <c r="D147" s="398"/>
      <c r="E147" s="398"/>
      <c r="F147" s="398"/>
      <c r="G147" s="398"/>
      <c r="H147" s="398"/>
      <c r="I147" s="398"/>
      <c r="J147" s="398"/>
      <c r="K147" s="398"/>
      <c r="L147" s="398"/>
      <c r="M147" s="398"/>
      <c r="N147" s="398"/>
      <c r="O147" s="398"/>
      <c r="P147" s="398"/>
      <c r="Q147" s="398"/>
      <c r="R147" s="398"/>
      <c r="S147" s="398"/>
      <c r="T147" s="398"/>
      <c r="U147" s="398"/>
      <c r="V147" s="398"/>
      <c r="W147" s="398"/>
      <c r="X147" s="398"/>
      <c r="Y147" s="398"/>
      <c r="Z147" s="398"/>
    </row>
    <row r="148">
      <c r="A148" s="396"/>
      <c r="B148" s="397"/>
      <c r="C148" s="398"/>
      <c r="D148" s="398"/>
      <c r="E148" s="398"/>
      <c r="F148" s="398"/>
      <c r="G148" s="398"/>
      <c r="H148" s="398"/>
      <c r="I148" s="398"/>
      <c r="J148" s="398"/>
      <c r="K148" s="398"/>
      <c r="L148" s="398"/>
      <c r="M148" s="398"/>
      <c r="N148" s="398"/>
      <c r="O148" s="398"/>
      <c r="P148" s="398"/>
      <c r="Q148" s="398"/>
      <c r="R148" s="398"/>
      <c r="S148" s="398"/>
      <c r="T148" s="398"/>
      <c r="U148" s="398"/>
      <c r="V148" s="398"/>
      <c r="W148" s="398"/>
      <c r="X148" s="398"/>
      <c r="Y148" s="398"/>
      <c r="Z148" s="398"/>
    </row>
    <row r="149">
      <c r="A149" s="396"/>
      <c r="B149" s="397"/>
      <c r="C149" s="398"/>
      <c r="D149" s="398"/>
      <c r="E149" s="398"/>
      <c r="F149" s="398"/>
      <c r="G149" s="398"/>
      <c r="H149" s="398"/>
      <c r="I149" s="398"/>
      <c r="J149" s="398"/>
      <c r="K149" s="398"/>
      <c r="L149" s="398"/>
      <c r="M149" s="398"/>
      <c r="N149" s="398"/>
      <c r="O149" s="398"/>
      <c r="P149" s="398"/>
      <c r="Q149" s="398"/>
      <c r="R149" s="398"/>
      <c r="S149" s="398"/>
      <c r="T149" s="398"/>
      <c r="U149" s="398"/>
      <c r="V149" s="398"/>
      <c r="W149" s="398"/>
      <c r="X149" s="398"/>
      <c r="Y149" s="398"/>
      <c r="Z149" s="398"/>
    </row>
    <row r="150">
      <c r="A150" s="396"/>
      <c r="B150" s="397"/>
      <c r="C150" s="398"/>
      <c r="D150" s="398"/>
      <c r="E150" s="398"/>
      <c r="F150" s="398"/>
      <c r="G150" s="398"/>
      <c r="H150" s="398"/>
      <c r="I150" s="398"/>
      <c r="J150" s="398"/>
      <c r="K150" s="398"/>
      <c r="L150" s="398"/>
      <c r="M150" s="398"/>
      <c r="N150" s="398"/>
      <c r="O150" s="398"/>
      <c r="P150" s="398"/>
      <c r="Q150" s="398"/>
      <c r="R150" s="398"/>
      <c r="S150" s="398"/>
      <c r="T150" s="398"/>
      <c r="U150" s="398"/>
      <c r="V150" s="398"/>
      <c r="W150" s="398"/>
      <c r="X150" s="398"/>
      <c r="Y150" s="398"/>
      <c r="Z150" s="398"/>
    </row>
    <row r="151">
      <c r="A151" s="396"/>
      <c r="B151" s="397"/>
      <c r="C151" s="398"/>
      <c r="D151" s="398"/>
      <c r="E151" s="398"/>
      <c r="F151" s="398"/>
      <c r="G151" s="398"/>
      <c r="H151" s="398"/>
      <c r="I151" s="398"/>
      <c r="J151" s="398"/>
      <c r="K151" s="398"/>
      <c r="L151" s="398"/>
      <c r="M151" s="398"/>
      <c r="N151" s="398"/>
      <c r="O151" s="398"/>
      <c r="P151" s="398"/>
      <c r="Q151" s="398"/>
      <c r="R151" s="398"/>
      <c r="S151" s="398"/>
      <c r="T151" s="398"/>
      <c r="U151" s="398"/>
      <c r="V151" s="398"/>
      <c r="W151" s="398"/>
      <c r="X151" s="398"/>
      <c r="Y151" s="398"/>
      <c r="Z151" s="398"/>
    </row>
    <row r="152">
      <c r="A152" s="396"/>
      <c r="B152" s="397"/>
      <c r="C152" s="398"/>
      <c r="D152" s="398"/>
      <c r="E152" s="398"/>
      <c r="F152" s="398"/>
      <c r="G152" s="398"/>
      <c r="H152" s="398"/>
      <c r="I152" s="398"/>
      <c r="J152" s="398"/>
      <c r="K152" s="398"/>
      <c r="L152" s="398"/>
      <c r="M152" s="398"/>
      <c r="N152" s="398"/>
      <c r="O152" s="398"/>
      <c r="P152" s="398"/>
      <c r="Q152" s="398"/>
      <c r="R152" s="398"/>
      <c r="S152" s="398"/>
      <c r="T152" s="398"/>
      <c r="U152" s="398"/>
      <c r="V152" s="398"/>
      <c r="W152" s="398"/>
      <c r="X152" s="398"/>
      <c r="Y152" s="398"/>
      <c r="Z152" s="398"/>
    </row>
    <row r="153">
      <c r="A153" s="396"/>
      <c r="B153" s="397"/>
      <c r="C153" s="398"/>
      <c r="D153" s="398"/>
      <c r="E153" s="398"/>
      <c r="F153" s="398"/>
      <c r="G153" s="398"/>
      <c r="H153" s="398"/>
      <c r="I153" s="398"/>
      <c r="J153" s="398"/>
      <c r="K153" s="398"/>
      <c r="L153" s="398"/>
      <c r="M153" s="398"/>
      <c r="N153" s="398"/>
      <c r="O153" s="398"/>
      <c r="P153" s="398"/>
      <c r="Q153" s="398"/>
      <c r="R153" s="398"/>
      <c r="S153" s="398"/>
      <c r="T153" s="398"/>
      <c r="U153" s="398"/>
      <c r="V153" s="398"/>
      <c r="W153" s="398"/>
      <c r="X153" s="398"/>
      <c r="Y153" s="398"/>
      <c r="Z153" s="398"/>
    </row>
    <row r="154">
      <c r="A154" s="396"/>
      <c r="B154" s="397"/>
      <c r="C154" s="398"/>
      <c r="D154" s="398"/>
      <c r="E154" s="398"/>
      <c r="F154" s="398"/>
      <c r="G154" s="398"/>
      <c r="H154" s="398"/>
      <c r="I154" s="398"/>
      <c r="J154" s="398"/>
      <c r="K154" s="398"/>
      <c r="L154" s="398"/>
      <c r="M154" s="398"/>
      <c r="N154" s="398"/>
      <c r="O154" s="398"/>
      <c r="P154" s="398"/>
      <c r="Q154" s="398"/>
      <c r="R154" s="398"/>
      <c r="S154" s="398"/>
      <c r="T154" s="398"/>
      <c r="U154" s="398"/>
      <c r="V154" s="398"/>
      <c r="W154" s="398"/>
      <c r="X154" s="398"/>
      <c r="Y154" s="398"/>
      <c r="Z154" s="398"/>
    </row>
    <row r="155">
      <c r="A155" s="396"/>
      <c r="B155" s="397"/>
      <c r="C155" s="398"/>
      <c r="D155" s="398"/>
      <c r="E155" s="398"/>
      <c r="F155" s="398"/>
      <c r="G155" s="398"/>
      <c r="H155" s="398"/>
      <c r="I155" s="398"/>
      <c r="J155" s="398"/>
      <c r="K155" s="398"/>
      <c r="L155" s="398"/>
      <c r="M155" s="398"/>
      <c r="N155" s="398"/>
      <c r="O155" s="398"/>
      <c r="P155" s="398"/>
      <c r="Q155" s="398"/>
      <c r="R155" s="398"/>
      <c r="S155" s="398"/>
      <c r="T155" s="398"/>
      <c r="U155" s="398"/>
      <c r="V155" s="398"/>
      <c r="W155" s="398"/>
      <c r="X155" s="398"/>
      <c r="Y155" s="398"/>
      <c r="Z155" s="398"/>
    </row>
    <row r="156">
      <c r="A156" s="396"/>
      <c r="B156" s="397"/>
      <c r="C156" s="398"/>
      <c r="D156" s="398"/>
      <c r="E156" s="398"/>
      <c r="F156" s="398"/>
      <c r="G156" s="398"/>
      <c r="H156" s="398"/>
      <c r="I156" s="398"/>
      <c r="J156" s="398"/>
      <c r="K156" s="398"/>
      <c r="L156" s="398"/>
      <c r="M156" s="398"/>
      <c r="N156" s="398"/>
      <c r="O156" s="398"/>
      <c r="P156" s="398"/>
      <c r="Q156" s="398"/>
      <c r="R156" s="398"/>
      <c r="S156" s="398"/>
      <c r="T156" s="398"/>
      <c r="U156" s="398"/>
      <c r="V156" s="398"/>
      <c r="W156" s="398"/>
      <c r="X156" s="398"/>
      <c r="Y156" s="398"/>
      <c r="Z156" s="398"/>
    </row>
    <row r="157">
      <c r="A157" s="396"/>
      <c r="B157" s="397"/>
      <c r="C157" s="398"/>
      <c r="D157" s="398"/>
      <c r="E157" s="398"/>
      <c r="F157" s="398"/>
      <c r="G157" s="398"/>
      <c r="H157" s="398"/>
      <c r="I157" s="398"/>
      <c r="J157" s="398"/>
      <c r="K157" s="398"/>
      <c r="L157" s="398"/>
      <c r="M157" s="398"/>
      <c r="N157" s="398"/>
      <c r="O157" s="398"/>
      <c r="P157" s="398"/>
      <c r="Q157" s="398"/>
      <c r="R157" s="398"/>
      <c r="S157" s="398"/>
      <c r="T157" s="398"/>
      <c r="U157" s="398"/>
      <c r="V157" s="398"/>
      <c r="W157" s="398"/>
      <c r="X157" s="398"/>
      <c r="Y157" s="398"/>
      <c r="Z157" s="398"/>
    </row>
    <row r="158">
      <c r="A158" s="396"/>
      <c r="B158" s="397"/>
      <c r="C158" s="398"/>
      <c r="D158" s="398"/>
      <c r="E158" s="398"/>
      <c r="F158" s="398"/>
      <c r="G158" s="398"/>
      <c r="H158" s="398"/>
      <c r="I158" s="398"/>
      <c r="J158" s="398"/>
      <c r="K158" s="398"/>
      <c r="L158" s="398"/>
      <c r="M158" s="398"/>
      <c r="N158" s="398"/>
      <c r="O158" s="398"/>
      <c r="P158" s="398"/>
      <c r="Q158" s="398"/>
      <c r="R158" s="398"/>
      <c r="S158" s="398"/>
      <c r="T158" s="398"/>
      <c r="U158" s="398"/>
      <c r="V158" s="398"/>
      <c r="W158" s="398"/>
      <c r="X158" s="398"/>
      <c r="Y158" s="398"/>
      <c r="Z158" s="398"/>
    </row>
    <row r="159">
      <c r="A159" s="396"/>
      <c r="B159" s="397"/>
      <c r="C159" s="398"/>
      <c r="D159" s="398"/>
      <c r="E159" s="398"/>
      <c r="F159" s="398"/>
      <c r="G159" s="398"/>
      <c r="H159" s="398"/>
      <c r="I159" s="398"/>
      <c r="J159" s="398"/>
      <c r="K159" s="398"/>
      <c r="L159" s="398"/>
      <c r="M159" s="398"/>
      <c r="N159" s="398"/>
      <c r="O159" s="398"/>
      <c r="P159" s="398"/>
      <c r="Q159" s="398"/>
      <c r="R159" s="398"/>
      <c r="S159" s="398"/>
      <c r="T159" s="398"/>
      <c r="U159" s="398"/>
      <c r="V159" s="398"/>
      <c r="W159" s="398"/>
      <c r="X159" s="398"/>
      <c r="Y159" s="398"/>
      <c r="Z159" s="398"/>
    </row>
    <row r="160">
      <c r="A160" s="396"/>
      <c r="B160" s="397"/>
      <c r="C160" s="398"/>
      <c r="D160" s="398"/>
      <c r="E160" s="398"/>
      <c r="F160" s="398"/>
      <c r="G160" s="398"/>
      <c r="H160" s="398"/>
      <c r="I160" s="398"/>
      <c r="J160" s="398"/>
      <c r="K160" s="398"/>
      <c r="L160" s="398"/>
      <c r="M160" s="398"/>
      <c r="N160" s="398"/>
      <c r="O160" s="398"/>
      <c r="P160" s="398"/>
      <c r="Q160" s="398"/>
      <c r="R160" s="398"/>
      <c r="S160" s="398"/>
      <c r="T160" s="398"/>
      <c r="U160" s="398"/>
      <c r="V160" s="398"/>
      <c r="W160" s="398"/>
      <c r="X160" s="398"/>
      <c r="Y160" s="398"/>
      <c r="Z160" s="398"/>
    </row>
    <row r="161">
      <c r="A161" s="396"/>
      <c r="B161" s="397"/>
      <c r="C161" s="398"/>
      <c r="D161" s="398"/>
      <c r="E161" s="398"/>
      <c r="F161" s="398"/>
      <c r="G161" s="398"/>
      <c r="H161" s="398"/>
      <c r="I161" s="398"/>
      <c r="J161" s="398"/>
      <c r="K161" s="398"/>
      <c r="L161" s="398"/>
      <c r="M161" s="398"/>
      <c r="N161" s="398"/>
      <c r="O161" s="398"/>
      <c r="P161" s="398"/>
      <c r="Q161" s="398"/>
      <c r="R161" s="398"/>
      <c r="S161" s="398"/>
      <c r="T161" s="398"/>
      <c r="U161" s="398"/>
      <c r="V161" s="398"/>
      <c r="W161" s="398"/>
      <c r="X161" s="398"/>
      <c r="Y161" s="398"/>
      <c r="Z161" s="398"/>
    </row>
    <row r="162">
      <c r="A162" s="396"/>
      <c r="B162" s="397"/>
      <c r="C162" s="398"/>
      <c r="D162" s="398"/>
      <c r="E162" s="398"/>
      <c r="F162" s="398"/>
      <c r="G162" s="398"/>
      <c r="H162" s="398"/>
      <c r="I162" s="398"/>
      <c r="J162" s="398"/>
      <c r="K162" s="398"/>
      <c r="L162" s="398"/>
      <c r="M162" s="398"/>
      <c r="N162" s="398"/>
      <c r="O162" s="398"/>
      <c r="P162" s="398"/>
      <c r="Q162" s="398"/>
      <c r="R162" s="398"/>
      <c r="S162" s="398"/>
      <c r="T162" s="398"/>
      <c r="U162" s="398"/>
      <c r="V162" s="398"/>
      <c r="W162" s="398"/>
      <c r="X162" s="398"/>
      <c r="Y162" s="398"/>
      <c r="Z162" s="398"/>
    </row>
    <row r="163">
      <c r="A163" s="396"/>
      <c r="B163" s="397"/>
      <c r="C163" s="398"/>
      <c r="D163" s="398"/>
      <c r="E163" s="398"/>
      <c r="F163" s="398"/>
      <c r="G163" s="398"/>
      <c r="H163" s="398"/>
      <c r="I163" s="398"/>
      <c r="J163" s="398"/>
      <c r="K163" s="398"/>
      <c r="L163" s="398"/>
      <c r="M163" s="398"/>
      <c r="N163" s="398"/>
      <c r="O163" s="398"/>
      <c r="P163" s="398"/>
      <c r="Q163" s="398"/>
      <c r="R163" s="398"/>
      <c r="S163" s="398"/>
      <c r="T163" s="398"/>
      <c r="U163" s="398"/>
      <c r="V163" s="398"/>
      <c r="W163" s="398"/>
      <c r="X163" s="398"/>
      <c r="Y163" s="398"/>
      <c r="Z163" s="398"/>
    </row>
    <row r="164">
      <c r="A164" s="396"/>
      <c r="B164" s="397"/>
      <c r="C164" s="398"/>
      <c r="D164" s="398"/>
      <c r="E164" s="398"/>
      <c r="F164" s="398"/>
      <c r="G164" s="398"/>
      <c r="H164" s="398"/>
      <c r="I164" s="398"/>
      <c r="J164" s="398"/>
      <c r="K164" s="398"/>
      <c r="L164" s="398"/>
      <c r="M164" s="398"/>
      <c r="N164" s="398"/>
      <c r="O164" s="398"/>
      <c r="P164" s="398"/>
      <c r="Q164" s="398"/>
      <c r="R164" s="398"/>
      <c r="S164" s="398"/>
      <c r="T164" s="398"/>
      <c r="U164" s="398"/>
      <c r="V164" s="398"/>
      <c r="W164" s="398"/>
      <c r="X164" s="398"/>
      <c r="Y164" s="398"/>
      <c r="Z164" s="398"/>
    </row>
    <row r="165">
      <c r="A165" s="396"/>
      <c r="B165" s="397"/>
      <c r="C165" s="398"/>
      <c r="D165" s="398"/>
      <c r="E165" s="398"/>
      <c r="F165" s="398"/>
      <c r="G165" s="398"/>
      <c r="H165" s="398"/>
      <c r="I165" s="398"/>
      <c r="J165" s="398"/>
      <c r="K165" s="398"/>
      <c r="L165" s="398"/>
      <c r="M165" s="398"/>
      <c r="N165" s="398"/>
      <c r="O165" s="398"/>
      <c r="P165" s="398"/>
      <c r="Q165" s="398"/>
      <c r="R165" s="398"/>
      <c r="S165" s="398"/>
      <c r="T165" s="398"/>
      <c r="U165" s="398"/>
      <c r="V165" s="398"/>
      <c r="W165" s="398"/>
      <c r="X165" s="398"/>
      <c r="Y165" s="398"/>
      <c r="Z165" s="398"/>
    </row>
    <row r="166">
      <c r="A166" s="396"/>
      <c r="B166" s="397"/>
      <c r="C166" s="398"/>
      <c r="D166" s="398"/>
      <c r="E166" s="398"/>
      <c r="F166" s="398"/>
      <c r="G166" s="398"/>
      <c r="H166" s="398"/>
      <c r="I166" s="398"/>
      <c r="J166" s="398"/>
      <c r="K166" s="398"/>
      <c r="L166" s="398"/>
      <c r="M166" s="398"/>
      <c r="N166" s="398"/>
      <c r="O166" s="398"/>
      <c r="P166" s="398"/>
      <c r="Q166" s="398"/>
      <c r="R166" s="398"/>
      <c r="S166" s="398"/>
      <c r="T166" s="398"/>
      <c r="U166" s="398"/>
      <c r="V166" s="398"/>
      <c r="W166" s="398"/>
      <c r="X166" s="398"/>
      <c r="Y166" s="398"/>
      <c r="Z166" s="398"/>
    </row>
    <row r="167">
      <c r="A167" s="396"/>
      <c r="B167" s="397"/>
      <c r="C167" s="398"/>
      <c r="D167" s="398"/>
      <c r="E167" s="398"/>
      <c r="F167" s="398"/>
      <c r="G167" s="398"/>
      <c r="H167" s="398"/>
      <c r="I167" s="398"/>
      <c r="J167" s="398"/>
      <c r="K167" s="398"/>
      <c r="L167" s="398"/>
      <c r="M167" s="398"/>
      <c r="N167" s="398"/>
      <c r="O167" s="398"/>
      <c r="P167" s="398"/>
      <c r="Q167" s="398"/>
      <c r="R167" s="398"/>
      <c r="S167" s="398"/>
      <c r="T167" s="398"/>
      <c r="U167" s="398"/>
      <c r="V167" s="398"/>
      <c r="W167" s="398"/>
      <c r="X167" s="398"/>
      <c r="Y167" s="398"/>
      <c r="Z167" s="398"/>
    </row>
    <row r="168">
      <c r="A168" s="396"/>
      <c r="B168" s="397"/>
      <c r="C168" s="398"/>
      <c r="D168" s="398"/>
      <c r="E168" s="398"/>
      <c r="F168" s="398"/>
      <c r="G168" s="398"/>
      <c r="H168" s="398"/>
      <c r="I168" s="398"/>
      <c r="J168" s="398"/>
      <c r="K168" s="398"/>
      <c r="L168" s="398"/>
      <c r="M168" s="398"/>
      <c r="N168" s="398"/>
      <c r="O168" s="398"/>
      <c r="P168" s="398"/>
      <c r="Q168" s="398"/>
      <c r="R168" s="398"/>
      <c r="S168" s="398"/>
      <c r="T168" s="398"/>
      <c r="U168" s="398"/>
      <c r="V168" s="398"/>
      <c r="W168" s="398"/>
      <c r="X168" s="398"/>
      <c r="Y168" s="398"/>
      <c r="Z168" s="398"/>
    </row>
    <row r="169">
      <c r="A169" s="396"/>
      <c r="B169" s="397"/>
      <c r="C169" s="398"/>
      <c r="D169" s="398"/>
      <c r="E169" s="398"/>
      <c r="F169" s="398"/>
      <c r="G169" s="398"/>
      <c r="H169" s="398"/>
      <c r="I169" s="398"/>
      <c r="J169" s="398"/>
      <c r="K169" s="398"/>
      <c r="L169" s="398"/>
      <c r="M169" s="398"/>
      <c r="N169" s="398"/>
      <c r="O169" s="398"/>
      <c r="P169" s="398"/>
      <c r="Q169" s="398"/>
      <c r="R169" s="398"/>
      <c r="S169" s="398"/>
      <c r="T169" s="398"/>
      <c r="U169" s="398"/>
      <c r="V169" s="398"/>
      <c r="W169" s="398"/>
      <c r="X169" s="398"/>
      <c r="Y169" s="398"/>
      <c r="Z169" s="398"/>
    </row>
    <row r="170">
      <c r="A170" s="396"/>
      <c r="B170" s="397"/>
      <c r="C170" s="398"/>
      <c r="D170" s="398"/>
      <c r="E170" s="398"/>
      <c r="F170" s="398"/>
      <c r="G170" s="398"/>
      <c r="H170" s="398"/>
      <c r="I170" s="398"/>
      <c r="J170" s="398"/>
      <c r="K170" s="398"/>
      <c r="L170" s="398"/>
      <c r="M170" s="398"/>
      <c r="N170" s="398"/>
      <c r="O170" s="398"/>
      <c r="P170" s="398"/>
      <c r="Q170" s="398"/>
      <c r="R170" s="398"/>
      <c r="S170" s="398"/>
      <c r="T170" s="398"/>
      <c r="U170" s="398"/>
      <c r="V170" s="398"/>
      <c r="W170" s="398"/>
      <c r="X170" s="398"/>
      <c r="Y170" s="398"/>
      <c r="Z170" s="398"/>
    </row>
    <row r="171">
      <c r="A171" s="396"/>
      <c r="B171" s="397"/>
      <c r="C171" s="398"/>
      <c r="D171" s="398"/>
      <c r="E171" s="398"/>
      <c r="F171" s="398"/>
      <c r="G171" s="398"/>
      <c r="H171" s="398"/>
      <c r="I171" s="398"/>
      <c r="J171" s="398"/>
      <c r="K171" s="398"/>
      <c r="L171" s="398"/>
      <c r="M171" s="398"/>
      <c r="N171" s="398"/>
      <c r="O171" s="398"/>
      <c r="P171" s="398"/>
      <c r="Q171" s="398"/>
      <c r="R171" s="398"/>
      <c r="S171" s="398"/>
      <c r="T171" s="398"/>
      <c r="U171" s="398"/>
      <c r="V171" s="398"/>
      <c r="W171" s="398"/>
      <c r="X171" s="398"/>
      <c r="Y171" s="398"/>
      <c r="Z171" s="398"/>
    </row>
    <row r="172">
      <c r="A172" s="396"/>
      <c r="B172" s="397"/>
      <c r="C172" s="398"/>
      <c r="D172" s="398"/>
      <c r="E172" s="398"/>
      <c r="F172" s="398"/>
      <c r="G172" s="398"/>
      <c r="H172" s="398"/>
      <c r="I172" s="398"/>
      <c r="J172" s="398"/>
      <c r="K172" s="398"/>
      <c r="L172" s="398"/>
      <c r="M172" s="398"/>
      <c r="N172" s="398"/>
      <c r="O172" s="398"/>
      <c r="P172" s="398"/>
      <c r="Q172" s="398"/>
      <c r="R172" s="398"/>
      <c r="S172" s="398"/>
      <c r="T172" s="398"/>
      <c r="U172" s="398"/>
      <c r="V172" s="398"/>
      <c r="W172" s="398"/>
      <c r="X172" s="398"/>
      <c r="Y172" s="398"/>
      <c r="Z172" s="398"/>
    </row>
    <row r="173">
      <c r="A173" s="396"/>
      <c r="B173" s="397"/>
      <c r="C173" s="398"/>
      <c r="D173" s="398"/>
      <c r="E173" s="398"/>
      <c r="F173" s="398"/>
      <c r="G173" s="398"/>
      <c r="H173" s="398"/>
      <c r="I173" s="398"/>
      <c r="J173" s="398"/>
      <c r="K173" s="398"/>
      <c r="L173" s="398"/>
      <c r="M173" s="398"/>
      <c r="N173" s="398"/>
      <c r="O173" s="398"/>
      <c r="P173" s="398"/>
      <c r="Q173" s="398"/>
      <c r="R173" s="398"/>
      <c r="S173" s="398"/>
      <c r="T173" s="398"/>
      <c r="U173" s="398"/>
      <c r="V173" s="398"/>
      <c r="W173" s="398"/>
      <c r="X173" s="398"/>
      <c r="Y173" s="398"/>
      <c r="Z173" s="398"/>
    </row>
    <row r="174">
      <c r="A174" s="396"/>
      <c r="B174" s="397"/>
      <c r="C174" s="398"/>
      <c r="D174" s="398"/>
      <c r="E174" s="398"/>
      <c r="F174" s="398"/>
      <c r="G174" s="398"/>
      <c r="H174" s="398"/>
      <c r="I174" s="398"/>
      <c r="J174" s="398"/>
      <c r="K174" s="398"/>
      <c r="L174" s="398"/>
      <c r="M174" s="398"/>
      <c r="N174" s="398"/>
      <c r="O174" s="398"/>
      <c r="P174" s="398"/>
      <c r="Q174" s="398"/>
      <c r="R174" s="398"/>
      <c r="S174" s="398"/>
      <c r="T174" s="398"/>
      <c r="U174" s="398"/>
      <c r="V174" s="398"/>
      <c r="W174" s="398"/>
      <c r="X174" s="398"/>
      <c r="Y174" s="398"/>
      <c r="Z174" s="398"/>
    </row>
    <row r="175">
      <c r="A175" s="396"/>
      <c r="B175" s="397"/>
      <c r="C175" s="398"/>
      <c r="D175" s="398"/>
      <c r="E175" s="398"/>
      <c r="F175" s="398"/>
      <c r="G175" s="398"/>
      <c r="H175" s="398"/>
      <c r="I175" s="398"/>
      <c r="J175" s="398"/>
      <c r="K175" s="398"/>
      <c r="L175" s="398"/>
      <c r="M175" s="398"/>
      <c r="N175" s="398"/>
      <c r="O175" s="398"/>
      <c r="P175" s="398"/>
      <c r="Q175" s="398"/>
      <c r="R175" s="398"/>
      <c r="S175" s="398"/>
      <c r="T175" s="398"/>
      <c r="U175" s="398"/>
      <c r="V175" s="398"/>
      <c r="W175" s="398"/>
      <c r="X175" s="398"/>
      <c r="Y175" s="398"/>
      <c r="Z175" s="398"/>
    </row>
    <row r="176">
      <c r="A176" s="396"/>
      <c r="B176" s="397"/>
      <c r="C176" s="398"/>
      <c r="D176" s="398"/>
      <c r="E176" s="398"/>
      <c r="F176" s="398"/>
      <c r="G176" s="398"/>
      <c r="H176" s="398"/>
      <c r="I176" s="398"/>
      <c r="J176" s="398"/>
      <c r="K176" s="398"/>
      <c r="L176" s="398"/>
      <c r="M176" s="398"/>
      <c r="N176" s="398"/>
      <c r="O176" s="398"/>
      <c r="P176" s="398"/>
      <c r="Q176" s="398"/>
      <c r="R176" s="398"/>
      <c r="S176" s="398"/>
      <c r="T176" s="398"/>
      <c r="U176" s="398"/>
      <c r="V176" s="398"/>
      <c r="W176" s="398"/>
      <c r="X176" s="398"/>
      <c r="Y176" s="398"/>
      <c r="Z176" s="398"/>
    </row>
    <row r="177">
      <c r="A177" s="396"/>
      <c r="B177" s="397"/>
      <c r="C177" s="398"/>
      <c r="D177" s="398"/>
      <c r="E177" s="398"/>
      <c r="F177" s="398"/>
      <c r="G177" s="398"/>
      <c r="H177" s="398"/>
      <c r="I177" s="398"/>
      <c r="J177" s="398"/>
      <c r="K177" s="398"/>
      <c r="L177" s="398"/>
      <c r="M177" s="398"/>
      <c r="N177" s="398"/>
      <c r="O177" s="398"/>
      <c r="P177" s="398"/>
      <c r="Q177" s="398"/>
      <c r="R177" s="398"/>
      <c r="S177" s="398"/>
      <c r="T177" s="398"/>
      <c r="U177" s="398"/>
      <c r="V177" s="398"/>
      <c r="W177" s="398"/>
      <c r="X177" s="398"/>
      <c r="Y177" s="398"/>
      <c r="Z177" s="398"/>
    </row>
    <row r="178">
      <c r="A178" s="396"/>
      <c r="B178" s="397"/>
      <c r="C178" s="398"/>
      <c r="D178" s="398"/>
      <c r="E178" s="398"/>
      <c r="F178" s="398"/>
      <c r="G178" s="398"/>
      <c r="H178" s="398"/>
      <c r="I178" s="398"/>
      <c r="J178" s="398"/>
      <c r="K178" s="398"/>
      <c r="L178" s="398"/>
      <c r="M178" s="398"/>
      <c r="N178" s="398"/>
      <c r="O178" s="398"/>
      <c r="P178" s="398"/>
      <c r="Q178" s="398"/>
      <c r="R178" s="398"/>
      <c r="S178" s="398"/>
      <c r="T178" s="398"/>
      <c r="U178" s="398"/>
      <c r="V178" s="398"/>
      <c r="W178" s="398"/>
      <c r="X178" s="398"/>
      <c r="Y178" s="398"/>
      <c r="Z178" s="398"/>
    </row>
    <row r="179">
      <c r="A179" s="396"/>
      <c r="B179" s="397"/>
      <c r="C179" s="398"/>
      <c r="D179" s="398"/>
      <c r="E179" s="398"/>
      <c r="F179" s="398"/>
      <c r="G179" s="398"/>
      <c r="H179" s="398"/>
      <c r="I179" s="398"/>
      <c r="J179" s="398"/>
      <c r="K179" s="398"/>
      <c r="L179" s="398"/>
      <c r="M179" s="398"/>
      <c r="N179" s="398"/>
      <c r="O179" s="398"/>
      <c r="P179" s="398"/>
      <c r="Q179" s="398"/>
      <c r="R179" s="398"/>
      <c r="S179" s="398"/>
      <c r="T179" s="398"/>
      <c r="U179" s="398"/>
      <c r="V179" s="398"/>
      <c r="W179" s="398"/>
      <c r="X179" s="398"/>
      <c r="Y179" s="398"/>
      <c r="Z179" s="398"/>
    </row>
    <row r="180">
      <c r="A180" s="396"/>
      <c r="B180" s="397"/>
      <c r="C180" s="398"/>
      <c r="D180" s="398"/>
      <c r="E180" s="398"/>
      <c r="F180" s="398"/>
      <c r="G180" s="398"/>
      <c r="H180" s="398"/>
      <c r="I180" s="398"/>
      <c r="J180" s="398"/>
      <c r="K180" s="398"/>
      <c r="L180" s="398"/>
      <c r="M180" s="398"/>
      <c r="N180" s="398"/>
      <c r="O180" s="398"/>
      <c r="P180" s="398"/>
      <c r="Q180" s="398"/>
      <c r="R180" s="398"/>
      <c r="S180" s="398"/>
      <c r="T180" s="398"/>
      <c r="U180" s="398"/>
      <c r="V180" s="398"/>
      <c r="W180" s="398"/>
      <c r="X180" s="398"/>
      <c r="Y180" s="398"/>
      <c r="Z180" s="398"/>
    </row>
    <row r="181">
      <c r="A181" s="396"/>
      <c r="B181" s="397"/>
      <c r="C181" s="398"/>
      <c r="D181" s="398"/>
      <c r="E181" s="398"/>
      <c r="F181" s="398"/>
      <c r="G181" s="398"/>
      <c r="H181" s="398"/>
      <c r="I181" s="398"/>
      <c r="J181" s="398"/>
      <c r="K181" s="398"/>
      <c r="L181" s="398"/>
      <c r="M181" s="398"/>
      <c r="N181" s="398"/>
      <c r="O181" s="398"/>
      <c r="P181" s="398"/>
      <c r="Q181" s="398"/>
      <c r="R181" s="398"/>
      <c r="S181" s="398"/>
      <c r="T181" s="398"/>
      <c r="U181" s="398"/>
      <c r="V181" s="398"/>
      <c r="W181" s="398"/>
      <c r="X181" s="398"/>
      <c r="Y181" s="398"/>
      <c r="Z181" s="398"/>
    </row>
    <row r="182">
      <c r="A182" s="396"/>
      <c r="B182" s="397"/>
      <c r="C182" s="398"/>
      <c r="D182" s="398"/>
      <c r="E182" s="398"/>
      <c r="F182" s="398"/>
      <c r="G182" s="398"/>
      <c r="H182" s="398"/>
      <c r="I182" s="398"/>
      <c r="J182" s="398"/>
      <c r="K182" s="398"/>
      <c r="L182" s="398"/>
      <c r="M182" s="398"/>
      <c r="N182" s="398"/>
      <c r="O182" s="398"/>
      <c r="P182" s="398"/>
      <c r="Q182" s="398"/>
      <c r="R182" s="398"/>
      <c r="S182" s="398"/>
      <c r="T182" s="398"/>
      <c r="U182" s="398"/>
      <c r="V182" s="398"/>
      <c r="W182" s="398"/>
      <c r="X182" s="398"/>
      <c r="Y182" s="398"/>
      <c r="Z182" s="398"/>
    </row>
    <row r="183">
      <c r="A183" s="396"/>
      <c r="B183" s="397"/>
      <c r="C183" s="398"/>
      <c r="D183" s="398"/>
      <c r="E183" s="398"/>
      <c r="F183" s="398"/>
      <c r="G183" s="398"/>
      <c r="H183" s="398"/>
      <c r="I183" s="398"/>
      <c r="J183" s="398"/>
      <c r="K183" s="398"/>
      <c r="L183" s="398"/>
      <c r="M183" s="398"/>
      <c r="N183" s="398"/>
      <c r="O183" s="398"/>
      <c r="P183" s="398"/>
      <c r="Q183" s="398"/>
      <c r="R183" s="398"/>
      <c r="S183" s="398"/>
      <c r="T183" s="398"/>
      <c r="U183" s="398"/>
      <c r="V183" s="398"/>
      <c r="W183" s="398"/>
      <c r="X183" s="398"/>
      <c r="Y183" s="398"/>
      <c r="Z183" s="398"/>
    </row>
    <row r="184">
      <c r="A184" s="396"/>
      <c r="B184" s="397"/>
      <c r="C184" s="398"/>
      <c r="D184" s="398"/>
      <c r="E184" s="398"/>
      <c r="F184" s="398"/>
      <c r="G184" s="398"/>
      <c r="H184" s="398"/>
      <c r="I184" s="398"/>
      <c r="J184" s="398"/>
      <c r="K184" s="398"/>
      <c r="L184" s="398"/>
      <c r="M184" s="398"/>
      <c r="N184" s="398"/>
      <c r="O184" s="398"/>
      <c r="P184" s="398"/>
      <c r="Q184" s="398"/>
      <c r="R184" s="398"/>
      <c r="S184" s="398"/>
      <c r="T184" s="398"/>
      <c r="U184" s="398"/>
      <c r="V184" s="398"/>
      <c r="W184" s="398"/>
      <c r="X184" s="398"/>
      <c r="Y184" s="398"/>
      <c r="Z184" s="398"/>
    </row>
    <row r="185">
      <c r="A185" s="396"/>
      <c r="B185" s="397"/>
      <c r="C185" s="398"/>
      <c r="D185" s="398"/>
      <c r="E185" s="398"/>
      <c r="F185" s="398"/>
      <c r="G185" s="398"/>
      <c r="H185" s="398"/>
      <c r="I185" s="398"/>
      <c r="J185" s="398"/>
      <c r="K185" s="398"/>
      <c r="L185" s="398"/>
      <c r="M185" s="398"/>
      <c r="N185" s="398"/>
      <c r="O185" s="398"/>
      <c r="P185" s="398"/>
      <c r="Q185" s="398"/>
      <c r="R185" s="398"/>
      <c r="S185" s="398"/>
      <c r="T185" s="398"/>
      <c r="U185" s="398"/>
      <c r="V185" s="398"/>
      <c r="W185" s="398"/>
      <c r="X185" s="398"/>
      <c r="Y185" s="398"/>
      <c r="Z185" s="398"/>
    </row>
    <row r="186">
      <c r="A186" s="396"/>
      <c r="B186" s="397"/>
      <c r="C186" s="398"/>
      <c r="D186" s="398"/>
      <c r="E186" s="398"/>
      <c r="F186" s="398"/>
      <c r="G186" s="398"/>
      <c r="H186" s="398"/>
      <c r="I186" s="398"/>
      <c r="J186" s="398"/>
      <c r="K186" s="398"/>
      <c r="L186" s="398"/>
      <c r="M186" s="398"/>
      <c r="N186" s="398"/>
      <c r="O186" s="398"/>
      <c r="P186" s="398"/>
      <c r="Q186" s="398"/>
      <c r="R186" s="398"/>
      <c r="S186" s="398"/>
      <c r="T186" s="398"/>
      <c r="U186" s="398"/>
      <c r="V186" s="398"/>
      <c r="W186" s="398"/>
      <c r="X186" s="398"/>
      <c r="Y186" s="398"/>
      <c r="Z186" s="398"/>
    </row>
    <row r="187">
      <c r="A187" s="396"/>
      <c r="B187" s="397"/>
      <c r="C187" s="398"/>
      <c r="D187" s="398"/>
      <c r="E187" s="398"/>
      <c r="F187" s="398"/>
      <c r="G187" s="398"/>
      <c r="H187" s="398"/>
      <c r="I187" s="398"/>
      <c r="J187" s="398"/>
      <c r="K187" s="398"/>
      <c r="L187" s="398"/>
      <c r="M187" s="398"/>
      <c r="N187" s="398"/>
      <c r="O187" s="398"/>
      <c r="P187" s="398"/>
      <c r="Q187" s="398"/>
      <c r="R187" s="398"/>
      <c r="S187" s="398"/>
      <c r="T187" s="398"/>
      <c r="U187" s="398"/>
      <c r="V187" s="398"/>
      <c r="W187" s="398"/>
      <c r="X187" s="398"/>
      <c r="Y187" s="398"/>
      <c r="Z187" s="398"/>
    </row>
    <row r="188">
      <c r="A188" s="396"/>
      <c r="B188" s="397"/>
      <c r="C188" s="398"/>
      <c r="D188" s="398"/>
      <c r="E188" s="398"/>
      <c r="F188" s="398"/>
      <c r="G188" s="398"/>
      <c r="H188" s="398"/>
      <c r="I188" s="398"/>
      <c r="J188" s="398"/>
      <c r="K188" s="398"/>
      <c r="L188" s="398"/>
      <c r="M188" s="398"/>
      <c r="N188" s="398"/>
      <c r="O188" s="398"/>
      <c r="P188" s="398"/>
      <c r="Q188" s="398"/>
      <c r="R188" s="398"/>
      <c r="S188" s="398"/>
      <c r="T188" s="398"/>
      <c r="U188" s="398"/>
      <c r="V188" s="398"/>
      <c r="W188" s="398"/>
      <c r="X188" s="398"/>
      <c r="Y188" s="398"/>
      <c r="Z188" s="398"/>
    </row>
    <row r="189">
      <c r="A189" s="396"/>
      <c r="B189" s="397"/>
      <c r="C189" s="398"/>
      <c r="D189" s="398"/>
      <c r="E189" s="398"/>
      <c r="F189" s="398"/>
      <c r="G189" s="398"/>
      <c r="H189" s="398"/>
      <c r="I189" s="398"/>
      <c r="J189" s="398"/>
      <c r="K189" s="398"/>
      <c r="L189" s="398"/>
      <c r="M189" s="398"/>
      <c r="N189" s="398"/>
      <c r="O189" s="398"/>
      <c r="P189" s="398"/>
      <c r="Q189" s="398"/>
      <c r="R189" s="398"/>
      <c r="S189" s="398"/>
      <c r="T189" s="398"/>
      <c r="U189" s="398"/>
      <c r="V189" s="398"/>
      <c r="W189" s="398"/>
      <c r="X189" s="398"/>
      <c r="Y189" s="398"/>
      <c r="Z189" s="398"/>
    </row>
    <row r="190">
      <c r="A190" s="396"/>
      <c r="B190" s="397"/>
      <c r="C190" s="398"/>
      <c r="D190" s="398"/>
      <c r="E190" s="398"/>
      <c r="F190" s="398"/>
      <c r="G190" s="398"/>
      <c r="H190" s="398"/>
      <c r="I190" s="398"/>
      <c r="J190" s="398"/>
      <c r="K190" s="398"/>
      <c r="L190" s="398"/>
      <c r="M190" s="398"/>
      <c r="N190" s="398"/>
      <c r="O190" s="398"/>
      <c r="P190" s="398"/>
      <c r="Q190" s="398"/>
      <c r="R190" s="398"/>
      <c r="S190" s="398"/>
      <c r="T190" s="398"/>
      <c r="U190" s="398"/>
      <c r="V190" s="398"/>
      <c r="W190" s="398"/>
      <c r="X190" s="398"/>
      <c r="Y190" s="398"/>
      <c r="Z190" s="398"/>
    </row>
    <row r="191">
      <c r="A191" s="396"/>
      <c r="B191" s="397"/>
      <c r="C191" s="398"/>
      <c r="D191" s="398"/>
      <c r="E191" s="398"/>
      <c r="F191" s="398"/>
      <c r="G191" s="398"/>
      <c r="H191" s="398"/>
      <c r="I191" s="398"/>
      <c r="J191" s="398"/>
      <c r="K191" s="398"/>
      <c r="L191" s="398"/>
      <c r="M191" s="398"/>
      <c r="N191" s="398"/>
      <c r="O191" s="398"/>
      <c r="P191" s="398"/>
      <c r="Q191" s="398"/>
      <c r="R191" s="398"/>
      <c r="S191" s="398"/>
      <c r="T191" s="398"/>
      <c r="U191" s="398"/>
      <c r="V191" s="398"/>
      <c r="W191" s="398"/>
      <c r="X191" s="398"/>
      <c r="Y191" s="398"/>
      <c r="Z191" s="398"/>
    </row>
    <row r="192">
      <c r="A192" s="396"/>
      <c r="B192" s="397"/>
      <c r="C192" s="398"/>
      <c r="D192" s="398"/>
      <c r="E192" s="398"/>
      <c r="F192" s="398"/>
      <c r="G192" s="398"/>
      <c r="H192" s="398"/>
      <c r="I192" s="398"/>
      <c r="J192" s="398"/>
      <c r="K192" s="398"/>
      <c r="L192" s="398"/>
      <c r="M192" s="398"/>
      <c r="N192" s="398"/>
      <c r="O192" s="398"/>
      <c r="P192" s="398"/>
      <c r="Q192" s="398"/>
      <c r="R192" s="398"/>
      <c r="S192" s="398"/>
      <c r="T192" s="398"/>
      <c r="U192" s="398"/>
      <c r="V192" s="398"/>
      <c r="W192" s="398"/>
      <c r="X192" s="398"/>
      <c r="Y192" s="398"/>
      <c r="Z192" s="398"/>
    </row>
    <row r="193">
      <c r="A193" s="396"/>
      <c r="B193" s="397"/>
      <c r="C193" s="398"/>
      <c r="D193" s="398"/>
      <c r="E193" s="398"/>
      <c r="F193" s="398"/>
      <c r="G193" s="398"/>
      <c r="H193" s="398"/>
      <c r="I193" s="398"/>
      <c r="J193" s="398"/>
      <c r="K193" s="398"/>
      <c r="L193" s="398"/>
      <c r="M193" s="398"/>
      <c r="N193" s="398"/>
      <c r="O193" s="398"/>
      <c r="P193" s="398"/>
      <c r="Q193" s="398"/>
      <c r="R193" s="398"/>
      <c r="S193" s="398"/>
      <c r="T193" s="398"/>
      <c r="U193" s="398"/>
      <c r="V193" s="398"/>
      <c r="W193" s="398"/>
      <c r="X193" s="398"/>
      <c r="Y193" s="398"/>
      <c r="Z193" s="398"/>
    </row>
    <row r="194">
      <c r="A194" s="396"/>
      <c r="B194" s="397"/>
      <c r="C194" s="398"/>
      <c r="D194" s="398"/>
      <c r="E194" s="398"/>
      <c r="F194" s="398"/>
      <c r="G194" s="398"/>
      <c r="H194" s="398"/>
      <c r="I194" s="398"/>
      <c r="J194" s="398"/>
      <c r="K194" s="398"/>
      <c r="L194" s="398"/>
      <c r="M194" s="398"/>
      <c r="N194" s="398"/>
      <c r="O194" s="398"/>
      <c r="P194" s="398"/>
      <c r="Q194" s="398"/>
      <c r="R194" s="398"/>
      <c r="S194" s="398"/>
      <c r="T194" s="398"/>
      <c r="U194" s="398"/>
      <c r="V194" s="398"/>
      <c r="W194" s="398"/>
      <c r="X194" s="398"/>
      <c r="Y194" s="398"/>
      <c r="Z194" s="398"/>
    </row>
    <row r="195">
      <c r="A195" s="396"/>
      <c r="B195" s="397"/>
      <c r="C195" s="398"/>
      <c r="D195" s="398"/>
      <c r="E195" s="398"/>
      <c r="F195" s="398"/>
      <c r="G195" s="398"/>
      <c r="H195" s="398"/>
      <c r="I195" s="398"/>
      <c r="J195" s="398"/>
      <c r="K195" s="398"/>
      <c r="L195" s="398"/>
      <c r="M195" s="398"/>
      <c r="N195" s="398"/>
      <c r="O195" s="398"/>
      <c r="P195" s="398"/>
      <c r="Q195" s="398"/>
      <c r="R195" s="398"/>
      <c r="S195" s="398"/>
      <c r="T195" s="398"/>
      <c r="U195" s="398"/>
      <c r="V195" s="398"/>
      <c r="W195" s="398"/>
      <c r="X195" s="398"/>
      <c r="Y195" s="398"/>
      <c r="Z195" s="398"/>
    </row>
    <row r="196">
      <c r="A196" s="396"/>
      <c r="B196" s="397"/>
      <c r="C196" s="398"/>
      <c r="D196" s="398"/>
      <c r="E196" s="398"/>
      <c r="F196" s="398"/>
      <c r="G196" s="398"/>
      <c r="H196" s="398"/>
      <c r="I196" s="398"/>
      <c r="J196" s="398"/>
      <c r="K196" s="398"/>
      <c r="L196" s="398"/>
      <c r="M196" s="398"/>
      <c r="N196" s="398"/>
      <c r="O196" s="398"/>
      <c r="P196" s="398"/>
      <c r="Q196" s="398"/>
      <c r="R196" s="398"/>
      <c r="S196" s="398"/>
      <c r="T196" s="398"/>
      <c r="U196" s="398"/>
      <c r="V196" s="398"/>
      <c r="W196" s="398"/>
      <c r="X196" s="398"/>
      <c r="Y196" s="398"/>
      <c r="Z196" s="398"/>
    </row>
    <row r="197">
      <c r="A197" s="396"/>
      <c r="B197" s="397"/>
      <c r="C197" s="398"/>
      <c r="D197" s="398"/>
      <c r="E197" s="398"/>
      <c r="F197" s="398"/>
      <c r="G197" s="398"/>
      <c r="H197" s="398"/>
      <c r="I197" s="398"/>
      <c r="J197" s="398"/>
      <c r="K197" s="398"/>
      <c r="L197" s="398"/>
      <c r="M197" s="398"/>
      <c r="N197" s="398"/>
      <c r="O197" s="398"/>
      <c r="P197" s="398"/>
      <c r="Q197" s="398"/>
      <c r="R197" s="398"/>
      <c r="S197" s="398"/>
      <c r="T197" s="398"/>
      <c r="U197" s="398"/>
      <c r="V197" s="398"/>
      <c r="W197" s="398"/>
      <c r="X197" s="398"/>
      <c r="Y197" s="398"/>
      <c r="Z197" s="398"/>
    </row>
    <row r="198">
      <c r="A198" s="396"/>
      <c r="B198" s="397"/>
      <c r="C198" s="398"/>
      <c r="D198" s="398"/>
      <c r="E198" s="398"/>
      <c r="F198" s="398"/>
      <c r="G198" s="398"/>
      <c r="H198" s="398"/>
      <c r="I198" s="398"/>
      <c r="J198" s="398"/>
      <c r="K198" s="398"/>
      <c r="L198" s="398"/>
      <c r="M198" s="398"/>
      <c r="N198" s="398"/>
      <c r="O198" s="398"/>
      <c r="P198" s="398"/>
      <c r="Q198" s="398"/>
      <c r="R198" s="398"/>
      <c r="S198" s="398"/>
      <c r="T198" s="398"/>
      <c r="U198" s="398"/>
      <c r="V198" s="398"/>
      <c r="W198" s="398"/>
      <c r="X198" s="398"/>
      <c r="Y198" s="398"/>
      <c r="Z198" s="398"/>
    </row>
    <row r="199">
      <c r="A199" s="396"/>
      <c r="B199" s="397"/>
      <c r="C199" s="398"/>
      <c r="D199" s="398"/>
      <c r="E199" s="398"/>
      <c r="F199" s="398"/>
      <c r="G199" s="398"/>
      <c r="H199" s="398"/>
      <c r="I199" s="398"/>
      <c r="J199" s="398"/>
      <c r="K199" s="398"/>
      <c r="L199" s="398"/>
      <c r="M199" s="398"/>
      <c r="N199" s="398"/>
      <c r="O199" s="398"/>
      <c r="P199" s="398"/>
      <c r="Q199" s="398"/>
      <c r="R199" s="398"/>
      <c r="S199" s="398"/>
      <c r="T199" s="398"/>
      <c r="U199" s="398"/>
      <c r="V199" s="398"/>
      <c r="W199" s="398"/>
      <c r="X199" s="398"/>
      <c r="Y199" s="398"/>
      <c r="Z199" s="398"/>
    </row>
    <row r="200">
      <c r="A200" s="396"/>
      <c r="B200" s="397"/>
      <c r="C200" s="398"/>
      <c r="D200" s="398"/>
      <c r="E200" s="398"/>
      <c r="F200" s="398"/>
      <c r="G200" s="398"/>
      <c r="H200" s="398"/>
      <c r="I200" s="398"/>
      <c r="J200" s="398"/>
      <c r="K200" s="398"/>
      <c r="L200" s="398"/>
      <c r="M200" s="398"/>
      <c r="N200" s="398"/>
      <c r="O200" s="398"/>
      <c r="P200" s="398"/>
      <c r="Q200" s="398"/>
      <c r="R200" s="398"/>
      <c r="S200" s="398"/>
      <c r="T200" s="398"/>
      <c r="U200" s="398"/>
      <c r="V200" s="398"/>
      <c r="W200" s="398"/>
      <c r="X200" s="398"/>
      <c r="Y200" s="398"/>
      <c r="Z200" s="398"/>
    </row>
    <row r="201">
      <c r="A201" s="396"/>
      <c r="B201" s="397"/>
      <c r="C201" s="398"/>
      <c r="D201" s="398"/>
      <c r="E201" s="398"/>
      <c r="F201" s="398"/>
      <c r="G201" s="398"/>
      <c r="H201" s="398"/>
      <c r="I201" s="398"/>
      <c r="J201" s="398"/>
      <c r="K201" s="398"/>
      <c r="L201" s="398"/>
      <c r="M201" s="398"/>
      <c r="N201" s="398"/>
      <c r="O201" s="398"/>
      <c r="P201" s="398"/>
      <c r="Q201" s="398"/>
      <c r="R201" s="398"/>
      <c r="S201" s="398"/>
      <c r="T201" s="398"/>
      <c r="U201" s="398"/>
      <c r="V201" s="398"/>
      <c r="W201" s="398"/>
      <c r="X201" s="398"/>
      <c r="Y201" s="398"/>
      <c r="Z201" s="398"/>
    </row>
    <row r="202">
      <c r="A202" s="396"/>
      <c r="B202" s="397"/>
      <c r="C202" s="398"/>
      <c r="D202" s="398"/>
      <c r="E202" s="398"/>
      <c r="F202" s="398"/>
      <c r="G202" s="398"/>
      <c r="H202" s="398"/>
      <c r="I202" s="398"/>
      <c r="J202" s="398"/>
      <c r="K202" s="398"/>
      <c r="L202" s="398"/>
      <c r="M202" s="398"/>
      <c r="N202" s="398"/>
      <c r="O202" s="398"/>
      <c r="P202" s="398"/>
      <c r="Q202" s="398"/>
      <c r="R202" s="398"/>
      <c r="S202" s="398"/>
      <c r="T202" s="398"/>
      <c r="U202" s="398"/>
      <c r="V202" s="398"/>
      <c r="W202" s="398"/>
      <c r="X202" s="398"/>
      <c r="Y202" s="398"/>
      <c r="Z202" s="398"/>
    </row>
    <row r="203">
      <c r="A203" s="396"/>
      <c r="B203" s="397"/>
      <c r="C203" s="398"/>
      <c r="D203" s="398"/>
      <c r="E203" s="398"/>
      <c r="F203" s="398"/>
      <c r="G203" s="398"/>
      <c r="H203" s="398"/>
      <c r="I203" s="398"/>
      <c r="J203" s="398"/>
      <c r="K203" s="398"/>
      <c r="L203" s="398"/>
      <c r="M203" s="398"/>
      <c r="N203" s="398"/>
      <c r="O203" s="398"/>
      <c r="P203" s="398"/>
      <c r="Q203" s="398"/>
      <c r="R203" s="398"/>
      <c r="S203" s="398"/>
      <c r="T203" s="398"/>
      <c r="U203" s="398"/>
      <c r="V203" s="398"/>
      <c r="W203" s="398"/>
      <c r="X203" s="398"/>
      <c r="Y203" s="398"/>
      <c r="Z203" s="398"/>
    </row>
    <row r="204">
      <c r="A204" s="396"/>
      <c r="B204" s="397"/>
      <c r="C204" s="398"/>
      <c r="D204" s="398"/>
      <c r="E204" s="398"/>
      <c r="F204" s="398"/>
      <c r="G204" s="398"/>
      <c r="H204" s="398"/>
      <c r="I204" s="398"/>
      <c r="J204" s="398"/>
      <c r="K204" s="398"/>
      <c r="L204" s="398"/>
      <c r="M204" s="398"/>
      <c r="N204" s="398"/>
      <c r="O204" s="398"/>
      <c r="P204" s="398"/>
      <c r="Q204" s="398"/>
      <c r="R204" s="398"/>
      <c r="S204" s="398"/>
      <c r="T204" s="398"/>
      <c r="U204" s="398"/>
      <c r="V204" s="398"/>
      <c r="W204" s="398"/>
      <c r="X204" s="398"/>
      <c r="Y204" s="398"/>
      <c r="Z204" s="398"/>
    </row>
    <row r="205">
      <c r="A205" s="396"/>
      <c r="B205" s="397"/>
      <c r="C205" s="398"/>
      <c r="D205" s="398"/>
      <c r="E205" s="398"/>
      <c r="F205" s="398"/>
      <c r="G205" s="398"/>
      <c r="H205" s="398"/>
      <c r="I205" s="398"/>
      <c r="J205" s="398"/>
      <c r="K205" s="398"/>
      <c r="L205" s="398"/>
      <c r="M205" s="398"/>
      <c r="N205" s="398"/>
      <c r="O205" s="398"/>
      <c r="P205" s="398"/>
      <c r="Q205" s="398"/>
      <c r="R205" s="398"/>
      <c r="S205" s="398"/>
      <c r="T205" s="398"/>
      <c r="U205" s="398"/>
      <c r="V205" s="398"/>
      <c r="W205" s="398"/>
      <c r="X205" s="398"/>
      <c r="Y205" s="398"/>
      <c r="Z205" s="398"/>
    </row>
    <row r="206">
      <c r="A206" s="396"/>
      <c r="B206" s="397"/>
      <c r="C206" s="398"/>
      <c r="D206" s="398"/>
      <c r="E206" s="398"/>
      <c r="F206" s="398"/>
      <c r="G206" s="398"/>
      <c r="H206" s="398"/>
      <c r="I206" s="398"/>
      <c r="J206" s="398"/>
      <c r="K206" s="398"/>
      <c r="L206" s="398"/>
      <c r="M206" s="398"/>
      <c r="N206" s="398"/>
      <c r="O206" s="398"/>
      <c r="P206" s="398"/>
      <c r="Q206" s="398"/>
      <c r="R206" s="398"/>
      <c r="S206" s="398"/>
      <c r="T206" s="398"/>
      <c r="U206" s="398"/>
      <c r="V206" s="398"/>
      <c r="W206" s="398"/>
      <c r="X206" s="398"/>
      <c r="Y206" s="398"/>
      <c r="Z206" s="398"/>
    </row>
    <row r="207">
      <c r="A207" s="396"/>
      <c r="B207" s="397"/>
      <c r="C207" s="398"/>
      <c r="D207" s="398"/>
      <c r="E207" s="398"/>
      <c r="F207" s="398"/>
      <c r="G207" s="398"/>
      <c r="H207" s="398"/>
      <c r="I207" s="398"/>
      <c r="J207" s="398"/>
      <c r="K207" s="398"/>
      <c r="L207" s="398"/>
      <c r="M207" s="398"/>
      <c r="N207" s="398"/>
      <c r="O207" s="398"/>
      <c r="P207" s="398"/>
      <c r="Q207" s="398"/>
      <c r="R207" s="398"/>
      <c r="S207" s="398"/>
      <c r="T207" s="398"/>
      <c r="U207" s="398"/>
      <c r="V207" s="398"/>
      <c r="W207" s="398"/>
      <c r="X207" s="398"/>
      <c r="Y207" s="398"/>
      <c r="Z207" s="398"/>
    </row>
    <row r="208">
      <c r="A208" s="396"/>
      <c r="B208" s="397"/>
      <c r="C208" s="398"/>
      <c r="D208" s="398"/>
      <c r="E208" s="398"/>
      <c r="F208" s="398"/>
      <c r="G208" s="398"/>
      <c r="H208" s="398"/>
      <c r="I208" s="398"/>
      <c r="J208" s="398"/>
      <c r="K208" s="398"/>
      <c r="L208" s="398"/>
      <c r="M208" s="398"/>
      <c r="N208" s="398"/>
      <c r="O208" s="398"/>
      <c r="P208" s="398"/>
      <c r="Q208" s="398"/>
      <c r="R208" s="398"/>
      <c r="S208" s="398"/>
      <c r="T208" s="398"/>
      <c r="U208" s="398"/>
      <c r="V208" s="398"/>
      <c r="W208" s="398"/>
      <c r="X208" s="398"/>
      <c r="Y208" s="398"/>
      <c r="Z208" s="398"/>
    </row>
    <row r="209">
      <c r="A209" s="396"/>
      <c r="B209" s="397"/>
      <c r="C209" s="398"/>
      <c r="D209" s="398"/>
      <c r="E209" s="398"/>
      <c r="F209" s="398"/>
      <c r="G209" s="398"/>
      <c r="H209" s="398"/>
      <c r="I209" s="398"/>
      <c r="J209" s="398"/>
      <c r="K209" s="398"/>
      <c r="L209" s="398"/>
      <c r="M209" s="398"/>
      <c r="N209" s="398"/>
      <c r="O209" s="398"/>
      <c r="P209" s="398"/>
      <c r="Q209" s="398"/>
      <c r="R209" s="398"/>
      <c r="S209" s="398"/>
      <c r="T209" s="398"/>
      <c r="U209" s="398"/>
      <c r="V209" s="398"/>
      <c r="W209" s="398"/>
      <c r="X209" s="398"/>
      <c r="Y209" s="398"/>
      <c r="Z209" s="398"/>
    </row>
    <row r="210">
      <c r="A210" s="396"/>
      <c r="B210" s="397"/>
      <c r="C210" s="398"/>
      <c r="D210" s="398"/>
      <c r="E210" s="398"/>
      <c r="F210" s="398"/>
      <c r="G210" s="398"/>
      <c r="H210" s="398"/>
      <c r="I210" s="398"/>
      <c r="J210" s="398"/>
      <c r="K210" s="398"/>
      <c r="L210" s="398"/>
      <c r="M210" s="398"/>
      <c r="N210" s="398"/>
      <c r="O210" s="398"/>
      <c r="P210" s="398"/>
      <c r="Q210" s="398"/>
      <c r="R210" s="398"/>
      <c r="S210" s="398"/>
      <c r="T210" s="398"/>
      <c r="U210" s="398"/>
      <c r="V210" s="398"/>
      <c r="W210" s="398"/>
      <c r="X210" s="398"/>
      <c r="Y210" s="398"/>
      <c r="Z210" s="398"/>
    </row>
    <row r="211">
      <c r="A211" s="396"/>
      <c r="B211" s="397"/>
      <c r="C211" s="398"/>
      <c r="D211" s="398"/>
      <c r="E211" s="398"/>
      <c r="F211" s="398"/>
      <c r="G211" s="398"/>
      <c r="H211" s="398"/>
      <c r="I211" s="398"/>
      <c r="J211" s="398"/>
      <c r="K211" s="398"/>
      <c r="L211" s="398"/>
      <c r="M211" s="398"/>
      <c r="N211" s="398"/>
      <c r="O211" s="398"/>
      <c r="P211" s="398"/>
      <c r="Q211" s="398"/>
      <c r="R211" s="398"/>
      <c r="S211" s="398"/>
      <c r="T211" s="398"/>
      <c r="U211" s="398"/>
      <c r="V211" s="398"/>
      <c r="W211" s="398"/>
      <c r="X211" s="398"/>
      <c r="Y211" s="398"/>
      <c r="Z211" s="398"/>
    </row>
    <row r="212">
      <c r="A212" s="396"/>
      <c r="B212" s="397"/>
      <c r="C212" s="398"/>
      <c r="D212" s="398"/>
      <c r="E212" s="398"/>
      <c r="F212" s="398"/>
      <c r="G212" s="398"/>
      <c r="H212" s="398"/>
      <c r="I212" s="398"/>
      <c r="J212" s="398"/>
      <c r="K212" s="398"/>
      <c r="L212" s="398"/>
      <c r="M212" s="398"/>
      <c r="N212" s="398"/>
      <c r="O212" s="398"/>
      <c r="P212" s="398"/>
      <c r="Q212" s="398"/>
      <c r="R212" s="398"/>
      <c r="S212" s="398"/>
      <c r="T212" s="398"/>
      <c r="U212" s="398"/>
      <c r="V212" s="398"/>
      <c r="W212" s="398"/>
      <c r="X212" s="398"/>
      <c r="Y212" s="398"/>
      <c r="Z212" s="398"/>
    </row>
    <row r="213">
      <c r="A213" s="396"/>
      <c r="B213" s="397"/>
      <c r="C213" s="398"/>
      <c r="D213" s="398"/>
      <c r="E213" s="398"/>
      <c r="F213" s="398"/>
      <c r="G213" s="398"/>
      <c r="H213" s="398"/>
      <c r="I213" s="398"/>
      <c r="J213" s="398"/>
      <c r="K213" s="398"/>
      <c r="L213" s="398"/>
      <c r="M213" s="398"/>
      <c r="N213" s="398"/>
      <c r="O213" s="398"/>
      <c r="P213" s="398"/>
      <c r="Q213" s="398"/>
      <c r="R213" s="398"/>
      <c r="S213" s="398"/>
      <c r="T213" s="398"/>
      <c r="U213" s="398"/>
      <c r="V213" s="398"/>
      <c r="W213" s="398"/>
      <c r="X213" s="398"/>
      <c r="Y213" s="398"/>
      <c r="Z213" s="398"/>
    </row>
    <row r="214">
      <c r="A214" s="396"/>
      <c r="B214" s="397"/>
      <c r="C214" s="398"/>
      <c r="D214" s="398"/>
      <c r="E214" s="398"/>
      <c r="F214" s="398"/>
      <c r="G214" s="398"/>
      <c r="H214" s="398"/>
      <c r="I214" s="398"/>
      <c r="J214" s="398"/>
      <c r="K214" s="398"/>
      <c r="L214" s="398"/>
      <c r="M214" s="398"/>
      <c r="N214" s="398"/>
      <c r="O214" s="398"/>
      <c r="P214" s="398"/>
      <c r="Q214" s="398"/>
      <c r="R214" s="398"/>
      <c r="S214" s="398"/>
      <c r="T214" s="398"/>
      <c r="U214" s="398"/>
      <c r="V214" s="398"/>
      <c r="W214" s="398"/>
      <c r="X214" s="398"/>
      <c r="Y214" s="398"/>
      <c r="Z214" s="398"/>
    </row>
    <row r="215">
      <c r="A215" s="396"/>
      <c r="B215" s="397"/>
      <c r="C215" s="398"/>
      <c r="D215" s="398"/>
      <c r="E215" s="398"/>
      <c r="F215" s="398"/>
      <c r="G215" s="398"/>
      <c r="H215" s="398"/>
      <c r="I215" s="398"/>
      <c r="J215" s="398"/>
      <c r="K215" s="398"/>
      <c r="L215" s="398"/>
      <c r="M215" s="398"/>
      <c r="N215" s="398"/>
      <c r="O215" s="398"/>
      <c r="P215" s="398"/>
      <c r="Q215" s="398"/>
      <c r="R215" s="398"/>
      <c r="S215" s="398"/>
      <c r="T215" s="398"/>
      <c r="U215" s="398"/>
      <c r="V215" s="398"/>
      <c r="W215" s="398"/>
      <c r="X215" s="398"/>
      <c r="Y215" s="398"/>
      <c r="Z215" s="398"/>
    </row>
    <row r="216">
      <c r="A216" s="396"/>
      <c r="B216" s="397"/>
      <c r="C216" s="398"/>
      <c r="D216" s="398"/>
      <c r="E216" s="398"/>
      <c r="F216" s="398"/>
      <c r="G216" s="398"/>
      <c r="H216" s="398"/>
      <c r="I216" s="398"/>
      <c r="J216" s="398"/>
      <c r="K216" s="398"/>
      <c r="L216" s="398"/>
      <c r="M216" s="398"/>
      <c r="N216" s="398"/>
      <c r="O216" s="398"/>
      <c r="P216" s="398"/>
      <c r="Q216" s="398"/>
      <c r="R216" s="398"/>
      <c r="S216" s="398"/>
      <c r="T216" s="398"/>
      <c r="U216" s="398"/>
      <c r="V216" s="398"/>
      <c r="W216" s="398"/>
      <c r="X216" s="398"/>
      <c r="Y216" s="398"/>
      <c r="Z216" s="398"/>
    </row>
    <row r="217">
      <c r="A217" s="396"/>
      <c r="B217" s="397"/>
      <c r="C217" s="398"/>
      <c r="D217" s="398"/>
      <c r="E217" s="398"/>
      <c r="F217" s="398"/>
      <c r="G217" s="398"/>
      <c r="H217" s="398"/>
      <c r="I217" s="398"/>
      <c r="J217" s="398"/>
      <c r="K217" s="398"/>
      <c r="L217" s="398"/>
      <c r="M217" s="398"/>
      <c r="N217" s="398"/>
      <c r="O217" s="398"/>
      <c r="P217" s="398"/>
      <c r="Q217" s="398"/>
      <c r="R217" s="398"/>
      <c r="S217" s="398"/>
      <c r="T217" s="398"/>
      <c r="U217" s="398"/>
      <c r="V217" s="398"/>
      <c r="W217" s="398"/>
      <c r="X217" s="398"/>
      <c r="Y217" s="398"/>
      <c r="Z217" s="398"/>
    </row>
    <row r="218">
      <c r="A218" s="396"/>
      <c r="B218" s="397"/>
      <c r="C218" s="398"/>
      <c r="D218" s="398"/>
      <c r="E218" s="398"/>
      <c r="F218" s="398"/>
      <c r="G218" s="398"/>
      <c r="H218" s="398"/>
      <c r="I218" s="398"/>
      <c r="J218" s="398"/>
      <c r="K218" s="398"/>
      <c r="L218" s="398"/>
      <c r="M218" s="398"/>
      <c r="N218" s="398"/>
      <c r="O218" s="398"/>
      <c r="P218" s="398"/>
      <c r="Q218" s="398"/>
      <c r="R218" s="398"/>
      <c r="S218" s="398"/>
      <c r="T218" s="398"/>
      <c r="U218" s="398"/>
      <c r="V218" s="398"/>
      <c r="W218" s="398"/>
      <c r="X218" s="398"/>
      <c r="Y218" s="398"/>
      <c r="Z218" s="398"/>
    </row>
    <row r="219">
      <c r="A219" s="396"/>
      <c r="B219" s="397"/>
      <c r="C219" s="398"/>
      <c r="D219" s="398"/>
      <c r="E219" s="398"/>
      <c r="F219" s="398"/>
      <c r="G219" s="398"/>
      <c r="H219" s="398"/>
      <c r="I219" s="398"/>
      <c r="J219" s="398"/>
      <c r="K219" s="398"/>
      <c r="L219" s="398"/>
      <c r="M219" s="398"/>
      <c r="N219" s="398"/>
      <c r="O219" s="398"/>
      <c r="P219" s="398"/>
      <c r="Q219" s="398"/>
      <c r="R219" s="398"/>
      <c r="S219" s="398"/>
      <c r="T219" s="398"/>
      <c r="U219" s="398"/>
      <c r="V219" s="398"/>
      <c r="W219" s="398"/>
      <c r="X219" s="398"/>
      <c r="Y219" s="398"/>
      <c r="Z219" s="398"/>
    </row>
    <row r="220">
      <c r="A220" s="396"/>
      <c r="B220" s="397"/>
      <c r="C220" s="398"/>
      <c r="D220" s="398"/>
      <c r="E220" s="398"/>
      <c r="F220" s="398"/>
      <c r="G220" s="398"/>
      <c r="H220" s="398"/>
      <c r="I220" s="398"/>
      <c r="J220" s="398"/>
      <c r="K220" s="398"/>
      <c r="L220" s="398"/>
      <c r="M220" s="398"/>
      <c r="N220" s="398"/>
      <c r="O220" s="398"/>
      <c r="P220" s="398"/>
      <c r="Q220" s="398"/>
      <c r="R220" s="398"/>
      <c r="S220" s="398"/>
      <c r="T220" s="398"/>
      <c r="U220" s="398"/>
      <c r="V220" s="398"/>
      <c r="W220" s="398"/>
      <c r="X220" s="398"/>
      <c r="Y220" s="398"/>
      <c r="Z220" s="398"/>
    </row>
    <row r="221">
      <c r="A221" s="396"/>
      <c r="B221" s="397"/>
      <c r="C221" s="398"/>
      <c r="D221" s="398"/>
      <c r="E221" s="398"/>
      <c r="F221" s="398"/>
      <c r="G221" s="398"/>
      <c r="H221" s="398"/>
      <c r="I221" s="398"/>
      <c r="J221" s="398"/>
      <c r="K221" s="398"/>
      <c r="L221" s="398"/>
      <c r="M221" s="398"/>
      <c r="N221" s="398"/>
      <c r="O221" s="398"/>
      <c r="P221" s="398"/>
      <c r="Q221" s="398"/>
      <c r="R221" s="398"/>
      <c r="S221" s="398"/>
      <c r="T221" s="398"/>
      <c r="U221" s="398"/>
      <c r="V221" s="398"/>
      <c r="W221" s="398"/>
      <c r="X221" s="398"/>
      <c r="Y221" s="398"/>
      <c r="Z221" s="398"/>
    </row>
    <row r="222">
      <c r="A222" s="396"/>
      <c r="B222" s="397"/>
      <c r="C222" s="398"/>
      <c r="D222" s="398"/>
      <c r="E222" s="398"/>
      <c r="F222" s="398"/>
      <c r="G222" s="398"/>
      <c r="H222" s="398"/>
      <c r="I222" s="398"/>
      <c r="J222" s="398"/>
      <c r="K222" s="398"/>
      <c r="L222" s="398"/>
      <c r="M222" s="398"/>
      <c r="N222" s="398"/>
      <c r="O222" s="398"/>
      <c r="P222" s="398"/>
      <c r="Q222" s="398"/>
      <c r="R222" s="398"/>
      <c r="S222" s="398"/>
      <c r="T222" s="398"/>
      <c r="U222" s="398"/>
      <c r="V222" s="398"/>
      <c r="W222" s="398"/>
      <c r="X222" s="398"/>
      <c r="Y222" s="398"/>
      <c r="Z222" s="398"/>
    </row>
    <row r="223">
      <c r="A223" s="396"/>
      <c r="B223" s="397"/>
      <c r="C223" s="398"/>
      <c r="D223" s="398"/>
      <c r="E223" s="398"/>
      <c r="F223" s="398"/>
      <c r="G223" s="398"/>
      <c r="H223" s="398"/>
      <c r="I223" s="398"/>
      <c r="J223" s="398"/>
      <c r="K223" s="398"/>
      <c r="L223" s="398"/>
      <c r="M223" s="398"/>
      <c r="N223" s="398"/>
      <c r="O223" s="398"/>
      <c r="P223" s="398"/>
      <c r="Q223" s="398"/>
      <c r="R223" s="398"/>
      <c r="S223" s="398"/>
      <c r="T223" s="398"/>
      <c r="U223" s="398"/>
      <c r="V223" s="398"/>
      <c r="W223" s="398"/>
      <c r="X223" s="398"/>
      <c r="Y223" s="398"/>
      <c r="Z223" s="398"/>
    </row>
    <row r="224">
      <c r="A224" s="396"/>
      <c r="B224" s="397"/>
      <c r="C224" s="398"/>
      <c r="D224" s="398"/>
      <c r="E224" s="398"/>
      <c r="F224" s="398"/>
      <c r="G224" s="398"/>
      <c r="H224" s="398"/>
      <c r="I224" s="398"/>
      <c r="J224" s="398"/>
      <c r="K224" s="398"/>
      <c r="L224" s="398"/>
      <c r="M224" s="398"/>
      <c r="N224" s="398"/>
      <c r="O224" s="398"/>
      <c r="P224" s="398"/>
      <c r="Q224" s="398"/>
      <c r="R224" s="398"/>
      <c r="S224" s="398"/>
      <c r="T224" s="398"/>
      <c r="U224" s="398"/>
      <c r="V224" s="398"/>
      <c r="W224" s="398"/>
      <c r="X224" s="398"/>
      <c r="Y224" s="398"/>
      <c r="Z224" s="398"/>
    </row>
    <row r="225">
      <c r="A225" s="396"/>
      <c r="B225" s="397"/>
      <c r="C225" s="398"/>
      <c r="D225" s="398"/>
      <c r="E225" s="398"/>
      <c r="F225" s="398"/>
      <c r="G225" s="398"/>
      <c r="H225" s="398"/>
      <c r="I225" s="398"/>
      <c r="J225" s="398"/>
      <c r="K225" s="398"/>
      <c r="L225" s="398"/>
      <c r="M225" s="398"/>
      <c r="N225" s="398"/>
      <c r="O225" s="398"/>
      <c r="P225" s="398"/>
      <c r="Q225" s="398"/>
      <c r="R225" s="398"/>
      <c r="S225" s="398"/>
      <c r="T225" s="398"/>
      <c r="U225" s="398"/>
      <c r="V225" s="398"/>
      <c r="W225" s="398"/>
      <c r="X225" s="398"/>
      <c r="Y225" s="398"/>
      <c r="Z225" s="398"/>
    </row>
    <row r="226">
      <c r="A226" s="396"/>
      <c r="B226" s="397"/>
      <c r="C226" s="398"/>
      <c r="D226" s="398"/>
      <c r="E226" s="398"/>
      <c r="F226" s="398"/>
      <c r="G226" s="398"/>
      <c r="H226" s="398"/>
      <c r="I226" s="398"/>
      <c r="J226" s="398"/>
      <c r="K226" s="398"/>
      <c r="L226" s="398"/>
      <c r="M226" s="398"/>
      <c r="N226" s="398"/>
      <c r="O226" s="398"/>
      <c r="P226" s="398"/>
      <c r="Q226" s="398"/>
      <c r="R226" s="398"/>
      <c r="S226" s="398"/>
      <c r="T226" s="398"/>
      <c r="U226" s="398"/>
      <c r="V226" s="398"/>
      <c r="W226" s="398"/>
      <c r="X226" s="398"/>
      <c r="Y226" s="398"/>
      <c r="Z226" s="398"/>
    </row>
    <row r="227">
      <c r="A227" s="396"/>
      <c r="B227" s="397"/>
      <c r="C227" s="398"/>
      <c r="D227" s="398"/>
      <c r="E227" s="398"/>
      <c r="F227" s="398"/>
      <c r="G227" s="398"/>
      <c r="H227" s="398"/>
      <c r="I227" s="398"/>
      <c r="J227" s="398"/>
      <c r="K227" s="398"/>
      <c r="L227" s="398"/>
      <c r="M227" s="398"/>
      <c r="N227" s="398"/>
      <c r="O227" s="398"/>
      <c r="P227" s="398"/>
      <c r="Q227" s="398"/>
      <c r="R227" s="398"/>
      <c r="S227" s="398"/>
      <c r="T227" s="398"/>
      <c r="U227" s="398"/>
      <c r="V227" s="398"/>
      <c r="W227" s="398"/>
      <c r="X227" s="398"/>
      <c r="Y227" s="398"/>
      <c r="Z227" s="398"/>
    </row>
    <row r="228">
      <c r="A228" s="396"/>
      <c r="B228" s="397"/>
      <c r="C228" s="398"/>
      <c r="D228" s="398"/>
      <c r="E228" s="398"/>
      <c r="F228" s="398"/>
      <c r="G228" s="398"/>
      <c r="H228" s="398"/>
      <c r="I228" s="398"/>
      <c r="J228" s="398"/>
      <c r="K228" s="398"/>
      <c r="L228" s="398"/>
      <c r="M228" s="398"/>
      <c r="N228" s="398"/>
      <c r="O228" s="398"/>
      <c r="P228" s="398"/>
      <c r="Q228" s="398"/>
      <c r="R228" s="398"/>
      <c r="S228" s="398"/>
      <c r="T228" s="398"/>
      <c r="U228" s="398"/>
      <c r="V228" s="398"/>
      <c r="W228" s="398"/>
      <c r="X228" s="398"/>
      <c r="Y228" s="398"/>
      <c r="Z228" s="398"/>
    </row>
    <row r="229">
      <c r="A229" s="396"/>
      <c r="B229" s="397"/>
      <c r="C229" s="398"/>
      <c r="D229" s="398"/>
      <c r="E229" s="398"/>
      <c r="F229" s="398"/>
      <c r="G229" s="398"/>
      <c r="H229" s="398"/>
      <c r="I229" s="398"/>
      <c r="J229" s="398"/>
      <c r="K229" s="398"/>
      <c r="L229" s="398"/>
      <c r="M229" s="398"/>
      <c r="N229" s="398"/>
      <c r="O229" s="398"/>
      <c r="P229" s="398"/>
      <c r="Q229" s="398"/>
      <c r="R229" s="398"/>
      <c r="S229" s="398"/>
      <c r="T229" s="398"/>
      <c r="U229" s="398"/>
      <c r="V229" s="398"/>
      <c r="W229" s="398"/>
      <c r="X229" s="398"/>
      <c r="Y229" s="398"/>
      <c r="Z229" s="398"/>
    </row>
    <row r="230">
      <c r="A230" s="396"/>
      <c r="B230" s="397"/>
      <c r="C230" s="398"/>
      <c r="D230" s="398"/>
      <c r="E230" s="398"/>
      <c r="F230" s="398"/>
      <c r="G230" s="398"/>
      <c r="H230" s="398"/>
      <c r="I230" s="398"/>
      <c r="J230" s="398"/>
      <c r="K230" s="398"/>
      <c r="L230" s="398"/>
      <c r="M230" s="398"/>
      <c r="N230" s="398"/>
      <c r="O230" s="398"/>
      <c r="P230" s="398"/>
      <c r="Q230" s="398"/>
      <c r="R230" s="398"/>
      <c r="S230" s="398"/>
      <c r="T230" s="398"/>
      <c r="U230" s="398"/>
      <c r="V230" s="398"/>
      <c r="W230" s="398"/>
      <c r="X230" s="398"/>
      <c r="Y230" s="398"/>
      <c r="Z230" s="398"/>
    </row>
    <row r="231">
      <c r="A231" s="396"/>
      <c r="B231" s="397"/>
      <c r="C231" s="398"/>
      <c r="D231" s="398"/>
      <c r="E231" s="398"/>
      <c r="F231" s="398"/>
      <c r="G231" s="398"/>
      <c r="H231" s="398"/>
      <c r="I231" s="398"/>
      <c r="J231" s="398"/>
      <c r="K231" s="398"/>
      <c r="L231" s="398"/>
      <c r="M231" s="398"/>
      <c r="N231" s="398"/>
      <c r="O231" s="398"/>
      <c r="P231" s="398"/>
      <c r="Q231" s="398"/>
      <c r="R231" s="398"/>
      <c r="S231" s="398"/>
      <c r="T231" s="398"/>
      <c r="U231" s="398"/>
      <c r="V231" s="398"/>
      <c r="W231" s="398"/>
      <c r="X231" s="398"/>
      <c r="Y231" s="398"/>
      <c r="Z231" s="398"/>
    </row>
    <row r="232">
      <c r="A232" s="396"/>
      <c r="B232" s="397"/>
      <c r="C232" s="398"/>
      <c r="D232" s="398"/>
      <c r="E232" s="398"/>
      <c r="F232" s="398"/>
      <c r="G232" s="398"/>
      <c r="H232" s="398"/>
      <c r="I232" s="398"/>
      <c r="J232" s="398"/>
      <c r="K232" s="398"/>
      <c r="L232" s="398"/>
      <c r="M232" s="398"/>
      <c r="N232" s="398"/>
      <c r="O232" s="398"/>
      <c r="P232" s="398"/>
      <c r="Q232" s="398"/>
      <c r="R232" s="398"/>
      <c r="S232" s="398"/>
      <c r="T232" s="398"/>
      <c r="U232" s="398"/>
      <c r="V232" s="398"/>
      <c r="W232" s="398"/>
      <c r="X232" s="398"/>
      <c r="Y232" s="398"/>
      <c r="Z232" s="398"/>
    </row>
    <row r="233">
      <c r="A233" s="396"/>
      <c r="B233" s="397"/>
      <c r="C233" s="398"/>
      <c r="D233" s="398"/>
      <c r="E233" s="398"/>
      <c r="F233" s="398"/>
      <c r="G233" s="398"/>
      <c r="H233" s="398"/>
      <c r="I233" s="398"/>
      <c r="J233" s="398"/>
      <c r="K233" s="398"/>
      <c r="L233" s="398"/>
      <c r="M233" s="398"/>
      <c r="N233" s="398"/>
      <c r="O233" s="398"/>
      <c r="P233" s="398"/>
      <c r="Q233" s="398"/>
      <c r="R233" s="398"/>
      <c r="S233" s="398"/>
      <c r="T233" s="398"/>
      <c r="U233" s="398"/>
      <c r="V233" s="398"/>
      <c r="W233" s="398"/>
      <c r="X233" s="398"/>
      <c r="Y233" s="398"/>
      <c r="Z233" s="398"/>
    </row>
    <row r="234">
      <c r="A234" s="396"/>
      <c r="B234" s="397"/>
      <c r="C234" s="398"/>
      <c r="D234" s="398"/>
      <c r="E234" s="398"/>
      <c r="F234" s="398"/>
      <c r="G234" s="398"/>
      <c r="H234" s="398"/>
      <c r="I234" s="398"/>
      <c r="J234" s="398"/>
      <c r="K234" s="398"/>
      <c r="L234" s="398"/>
      <c r="M234" s="398"/>
      <c r="N234" s="398"/>
      <c r="O234" s="398"/>
      <c r="P234" s="398"/>
      <c r="Q234" s="398"/>
      <c r="R234" s="398"/>
      <c r="S234" s="398"/>
      <c r="T234" s="398"/>
      <c r="U234" s="398"/>
      <c r="V234" s="398"/>
      <c r="W234" s="398"/>
      <c r="X234" s="398"/>
      <c r="Y234" s="398"/>
      <c r="Z234" s="398"/>
    </row>
    <row r="235">
      <c r="A235" s="396"/>
      <c r="B235" s="397"/>
      <c r="C235" s="398"/>
      <c r="D235" s="398"/>
      <c r="E235" s="398"/>
      <c r="F235" s="398"/>
      <c r="G235" s="398"/>
      <c r="H235" s="398"/>
      <c r="I235" s="398"/>
      <c r="J235" s="398"/>
      <c r="K235" s="398"/>
      <c r="L235" s="398"/>
      <c r="M235" s="398"/>
      <c r="N235" s="398"/>
      <c r="O235" s="398"/>
      <c r="P235" s="398"/>
      <c r="Q235" s="398"/>
      <c r="R235" s="398"/>
      <c r="S235" s="398"/>
      <c r="T235" s="398"/>
      <c r="U235" s="398"/>
      <c r="V235" s="398"/>
      <c r="W235" s="398"/>
      <c r="X235" s="398"/>
      <c r="Y235" s="398"/>
      <c r="Z235" s="398"/>
    </row>
    <row r="236">
      <c r="A236" s="396"/>
      <c r="B236" s="397"/>
      <c r="C236" s="398"/>
      <c r="D236" s="398"/>
      <c r="E236" s="398"/>
      <c r="F236" s="398"/>
      <c r="G236" s="398"/>
      <c r="H236" s="398"/>
      <c r="I236" s="398"/>
      <c r="J236" s="398"/>
      <c r="K236" s="398"/>
      <c r="L236" s="398"/>
      <c r="M236" s="398"/>
      <c r="N236" s="398"/>
      <c r="O236" s="398"/>
      <c r="P236" s="398"/>
      <c r="Q236" s="398"/>
      <c r="R236" s="398"/>
      <c r="S236" s="398"/>
      <c r="T236" s="398"/>
      <c r="U236" s="398"/>
      <c r="V236" s="398"/>
      <c r="W236" s="398"/>
      <c r="X236" s="398"/>
      <c r="Y236" s="398"/>
      <c r="Z236" s="398"/>
    </row>
    <row r="237">
      <c r="A237" s="396"/>
      <c r="B237" s="397"/>
      <c r="C237" s="398"/>
      <c r="D237" s="398"/>
      <c r="E237" s="398"/>
      <c r="F237" s="398"/>
      <c r="G237" s="398"/>
      <c r="H237" s="398"/>
      <c r="I237" s="398"/>
      <c r="J237" s="398"/>
      <c r="K237" s="398"/>
      <c r="L237" s="398"/>
      <c r="M237" s="398"/>
      <c r="N237" s="398"/>
      <c r="O237" s="398"/>
      <c r="P237" s="398"/>
      <c r="Q237" s="398"/>
      <c r="R237" s="398"/>
      <c r="S237" s="398"/>
      <c r="T237" s="398"/>
      <c r="U237" s="398"/>
      <c r="V237" s="398"/>
      <c r="W237" s="398"/>
      <c r="X237" s="398"/>
      <c r="Y237" s="398"/>
      <c r="Z237" s="398"/>
    </row>
    <row r="238">
      <c r="A238" s="396"/>
      <c r="B238" s="397"/>
      <c r="C238" s="398"/>
      <c r="D238" s="398"/>
      <c r="E238" s="398"/>
      <c r="F238" s="398"/>
      <c r="G238" s="398"/>
      <c r="H238" s="398"/>
      <c r="I238" s="398"/>
      <c r="J238" s="398"/>
      <c r="K238" s="398"/>
      <c r="L238" s="398"/>
      <c r="M238" s="398"/>
      <c r="N238" s="398"/>
      <c r="O238" s="398"/>
      <c r="P238" s="398"/>
      <c r="Q238" s="398"/>
      <c r="R238" s="398"/>
      <c r="S238" s="398"/>
      <c r="T238" s="398"/>
      <c r="U238" s="398"/>
      <c r="V238" s="398"/>
      <c r="W238" s="398"/>
      <c r="X238" s="398"/>
      <c r="Y238" s="398"/>
      <c r="Z238" s="398"/>
    </row>
    <row r="239">
      <c r="A239" s="396"/>
      <c r="B239" s="397"/>
      <c r="C239" s="398"/>
      <c r="D239" s="398"/>
      <c r="E239" s="398"/>
      <c r="F239" s="398"/>
      <c r="G239" s="398"/>
      <c r="H239" s="398"/>
      <c r="I239" s="398"/>
      <c r="J239" s="398"/>
      <c r="K239" s="398"/>
      <c r="L239" s="398"/>
      <c r="M239" s="398"/>
      <c r="N239" s="398"/>
      <c r="O239" s="398"/>
      <c r="P239" s="398"/>
      <c r="Q239" s="398"/>
      <c r="R239" s="398"/>
      <c r="S239" s="398"/>
      <c r="T239" s="398"/>
      <c r="U239" s="398"/>
      <c r="V239" s="398"/>
      <c r="W239" s="398"/>
      <c r="X239" s="398"/>
      <c r="Y239" s="398"/>
      <c r="Z239" s="398"/>
    </row>
    <row r="240">
      <c r="A240" s="396"/>
      <c r="B240" s="397"/>
      <c r="C240" s="398"/>
      <c r="D240" s="398"/>
      <c r="E240" s="398"/>
      <c r="F240" s="398"/>
      <c r="G240" s="398"/>
      <c r="H240" s="398"/>
      <c r="I240" s="398"/>
      <c r="J240" s="398"/>
      <c r="K240" s="398"/>
      <c r="L240" s="398"/>
      <c r="M240" s="398"/>
      <c r="N240" s="398"/>
      <c r="O240" s="398"/>
      <c r="P240" s="398"/>
      <c r="Q240" s="398"/>
      <c r="R240" s="398"/>
      <c r="S240" s="398"/>
      <c r="T240" s="398"/>
      <c r="U240" s="398"/>
      <c r="V240" s="398"/>
      <c r="W240" s="398"/>
      <c r="X240" s="398"/>
      <c r="Y240" s="398"/>
      <c r="Z240" s="398"/>
    </row>
    <row r="241">
      <c r="A241" s="396"/>
      <c r="B241" s="397"/>
      <c r="C241" s="398"/>
      <c r="D241" s="398"/>
      <c r="E241" s="398"/>
      <c r="F241" s="398"/>
      <c r="G241" s="398"/>
      <c r="H241" s="398"/>
      <c r="I241" s="398"/>
      <c r="J241" s="398"/>
      <c r="K241" s="398"/>
      <c r="L241" s="398"/>
      <c r="M241" s="398"/>
      <c r="N241" s="398"/>
      <c r="O241" s="398"/>
      <c r="P241" s="398"/>
      <c r="Q241" s="398"/>
      <c r="R241" s="398"/>
      <c r="S241" s="398"/>
      <c r="T241" s="398"/>
      <c r="U241" s="398"/>
      <c r="V241" s="398"/>
      <c r="W241" s="398"/>
      <c r="X241" s="398"/>
      <c r="Y241" s="398"/>
      <c r="Z241" s="398"/>
    </row>
    <row r="242">
      <c r="A242" s="396"/>
      <c r="B242" s="397"/>
      <c r="C242" s="398"/>
      <c r="D242" s="398"/>
      <c r="E242" s="398"/>
      <c r="F242" s="398"/>
      <c r="G242" s="398"/>
      <c r="H242" s="398"/>
      <c r="I242" s="398"/>
      <c r="J242" s="398"/>
      <c r="K242" s="398"/>
      <c r="L242" s="398"/>
      <c r="M242" s="398"/>
      <c r="N242" s="398"/>
      <c r="O242" s="398"/>
      <c r="P242" s="398"/>
      <c r="Q242" s="398"/>
      <c r="R242" s="398"/>
      <c r="S242" s="398"/>
      <c r="T242" s="398"/>
      <c r="U242" s="398"/>
      <c r="V242" s="398"/>
      <c r="W242" s="398"/>
      <c r="X242" s="398"/>
      <c r="Y242" s="398"/>
      <c r="Z242" s="398"/>
    </row>
    <row r="243">
      <c r="A243" s="396"/>
      <c r="B243" s="397"/>
      <c r="C243" s="398"/>
      <c r="D243" s="398"/>
      <c r="E243" s="398"/>
      <c r="F243" s="398"/>
      <c r="G243" s="398"/>
      <c r="H243" s="398"/>
      <c r="I243" s="398"/>
      <c r="J243" s="398"/>
      <c r="K243" s="398"/>
      <c r="L243" s="398"/>
      <c r="M243" s="398"/>
      <c r="N243" s="398"/>
      <c r="O243" s="398"/>
      <c r="P243" s="398"/>
      <c r="Q243" s="398"/>
      <c r="R243" s="398"/>
      <c r="S243" s="398"/>
      <c r="T243" s="398"/>
      <c r="U243" s="398"/>
      <c r="V243" s="398"/>
      <c r="W243" s="398"/>
      <c r="X243" s="398"/>
      <c r="Y243" s="398"/>
      <c r="Z243" s="398"/>
    </row>
    <row r="244">
      <c r="A244" s="396"/>
      <c r="B244" s="397"/>
      <c r="C244" s="398"/>
      <c r="D244" s="398"/>
      <c r="E244" s="398"/>
      <c r="F244" s="398"/>
      <c r="G244" s="398"/>
      <c r="H244" s="398"/>
      <c r="I244" s="398"/>
      <c r="J244" s="398"/>
      <c r="K244" s="398"/>
      <c r="L244" s="398"/>
      <c r="M244" s="398"/>
      <c r="N244" s="398"/>
      <c r="O244" s="398"/>
      <c r="P244" s="398"/>
      <c r="Q244" s="398"/>
      <c r="R244" s="398"/>
      <c r="S244" s="398"/>
      <c r="T244" s="398"/>
      <c r="U244" s="398"/>
      <c r="V244" s="398"/>
      <c r="W244" s="398"/>
      <c r="X244" s="398"/>
      <c r="Y244" s="398"/>
      <c r="Z244" s="398"/>
    </row>
    <row r="245">
      <c r="A245" s="396"/>
      <c r="B245" s="397"/>
      <c r="C245" s="398"/>
      <c r="D245" s="398"/>
      <c r="E245" s="398"/>
      <c r="F245" s="398"/>
      <c r="G245" s="398"/>
      <c r="H245" s="398"/>
      <c r="I245" s="398"/>
      <c r="J245" s="398"/>
      <c r="K245" s="398"/>
      <c r="L245" s="398"/>
      <c r="M245" s="398"/>
      <c r="N245" s="398"/>
      <c r="O245" s="398"/>
      <c r="P245" s="398"/>
      <c r="Q245" s="398"/>
      <c r="R245" s="398"/>
      <c r="S245" s="398"/>
      <c r="T245" s="398"/>
      <c r="U245" s="398"/>
      <c r="V245" s="398"/>
      <c r="W245" s="398"/>
      <c r="X245" s="398"/>
      <c r="Y245" s="398"/>
      <c r="Z245" s="398"/>
    </row>
    <row r="246">
      <c r="A246" s="396"/>
      <c r="B246" s="397"/>
      <c r="C246" s="398"/>
      <c r="D246" s="398"/>
      <c r="E246" s="398"/>
      <c r="F246" s="398"/>
      <c r="G246" s="398"/>
      <c r="H246" s="398"/>
      <c r="I246" s="398"/>
      <c r="J246" s="398"/>
      <c r="K246" s="398"/>
      <c r="L246" s="398"/>
      <c r="M246" s="398"/>
      <c r="N246" s="398"/>
      <c r="O246" s="398"/>
      <c r="P246" s="398"/>
      <c r="Q246" s="398"/>
      <c r="R246" s="398"/>
      <c r="S246" s="398"/>
      <c r="T246" s="398"/>
      <c r="U246" s="398"/>
      <c r="V246" s="398"/>
      <c r="W246" s="398"/>
      <c r="X246" s="398"/>
      <c r="Y246" s="398"/>
      <c r="Z246" s="398"/>
    </row>
    <row r="247">
      <c r="A247" s="396"/>
      <c r="B247" s="397"/>
      <c r="C247" s="398"/>
      <c r="D247" s="398"/>
      <c r="E247" s="398"/>
      <c r="F247" s="398"/>
      <c r="G247" s="398"/>
      <c r="H247" s="398"/>
      <c r="I247" s="398"/>
      <c r="J247" s="398"/>
      <c r="K247" s="398"/>
      <c r="L247" s="398"/>
      <c r="M247" s="398"/>
      <c r="N247" s="398"/>
      <c r="O247" s="398"/>
      <c r="P247" s="398"/>
      <c r="Q247" s="398"/>
      <c r="R247" s="398"/>
      <c r="S247" s="398"/>
      <c r="T247" s="398"/>
      <c r="U247" s="398"/>
      <c r="V247" s="398"/>
      <c r="W247" s="398"/>
      <c r="X247" s="398"/>
      <c r="Y247" s="398"/>
      <c r="Z247" s="398"/>
    </row>
    <row r="248">
      <c r="A248" s="396"/>
      <c r="B248" s="397"/>
      <c r="C248" s="398"/>
      <c r="D248" s="398"/>
      <c r="E248" s="398"/>
      <c r="F248" s="398"/>
      <c r="G248" s="398"/>
      <c r="H248" s="398"/>
      <c r="I248" s="398"/>
      <c r="J248" s="398"/>
      <c r="K248" s="398"/>
      <c r="L248" s="398"/>
      <c r="M248" s="398"/>
      <c r="N248" s="398"/>
      <c r="O248" s="398"/>
      <c r="P248" s="398"/>
      <c r="Q248" s="398"/>
      <c r="R248" s="398"/>
      <c r="S248" s="398"/>
      <c r="T248" s="398"/>
      <c r="U248" s="398"/>
      <c r="V248" s="398"/>
      <c r="W248" s="398"/>
      <c r="X248" s="398"/>
      <c r="Y248" s="398"/>
      <c r="Z248" s="398"/>
    </row>
    <row r="249">
      <c r="A249" s="396"/>
      <c r="B249" s="397"/>
      <c r="C249" s="398"/>
      <c r="D249" s="398"/>
      <c r="E249" s="398"/>
      <c r="F249" s="398"/>
      <c r="G249" s="398"/>
      <c r="H249" s="398"/>
      <c r="I249" s="398"/>
      <c r="J249" s="398"/>
      <c r="K249" s="398"/>
      <c r="L249" s="398"/>
      <c r="M249" s="398"/>
      <c r="N249" s="398"/>
      <c r="O249" s="398"/>
      <c r="P249" s="398"/>
      <c r="Q249" s="398"/>
      <c r="R249" s="398"/>
      <c r="S249" s="398"/>
      <c r="T249" s="398"/>
      <c r="U249" s="398"/>
      <c r="V249" s="398"/>
      <c r="W249" s="398"/>
      <c r="X249" s="398"/>
      <c r="Y249" s="398"/>
      <c r="Z249" s="398"/>
    </row>
    <row r="250">
      <c r="A250" s="396"/>
      <c r="B250" s="397"/>
      <c r="C250" s="398"/>
      <c r="D250" s="398"/>
      <c r="E250" s="398"/>
      <c r="F250" s="398"/>
      <c r="G250" s="398"/>
      <c r="H250" s="398"/>
      <c r="I250" s="398"/>
      <c r="J250" s="398"/>
      <c r="K250" s="398"/>
      <c r="L250" s="398"/>
      <c r="M250" s="398"/>
      <c r="N250" s="398"/>
      <c r="O250" s="398"/>
      <c r="P250" s="398"/>
      <c r="Q250" s="398"/>
      <c r="R250" s="398"/>
      <c r="S250" s="398"/>
      <c r="T250" s="398"/>
      <c r="U250" s="398"/>
      <c r="V250" s="398"/>
      <c r="W250" s="398"/>
      <c r="X250" s="398"/>
      <c r="Y250" s="398"/>
      <c r="Z250" s="398"/>
    </row>
    <row r="251">
      <c r="A251" s="396"/>
      <c r="B251" s="397"/>
      <c r="C251" s="398"/>
      <c r="D251" s="398"/>
      <c r="E251" s="398"/>
      <c r="F251" s="398"/>
      <c r="G251" s="398"/>
      <c r="H251" s="398"/>
      <c r="I251" s="398"/>
      <c r="J251" s="398"/>
      <c r="K251" s="398"/>
      <c r="L251" s="398"/>
      <c r="M251" s="398"/>
      <c r="N251" s="398"/>
      <c r="O251" s="398"/>
      <c r="P251" s="398"/>
      <c r="Q251" s="398"/>
      <c r="R251" s="398"/>
      <c r="S251" s="398"/>
      <c r="T251" s="398"/>
      <c r="U251" s="398"/>
      <c r="V251" s="398"/>
      <c r="W251" s="398"/>
      <c r="X251" s="398"/>
      <c r="Y251" s="398"/>
      <c r="Z251" s="398"/>
    </row>
    <row r="252">
      <c r="A252" s="396"/>
      <c r="B252" s="397"/>
      <c r="C252" s="398"/>
      <c r="D252" s="398"/>
      <c r="E252" s="398"/>
      <c r="F252" s="398"/>
      <c r="G252" s="398"/>
      <c r="H252" s="398"/>
      <c r="I252" s="398"/>
      <c r="J252" s="398"/>
      <c r="K252" s="398"/>
      <c r="L252" s="398"/>
      <c r="M252" s="398"/>
      <c r="N252" s="398"/>
      <c r="O252" s="398"/>
      <c r="P252" s="398"/>
      <c r="Q252" s="398"/>
      <c r="R252" s="398"/>
      <c r="S252" s="398"/>
      <c r="T252" s="398"/>
      <c r="U252" s="398"/>
      <c r="V252" s="398"/>
      <c r="W252" s="398"/>
      <c r="X252" s="398"/>
      <c r="Y252" s="398"/>
      <c r="Z252" s="398"/>
    </row>
    <row r="253">
      <c r="A253" s="396"/>
      <c r="B253" s="397"/>
      <c r="C253" s="398"/>
      <c r="D253" s="398"/>
      <c r="E253" s="398"/>
      <c r="F253" s="398"/>
      <c r="G253" s="398"/>
      <c r="H253" s="398"/>
      <c r="I253" s="398"/>
      <c r="J253" s="398"/>
      <c r="K253" s="398"/>
      <c r="L253" s="398"/>
      <c r="M253" s="398"/>
      <c r="N253" s="398"/>
      <c r="O253" s="398"/>
      <c r="P253" s="398"/>
      <c r="Q253" s="398"/>
      <c r="R253" s="398"/>
      <c r="S253" s="398"/>
      <c r="T253" s="398"/>
      <c r="U253" s="398"/>
      <c r="V253" s="398"/>
      <c r="W253" s="398"/>
      <c r="X253" s="398"/>
      <c r="Y253" s="398"/>
      <c r="Z253" s="398"/>
    </row>
    <row r="254">
      <c r="A254" s="396"/>
      <c r="B254" s="397"/>
      <c r="C254" s="398"/>
      <c r="D254" s="398"/>
      <c r="E254" s="398"/>
      <c r="F254" s="398"/>
      <c r="G254" s="398"/>
      <c r="H254" s="398"/>
      <c r="I254" s="398"/>
      <c r="J254" s="398"/>
      <c r="K254" s="398"/>
      <c r="L254" s="398"/>
      <c r="M254" s="398"/>
      <c r="N254" s="398"/>
      <c r="O254" s="398"/>
      <c r="P254" s="398"/>
      <c r="Q254" s="398"/>
      <c r="R254" s="398"/>
      <c r="S254" s="398"/>
      <c r="T254" s="398"/>
      <c r="U254" s="398"/>
      <c r="V254" s="398"/>
      <c r="W254" s="398"/>
      <c r="X254" s="398"/>
      <c r="Y254" s="398"/>
      <c r="Z254" s="398"/>
    </row>
    <row r="255">
      <c r="A255" s="396"/>
      <c r="B255" s="397"/>
      <c r="C255" s="398"/>
      <c r="D255" s="398"/>
      <c r="E255" s="398"/>
      <c r="F255" s="398"/>
      <c r="G255" s="398"/>
      <c r="H255" s="398"/>
      <c r="I255" s="398"/>
      <c r="J255" s="398"/>
      <c r="K255" s="398"/>
      <c r="L255" s="398"/>
      <c r="M255" s="398"/>
      <c r="N255" s="398"/>
      <c r="O255" s="398"/>
      <c r="P255" s="398"/>
      <c r="Q255" s="398"/>
      <c r="R255" s="398"/>
      <c r="S255" s="398"/>
      <c r="T255" s="398"/>
      <c r="U255" s="398"/>
      <c r="V255" s="398"/>
      <c r="W255" s="398"/>
      <c r="X255" s="398"/>
      <c r="Y255" s="398"/>
      <c r="Z255" s="398"/>
    </row>
    <row r="256">
      <c r="A256" s="396"/>
      <c r="B256" s="397"/>
      <c r="C256" s="398"/>
      <c r="D256" s="398"/>
      <c r="E256" s="398"/>
      <c r="F256" s="398"/>
      <c r="G256" s="398"/>
      <c r="H256" s="398"/>
      <c r="I256" s="398"/>
      <c r="J256" s="398"/>
      <c r="K256" s="398"/>
      <c r="L256" s="398"/>
      <c r="M256" s="398"/>
      <c r="N256" s="398"/>
      <c r="O256" s="398"/>
      <c r="P256" s="398"/>
      <c r="Q256" s="398"/>
      <c r="R256" s="398"/>
      <c r="S256" s="398"/>
      <c r="T256" s="398"/>
      <c r="U256" s="398"/>
      <c r="V256" s="398"/>
      <c r="W256" s="398"/>
      <c r="X256" s="398"/>
      <c r="Y256" s="398"/>
      <c r="Z256" s="398"/>
    </row>
    <row r="257">
      <c r="A257" s="396"/>
      <c r="B257" s="397"/>
      <c r="C257" s="398"/>
      <c r="D257" s="398"/>
      <c r="E257" s="398"/>
      <c r="F257" s="398"/>
      <c r="G257" s="398"/>
      <c r="H257" s="398"/>
      <c r="I257" s="398"/>
      <c r="J257" s="398"/>
      <c r="K257" s="398"/>
      <c r="L257" s="398"/>
      <c r="M257" s="398"/>
      <c r="N257" s="398"/>
      <c r="O257" s="398"/>
      <c r="P257" s="398"/>
      <c r="Q257" s="398"/>
      <c r="R257" s="398"/>
      <c r="S257" s="398"/>
      <c r="T257" s="398"/>
      <c r="U257" s="398"/>
      <c r="V257" s="398"/>
      <c r="W257" s="398"/>
      <c r="X257" s="398"/>
      <c r="Y257" s="398"/>
      <c r="Z257" s="398"/>
    </row>
    <row r="258">
      <c r="A258" s="396"/>
      <c r="B258" s="397"/>
      <c r="C258" s="398"/>
      <c r="D258" s="398"/>
      <c r="E258" s="398"/>
      <c r="F258" s="398"/>
      <c r="G258" s="398"/>
      <c r="H258" s="398"/>
      <c r="I258" s="398"/>
      <c r="J258" s="398"/>
      <c r="K258" s="398"/>
      <c r="L258" s="398"/>
      <c r="M258" s="398"/>
      <c r="N258" s="398"/>
      <c r="O258" s="398"/>
      <c r="P258" s="398"/>
      <c r="Q258" s="398"/>
      <c r="R258" s="398"/>
      <c r="S258" s="398"/>
      <c r="T258" s="398"/>
      <c r="U258" s="398"/>
      <c r="V258" s="398"/>
      <c r="W258" s="398"/>
      <c r="X258" s="398"/>
      <c r="Y258" s="398"/>
      <c r="Z258" s="398"/>
    </row>
    <row r="259">
      <c r="A259" s="396"/>
      <c r="B259" s="397"/>
      <c r="C259" s="398"/>
      <c r="D259" s="398"/>
      <c r="E259" s="398"/>
      <c r="F259" s="398"/>
      <c r="G259" s="398"/>
      <c r="H259" s="398"/>
      <c r="I259" s="398"/>
      <c r="J259" s="398"/>
      <c r="K259" s="398"/>
      <c r="L259" s="398"/>
      <c r="M259" s="398"/>
      <c r="N259" s="398"/>
      <c r="O259" s="398"/>
      <c r="P259" s="398"/>
      <c r="Q259" s="398"/>
      <c r="R259" s="398"/>
      <c r="S259" s="398"/>
      <c r="T259" s="398"/>
      <c r="U259" s="398"/>
      <c r="V259" s="398"/>
      <c r="W259" s="398"/>
      <c r="X259" s="398"/>
      <c r="Y259" s="398"/>
      <c r="Z259" s="398"/>
    </row>
    <row r="260">
      <c r="A260" s="396"/>
      <c r="B260" s="397"/>
      <c r="C260" s="398"/>
      <c r="D260" s="398"/>
      <c r="E260" s="398"/>
      <c r="F260" s="398"/>
      <c r="G260" s="398"/>
      <c r="H260" s="398"/>
      <c r="I260" s="398"/>
      <c r="J260" s="398"/>
      <c r="K260" s="398"/>
      <c r="L260" s="398"/>
      <c r="M260" s="398"/>
      <c r="N260" s="398"/>
      <c r="O260" s="398"/>
      <c r="P260" s="398"/>
      <c r="Q260" s="398"/>
      <c r="R260" s="398"/>
      <c r="S260" s="398"/>
      <c r="T260" s="398"/>
      <c r="U260" s="398"/>
      <c r="V260" s="398"/>
      <c r="W260" s="398"/>
      <c r="X260" s="398"/>
      <c r="Y260" s="398"/>
      <c r="Z260" s="398"/>
    </row>
    <row r="261">
      <c r="A261" s="396"/>
      <c r="B261" s="397"/>
      <c r="C261" s="398"/>
      <c r="D261" s="398"/>
      <c r="E261" s="398"/>
      <c r="F261" s="398"/>
      <c r="G261" s="398"/>
      <c r="H261" s="398"/>
      <c r="I261" s="398"/>
      <c r="J261" s="398"/>
      <c r="K261" s="398"/>
      <c r="L261" s="398"/>
      <c r="M261" s="398"/>
      <c r="N261" s="398"/>
      <c r="O261" s="398"/>
      <c r="P261" s="398"/>
      <c r="Q261" s="398"/>
      <c r="R261" s="398"/>
      <c r="S261" s="398"/>
      <c r="T261" s="398"/>
      <c r="U261" s="398"/>
      <c r="V261" s="398"/>
      <c r="W261" s="398"/>
      <c r="X261" s="398"/>
      <c r="Y261" s="398"/>
      <c r="Z261" s="398"/>
    </row>
    <row r="262">
      <c r="A262" s="396"/>
      <c r="B262" s="397"/>
      <c r="C262" s="398"/>
      <c r="D262" s="398"/>
      <c r="E262" s="398"/>
      <c r="F262" s="398"/>
      <c r="G262" s="398"/>
      <c r="H262" s="398"/>
      <c r="I262" s="398"/>
      <c r="J262" s="398"/>
      <c r="K262" s="398"/>
      <c r="L262" s="398"/>
      <c r="M262" s="398"/>
      <c r="N262" s="398"/>
      <c r="O262" s="398"/>
      <c r="P262" s="398"/>
      <c r="Q262" s="398"/>
      <c r="R262" s="398"/>
      <c r="S262" s="398"/>
      <c r="T262" s="398"/>
      <c r="U262" s="398"/>
      <c r="V262" s="398"/>
      <c r="W262" s="398"/>
      <c r="X262" s="398"/>
      <c r="Y262" s="398"/>
      <c r="Z262" s="398"/>
    </row>
    <row r="263">
      <c r="A263" s="396"/>
      <c r="B263" s="397"/>
      <c r="C263" s="398"/>
      <c r="D263" s="398"/>
      <c r="E263" s="398"/>
      <c r="F263" s="398"/>
      <c r="G263" s="398"/>
      <c r="H263" s="398"/>
      <c r="I263" s="398"/>
      <c r="J263" s="398"/>
      <c r="K263" s="398"/>
      <c r="L263" s="398"/>
      <c r="M263" s="398"/>
      <c r="N263" s="398"/>
      <c r="O263" s="398"/>
      <c r="P263" s="398"/>
      <c r="Q263" s="398"/>
      <c r="R263" s="398"/>
      <c r="S263" s="398"/>
      <c r="T263" s="398"/>
      <c r="U263" s="398"/>
      <c r="V263" s="398"/>
      <c r="W263" s="398"/>
      <c r="X263" s="398"/>
      <c r="Y263" s="398"/>
      <c r="Z263" s="398"/>
    </row>
    <row r="264">
      <c r="A264" s="396"/>
      <c r="B264" s="397"/>
      <c r="C264" s="398"/>
      <c r="D264" s="398"/>
      <c r="E264" s="398"/>
      <c r="F264" s="398"/>
      <c r="G264" s="398"/>
      <c r="H264" s="398"/>
      <c r="I264" s="398"/>
      <c r="J264" s="398"/>
      <c r="K264" s="398"/>
      <c r="L264" s="398"/>
      <c r="M264" s="398"/>
      <c r="N264" s="398"/>
      <c r="O264" s="398"/>
      <c r="P264" s="398"/>
      <c r="Q264" s="398"/>
      <c r="R264" s="398"/>
      <c r="S264" s="398"/>
      <c r="T264" s="398"/>
      <c r="U264" s="398"/>
      <c r="V264" s="398"/>
      <c r="W264" s="398"/>
      <c r="X264" s="398"/>
      <c r="Y264" s="398"/>
      <c r="Z264" s="398"/>
    </row>
    <row r="265">
      <c r="A265" s="396"/>
      <c r="B265" s="397"/>
      <c r="C265" s="398"/>
      <c r="D265" s="398"/>
      <c r="E265" s="398"/>
      <c r="F265" s="398"/>
      <c r="G265" s="398"/>
      <c r="H265" s="398"/>
      <c r="I265" s="398"/>
      <c r="J265" s="398"/>
      <c r="K265" s="398"/>
      <c r="L265" s="398"/>
      <c r="M265" s="398"/>
      <c r="N265" s="398"/>
      <c r="O265" s="398"/>
      <c r="P265" s="398"/>
      <c r="Q265" s="398"/>
      <c r="R265" s="398"/>
      <c r="S265" s="398"/>
      <c r="T265" s="398"/>
      <c r="U265" s="398"/>
      <c r="V265" s="398"/>
      <c r="W265" s="398"/>
      <c r="X265" s="398"/>
      <c r="Y265" s="398"/>
      <c r="Z265" s="398"/>
    </row>
    <row r="266">
      <c r="A266" s="396"/>
      <c r="B266" s="397"/>
      <c r="C266" s="398"/>
      <c r="D266" s="398"/>
      <c r="E266" s="398"/>
      <c r="F266" s="398"/>
      <c r="G266" s="398"/>
      <c r="H266" s="398"/>
      <c r="I266" s="398"/>
      <c r="J266" s="398"/>
      <c r="K266" s="398"/>
      <c r="L266" s="398"/>
      <c r="M266" s="398"/>
      <c r="N266" s="398"/>
      <c r="O266" s="398"/>
      <c r="P266" s="398"/>
      <c r="Q266" s="398"/>
      <c r="R266" s="398"/>
      <c r="S266" s="398"/>
      <c r="T266" s="398"/>
      <c r="U266" s="398"/>
      <c r="V266" s="398"/>
      <c r="W266" s="398"/>
      <c r="X266" s="398"/>
      <c r="Y266" s="398"/>
      <c r="Z266" s="398"/>
    </row>
    <row r="267">
      <c r="A267" s="396"/>
      <c r="B267" s="397"/>
      <c r="C267" s="398"/>
      <c r="D267" s="398"/>
      <c r="E267" s="398"/>
      <c r="F267" s="398"/>
      <c r="G267" s="398"/>
      <c r="H267" s="398"/>
      <c r="I267" s="398"/>
      <c r="J267" s="398"/>
      <c r="K267" s="398"/>
      <c r="L267" s="398"/>
      <c r="M267" s="398"/>
      <c r="N267" s="398"/>
      <c r="O267" s="398"/>
      <c r="P267" s="398"/>
      <c r="Q267" s="398"/>
      <c r="R267" s="398"/>
      <c r="S267" s="398"/>
      <c r="T267" s="398"/>
      <c r="U267" s="398"/>
      <c r="V267" s="398"/>
      <c r="W267" s="398"/>
      <c r="X267" s="398"/>
      <c r="Y267" s="398"/>
      <c r="Z267" s="398"/>
    </row>
    <row r="268">
      <c r="A268" s="396"/>
      <c r="B268" s="397"/>
      <c r="C268" s="398"/>
      <c r="D268" s="398"/>
      <c r="E268" s="398"/>
      <c r="F268" s="398"/>
      <c r="G268" s="398"/>
      <c r="H268" s="398"/>
      <c r="I268" s="398"/>
      <c r="J268" s="398"/>
      <c r="K268" s="398"/>
      <c r="L268" s="398"/>
      <c r="M268" s="398"/>
      <c r="N268" s="398"/>
      <c r="O268" s="398"/>
      <c r="P268" s="398"/>
      <c r="Q268" s="398"/>
      <c r="R268" s="398"/>
      <c r="S268" s="398"/>
      <c r="T268" s="398"/>
      <c r="U268" s="398"/>
      <c r="V268" s="398"/>
      <c r="W268" s="398"/>
      <c r="X268" s="398"/>
      <c r="Y268" s="398"/>
      <c r="Z268" s="398"/>
    </row>
    <row r="269">
      <c r="A269" s="396"/>
      <c r="B269" s="397"/>
      <c r="C269" s="398"/>
      <c r="D269" s="398"/>
      <c r="E269" s="398"/>
      <c r="F269" s="398"/>
      <c r="G269" s="398"/>
      <c r="H269" s="398"/>
      <c r="I269" s="398"/>
      <c r="J269" s="398"/>
      <c r="K269" s="398"/>
      <c r="L269" s="398"/>
      <c r="M269" s="398"/>
      <c r="N269" s="398"/>
      <c r="O269" s="398"/>
      <c r="P269" s="398"/>
      <c r="Q269" s="398"/>
      <c r="R269" s="398"/>
      <c r="S269" s="398"/>
      <c r="T269" s="398"/>
      <c r="U269" s="398"/>
      <c r="V269" s="398"/>
      <c r="W269" s="398"/>
      <c r="X269" s="398"/>
      <c r="Y269" s="398"/>
      <c r="Z269" s="398"/>
    </row>
    <row r="270">
      <c r="A270" s="396"/>
      <c r="B270" s="397"/>
      <c r="C270" s="398"/>
      <c r="D270" s="398"/>
      <c r="E270" s="398"/>
      <c r="F270" s="398"/>
      <c r="G270" s="398"/>
      <c r="H270" s="398"/>
      <c r="I270" s="398"/>
      <c r="J270" s="398"/>
      <c r="K270" s="398"/>
      <c r="L270" s="398"/>
      <c r="M270" s="398"/>
      <c r="N270" s="398"/>
      <c r="O270" s="398"/>
      <c r="P270" s="398"/>
      <c r="Q270" s="398"/>
      <c r="R270" s="398"/>
      <c r="S270" s="398"/>
      <c r="T270" s="398"/>
      <c r="U270" s="398"/>
      <c r="V270" s="398"/>
      <c r="W270" s="398"/>
      <c r="X270" s="398"/>
      <c r="Y270" s="398"/>
      <c r="Z270" s="398"/>
    </row>
    <row r="271">
      <c r="A271" s="396"/>
      <c r="B271" s="397"/>
      <c r="C271" s="398"/>
      <c r="D271" s="398"/>
      <c r="E271" s="398"/>
      <c r="F271" s="398"/>
      <c r="G271" s="398"/>
      <c r="H271" s="398"/>
      <c r="I271" s="398"/>
      <c r="J271" s="398"/>
      <c r="K271" s="398"/>
      <c r="L271" s="398"/>
      <c r="M271" s="398"/>
      <c r="N271" s="398"/>
      <c r="O271" s="398"/>
      <c r="P271" s="398"/>
      <c r="Q271" s="398"/>
      <c r="R271" s="398"/>
      <c r="S271" s="398"/>
      <c r="T271" s="398"/>
      <c r="U271" s="398"/>
      <c r="V271" s="398"/>
      <c r="W271" s="398"/>
      <c r="X271" s="398"/>
      <c r="Y271" s="398"/>
      <c r="Z271" s="398"/>
    </row>
    <row r="272">
      <c r="A272" s="396"/>
      <c r="B272" s="397"/>
      <c r="C272" s="398"/>
      <c r="D272" s="398"/>
      <c r="E272" s="398"/>
      <c r="F272" s="398"/>
      <c r="G272" s="398"/>
      <c r="H272" s="398"/>
      <c r="I272" s="398"/>
      <c r="J272" s="398"/>
      <c r="K272" s="398"/>
      <c r="L272" s="398"/>
      <c r="M272" s="398"/>
      <c r="N272" s="398"/>
      <c r="O272" s="398"/>
      <c r="P272" s="398"/>
      <c r="Q272" s="398"/>
      <c r="R272" s="398"/>
      <c r="S272" s="398"/>
      <c r="T272" s="398"/>
      <c r="U272" s="398"/>
      <c r="V272" s="398"/>
      <c r="W272" s="398"/>
      <c r="X272" s="398"/>
      <c r="Y272" s="398"/>
      <c r="Z272" s="398"/>
    </row>
    <row r="273">
      <c r="A273" s="396"/>
      <c r="B273" s="397"/>
      <c r="C273" s="398"/>
      <c r="D273" s="398"/>
      <c r="E273" s="398"/>
      <c r="F273" s="398"/>
      <c r="G273" s="398"/>
      <c r="H273" s="398"/>
      <c r="I273" s="398"/>
      <c r="J273" s="398"/>
      <c r="K273" s="398"/>
      <c r="L273" s="398"/>
      <c r="M273" s="398"/>
      <c r="N273" s="398"/>
      <c r="O273" s="398"/>
      <c r="P273" s="398"/>
      <c r="Q273" s="398"/>
      <c r="R273" s="398"/>
      <c r="S273" s="398"/>
      <c r="T273" s="398"/>
      <c r="U273" s="398"/>
      <c r="V273" s="398"/>
      <c r="W273" s="398"/>
      <c r="X273" s="398"/>
      <c r="Y273" s="398"/>
      <c r="Z273" s="398"/>
    </row>
    <row r="274">
      <c r="A274" s="396"/>
      <c r="B274" s="397"/>
      <c r="C274" s="398"/>
      <c r="D274" s="398"/>
      <c r="E274" s="398"/>
      <c r="F274" s="398"/>
      <c r="G274" s="398"/>
      <c r="H274" s="398"/>
      <c r="I274" s="398"/>
      <c r="J274" s="398"/>
      <c r="K274" s="398"/>
      <c r="L274" s="398"/>
      <c r="M274" s="398"/>
      <c r="N274" s="398"/>
      <c r="O274" s="398"/>
      <c r="P274" s="398"/>
      <c r="Q274" s="398"/>
      <c r="R274" s="398"/>
      <c r="S274" s="398"/>
      <c r="T274" s="398"/>
      <c r="U274" s="398"/>
      <c r="V274" s="398"/>
      <c r="W274" s="398"/>
      <c r="X274" s="398"/>
      <c r="Y274" s="398"/>
      <c r="Z274" s="398"/>
    </row>
    <row r="275">
      <c r="A275" s="396"/>
      <c r="B275" s="397"/>
      <c r="C275" s="398"/>
      <c r="D275" s="398"/>
      <c r="E275" s="398"/>
      <c r="F275" s="398"/>
      <c r="G275" s="398"/>
      <c r="H275" s="398"/>
      <c r="I275" s="398"/>
      <c r="J275" s="398"/>
      <c r="K275" s="398"/>
      <c r="L275" s="398"/>
      <c r="M275" s="398"/>
      <c r="N275" s="398"/>
      <c r="O275" s="398"/>
      <c r="P275" s="398"/>
      <c r="Q275" s="398"/>
      <c r="R275" s="398"/>
      <c r="S275" s="398"/>
      <c r="T275" s="398"/>
      <c r="U275" s="398"/>
      <c r="V275" s="398"/>
      <c r="W275" s="398"/>
      <c r="X275" s="398"/>
      <c r="Y275" s="398"/>
      <c r="Z275" s="398"/>
    </row>
    <row r="276">
      <c r="A276" s="396"/>
      <c r="B276" s="397"/>
      <c r="C276" s="398"/>
      <c r="D276" s="398"/>
      <c r="E276" s="398"/>
      <c r="F276" s="398"/>
      <c r="G276" s="398"/>
      <c r="H276" s="398"/>
      <c r="I276" s="398"/>
      <c r="J276" s="398"/>
      <c r="K276" s="398"/>
      <c r="L276" s="398"/>
      <c r="M276" s="398"/>
      <c r="N276" s="398"/>
      <c r="O276" s="398"/>
      <c r="P276" s="398"/>
      <c r="Q276" s="398"/>
      <c r="R276" s="398"/>
      <c r="S276" s="398"/>
      <c r="T276" s="398"/>
      <c r="U276" s="398"/>
      <c r="V276" s="398"/>
      <c r="W276" s="398"/>
      <c r="X276" s="398"/>
      <c r="Y276" s="398"/>
      <c r="Z276" s="398"/>
    </row>
    <row r="277">
      <c r="A277" s="396"/>
      <c r="B277" s="397"/>
      <c r="C277" s="398"/>
      <c r="D277" s="398"/>
      <c r="E277" s="398"/>
      <c r="F277" s="398"/>
      <c r="G277" s="398"/>
      <c r="H277" s="398"/>
      <c r="I277" s="398"/>
      <c r="J277" s="398"/>
      <c r="K277" s="398"/>
      <c r="L277" s="398"/>
      <c r="M277" s="398"/>
      <c r="N277" s="398"/>
      <c r="O277" s="398"/>
      <c r="P277" s="398"/>
      <c r="Q277" s="398"/>
      <c r="R277" s="398"/>
      <c r="S277" s="398"/>
      <c r="T277" s="398"/>
      <c r="U277" s="398"/>
      <c r="V277" s="398"/>
      <c r="W277" s="398"/>
      <c r="X277" s="398"/>
      <c r="Y277" s="398"/>
      <c r="Z277" s="398"/>
    </row>
    <row r="278">
      <c r="A278" s="396"/>
      <c r="B278" s="397"/>
      <c r="C278" s="398"/>
      <c r="D278" s="398"/>
      <c r="E278" s="398"/>
      <c r="F278" s="398"/>
      <c r="G278" s="398"/>
      <c r="H278" s="398"/>
      <c r="I278" s="398"/>
      <c r="J278" s="398"/>
      <c r="K278" s="398"/>
      <c r="L278" s="398"/>
      <c r="M278" s="398"/>
      <c r="N278" s="398"/>
      <c r="O278" s="398"/>
      <c r="P278" s="398"/>
      <c r="Q278" s="398"/>
      <c r="R278" s="398"/>
      <c r="S278" s="398"/>
      <c r="T278" s="398"/>
      <c r="U278" s="398"/>
      <c r="V278" s="398"/>
      <c r="W278" s="398"/>
      <c r="X278" s="398"/>
      <c r="Y278" s="398"/>
      <c r="Z278" s="398"/>
    </row>
    <row r="279">
      <c r="A279" s="396"/>
      <c r="B279" s="397"/>
      <c r="C279" s="398"/>
      <c r="D279" s="398"/>
      <c r="E279" s="398"/>
      <c r="F279" s="398"/>
      <c r="G279" s="398"/>
      <c r="H279" s="398"/>
      <c r="I279" s="398"/>
      <c r="J279" s="398"/>
      <c r="K279" s="398"/>
      <c r="L279" s="398"/>
      <c r="M279" s="398"/>
      <c r="N279" s="398"/>
      <c r="O279" s="398"/>
      <c r="P279" s="398"/>
      <c r="Q279" s="398"/>
      <c r="R279" s="398"/>
      <c r="S279" s="398"/>
      <c r="T279" s="398"/>
      <c r="U279" s="398"/>
      <c r="V279" s="398"/>
      <c r="W279" s="398"/>
      <c r="X279" s="398"/>
      <c r="Y279" s="398"/>
      <c r="Z279" s="398"/>
    </row>
    <row r="280">
      <c r="A280" s="396"/>
      <c r="B280" s="397"/>
      <c r="C280" s="398"/>
      <c r="D280" s="398"/>
      <c r="E280" s="398"/>
      <c r="F280" s="398"/>
      <c r="G280" s="398"/>
      <c r="H280" s="398"/>
      <c r="I280" s="398"/>
      <c r="J280" s="398"/>
      <c r="K280" s="398"/>
      <c r="L280" s="398"/>
      <c r="M280" s="398"/>
      <c r="N280" s="398"/>
      <c r="O280" s="398"/>
      <c r="P280" s="398"/>
      <c r="Q280" s="398"/>
      <c r="R280" s="398"/>
      <c r="S280" s="398"/>
      <c r="T280" s="398"/>
      <c r="U280" s="398"/>
      <c r="V280" s="398"/>
      <c r="W280" s="398"/>
      <c r="X280" s="398"/>
      <c r="Y280" s="398"/>
      <c r="Z280" s="398"/>
    </row>
    <row r="281">
      <c r="A281" s="396"/>
      <c r="B281" s="397"/>
      <c r="C281" s="398"/>
      <c r="D281" s="398"/>
      <c r="E281" s="398"/>
      <c r="F281" s="398"/>
      <c r="G281" s="398"/>
      <c r="H281" s="398"/>
      <c r="I281" s="398"/>
      <c r="J281" s="398"/>
      <c r="K281" s="398"/>
      <c r="L281" s="398"/>
      <c r="M281" s="398"/>
      <c r="N281" s="398"/>
      <c r="O281" s="398"/>
      <c r="P281" s="398"/>
      <c r="Q281" s="398"/>
      <c r="R281" s="398"/>
      <c r="S281" s="398"/>
      <c r="T281" s="398"/>
      <c r="U281" s="398"/>
      <c r="V281" s="398"/>
      <c r="W281" s="398"/>
      <c r="X281" s="398"/>
      <c r="Y281" s="398"/>
      <c r="Z281" s="398"/>
    </row>
    <row r="282">
      <c r="A282" s="396"/>
      <c r="B282" s="397"/>
      <c r="C282" s="398"/>
      <c r="D282" s="398"/>
      <c r="E282" s="398"/>
      <c r="F282" s="398"/>
      <c r="G282" s="398"/>
      <c r="H282" s="398"/>
      <c r="I282" s="398"/>
      <c r="J282" s="398"/>
      <c r="K282" s="398"/>
      <c r="L282" s="398"/>
      <c r="M282" s="398"/>
      <c r="N282" s="398"/>
      <c r="O282" s="398"/>
      <c r="P282" s="398"/>
      <c r="Q282" s="398"/>
      <c r="R282" s="398"/>
      <c r="S282" s="398"/>
      <c r="T282" s="398"/>
      <c r="U282" s="398"/>
      <c r="V282" s="398"/>
      <c r="W282" s="398"/>
      <c r="X282" s="398"/>
      <c r="Y282" s="398"/>
      <c r="Z282" s="398"/>
    </row>
    <row r="283">
      <c r="A283" s="396"/>
      <c r="B283" s="397"/>
      <c r="C283" s="398"/>
      <c r="D283" s="398"/>
      <c r="E283" s="398"/>
      <c r="F283" s="398"/>
      <c r="G283" s="398"/>
      <c r="H283" s="398"/>
      <c r="I283" s="398"/>
      <c r="J283" s="398"/>
      <c r="K283" s="398"/>
      <c r="L283" s="398"/>
      <c r="M283" s="398"/>
      <c r="N283" s="398"/>
      <c r="O283" s="398"/>
      <c r="P283" s="398"/>
      <c r="Q283" s="398"/>
      <c r="R283" s="398"/>
      <c r="S283" s="398"/>
      <c r="T283" s="398"/>
      <c r="U283" s="398"/>
      <c r="V283" s="398"/>
      <c r="W283" s="398"/>
      <c r="X283" s="398"/>
      <c r="Y283" s="398"/>
      <c r="Z283" s="398"/>
    </row>
    <row r="284">
      <c r="A284" s="396"/>
      <c r="B284" s="397"/>
      <c r="C284" s="398"/>
      <c r="D284" s="398"/>
      <c r="E284" s="398"/>
      <c r="F284" s="398"/>
      <c r="G284" s="398"/>
      <c r="H284" s="398"/>
      <c r="I284" s="398"/>
      <c r="J284" s="398"/>
      <c r="K284" s="398"/>
      <c r="L284" s="398"/>
      <c r="M284" s="398"/>
      <c r="N284" s="398"/>
      <c r="O284" s="398"/>
      <c r="P284" s="398"/>
      <c r="Q284" s="398"/>
      <c r="R284" s="398"/>
      <c r="S284" s="398"/>
      <c r="T284" s="398"/>
      <c r="U284" s="398"/>
      <c r="V284" s="398"/>
      <c r="W284" s="398"/>
      <c r="X284" s="398"/>
      <c r="Y284" s="398"/>
      <c r="Z284" s="398"/>
    </row>
    <row r="285">
      <c r="A285" s="396"/>
      <c r="B285" s="397"/>
      <c r="C285" s="398"/>
      <c r="D285" s="398"/>
      <c r="E285" s="398"/>
      <c r="F285" s="398"/>
      <c r="G285" s="398"/>
      <c r="H285" s="398"/>
      <c r="I285" s="398"/>
      <c r="J285" s="398"/>
      <c r="K285" s="398"/>
      <c r="L285" s="398"/>
      <c r="M285" s="398"/>
      <c r="N285" s="398"/>
      <c r="O285" s="398"/>
      <c r="P285" s="398"/>
      <c r="Q285" s="398"/>
      <c r="R285" s="398"/>
      <c r="S285" s="398"/>
      <c r="T285" s="398"/>
      <c r="U285" s="398"/>
      <c r="V285" s="398"/>
      <c r="W285" s="398"/>
      <c r="X285" s="398"/>
      <c r="Y285" s="398"/>
      <c r="Z285" s="398"/>
    </row>
    <row r="286">
      <c r="A286" s="396"/>
      <c r="B286" s="397"/>
      <c r="C286" s="398"/>
      <c r="D286" s="398"/>
      <c r="E286" s="398"/>
      <c r="F286" s="398"/>
      <c r="G286" s="398"/>
      <c r="H286" s="398"/>
      <c r="I286" s="398"/>
      <c r="J286" s="398"/>
      <c r="K286" s="398"/>
      <c r="L286" s="398"/>
      <c r="M286" s="398"/>
      <c r="N286" s="398"/>
      <c r="O286" s="398"/>
      <c r="P286" s="398"/>
      <c r="Q286" s="398"/>
      <c r="R286" s="398"/>
      <c r="S286" s="398"/>
      <c r="T286" s="398"/>
      <c r="U286" s="398"/>
      <c r="V286" s="398"/>
      <c r="W286" s="398"/>
      <c r="X286" s="398"/>
      <c r="Y286" s="398"/>
      <c r="Z286" s="398"/>
    </row>
    <row r="287">
      <c r="A287" s="396"/>
      <c r="B287" s="397"/>
      <c r="C287" s="398"/>
      <c r="D287" s="398"/>
      <c r="E287" s="398"/>
      <c r="F287" s="398"/>
      <c r="G287" s="398"/>
      <c r="H287" s="398"/>
      <c r="I287" s="398"/>
      <c r="J287" s="398"/>
      <c r="K287" s="398"/>
      <c r="L287" s="398"/>
      <c r="M287" s="398"/>
      <c r="N287" s="398"/>
      <c r="O287" s="398"/>
      <c r="P287" s="398"/>
      <c r="Q287" s="398"/>
      <c r="R287" s="398"/>
      <c r="S287" s="398"/>
      <c r="T287" s="398"/>
      <c r="U287" s="398"/>
      <c r="V287" s="398"/>
      <c r="W287" s="398"/>
      <c r="X287" s="398"/>
      <c r="Y287" s="398"/>
      <c r="Z287" s="398"/>
    </row>
    <row r="288">
      <c r="A288" s="396"/>
      <c r="B288" s="397"/>
      <c r="C288" s="398"/>
      <c r="D288" s="398"/>
      <c r="E288" s="398"/>
      <c r="F288" s="398"/>
      <c r="G288" s="398"/>
      <c r="H288" s="398"/>
      <c r="I288" s="398"/>
      <c r="J288" s="398"/>
      <c r="K288" s="398"/>
      <c r="L288" s="398"/>
      <c r="M288" s="398"/>
      <c r="N288" s="398"/>
      <c r="O288" s="398"/>
      <c r="P288" s="398"/>
      <c r="Q288" s="398"/>
      <c r="R288" s="398"/>
      <c r="S288" s="398"/>
      <c r="T288" s="398"/>
      <c r="U288" s="398"/>
      <c r="V288" s="398"/>
      <c r="W288" s="398"/>
      <c r="X288" s="398"/>
      <c r="Y288" s="398"/>
      <c r="Z288" s="398"/>
    </row>
    <row r="289">
      <c r="A289" s="396"/>
      <c r="B289" s="397"/>
      <c r="C289" s="398"/>
      <c r="D289" s="398"/>
      <c r="E289" s="398"/>
      <c r="F289" s="398"/>
      <c r="G289" s="398"/>
      <c r="H289" s="398"/>
      <c r="I289" s="398"/>
      <c r="J289" s="398"/>
      <c r="K289" s="398"/>
      <c r="L289" s="398"/>
      <c r="M289" s="398"/>
      <c r="N289" s="398"/>
      <c r="O289" s="398"/>
      <c r="P289" s="398"/>
      <c r="Q289" s="398"/>
      <c r="R289" s="398"/>
      <c r="S289" s="398"/>
      <c r="T289" s="398"/>
      <c r="U289" s="398"/>
      <c r="V289" s="398"/>
      <c r="W289" s="398"/>
      <c r="X289" s="398"/>
      <c r="Y289" s="398"/>
      <c r="Z289" s="398"/>
    </row>
    <row r="290">
      <c r="A290" s="396"/>
      <c r="B290" s="397"/>
      <c r="C290" s="398"/>
      <c r="D290" s="398"/>
      <c r="E290" s="398"/>
      <c r="F290" s="398"/>
      <c r="G290" s="398"/>
      <c r="H290" s="398"/>
      <c r="I290" s="398"/>
      <c r="J290" s="398"/>
      <c r="K290" s="398"/>
      <c r="L290" s="398"/>
      <c r="M290" s="398"/>
      <c r="N290" s="398"/>
      <c r="O290" s="398"/>
      <c r="P290" s="398"/>
      <c r="Q290" s="398"/>
      <c r="R290" s="398"/>
      <c r="S290" s="398"/>
      <c r="T290" s="398"/>
      <c r="U290" s="398"/>
      <c r="V290" s="398"/>
      <c r="W290" s="398"/>
      <c r="X290" s="398"/>
      <c r="Y290" s="398"/>
      <c r="Z290" s="398"/>
    </row>
    <row r="291">
      <c r="A291" s="396"/>
      <c r="B291" s="397"/>
      <c r="C291" s="398"/>
      <c r="D291" s="398"/>
      <c r="E291" s="398"/>
      <c r="F291" s="398"/>
      <c r="G291" s="398"/>
      <c r="H291" s="398"/>
      <c r="I291" s="398"/>
      <c r="J291" s="398"/>
      <c r="K291" s="398"/>
      <c r="L291" s="398"/>
      <c r="M291" s="398"/>
      <c r="N291" s="398"/>
      <c r="O291" s="398"/>
      <c r="P291" s="398"/>
      <c r="Q291" s="398"/>
      <c r="R291" s="398"/>
      <c r="S291" s="398"/>
      <c r="T291" s="398"/>
      <c r="U291" s="398"/>
      <c r="V291" s="398"/>
      <c r="W291" s="398"/>
      <c r="X291" s="398"/>
      <c r="Y291" s="398"/>
      <c r="Z291" s="398"/>
    </row>
    <row r="292">
      <c r="A292" s="396"/>
      <c r="B292" s="397"/>
      <c r="C292" s="398"/>
      <c r="D292" s="398"/>
      <c r="E292" s="398"/>
      <c r="F292" s="398"/>
      <c r="G292" s="398"/>
      <c r="H292" s="398"/>
      <c r="I292" s="398"/>
      <c r="J292" s="398"/>
      <c r="K292" s="398"/>
      <c r="L292" s="398"/>
      <c r="M292" s="398"/>
      <c r="N292" s="398"/>
      <c r="O292" s="398"/>
      <c r="P292" s="398"/>
      <c r="Q292" s="398"/>
      <c r="R292" s="398"/>
      <c r="S292" s="398"/>
      <c r="T292" s="398"/>
      <c r="U292" s="398"/>
      <c r="V292" s="398"/>
      <c r="W292" s="398"/>
      <c r="X292" s="398"/>
      <c r="Y292" s="398"/>
      <c r="Z292" s="398"/>
    </row>
    <row r="293">
      <c r="A293" s="396"/>
      <c r="B293" s="397"/>
      <c r="C293" s="398"/>
      <c r="D293" s="398"/>
      <c r="E293" s="398"/>
      <c r="F293" s="398"/>
      <c r="G293" s="398"/>
      <c r="H293" s="398"/>
      <c r="I293" s="398"/>
      <c r="J293" s="398"/>
      <c r="K293" s="398"/>
      <c r="L293" s="398"/>
      <c r="M293" s="398"/>
      <c r="N293" s="398"/>
      <c r="O293" s="398"/>
      <c r="P293" s="398"/>
      <c r="Q293" s="398"/>
      <c r="R293" s="398"/>
      <c r="S293" s="398"/>
      <c r="T293" s="398"/>
      <c r="U293" s="398"/>
      <c r="V293" s="398"/>
      <c r="W293" s="398"/>
      <c r="X293" s="398"/>
      <c r="Y293" s="398"/>
      <c r="Z293" s="398"/>
    </row>
    <row r="294">
      <c r="A294" s="396"/>
      <c r="B294" s="397"/>
      <c r="C294" s="398"/>
      <c r="D294" s="398"/>
      <c r="E294" s="398"/>
      <c r="F294" s="398"/>
      <c r="G294" s="398"/>
      <c r="H294" s="398"/>
      <c r="I294" s="398"/>
      <c r="J294" s="398"/>
      <c r="K294" s="398"/>
      <c r="L294" s="398"/>
      <c r="M294" s="398"/>
      <c r="N294" s="398"/>
      <c r="O294" s="398"/>
      <c r="P294" s="398"/>
      <c r="Q294" s="398"/>
      <c r="R294" s="398"/>
      <c r="S294" s="398"/>
      <c r="T294" s="398"/>
      <c r="U294" s="398"/>
      <c r="V294" s="398"/>
      <c r="W294" s="398"/>
      <c r="X294" s="398"/>
      <c r="Y294" s="398"/>
      <c r="Z294" s="398"/>
    </row>
    <row r="295">
      <c r="A295" s="396"/>
      <c r="B295" s="397"/>
      <c r="C295" s="398"/>
      <c r="D295" s="398"/>
      <c r="E295" s="398"/>
      <c r="F295" s="398"/>
      <c r="G295" s="398"/>
      <c r="H295" s="398"/>
      <c r="I295" s="398"/>
      <c r="J295" s="398"/>
      <c r="K295" s="398"/>
      <c r="L295" s="398"/>
      <c r="M295" s="398"/>
      <c r="N295" s="398"/>
      <c r="O295" s="398"/>
      <c r="P295" s="398"/>
      <c r="Q295" s="398"/>
      <c r="R295" s="398"/>
      <c r="S295" s="398"/>
      <c r="T295" s="398"/>
      <c r="U295" s="398"/>
      <c r="V295" s="398"/>
      <c r="W295" s="398"/>
      <c r="X295" s="398"/>
      <c r="Y295" s="398"/>
      <c r="Z295" s="398"/>
    </row>
    <row r="296">
      <c r="A296" s="396"/>
      <c r="B296" s="397"/>
      <c r="C296" s="398"/>
      <c r="D296" s="398"/>
      <c r="E296" s="398"/>
      <c r="F296" s="398"/>
      <c r="G296" s="398"/>
      <c r="H296" s="398"/>
      <c r="I296" s="398"/>
      <c r="J296" s="398"/>
      <c r="K296" s="398"/>
      <c r="L296" s="398"/>
      <c r="M296" s="398"/>
      <c r="N296" s="398"/>
      <c r="O296" s="398"/>
      <c r="P296" s="398"/>
      <c r="Q296" s="398"/>
      <c r="R296" s="398"/>
      <c r="S296" s="398"/>
      <c r="T296" s="398"/>
      <c r="U296" s="398"/>
      <c r="V296" s="398"/>
      <c r="W296" s="398"/>
      <c r="X296" s="398"/>
      <c r="Y296" s="398"/>
      <c r="Z296" s="398"/>
    </row>
    <row r="297">
      <c r="A297" s="396"/>
      <c r="B297" s="397"/>
      <c r="C297" s="398"/>
      <c r="D297" s="398"/>
      <c r="E297" s="398"/>
      <c r="F297" s="398"/>
      <c r="G297" s="398"/>
      <c r="H297" s="398"/>
      <c r="I297" s="398"/>
      <c r="J297" s="398"/>
      <c r="K297" s="398"/>
      <c r="L297" s="398"/>
      <c r="M297" s="398"/>
      <c r="N297" s="398"/>
      <c r="O297" s="398"/>
      <c r="P297" s="398"/>
      <c r="Q297" s="398"/>
      <c r="R297" s="398"/>
      <c r="S297" s="398"/>
      <c r="T297" s="398"/>
      <c r="U297" s="398"/>
      <c r="V297" s="398"/>
      <c r="W297" s="398"/>
      <c r="X297" s="398"/>
      <c r="Y297" s="398"/>
      <c r="Z297" s="398"/>
    </row>
    <row r="298">
      <c r="A298" s="396"/>
      <c r="B298" s="397"/>
      <c r="C298" s="398"/>
      <c r="D298" s="398"/>
      <c r="E298" s="398"/>
      <c r="F298" s="398"/>
      <c r="G298" s="398"/>
      <c r="H298" s="398"/>
      <c r="I298" s="398"/>
      <c r="J298" s="398"/>
      <c r="K298" s="398"/>
      <c r="L298" s="398"/>
      <c r="M298" s="398"/>
      <c r="N298" s="398"/>
      <c r="O298" s="398"/>
      <c r="P298" s="398"/>
      <c r="Q298" s="398"/>
      <c r="R298" s="398"/>
      <c r="S298" s="398"/>
      <c r="T298" s="398"/>
      <c r="U298" s="398"/>
      <c r="V298" s="398"/>
      <c r="W298" s="398"/>
      <c r="X298" s="398"/>
      <c r="Y298" s="398"/>
      <c r="Z298" s="398"/>
    </row>
    <row r="299">
      <c r="A299" s="396"/>
      <c r="B299" s="397"/>
      <c r="C299" s="398"/>
      <c r="D299" s="398"/>
      <c r="E299" s="398"/>
      <c r="F299" s="398"/>
      <c r="G299" s="398"/>
      <c r="H299" s="398"/>
      <c r="I299" s="398"/>
      <c r="J299" s="398"/>
      <c r="K299" s="398"/>
      <c r="L299" s="398"/>
      <c r="M299" s="398"/>
      <c r="N299" s="398"/>
      <c r="O299" s="398"/>
      <c r="P299" s="398"/>
      <c r="Q299" s="398"/>
      <c r="R299" s="398"/>
      <c r="S299" s="398"/>
      <c r="T299" s="398"/>
      <c r="U299" s="398"/>
      <c r="V299" s="398"/>
      <c r="W299" s="398"/>
      <c r="X299" s="398"/>
      <c r="Y299" s="398"/>
      <c r="Z299" s="398"/>
    </row>
    <row r="300">
      <c r="A300" s="396"/>
      <c r="B300" s="397"/>
      <c r="C300" s="398"/>
      <c r="D300" s="398"/>
      <c r="E300" s="398"/>
      <c r="F300" s="398"/>
      <c r="G300" s="398"/>
      <c r="H300" s="398"/>
      <c r="I300" s="398"/>
      <c r="J300" s="398"/>
      <c r="K300" s="398"/>
      <c r="L300" s="398"/>
      <c r="M300" s="398"/>
      <c r="N300" s="398"/>
      <c r="O300" s="398"/>
      <c r="P300" s="398"/>
      <c r="Q300" s="398"/>
      <c r="R300" s="398"/>
      <c r="S300" s="398"/>
      <c r="T300" s="398"/>
      <c r="U300" s="398"/>
      <c r="V300" s="398"/>
      <c r="W300" s="398"/>
      <c r="X300" s="398"/>
      <c r="Y300" s="398"/>
      <c r="Z300" s="398"/>
    </row>
    <row r="301">
      <c r="A301" s="396"/>
      <c r="B301" s="397"/>
      <c r="C301" s="398"/>
      <c r="D301" s="398"/>
      <c r="E301" s="398"/>
      <c r="F301" s="398"/>
      <c r="G301" s="398"/>
      <c r="H301" s="398"/>
      <c r="I301" s="398"/>
      <c r="J301" s="398"/>
      <c r="K301" s="398"/>
      <c r="L301" s="398"/>
      <c r="M301" s="398"/>
      <c r="N301" s="398"/>
      <c r="O301" s="398"/>
      <c r="P301" s="398"/>
      <c r="Q301" s="398"/>
      <c r="R301" s="398"/>
      <c r="S301" s="398"/>
      <c r="T301" s="398"/>
      <c r="U301" s="398"/>
      <c r="V301" s="398"/>
      <c r="W301" s="398"/>
      <c r="X301" s="398"/>
      <c r="Y301" s="398"/>
      <c r="Z301" s="398"/>
    </row>
    <row r="302">
      <c r="A302" s="396"/>
      <c r="B302" s="397"/>
      <c r="C302" s="398"/>
      <c r="D302" s="398"/>
      <c r="E302" s="398"/>
      <c r="F302" s="398"/>
      <c r="G302" s="398"/>
      <c r="H302" s="398"/>
      <c r="I302" s="398"/>
      <c r="J302" s="398"/>
      <c r="K302" s="398"/>
      <c r="L302" s="398"/>
      <c r="M302" s="398"/>
      <c r="N302" s="398"/>
      <c r="O302" s="398"/>
      <c r="P302" s="398"/>
      <c r="Q302" s="398"/>
      <c r="R302" s="398"/>
      <c r="S302" s="398"/>
      <c r="T302" s="398"/>
      <c r="U302" s="398"/>
      <c r="V302" s="398"/>
      <c r="W302" s="398"/>
      <c r="X302" s="398"/>
      <c r="Y302" s="398"/>
      <c r="Z302" s="398"/>
    </row>
    <row r="303">
      <c r="A303" s="396"/>
      <c r="B303" s="397"/>
      <c r="C303" s="398"/>
      <c r="D303" s="398"/>
      <c r="E303" s="398"/>
      <c r="F303" s="398"/>
      <c r="G303" s="398"/>
      <c r="H303" s="398"/>
      <c r="I303" s="398"/>
      <c r="J303" s="398"/>
      <c r="K303" s="398"/>
      <c r="L303" s="398"/>
      <c r="M303" s="398"/>
      <c r="N303" s="398"/>
      <c r="O303" s="398"/>
      <c r="P303" s="398"/>
      <c r="Q303" s="398"/>
      <c r="R303" s="398"/>
      <c r="S303" s="398"/>
      <c r="T303" s="398"/>
      <c r="U303" s="398"/>
      <c r="V303" s="398"/>
      <c r="W303" s="398"/>
      <c r="X303" s="398"/>
      <c r="Y303" s="398"/>
      <c r="Z303" s="398"/>
    </row>
    <row r="304">
      <c r="A304" s="396"/>
      <c r="B304" s="397"/>
      <c r="C304" s="398"/>
      <c r="D304" s="398"/>
      <c r="E304" s="398"/>
      <c r="F304" s="398"/>
      <c r="G304" s="398"/>
      <c r="H304" s="398"/>
      <c r="I304" s="398"/>
      <c r="J304" s="398"/>
      <c r="K304" s="398"/>
      <c r="L304" s="398"/>
      <c r="M304" s="398"/>
      <c r="N304" s="398"/>
      <c r="O304" s="398"/>
      <c r="P304" s="398"/>
      <c r="Q304" s="398"/>
      <c r="R304" s="398"/>
      <c r="S304" s="398"/>
      <c r="T304" s="398"/>
      <c r="U304" s="398"/>
      <c r="V304" s="398"/>
      <c r="W304" s="398"/>
      <c r="X304" s="398"/>
      <c r="Y304" s="398"/>
      <c r="Z304" s="398"/>
    </row>
    <row r="305">
      <c r="A305" s="396"/>
      <c r="B305" s="397"/>
      <c r="C305" s="398"/>
      <c r="D305" s="398"/>
      <c r="E305" s="398"/>
      <c r="F305" s="398"/>
      <c r="G305" s="398"/>
      <c r="H305" s="398"/>
      <c r="I305" s="398"/>
      <c r="J305" s="398"/>
      <c r="K305" s="398"/>
      <c r="L305" s="398"/>
      <c r="M305" s="398"/>
      <c r="N305" s="398"/>
      <c r="O305" s="398"/>
      <c r="P305" s="398"/>
      <c r="Q305" s="398"/>
      <c r="R305" s="398"/>
      <c r="S305" s="398"/>
      <c r="T305" s="398"/>
      <c r="U305" s="398"/>
      <c r="V305" s="398"/>
      <c r="W305" s="398"/>
      <c r="X305" s="398"/>
      <c r="Y305" s="398"/>
      <c r="Z305" s="398"/>
    </row>
    <row r="306">
      <c r="A306" s="396"/>
      <c r="B306" s="397"/>
      <c r="C306" s="398"/>
      <c r="D306" s="398"/>
      <c r="E306" s="398"/>
      <c r="F306" s="398"/>
      <c r="G306" s="398"/>
      <c r="H306" s="398"/>
      <c r="I306" s="398"/>
      <c r="J306" s="398"/>
      <c r="K306" s="398"/>
      <c r="L306" s="398"/>
      <c r="M306" s="398"/>
      <c r="N306" s="398"/>
      <c r="O306" s="398"/>
      <c r="P306" s="398"/>
      <c r="Q306" s="398"/>
      <c r="R306" s="398"/>
      <c r="S306" s="398"/>
      <c r="T306" s="398"/>
      <c r="U306" s="398"/>
      <c r="V306" s="398"/>
      <c r="W306" s="398"/>
      <c r="X306" s="398"/>
      <c r="Y306" s="398"/>
      <c r="Z306" s="398"/>
    </row>
    <row r="307">
      <c r="A307" s="396"/>
      <c r="B307" s="397"/>
      <c r="C307" s="398"/>
      <c r="D307" s="398"/>
      <c r="E307" s="398"/>
      <c r="F307" s="398"/>
      <c r="G307" s="398"/>
      <c r="H307" s="398"/>
      <c r="I307" s="398"/>
      <c r="J307" s="398"/>
      <c r="K307" s="398"/>
      <c r="L307" s="398"/>
      <c r="M307" s="398"/>
      <c r="N307" s="398"/>
      <c r="O307" s="398"/>
      <c r="P307" s="398"/>
      <c r="Q307" s="398"/>
      <c r="R307" s="398"/>
      <c r="S307" s="398"/>
      <c r="T307" s="398"/>
      <c r="U307" s="398"/>
      <c r="V307" s="398"/>
      <c r="W307" s="398"/>
      <c r="X307" s="398"/>
      <c r="Y307" s="398"/>
      <c r="Z307" s="398"/>
    </row>
    <row r="308">
      <c r="A308" s="396"/>
      <c r="B308" s="397"/>
      <c r="C308" s="398"/>
      <c r="D308" s="398"/>
      <c r="E308" s="398"/>
      <c r="F308" s="398"/>
      <c r="G308" s="398"/>
      <c r="H308" s="398"/>
      <c r="I308" s="398"/>
      <c r="J308" s="398"/>
      <c r="K308" s="398"/>
      <c r="L308" s="398"/>
      <c r="M308" s="398"/>
      <c r="N308" s="398"/>
      <c r="O308" s="398"/>
      <c r="P308" s="398"/>
      <c r="Q308" s="398"/>
      <c r="R308" s="398"/>
      <c r="S308" s="398"/>
      <c r="T308" s="398"/>
      <c r="U308" s="398"/>
      <c r="V308" s="398"/>
      <c r="W308" s="398"/>
      <c r="X308" s="398"/>
      <c r="Y308" s="398"/>
      <c r="Z308" s="398"/>
    </row>
    <row r="309">
      <c r="A309" s="396"/>
      <c r="B309" s="397"/>
      <c r="C309" s="398"/>
      <c r="D309" s="398"/>
      <c r="E309" s="398"/>
      <c r="F309" s="398"/>
      <c r="G309" s="398"/>
      <c r="H309" s="398"/>
      <c r="I309" s="398"/>
      <c r="J309" s="398"/>
      <c r="K309" s="398"/>
      <c r="L309" s="398"/>
      <c r="M309" s="398"/>
      <c r="N309" s="398"/>
      <c r="O309" s="398"/>
      <c r="P309" s="398"/>
      <c r="Q309" s="398"/>
      <c r="R309" s="398"/>
      <c r="S309" s="398"/>
      <c r="T309" s="398"/>
      <c r="U309" s="398"/>
      <c r="V309" s="398"/>
      <c r="W309" s="398"/>
      <c r="X309" s="398"/>
      <c r="Y309" s="398"/>
      <c r="Z309" s="398"/>
    </row>
    <row r="310">
      <c r="A310" s="396"/>
      <c r="B310" s="397"/>
      <c r="C310" s="398"/>
      <c r="D310" s="398"/>
      <c r="E310" s="398"/>
      <c r="F310" s="398"/>
      <c r="G310" s="398"/>
      <c r="H310" s="398"/>
      <c r="I310" s="398"/>
      <c r="J310" s="398"/>
      <c r="K310" s="398"/>
      <c r="L310" s="398"/>
      <c r="M310" s="398"/>
      <c r="N310" s="398"/>
      <c r="O310" s="398"/>
      <c r="P310" s="398"/>
      <c r="Q310" s="398"/>
      <c r="R310" s="398"/>
      <c r="S310" s="398"/>
      <c r="T310" s="398"/>
      <c r="U310" s="398"/>
      <c r="V310" s="398"/>
      <c r="W310" s="398"/>
      <c r="X310" s="398"/>
      <c r="Y310" s="398"/>
      <c r="Z310" s="398"/>
    </row>
    <row r="311">
      <c r="A311" s="396"/>
      <c r="B311" s="397"/>
      <c r="C311" s="398"/>
      <c r="D311" s="398"/>
      <c r="E311" s="398"/>
      <c r="F311" s="398"/>
      <c r="G311" s="398"/>
      <c r="H311" s="398"/>
      <c r="I311" s="398"/>
      <c r="J311" s="398"/>
      <c r="K311" s="398"/>
      <c r="L311" s="398"/>
      <c r="M311" s="398"/>
      <c r="N311" s="398"/>
      <c r="O311" s="398"/>
      <c r="P311" s="398"/>
      <c r="Q311" s="398"/>
      <c r="R311" s="398"/>
      <c r="S311" s="398"/>
      <c r="T311" s="398"/>
      <c r="U311" s="398"/>
      <c r="V311" s="398"/>
      <c r="W311" s="398"/>
      <c r="X311" s="398"/>
      <c r="Y311" s="398"/>
      <c r="Z311" s="398"/>
    </row>
    <row r="312">
      <c r="A312" s="396"/>
      <c r="B312" s="397"/>
      <c r="C312" s="398"/>
      <c r="D312" s="398"/>
      <c r="E312" s="398"/>
      <c r="F312" s="398"/>
      <c r="G312" s="398"/>
      <c r="H312" s="398"/>
      <c r="I312" s="398"/>
      <c r="J312" s="398"/>
      <c r="K312" s="398"/>
      <c r="L312" s="398"/>
      <c r="M312" s="398"/>
      <c r="N312" s="398"/>
      <c r="O312" s="398"/>
      <c r="P312" s="398"/>
      <c r="Q312" s="398"/>
      <c r="R312" s="398"/>
      <c r="S312" s="398"/>
      <c r="T312" s="398"/>
      <c r="U312" s="398"/>
      <c r="V312" s="398"/>
      <c r="W312" s="398"/>
      <c r="X312" s="398"/>
      <c r="Y312" s="398"/>
      <c r="Z312" s="398"/>
    </row>
    <row r="313">
      <c r="A313" s="396"/>
      <c r="B313" s="397"/>
      <c r="C313" s="398"/>
      <c r="D313" s="398"/>
      <c r="E313" s="398"/>
      <c r="F313" s="398"/>
      <c r="G313" s="398"/>
      <c r="H313" s="398"/>
      <c r="I313" s="398"/>
      <c r="J313" s="398"/>
      <c r="K313" s="398"/>
      <c r="L313" s="398"/>
      <c r="M313" s="398"/>
      <c r="N313" s="398"/>
      <c r="O313" s="398"/>
      <c r="P313" s="398"/>
      <c r="Q313" s="398"/>
      <c r="R313" s="398"/>
      <c r="S313" s="398"/>
      <c r="T313" s="398"/>
      <c r="U313" s="398"/>
      <c r="V313" s="398"/>
      <c r="W313" s="398"/>
      <c r="X313" s="398"/>
      <c r="Y313" s="398"/>
      <c r="Z313" s="398"/>
    </row>
    <row r="314">
      <c r="A314" s="396"/>
      <c r="B314" s="397"/>
      <c r="C314" s="398"/>
      <c r="D314" s="398"/>
      <c r="E314" s="398"/>
      <c r="F314" s="398"/>
      <c r="G314" s="398"/>
      <c r="H314" s="398"/>
      <c r="I314" s="398"/>
      <c r="J314" s="398"/>
      <c r="K314" s="398"/>
      <c r="L314" s="398"/>
      <c r="M314" s="398"/>
      <c r="N314" s="398"/>
      <c r="O314" s="398"/>
      <c r="P314" s="398"/>
      <c r="Q314" s="398"/>
      <c r="R314" s="398"/>
      <c r="S314" s="398"/>
      <c r="T314" s="398"/>
      <c r="U314" s="398"/>
      <c r="V314" s="398"/>
      <c r="W314" s="398"/>
      <c r="X314" s="398"/>
      <c r="Y314" s="398"/>
      <c r="Z314" s="398"/>
    </row>
    <row r="315">
      <c r="A315" s="396"/>
      <c r="B315" s="397"/>
      <c r="C315" s="398"/>
      <c r="D315" s="398"/>
      <c r="E315" s="398"/>
      <c r="F315" s="398"/>
      <c r="G315" s="398"/>
      <c r="H315" s="398"/>
      <c r="I315" s="398"/>
      <c r="J315" s="398"/>
      <c r="K315" s="398"/>
      <c r="L315" s="398"/>
      <c r="M315" s="398"/>
      <c r="N315" s="398"/>
      <c r="O315" s="398"/>
      <c r="P315" s="398"/>
      <c r="Q315" s="398"/>
      <c r="R315" s="398"/>
      <c r="S315" s="398"/>
      <c r="T315" s="398"/>
      <c r="U315" s="398"/>
      <c r="V315" s="398"/>
      <c r="W315" s="398"/>
      <c r="X315" s="398"/>
      <c r="Y315" s="398"/>
      <c r="Z315" s="398"/>
    </row>
    <row r="316">
      <c r="A316" s="396"/>
      <c r="B316" s="397"/>
      <c r="C316" s="398"/>
      <c r="D316" s="398"/>
      <c r="E316" s="398"/>
      <c r="F316" s="398"/>
      <c r="G316" s="398"/>
      <c r="H316" s="398"/>
      <c r="I316" s="398"/>
      <c r="J316" s="398"/>
      <c r="K316" s="398"/>
      <c r="L316" s="398"/>
      <c r="M316" s="398"/>
      <c r="N316" s="398"/>
      <c r="O316" s="398"/>
      <c r="P316" s="398"/>
      <c r="Q316" s="398"/>
      <c r="R316" s="398"/>
      <c r="S316" s="398"/>
      <c r="T316" s="398"/>
      <c r="U316" s="398"/>
      <c r="V316" s="398"/>
      <c r="W316" s="398"/>
      <c r="X316" s="398"/>
      <c r="Y316" s="398"/>
      <c r="Z316" s="398"/>
    </row>
    <row r="317">
      <c r="A317" s="396"/>
      <c r="B317" s="397"/>
      <c r="C317" s="398"/>
      <c r="D317" s="398"/>
      <c r="E317" s="398"/>
      <c r="F317" s="398"/>
      <c r="G317" s="398"/>
      <c r="H317" s="398"/>
      <c r="I317" s="398"/>
      <c r="J317" s="398"/>
      <c r="K317" s="398"/>
      <c r="L317" s="398"/>
      <c r="M317" s="398"/>
      <c r="N317" s="398"/>
      <c r="O317" s="398"/>
      <c r="P317" s="398"/>
      <c r="Q317" s="398"/>
      <c r="R317" s="398"/>
      <c r="S317" s="398"/>
      <c r="T317" s="398"/>
      <c r="U317" s="398"/>
      <c r="V317" s="398"/>
      <c r="W317" s="398"/>
      <c r="X317" s="398"/>
      <c r="Y317" s="398"/>
      <c r="Z317" s="398"/>
    </row>
    <row r="318">
      <c r="A318" s="396"/>
      <c r="B318" s="397"/>
      <c r="C318" s="398"/>
      <c r="D318" s="398"/>
      <c r="E318" s="398"/>
      <c r="F318" s="398"/>
      <c r="G318" s="398"/>
      <c r="H318" s="398"/>
      <c r="I318" s="398"/>
      <c r="J318" s="398"/>
      <c r="K318" s="398"/>
      <c r="L318" s="398"/>
      <c r="M318" s="398"/>
      <c r="N318" s="398"/>
      <c r="O318" s="398"/>
      <c r="P318" s="398"/>
      <c r="Q318" s="398"/>
      <c r="R318" s="398"/>
      <c r="S318" s="398"/>
      <c r="T318" s="398"/>
      <c r="U318" s="398"/>
      <c r="V318" s="398"/>
      <c r="W318" s="398"/>
      <c r="X318" s="398"/>
      <c r="Y318" s="398"/>
      <c r="Z318" s="398"/>
    </row>
    <row r="319">
      <c r="A319" s="396"/>
      <c r="B319" s="397"/>
      <c r="C319" s="398"/>
      <c r="D319" s="398"/>
      <c r="E319" s="398"/>
      <c r="F319" s="398"/>
      <c r="G319" s="398"/>
      <c r="H319" s="398"/>
      <c r="I319" s="398"/>
      <c r="J319" s="398"/>
      <c r="K319" s="398"/>
      <c r="L319" s="398"/>
      <c r="M319" s="398"/>
      <c r="N319" s="398"/>
      <c r="O319" s="398"/>
      <c r="P319" s="398"/>
      <c r="Q319" s="398"/>
      <c r="R319" s="398"/>
      <c r="S319" s="398"/>
      <c r="T319" s="398"/>
      <c r="U319" s="398"/>
      <c r="V319" s="398"/>
      <c r="W319" s="398"/>
      <c r="X319" s="398"/>
      <c r="Y319" s="398"/>
      <c r="Z319" s="398"/>
    </row>
    <row r="320">
      <c r="A320" s="396"/>
      <c r="B320" s="397"/>
      <c r="C320" s="398"/>
      <c r="D320" s="398"/>
      <c r="E320" s="398"/>
      <c r="F320" s="398"/>
      <c r="G320" s="398"/>
      <c r="H320" s="398"/>
      <c r="I320" s="398"/>
      <c r="J320" s="398"/>
      <c r="K320" s="398"/>
      <c r="L320" s="398"/>
      <c r="M320" s="398"/>
      <c r="N320" s="398"/>
      <c r="O320" s="398"/>
      <c r="P320" s="398"/>
      <c r="Q320" s="398"/>
      <c r="R320" s="398"/>
      <c r="S320" s="398"/>
      <c r="T320" s="398"/>
      <c r="U320" s="398"/>
      <c r="V320" s="398"/>
      <c r="W320" s="398"/>
      <c r="X320" s="398"/>
      <c r="Y320" s="398"/>
      <c r="Z320" s="398"/>
    </row>
    <row r="321">
      <c r="A321" s="396"/>
      <c r="B321" s="397"/>
      <c r="C321" s="398"/>
      <c r="D321" s="398"/>
      <c r="E321" s="398"/>
      <c r="F321" s="398"/>
      <c r="G321" s="398"/>
      <c r="H321" s="398"/>
      <c r="I321" s="398"/>
      <c r="J321" s="398"/>
      <c r="K321" s="398"/>
      <c r="L321" s="398"/>
      <c r="M321" s="398"/>
      <c r="N321" s="398"/>
      <c r="O321" s="398"/>
      <c r="P321" s="398"/>
      <c r="Q321" s="398"/>
      <c r="R321" s="398"/>
      <c r="S321" s="398"/>
      <c r="T321" s="398"/>
      <c r="U321" s="398"/>
      <c r="V321" s="398"/>
      <c r="W321" s="398"/>
      <c r="X321" s="398"/>
      <c r="Y321" s="398"/>
      <c r="Z321" s="398"/>
    </row>
    <row r="322">
      <c r="A322" s="396"/>
      <c r="B322" s="397"/>
      <c r="C322" s="398"/>
      <c r="D322" s="398"/>
      <c r="E322" s="398"/>
      <c r="F322" s="398"/>
      <c r="G322" s="398"/>
      <c r="H322" s="398"/>
      <c r="I322" s="398"/>
      <c r="J322" s="398"/>
      <c r="K322" s="398"/>
      <c r="L322" s="398"/>
      <c r="M322" s="398"/>
      <c r="N322" s="398"/>
      <c r="O322" s="398"/>
      <c r="P322" s="398"/>
      <c r="Q322" s="398"/>
      <c r="R322" s="398"/>
      <c r="S322" s="398"/>
      <c r="T322" s="398"/>
      <c r="U322" s="398"/>
      <c r="V322" s="398"/>
      <c r="W322" s="398"/>
      <c r="X322" s="398"/>
      <c r="Y322" s="398"/>
      <c r="Z322" s="398"/>
    </row>
    <row r="323">
      <c r="A323" s="396"/>
      <c r="B323" s="397"/>
      <c r="C323" s="398"/>
      <c r="D323" s="398"/>
      <c r="E323" s="398"/>
      <c r="F323" s="398"/>
      <c r="G323" s="398"/>
      <c r="H323" s="398"/>
      <c r="I323" s="398"/>
      <c r="J323" s="398"/>
      <c r="K323" s="398"/>
      <c r="L323" s="398"/>
      <c r="M323" s="398"/>
      <c r="N323" s="398"/>
      <c r="O323" s="398"/>
      <c r="P323" s="398"/>
      <c r="Q323" s="398"/>
      <c r="R323" s="398"/>
      <c r="S323" s="398"/>
      <c r="T323" s="398"/>
      <c r="U323" s="398"/>
      <c r="V323" s="398"/>
      <c r="W323" s="398"/>
      <c r="X323" s="398"/>
      <c r="Y323" s="398"/>
      <c r="Z323" s="398"/>
    </row>
    <row r="324">
      <c r="A324" s="396"/>
      <c r="B324" s="397"/>
      <c r="C324" s="398"/>
      <c r="D324" s="398"/>
      <c r="E324" s="398"/>
      <c r="F324" s="398"/>
      <c r="G324" s="398"/>
      <c r="H324" s="398"/>
      <c r="I324" s="398"/>
      <c r="J324" s="398"/>
      <c r="K324" s="398"/>
      <c r="L324" s="398"/>
      <c r="M324" s="398"/>
      <c r="N324" s="398"/>
      <c r="O324" s="398"/>
      <c r="P324" s="398"/>
      <c r="Q324" s="398"/>
      <c r="R324" s="398"/>
      <c r="S324" s="398"/>
      <c r="T324" s="398"/>
      <c r="U324" s="398"/>
      <c r="V324" s="398"/>
      <c r="W324" s="398"/>
      <c r="X324" s="398"/>
      <c r="Y324" s="398"/>
      <c r="Z324" s="398"/>
    </row>
    <row r="325">
      <c r="A325" s="396"/>
      <c r="B325" s="397"/>
      <c r="C325" s="398"/>
      <c r="D325" s="398"/>
      <c r="E325" s="398"/>
      <c r="F325" s="398"/>
      <c r="G325" s="398"/>
      <c r="H325" s="398"/>
      <c r="I325" s="398"/>
      <c r="J325" s="398"/>
      <c r="K325" s="398"/>
      <c r="L325" s="398"/>
      <c r="M325" s="398"/>
      <c r="N325" s="398"/>
      <c r="O325" s="398"/>
      <c r="P325" s="398"/>
      <c r="Q325" s="398"/>
      <c r="R325" s="398"/>
      <c r="S325" s="398"/>
      <c r="T325" s="398"/>
      <c r="U325" s="398"/>
      <c r="V325" s="398"/>
      <c r="W325" s="398"/>
      <c r="X325" s="398"/>
      <c r="Y325" s="398"/>
      <c r="Z325" s="398"/>
    </row>
    <row r="326">
      <c r="A326" s="396"/>
      <c r="B326" s="397"/>
      <c r="C326" s="398"/>
      <c r="D326" s="398"/>
      <c r="E326" s="398"/>
      <c r="F326" s="398"/>
      <c r="G326" s="398"/>
      <c r="H326" s="398"/>
      <c r="I326" s="398"/>
      <c r="J326" s="398"/>
      <c r="K326" s="398"/>
      <c r="L326" s="398"/>
      <c r="M326" s="398"/>
      <c r="N326" s="398"/>
      <c r="O326" s="398"/>
      <c r="P326" s="398"/>
      <c r="Q326" s="398"/>
      <c r="R326" s="398"/>
      <c r="S326" s="398"/>
      <c r="T326" s="398"/>
      <c r="U326" s="398"/>
      <c r="V326" s="398"/>
      <c r="W326" s="398"/>
      <c r="X326" s="398"/>
      <c r="Y326" s="398"/>
      <c r="Z326" s="398"/>
    </row>
    <row r="327">
      <c r="A327" s="396"/>
      <c r="B327" s="397"/>
      <c r="C327" s="398"/>
      <c r="D327" s="398"/>
      <c r="E327" s="398"/>
      <c r="F327" s="398"/>
      <c r="G327" s="398"/>
      <c r="H327" s="398"/>
      <c r="I327" s="398"/>
      <c r="J327" s="398"/>
      <c r="K327" s="398"/>
      <c r="L327" s="398"/>
      <c r="M327" s="398"/>
      <c r="N327" s="398"/>
      <c r="O327" s="398"/>
      <c r="P327" s="398"/>
      <c r="Q327" s="398"/>
      <c r="R327" s="398"/>
      <c r="S327" s="398"/>
      <c r="T327" s="398"/>
      <c r="U327" s="398"/>
      <c r="V327" s="398"/>
      <c r="W327" s="398"/>
      <c r="X327" s="398"/>
      <c r="Y327" s="398"/>
      <c r="Z327" s="398"/>
    </row>
    <row r="328">
      <c r="A328" s="396"/>
      <c r="B328" s="397"/>
      <c r="C328" s="398"/>
      <c r="D328" s="398"/>
      <c r="E328" s="398"/>
      <c r="F328" s="398"/>
      <c r="G328" s="398"/>
      <c r="H328" s="398"/>
      <c r="I328" s="398"/>
      <c r="J328" s="398"/>
      <c r="K328" s="398"/>
      <c r="L328" s="398"/>
      <c r="M328" s="398"/>
      <c r="N328" s="398"/>
      <c r="O328" s="398"/>
      <c r="P328" s="398"/>
      <c r="Q328" s="398"/>
      <c r="R328" s="398"/>
      <c r="S328" s="398"/>
      <c r="T328" s="398"/>
      <c r="U328" s="398"/>
      <c r="V328" s="398"/>
      <c r="W328" s="398"/>
      <c r="X328" s="398"/>
      <c r="Y328" s="398"/>
      <c r="Z328" s="398"/>
    </row>
    <row r="329">
      <c r="A329" s="396"/>
      <c r="B329" s="397"/>
      <c r="C329" s="398"/>
      <c r="D329" s="398"/>
      <c r="E329" s="398"/>
      <c r="F329" s="398"/>
      <c r="G329" s="398"/>
      <c r="H329" s="398"/>
      <c r="I329" s="398"/>
      <c r="J329" s="398"/>
      <c r="K329" s="398"/>
      <c r="L329" s="398"/>
      <c r="M329" s="398"/>
      <c r="N329" s="398"/>
      <c r="O329" s="398"/>
      <c r="P329" s="398"/>
      <c r="Q329" s="398"/>
      <c r="R329" s="398"/>
      <c r="S329" s="398"/>
      <c r="T329" s="398"/>
      <c r="U329" s="398"/>
      <c r="V329" s="398"/>
      <c r="W329" s="398"/>
      <c r="X329" s="398"/>
      <c r="Y329" s="398"/>
      <c r="Z329" s="398"/>
    </row>
    <row r="330">
      <c r="A330" s="396"/>
      <c r="B330" s="397"/>
      <c r="C330" s="398"/>
      <c r="D330" s="398"/>
      <c r="E330" s="398"/>
      <c r="F330" s="398"/>
      <c r="G330" s="398"/>
      <c r="H330" s="398"/>
      <c r="I330" s="398"/>
      <c r="J330" s="398"/>
      <c r="K330" s="398"/>
      <c r="L330" s="398"/>
      <c r="M330" s="398"/>
      <c r="N330" s="398"/>
      <c r="O330" s="398"/>
      <c r="P330" s="398"/>
      <c r="Q330" s="398"/>
      <c r="R330" s="398"/>
      <c r="S330" s="398"/>
      <c r="T330" s="398"/>
      <c r="U330" s="398"/>
      <c r="V330" s="398"/>
      <c r="W330" s="398"/>
      <c r="X330" s="398"/>
      <c r="Y330" s="398"/>
      <c r="Z330" s="398"/>
    </row>
    <row r="331">
      <c r="A331" s="396"/>
      <c r="B331" s="397"/>
      <c r="C331" s="398"/>
      <c r="D331" s="398"/>
      <c r="E331" s="398"/>
      <c r="F331" s="398"/>
      <c r="G331" s="398"/>
      <c r="H331" s="398"/>
      <c r="I331" s="398"/>
      <c r="J331" s="398"/>
      <c r="K331" s="398"/>
      <c r="L331" s="398"/>
      <c r="M331" s="398"/>
      <c r="N331" s="398"/>
      <c r="O331" s="398"/>
      <c r="P331" s="398"/>
      <c r="Q331" s="398"/>
      <c r="R331" s="398"/>
      <c r="S331" s="398"/>
      <c r="T331" s="398"/>
      <c r="U331" s="398"/>
      <c r="V331" s="398"/>
      <c r="W331" s="398"/>
      <c r="X331" s="398"/>
      <c r="Y331" s="398"/>
      <c r="Z331" s="398"/>
    </row>
    <row r="332">
      <c r="A332" s="396"/>
      <c r="B332" s="397"/>
      <c r="C332" s="398"/>
      <c r="D332" s="398"/>
      <c r="E332" s="398"/>
      <c r="F332" s="398"/>
      <c r="G332" s="398"/>
      <c r="H332" s="398"/>
      <c r="I332" s="398"/>
      <c r="J332" s="398"/>
      <c r="K332" s="398"/>
      <c r="L332" s="398"/>
      <c r="M332" s="398"/>
      <c r="N332" s="398"/>
      <c r="O332" s="398"/>
      <c r="P332" s="398"/>
      <c r="Q332" s="398"/>
      <c r="R332" s="398"/>
      <c r="S332" s="398"/>
      <c r="T332" s="398"/>
      <c r="U332" s="398"/>
      <c r="V332" s="398"/>
      <c r="W332" s="398"/>
      <c r="X332" s="398"/>
      <c r="Y332" s="398"/>
      <c r="Z332" s="398"/>
    </row>
    <row r="333">
      <c r="A333" s="396"/>
      <c r="B333" s="397"/>
      <c r="C333" s="398"/>
      <c r="D333" s="398"/>
      <c r="E333" s="398"/>
      <c r="F333" s="398"/>
      <c r="G333" s="398"/>
      <c r="H333" s="398"/>
      <c r="I333" s="398"/>
      <c r="J333" s="398"/>
      <c r="K333" s="398"/>
      <c r="L333" s="398"/>
      <c r="M333" s="398"/>
      <c r="N333" s="398"/>
      <c r="O333" s="398"/>
      <c r="P333" s="398"/>
      <c r="Q333" s="398"/>
      <c r="R333" s="398"/>
      <c r="S333" s="398"/>
      <c r="T333" s="398"/>
      <c r="U333" s="398"/>
      <c r="V333" s="398"/>
      <c r="W333" s="398"/>
      <c r="X333" s="398"/>
      <c r="Y333" s="398"/>
      <c r="Z333" s="398"/>
    </row>
    <row r="334">
      <c r="A334" s="396"/>
      <c r="B334" s="397"/>
      <c r="C334" s="398"/>
      <c r="D334" s="398"/>
      <c r="E334" s="398"/>
      <c r="F334" s="398"/>
      <c r="G334" s="398"/>
      <c r="H334" s="398"/>
      <c r="I334" s="398"/>
      <c r="J334" s="398"/>
      <c r="K334" s="398"/>
      <c r="L334" s="398"/>
      <c r="M334" s="398"/>
      <c r="N334" s="398"/>
      <c r="O334" s="398"/>
      <c r="P334" s="398"/>
      <c r="Q334" s="398"/>
      <c r="R334" s="398"/>
      <c r="S334" s="398"/>
      <c r="T334" s="398"/>
      <c r="U334" s="398"/>
      <c r="V334" s="398"/>
      <c r="W334" s="398"/>
      <c r="X334" s="398"/>
      <c r="Y334" s="398"/>
      <c r="Z334" s="398"/>
    </row>
    <row r="335">
      <c r="A335" s="396"/>
      <c r="B335" s="397"/>
      <c r="C335" s="398"/>
      <c r="D335" s="398"/>
      <c r="E335" s="398"/>
      <c r="F335" s="398"/>
      <c r="G335" s="398"/>
      <c r="H335" s="398"/>
      <c r="I335" s="398"/>
      <c r="J335" s="398"/>
      <c r="K335" s="398"/>
      <c r="L335" s="398"/>
      <c r="M335" s="398"/>
      <c r="N335" s="398"/>
      <c r="O335" s="398"/>
      <c r="P335" s="398"/>
      <c r="Q335" s="398"/>
      <c r="R335" s="398"/>
      <c r="S335" s="398"/>
      <c r="T335" s="398"/>
      <c r="U335" s="398"/>
      <c r="V335" s="398"/>
      <c r="W335" s="398"/>
      <c r="X335" s="398"/>
      <c r="Y335" s="398"/>
      <c r="Z335" s="398"/>
    </row>
    <row r="336">
      <c r="A336" s="396"/>
      <c r="B336" s="397"/>
      <c r="C336" s="398"/>
      <c r="D336" s="398"/>
      <c r="E336" s="398"/>
      <c r="F336" s="398"/>
      <c r="G336" s="398"/>
      <c r="H336" s="398"/>
      <c r="I336" s="398"/>
      <c r="J336" s="398"/>
      <c r="K336" s="398"/>
      <c r="L336" s="398"/>
      <c r="M336" s="398"/>
      <c r="N336" s="398"/>
      <c r="O336" s="398"/>
      <c r="P336" s="398"/>
      <c r="Q336" s="398"/>
      <c r="R336" s="398"/>
      <c r="S336" s="398"/>
      <c r="T336" s="398"/>
      <c r="U336" s="398"/>
      <c r="V336" s="398"/>
      <c r="W336" s="398"/>
      <c r="X336" s="398"/>
      <c r="Y336" s="398"/>
      <c r="Z336" s="398"/>
    </row>
    <row r="337">
      <c r="A337" s="396"/>
      <c r="B337" s="397"/>
      <c r="C337" s="398"/>
      <c r="D337" s="398"/>
      <c r="E337" s="398"/>
      <c r="F337" s="398"/>
      <c r="G337" s="398"/>
      <c r="H337" s="398"/>
      <c r="I337" s="398"/>
      <c r="J337" s="398"/>
      <c r="K337" s="398"/>
      <c r="L337" s="398"/>
      <c r="M337" s="398"/>
      <c r="N337" s="398"/>
      <c r="O337" s="398"/>
      <c r="P337" s="398"/>
      <c r="Q337" s="398"/>
      <c r="R337" s="398"/>
      <c r="S337" s="398"/>
      <c r="T337" s="398"/>
      <c r="U337" s="398"/>
      <c r="V337" s="398"/>
      <c r="W337" s="398"/>
      <c r="X337" s="398"/>
      <c r="Y337" s="398"/>
      <c r="Z337" s="398"/>
    </row>
    <row r="338">
      <c r="A338" s="396"/>
      <c r="B338" s="397"/>
      <c r="C338" s="398"/>
      <c r="D338" s="398"/>
      <c r="E338" s="398"/>
      <c r="F338" s="398"/>
      <c r="G338" s="398"/>
      <c r="H338" s="398"/>
      <c r="I338" s="398"/>
      <c r="J338" s="398"/>
      <c r="K338" s="398"/>
      <c r="L338" s="398"/>
      <c r="M338" s="398"/>
      <c r="N338" s="398"/>
      <c r="O338" s="398"/>
      <c r="P338" s="398"/>
      <c r="Q338" s="398"/>
      <c r="R338" s="398"/>
      <c r="S338" s="398"/>
      <c r="T338" s="398"/>
      <c r="U338" s="398"/>
      <c r="V338" s="398"/>
      <c r="W338" s="398"/>
      <c r="X338" s="398"/>
      <c r="Y338" s="398"/>
      <c r="Z338" s="398"/>
    </row>
    <row r="339">
      <c r="A339" s="396"/>
      <c r="B339" s="397"/>
      <c r="C339" s="398"/>
      <c r="D339" s="398"/>
      <c r="E339" s="398"/>
      <c r="F339" s="398"/>
      <c r="G339" s="398"/>
      <c r="H339" s="398"/>
      <c r="I339" s="398"/>
      <c r="J339" s="398"/>
      <c r="K339" s="398"/>
      <c r="L339" s="398"/>
      <c r="M339" s="398"/>
      <c r="N339" s="398"/>
      <c r="O339" s="398"/>
      <c r="P339" s="398"/>
      <c r="Q339" s="398"/>
      <c r="R339" s="398"/>
      <c r="S339" s="398"/>
      <c r="T339" s="398"/>
      <c r="U339" s="398"/>
      <c r="V339" s="398"/>
      <c r="W339" s="398"/>
      <c r="X339" s="398"/>
      <c r="Y339" s="398"/>
      <c r="Z339" s="398"/>
    </row>
    <row r="340">
      <c r="A340" s="396"/>
      <c r="B340" s="397"/>
      <c r="C340" s="398"/>
      <c r="D340" s="398"/>
      <c r="E340" s="398"/>
      <c r="F340" s="398"/>
      <c r="G340" s="398"/>
      <c r="H340" s="398"/>
      <c r="I340" s="398"/>
      <c r="J340" s="398"/>
      <c r="K340" s="398"/>
      <c r="L340" s="398"/>
      <c r="M340" s="398"/>
      <c r="N340" s="398"/>
      <c r="O340" s="398"/>
      <c r="P340" s="398"/>
      <c r="Q340" s="398"/>
      <c r="R340" s="398"/>
      <c r="S340" s="398"/>
      <c r="T340" s="398"/>
      <c r="U340" s="398"/>
      <c r="V340" s="398"/>
      <c r="W340" s="398"/>
      <c r="X340" s="398"/>
      <c r="Y340" s="398"/>
      <c r="Z340" s="398"/>
    </row>
    <row r="341">
      <c r="A341" s="396"/>
      <c r="B341" s="397"/>
      <c r="C341" s="398"/>
      <c r="D341" s="398"/>
      <c r="E341" s="398"/>
      <c r="F341" s="398"/>
      <c r="G341" s="398"/>
      <c r="H341" s="398"/>
      <c r="I341" s="398"/>
      <c r="J341" s="398"/>
      <c r="K341" s="398"/>
      <c r="L341" s="398"/>
      <c r="M341" s="398"/>
      <c r="N341" s="398"/>
      <c r="O341" s="398"/>
      <c r="P341" s="398"/>
      <c r="Q341" s="398"/>
      <c r="R341" s="398"/>
      <c r="S341" s="398"/>
      <c r="T341" s="398"/>
      <c r="U341" s="398"/>
      <c r="V341" s="398"/>
      <c r="W341" s="398"/>
      <c r="X341" s="398"/>
      <c r="Y341" s="398"/>
      <c r="Z341" s="398"/>
    </row>
    <row r="342">
      <c r="A342" s="396"/>
      <c r="B342" s="397"/>
      <c r="C342" s="398"/>
      <c r="D342" s="398"/>
      <c r="E342" s="398"/>
      <c r="F342" s="398"/>
      <c r="G342" s="398"/>
      <c r="H342" s="398"/>
      <c r="I342" s="398"/>
      <c r="J342" s="398"/>
      <c r="K342" s="398"/>
      <c r="L342" s="398"/>
      <c r="M342" s="398"/>
      <c r="N342" s="398"/>
      <c r="O342" s="398"/>
      <c r="P342" s="398"/>
      <c r="Q342" s="398"/>
      <c r="R342" s="398"/>
      <c r="S342" s="398"/>
      <c r="T342" s="398"/>
      <c r="U342" s="398"/>
      <c r="V342" s="398"/>
      <c r="W342" s="398"/>
      <c r="X342" s="398"/>
      <c r="Y342" s="398"/>
      <c r="Z342" s="398"/>
    </row>
    <row r="343">
      <c r="A343" s="396"/>
      <c r="B343" s="397"/>
      <c r="C343" s="398"/>
      <c r="D343" s="398"/>
      <c r="E343" s="398"/>
      <c r="F343" s="398"/>
      <c r="G343" s="398"/>
      <c r="H343" s="398"/>
      <c r="I343" s="398"/>
      <c r="J343" s="398"/>
      <c r="K343" s="398"/>
      <c r="L343" s="398"/>
      <c r="M343" s="398"/>
      <c r="N343" s="398"/>
      <c r="O343" s="398"/>
      <c r="P343" s="398"/>
      <c r="Q343" s="398"/>
      <c r="R343" s="398"/>
      <c r="S343" s="398"/>
      <c r="T343" s="398"/>
      <c r="U343" s="398"/>
      <c r="V343" s="398"/>
      <c r="W343" s="398"/>
      <c r="X343" s="398"/>
      <c r="Y343" s="398"/>
      <c r="Z343" s="398"/>
    </row>
    <row r="344">
      <c r="A344" s="396"/>
      <c r="B344" s="397"/>
      <c r="C344" s="398"/>
      <c r="D344" s="398"/>
      <c r="E344" s="398"/>
      <c r="F344" s="398"/>
      <c r="G344" s="398"/>
      <c r="H344" s="398"/>
      <c r="I344" s="398"/>
      <c r="J344" s="398"/>
      <c r="K344" s="398"/>
      <c r="L344" s="398"/>
      <c r="M344" s="398"/>
      <c r="N344" s="398"/>
      <c r="O344" s="398"/>
      <c r="P344" s="398"/>
      <c r="Q344" s="398"/>
      <c r="R344" s="398"/>
      <c r="S344" s="398"/>
      <c r="T344" s="398"/>
      <c r="U344" s="398"/>
      <c r="V344" s="398"/>
      <c r="W344" s="398"/>
      <c r="X344" s="398"/>
      <c r="Y344" s="398"/>
      <c r="Z344" s="398"/>
    </row>
    <row r="345">
      <c r="A345" s="396"/>
      <c r="B345" s="397"/>
      <c r="C345" s="398"/>
      <c r="D345" s="398"/>
      <c r="E345" s="398"/>
      <c r="F345" s="398"/>
      <c r="G345" s="398"/>
      <c r="H345" s="398"/>
      <c r="I345" s="398"/>
      <c r="J345" s="398"/>
      <c r="K345" s="398"/>
      <c r="L345" s="398"/>
      <c r="M345" s="398"/>
      <c r="N345" s="398"/>
      <c r="O345" s="398"/>
      <c r="P345" s="398"/>
      <c r="Q345" s="398"/>
      <c r="R345" s="398"/>
      <c r="S345" s="398"/>
      <c r="T345" s="398"/>
      <c r="U345" s="398"/>
      <c r="V345" s="398"/>
      <c r="W345" s="398"/>
      <c r="X345" s="398"/>
      <c r="Y345" s="398"/>
      <c r="Z345" s="398"/>
    </row>
    <row r="346">
      <c r="A346" s="396"/>
      <c r="B346" s="397"/>
      <c r="C346" s="398"/>
      <c r="D346" s="398"/>
      <c r="E346" s="398"/>
      <c r="F346" s="398"/>
      <c r="G346" s="398"/>
      <c r="H346" s="398"/>
      <c r="I346" s="398"/>
      <c r="J346" s="398"/>
      <c r="K346" s="398"/>
      <c r="L346" s="398"/>
      <c r="M346" s="398"/>
      <c r="N346" s="398"/>
      <c r="O346" s="398"/>
      <c r="P346" s="398"/>
      <c r="Q346" s="398"/>
      <c r="R346" s="398"/>
      <c r="S346" s="398"/>
      <c r="T346" s="398"/>
      <c r="U346" s="398"/>
      <c r="V346" s="398"/>
      <c r="W346" s="398"/>
      <c r="X346" s="398"/>
      <c r="Y346" s="398"/>
      <c r="Z346" s="398"/>
    </row>
    <row r="347">
      <c r="A347" s="396"/>
      <c r="B347" s="397"/>
      <c r="C347" s="398"/>
      <c r="D347" s="398"/>
      <c r="E347" s="398"/>
      <c r="F347" s="398"/>
      <c r="G347" s="398"/>
      <c r="H347" s="398"/>
      <c r="I347" s="398"/>
      <c r="J347" s="398"/>
      <c r="K347" s="398"/>
      <c r="L347" s="398"/>
      <c r="M347" s="398"/>
      <c r="N347" s="398"/>
      <c r="O347" s="398"/>
      <c r="P347" s="398"/>
      <c r="Q347" s="398"/>
      <c r="R347" s="398"/>
      <c r="S347" s="398"/>
      <c r="T347" s="398"/>
      <c r="U347" s="398"/>
      <c r="V347" s="398"/>
      <c r="W347" s="398"/>
      <c r="X347" s="398"/>
      <c r="Y347" s="398"/>
      <c r="Z347" s="398"/>
    </row>
    <row r="348">
      <c r="A348" s="396"/>
      <c r="B348" s="397"/>
      <c r="C348" s="398"/>
      <c r="D348" s="398"/>
      <c r="E348" s="398"/>
      <c r="F348" s="398"/>
      <c r="G348" s="398"/>
      <c r="H348" s="398"/>
      <c r="I348" s="398"/>
      <c r="J348" s="398"/>
      <c r="K348" s="398"/>
      <c r="L348" s="398"/>
      <c r="M348" s="398"/>
      <c r="N348" s="398"/>
      <c r="O348" s="398"/>
      <c r="P348" s="398"/>
      <c r="Q348" s="398"/>
      <c r="R348" s="398"/>
      <c r="S348" s="398"/>
      <c r="T348" s="398"/>
      <c r="U348" s="398"/>
      <c r="V348" s="398"/>
      <c r="W348" s="398"/>
      <c r="X348" s="398"/>
      <c r="Y348" s="398"/>
      <c r="Z348" s="398"/>
    </row>
    <row r="349">
      <c r="A349" s="396"/>
      <c r="B349" s="397"/>
      <c r="C349" s="398"/>
      <c r="D349" s="398"/>
      <c r="E349" s="398"/>
      <c r="F349" s="398"/>
      <c r="G349" s="398"/>
      <c r="H349" s="398"/>
      <c r="I349" s="398"/>
      <c r="J349" s="398"/>
      <c r="K349" s="398"/>
      <c r="L349" s="398"/>
      <c r="M349" s="398"/>
      <c r="N349" s="398"/>
      <c r="O349" s="398"/>
      <c r="P349" s="398"/>
      <c r="Q349" s="398"/>
      <c r="R349" s="398"/>
      <c r="S349" s="398"/>
      <c r="T349" s="398"/>
      <c r="U349" s="398"/>
      <c r="V349" s="398"/>
      <c r="W349" s="398"/>
      <c r="X349" s="398"/>
      <c r="Y349" s="398"/>
      <c r="Z349" s="398"/>
    </row>
    <row r="350">
      <c r="A350" s="396"/>
      <c r="B350" s="397"/>
      <c r="C350" s="398"/>
      <c r="D350" s="398"/>
      <c r="E350" s="398"/>
      <c r="F350" s="398"/>
      <c r="G350" s="398"/>
      <c r="H350" s="398"/>
      <c r="I350" s="398"/>
      <c r="J350" s="398"/>
      <c r="K350" s="398"/>
      <c r="L350" s="398"/>
      <c r="M350" s="398"/>
      <c r="N350" s="398"/>
      <c r="O350" s="398"/>
      <c r="P350" s="398"/>
      <c r="Q350" s="398"/>
      <c r="R350" s="398"/>
      <c r="S350" s="398"/>
      <c r="T350" s="398"/>
      <c r="U350" s="398"/>
      <c r="V350" s="398"/>
      <c r="W350" s="398"/>
      <c r="X350" s="398"/>
      <c r="Y350" s="398"/>
      <c r="Z350" s="398"/>
    </row>
    <row r="351">
      <c r="A351" s="396"/>
      <c r="B351" s="397"/>
      <c r="C351" s="398"/>
      <c r="D351" s="398"/>
      <c r="E351" s="398"/>
      <c r="F351" s="398"/>
      <c r="G351" s="398"/>
      <c r="H351" s="398"/>
      <c r="I351" s="398"/>
      <c r="J351" s="398"/>
      <c r="K351" s="398"/>
      <c r="L351" s="398"/>
      <c r="M351" s="398"/>
      <c r="N351" s="398"/>
      <c r="O351" s="398"/>
      <c r="P351" s="398"/>
      <c r="Q351" s="398"/>
      <c r="R351" s="398"/>
      <c r="S351" s="398"/>
      <c r="T351" s="398"/>
      <c r="U351" s="398"/>
      <c r="V351" s="398"/>
      <c r="W351" s="398"/>
      <c r="X351" s="398"/>
      <c r="Y351" s="398"/>
      <c r="Z351" s="398"/>
    </row>
    <row r="352">
      <c r="A352" s="396"/>
      <c r="B352" s="397"/>
      <c r="C352" s="398"/>
      <c r="D352" s="398"/>
      <c r="E352" s="398"/>
      <c r="F352" s="398"/>
      <c r="G352" s="398"/>
      <c r="H352" s="398"/>
      <c r="I352" s="398"/>
      <c r="J352" s="398"/>
      <c r="K352" s="398"/>
      <c r="L352" s="398"/>
      <c r="M352" s="398"/>
      <c r="N352" s="398"/>
      <c r="O352" s="398"/>
      <c r="P352" s="398"/>
      <c r="Q352" s="398"/>
      <c r="R352" s="398"/>
      <c r="S352" s="398"/>
      <c r="T352" s="398"/>
      <c r="U352" s="398"/>
      <c r="V352" s="398"/>
      <c r="W352" s="398"/>
      <c r="X352" s="398"/>
      <c r="Y352" s="398"/>
      <c r="Z352" s="398"/>
    </row>
    <row r="353">
      <c r="A353" s="396"/>
      <c r="B353" s="397"/>
      <c r="C353" s="398"/>
      <c r="D353" s="398"/>
      <c r="E353" s="398"/>
      <c r="F353" s="398"/>
      <c r="G353" s="398"/>
      <c r="H353" s="398"/>
      <c r="I353" s="398"/>
      <c r="J353" s="398"/>
      <c r="K353" s="398"/>
      <c r="L353" s="398"/>
      <c r="M353" s="398"/>
      <c r="N353" s="398"/>
      <c r="O353" s="398"/>
      <c r="P353" s="398"/>
      <c r="Q353" s="398"/>
      <c r="R353" s="398"/>
      <c r="S353" s="398"/>
      <c r="T353" s="398"/>
      <c r="U353" s="398"/>
      <c r="V353" s="398"/>
      <c r="W353" s="398"/>
      <c r="X353" s="398"/>
      <c r="Y353" s="398"/>
      <c r="Z353" s="398"/>
    </row>
    <row r="354">
      <c r="A354" s="396"/>
      <c r="B354" s="397"/>
      <c r="C354" s="398"/>
      <c r="D354" s="398"/>
      <c r="E354" s="398"/>
      <c r="F354" s="398"/>
      <c r="G354" s="398"/>
      <c r="H354" s="398"/>
      <c r="I354" s="398"/>
      <c r="J354" s="398"/>
      <c r="K354" s="398"/>
      <c r="L354" s="398"/>
      <c r="M354" s="398"/>
      <c r="N354" s="398"/>
      <c r="O354" s="398"/>
      <c r="P354" s="398"/>
      <c r="Q354" s="398"/>
      <c r="R354" s="398"/>
      <c r="S354" s="398"/>
      <c r="T354" s="398"/>
      <c r="U354" s="398"/>
      <c r="V354" s="398"/>
      <c r="W354" s="398"/>
      <c r="X354" s="398"/>
      <c r="Y354" s="398"/>
      <c r="Z354" s="398"/>
    </row>
    <row r="355">
      <c r="A355" s="396"/>
      <c r="B355" s="397"/>
      <c r="C355" s="398"/>
      <c r="D355" s="398"/>
      <c r="E355" s="398"/>
      <c r="F355" s="398"/>
      <c r="G355" s="398"/>
      <c r="H355" s="398"/>
      <c r="I355" s="398"/>
      <c r="J355" s="398"/>
      <c r="K355" s="398"/>
      <c r="L355" s="398"/>
      <c r="M355" s="398"/>
      <c r="N355" s="398"/>
      <c r="O355" s="398"/>
      <c r="P355" s="398"/>
      <c r="Q355" s="398"/>
      <c r="R355" s="398"/>
      <c r="S355" s="398"/>
      <c r="T355" s="398"/>
      <c r="U355" s="398"/>
      <c r="V355" s="398"/>
      <c r="W355" s="398"/>
      <c r="X355" s="398"/>
      <c r="Y355" s="398"/>
      <c r="Z355" s="398"/>
    </row>
    <row r="356">
      <c r="A356" s="396"/>
      <c r="B356" s="397"/>
      <c r="C356" s="398"/>
      <c r="D356" s="398"/>
      <c r="E356" s="398"/>
      <c r="F356" s="398"/>
      <c r="G356" s="398"/>
      <c r="H356" s="398"/>
      <c r="I356" s="398"/>
      <c r="J356" s="398"/>
      <c r="K356" s="398"/>
      <c r="L356" s="398"/>
      <c r="M356" s="398"/>
      <c r="N356" s="398"/>
      <c r="O356" s="398"/>
      <c r="P356" s="398"/>
      <c r="Q356" s="398"/>
      <c r="R356" s="398"/>
      <c r="S356" s="398"/>
      <c r="T356" s="398"/>
      <c r="U356" s="398"/>
      <c r="V356" s="398"/>
      <c r="W356" s="398"/>
      <c r="X356" s="398"/>
      <c r="Y356" s="398"/>
      <c r="Z356" s="398"/>
    </row>
    <row r="357">
      <c r="A357" s="396"/>
      <c r="B357" s="397"/>
      <c r="C357" s="398"/>
      <c r="D357" s="398"/>
      <c r="E357" s="398"/>
      <c r="F357" s="398"/>
      <c r="G357" s="398"/>
      <c r="H357" s="398"/>
      <c r="I357" s="398"/>
      <c r="J357" s="398"/>
      <c r="K357" s="398"/>
      <c r="L357" s="398"/>
      <c r="M357" s="398"/>
      <c r="N357" s="398"/>
      <c r="O357" s="398"/>
      <c r="P357" s="398"/>
      <c r="Q357" s="398"/>
      <c r="R357" s="398"/>
      <c r="S357" s="398"/>
      <c r="T357" s="398"/>
      <c r="U357" s="398"/>
      <c r="V357" s="398"/>
      <c r="W357" s="398"/>
      <c r="X357" s="398"/>
      <c r="Y357" s="398"/>
      <c r="Z357" s="398"/>
    </row>
    <row r="358">
      <c r="A358" s="396"/>
      <c r="B358" s="397"/>
      <c r="C358" s="398"/>
      <c r="D358" s="398"/>
      <c r="E358" s="398"/>
      <c r="F358" s="398"/>
      <c r="G358" s="398"/>
      <c r="H358" s="398"/>
      <c r="I358" s="398"/>
      <c r="J358" s="398"/>
      <c r="K358" s="398"/>
      <c r="L358" s="398"/>
      <c r="M358" s="398"/>
      <c r="N358" s="398"/>
      <c r="O358" s="398"/>
      <c r="P358" s="398"/>
      <c r="Q358" s="398"/>
      <c r="R358" s="398"/>
      <c r="S358" s="398"/>
      <c r="T358" s="398"/>
      <c r="U358" s="398"/>
      <c r="V358" s="398"/>
      <c r="W358" s="398"/>
      <c r="X358" s="398"/>
      <c r="Y358" s="398"/>
      <c r="Z358" s="398"/>
    </row>
    <row r="359">
      <c r="A359" s="396"/>
      <c r="B359" s="397"/>
      <c r="C359" s="398"/>
      <c r="D359" s="398"/>
      <c r="E359" s="398"/>
      <c r="F359" s="398"/>
      <c r="G359" s="398"/>
      <c r="H359" s="398"/>
      <c r="I359" s="398"/>
      <c r="J359" s="398"/>
      <c r="K359" s="398"/>
      <c r="L359" s="398"/>
      <c r="M359" s="398"/>
      <c r="N359" s="398"/>
      <c r="O359" s="398"/>
      <c r="P359" s="398"/>
      <c r="Q359" s="398"/>
      <c r="R359" s="398"/>
      <c r="S359" s="398"/>
      <c r="T359" s="398"/>
      <c r="U359" s="398"/>
      <c r="V359" s="398"/>
      <c r="W359" s="398"/>
      <c r="X359" s="398"/>
      <c r="Y359" s="398"/>
      <c r="Z359" s="398"/>
    </row>
    <row r="360">
      <c r="A360" s="396"/>
      <c r="B360" s="397"/>
      <c r="C360" s="398"/>
      <c r="D360" s="398"/>
      <c r="E360" s="398"/>
      <c r="F360" s="398"/>
      <c r="G360" s="398"/>
      <c r="H360" s="398"/>
      <c r="I360" s="398"/>
      <c r="J360" s="398"/>
      <c r="K360" s="398"/>
      <c r="L360" s="398"/>
      <c r="M360" s="398"/>
      <c r="N360" s="398"/>
      <c r="O360" s="398"/>
      <c r="P360" s="398"/>
      <c r="Q360" s="398"/>
      <c r="R360" s="398"/>
      <c r="S360" s="398"/>
      <c r="T360" s="398"/>
      <c r="U360" s="398"/>
      <c r="V360" s="398"/>
      <c r="W360" s="398"/>
      <c r="X360" s="398"/>
      <c r="Y360" s="398"/>
      <c r="Z360" s="398"/>
    </row>
    <row r="361">
      <c r="A361" s="396"/>
      <c r="B361" s="397"/>
      <c r="C361" s="398"/>
      <c r="D361" s="398"/>
      <c r="E361" s="398"/>
      <c r="F361" s="398"/>
      <c r="G361" s="398"/>
      <c r="H361" s="398"/>
      <c r="I361" s="398"/>
      <c r="J361" s="398"/>
      <c r="K361" s="398"/>
      <c r="L361" s="398"/>
      <c r="M361" s="398"/>
      <c r="N361" s="398"/>
      <c r="O361" s="398"/>
      <c r="P361" s="398"/>
      <c r="Q361" s="398"/>
      <c r="R361" s="398"/>
      <c r="S361" s="398"/>
      <c r="T361" s="398"/>
      <c r="U361" s="398"/>
      <c r="V361" s="398"/>
      <c r="W361" s="398"/>
      <c r="X361" s="398"/>
      <c r="Y361" s="398"/>
      <c r="Z361" s="398"/>
    </row>
    <row r="362">
      <c r="A362" s="396"/>
      <c r="B362" s="397"/>
      <c r="C362" s="398"/>
      <c r="D362" s="398"/>
      <c r="E362" s="398"/>
      <c r="F362" s="398"/>
      <c r="G362" s="398"/>
      <c r="H362" s="398"/>
      <c r="I362" s="398"/>
      <c r="J362" s="398"/>
      <c r="K362" s="398"/>
      <c r="L362" s="398"/>
      <c r="M362" s="398"/>
      <c r="N362" s="398"/>
      <c r="O362" s="398"/>
      <c r="P362" s="398"/>
      <c r="Q362" s="398"/>
      <c r="R362" s="398"/>
      <c r="S362" s="398"/>
      <c r="T362" s="398"/>
      <c r="U362" s="398"/>
      <c r="V362" s="398"/>
      <c r="W362" s="398"/>
      <c r="X362" s="398"/>
      <c r="Y362" s="398"/>
      <c r="Z362" s="398"/>
    </row>
    <row r="363">
      <c r="A363" s="396"/>
      <c r="B363" s="397"/>
      <c r="C363" s="398"/>
      <c r="D363" s="398"/>
      <c r="E363" s="398"/>
      <c r="F363" s="398"/>
      <c r="G363" s="398"/>
      <c r="H363" s="398"/>
      <c r="I363" s="398"/>
      <c r="J363" s="398"/>
      <c r="K363" s="398"/>
      <c r="L363" s="398"/>
      <c r="M363" s="398"/>
      <c r="N363" s="398"/>
      <c r="O363" s="398"/>
      <c r="P363" s="398"/>
      <c r="Q363" s="398"/>
      <c r="R363" s="398"/>
      <c r="S363" s="398"/>
      <c r="T363" s="398"/>
      <c r="U363" s="398"/>
      <c r="V363" s="398"/>
      <c r="W363" s="398"/>
      <c r="X363" s="398"/>
      <c r="Y363" s="398"/>
      <c r="Z363" s="398"/>
    </row>
    <row r="364">
      <c r="A364" s="396"/>
      <c r="B364" s="397"/>
      <c r="C364" s="398"/>
      <c r="D364" s="398"/>
      <c r="E364" s="398"/>
      <c r="F364" s="398"/>
      <c r="G364" s="398"/>
      <c r="H364" s="398"/>
      <c r="I364" s="398"/>
      <c r="J364" s="398"/>
      <c r="K364" s="398"/>
      <c r="L364" s="398"/>
      <c r="M364" s="398"/>
      <c r="N364" s="398"/>
      <c r="O364" s="398"/>
      <c r="P364" s="398"/>
      <c r="Q364" s="398"/>
      <c r="R364" s="398"/>
      <c r="S364" s="398"/>
      <c r="T364" s="398"/>
      <c r="U364" s="398"/>
      <c r="V364" s="398"/>
      <c r="W364" s="398"/>
      <c r="X364" s="398"/>
      <c r="Y364" s="398"/>
      <c r="Z364" s="398"/>
    </row>
    <row r="365">
      <c r="A365" s="396"/>
      <c r="B365" s="397"/>
      <c r="C365" s="398"/>
      <c r="D365" s="398"/>
      <c r="E365" s="398"/>
      <c r="F365" s="398"/>
      <c r="G365" s="398"/>
      <c r="H365" s="398"/>
      <c r="I365" s="398"/>
      <c r="J365" s="398"/>
      <c r="K365" s="398"/>
      <c r="L365" s="398"/>
      <c r="M365" s="398"/>
      <c r="N365" s="398"/>
      <c r="O365" s="398"/>
      <c r="P365" s="398"/>
      <c r="Q365" s="398"/>
      <c r="R365" s="398"/>
      <c r="S365" s="398"/>
      <c r="T365" s="398"/>
      <c r="U365" s="398"/>
      <c r="V365" s="398"/>
      <c r="W365" s="398"/>
      <c r="X365" s="398"/>
      <c r="Y365" s="398"/>
      <c r="Z365" s="398"/>
    </row>
    <row r="366">
      <c r="A366" s="396"/>
      <c r="B366" s="397"/>
      <c r="C366" s="398"/>
      <c r="D366" s="398"/>
      <c r="E366" s="398"/>
      <c r="F366" s="398"/>
      <c r="G366" s="398"/>
      <c r="H366" s="398"/>
      <c r="I366" s="398"/>
      <c r="J366" s="398"/>
      <c r="K366" s="398"/>
      <c r="L366" s="398"/>
      <c r="M366" s="398"/>
      <c r="N366" s="398"/>
      <c r="O366" s="398"/>
      <c r="P366" s="398"/>
      <c r="Q366" s="398"/>
      <c r="R366" s="398"/>
      <c r="S366" s="398"/>
      <c r="T366" s="398"/>
      <c r="U366" s="398"/>
      <c r="V366" s="398"/>
      <c r="W366" s="398"/>
      <c r="X366" s="398"/>
      <c r="Y366" s="398"/>
      <c r="Z366" s="398"/>
    </row>
    <row r="367">
      <c r="A367" s="396"/>
      <c r="B367" s="397"/>
      <c r="C367" s="398"/>
      <c r="D367" s="398"/>
      <c r="E367" s="398"/>
      <c r="F367" s="398"/>
      <c r="G367" s="398"/>
      <c r="H367" s="398"/>
      <c r="I367" s="398"/>
      <c r="J367" s="398"/>
      <c r="K367" s="398"/>
      <c r="L367" s="398"/>
      <c r="M367" s="398"/>
      <c r="N367" s="398"/>
      <c r="O367" s="398"/>
      <c r="P367" s="398"/>
      <c r="Q367" s="398"/>
      <c r="R367" s="398"/>
      <c r="S367" s="398"/>
      <c r="T367" s="398"/>
      <c r="U367" s="398"/>
      <c r="V367" s="398"/>
      <c r="W367" s="398"/>
      <c r="X367" s="398"/>
      <c r="Y367" s="398"/>
      <c r="Z367" s="398"/>
    </row>
    <row r="368">
      <c r="A368" s="396"/>
      <c r="B368" s="397"/>
      <c r="C368" s="398"/>
      <c r="D368" s="398"/>
      <c r="E368" s="398"/>
      <c r="F368" s="398"/>
      <c r="G368" s="398"/>
      <c r="H368" s="398"/>
      <c r="I368" s="398"/>
      <c r="J368" s="398"/>
      <c r="K368" s="398"/>
      <c r="L368" s="398"/>
      <c r="M368" s="398"/>
      <c r="N368" s="398"/>
      <c r="O368" s="398"/>
      <c r="P368" s="398"/>
      <c r="Q368" s="398"/>
      <c r="R368" s="398"/>
      <c r="S368" s="398"/>
      <c r="T368" s="398"/>
      <c r="U368" s="398"/>
      <c r="V368" s="398"/>
      <c r="W368" s="398"/>
      <c r="X368" s="398"/>
      <c r="Y368" s="398"/>
      <c r="Z368" s="398"/>
    </row>
    <row r="369">
      <c r="A369" s="396"/>
      <c r="B369" s="397"/>
      <c r="C369" s="398"/>
      <c r="D369" s="398"/>
      <c r="E369" s="398"/>
      <c r="F369" s="398"/>
      <c r="G369" s="398"/>
      <c r="H369" s="398"/>
      <c r="I369" s="398"/>
      <c r="J369" s="398"/>
      <c r="K369" s="398"/>
      <c r="L369" s="398"/>
      <c r="M369" s="398"/>
      <c r="N369" s="398"/>
      <c r="O369" s="398"/>
      <c r="P369" s="398"/>
      <c r="Q369" s="398"/>
      <c r="R369" s="398"/>
      <c r="S369" s="398"/>
      <c r="T369" s="398"/>
      <c r="U369" s="398"/>
      <c r="V369" s="398"/>
      <c r="W369" s="398"/>
      <c r="X369" s="398"/>
      <c r="Y369" s="398"/>
      <c r="Z369" s="398"/>
    </row>
    <row r="370">
      <c r="A370" s="396"/>
      <c r="B370" s="397"/>
      <c r="C370" s="398"/>
      <c r="D370" s="398"/>
      <c r="E370" s="398"/>
      <c r="F370" s="398"/>
      <c r="G370" s="398"/>
      <c r="H370" s="398"/>
      <c r="I370" s="398"/>
      <c r="J370" s="398"/>
      <c r="K370" s="398"/>
      <c r="L370" s="398"/>
      <c r="M370" s="398"/>
      <c r="N370" s="398"/>
      <c r="O370" s="398"/>
      <c r="P370" s="398"/>
      <c r="Q370" s="398"/>
      <c r="R370" s="398"/>
      <c r="S370" s="398"/>
      <c r="T370" s="398"/>
      <c r="U370" s="398"/>
      <c r="V370" s="398"/>
      <c r="W370" s="398"/>
      <c r="X370" s="398"/>
      <c r="Y370" s="398"/>
      <c r="Z370" s="398"/>
    </row>
    <row r="371">
      <c r="A371" s="396"/>
      <c r="B371" s="397"/>
      <c r="C371" s="398"/>
      <c r="D371" s="398"/>
      <c r="E371" s="398"/>
      <c r="F371" s="398"/>
      <c r="G371" s="398"/>
      <c r="H371" s="398"/>
      <c r="I371" s="398"/>
      <c r="J371" s="398"/>
      <c r="K371" s="398"/>
      <c r="L371" s="398"/>
      <c r="M371" s="398"/>
      <c r="N371" s="398"/>
      <c r="O371" s="398"/>
      <c r="P371" s="398"/>
      <c r="Q371" s="398"/>
      <c r="R371" s="398"/>
      <c r="S371" s="398"/>
      <c r="T371" s="398"/>
      <c r="U371" s="398"/>
      <c r="V371" s="398"/>
      <c r="W371" s="398"/>
      <c r="X371" s="398"/>
      <c r="Y371" s="398"/>
      <c r="Z371" s="398"/>
    </row>
    <row r="372">
      <c r="A372" s="396"/>
      <c r="B372" s="397"/>
      <c r="C372" s="398"/>
      <c r="D372" s="398"/>
      <c r="E372" s="398"/>
      <c r="F372" s="398"/>
      <c r="G372" s="398"/>
      <c r="H372" s="398"/>
      <c r="I372" s="398"/>
      <c r="J372" s="398"/>
      <c r="K372" s="398"/>
      <c r="L372" s="398"/>
      <c r="M372" s="398"/>
      <c r="N372" s="398"/>
      <c r="O372" s="398"/>
      <c r="P372" s="398"/>
      <c r="Q372" s="398"/>
      <c r="R372" s="398"/>
      <c r="S372" s="398"/>
      <c r="T372" s="398"/>
      <c r="U372" s="398"/>
      <c r="V372" s="398"/>
      <c r="W372" s="398"/>
      <c r="X372" s="398"/>
      <c r="Y372" s="398"/>
      <c r="Z372" s="398"/>
    </row>
    <row r="373">
      <c r="A373" s="396"/>
      <c r="B373" s="397"/>
      <c r="C373" s="398"/>
      <c r="D373" s="398"/>
      <c r="E373" s="398"/>
      <c r="F373" s="398"/>
      <c r="G373" s="398"/>
      <c r="H373" s="398"/>
      <c r="I373" s="398"/>
      <c r="J373" s="398"/>
      <c r="K373" s="398"/>
      <c r="L373" s="398"/>
      <c r="M373" s="398"/>
      <c r="N373" s="398"/>
      <c r="O373" s="398"/>
      <c r="P373" s="398"/>
      <c r="Q373" s="398"/>
      <c r="R373" s="398"/>
      <c r="S373" s="398"/>
      <c r="T373" s="398"/>
      <c r="U373" s="398"/>
      <c r="V373" s="398"/>
      <c r="W373" s="398"/>
      <c r="X373" s="398"/>
      <c r="Y373" s="398"/>
      <c r="Z373" s="398"/>
    </row>
    <row r="374">
      <c r="A374" s="396"/>
      <c r="B374" s="397"/>
      <c r="C374" s="398"/>
      <c r="D374" s="398"/>
      <c r="E374" s="398"/>
      <c r="F374" s="398"/>
      <c r="G374" s="398"/>
      <c r="H374" s="398"/>
      <c r="I374" s="398"/>
      <c r="J374" s="398"/>
      <c r="K374" s="398"/>
      <c r="L374" s="398"/>
      <c r="M374" s="398"/>
      <c r="N374" s="398"/>
      <c r="O374" s="398"/>
      <c r="P374" s="398"/>
      <c r="Q374" s="398"/>
      <c r="R374" s="398"/>
      <c r="S374" s="398"/>
      <c r="T374" s="398"/>
      <c r="U374" s="398"/>
      <c r="V374" s="398"/>
      <c r="W374" s="398"/>
      <c r="X374" s="398"/>
      <c r="Y374" s="398"/>
      <c r="Z374" s="398"/>
    </row>
    <row r="375">
      <c r="A375" s="396"/>
      <c r="B375" s="397"/>
      <c r="C375" s="398"/>
      <c r="D375" s="398"/>
      <c r="E375" s="398"/>
      <c r="F375" s="398"/>
      <c r="G375" s="398"/>
      <c r="H375" s="398"/>
      <c r="I375" s="398"/>
      <c r="J375" s="398"/>
      <c r="K375" s="398"/>
      <c r="L375" s="398"/>
      <c r="M375" s="398"/>
      <c r="N375" s="398"/>
      <c r="O375" s="398"/>
      <c r="P375" s="398"/>
      <c r="Q375" s="398"/>
      <c r="R375" s="398"/>
      <c r="S375" s="398"/>
      <c r="T375" s="398"/>
      <c r="U375" s="398"/>
      <c r="V375" s="398"/>
      <c r="W375" s="398"/>
      <c r="X375" s="398"/>
      <c r="Y375" s="398"/>
      <c r="Z375" s="398"/>
    </row>
    <row r="376">
      <c r="A376" s="396"/>
      <c r="B376" s="397"/>
      <c r="C376" s="398"/>
      <c r="D376" s="398"/>
      <c r="E376" s="398"/>
      <c r="F376" s="398"/>
      <c r="G376" s="398"/>
      <c r="H376" s="398"/>
      <c r="I376" s="398"/>
      <c r="J376" s="398"/>
      <c r="K376" s="398"/>
      <c r="L376" s="398"/>
      <c r="M376" s="398"/>
      <c r="N376" s="398"/>
      <c r="O376" s="398"/>
      <c r="P376" s="398"/>
      <c r="Q376" s="398"/>
      <c r="R376" s="398"/>
      <c r="S376" s="398"/>
      <c r="T376" s="398"/>
      <c r="U376" s="398"/>
      <c r="V376" s="398"/>
      <c r="W376" s="398"/>
      <c r="X376" s="398"/>
      <c r="Y376" s="398"/>
      <c r="Z376" s="398"/>
    </row>
    <row r="377">
      <c r="A377" s="396"/>
      <c r="B377" s="397"/>
      <c r="C377" s="398"/>
      <c r="D377" s="398"/>
      <c r="E377" s="398"/>
      <c r="F377" s="398"/>
      <c r="G377" s="398"/>
      <c r="H377" s="398"/>
      <c r="I377" s="398"/>
      <c r="J377" s="398"/>
      <c r="K377" s="398"/>
      <c r="L377" s="398"/>
      <c r="M377" s="398"/>
      <c r="N377" s="398"/>
      <c r="O377" s="398"/>
      <c r="P377" s="398"/>
      <c r="Q377" s="398"/>
      <c r="R377" s="398"/>
      <c r="S377" s="398"/>
      <c r="T377" s="398"/>
      <c r="U377" s="398"/>
      <c r="V377" s="398"/>
      <c r="W377" s="398"/>
      <c r="X377" s="398"/>
      <c r="Y377" s="398"/>
      <c r="Z377" s="398"/>
    </row>
    <row r="378">
      <c r="A378" s="396"/>
      <c r="B378" s="397"/>
      <c r="C378" s="398"/>
      <c r="D378" s="398"/>
      <c r="E378" s="398"/>
      <c r="F378" s="398"/>
      <c r="G378" s="398"/>
      <c r="H378" s="398"/>
      <c r="I378" s="398"/>
      <c r="J378" s="398"/>
      <c r="K378" s="398"/>
      <c r="L378" s="398"/>
      <c r="M378" s="398"/>
      <c r="N378" s="398"/>
      <c r="O378" s="398"/>
      <c r="P378" s="398"/>
      <c r="Q378" s="398"/>
      <c r="R378" s="398"/>
      <c r="S378" s="398"/>
      <c r="T378" s="398"/>
      <c r="U378" s="398"/>
      <c r="V378" s="398"/>
      <c r="W378" s="398"/>
      <c r="X378" s="398"/>
      <c r="Y378" s="398"/>
      <c r="Z378" s="398"/>
    </row>
    <row r="379">
      <c r="A379" s="396"/>
      <c r="B379" s="397"/>
      <c r="C379" s="398"/>
      <c r="D379" s="398"/>
      <c r="E379" s="398"/>
      <c r="F379" s="398"/>
      <c r="G379" s="398"/>
      <c r="H379" s="398"/>
      <c r="I379" s="398"/>
      <c r="J379" s="398"/>
      <c r="K379" s="398"/>
      <c r="L379" s="398"/>
      <c r="M379" s="398"/>
      <c r="N379" s="398"/>
      <c r="O379" s="398"/>
      <c r="P379" s="398"/>
      <c r="Q379" s="398"/>
      <c r="R379" s="398"/>
      <c r="S379" s="398"/>
      <c r="T379" s="398"/>
      <c r="U379" s="398"/>
      <c r="V379" s="398"/>
      <c r="W379" s="398"/>
      <c r="X379" s="398"/>
      <c r="Y379" s="398"/>
      <c r="Z379" s="398"/>
    </row>
    <row r="380">
      <c r="A380" s="396"/>
      <c r="B380" s="397"/>
      <c r="C380" s="398"/>
      <c r="D380" s="398"/>
      <c r="E380" s="398"/>
      <c r="F380" s="398"/>
      <c r="G380" s="398"/>
      <c r="H380" s="398"/>
      <c r="I380" s="398"/>
      <c r="J380" s="398"/>
      <c r="K380" s="398"/>
      <c r="L380" s="398"/>
      <c r="M380" s="398"/>
      <c r="N380" s="398"/>
      <c r="O380" s="398"/>
      <c r="P380" s="398"/>
      <c r="Q380" s="398"/>
      <c r="R380" s="398"/>
      <c r="S380" s="398"/>
      <c r="T380" s="398"/>
      <c r="U380" s="398"/>
      <c r="V380" s="398"/>
      <c r="W380" s="398"/>
      <c r="X380" s="398"/>
      <c r="Y380" s="398"/>
      <c r="Z380" s="398"/>
    </row>
    <row r="381">
      <c r="A381" s="396"/>
      <c r="B381" s="397"/>
      <c r="C381" s="398"/>
      <c r="D381" s="398"/>
      <c r="E381" s="398"/>
      <c r="F381" s="398"/>
      <c r="G381" s="398"/>
      <c r="H381" s="398"/>
      <c r="I381" s="398"/>
      <c r="J381" s="398"/>
      <c r="K381" s="398"/>
      <c r="L381" s="398"/>
      <c r="M381" s="398"/>
      <c r="N381" s="398"/>
      <c r="O381" s="398"/>
      <c r="P381" s="398"/>
      <c r="Q381" s="398"/>
      <c r="R381" s="398"/>
      <c r="S381" s="398"/>
      <c r="T381" s="398"/>
      <c r="U381" s="398"/>
      <c r="V381" s="398"/>
      <c r="W381" s="398"/>
      <c r="X381" s="398"/>
      <c r="Y381" s="398"/>
      <c r="Z381" s="398"/>
    </row>
    <row r="382">
      <c r="A382" s="396"/>
      <c r="B382" s="397"/>
      <c r="C382" s="398"/>
      <c r="D382" s="398"/>
      <c r="E382" s="398"/>
      <c r="F382" s="398"/>
      <c r="G382" s="398"/>
      <c r="H382" s="398"/>
      <c r="I382" s="398"/>
      <c r="J382" s="398"/>
      <c r="K382" s="398"/>
      <c r="L382" s="398"/>
      <c r="M382" s="398"/>
      <c r="N382" s="398"/>
      <c r="O382" s="398"/>
      <c r="P382" s="398"/>
      <c r="Q382" s="398"/>
      <c r="R382" s="398"/>
      <c r="S382" s="398"/>
      <c r="T382" s="398"/>
      <c r="U382" s="398"/>
      <c r="V382" s="398"/>
      <c r="W382" s="398"/>
      <c r="X382" s="398"/>
      <c r="Y382" s="398"/>
      <c r="Z382" s="398"/>
    </row>
    <row r="383">
      <c r="A383" s="396"/>
      <c r="B383" s="397"/>
      <c r="C383" s="398"/>
      <c r="D383" s="398"/>
      <c r="E383" s="398"/>
      <c r="F383" s="398"/>
      <c r="G383" s="398"/>
      <c r="H383" s="398"/>
      <c r="I383" s="398"/>
      <c r="J383" s="398"/>
      <c r="K383" s="398"/>
      <c r="L383" s="398"/>
      <c r="M383" s="398"/>
      <c r="N383" s="398"/>
      <c r="O383" s="398"/>
      <c r="P383" s="398"/>
      <c r="Q383" s="398"/>
      <c r="R383" s="398"/>
      <c r="S383" s="398"/>
      <c r="T383" s="398"/>
      <c r="U383" s="398"/>
      <c r="V383" s="398"/>
      <c r="W383" s="398"/>
      <c r="X383" s="398"/>
      <c r="Y383" s="398"/>
      <c r="Z383" s="398"/>
    </row>
    <row r="384">
      <c r="A384" s="396"/>
      <c r="B384" s="397"/>
      <c r="C384" s="398"/>
      <c r="D384" s="398"/>
      <c r="E384" s="398"/>
      <c r="F384" s="398"/>
      <c r="G384" s="398"/>
      <c r="H384" s="398"/>
      <c r="I384" s="398"/>
      <c r="J384" s="398"/>
      <c r="K384" s="398"/>
      <c r="L384" s="398"/>
      <c r="M384" s="398"/>
      <c r="N384" s="398"/>
      <c r="O384" s="398"/>
      <c r="P384" s="398"/>
      <c r="Q384" s="398"/>
      <c r="R384" s="398"/>
      <c r="S384" s="398"/>
      <c r="T384" s="398"/>
      <c r="U384" s="398"/>
      <c r="V384" s="398"/>
      <c r="W384" s="398"/>
      <c r="X384" s="398"/>
      <c r="Y384" s="398"/>
      <c r="Z384" s="398"/>
    </row>
    <row r="385">
      <c r="A385" s="396"/>
      <c r="B385" s="397"/>
      <c r="C385" s="398"/>
      <c r="D385" s="398"/>
      <c r="E385" s="398"/>
      <c r="F385" s="398"/>
      <c r="G385" s="398"/>
      <c r="H385" s="398"/>
      <c r="I385" s="398"/>
      <c r="J385" s="398"/>
      <c r="K385" s="398"/>
      <c r="L385" s="398"/>
      <c r="M385" s="398"/>
      <c r="N385" s="398"/>
      <c r="O385" s="398"/>
      <c r="P385" s="398"/>
      <c r="Q385" s="398"/>
      <c r="R385" s="398"/>
      <c r="S385" s="398"/>
      <c r="T385" s="398"/>
      <c r="U385" s="398"/>
      <c r="V385" s="398"/>
      <c r="W385" s="398"/>
      <c r="X385" s="398"/>
      <c r="Y385" s="398"/>
      <c r="Z385" s="398"/>
    </row>
    <row r="386">
      <c r="A386" s="396"/>
      <c r="B386" s="397"/>
      <c r="C386" s="398"/>
      <c r="D386" s="398"/>
      <c r="E386" s="398"/>
      <c r="F386" s="398"/>
      <c r="G386" s="398"/>
      <c r="H386" s="398"/>
      <c r="I386" s="398"/>
      <c r="J386" s="398"/>
      <c r="K386" s="398"/>
      <c r="L386" s="398"/>
      <c r="M386" s="398"/>
      <c r="N386" s="398"/>
      <c r="O386" s="398"/>
      <c r="P386" s="398"/>
      <c r="Q386" s="398"/>
      <c r="R386" s="398"/>
      <c r="S386" s="398"/>
      <c r="T386" s="398"/>
      <c r="U386" s="398"/>
      <c r="V386" s="398"/>
      <c r="W386" s="398"/>
      <c r="X386" s="398"/>
      <c r="Y386" s="398"/>
      <c r="Z386" s="398"/>
    </row>
    <row r="387">
      <c r="A387" s="396"/>
      <c r="B387" s="397"/>
      <c r="C387" s="398"/>
      <c r="D387" s="398"/>
      <c r="E387" s="398"/>
      <c r="F387" s="398"/>
      <c r="G387" s="398"/>
      <c r="H387" s="398"/>
      <c r="I387" s="398"/>
      <c r="J387" s="398"/>
      <c r="K387" s="398"/>
      <c r="L387" s="398"/>
      <c r="M387" s="398"/>
      <c r="N387" s="398"/>
      <c r="O387" s="398"/>
      <c r="P387" s="398"/>
      <c r="Q387" s="398"/>
      <c r="R387" s="398"/>
      <c r="S387" s="398"/>
      <c r="T387" s="398"/>
      <c r="U387" s="398"/>
      <c r="V387" s="398"/>
      <c r="W387" s="398"/>
      <c r="X387" s="398"/>
      <c r="Y387" s="398"/>
      <c r="Z387" s="398"/>
    </row>
    <row r="388">
      <c r="A388" s="396"/>
      <c r="B388" s="397"/>
      <c r="C388" s="398"/>
      <c r="D388" s="398"/>
      <c r="E388" s="398"/>
      <c r="F388" s="398"/>
      <c r="G388" s="398"/>
      <c r="H388" s="398"/>
      <c r="I388" s="398"/>
      <c r="J388" s="398"/>
      <c r="K388" s="398"/>
      <c r="L388" s="398"/>
      <c r="M388" s="398"/>
      <c r="N388" s="398"/>
      <c r="O388" s="398"/>
      <c r="P388" s="398"/>
      <c r="Q388" s="398"/>
      <c r="R388" s="398"/>
      <c r="S388" s="398"/>
      <c r="T388" s="398"/>
      <c r="U388" s="398"/>
      <c r="V388" s="398"/>
      <c r="W388" s="398"/>
      <c r="X388" s="398"/>
      <c r="Y388" s="398"/>
      <c r="Z388" s="398"/>
    </row>
    <row r="389">
      <c r="A389" s="396"/>
      <c r="B389" s="397"/>
      <c r="C389" s="398"/>
      <c r="D389" s="398"/>
      <c r="E389" s="398"/>
      <c r="F389" s="398"/>
      <c r="G389" s="398"/>
      <c r="H389" s="398"/>
      <c r="I389" s="398"/>
      <c r="J389" s="398"/>
      <c r="K389" s="398"/>
      <c r="L389" s="398"/>
      <c r="M389" s="398"/>
      <c r="N389" s="398"/>
      <c r="O389" s="398"/>
      <c r="P389" s="398"/>
      <c r="Q389" s="398"/>
      <c r="R389" s="398"/>
      <c r="S389" s="398"/>
      <c r="T389" s="398"/>
      <c r="U389" s="398"/>
      <c r="V389" s="398"/>
      <c r="W389" s="398"/>
      <c r="X389" s="398"/>
      <c r="Y389" s="398"/>
      <c r="Z389" s="398"/>
    </row>
    <row r="390">
      <c r="A390" s="396"/>
      <c r="B390" s="397"/>
      <c r="C390" s="398"/>
      <c r="D390" s="398"/>
      <c r="E390" s="398"/>
      <c r="F390" s="398"/>
      <c r="G390" s="398"/>
      <c r="H390" s="398"/>
      <c r="I390" s="398"/>
      <c r="J390" s="398"/>
      <c r="K390" s="398"/>
      <c r="L390" s="398"/>
      <c r="M390" s="398"/>
      <c r="N390" s="398"/>
      <c r="O390" s="398"/>
      <c r="P390" s="398"/>
      <c r="Q390" s="398"/>
      <c r="R390" s="398"/>
      <c r="S390" s="398"/>
      <c r="T390" s="398"/>
      <c r="U390" s="398"/>
      <c r="V390" s="398"/>
      <c r="W390" s="398"/>
      <c r="X390" s="398"/>
      <c r="Y390" s="398"/>
      <c r="Z390" s="398"/>
    </row>
    <row r="391">
      <c r="A391" s="396"/>
      <c r="B391" s="397"/>
      <c r="C391" s="398"/>
      <c r="D391" s="398"/>
      <c r="E391" s="398"/>
      <c r="F391" s="398"/>
      <c r="G391" s="398"/>
      <c r="H391" s="398"/>
      <c r="I391" s="398"/>
      <c r="J391" s="398"/>
      <c r="K391" s="398"/>
      <c r="L391" s="398"/>
      <c r="M391" s="398"/>
      <c r="N391" s="398"/>
      <c r="O391" s="398"/>
      <c r="P391" s="398"/>
      <c r="Q391" s="398"/>
      <c r="R391" s="398"/>
      <c r="S391" s="398"/>
      <c r="T391" s="398"/>
      <c r="U391" s="398"/>
      <c r="V391" s="398"/>
      <c r="W391" s="398"/>
      <c r="X391" s="398"/>
      <c r="Y391" s="398"/>
      <c r="Z391" s="398"/>
    </row>
    <row r="392">
      <c r="A392" s="396"/>
      <c r="B392" s="397"/>
      <c r="C392" s="398"/>
      <c r="D392" s="398"/>
      <c r="E392" s="398"/>
      <c r="F392" s="398"/>
      <c r="G392" s="398"/>
      <c r="H392" s="398"/>
      <c r="I392" s="398"/>
      <c r="J392" s="398"/>
      <c r="K392" s="398"/>
      <c r="L392" s="398"/>
      <c r="M392" s="398"/>
      <c r="N392" s="398"/>
      <c r="O392" s="398"/>
      <c r="P392" s="398"/>
      <c r="Q392" s="398"/>
      <c r="R392" s="398"/>
      <c r="S392" s="398"/>
      <c r="T392" s="398"/>
      <c r="U392" s="398"/>
      <c r="V392" s="398"/>
      <c r="W392" s="398"/>
      <c r="X392" s="398"/>
      <c r="Y392" s="398"/>
      <c r="Z392" s="398"/>
    </row>
    <row r="393">
      <c r="A393" s="396"/>
      <c r="B393" s="397"/>
      <c r="C393" s="398"/>
      <c r="D393" s="398"/>
      <c r="E393" s="398"/>
      <c r="F393" s="398"/>
      <c r="G393" s="398"/>
      <c r="H393" s="398"/>
      <c r="I393" s="398"/>
      <c r="J393" s="398"/>
      <c r="K393" s="398"/>
      <c r="L393" s="398"/>
      <c r="M393" s="398"/>
      <c r="N393" s="398"/>
      <c r="O393" s="398"/>
      <c r="P393" s="398"/>
      <c r="Q393" s="398"/>
      <c r="R393" s="398"/>
      <c r="S393" s="398"/>
      <c r="T393" s="398"/>
      <c r="U393" s="398"/>
      <c r="V393" s="398"/>
      <c r="W393" s="398"/>
      <c r="X393" s="398"/>
      <c r="Y393" s="398"/>
      <c r="Z393" s="398"/>
    </row>
    <row r="394">
      <c r="A394" s="396"/>
      <c r="B394" s="397"/>
      <c r="C394" s="398"/>
      <c r="D394" s="398"/>
      <c r="E394" s="398"/>
      <c r="F394" s="398"/>
      <c r="G394" s="398"/>
      <c r="H394" s="398"/>
      <c r="I394" s="398"/>
      <c r="J394" s="398"/>
      <c r="K394" s="398"/>
      <c r="L394" s="398"/>
      <c r="M394" s="398"/>
      <c r="N394" s="398"/>
      <c r="O394" s="398"/>
      <c r="P394" s="398"/>
      <c r="Q394" s="398"/>
      <c r="R394" s="398"/>
      <c r="S394" s="398"/>
      <c r="T394" s="398"/>
      <c r="U394" s="398"/>
      <c r="V394" s="398"/>
      <c r="W394" s="398"/>
      <c r="X394" s="398"/>
      <c r="Y394" s="398"/>
      <c r="Z394" s="398"/>
    </row>
    <row r="395">
      <c r="A395" s="396"/>
      <c r="B395" s="397"/>
      <c r="C395" s="398"/>
      <c r="D395" s="398"/>
      <c r="E395" s="398"/>
      <c r="F395" s="398"/>
      <c r="G395" s="398"/>
      <c r="H395" s="398"/>
      <c r="I395" s="398"/>
      <c r="J395" s="398"/>
      <c r="K395" s="398"/>
      <c r="L395" s="398"/>
      <c r="M395" s="398"/>
      <c r="N395" s="398"/>
      <c r="O395" s="398"/>
      <c r="P395" s="398"/>
      <c r="Q395" s="398"/>
      <c r="R395" s="398"/>
      <c r="S395" s="398"/>
      <c r="T395" s="398"/>
      <c r="U395" s="398"/>
      <c r="V395" s="398"/>
      <c r="W395" s="398"/>
      <c r="X395" s="398"/>
      <c r="Y395" s="398"/>
      <c r="Z395" s="398"/>
    </row>
    <row r="396">
      <c r="A396" s="396"/>
      <c r="B396" s="397"/>
      <c r="C396" s="398"/>
      <c r="D396" s="398"/>
      <c r="E396" s="398"/>
      <c r="F396" s="398"/>
      <c r="G396" s="398"/>
      <c r="H396" s="398"/>
      <c r="I396" s="398"/>
      <c r="J396" s="398"/>
      <c r="K396" s="398"/>
      <c r="L396" s="398"/>
      <c r="M396" s="398"/>
      <c r="N396" s="398"/>
      <c r="O396" s="398"/>
      <c r="P396" s="398"/>
      <c r="Q396" s="398"/>
      <c r="R396" s="398"/>
      <c r="S396" s="398"/>
      <c r="T396" s="398"/>
      <c r="U396" s="398"/>
      <c r="V396" s="398"/>
      <c r="W396" s="398"/>
      <c r="X396" s="398"/>
      <c r="Y396" s="398"/>
      <c r="Z396" s="398"/>
    </row>
    <row r="397">
      <c r="A397" s="396"/>
      <c r="B397" s="397"/>
      <c r="C397" s="398"/>
      <c r="D397" s="398"/>
      <c r="E397" s="398"/>
      <c r="F397" s="398"/>
      <c r="G397" s="398"/>
      <c r="H397" s="398"/>
      <c r="I397" s="398"/>
      <c r="J397" s="398"/>
      <c r="K397" s="398"/>
      <c r="L397" s="398"/>
      <c r="M397" s="398"/>
      <c r="N397" s="398"/>
      <c r="O397" s="398"/>
      <c r="P397" s="398"/>
      <c r="Q397" s="398"/>
      <c r="R397" s="398"/>
      <c r="S397" s="398"/>
      <c r="T397" s="398"/>
      <c r="U397" s="398"/>
      <c r="V397" s="398"/>
      <c r="W397" s="398"/>
      <c r="X397" s="398"/>
      <c r="Y397" s="398"/>
      <c r="Z397" s="398"/>
    </row>
    <row r="398">
      <c r="A398" s="396"/>
      <c r="B398" s="397"/>
      <c r="C398" s="398"/>
      <c r="D398" s="398"/>
      <c r="E398" s="398"/>
      <c r="F398" s="398"/>
      <c r="G398" s="398"/>
      <c r="H398" s="398"/>
      <c r="I398" s="398"/>
      <c r="J398" s="398"/>
      <c r="K398" s="398"/>
      <c r="L398" s="398"/>
      <c r="M398" s="398"/>
      <c r="N398" s="398"/>
      <c r="O398" s="398"/>
      <c r="P398" s="398"/>
      <c r="Q398" s="398"/>
      <c r="R398" s="398"/>
      <c r="S398" s="398"/>
      <c r="T398" s="398"/>
      <c r="U398" s="398"/>
      <c r="V398" s="398"/>
      <c r="W398" s="398"/>
      <c r="X398" s="398"/>
      <c r="Y398" s="398"/>
      <c r="Z398" s="398"/>
    </row>
    <row r="399">
      <c r="A399" s="396"/>
      <c r="B399" s="397"/>
      <c r="C399" s="398"/>
      <c r="D399" s="398"/>
      <c r="E399" s="398"/>
      <c r="F399" s="398"/>
      <c r="G399" s="398"/>
      <c r="H399" s="398"/>
      <c r="I399" s="398"/>
      <c r="J399" s="398"/>
      <c r="K399" s="398"/>
      <c r="L399" s="398"/>
      <c r="M399" s="398"/>
      <c r="N399" s="398"/>
      <c r="O399" s="398"/>
      <c r="P399" s="398"/>
      <c r="Q399" s="398"/>
      <c r="R399" s="398"/>
      <c r="S399" s="398"/>
      <c r="T399" s="398"/>
      <c r="U399" s="398"/>
      <c r="V399" s="398"/>
      <c r="W399" s="398"/>
      <c r="X399" s="398"/>
      <c r="Y399" s="398"/>
      <c r="Z399" s="398"/>
    </row>
    <row r="400">
      <c r="A400" s="396"/>
      <c r="B400" s="397"/>
      <c r="C400" s="398"/>
      <c r="D400" s="398"/>
      <c r="E400" s="398"/>
      <c r="F400" s="398"/>
      <c r="G400" s="398"/>
      <c r="H400" s="398"/>
      <c r="I400" s="398"/>
      <c r="J400" s="398"/>
      <c r="K400" s="398"/>
      <c r="L400" s="398"/>
      <c r="M400" s="398"/>
      <c r="N400" s="398"/>
      <c r="O400" s="398"/>
      <c r="P400" s="398"/>
      <c r="Q400" s="398"/>
      <c r="R400" s="398"/>
      <c r="S400" s="398"/>
      <c r="T400" s="398"/>
      <c r="U400" s="398"/>
      <c r="V400" s="398"/>
      <c r="W400" s="398"/>
      <c r="X400" s="398"/>
      <c r="Y400" s="398"/>
      <c r="Z400" s="398"/>
    </row>
    <row r="401">
      <c r="A401" s="396"/>
      <c r="B401" s="397"/>
      <c r="C401" s="398"/>
      <c r="D401" s="398"/>
      <c r="E401" s="398"/>
      <c r="F401" s="398"/>
      <c r="G401" s="398"/>
      <c r="H401" s="398"/>
      <c r="I401" s="398"/>
      <c r="J401" s="398"/>
      <c r="K401" s="398"/>
      <c r="L401" s="398"/>
      <c r="M401" s="398"/>
      <c r="N401" s="398"/>
      <c r="O401" s="398"/>
      <c r="P401" s="398"/>
      <c r="Q401" s="398"/>
      <c r="R401" s="398"/>
      <c r="S401" s="398"/>
      <c r="T401" s="398"/>
      <c r="U401" s="398"/>
      <c r="V401" s="398"/>
      <c r="W401" s="398"/>
      <c r="X401" s="398"/>
      <c r="Y401" s="398"/>
      <c r="Z401" s="398"/>
    </row>
    <row r="402">
      <c r="A402" s="396"/>
      <c r="B402" s="397"/>
      <c r="C402" s="398"/>
      <c r="D402" s="398"/>
      <c r="E402" s="398"/>
      <c r="F402" s="398"/>
      <c r="G402" s="398"/>
      <c r="H402" s="398"/>
      <c r="I402" s="398"/>
      <c r="J402" s="398"/>
      <c r="K402" s="398"/>
      <c r="L402" s="398"/>
      <c r="M402" s="398"/>
      <c r="N402" s="398"/>
      <c r="O402" s="398"/>
      <c r="P402" s="398"/>
      <c r="Q402" s="398"/>
      <c r="R402" s="398"/>
      <c r="S402" s="398"/>
      <c r="T402" s="398"/>
      <c r="U402" s="398"/>
      <c r="V402" s="398"/>
      <c r="W402" s="398"/>
      <c r="X402" s="398"/>
      <c r="Y402" s="398"/>
      <c r="Z402" s="398"/>
    </row>
    <row r="403">
      <c r="A403" s="396"/>
      <c r="B403" s="397"/>
      <c r="C403" s="398"/>
      <c r="D403" s="398"/>
      <c r="E403" s="398"/>
      <c r="F403" s="398"/>
      <c r="G403" s="398"/>
      <c r="H403" s="398"/>
      <c r="I403" s="398"/>
      <c r="J403" s="398"/>
      <c r="K403" s="398"/>
      <c r="L403" s="398"/>
      <c r="M403" s="398"/>
      <c r="N403" s="398"/>
      <c r="O403" s="398"/>
      <c r="P403" s="398"/>
      <c r="Q403" s="398"/>
      <c r="R403" s="398"/>
      <c r="S403" s="398"/>
      <c r="T403" s="398"/>
      <c r="U403" s="398"/>
      <c r="V403" s="398"/>
      <c r="W403" s="398"/>
      <c r="X403" s="398"/>
      <c r="Y403" s="398"/>
      <c r="Z403" s="398"/>
    </row>
    <row r="404">
      <c r="A404" s="396"/>
      <c r="B404" s="397"/>
      <c r="C404" s="398"/>
      <c r="D404" s="398"/>
      <c r="E404" s="398"/>
      <c r="F404" s="398"/>
      <c r="G404" s="398"/>
      <c r="H404" s="398"/>
      <c r="I404" s="398"/>
      <c r="J404" s="398"/>
      <c r="K404" s="398"/>
      <c r="L404" s="398"/>
      <c r="M404" s="398"/>
      <c r="N404" s="398"/>
      <c r="O404" s="398"/>
      <c r="P404" s="398"/>
      <c r="Q404" s="398"/>
      <c r="R404" s="398"/>
      <c r="S404" s="398"/>
      <c r="T404" s="398"/>
      <c r="U404" s="398"/>
      <c r="V404" s="398"/>
      <c r="W404" s="398"/>
      <c r="X404" s="398"/>
      <c r="Y404" s="398"/>
      <c r="Z404" s="398"/>
    </row>
    <row r="405">
      <c r="A405" s="396"/>
      <c r="B405" s="397"/>
      <c r="C405" s="398"/>
      <c r="D405" s="398"/>
      <c r="E405" s="398"/>
      <c r="F405" s="398"/>
      <c r="G405" s="398"/>
      <c r="H405" s="398"/>
      <c r="I405" s="398"/>
      <c r="J405" s="398"/>
      <c r="K405" s="398"/>
      <c r="L405" s="398"/>
      <c r="M405" s="398"/>
      <c r="N405" s="398"/>
      <c r="O405" s="398"/>
      <c r="P405" s="398"/>
      <c r="Q405" s="398"/>
      <c r="R405" s="398"/>
      <c r="S405" s="398"/>
      <c r="T405" s="398"/>
      <c r="U405" s="398"/>
      <c r="V405" s="398"/>
      <c r="W405" s="398"/>
      <c r="X405" s="398"/>
      <c r="Y405" s="398"/>
      <c r="Z405" s="398"/>
    </row>
    <row r="406">
      <c r="A406" s="396"/>
      <c r="B406" s="397"/>
      <c r="C406" s="398"/>
      <c r="D406" s="398"/>
      <c r="E406" s="398"/>
      <c r="F406" s="398"/>
      <c r="G406" s="398"/>
      <c r="H406" s="398"/>
      <c r="I406" s="398"/>
      <c r="J406" s="398"/>
      <c r="K406" s="398"/>
      <c r="L406" s="398"/>
      <c r="M406" s="398"/>
      <c r="N406" s="398"/>
      <c r="O406" s="398"/>
      <c r="P406" s="398"/>
      <c r="Q406" s="398"/>
      <c r="R406" s="398"/>
      <c r="S406" s="398"/>
      <c r="T406" s="398"/>
      <c r="U406" s="398"/>
      <c r="V406" s="398"/>
      <c r="W406" s="398"/>
      <c r="X406" s="398"/>
      <c r="Y406" s="398"/>
      <c r="Z406" s="398"/>
    </row>
    <row r="407">
      <c r="A407" s="396"/>
      <c r="B407" s="397"/>
      <c r="C407" s="398"/>
      <c r="D407" s="398"/>
      <c r="E407" s="398"/>
      <c r="F407" s="398"/>
      <c r="G407" s="398"/>
      <c r="H407" s="398"/>
      <c r="I407" s="398"/>
      <c r="J407" s="398"/>
      <c r="K407" s="398"/>
      <c r="L407" s="398"/>
      <c r="M407" s="398"/>
      <c r="N407" s="398"/>
      <c r="O407" s="398"/>
      <c r="P407" s="398"/>
      <c r="Q407" s="398"/>
      <c r="R407" s="398"/>
      <c r="S407" s="398"/>
      <c r="T407" s="398"/>
      <c r="U407" s="398"/>
      <c r="V407" s="398"/>
      <c r="W407" s="398"/>
      <c r="X407" s="398"/>
      <c r="Y407" s="398"/>
      <c r="Z407" s="398"/>
    </row>
    <row r="408">
      <c r="A408" s="396"/>
      <c r="B408" s="397"/>
      <c r="C408" s="398"/>
      <c r="D408" s="398"/>
      <c r="E408" s="398"/>
      <c r="F408" s="398"/>
      <c r="G408" s="398"/>
      <c r="H408" s="398"/>
      <c r="I408" s="398"/>
      <c r="J408" s="398"/>
      <c r="K408" s="398"/>
      <c r="L408" s="398"/>
      <c r="M408" s="398"/>
      <c r="N408" s="398"/>
      <c r="O408" s="398"/>
      <c r="P408" s="398"/>
      <c r="Q408" s="398"/>
      <c r="R408" s="398"/>
      <c r="S408" s="398"/>
      <c r="T408" s="398"/>
      <c r="U408" s="398"/>
      <c r="V408" s="398"/>
      <c r="W408" s="398"/>
      <c r="X408" s="398"/>
      <c r="Y408" s="398"/>
      <c r="Z408" s="398"/>
    </row>
    <row r="409">
      <c r="A409" s="396"/>
      <c r="B409" s="397"/>
      <c r="C409" s="398"/>
      <c r="D409" s="398"/>
      <c r="E409" s="398"/>
      <c r="F409" s="398"/>
      <c r="G409" s="398"/>
      <c r="H409" s="398"/>
      <c r="I409" s="398"/>
      <c r="J409" s="398"/>
      <c r="K409" s="398"/>
      <c r="L409" s="398"/>
      <c r="M409" s="398"/>
      <c r="N409" s="398"/>
      <c r="O409" s="398"/>
      <c r="P409" s="398"/>
      <c r="Q409" s="398"/>
      <c r="R409" s="398"/>
      <c r="S409" s="398"/>
      <c r="T409" s="398"/>
      <c r="U409" s="398"/>
      <c r="V409" s="398"/>
      <c r="W409" s="398"/>
      <c r="X409" s="398"/>
      <c r="Y409" s="398"/>
      <c r="Z409" s="398"/>
    </row>
    <row r="410">
      <c r="A410" s="396"/>
      <c r="B410" s="397"/>
      <c r="C410" s="398"/>
      <c r="D410" s="398"/>
      <c r="E410" s="398"/>
      <c r="F410" s="398"/>
      <c r="G410" s="398"/>
      <c r="H410" s="398"/>
      <c r="I410" s="398"/>
      <c r="J410" s="398"/>
      <c r="K410" s="398"/>
      <c r="L410" s="398"/>
      <c r="M410" s="398"/>
      <c r="N410" s="398"/>
      <c r="O410" s="398"/>
      <c r="P410" s="398"/>
      <c r="Q410" s="398"/>
      <c r="R410" s="398"/>
      <c r="S410" s="398"/>
      <c r="T410" s="398"/>
      <c r="U410" s="398"/>
      <c r="V410" s="398"/>
      <c r="W410" s="398"/>
      <c r="X410" s="398"/>
      <c r="Y410" s="398"/>
      <c r="Z410" s="398"/>
    </row>
    <row r="411">
      <c r="A411" s="396"/>
      <c r="B411" s="397"/>
      <c r="C411" s="398"/>
      <c r="D411" s="398"/>
      <c r="E411" s="398"/>
      <c r="F411" s="398"/>
      <c r="G411" s="398"/>
      <c r="H411" s="398"/>
      <c r="I411" s="398"/>
      <c r="J411" s="398"/>
      <c r="K411" s="398"/>
      <c r="L411" s="398"/>
      <c r="M411" s="398"/>
      <c r="N411" s="398"/>
      <c r="O411" s="398"/>
      <c r="P411" s="398"/>
      <c r="Q411" s="398"/>
      <c r="R411" s="398"/>
      <c r="S411" s="398"/>
      <c r="T411" s="398"/>
      <c r="U411" s="398"/>
      <c r="V411" s="398"/>
      <c r="W411" s="398"/>
      <c r="X411" s="398"/>
      <c r="Y411" s="398"/>
      <c r="Z411" s="398"/>
    </row>
    <row r="412">
      <c r="A412" s="396"/>
      <c r="B412" s="397"/>
      <c r="C412" s="398"/>
      <c r="D412" s="398"/>
      <c r="E412" s="398"/>
      <c r="F412" s="398"/>
      <c r="G412" s="398"/>
      <c r="H412" s="398"/>
      <c r="I412" s="398"/>
      <c r="J412" s="398"/>
      <c r="K412" s="398"/>
      <c r="L412" s="398"/>
      <c r="M412" s="398"/>
      <c r="N412" s="398"/>
      <c r="O412" s="398"/>
      <c r="P412" s="398"/>
      <c r="Q412" s="398"/>
      <c r="R412" s="398"/>
      <c r="S412" s="398"/>
      <c r="T412" s="398"/>
      <c r="U412" s="398"/>
      <c r="V412" s="398"/>
      <c r="W412" s="398"/>
      <c r="X412" s="398"/>
      <c r="Y412" s="398"/>
      <c r="Z412" s="398"/>
    </row>
    <row r="413">
      <c r="A413" s="396"/>
      <c r="B413" s="397"/>
      <c r="C413" s="398"/>
      <c r="D413" s="398"/>
      <c r="E413" s="398"/>
      <c r="F413" s="398"/>
      <c r="G413" s="398"/>
      <c r="H413" s="398"/>
      <c r="I413" s="398"/>
      <c r="J413" s="398"/>
      <c r="K413" s="398"/>
      <c r="L413" s="398"/>
      <c r="M413" s="398"/>
      <c r="N413" s="398"/>
      <c r="O413" s="398"/>
      <c r="P413" s="398"/>
      <c r="Q413" s="398"/>
      <c r="R413" s="398"/>
      <c r="S413" s="398"/>
      <c r="T413" s="398"/>
      <c r="U413" s="398"/>
      <c r="V413" s="398"/>
      <c r="W413" s="398"/>
      <c r="X413" s="398"/>
      <c r="Y413" s="398"/>
      <c r="Z413" s="398"/>
    </row>
    <row r="414">
      <c r="A414" s="396"/>
      <c r="B414" s="397"/>
      <c r="C414" s="398"/>
      <c r="D414" s="398"/>
      <c r="E414" s="398"/>
      <c r="F414" s="398"/>
      <c r="G414" s="398"/>
      <c r="H414" s="398"/>
      <c r="I414" s="398"/>
      <c r="J414" s="398"/>
      <c r="K414" s="398"/>
      <c r="L414" s="398"/>
      <c r="M414" s="398"/>
      <c r="N414" s="398"/>
      <c r="O414" s="398"/>
      <c r="P414" s="398"/>
      <c r="Q414" s="398"/>
      <c r="R414" s="398"/>
      <c r="S414" s="398"/>
      <c r="T414" s="398"/>
      <c r="U414" s="398"/>
      <c r="V414" s="398"/>
      <c r="W414" s="398"/>
      <c r="X414" s="398"/>
      <c r="Y414" s="398"/>
      <c r="Z414" s="398"/>
    </row>
    <row r="415">
      <c r="A415" s="396"/>
      <c r="B415" s="397"/>
      <c r="C415" s="398"/>
      <c r="D415" s="398"/>
      <c r="E415" s="398"/>
      <c r="F415" s="398"/>
      <c r="G415" s="398"/>
      <c r="H415" s="398"/>
      <c r="I415" s="398"/>
      <c r="J415" s="398"/>
      <c r="K415" s="398"/>
      <c r="L415" s="398"/>
      <c r="M415" s="398"/>
      <c r="N415" s="398"/>
      <c r="O415" s="398"/>
      <c r="P415" s="398"/>
      <c r="Q415" s="398"/>
      <c r="R415" s="398"/>
      <c r="S415" s="398"/>
      <c r="T415" s="398"/>
      <c r="U415" s="398"/>
      <c r="V415" s="398"/>
      <c r="W415" s="398"/>
      <c r="X415" s="398"/>
      <c r="Y415" s="398"/>
      <c r="Z415" s="398"/>
    </row>
    <row r="416">
      <c r="A416" s="396"/>
      <c r="B416" s="397"/>
      <c r="C416" s="398"/>
      <c r="D416" s="398"/>
      <c r="E416" s="398"/>
      <c r="F416" s="398"/>
      <c r="G416" s="398"/>
      <c r="H416" s="398"/>
      <c r="I416" s="398"/>
      <c r="J416" s="398"/>
      <c r="K416" s="398"/>
      <c r="L416" s="398"/>
      <c r="M416" s="398"/>
      <c r="N416" s="398"/>
      <c r="O416" s="398"/>
      <c r="P416" s="398"/>
      <c r="Q416" s="398"/>
      <c r="R416" s="398"/>
      <c r="S416" s="398"/>
      <c r="T416" s="398"/>
      <c r="U416" s="398"/>
      <c r="V416" s="398"/>
      <c r="W416" s="398"/>
      <c r="X416" s="398"/>
      <c r="Y416" s="398"/>
      <c r="Z416" s="398"/>
    </row>
    <row r="417">
      <c r="A417" s="396"/>
      <c r="B417" s="397"/>
      <c r="C417" s="398"/>
      <c r="D417" s="398"/>
      <c r="E417" s="398"/>
      <c r="F417" s="398"/>
      <c r="G417" s="398"/>
      <c r="H417" s="398"/>
      <c r="I417" s="398"/>
      <c r="J417" s="398"/>
      <c r="K417" s="398"/>
      <c r="L417" s="398"/>
      <c r="M417" s="398"/>
      <c r="N417" s="398"/>
      <c r="O417" s="398"/>
      <c r="P417" s="398"/>
      <c r="Q417" s="398"/>
      <c r="R417" s="398"/>
      <c r="S417" s="398"/>
      <c r="T417" s="398"/>
      <c r="U417" s="398"/>
      <c r="V417" s="398"/>
      <c r="W417" s="398"/>
      <c r="X417" s="398"/>
      <c r="Y417" s="398"/>
      <c r="Z417" s="398"/>
    </row>
    <row r="418">
      <c r="A418" s="396"/>
      <c r="B418" s="397"/>
      <c r="C418" s="398"/>
      <c r="D418" s="398"/>
      <c r="E418" s="398"/>
      <c r="F418" s="398"/>
      <c r="G418" s="398"/>
      <c r="H418" s="398"/>
      <c r="I418" s="398"/>
      <c r="J418" s="398"/>
      <c r="K418" s="398"/>
      <c r="L418" s="398"/>
      <c r="M418" s="398"/>
      <c r="N418" s="398"/>
      <c r="O418" s="398"/>
      <c r="P418" s="398"/>
      <c r="Q418" s="398"/>
      <c r="R418" s="398"/>
      <c r="S418" s="398"/>
      <c r="T418" s="398"/>
      <c r="U418" s="398"/>
      <c r="V418" s="398"/>
      <c r="W418" s="398"/>
      <c r="X418" s="398"/>
      <c r="Y418" s="398"/>
      <c r="Z418" s="398"/>
    </row>
    <row r="419">
      <c r="A419" s="396"/>
      <c r="B419" s="397"/>
      <c r="C419" s="398"/>
      <c r="D419" s="398"/>
      <c r="E419" s="398"/>
      <c r="F419" s="398"/>
      <c r="G419" s="398"/>
      <c r="H419" s="398"/>
      <c r="I419" s="398"/>
      <c r="J419" s="398"/>
      <c r="K419" s="398"/>
      <c r="L419" s="398"/>
      <c r="M419" s="398"/>
      <c r="N419" s="398"/>
      <c r="O419" s="398"/>
      <c r="P419" s="398"/>
      <c r="Q419" s="398"/>
      <c r="R419" s="398"/>
      <c r="S419" s="398"/>
      <c r="T419" s="398"/>
      <c r="U419" s="398"/>
      <c r="V419" s="398"/>
      <c r="W419" s="398"/>
      <c r="X419" s="398"/>
      <c r="Y419" s="398"/>
      <c r="Z419" s="398"/>
    </row>
    <row r="420">
      <c r="A420" s="396"/>
      <c r="B420" s="397"/>
      <c r="C420" s="398"/>
      <c r="D420" s="398"/>
      <c r="E420" s="398"/>
      <c r="F420" s="398"/>
      <c r="G420" s="398"/>
      <c r="H420" s="398"/>
      <c r="I420" s="398"/>
      <c r="J420" s="398"/>
      <c r="K420" s="398"/>
      <c r="L420" s="398"/>
      <c r="M420" s="398"/>
      <c r="N420" s="398"/>
      <c r="O420" s="398"/>
      <c r="P420" s="398"/>
      <c r="Q420" s="398"/>
      <c r="R420" s="398"/>
      <c r="S420" s="398"/>
      <c r="T420" s="398"/>
      <c r="U420" s="398"/>
      <c r="V420" s="398"/>
      <c r="W420" s="398"/>
      <c r="X420" s="398"/>
      <c r="Y420" s="398"/>
      <c r="Z420" s="398"/>
    </row>
    <row r="421">
      <c r="A421" s="396"/>
      <c r="B421" s="397"/>
      <c r="C421" s="398"/>
      <c r="D421" s="398"/>
      <c r="E421" s="398"/>
      <c r="F421" s="398"/>
      <c r="G421" s="398"/>
      <c r="H421" s="398"/>
      <c r="I421" s="398"/>
      <c r="J421" s="398"/>
      <c r="K421" s="398"/>
      <c r="L421" s="398"/>
      <c r="M421" s="398"/>
      <c r="N421" s="398"/>
      <c r="O421" s="398"/>
      <c r="P421" s="398"/>
      <c r="Q421" s="398"/>
      <c r="R421" s="398"/>
      <c r="S421" s="398"/>
      <c r="T421" s="398"/>
      <c r="U421" s="398"/>
      <c r="V421" s="398"/>
      <c r="W421" s="398"/>
      <c r="X421" s="398"/>
      <c r="Y421" s="398"/>
      <c r="Z421" s="398"/>
    </row>
    <row r="422">
      <c r="A422" s="396"/>
      <c r="B422" s="397"/>
      <c r="C422" s="398"/>
      <c r="D422" s="398"/>
      <c r="E422" s="398"/>
      <c r="F422" s="398"/>
      <c r="G422" s="398"/>
      <c r="H422" s="398"/>
      <c r="I422" s="398"/>
      <c r="J422" s="398"/>
      <c r="K422" s="398"/>
      <c r="L422" s="398"/>
      <c r="M422" s="398"/>
      <c r="N422" s="398"/>
      <c r="O422" s="398"/>
      <c r="P422" s="398"/>
      <c r="Q422" s="398"/>
      <c r="R422" s="398"/>
      <c r="S422" s="398"/>
      <c r="T422" s="398"/>
      <c r="U422" s="398"/>
      <c r="V422" s="398"/>
      <c r="W422" s="398"/>
      <c r="X422" s="398"/>
      <c r="Y422" s="398"/>
      <c r="Z422" s="398"/>
    </row>
    <row r="423">
      <c r="A423" s="396"/>
      <c r="B423" s="397"/>
      <c r="C423" s="398"/>
      <c r="D423" s="398"/>
      <c r="E423" s="398"/>
      <c r="F423" s="398"/>
      <c r="G423" s="398"/>
      <c r="H423" s="398"/>
      <c r="I423" s="398"/>
      <c r="J423" s="398"/>
      <c r="K423" s="398"/>
      <c r="L423" s="398"/>
      <c r="M423" s="398"/>
      <c r="N423" s="398"/>
      <c r="O423" s="398"/>
      <c r="P423" s="398"/>
      <c r="Q423" s="398"/>
      <c r="R423" s="398"/>
      <c r="S423" s="398"/>
      <c r="T423" s="398"/>
      <c r="U423" s="398"/>
      <c r="V423" s="398"/>
      <c r="W423" s="398"/>
      <c r="X423" s="398"/>
      <c r="Y423" s="398"/>
      <c r="Z423" s="398"/>
    </row>
    <row r="424">
      <c r="A424" s="396"/>
      <c r="B424" s="397"/>
      <c r="C424" s="398"/>
      <c r="D424" s="398"/>
      <c r="E424" s="398"/>
      <c r="F424" s="398"/>
      <c r="G424" s="398"/>
      <c r="H424" s="398"/>
      <c r="I424" s="398"/>
      <c r="J424" s="398"/>
      <c r="K424" s="398"/>
      <c r="L424" s="398"/>
      <c r="M424" s="398"/>
      <c r="N424" s="398"/>
      <c r="O424" s="398"/>
      <c r="P424" s="398"/>
      <c r="Q424" s="398"/>
      <c r="R424" s="398"/>
      <c r="S424" s="398"/>
      <c r="T424" s="398"/>
      <c r="U424" s="398"/>
      <c r="V424" s="398"/>
      <c r="W424" s="398"/>
      <c r="X424" s="398"/>
      <c r="Y424" s="398"/>
      <c r="Z424" s="398"/>
    </row>
    <row r="425">
      <c r="A425" s="396"/>
      <c r="B425" s="397"/>
      <c r="C425" s="398"/>
      <c r="D425" s="398"/>
      <c r="E425" s="398"/>
      <c r="F425" s="398"/>
      <c r="G425" s="398"/>
      <c r="H425" s="398"/>
      <c r="I425" s="398"/>
      <c r="J425" s="398"/>
      <c r="K425" s="398"/>
      <c r="L425" s="398"/>
      <c r="M425" s="398"/>
      <c r="N425" s="398"/>
      <c r="O425" s="398"/>
      <c r="P425" s="398"/>
      <c r="Q425" s="398"/>
      <c r="R425" s="398"/>
      <c r="S425" s="398"/>
      <c r="T425" s="398"/>
      <c r="U425" s="398"/>
      <c r="V425" s="398"/>
      <c r="W425" s="398"/>
      <c r="X425" s="398"/>
      <c r="Y425" s="398"/>
      <c r="Z425" s="398"/>
    </row>
    <row r="426">
      <c r="A426" s="396"/>
      <c r="B426" s="397"/>
      <c r="C426" s="398"/>
      <c r="D426" s="398"/>
      <c r="E426" s="398"/>
      <c r="F426" s="398"/>
      <c r="G426" s="398"/>
      <c r="H426" s="398"/>
      <c r="I426" s="398"/>
      <c r="J426" s="398"/>
      <c r="K426" s="398"/>
      <c r="L426" s="398"/>
      <c r="M426" s="398"/>
      <c r="N426" s="398"/>
      <c r="O426" s="398"/>
      <c r="P426" s="398"/>
      <c r="Q426" s="398"/>
      <c r="R426" s="398"/>
      <c r="S426" s="398"/>
      <c r="T426" s="398"/>
      <c r="U426" s="398"/>
      <c r="V426" s="398"/>
      <c r="W426" s="398"/>
      <c r="X426" s="398"/>
      <c r="Y426" s="398"/>
      <c r="Z426" s="398"/>
    </row>
    <row r="427">
      <c r="A427" s="396"/>
      <c r="B427" s="397"/>
      <c r="C427" s="398"/>
      <c r="D427" s="398"/>
      <c r="E427" s="398"/>
      <c r="F427" s="398"/>
      <c r="G427" s="398"/>
      <c r="H427" s="398"/>
      <c r="I427" s="398"/>
      <c r="J427" s="398"/>
      <c r="K427" s="398"/>
      <c r="L427" s="398"/>
      <c r="M427" s="398"/>
      <c r="N427" s="398"/>
      <c r="O427" s="398"/>
      <c r="P427" s="398"/>
      <c r="Q427" s="398"/>
      <c r="R427" s="398"/>
      <c r="S427" s="398"/>
      <c r="T427" s="398"/>
      <c r="U427" s="398"/>
      <c r="V427" s="398"/>
      <c r="W427" s="398"/>
      <c r="X427" s="398"/>
      <c r="Y427" s="398"/>
      <c r="Z427" s="398"/>
    </row>
    <row r="428">
      <c r="A428" s="396"/>
      <c r="B428" s="397"/>
      <c r="C428" s="398"/>
      <c r="D428" s="398"/>
      <c r="E428" s="398"/>
      <c r="F428" s="398"/>
      <c r="G428" s="398"/>
      <c r="H428" s="398"/>
      <c r="I428" s="398"/>
      <c r="J428" s="398"/>
      <c r="K428" s="398"/>
      <c r="L428" s="398"/>
      <c r="M428" s="398"/>
      <c r="N428" s="398"/>
      <c r="O428" s="398"/>
      <c r="P428" s="398"/>
      <c r="Q428" s="398"/>
      <c r="R428" s="398"/>
      <c r="S428" s="398"/>
      <c r="T428" s="398"/>
      <c r="U428" s="398"/>
      <c r="V428" s="398"/>
      <c r="W428" s="398"/>
      <c r="X428" s="398"/>
      <c r="Y428" s="398"/>
      <c r="Z428" s="398"/>
    </row>
    <row r="429">
      <c r="A429" s="396"/>
      <c r="B429" s="397"/>
      <c r="C429" s="398"/>
      <c r="D429" s="398"/>
      <c r="E429" s="398"/>
      <c r="F429" s="398"/>
      <c r="G429" s="398"/>
      <c r="H429" s="398"/>
      <c r="I429" s="398"/>
      <c r="J429" s="398"/>
      <c r="K429" s="398"/>
      <c r="L429" s="398"/>
      <c r="M429" s="398"/>
      <c r="N429" s="398"/>
      <c r="O429" s="398"/>
      <c r="P429" s="398"/>
      <c r="Q429" s="398"/>
      <c r="R429" s="398"/>
      <c r="S429" s="398"/>
      <c r="T429" s="398"/>
      <c r="U429" s="398"/>
      <c r="V429" s="398"/>
      <c r="W429" s="398"/>
      <c r="X429" s="398"/>
      <c r="Y429" s="398"/>
      <c r="Z429" s="398"/>
    </row>
    <row r="430">
      <c r="A430" s="396"/>
      <c r="B430" s="397"/>
      <c r="C430" s="398"/>
      <c r="D430" s="398"/>
      <c r="E430" s="398"/>
      <c r="F430" s="398"/>
      <c r="G430" s="398"/>
      <c r="H430" s="398"/>
      <c r="I430" s="398"/>
      <c r="J430" s="398"/>
      <c r="K430" s="398"/>
      <c r="L430" s="398"/>
      <c r="M430" s="398"/>
      <c r="N430" s="398"/>
      <c r="O430" s="398"/>
      <c r="P430" s="398"/>
      <c r="Q430" s="398"/>
      <c r="R430" s="398"/>
      <c r="S430" s="398"/>
      <c r="T430" s="398"/>
      <c r="U430" s="398"/>
      <c r="V430" s="398"/>
      <c r="W430" s="398"/>
      <c r="X430" s="398"/>
      <c r="Y430" s="398"/>
      <c r="Z430" s="398"/>
    </row>
    <row r="431">
      <c r="A431" s="396"/>
      <c r="B431" s="397"/>
      <c r="C431" s="398"/>
      <c r="D431" s="398"/>
      <c r="E431" s="398"/>
      <c r="F431" s="398"/>
      <c r="G431" s="398"/>
      <c r="H431" s="398"/>
      <c r="I431" s="398"/>
      <c r="J431" s="398"/>
      <c r="K431" s="398"/>
      <c r="L431" s="398"/>
      <c r="M431" s="398"/>
      <c r="N431" s="398"/>
      <c r="O431" s="398"/>
      <c r="P431" s="398"/>
      <c r="Q431" s="398"/>
      <c r="R431" s="398"/>
      <c r="S431" s="398"/>
      <c r="T431" s="398"/>
      <c r="U431" s="398"/>
      <c r="V431" s="398"/>
      <c r="W431" s="398"/>
      <c r="X431" s="398"/>
      <c r="Y431" s="398"/>
      <c r="Z431" s="398"/>
    </row>
    <row r="432">
      <c r="A432" s="396"/>
      <c r="B432" s="397"/>
      <c r="C432" s="398"/>
      <c r="D432" s="398"/>
      <c r="E432" s="398"/>
      <c r="F432" s="398"/>
      <c r="G432" s="398"/>
      <c r="H432" s="398"/>
      <c r="I432" s="398"/>
      <c r="J432" s="398"/>
      <c r="K432" s="398"/>
      <c r="L432" s="398"/>
      <c r="M432" s="398"/>
      <c r="N432" s="398"/>
      <c r="O432" s="398"/>
      <c r="P432" s="398"/>
      <c r="Q432" s="398"/>
      <c r="R432" s="398"/>
      <c r="S432" s="398"/>
      <c r="T432" s="398"/>
      <c r="U432" s="398"/>
      <c r="V432" s="398"/>
      <c r="W432" s="398"/>
      <c r="X432" s="398"/>
      <c r="Y432" s="398"/>
      <c r="Z432" s="398"/>
    </row>
    <row r="433">
      <c r="A433" s="396"/>
      <c r="B433" s="397"/>
      <c r="C433" s="398"/>
      <c r="D433" s="398"/>
      <c r="E433" s="398"/>
      <c r="F433" s="398"/>
      <c r="G433" s="398"/>
      <c r="H433" s="398"/>
      <c r="I433" s="398"/>
      <c r="J433" s="398"/>
      <c r="K433" s="398"/>
      <c r="L433" s="398"/>
      <c r="M433" s="398"/>
      <c r="N433" s="398"/>
      <c r="O433" s="398"/>
      <c r="P433" s="398"/>
      <c r="Q433" s="398"/>
      <c r="R433" s="398"/>
      <c r="S433" s="398"/>
      <c r="T433" s="398"/>
      <c r="U433" s="398"/>
      <c r="V433" s="398"/>
      <c r="W433" s="398"/>
      <c r="X433" s="398"/>
      <c r="Y433" s="398"/>
      <c r="Z433" s="398"/>
    </row>
    <row r="434">
      <c r="A434" s="396"/>
      <c r="B434" s="397"/>
      <c r="C434" s="398"/>
      <c r="D434" s="398"/>
      <c r="E434" s="398"/>
      <c r="F434" s="398"/>
      <c r="G434" s="398"/>
      <c r="H434" s="398"/>
      <c r="I434" s="398"/>
      <c r="J434" s="398"/>
      <c r="K434" s="398"/>
      <c r="L434" s="398"/>
      <c r="M434" s="398"/>
      <c r="N434" s="398"/>
      <c r="O434" s="398"/>
      <c r="P434" s="398"/>
      <c r="Q434" s="398"/>
      <c r="R434" s="398"/>
      <c r="S434" s="398"/>
      <c r="T434" s="398"/>
      <c r="U434" s="398"/>
      <c r="V434" s="398"/>
      <c r="W434" s="398"/>
      <c r="X434" s="398"/>
      <c r="Y434" s="398"/>
      <c r="Z434" s="398"/>
    </row>
    <row r="435">
      <c r="A435" s="396"/>
      <c r="B435" s="397"/>
      <c r="C435" s="398"/>
      <c r="D435" s="398"/>
      <c r="E435" s="398"/>
      <c r="F435" s="398"/>
      <c r="G435" s="398"/>
      <c r="H435" s="398"/>
      <c r="I435" s="398"/>
      <c r="J435" s="398"/>
      <c r="K435" s="398"/>
      <c r="L435" s="398"/>
      <c r="M435" s="398"/>
      <c r="N435" s="398"/>
      <c r="O435" s="398"/>
      <c r="P435" s="398"/>
      <c r="Q435" s="398"/>
      <c r="R435" s="398"/>
      <c r="S435" s="398"/>
      <c r="T435" s="398"/>
      <c r="U435" s="398"/>
      <c r="V435" s="398"/>
      <c r="W435" s="398"/>
      <c r="X435" s="398"/>
      <c r="Y435" s="398"/>
      <c r="Z435" s="398"/>
    </row>
    <row r="436">
      <c r="A436" s="396"/>
      <c r="B436" s="397"/>
      <c r="C436" s="398"/>
      <c r="D436" s="398"/>
      <c r="E436" s="398"/>
      <c r="F436" s="398"/>
      <c r="G436" s="398"/>
      <c r="H436" s="398"/>
      <c r="I436" s="398"/>
      <c r="J436" s="398"/>
      <c r="K436" s="398"/>
      <c r="L436" s="398"/>
      <c r="M436" s="398"/>
      <c r="N436" s="398"/>
      <c r="O436" s="398"/>
      <c r="P436" s="398"/>
      <c r="Q436" s="398"/>
      <c r="R436" s="398"/>
      <c r="S436" s="398"/>
      <c r="T436" s="398"/>
      <c r="U436" s="398"/>
      <c r="V436" s="398"/>
      <c r="W436" s="398"/>
      <c r="X436" s="398"/>
      <c r="Y436" s="398"/>
      <c r="Z436" s="398"/>
    </row>
    <row r="437">
      <c r="A437" s="396"/>
      <c r="B437" s="397"/>
      <c r="C437" s="398"/>
      <c r="D437" s="398"/>
      <c r="E437" s="398"/>
      <c r="F437" s="398"/>
      <c r="G437" s="398"/>
      <c r="H437" s="398"/>
      <c r="I437" s="398"/>
      <c r="J437" s="398"/>
      <c r="K437" s="398"/>
      <c r="L437" s="398"/>
      <c r="M437" s="398"/>
      <c r="N437" s="398"/>
      <c r="O437" s="398"/>
      <c r="P437" s="398"/>
      <c r="Q437" s="398"/>
      <c r="R437" s="398"/>
      <c r="S437" s="398"/>
      <c r="T437" s="398"/>
      <c r="U437" s="398"/>
      <c r="V437" s="398"/>
      <c r="W437" s="398"/>
      <c r="X437" s="398"/>
      <c r="Y437" s="398"/>
      <c r="Z437" s="398"/>
    </row>
    <row r="438">
      <c r="A438" s="396"/>
      <c r="B438" s="397"/>
      <c r="C438" s="398"/>
      <c r="D438" s="398"/>
      <c r="E438" s="398"/>
      <c r="F438" s="398"/>
      <c r="G438" s="398"/>
      <c r="H438" s="398"/>
      <c r="I438" s="398"/>
      <c r="J438" s="398"/>
      <c r="K438" s="398"/>
      <c r="L438" s="398"/>
      <c r="M438" s="398"/>
      <c r="N438" s="398"/>
      <c r="O438" s="398"/>
      <c r="P438" s="398"/>
      <c r="Q438" s="398"/>
      <c r="R438" s="398"/>
      <c r="S438" s="398"/>
      <c r="T438" s="398"/>
      <c r="U438" s="398"/>
      <c r="V438" s="398"/>
      <c r="W438" s="398"/>
      <c r="X438" s="398"/>
      <c r="Y438" s="398"/>
      <c r="Z438" s="398"/>
    </row>
    <row r="439">
      <c r="A439" s="396"/>
      <c r="B439" s="397"/>
      <c r="C439" s="398"/>
      <c r="D439" s="398"/>
      <c r="E439" s="398"/>
      <c r="F439" s="398"/>
      <c r="G439" s="398"/>
      <c r="H439" s="398"/>
      <c r="I439" s="398"/>
      <c r="J439" s="398"/>
      <c r="K439" s="398"/>
      <c r="L439" s="398"/>
      <c r="M439" s="398"/>
      <c r="N439" s="398"/>
      <c r="O439" s="398"/>
      <c r="P439" s="398"/>
      <c r="Q439" s="398"/>
      <c r="R439" s="398"/>
      <c r="S439" s="398"/>
      <c r="T439" s="398"/>
      <c r="U439" s="398"/>
      <c r="V439" s="398"/>
      <c r="W439" s="398"/>
      <c r="X439" s="398"/>
      <c r="Y439" s="398"/>
      <c r="Z439" s="398"/>
    </row>
    <row r="440">
      <c r="A440" s="396"/>
      <c r="B440" s="397"/>
      <c r="C440" s="398"/>
      <c r="D440" s="398"/>
      <c r="E440" s="398"/>
      <c r="F440" s="398"/>
      <c r="G440" s="398"/>
      <c r="H440" s="398"/>
      <c r="I440" s="398"/>
      <c r="J440" s="398"/>
      <c r="K440" s="398"/>
      <c r="L440" s="398"/>
      <c r="M440" s="398"/>
      <c r="N440" s="398"/>
      <c r="O440" s="398"/>
      <c r="P440" s="398"/>
      <c r="Q440" s="398"/>
      <c r="R440" s="398"/>
      <c r="S440" s="398"/>
      <c r="T440" s="398"/>
      <c r="U440" s="398"/>
      <c r="V440" s="398"/>
      <c r="W440" s="398"/>
      <c r="X440" s="398"/>
      <c r="Y440" s="398"/>
      <c r="Z440" s="398"/>
    </row>
    <row r="441">
      <c r="A441" s="396"/>
      <c r="B441" s="397"/>
      <c r="C441" s="398"/>
      <c r="D441" s="398"/>
      <c r="E441" s="398"/>
      <c r="F441" s="398"/>
      <c r="G441" s="398"/>
      <c r="H441" s="398"/>
      <c r="I441" s="398"/>
      <c r="J441" s="398"/>
      <c r="K441" s="398"/>
      <c r="L441" s="398"/>
      <c r="M441" s="398"/>
      <c r="N441" s="398"/>
      <c r="O441" s="398"/>
      <c r="P441" s="398"/>
      <c r="Q441" s="398"/>
      <c r="R441" s="398"/>
      <c r="S441" s="398"/>
      <c r="T441" s="398"/>
      <c r="U441" s="398"/>
      <c r="V441" s="398"/>
      <c r="W441" s="398"/>
      <c r="X441" s="398"/>
      <c r="Y441" s="398"/>
      <c r="Z441" s="398"/>
    </row>
    <row r="442">
      <c r="A442" s="396"/>
      <c r="B442" s="397"/>
      <c r="C442" s="398"/>
      <c r="D442" s="398"/>
      <c r="E442" s="398"/>
      <c r="F442" s="398"/>
      <c r="G442" s="398"/>
      <c r="H442" s="398"/>
      <c r="I442" s="398"/>
      <c r="J442" s="398"/>
      <c r="K442" s="398"/>
      <c r="L442" s="398"/>
      <c r="M442" s="398"/>
      <c r="N442" s="398"/>
      <c r="O442" s="398"/>
      <c r="P442" s="398"/>
      <c r="Q442" s="398"/>
      <c r="R442" s="398"/>
      <c r="S442" s="398"/>
      <c r="T442" s="398"/>
      <c r="U442" s="398"/>
      <c r="V442" s="398"/>
      <c r="W442" s="398"/>
      <c r="X442" s="398"/>
      <c r="Y442" s="398"/>
      <c r="Z442" s="398"/>
    </row>
    <row r="443">
      <c r="A443" s="396"/>
      <c r="B443" s="397"/>
      <c r="C443" s="398"/>
      <c r="D443" s="398"/>
      <c r="E443" s="398"/>
      <c r="F443" s="398"/>
      <c r="G443" s="398"/>
      <c r="H443" s="398"/>
      <c r="I443" s="398"/>
      <c r="J443" s="398"/>
      <c r="K443" s="398"/>
      <c r="L443" s="398"/>
      <c r="M443" s="398"/>
      <c r="N443" s="398"/>
      <c r="O443" s="398"/>
      <c r="P443" s="398"/>
      <c r="Q443" s="398"/>
      <c r="R443" s="398"/>
      <c r="S443" s="398"/>
      <c r="T443" s="398"/>
      <c r="U443" s="398"/>
      <c r="V443" s="398"/>
      <c r="W443" s="398"/>
      <c r="X443" s="398"/>
      <c r="Y443" s="398"/>
      <c r="Z443" s="398"/>
    </row>
    <row r="444">
      <c r="A444" s="396"/>
      <c r="B444" s="397"/>
      <c r="C444" s="398"/>
      <c r="D444" s="398"/>
      <c r="E444" s="398"/>
      <c r="F444" s="398"/>
      <c r="G444" s="398"/>
      <c r="H444" s="398"/>
      <c r="I444" s="398"/>
      <c r="J444" s="398"/>
      <c r="K444" s="398"/>
      <c r="L444" s="398"/>
      <c r="M444" s="398"/>
      <c r="N444" s="398"/>
      <c r="O444" s="398"/>
      <c r="P444" s="398"/>
      <c r="Q444" s="398"/>
      <c r="R444" s="398"/>
      <c r="S444" s="398"/>
      <c r="T444" s="398"/>
      <c r="U444" s="398"/>
      <c r="V444" s="398"/>
      <c r="W444" s="398"/>
      <c r="X444" s="398"/>
      <c r="Y444" s="398"/>
      <c r="Z444" s="398"/>
    </row>
    <row r="445">
      <c r="A445" s="396"/>
      <c r="B445" s="397"/>
      <c r="C445" s="398"/>
      <c r="D445" s="398"/>
      <c r="E445" s="398"/>
      <c r="F445" s="398"/>
      <c r="G445" s="398"/>
      <c r="H445" s="398"/>
      <c r="I445" s="398"/>
      <c r="J445" s="398"/>
      <c r="K445" s="398"/>
      <c r="L445" s="398"/>
      <c r="M445" s="398"/>
      <c r="N445" s="398"/>
      <c r="O445" s="398"/>
      <c r="P445" s="398"/>
      <c r="Q445" s="398"/>
      <c r="R445" s="398"/>
      <c r="S445" s="398"/>
      <c r="T445" s="398"/>
      <c r="U445" s="398"/>
      <c r="V445" s="398"/>
      <c r="W445" s="398"/>
      <c r="X445" s="398"/>
      <c r="Y445" s="398"/>
      <c r="Z445" s="398"/>
    </row>
    <row r="446">
      <c r="A446" s="396"/>
      <c r="B446" s="397"/>
      <c r="C446" s="398"/>
      <c r="D446" s="398"/>
      <c r="E446" s="398"/>
      <c r="F446" s="398"/>
      <c r="G446" s="398"/>
      <c r="H446" s="398"/>
      <c r="I446" s="398"/>
      <c r="J446" s="398"/>
      <c r="K446" s="398"/>
      <c r="L446" s="398"/>
      <c r="M446" s="398"/>
      <c r="N446" s="398"/>
      <c r="O446" s="398"/>
      <c r="P446" s="398"/>
      <c r="Q446" s="398"/>
      <c r="R446" s="398"/>
      <c r="S446" s="398"/>
      <c r="T446" s="398"/>
      <c r="U446" s="398"/>
      <c r="V446" s="398"/>
      <c r="W446" s="398"/>
      <c r="X446" s="398"/>
      <c r="Y446" s="398"/>
      <c r="Z446" s="398"/>
    </row>
    <row r="447">
      <c r="A447" s="396"/>
      <c r="B447" s="397"/>
      <c r="C447" s="398"/>
      <c r="D447" s="398"/>
      <c r="E447" s="398"/>
      <c r="F447" s="398"/>
      <c r="G447" s="398"/>
      <c r="H447" s="398"/>
      <c r="I447" s="398"/>
      <c r="J447" s="398"/>
      <c r="K447" s="398"/>
      <c r="L447" s="398"/>
      <c r="M447" s="398"/>
      <c r="N447" s="398"/>
      <c r="O447" s="398"/>
      <c r="P447" s="398"/>
      <c r="Q447" s="398"/>
      <c r="R447" s="398"/>
      <c r="S447" s="398"/>
      <c r="T447" s="398"/>
      <c r="U447" s="398"/>
      <c r="V447" s="398"/>
      <c r="W447" s="398"/>
      <c r="X447" s="398"/>
      <c r="Y447" s="398"/>
      <c r="Z447" s="398"/>
    </row>
    <row r="448">
      <c r="A448" s="396"/>
      <c r="B448" s="397"/>
      <c r="C448" s="398"/>
      <c r="D448" s="398"/>
      <c r="E448" s="398"/>
      <c r="F448" s="398"/>
      <c r="G448" s="398"/>
      <c r="H448" s="398"/>
      <c r="I448" s="398"/>
      <c r="J448" s="398"/>
      <c r="K448" s="398"/>
      <c r="L448" s="398"/>
      <c r="M448" s="398"/>
      <c r="N448" s="398"/>
      <c r="O448" s="398"/>
      <c r="P448" s="398"/>
      <c r="Q448" s="398"/>
      <c r="R448" s="398"/>
      <c r="S448" s="398"/>
      <c r="T448" s="398"/>
      <c r="U448" s="398"/>
      <c r="V448" s="398"/>
      <c r="W448" s="398"/>
      <c r="X448" s="398"/>
      <c r="Y448" s="398"/>
      <c r="Z448" s="398"/>
    </row>
    <row r="449">
      <c r="A449" s="396"/>
      <c r="B449" s="397"/>
      <c r="C449" s="398"/>
      <c r="D449" s="398"/>
      <c r="E449" s="398"/>
      <c r="F449" s="398"/>
      <c r="G449" s="398"/>
      <c r="H449" s="398"/>
      <c r="I449" s="398"/>
      <c r="J449" s="398"/>
      <c r="K449" s="398"/>
      <c r="L449" s="398"/>
      <c r="M449" s="398"/>
      <c r="N449" s="398"/>
      <c r="O449" s="398"/>
      <c r="P449" s="398"/>
      <c r="Q449" s="398"/>
      <c r="R449" s="398"/>
      <c r="S449" s="398"/>
      <c r="T449" s="398"/>
      <c r="U449" s="398"/>
      <c r="V449" s="398"/>
      <c r="W449" s="398"/>
      <c r="X449" s="398"/>
      <c r="Y449" s="398"/>
      <c r="Z449" s="398"/>
    </row>
    <row r="450">
      <c r="A450" s="396"/>
      <c r="B450" s="397"/>
      <c r="C450" s="398"/>
      <c r="D450" s="398"/>
      <c r="E450" s="398"/>
      <c r="F450" s="398"/>
      <c r="G450" s="398"/>
      <c r="H450" s="398"/>
      <c r="I450" s="398"/>
      <c r="J450" s="398"/>
      <c r="K450" s="398"/>
      <c r="L450" s="398"/>
      <c r="M450" s="398"/>
      <c r="N450" s="398"/>
      <c r="O450" s="398"/>
      <c r="P450" s="398"/>
      <c r="Q450" s="398"/>
      <c r="R450" s="398"/>
      <c r="S450" s="398"/>
      <c r="T450" s="398"/>
      <c r="U450" s="398"/>
      <c r="V450" s="398"/>
      <c r="W450" s="398"/>
      <c r="X450" s="398"/>
      <c r="Y450" s="398"/>
      <c r="Z450" s="398"/>
    </row>
    <row r="451">
      <c r="A451" s="396"/>
      <c r="B451" s="397"/>
      <c r="C451" s="398"/>
      <c r="D451" s="398"/>
      <c r="E451" s="398"/>
      <c r="F451" s="398"/>
      <c r="G451" s="398"/>
      <c r="H451" s="398"/>
      <c r="I451" s="398"/>
      <c r="J451" s="398"/>
      <c r="K451" s="398"/>
      <c r="L451" s="398"/>
      <c r="M451" s="398"/>
      <c r="N451" s="398"/>
      <c r="O451" s="398"/>
      <c r="P451" s="398"/>
      <c r="Q451" s="398"/>
      <c r="R451" s="398"/>
      <c r="S451" s="398"/>
      <c r="T451" s="398"/>
      <c r="U451" s="398"/>
      <c r="V451" s="398"/>
      <c r="W451" s="398"/>
      <c r="X451" s="398"/>
      <c r="Y451" s="398"/>
      <c r="Z451" s="398"/>
    </row>
    <row r="452">
      <c r="A452" s="396"/>
      <c r="B452" s="397"/>
      <c r="C452" s="398"/>
      <c r="D452" s="398"/>
      <c r="E452" s="398"/>
      <c r="F452" s="398"/>
      <c r="G452" s="398"/>
      <c r="H452" s="398"/>
      <c r="I452" s="398"/>
      <c r="J452" s="398"/>
      <c r="K452" s="398"/>
      <c r="L452" s="398"/>
      <c r="M452" s="398"/>
      <c r="N452" s="398"/>
      <c r="O452" s="398"/>
      <c r="P452" s="398"/>
      <c r="Q452" s="398"/>
      <c r="R452" s="398"/>
      <c r="S452" s="398"/>
      <c r="T452" s="398"/>
      <c r="U452" s="398"/>
      <c r="V452" s="398"/>
      <c r="W452" s="398"/>
      <c r="X452" s="398"/>
      <c r="Y452" s="398"/>
      <c r="Z452" s="398"/>
    </row>
    <row r="453">
      <c r="A453" s="396"/>
      <c r="B453" s="397"/>
      <c r="C453" s="398"/>
      <c r="D453" s="398"/>
      <c r="E453" s="398"/>
      <c r="F453" s="398"/>
      <c r="G453" s="398"/>
      <c r="H453" s="398"/>
      <c r="I453" s="398"/>
      <c r="J453" s="398"/>
      <c r="K453" s="398"/>
      <c r="L453" s="398"/>
      <c r="M453" s="398"/>
      <c r="N453" s="398"/>
      <c r="O453" s="398"/>
      <c r="P453" s="398"/>
      <c r="Q453" s="398"/>
      <c r="R453" s="398"/>
      <c r="S453" s="398"/>
      <c r="T453" s="398"/>
      <c r="U453" s="398"/>
      <c r="V453" s="398"/>
      <c r="W453" s="398"/>
      <c r="X453" s="398"/>
      <c r="Y453" s="398"/>
      <c r="Z453" s="398"/>
    </row>
    <row r="454">
      <c r="A454" s="396"/>
      <c r="B454" s="397"/>
      <c r="C454" s="398"/>
      <c r="D454" s="398"/>
      <c r="E454" s="398"/>
      <c r="F454" s="398"/>
      <c r="G454" s="398"/>
      <c r="H454" s="398"/>
      <c r="I454" s="398"/>
      <c r="J454" s="398"/>
      <c r="K454" s="398"/>
      <c r="L454" s="398"/>
      <c r="M454" s="398"/>
      <c r="N454" s="398"/>
      <c r="O454" s="398"/>
      <c r="P454" s="398"/>
      <c r="Q454" s="398"/>
      <c r="R454" s="398"/>
      <c r="S454" s="398"/>
      <c r="T454" s="398"/>
      <c r="U454" s="398"/>
      <c r="V454" s="398"/>
      <c r="W454" s="398"/>
      <c r="X454" s="398"/>
      <c r="Y454" s="398"/>
      <c r="Z454" s="398"/>
    </row>
    <row r="455">
      <c r="A455" s="396"/>
      <c r="B455" s="397"/>
      <c r="C455" s="398"/>
      <c r="D455" s="398"/>
      <c r="E455" s="398"/>
      <c r="F455" s="398"/>
      <c r="G455" s="398"/>
      <c r="H455" s="398"/>
      <c r="I455" s="398"/>
      <c r="J455" s="398"/>
      <c r="K455" s="398"/>
      <c r="L455" s="398"/>
      <c r="M455" s="398"/>
      <c r="N455" s="398"/>
      <c r="O455" s="398"/>
      <c r="P455" s="398"/>
      <c r="Q455" s="398"/>
      <c r="R455" s="398"/>
      <c r="S455" s="398"/>
      <c r="T455" s="398"/>
      <c r="U455" s="398"/>
      <c r="V455" s="398"/>
      <c r="W455" s="398"/>
      <c r="X455" s="398"/>
      <c r="Y455" s="398"/>
      <c r="Z455" s="398"/>
    </row>
    <row r="456">
      <c r="A456" s="396"/>
      <c r="B456" s="397"/>
      <c r="C456" s="398"/>
      <c r="D456" s="398"/>
      <c r="E456" s="398"/>
      <c r="F456" s="398"/>
      <c r="G456" s="398"/>
      <c r="H456" s="398"/>
      <c r="I456" s="398"/>
      <c r="J456" s="398"/>
      <c r="K456" s="398"/>
      <c r="L456" s="398"/>
      <c r="M456" s="398"/>
      <c r="N456" s="398"/>
      <c r="O456" s="398"/>
      <c r="P456" s="398"/>
      <c r="Q456" s="398"/>
      <c r="R456" s="398"/>
      <c r="S456" s="398"/>
      <c r="T456" s="398"/>
      <c r="U456" s="398"/>
      <c r="V456" s="398"/>
      <c r="W456" s="398"/>
      <c r="X456" s="398"/>
      <c r="Y456" s="398"/>
      <c r="Z456" s="398"/>
    </row>
    <row r="457">
      <c r="A457" s="396"/>
      <c r="B457" s="397"/>
      <c r="C457" s="398"/>
      <c r="D457" s="398"/>
      <c r="E457" s="398"/>
      <c r="F457" s="398"/>
      <c r="G457" s="398"/>
      <c r="H457" s="398"/>
      <c r="I457" s="398"/>
      <c r="J457" s="398"/>
      <c r="K457" s="398"/>
      <c r="L457" s="398"/>
      <c r="M457" s="398"/>
      <c r="N457" s="398"/>
      <c r="O457" s="398"/>
      <c r="P457" s="398"/>
      <c r="Q457" s="398"/>
      <c r="R457" s="398"/>
      <c r="S457" s="398"/>
      <c r="T457" s="398"/>
      <c r="U457" s="398"/>
      <c r="V457" s="398"/>
      <c r="W457" s="398"/>
      <c r="X457" s="398"/>
      <c r="Y457" s="398"/>
      <c r="Z457" s="398"/>
    </row>
    <row r="458">
      <c r="A458" s="396"/>
      <c r="B458" s="397"/>
      <c r="C458" s="398"/>
      <c r="D458" s="398"/>
      <c r="E458" s="398"/>
      <c r="F458" s="398"/>
      <c r="G458" s="398"/>
      <c r="H458" s="398"/>
      <c r="I458" s="398"/>
      <c r="J458" s="398"/>
      <c r="K458" s="398"/>
      <c r="L458" s="398"/>
      <c r="M458" s="398"/>
      <c r="N458" s="398"/>
      <c r="O458" s="398"/>
      <c r="P458" s="398"/>
      <c r="Q458" s="398"/>
      <c r="R458" s="398"/>
      <c r="S458" s="398"/>
      <c r="T458" s="398"/>
      <c r="U458" s="398"/>
      <c r="V458" s="398"/>
      <c r="W458" s="398"/>
      <c r="X458" s="398"/>
      <c r="Y458" s="398"/>
      <c r="Z458" s="398"/>
    </row>
    <row r="459">
      <c r="A459" s="396"/>
      <c r="B459" s="397"/>
      <c r="C459" s="398"/>
      <c r="D459" s="398"/>
      <c r="E459" s="398"/>
      <c r="F459" s="398"/>
      <c r="G459" s="398"/>
      <c r="H459" s="398"/>
      <c r="I459" s="398"/>
      <c r="J459" s="398"/>
      <c r="K459" s="398"/>
      <c r="L459" s="398"/>
      <c r="M459" s="398"/>
      <c r="N459" s="398"/>
      <c r="O459" s="398"/>
      <c r="P459" s="398"/>
      <c r="Q459" s="398"/>
      <c r="R459" s="398"/>
      <c r="S459" s="398"/>
      <c r="T459" s="398"/>
      <c r="U459" s="398"/>
      <c r="V459" s="398"/>
      <c r="W459" s="398"/>
      <c r="X459" s="398"/>
      <c r="Y459" s="398"/>
      <c r="Z459" s="398"/>
    </row>
    <row r="460">
      <c r="A460" s="396"/>
      <c r="B460" s="397"/>
      <c r="C460" s="398"/>
      <c r="D460" s="398"/>
      <c r="E460" s="398"/>
      <c r="F460" s="398"/>
      <c r="G460" s="398"/>
      <c r="H460" s="398"/>
      <c r="I460" s="398"/>
      <c r="J460" s="398"/>
      <c r="K460" s="398"/>
      <c r="L460" s="398"/>
      <c r="M460" s="398"/>
      <c r="N460" s="398"/>
      <c r="O460" s="398"/>
      <c r="P460" s="398"/>
      <c r="Q460" s="398"/>
      <c r="R460" s="398"/>
      <c r="S460" s="398"/>
      <c r="T460" s="398"/>
      <c r="U460" s="398"/>
      <c r="V460" s="398"/>
      <c r="W460" s="398"/>
      <c r="X460" s="398"/>
      <c r="Y460" s="398"/>
      <c r="Z460" s="398"/>
    </row>
    <row r="461">
      <c r="A461" s="396"/>
      <c r="B461" s="397"/>
      <c r="C461" s="398"/>
      <c r="D461" s="398"/>
      <c r="E461" s="398"/>
      <c r="F461" s="398"/>
      <c r="G461" s="398"/>
      <c r="H461" s="398"/>
      <c r="I461" s="398"/>
      <c r="J461" s="398"/>
      <c r="K461" s="398"/>
      <c r="L461" s="398"/>
      <c r="M461" s="398"/>
      <c r="N461" s="398"/>
      <c r="O461" s="398"/>
      <c r="P461" s="398"/>
      <c r="Q461" s="398"/>
      <c r="R461" s="398"/>
      <c r="S461" s="398"/>
      <c r="T461" s="398"/>
      <c r="U461" s="398"/>
      <c r="V461" s="398"/>
      <c r="W461" s="398"/>
      <c r="X461" s="398"/>
      <c r="Y461" s="398"/>
      <c r="Z461" s="398"/>
    </row>
    <row r="462">
      <c r="A462" s="396"/>
      <c r="B462" s="397"/>
      <c r="C462" s="398"/>
      <c r="D462" s="398"/>
      <c r="E462" s="398"/>
      <c r="F462" s="398"/>
      <c r="G462" s="398"/>
      <c r="H462" s="398"/>
      <c r="I462" s="398"/>
      <c r="J462" s="398"/>
      <c r="K462" s="398"/>
      <c r="L462" s="398"/>
      <c r="M462" s="398"/>
      <c r="N462" s="398"/>
      <c r="O462" s="398"/>
      <c r="P462" s="398"/>
      <c r="Q462" s="398"/>
      <c r="R462" s="398"/>
      <c r="S462" s="398"/>
      <c r="T462" s="398"/>
      <c r="U462" s="398"/>
      <c r="V462" s="398"/>
      <c r="W462" s="398"/>
      <c r="X462" s="398"/>
      <c r="Y462" s="398"/>
      <c r="Z462" s="398"/>
    </row>
    <row r="463">
      <c r="A463" s="396"/>
      <c r="B463" s="397"/>
      <c r="C463" s="398"/>
      <c r="D463" s="398"/>
      <c r="E463" s="398"/>
      <c r="F463" s="398"/>
      <c r="G463" s="398"/>
      <c r="H463" s="398"/>
      <c r="I463" s="398"/>
      <c r="J463" s="398"/>
      <c r="K463" s="398"/>
      <c r="L463" s="398"/>
      <c r="M463" s="398"/>
      <c r="N463" s="398"/>
      <c r="O463" s="398"/>
      <c r="P463" s="398"/>
      <c r="Q463" s="398"/>
      <c r="R463" s="398"/>
      <c r="S463" s="398"/>
      <c r="T463" s="398"/>
      <c r="U463" s="398"/>
      <c r="V463" s="398"/>
      <c r="W463" s="398"/>
      <c r="X463" s="398"/>
      <c r="Y463" s="398"/>
      <c r="Z463" s="398"/>
    </row>
    <row r="464">
      <c r="A464" s="396"/>
      <c r="B464" s="397"/>
      <c r="C464" s="398"/>
      <c r="D464" s="398"/>
      <c r="E464" s="398"/>
      <c r="F464" s="398"/>
      <c r="G464" s="398"/>
      <c r="H464" s="398"/>
      <c r="I464" s="398"/>
      <c r="J464" s="398"/>
      <c r="K464" s="398"/>
      <c r="L464" s="398"/>
      <c r="M464" s="398"/>
      <c r="N464" s="398"/>
      <c r="O464" s="398"/>
      <c r="P464" s="398"/>
      <c r="Q464" s="398"/>
      <c r="R464" s="398"/>
      <c r="S464" s="398"/>
      <c r="T464" s="398"/>
      <c r="U464" s="398"/>
      <c r="V464" s="398"/>
      <c r="W464" s="398"/>
      <c r="X464" s="398"/>
      <c r="Y464" s="398"/>
      <c r="Z464" s="398"/>
    </row>
    <row r="465">
      <c r="A465" s="396"/>
      <c r="B465" s="397"/>
      <c r="C465" s="398"/>
      <c r="D465" s="398"/>
      <c r="E465" s="398"/>
      <c r="F465" s="398"/>
      <c r="G465" s="398"/>
      <c r="H465" s="398"/>
      <c r="I465" s="398"/>
      <c r="J465" s="398"/>
      <c r="K465" s="398"/>
      <c r="L465" s="398"/>
      <c r="M465" s="398"/>
      <c r="N465" s="398"/>
      <c r="O465" s="398"/>
      <c r="P465" s="398"/>
      <c r="Q465" s="398"/>
      <c r="R465" s="398"/>
      <c r="S465" s="398"/>
      <c r="T465" s="398"/>
      <c r="U465" s="398"/>
      <c r="V465" s="398"/>
      <c r="W465" s="398"/>
      <c r="X465" s="398"/>
      <c r="Y465" s="398"/>
      <c r="Z465" s="398"/>
    </row>
    <row r="466">
      <c r="A466" s="396"/>
      <c r="B466" s="397"/>
      <c r="C466" s="398"/>
      <c r="D466" s="398"/>
      <c r="E466" s="398"/>
      <c r="F466" s="398"/>
      <c r="G466" s="398"/>
      <c r="H466" s="398"/>
      <c r="I466" s="398"/>
      <c r="J466" s="398"/>
      <c r="K466" s="398"/>
      <c r="L466" s="398"/>
      <c r="M466" s="398"/>
      <c r="N466" s="398"/>
      <c r="O466" s="398"/>
      <c r="P466" s="398"/>
      <c r="Q466" s="398"/>
      <c r="R466" s="398"/>
      <c r="S466" s="398"/>
      <c r="T466" s="398"/>
      <c r="U466" s="398"/>
      <c r="V466" s="398"/>
      <c r="W466" s="398"/>
      <c r="X466" s="398"/>
      <c r="Y466" s="398"/>
      <c r="Z466" s="398"/>
    </row>
    <row r="467">
      <c r="A467" s="396"/>
      <c r="B467" s="397"/>
      <c r="C467" s="398"/>
      <c r="D467" s="398"/>
      <c r="E467" s="398"/>
      <c r="F467" s="398"/>
      <c r="G467" s="398"/>
      <c r="H467" s="398"/>
      <c r="I467" s="398"/>
      <c r="J467" s="398"/>
      <c r="K467" s="398"/>
      <c r="L467" s="398"/>
      <c r="M467" s="398"/>
      <c r="N467" s="398"/>
      <c r="O467" s="398"/>
      <c r="P467" s="398"/>
      <c r="Q467" s="398"/>
      <c r="R467" s="398"/>
      <c r="S467" s="398"/>
      <c r="T467" s="398"/>
      <c r="U467" s="398"/>
      <c r="V467" s="398"/>
      <c r="W467" s="398"/>
      <c r="X467" s="398"/>
      <c r="Y467" s="398"/>
      <c r="Z467" s="398"/>
    </row>
    <row r="468">
      <c r="A468" s="396"/>
      <c r="B468" s="397"/>
      <c r="C468" s="398"/>
      <c r="D468" s="398"/>
      <c r="E468" s="398"/>
      <c r="F468" s="398"/>
      <c r="G468" s="398"/>
      <c r="H468" s="398"/>
      <c r="I468" s="398"/>
      <c r="J468" s="398"/>
      <c r="K468" s="398"/>
      <c r="L468" s="398"/>
      <c r="M468" s="398"/>
      <c r="N468" s="398"/>
      <c r="O468" s="398"/>
      <c r="P468" s="398"/>
      <c r="Q468" s="398"/>
      <c r="R468" s="398"/>
      <c r="S468" s="398"/>
      <c r="T468" s="398"/>
      <c r="U468" s="398"/>
      <c r="V468" s="398"/>
      <c r="W468" s="398"/>
      <c r="X468" s="398"/>
      <c r="Y468" s="398"/>
      <c r="Z468" s="398"/>
    </row>
    <row r="469">
      <c r="A469" s="396"/>
      <c r="B469" s="397"/>
      <c r="C469" s="398"/>
      <c r="D469" s="398"/>
      <c r="E469" s="398"/>
      <c r="F469" s="398"/>
      <c r="G469" s="398"/>
      <c r="H469" s="398"/>
      <c r="I469" s="398"/>
      <c r="J469" s="398"/>
      <c r="K469" s="398"/>
      <c r="L469" s="398"/>
      <c r="M469" s="398"/>
      <c r="N469" s="398"/>
      <c r="O469" s="398"/>
      <c r="P469" s="398"/>
      <c r="Q469" s="398"/>
      <c r="R469" s="398"/>
      <c r="S469" s="398"/>
      <c r="T469" s="398"/>
      <c r="U469" s="398"/>
      <c r="V469" s="398"/>
      <c r="W469" s="398"/>
      <c r="X469" s="398"/>
      <c r="Y469" s="398"/>
      <c r="Z469" s="398"/>
    </row>
    <row r="470">
      <c r="A470" s="396"/>
      <c r="B470" s="397"/>
      <c r="C470" s="398"/>
      <c r="D470" s="398"/>
      <c r="E470" s="398"/>
      <c r="F470" s="398"/>
      <c r="G470" s="398"/>
      <c r="H470" s="398"/>
      <c r="I470" s="398"/>
      <c r="J470" s="398"/>
      <c r="K470" s="398"/>
      <c r="L470" s="398"/>
      <c r="M470" s="398"/>
      <c r="N470" s="398"/>
      <c r="O470" s="398"/>
      <c r="P470" s="398"/>
      <c r="Q470" s="398"/>
      <c r="R470" s="398"/>
      <c r="S470" s="398"/>
      <c r="T470" s="398"/>
      <c r="U470" s="398"/>
      <c r="V470" s="398"/>
      <c r="W470" s="398"/>
      <c r="X470" s="398"/>
      <c r="Y470" s="398"/>
      <c r="Z470" s="398"/>
    </row>
    <row r="471">
      <c r="A471" s="396"/>
      <c r="B471" s="397"/>
      <c r="C471" s="398"/>
      <c r="D471" s="398"/>
      <c r="E471" s="398"/>
      <c r="F471" s="398"/>
      <c r="G471" s="398"/>
      <c r="H471" s="398"/>
      <c r="I471" s="398"/>
      <c r="J471" s="398"/>
      <c r="K471" s="398"/>
      <c r="L471" s="398"/>
      <c r="M471" s="398"/>
      <c r="N471" s="398"/>
      <c r="O471" s="398"/>
      <c r="P471" s="398"/>
      <c r="Q471" s="398"/>
      <c r="R471" s="398"/>
      <c r="S471" s="398"/>
      <c r="T471" s="398"/>
      <c r="U471" s="398"/>
      <c r="V471" s="398"/>
      <c r="W471" s="398"/>
      <c r="X471" s="398"/>
      <c r="Y471" s="398"/>
      <c r="Z471" s="398"/>
    </row>
    <row r="472">
      <c r="A472" s="396"/>
      <c r="B472" s="397"/>
      <c r="C472" s="398"/>
      <c r="D472" s="398"/>
      <c r="E472" s="398"/>
      <c r="F472" s="398"/>
      <c r="G472" s="398"/>
      <c r="H472" s="398"/>
      <c r="I472" s="398"/>
      <c r="J472" s="398"/>
      <c r="K472" s="398"/>
      <c r="L472" s="398"/>
      <c r="M472" s="398"/>
      <c r="N472" s="398"/>
      <c r="O472" s="398"/>
      <c r="P472" s="398"/>
      <c r="Q472" s="398"/>
      <c r="R472" s="398"/>
      <c r="S472" s="398"/>
      <c r="T472" s="398"/>
      <c r="U472" s="398"/>
      <c r="V472" s="398"/>
      <c r="W472" s="398"/>
      <c r="X472" s="398"/>
      <c r="Y472" s="398"/>
      <c r="Z472" s="398"/>
    </row>
    <row r="473">
      <c r="A473" s="396"/>
      <c r="B473" s="397"/>
      <c r="C473" s="398"/>
      <c r="D473" s="398"/>
      <c r="E473" s="398"/>
      <c r="F473" s="398"/>
      <c r="G473" s="398"/>
      <c r="H473" s="398"/>
      <c r="I473" s="398"/>
      <c r="J473" s="398"/>
      <c r="K473" s="398"/>
      <c r="L473" s="398"/>
      <c r="M473" s="398"/>
      <c r="N473" s="398"/>
      <c r="O473" s="398"/>
      <c r="P473" s="398"/>
      <c r="Q473" s="398"/>
      <c r="R473" s="398"/>
      <c r="S473" s="398"/>
      <c r="T473" s="398"/>
      <c r="U473" s="398"/>
      <c r="V473" s="398"/>
      <c r="W473" s="398"/>
      <c r="X473" s="398"/>
      <c r="Y473" s="398"/>
      <c r="Z473" s="398"/>
    </row>
    <row r="474">
      <c r="A474" s="396"/>
      <c r="B474" s="397"/>
      <c r="C474" s="398"/>
      <c r="D474" s="398"/>
      <c r="E474" s="398"/>
      <c r="F474" s="398"/>
      <c r="G474" s="398"/>
      <c r="H474" s="398"/>
      <c r="I474" s="398"/>
      <c r="J474" s="398"/>
      <c r="K474" s="398"/>
      <c r="L474" s="398"/>
      <c r="M474" s="398"/>
      <c r="N474" s="398"/>
      <c r="O474" s="398"/>
      <c r="P474" s="398"/>
      <c r="Q474" s="398"/>
      <c r="R474" s="398"/>
      <c r="S474" s="398"/>
      <c r="T474" s="398"/>
      <c r="U474" s="398"/>
      <c r="V474" s="398"/>
      <c r="W474" s="398"/>
      <c r="X474" s="398"/>
      <c r="Y474" s="398"/>
      <c r="Z474" s="398"/>
    </row>
    <row r="475">
      <c r="A475" s="396"/>
      <c r="B475" s="397"/>
      <c r="C475" s="398"/>
      <c r="D475" s="398"/>
      <c r="E475" s="398"/>
      <c r="F475" s="398"/>
      <c r="G475" s="398"/>
      <c r="H475" s="398"/>
      <c r="I475" s="398"/>
      <c r="J475" s="398"/>
      <c r="K475" s="398"/>
      <c r="L475" s="398"/>
      <c r="M475" s="398"/>
      <c r="N475" s="398"/>
      <c r="O475" s="398"/>
      <c r="P475" s="398"/>
      <c r="Q475" s="398"/>
      <c r="R475" s="398"/>
      <c r="S475" s="398"/>
      <c r="T475" s="398"/>
      <c r="U475" s="398"/>
      <c r="V475" s="398"/>
      <c r="W475" s="398"/>
      <c r="X475" s="398"/>
      <c r="Y475" s="398"/>
      <c r="Z475" s="398"/>
    </row>
    <row r="476">
      <c r="A476" s="396"/>
      <c r="B476" s="397"/>
      <c r="C476" s="398"/>
      <c r="D476" s="398"/>
      <c r="E476" s="398"/>
      <c r="F476" s="398"/>
      <c r="G476" s="398"/>
      <c r="H476" s="398"/>
      <c r="I476" s="398"/>
      <c r="J476" s="398"/>
      <c r="K476" s="398"/>
      <c r="L476" s="398"/>
      <c r="M476" s="398"/>
      <c r="N476" s="398"/>
      <c r="O476" s="398"/>
      <c r="P476" s="398"/>
      <c r="Q476" s="398"/>
      <c r="R476" s="398"/>
      <c r="S476" s="398"/>
      <c r="T476" s="398"/>
      <c r="U476" s="398"/>
      <c r="V476" s="398"/>
      <c r="W476" s="398"/>
      <c r="X476" s="398"/>
      <c r="Y476" s="398"/>
      <c r="Z476" s="398"/>
    </row>
    <row r="477">
      <c r="A477" s="396"/>
      <c r="B477" s="397"/>
      <c r="C477" s="398"/>
      <c r="D477" s="398"/>
      <c r="E477" s="398"/>
      <c r="F477" s="398"/>
      <c r="G477" s="398"/>
      <c r="H477" s="398"/>
      <c r="I477" s="398"/>
      <c r="J477" s="398"/>
      <c r="K477" s="398"/>
      <c r="L477" s="398"/>
      <c r="M477" s="398"/>
      <c r="N477" s="398"/>
      <c r="O477" s="398"/>
      <c r="P477" s="398"/>
      <c r="Q477" s="398"/>
      <c r="R477" s="398"/>
      <c r="S477" s="398"/>
      <c r="T477" s="398"/>
      <c r="U477" s="398"/>
      <c r="V477" s="398"/>
      <c r="W477" s="398"/>
      <c r="X477" s="398"/>
      <c r="Y477" s="398"/>
      <c r="Z477" s="398"/>
    </row>
    <row r="478">
      <c r="A478" s="396"/>
      <c r="B478" s="397"/>
      <c r="C478" s="398"/>
      <c r="D478" s="398"/>
      <c r="E478" s="398"/>
      <c r="F478" s="398"/>
      <c r="G478" s="398"/>
      <c r="H478" s="398"/>
      <c r="I478" s="398"/>
      <c r="J478" s="398"/>
      <c r="K478" s="398"/>
      <c r="L478" s="398"/>
      <c r="M478" s="398"/>
      <c r="N478" s="398"/>
      <c r="O478" s="398"/>
      <c r="P478" s="398"/>
      <c r="Q478" s="398"/>
      <c r="R478" s="398"/>
      <c r="S478" s="398"/>
      <c r="T478" s="398"/>
      <c r="U478" s="398"/>
      <c r="V478" s="398"/>
      <c r="W478" s="398"/>
      <c r="X478" s="398"/>
      <c r="Y478" s="398"/>
      <c r="Z478" s="398"/>
    </row>
    <row r="479">
      <c r="A479" s="396"/>
      <c r="B479" s="397"/>
      <c r="C479" s="398"/>
      <c r="D479" s="398"/>
      <c r="E479" s="398"/>
      <c r="F479" s="398"/>
      <c r="G479" s="398"/>
      <c r="H479" s="398"/>
      <c r="I479" s="398"/>
      <c r="J479" s="398"/>
      <c r="K479" s="398"/>
      <c r="L479" s="398"/>
      <c r="M479" s="398"/>
      <c r="N479" s="398"/>
      <c r="O479" s="398"/>
      <c r="P479" s="398"/>
      <c r="Q479" s="398"/>
      <c r="R479" s="398"/>
      <c r="S479" s="398"/>
      <c r="T479" s="398"/>
      <c r="U479" s="398"/>
      <c r="V479" s="398"/>
      <c r="W479" s="398"/>
      <c r="X479" s="398"/>
      <c r="Y479" s="398"/>
      <c r="Z479" s="398"/>
    </row>
    <row r="480">
      <c r="A480" s="396"/>
      <c r="B480" s="397"/>
      <c r="C480" s="398"/>
      <c r="D480" s="398"/>
      <c r="E480" s="398"/>
      <c r="F480" s="398"/>
      <c r="G480" s="398"/>
      <c r="H480" s="398"/>
      <c r="I480" s="398"/>
      <c r="J480" s="398"/>
      <c r="K480" s="398"/>
      <c r="L480" s="398"/>
      <c r="M480" s="398"/>
      <c r="N480" s="398"/>
      <c r="O480" s="398"/>
      <c r="P480" s="398"/>
      <c r="Q480" s="398"/>
      <c r="R480" s="398"/>
      <c r="S480" s="398"/>
      <c r="T480" s="398"/>
      <c r="U480" s="398"/>
      <c r="V480" s="398"/>
      <c r="W480" s="398"/>
      <c r="X480" s="398"/>
      <c r="Y480" s="398"/>
      <c r="Z480" s="398"/>
    </row>
    <row r="481">
      <c r="A481" s="396"/>
      <c r="B481" s="397"/>
      <c r="C481" s="398"/>
      <c r="D481" s="398"/>
      <c r="E481" s="398"/>
      <c r="F481" s="398"/>
      <c r="G481" s="398"/>
      <c r="H481" s="398"/>
      <c r="I481" s="398"/>
      <c r="J481" s="398"/>
      <c r="K481" s="398"/>
      <c r="L481" s="398"/>
      <c r="M481" s="398"/>
      <c r="N481" s="398"/>
      <c r="O481" s="398"/>
      <c r="P481" s="398"/>
      <c r="Q481" s="398"/>
      <c r="R481" s="398"/>
      <c r="S481" s="398"/>
      <c r="T481" s="398"/>
      <c r="U481" s="398"/>
      <c r="V481" s="398"/>
      <c r="W481" s="398"/>
      <c r="X481" s="398"/>
      <c r="Y481" s="398"/>
      <c r="Z481" s="398"/>
    </row>
    <row r="482">
      <c r="A482" s="396"/>
      <c r="B482" s="397"/>
      <c r="C482" s="398"/>
      <c r="D482" s="398"/>
      <c r="E482" s="398"/>
      <c r="F482" s="398"/>
      <c r="G482" s="398"/>
      <c r="H482" s="398"/>
      <c r="I482" s="398"/>
      <c r="J482" s="398"/>
      <c r="K482" s="398"/>
      <c r="L482" s="398"/>
      <c r="M482" s="398"/>
      <c r="N482" s="398"/>
      <c r="O482" s="398"/>
      <c r="P482" s="398"/>
      <c r="Q482" s="398"/>
      <c r="R482" s="398"/>
      <c r="S482" s="398"/>
      <c r="T482" s="398"/>
      <c r="U482" s="398"/>
      <c r="V482" s="398"/>
      <c r="W482" s="398"/>
      <c r="X482" s="398"/>
      <c r="Y482" s="398"/>
      <c r="Z482" s="398"/>
    </row>
    <row r="483">
      <c r="A483" s="396"/>
      <c r="B483" s="397"/>
      <c r="C483" s="398"/>
      <c r="D483" s="398"/>
      <c r="E483" s="398"/>
      <c r="F483" s="398"/>
      <c r="G483" s="398"/>
      <c r="H483" s="398"/>
      <c r="I483" s="398"/>
      <c r="J483" s="398"/>
      <c r="K483" s="398"/>
      <c r="L483" s="398"/>
      <c r="M483" s="398"/>
      <c r="N483" s="398"/>
      <c r="O483" s="398"/>
      <c r="P483" s="398"/>
      <c r="Q483" s="398"/>
      <c r="R483" s="398"/>
      <c r="S483" s="398"/>
      <c r="T483" s="398"/>
      <c r="U483" s="398"/>
      <c r="V483" s="398"/>
      <c r="W483" s="398"/>
      <c r="X483" s="398"/>
      <c r="Y483" s="398"/>
      <c r="Z483" s="398"/>
    </row>
    <row r="484">
      <c r="A484" s="396"/>
      <c r="B484" s="397"/>
      <c r="C484" s="398"/>
      <c r="D484" s="398"/>
      <c r="E484" s="398"/>
      <c r="F484" s="398"/>
      <c r="G484" s="398"/>
      <c r="H484" s="398"/>
      <c r="I484" s="398"/>
      <c r="J484" s="398"/>
      <c r="K484" s="398"/>
      <c r="L484" s="398"/>
      <c r="M484" s="398"/>
      <c r="N484" s="398"/>
      <c r="O484" s="398"/>
      <c r="P484" s="398"/>
      <c r="Q484" s="398"/>
      <c r="R484" s="398"/>
      <c r="S484" s="398"/>
      <c r="T484" s="398"/>
      <c r="U484" s="398"/>
      <c r="V484" s="398"/>
      <c r="W484" s="398"/>
      <c r="X484" s="398"/>
      <c r="Y484" s="398"/>
      <c r="Z484" s="398"/>
    </row>
    <row r="485">
      <c r="A485" s="396"/>
      <c r="B485" s="397"/>
      <c r="C485" s="398"/>
      <c r="D485" s="398"/>
      <c r="E485" s="398"/>
      <c r="F485" s="398"/>
      <c r="G485" s="398"/>
      <c r="H485" s="398"/>
      <c r="I485" s="398"/>
      <c r="J485" s="398"/>
      <c r="K485" s="398"/>
      <c r="L485" s="398"/>
      <c r="M485" s="398"/>
      <c r="N485" s="398"/>
      <c r="O485" s="398"/>
      <c r="P485" s="398"/>
      <c r="Q485" s="398"/>
      <c r="R485" s="398"/>
      <c r="S485" s="398"/>
      <c r="T485" s="398"/>
      <c r="U485" s="398"/>
      <c r="V485" s="398"/>
      <c r="W485" s="398"/>
      <c r="X485" s="398"/>
      <c r="Y485" s="398"/>
      <c r="Z485" s="398"/>
    </row>
    <row r="486">
      <c r="A486" s="396"/>
      <c r="B486" s="397"/>
      <c r="C486" s="398"/>
      <c r="D486" s="398"/>
      <c r="E486" s="398"/>
      <c r="F486" s="398"/>
      <c r="G486" s="398"/>
      <c r="H486" s="398"/>
      <c r="I486" s="398"/>
      <c r="J486" s="398"/>
      <c r="K486" s="398"/>
      <c r="L486" s="398"/>
      <c r="M486" s="398"/>
      <c r="N486" s="398"/>
      <c r="O486" s="398"/>
      <c r="P486" s="398"/>
      <c r="Q486" s="398"/>
      <c r="R486" s="398"/>
      <c r="S486" s="398"/>
      <c r="T486" s="398"/>
      <c r="U486" s="398"/>
      <c r="V486" s="398"/>
      <c r="W486" s="398"/>
      <c r="X486" s="398"/>
      <c r="Y486" s="398"/>
      <c r="Z486" s="398"/>
    </row>
    <row r="487">
      <c r="A487" s="396"/>
      <c r="B487" s="397"/>
      <c r="C487" s="398"/>
      <c r="D487" s="398"/>
      <c r="E487" s="398"/>
      <c r="F487" s="398"/>
      <c r="G487" s="398"/>
      <c r="H487" s="398"/>
      <c r="I487" s="398"/>
      <c r="J487" s="398"/>
      <c r="K487" s="398"/>
      <c r="L487" s="398"/>
      <c r="M487" s="398"/>
      <c r="N487" s="398"/>
      <c r="O487" s="398"/>
      <c r="P487" s="398"/>
      <c r="Q487" s="398"/>
      <c r="R487" s="398"/>
      <c r="S487" s="398"/>
      <c r="T487" s="398"/>
      <c r="U487" s="398"/>
      <c r="V487" s="398"/>
      <c r="W487" s="398"/>
      <c r="X487" s="398"/>
      <c r="Y487" s="398"/>
      <c r="Z487" s="398"/>
    </row>
    <row r="488">
      <c r="A488" s="396"/>
      <c r="B488" s="397"/>
      <c r="C488" s="398"/>
      <c r="D488" s="398"/>
      <c r="E488" s="398"/>
      <c r="F488" s="398"/>
      <c r="G488" s="398"/>
      <c r="H488" s="398"/>
      <c r="I488" s="398"/>
      <c r="J488" s="398"/>
      <c r="K488" s="398"/>
      <c r="L488" s="398"/>
      <c r="M488" s="398"/>
      <c r="N488" s="398"/>
      <c r="O488" s="398"/>
      <c r="P488" s="398"/>
      <c r="Q488" s="398"/>
      <c r="R488" s="398"/>
      <c r="S488" s="398"/>
      <c r="T488" s="398"/>
      <c r="U488" s="398"/>
      <c r="V488" s="398"/>
      <c r="W488" s="398"/>
      <c r="X488" s="398"/>
      <c r="Y488" s="398"/>
      <c r="Z488" s="398"/>
    </row>
    <row r="489">
      <c r="A489" s="396"/>
      <c r="B489" s="397"/>
      <c r="C489" s="398"/>
      <c r="D489" s="398"/>
      <c r="E489" s="398"/>
      <c r="F489" s="398"/>
      <c r="G489" s="398"/>
      <c r="H489" s="398"/>
      <c r="I489" s="398"/>
      <c r="J489" s="398"/>
      <c r="K489" s="398"/>
      <c r="L489" s="398"/>
      <c r="M489" s="398"/>
      <c r="N489" s="398"/>
      <c r="O489" s="398"/>
      <c r="P489" s="398"/>
      <c r="Q489" s="398"/>
      <c r="R489" s="398"/>
      <c r="S489" s="398"/>
      <c r="T489" s="398"/>
      <c r="U489" s="398"/>
      <c r="V489" s="398"/>
      <c r="W489" s="398"/>
      <c r="X489" s="398"/>
      <c r="Y489" s="398"/>
      <c r="Z489" s="398"/>
    </row>
    <row r="490">
      <c r="A490" s="396"/>
      <c r="B490" s="397"/>
      <c r="C490" s="398"/>
      <c r="D490" s="398"/>
      <c r="E490" s="398"/>
      <c r="F490" s="398"/>
      <c r="G490" s="398"/>
      <c r="H490" s="398"/>
      <c r="I490" s="398"/>
      <c r="J490" s="398"/>
      <c r="K490" s="398"/>
      <c r="L490" s="398"/>
      <c r="M490" s="398"/>
      <c r="N490" s="398"/>
      <c r="O490" s="398"/>
      <c r="P490" s="398"/>
      <c r="Q490" s="398"/>
      <c r="R490" s="398"/>
      <c r="S490" s="398"/>
      <c r="T490" s="398"/>
      <c r="U490" s="398"/>
      <c r="V490" s="398"/>
      <c r="W490" s="398"/>
      <c r="X490" s="398"/>
      <c r="Y490" s="398"/>
      <c r="Z490" s="398"/>
    </row>
    <row r="491">
      <c r="A491" s="396"/>
      <c r="B491" s="397"/>
      <c r="C491" s="398"/>
      <c r="D491" s="398"/>
      <c r="E491" s="398"/>
      <c r="F491" s="398"/>
      <c r="G491" s="398"/>
      <c r="H491" s="398"/>
      <c r="I491" s="398"/>
      <c r="J491" s="398"/>
      <c r="K491" s="398"/>
      <c r="L491" s="398"/>
      <c r="M491" s="398"/>
      <c r="N491" s="398"/>
      <c r="O491" s="398"/>
      <c r="P491" s="398"/>
      <c r="Q491" s="398"/>
      <c r="R491" s="398"/>
      <c r="S491" s="398"/>
      <c r="T491" s="398"/>
      <c r="U491" s="398"/>
      <c r="V491" s="398"/>
      <c r="W491" s="398"/>
      <c r="X491" s="398"/>
      <c r="Y491" s="398"/>
      <c r="Z491" s="398"/>
    </row>
    <row r="492">
      <c r="A492" s="396"/>
      <c r="B492" s="397"/>
      <c r="C492" s="398"/>
      <c r="D492" s="398"/>
      <c r="E492" s="398"/>
      <c r="F492" s="398"/>
      <c r="G492" s="398"/>
      <c r="H492" s="398"/>
      <c r="I492" s="398"/>
      <c r="J492" s="398"/>
      <c r="K492" s="398"/>
      <c r="L492" s="398"/>
      <c r="M492" s="398"/>
      <c r="N492" s="398"/>
      <c r="O492" s="398"/>
      <c r="P492" s="398"/>
      <c r="Q492" s="398"/>
      <c r="R492" s="398"/>
      <c r="S492" s="398"/>
      <c r="T492" s="398"/>
      <c r="U492" s="398"/>
      <c r="V492" s="398"/>
      <c r="W492" s="398"/>
      <c r="X492" s="398"/>
      <c r="Y492" s="398"/>
      <c r="Z492" s="398"/>
    </row>
    <row r="493">
      <c r="A493" s="396"/>
      <c r="B493" s="397"/>
      <c r="C493" s="398"/>
      <c r="D493" s="398"/>
      <c r="E493" s="398"/>
      <c r="F493" s="398"/>
      <c r="G493" s="398"/>
      <c r="H493" s="398"/>
      <c r="I493" s="398"/>
      <c r="J493" s="398"/>
      <c r="K493" s="398"/>
      <c r="L493" s="398"/>
      <c r="M493" s="398"/>
      <c r="N493" s="398"/>
      <c r="O493" s="398"/>
      <c r="P493" s="398"/>
      <c r="Q493" s="398"/>
      <c r="R493" s="398"/>
      <c r="S493" s="398"/>
      <c r="T493" s="398"/>
      <c r="U493" s="398"/>
      <c r="V493" s="398"/>
      <c r="W493" s="398"/>
      <c r="X493" s="398"/>
      <c r="Y493" s="398"/>
      <c r="Z493" s="398"/>
    </row>
    <row r="494">
      <c r="A494" s="396"/>
      <c r="B494" s="397"/>
      <c r="C494" s="398"/>
      <c r="D494" s="398"/>
      <c r="E494" s="398"/>
      <c r="F494" s="398"/>
      <c r="G494" s="398"/>
      <c r="H494" s="398"/>
      <c r="I494" s="398"/>
      <c r="J494" s="398"/>
      <c r="K494" s="398"/>
      <c r="L494" s="398"/>
      <c r="M494" s="398"/>
      <c r="N494" s="398"/>
      <c r="O494" s="398"/>
      <c r="P494" s="398"/>
      <c r="Q494" s="398"/>
      <c r="R494" s="398"/>
      <c r="S494" s="398"/>
      <c r="T494" s="398"/>
      <c r="U494" s="398"/>
      <c r="V494" s="398"/>
      <c r="W494" s="398"/>
      <c r="X494" s="398"/>
      <c r="Y494" s="398"/>
      <c r="Z494" s="398"/>
    </row>
    <row r="495">
      <c r="A495" s="396"/>
      <c r="B495" s="397"/>
      <c r="C495" s="398"/>
      <c r="D495" s="398"/>
      <c r="E495" s="398"/>
      <c r="F495" s="398"/>
      <c r="G495" s="398"/>
      <c r="H495" s="398"/>
      <c r="I495" s="398"/>
      <c r="J495" s="398"/>
      <c r="K495" s="398"/>
      <c r="L495" s="398"/>
      <c r="M495" s="398"/>
      <c r="N495" s="398"/>
      <c r="O495" s="398"/>
      <c r="P495" s="398"/>
      <c r="Q495" s="398"/>
      <c r="R495" s="398"/>
      <c r="S495" s="398"/>
      <c r="T495" s="398"/>
      <c r="U495" s="398"/>
      <c r="V495" s="398"/>
      <c r="W495" s="398"/>
      <c r="X495" s="398"/>
      <c r="Y495" s="398"/>
      <c r="Z495" s="398"/>
    </row>
    <row r="496">
      <c r="A496" s="396"/>
      <c r="B496" s="397"/>
      <c r="C496" s="398"/>
      <c r="D496" s="398"/>
      <c r="E496" s="398"/>
      <c r="F496" s="398"/>
      <c r="G496" s="398"/>
      <c r="H496" s="398"/>
      <c r="I496" s="398"/>
      <c r="J496" s="398"/>
      <c r="K496" s="398"/>
      <c r="L496" s="398"/>
      <c r="M496" s="398"/>
      <c r="N496" s="398"/>
      <c r="O496" s="398"/>
      <c r="P496" s="398"/>
      <c r="Q496" s="398"/>
      <c r="R496" s="398"/>
      <c r="S496" s="398"/>
      <c r="T496" s="398"/>
      <c r="U496" s="398"/>
      <c r="V496" s="398"/>
      <c r="W496" s="398"/>
      <c r="X496" s="398"/>
      <c r="Y496" s="398"/>
      <c r="Z496" s="398"/>
    </row>
    <row r="497">
      <c r="A497" s="396"/>
      <c r="B497" s="397"/>
      <c r="C497" s="398"/>
      <c r="D497" s="398"/>
      <c r="E497" s="398"/>
      <c r="F497" s="398"/>
      <c r="G497" s="398"/>
      <c r="H497" s="398"/>
      <c r="I497" s="398"/>
      <c r="J497" s="398"/>
      <c r="K497" s="398"/>
      <c r="L497" s="398"/>
      <c r="M497" s="398"/>
      <c r="N497" s="398"/>
      <c r="O497" s="398"/>
      <c r="P497" s="398"/>
      <c r="Q497" s="398"/>
      <c r="R497" s="398"/>
      <c r="S497" s="398"/>
      <c r="T497" s="398"/>
      <c r="U497" s="398"/>
      <c r="V497" s="398"/>
      <c r="W497" s="398"/>
      <c r="X497" s="398"/>
      <c r="Y497" s="398"/>
      <c r="Z497" s="398"/>
    </row>
    <row r="498">
      <c r="A498" s="396"/>
      <c r="B498" s="397"/>
      <c r="C498" s="398"/>
      <c r="D498" s="398"/>
      <c r="E498" s="398"/>
      <c r="F498" s="398"/>
      <c r="G498" s="398"/>
      <c r="H498" s="398"/>
      <c r="I498" s="398"/>
      <c r="J498" s="398"/>
      <c r="K498" s="398"/>
      <c r="L498" s="398"/>
      <c r="M498" s="398"/>
      <c r="N498" s="398"/>
      <c r="O498" s="398"/>
      <c r="P498" s="398"/>
      <c r="Q498" s="398"/>
      <c r="R498" s="398"/>
      <c r="S498" s="398"/>
      <c r="T498" s="398"/>
      <c r="U498" s="398"/>
      <c r="V498" s="398"/>
      <c r="W498" s="398"/>
      <c r="X498" s="398"/>
      <c r="Y498" s="398"/>
      <c r="Z498" s="398"/>
    </row>
    <row r="499">
      <c r="A499" s="396"/>
      <c r="B499" s="397"/>
      <c r="C499" s="398"/>
      <c r="D499" s="398"/>
      <c r="E499" s="398"/>
      <c r="F499" s="398"/>
      <c r="G499" s="398"/>
      <c r="H499" s="398"/>
      <c r="I499" s="398"/>
      <c r="J499" s="398"/>
      <c r="K499" s="398"/>
      <c r="L499" s="398"/>
      <c r="M499" s="398"/>
      <c r="N499" s="398"/>
      <c r="O499" s="398"/>
      <c r="P499" s="398"/>
      <c r="Q499" s="398"/>
      <c r="R499" s="398"/>
      <c r="S499" s="398"/>
      <c r="T499" s="398"/>
      <c r="U499" s="398"/>
      <c r="V499" s="398"/>
      <c r="W499" s="398"/>
      <c r="X499" s="398"/>
      <c r="Y499" s="398"/>
      <c r="Z499" s="398"/>
    </row>
    <row r="500">
      <c r="A500" s="396"/>
      <c r="B500" s="397"/>
      <c r="C500" s="398"/>
      <c r="D500" s="398"/>
      <c r="E500" s="398"/>
      <c r="F500" s="398"/>
      <c r="G500" s="398"/>
      <c r="H500" s="398"/>
      <c r="I500" s="398"/>
      <c r="J500" s="398"/>
      <c r="K500" s="398"/>
      <c r="L500" s="398"/>
      <c r="M500" s="398"/>
      <c r="N500" s="398"/>
      <c r="O500" s="398"/>
      <c r="P500" s="398"/>
      <c r="Q500" s="398"/>
      <c r="R500" s="398"/>
      <c r="S500" s="398"/>
      <c r="T500" s="398"/>
      <c r="U500" s="398"/>
      <c r="V500" s="398"/>
      <c r="W500" s="398"/>
      <c r="X500" s="398"/>
      <c r="Y500" s="398"/>
      <c r="Z500" s="398"/>
    </row>
    <row r="501">
      <c r="A501" s="396"/>
      <c r="B501" s="397"/>
      <c r="C501" s="398"/>
      <c r="D501" s="398"/>
      <c r="E501" s="398"/>
      <c r="F501" s="398"/>
      <c r="G501" s="398"/>
      <c r="H501" s="398"/>
      <c r="I501" s="398"/>
      <c r="J501" s="398"/>
      <c r="K501" s="398"/>
      <c r="L501" s="398"/>
      <c r="M501" s="398"/>
      <c r="N501" s="398"/>
      <c r="O501" s="398"/>
      <c r="P501" s="398"/>
      <c r="Q501" s="398"/>
      <c r="R501" s="398"/>
      <c r="S501" s="398"/>
      <c r="T501" s="398"/>
      <c r="U501" s="398"/>
      <c r="V501" s="398"/>
      <c r="W501" s="398"/>
      <c r="X501" s="398"/>
      <c r="Y501" s="398"/>
      <c r="Z501" s="398"/>
    </row>
    <row r="502">
      <c r="A502" s="396"/>
      <c r="B502" s="397"/>
      <c r="C502" s="398"/>
      <c r="D502" s="398"/>
      <c r="E502" s="398"/>
      <c r="F502" s="398"/>
      <c r="G502" s="398"/>
      <c r="H502" s="398"/>
      <c r="I502" s="398"/>
      <c r="J502" s="398"/>
      <c r="K502" s="398"/>
      <c r="L502" s="398"/>
      <c r="M502" s="398"/>
      <c r="N502" s="398"/>
      <c r="O502" s="398"/>
      <c r="P502" s="398"/>
      <c r="Q502" s="398"/>
      <c r="R502" s="398"/>
      <c r="S502" s="398"/>
      <c r="T502" s="398"/>
      <c r="U502" s="398"/>
      <c r="V502" s="398"/>
      <c r="W502" s="398"/>
      <c r="X502" s="398"/>
      <c r="Y502" s="398"/>
      <c r="Z502" s="398"/>
    </row>
    <row r="503">
      <c r="A503" s="396"/>
      <c r="B503" s="397"/>
      <c r="C503" s="398"/>
      <c r="D503" s="398"/>
      <c r="E503" s="398"/>
      <c r="F503" s="398"/>
      <c r="G503" s="398"/>
      <c r="H503" s="398"/>
      <c r="I503" s="398"/>
      <c r="J503" s="398"/>
      <c r="K503" s="398"/>
      <c r="L503" s="398"/>
      <c r="M503" s="398"/>
      <c r="N503" s="398"/>
      <c r="O503" s="398"/>
      <c r="P503" s="398"/>
      <c r="Q503" s="398"/>
      <c r="R503" s="398"/>
      <c r="S503" s="398"/>
      <c r="T503" s="398"/>
      <c r="U503" s="398"/>
      <c r="V503" s="398"/>
      <c r="W503" s="398"/>
      <c r="X503" s="398"/>
      <c r="Y503" s="398"/>
      <c r="Z503" s="398"/>
    </row>
    <row r="504">
      <c r="A504" s="396"/>
      <c r="B504" s="397"/>
      <c r="C504" s="398"/>
      <c r="D504" s="398"/>
      <c r="E504" s="398"/>
      <c r="F504" s="398"/>
      <c r="G504" s="398"/>
      <c r="H504" s="398"/>
      <c r="I504" s="398"/>
      <c r="J504" s="398"/>
      <c r="K504" s="398"/>
      <c r="L504" s="398"/>
      <c r="M504" s="398"/>
      <c r="N504" s="398"/>
      <c r="O504" s="398"/>
      <c r="P504" s="398"/>
      <c r="Q504" s="398"/>
      <c r="R504" s="398"/>
      <c r="S504" s="398"/>
      <c r="T504" s="398"/>
      <c r="U504" s="398"/>
      <c r="V504" s="398"/>
      <c r="W504" s="398"/>
      <c r="X504" s="398"/>
      <c r="Y504" s="398"/>
      <c r="Z504" s="398"/>
    </row>
    <row r="505">
      <c r="A505" s="396"/>
      <c r="B505" s="397"/>
      <c r="C505" s="398"/>
      <c r="D505" s="398"/>
      <c r="E505" s="398"/>
      <c r="F505" s="398"/>
      <c r="G505" s="398"/>
      <c r="H505" s="398"/>
      <c r="I505" s="398"/>
      <c r="J505" s="398"/>
      <c r="K505" s="398"/>
      <c r="L505" s="398"/>
      <c r="M505" s="398"/>
      <c r="N505" s="398"/>
      <c r="O505" s="398"/>
      <c r="P505" s="398"/>
      <c r="Q505" s="398"/>
      <c r="R505" s="398"/>
      <c r="S505" s="398"/>
      <c r="T505" s="398"/>
      <c r="U505" s="398"/>
      <c r="V505" s="398"/>
      <c r="W505" s="398"/>
      <c r="X505" s="398"/>
      <c r="Y505" s="398"/>
      <c r="Z505" s="398"/>
    </row>
    <row r="506">
      <c r="A506" s="396"/>
      <c r="B506" s="397"/>
      <c r="C506" s="398"/>
      <c r="D506" s="398"/>
      <c r="E506" s="398"/>
      <c r="F506" s="398"/>
      <c r="G506" s="398"/>
      <c r="H506" s="398"/>
      <c r="I506" s="398"/>
      <c r="J506" s="398"/>
      <c r="K506" s="398"/>
      <c r="L506" s="398"/>
      <c r="M506" s="398"/>
      <c r="N506" s="398"/>
      <c r="O506" s="398"/>
      <c r="P506" s="398"/>
      <c r="Q506" s="398"/>
      <c r="R506" s="398"/>
      <c r="S506" s="398"/>
      <c r="T506" s="398"/>
      <c r="U506" s="398"/>
      <c r="V506" s="398"/>
      <c r="W506" s="398"/>
      <c r="X506" s="398"/>
      <c r="Y506" s="398"/>
      <c r="Z506" s="398"/>
    </row>
    <row r="507">
      <c r="A507" s="396"/>
      <c r="B507" s="397"/>
      <c r="C507" s="398"/>
      <c r="D507" s="398"/>
      <c r="E507" s="398"/>
      <c r="F507" s="398"/>
      <c r="G507" s="398"/>
      <c r="H507" s="398"/>
      <c r="I507" s="398"/>
      <c r="J507" s="398"/>
      <c r="K507" s="398"/>
      <c r="L507" s="398"/>
      <c r="M507" s="398"/>
      <c r="N507" s="398"/>
      <c r="O507" s="398"/>
      <c r="P507" s="398"/>
      <c r="Q507" s="398"/>
      <c r="R507" s="398"/>
      <c r="S507" s="398"/>
      <c r="T507" s="398"/>
      <c r="U507" s="398"/>
      <c r="V507" s="398"/>
      <c r="W507" s="398"/>
      <c r="X507" s="398"/>
      <c r="Y507" s="398"/>
      <c r="Z507" s="398"/>
    </row>
    <row r="508">
      <c r="A508" s="396"/>
      <c r="B508" s="397"/>
      <c r="C508" s="398"/>
      <c r="D508" s="398"/>
      <c r="E508" s="398"/>
      <c r="F508" s="398"/>
      <c r="G508" s="398"/>
      <c r="H508" s="398"/>
      <c r="I508" s="398"/>
      <c r="J508" s="398"/>
      <c r="K508" s="398"/>
      <c r="L508" s="398"/>
      <c r="M508" s="398"/>
      <c r="N508" s="398"/>
      <c r="O508" s="398"/>
      <c r="P508" s="398"/>
      <c r="Q508" s="398"/>
      <c r="R508" s="398"/>
      <c r="S508" s="398"/>
      <c r="T508" s="398"/>
      <c r="U508" s="398"/>
      <c r="V508" s="398"/>
      <c r="W508" s="398"/>
      <c r="X508" s="398"/>
      <c r="Y508" s="398"/>
      <c r="Z508" s="398"/>
    </row>
    <row r="509">
      <c r="A509" s="396"/>
      <c r="B509" s="397"/>
      <c r="C509" s="398"/>
      <c r="D509" s="398"/>
      <c r="E509" s="398"/>
      <c r="F509" s="398"/>
      <c r="G509" s="398"/>
      <c r="H509" s="398"/>
      <c r="I509" s="398"/>
      <c r="J509" s="398"/>
      <c r="K509" s="398"/>
      <c r="L509" s="398"/>
      <c r="M509" s="398"/>
      <c r="N509" s="398"/>
      <c r="O509" s="398"/>
      <c r="P509" s="398"/>
      <c r="Q509" s="398"/>
      <c r="R509" s="398"/>
      <c r="S509" s="398"/>
      <c r="T509" s="398"/>
      <c r="U509" s="398"/>
      <c r="V509" s="398"/>
      <c r="W509" s="398"/>
      <c r="X509" s="398"/>
      <c r="Y509" s="398"/>
      <c r="Z509" s="398"/>
    </row>
    <row r="510">
      <c r="A510" s="396"/>
      <c r="B510" s="397"/>
      <c r="C510" s="398"/>
      <c r="D510" s="398"/>
      <c r="E510" s="398"/>
      <c r="F510" s="398"/>
      <c r="G510" s="398"/>
      <c r="H510" s="398"/>
      <c r="I510" s="398"/>
      <c r="J510" s="398"/>
      <c r="K510" s="398"/>
      <c r="L510" s="398"/>
      <c r="M510" s="398"/>
      <c r="N510" s="398"/>
      <c r="O510" s="398"/>
      <c r="P510" s="398"/>
      <c r="Q510" s="398"/>
      <c r="R510" s="398"/>
      <c r="S510" s="398"/>
      <c r="T510" s="398"/>
      <c r="U510" s="398"/>
      <c r="V510" s="398"/>
      <c r="W510" s="398"/>
      <c r="X510" s="398"/>
      <c r="Y510" s="398"/>
      <c r="Z510" s="398"/>
    </row>
    <row r="511">
      <c r="A511" s="396"/>
      <c r="B511" s="397"/>
      <c r="C511" s="398"/>
      <c r="D511" s="398"/>
      <c r="E511" s="398"/>
      <c r="F511" s="398"/>
      <c r="G511" s="398"/>
      <c r="H511" s="398"/>
      <c r="I511" s="398"/>
      <c r="J511" s="398"/>
      <c r="K511" s="398"/>
      <c r="L511" s="398"/>
      <c r="M511" s="398"/>
      <c r="N511" s="398"/>
      <c r="O511" s="398"/>
      <c r="P511" s="398"/>
      <c r="Q511" s="398"/>
      <c r="R511" s="398"/>
      <c r="S511" s="398"/>
      <c r="T511" s="398"/>
      <c r="U511" s="398"/>
      <c r="V511" s="398"/>
      <c r="W511" s="398"/>
      <c r="X511" s="398"/>
      <c r="Y511" s="398"/>
      <c r="Z511" s="398"/>
    </row>
    <row r="512">
      <c r="A512" s="396"/>
      <c r="B512" s="397"/>
      <c r="C512" s="398"/>
      <c r="D512" s="398"/>
      <c r="E512" s="398"/>
      <c r="F512" s="398"/>
      <c r="G512" s="398"/>
      <c r="H512" s="398"/>
      <c r="I512" s="398"/>
      <c r="J512" s="398"/>
      <c r="K512" s="398"/>
      <c r="L512" s="398"/>
      <c r="M512" s="398"/>
      <c r="N512" s="398"/>
      <c r="O512" s="398"/>
      <c r="P512" s="398"/>
      <c r="Q512" s="398"/>
      <c r="R512" s="398"/>
      <c r="S512" s="398"/>
      <c r="T512" s="398"/>
      <c r="U512" s="398"/>
      <c r="V512" s="398"/>
      <c r="W512" s="398"/>
      <c r="X512" s="398"/>
      <c r="Y512" s="398"/>
      <c r="Z512" s="398"/>
    </row>
    <row r="513">
      <c r="A513" s="396"/>
      <c r="B513" s="397"/>
      <c r="C513" s="398"/>
      <c r="D513" s="398"/>
      <c r="E513" s="398"/>
      <c r="F513" s="398"/>
      <c r="G513" s="398"/>
      <c r="H513" s="398"/>
      <c r="I513" s="398"/>
      <c r="J513" s="398"/>
      <c r="K513" s="398"/>
      <c r="L513" s="398"/>
      <c r="M513" s="398"/>
      <c r="N513" s="398"/>
      <c r="O513" s="398"/>
      <c r="P513" s="398"/>
      <c r="Q513" s="398"/>
      <c r="R513" s="398"/>
      <c r="S513" s="398"/>
      <c r="T513" s="398"/>
      <c r="U513" s="398"/>
      <c r="V513" s="398"/>
      <c r="W513" s="398"/>
      <c r="X513" s="398"/>
      <c r="Y513" s="398"/>
      <c r="Z513" s="398"/>
    </row>
    <row r="514">
      <c r="A514" s="396"/>
      <c r="B514" s="397"/>
      <c r="C514" s="398"/>
      <c r="D514" s="398"/>
      <c r="E514" s="398"/>
      <c r="F514" s="398"/>
      <c r="G514" s="398"/>
      <c r="H514" s="398"/>
      <c r="I514" s="398"/>
      <c r="J514" s="398"/>
      <c r="K514" s="398"/>
      <c r="L514" s="398"/>
      <c r="M514" s="398"/>
      <c r="N514" s="398"/>
      <c r="O514" s="398"/>
      <c r="P514" s="398"/>
      <c r="Q514" s="398"/>
      <c r="R514" s="398"/>
      <c r="S514" s="398"/>
      <c r="T514" s="398"/>
      <c r="U514" s="398"/>
      <c r="V514" s="398"/>
      <c r="W514" s="398"/>
      <c r="X514" s="398"/>
      <c r="Y514" s="398"/>
      <c r="Z514" s="398"/>
    </row>
    <row r="515">
      <c r="A515" s="396"/>
      <c r="B515" s="397"/>
      <c r="C515" s="398"/>
      <c r="D515" s="398"/>
      <c r="E515" s="398"/>
      <c r="F515" s="398"/>
      <c r="G515" s="398"/>
      <c r="H515" s="398"/>
      <c r="I515" s="398"/>
      <c r="J515" s="398"/>
      <c r="K515" s="398"/>
      <c r="L515" s="398"/>
      <c r="M515" s="398"/>
      <c r="N515" s="398"/>
      <c r="O515" s="398"/>
      <c r="P515" s="398"/>
      <c r="Q515" s="398"/>
      <c r="R515" s="398"/>
      <c r="S515" s="398"/>
      <c r="T515" s="398"/>
      <c r="U515" s="398"/>
      <c r="V515" s="398"/>
      <c r="W515" s="398"/>
      <c r="X515" s="398"/>
      <c r="Y515" s="398"/>
      <c r="Z515" s="398"/>
    </row>
    <row r="516">
      <c r="A516" s="396"/>
      <c r="B516" s="397"/>
      <c r="C516" s="398"/>
      <c r="D516" s="398"/>
      <c r="E516" s="398"/>
      <c r="F516" s="398"/>
      <c r="G516" s="398"/>
      <c r="H516" s="398"/>
      <c r="I516" s="398"/>
      <c r="J516" s="398"/>
      <c r="K516" s="398"/>
      <c r="L516" s="398"/>
      <c r="M516" s="398"/>
      <c r="N516" s="398"/>
      <c r="O516" s="398"/>
      <c r="P516" s="398"/>
      <c r="Q516" s="398"/>
      <c r="R516" s="398"/>
      <c r="S516" s="398"/>
      <c r="T516" s="398"/>
      <c r="U516" s="398"/>
      <c r="V516" s="398"/>
      <c r="W516" s="398"/>
      <c r="X516" s="398"/>
      <c r="Y516" s="398"/>
      <c r="Z516" s="398"/>
    </row>
    <row r="517">
      <c r="A517" s="396"/>
      <c r="B517" s="397"/>
      <c r="C517" s="398"/>
      <c r="D517" s="398"/>
      <c r="E517" s="398"/>
      <c r="F517" s="398"/>
      <c r="G517" s="398"/>
      <c r="H517" s="398"/>
      <c r="I517" s="398"/>
      <c r="J517" s="398"/>
      <c r="K517" s="398"/>
      <c r="L517" s="398"/>
      <c r="M517" s="398"/>
      <c r="N517" s="398"/>
      <c r="O517" s="398"/>
      <c r="P517" s="398"/>
      <c r="Q517" s="398"/>
      <c r="R517" s="398"/>
      <c r="S517" s="398"/>
      <c r="T517" s="398"/>
      <c r="U517" s="398"/>
      <c r="V517" s="398"/>
      <c r="W517" s="398"/>
      <c r="X517" s="398"/>
      <c r="Y517" s="398"/>
      <c r="Z517" s="398"/>
    </row>
    <row r="518">
      <c r="A518" s="396"/>
      <c r="B518" s="397"/>
      <c r="C518" s="398"/>
      <c r="D518" s="398"/>
      <c r="E518" s="398"/>
      <c r="F518" s="398"/>
      <c r="G518" s="398"/>
      <c r="H518" s="398"/>
      <c r="I518" s="398"/>
      <c r="J518" s="398"/>
      <c r="K518" s="398"/>
      <c r="L518" s="398"/>
      <c r="M518" s="398"/>
      <c r="N518" s="398"/>
      <c r="O518" s="398"/>
      <c r="P518" s="398"/>
      <c r="Q518" s="398"/>
      <c r="R518" s="398"/>
      <c r="S518" s="398"/>
      <c r="T518" s="398"/>
      <c r="U518" s="398"/>
      <c r="V518" s="398"/>
      <c r="W518" s="398"/>
      <c r="X518" s="398"/>
      <c r="Y518" s="398"/>
      <c r="Z518" s="398"/>
    </row>
    <row r="519">
      <c r="A519" s="396"/>
      <c r="B519" s="397"/>
      <c r="C519" s="398"/>
      <c r="D519" s="398"/>
      <c r="E519" s="398"/>
      <c r="F519" s="398"/>
      <c r="G519" s="398"/>
      <c r="H519" s="398"/>
      <c r="I519" s="398"/>
      <c r="J519" s="398"/>
      <c r="K519" s="398"/>
      <c r="L519" s="398"/>
      <c r="M519" s="398"/>
      <c r="N519" s="398"/>
      <c r="O519" s="398"/>
      <c r="P519" s="398"/>
      <c r="Q519" s="398"/>
      <c r="R519" s="398"/>
      <c r="S519" s="398"/>
      <c r="T519" s="398"/>
      <c r="U519" s="398"/>
      <c r="V519" s="398"/>
      <c r="W519" s="398"/>
      <c r="X519" s="398"/>
      <c r="Y519" s="398"/>
      <c r="Z519" s="398"/>
    </row>
    <row r="520">
      <c r="A520" s="396"/>
      <c r="B520" s="397"/>
      <c r="C520" s="398"/>
      <c r="D520" s="398"/>
      <c r="E520" s="398"/>
      <c r="F520" s="398"/>
      <c r="G520" s="398"/>
      <c r="H520" s="398"/>
      <c r="I520" s="398"/>
      <c r="J520" s="398"/>
      <c r="K520" s="398"/>
      <c r="L520" s="398"/>
      <c r="M520" s="398"/>
      <c r="N520" s="398"/>
      <c r="O520" s="398"/>
      <c r="P520" s="398"/>
      <c r="Q520" s="398"/>
      <c r="R520" s="398"/>
      <c r="S520" s="398"/>
      <c r="T520" s="398"/>
      <c r="U520" s="398"/>
      <c r="V520" s="398"/>
      <c r="W520" s="398"/>
      <c r="X520" s="398"/>
      <c r="Y520" s="398"/>
      <c r="Z520" s="398"/>
    </row>
    <row r="521">
      <c r="A521" s="396"/>
      <c r="B521" s="397"/>
      <c r="C521" s="398"/>
      <c r="D521" s="398"/>
      <c r="E521" s="398"/>
      <c r="F521" s="398"/>
      <c r="G521" s="398"/>
      <c r="H521" s="398"/>
      <c r="I521" s="398"/>
      <c r="J521" s="398"/>
      <c r="K521" s="398"/>
      <c r="L521" s="398"/>
      <c r="M521" s="398"/>
      <c r="N521" s="398"/>
      <c r="O521" s="398"/>
      <c r="P521" s="398"/>
      <c r="Q521" s="398"/>
      <c r="R521" s="398"/>
      <c r="S521" s="398"/>
      <c r="T521" s="398"/>
      <c r="U521" s="398"/>
      <c r="V521" s="398"/>
      <c r="W521" s="398"/>
      <c r="X521" s="398"/>
      <c r="Y521" s="398"/>
      <c r="Z521" s="398"/>
    </row>
    <row r="522">
      <c r="A522" s="396"/>
      <c r="B522" s="397"/>
      <c r="C522" s="398"/>
      <c r="D522" s="398"/>
      <c r="E522" s="398"/>
      <c r="F522" s="398"/>
      <c r="G522" s="398"/>
      <c r="H522" s="398"/>
      <c r="I522" s="398"/>
      <c r="J522" s="398"/>
      <c r="K522" s="398"/>
      <c r="L522" s="398"/>
      <c r="M522" s="398"/>
      <c r="N522" s="398"/>
      <c r="O522" s="398"/>
      <c r="P522" s="398"/>
      <c r="Q522" s="398"/>
      <c r="R522" s="398"/>
      <c r="S522" s="398"/>
      <c r="T522" s="398"/>
      <c r="U522" s="398"/>
      <c r="V522" s="398"/>
      <c r="W522" s="398"/>
      <c r="X522" s="398"/>
      <c r="Y522" s="398"/>
      <c r="Z522" s="398"/>
    </row>
    <row r="523">
      <c r="A523" s="396"/>
      <c r="B523" s="397"/>
      <c r="C523" s="398"/>
      <c r="D523" s="398"/>
      <c r="E523" s="398"/>
      <c r="F523" s="398"/>
      <c r="G523" s="398"/>
      <c r="H523" s="398"/>
      <c r="I523" s="398"/>
      <c r="J523" s="398"/>
      <c r="K523" s="398"/>
      <c r="L523" s="398"/>
      <c r="M523" s="398"/>
      <c r="N523" s="398"/>
      <c r="O523" s="398"/>
      <c r="P523" s="398"/>
      <c r="Q523" s="398"/>
      <c r="R523" s="398"/>
      <c r="S523" s="398"/>
      <c r="T523" s="398"/>
      <c r="U523" s="398"/>
      <c r="V523" s="398"/>
      <c r="W523" s="398"/>
      <c r="X523" s="398"/>
      <c r="Y523" s="398"/>
      <c r="Z523" s="398"/>
    </row>
    <row r="524">
      <c r="A524" s="396"/>
      <c r="B524" s="397"/>
      <c r="C524" s="398"/>
      <c r="D524" s="398"/>
      <c r="E524" s="398"/>
      <c r="F524" s="398"/>
      <c r="G524" s="398"/>
      <c r="H524" s="398"/>
      <c r="I524" s="398"/>
      <c r="J524" s="398"/>
      <c r="K524" s="398"/>
      <c r="L524" s="398"/>
      <c r="M524" s="398"/>
      <c r="N524" s="398"/>
      <c r="O524" s="398"/>
      <c r="P524" s="398"/>
      <c r="Q524" s="398"/>
      <c r="R524" s="398"/>
      <c r="S524" s="398"/>
      <c r="T524" s="398"/>
      <c r="U524" s="398"/>
      <c r="V524" s="398"/>
      <c r="W524" s="398"/>
      <c r="X524" s="398"/>
      <c r="Y524" s="398"/>
      <c r="Z524" s="398"/>
    </row>
    <row r="525">
      <c r="A525" s="396"/>
      <c r="B525" s="397"/>
      <c r="C525" s="398"/>
      <c r="D525" s="398"/>
      <c r="E525" s="398"/>
      <c r="F525" s="398"/>
      <c r="G525" s="398"/>
      <c r="H525" s="398"/>
      <c r="I525" s="398"/>
      <c r="J525" s="398"/>
      <c r="K525" s="398"/>
      <c r="L525" s="398"/>
      <c r="M525" s="398"/>
      <c r="N525" s="398"/>
      <c r="O525" s="398"/>
      <c r="P525" s="398"/>
      <c r="Q525" s="398"/>
      <c r="R525" s="398"/>
      <c r="S525" s="398"/>
      <c r="T525" s="398"/>
      <c r="U525" s="398"/>
      <c r="V525" s="398"/>
      <c r="W525" s="398"/>
      <c r="X525" s="398"/>
      <c r="Y525" s="398"/>
      <c r="Z525" s="398"/>
    </row>
    <row r="526">
      <c r="A526" s="396"/>
      <c r="B526" s="397"/>
      <c r="C526" s="398"/>
      <c r="D526" s="398"/>
      <c r="E526" s="398"/>
      <c r="F526" s="398"/>
      <c r="G526" s="398"/>
      <c r="H526" s="398"/>
      <c r="I526" s="398"/>
      <c r="J526" s="398"/>
      <c r="K526" s="398"/>
      <c r="L526" s="398"/>
      <c r="M526" s="398"/>
      <c r="N526" s="398"/>
      <c r="O526" s="398"/>
      <c r="P526" s="398"/>
      <c r="Q526" s="398"/>
      <c r="R526" s="398"/>
      <c r="S526" s="398"/>
      <c r="T526" s="398"/>
      <c r="U526" s="398"/>
      <c r="V526" s="398"/>
      <c r="W526" s="398"/>
      <c r="X526" s="398"/>
      <c r="Y526" s="398"/>
      <c r="Z526" s="398"/>
    </row>
    <row r="527">
      <c r="A527" s="396"/>
      <c r="B527" s="397"/>
      <c r="C527" s="398"/>
      <c r="D527" s="398"/>
      <c r="E527" s="398"/>
      <c r="F527" s="398"/>
      <c r="G527" s="398"/>
      <c r="H527" s="398"/>
      <c r="I527" s="398"/>
      <c r="J527" s="398"/>
      <c r="K527" s="398"/>
      <c r="L527" s="398"/>
      <c r="M527" s="398"/>
      <c r="N527" s="398"/>
      <c r="O527" s="398"/>
      <c r="P527" s="398"/>
      <c r="Q527" s="398"/>
      <c r="R527" s="398"/>
      <c r="S527" s="398"/>
      <c r="T527" s="398"/>
      <c r="U527" s="398"/>
      <c r="V527" s="398"/>
      <c r="W527" s="398"/>
      <c r="X527" s="398"/>
      <c r="Y527" s="398"/>
      <c r="Z527" s="398"/>
    </row>
    <row r="528">
      <c r="A528" s="396"/>
      <c r="B528" s="397"/>
      <c r="C528" s="398"/>
      <c r="D528" s="398"/>
      <c r="E528" s="398"/>
      <c r="F528" s="398"/>
      <c r="G528" s="398"/>
      <c r="H528" s="398"/>
      <c r="I528" s="398"/>
      <c r="J528" s="398"/>
      <c r="K528" s="398"/>
      <c r="L528" s="398"/>
      <c r="M528" s="398"/>
      <c r="N528" s="398"/>
      <c r="O528" s="398"/>
      <c r="P528" s="398"/>
      <c r="Q528" s="398"/>
      <c r="R528" s="398"/>
      <c r="S528" s="398"/>
      <c r="T528" s="398"/>
      <c r="U528" s="398"/>
      <c r="V528" s="398"/>
      <c r="W528" s="398"/>
      <c r="X528" s="398"/>
      <c r="Y528" s="398"/>
      <c r="Z528" s="398"/>
    </row>
    <row r="529">
      <c r="A529" s="396"/>
      <c r="B529" s="397"/>
      <c r="C529" s="398"/>
      <c r="D529" s="398"/>
      <c r="E529" s="398"/>
      <c r="F529" s="398"/>
      <c r="G529" s="398"/>
      <c r="H529" s="398"/>
      <c r="I529" s="398"/>
      <c r="J529" s="398"/>
      <c r="K529" s="398"/>
      <c r="L529" s="398"/>
      <c r="M529" s="398"/>
      <c r="N529" s="398"/>
      <c r="O529" s="398"/>
      <c r="P529" s="398"/>
      <c r="Q529" s="398"/>
      <c r="R529" s="398"/>
      <c r="S529" s="398"/>
      <c r="T529" s="398"/>
      <c r="U529" s="398"/>
      <c r="V529" s="398"/>
      <c r="W529" s="398"/>
      <c r="X529" s="398"/>
      <c r="Y529" s="398"/>
      <c r="Z529" s="398"/>
    </row>
    <row r="530">
      <c r="A530" s="396"/>
      <c r="B530" s="397"/>
      <c r="C530" s="398"/>
      <c r="D530" s="398"/>
      <c r="E530" s="398"/>
      <c r="F530" s="398"/>
      <c r="G530" s="398"/>
      <c r="H530" s="398"/>
      <c r="I530" s="398"/>
      <c r="J530" s="398"/>
      <c r="K530" s="398"/>
      <c r="L530" s="398"/>
      <c r="M530" s="398"/>
      <c r="N530" s="398"/>
      <c r="O530" s="398"/>
      <c r="P530" s="398"/>
      <c r="Q530" s="398"/>
      <c r="R530" s="398"/>
      <c r="S530" s="398"/>
      <c r="T530" s="398"/>
      <c r="U530" s="398"/>
      <c r="V530" s="398"/>
      <c r="W530" s="398"/>
      <c r="X530" s="398"/>
      <c r="Y530" s="398"/>
      <c r="Z530" s="398"/>
    </row>
    <row r="531">
      <c r="A531" s="396"/>
      <c r="B531" s="397"/>
      <c r="C531" s="398"/>
      <c r="D531" s="398"/>
      <c r="E531" s="398"/>
      <c r="F531" s="398"/>
      <c r="G531" s="398"/>
      <c r="H531" s="398"/>
      <c r="I531" s="398"/>
      <c r="J531" s="398"/>
      <c r="K531" s="398"/>
      <c r="L531" s="398"/>
      <c r="M531" s="398"/>
      <c r="N531" s="398"/>
      <c r="O531" s="398"/>
      <c r="P531" s="398"/>
      <c r="Q531" s="398"/>
      <c r="R531" s="398"/>
      <c r="S531" s="398"/>
      <c r="T531" s="398"/>
      <c r="U531" s="398"/>
      <c r="V531" s="398"/>
      <c r="W531" s="398"/>
      <c r="X531" s="398"/>
      <c r="Y531" s="398"/>
      <c r="Z531" s="398"/>
    </row>
    <row r="532">
      <c r="A532" s="396"/>
      <c r="B532" s="397"/>
      <c r="C532" s="398"/>
      <c r="D532" s="398"/>
      <c r="E532" s="398"/>
      <c r="F532" s="398"/>
      <c r="G532" s="398"/>
      <c r="H532" s="398"/>
      <c r="I532" s="398"/>
      <c r="J532" s="398"/>
      <c r="K532" s="398"/>
      <c r="L532" s="398"/>
      <c r="M532" s="398"/>
      <c r="N532" s="398"/>
      <c r="O532" s="398"/>
      <c r="P532" s="398"/>
      <c r="Q532" s="398"/>
      <c r="R532" s="398"/>
      <c r="S532" s="398"/>
      <c r="T532" s="398"/>
      <c r="U532" s="398"/>
      <c r="V532" s="398"/>
      <c r="W532" s="398"/>
      <c r="X532" s="398"/>
      <c r="Y532" s="398"/>
      <c r="Z532" s="398"/>
    </row>
    <row r="533">
      <c r="A533" s="396"/>
      <c r="B533" s="397"/>
      <c r="C533" s="398"/>
      <c r="D533" s="398"/>
      <c r="E533" s="398"/>
      <c r="F533" s="398"/>
      <c r="G533" s="398"/>
      <c r="H533" s="398"/>
      <c r="I533" s="398"/>
      <c r="J533" s="398"/>
      <c r="K533" s="398"/>
      <c r="L533" s="398"/>
      <c r="M533" s="398"/>
      <c r="N533" s="398"/>
      <c r="O533" s="398"/>
      <c r="P533" s="398"/>
      <c r="Q533" s="398"/>
      <c r="R533" s="398"/>
      <c r="S533" s="398"/>
      <c r="T533" s="398"/>
      <c r="U533" s="398"/>
      <c r="V533" s="398"/>
      <c r="W533" s="398"/>
      <c r="X533" s="398"/>
      <c r="Y533" s="398"/>
      <c r="Z533" s="398"/>
    </row>
    <row r="534">
      <c r="A534" s="396"/>
      <c r="B534" s="397"/>
      <c r="C534" s="398"/>
      <c r="D534" s="398"/>
      <c r="E534" s="398"/>
      <c r="F534" s="398"/>
      <c r="G534" s="398"/>
      <c r="H534" s="398"/>
      <c r="I534" s="398"/>
      <c r="J534" s="398"/>
      <c r="K534" s="398"/>
      <c r="L534" s="398"/>
      <c r="M534" s="398"/>
      <c r="N534" s="398"/>
      <c r="O534" s="398"/>
      <c r="P534" s="398"/>
      <c r="Q534" s="398"/>
      <c r="R534" s="398"/>
      <c r="S534" s="398"/>
      <c r="T534" s="398"/>
      <c r="U534" s="398"/>
      <c r="V534" s="398"/>
      <c r="W534" s="398"/>
      <c r="X534" s="398"/>
      <c r="Y534" s="398"/>
      <c r="Z534" s="398"/>
    </row>
    <row r="535">
      <c r="A535" s="396"/>
      <c r="B535" s="397"/>
      <c r="C535" s="398"/>
      <c r="D535" s="398"/>
      <c r="E535" s="398"/>
      <c r="F535" s="398"/>
      <c r="G535" s="398"/>
      <c r="H535" s="398"/>
      <c r="I535" s="398"/>
      <c r="J535" s="398"/>
      <c r="K535" s="398"/>
      <c r="L535" s="398"/>
      <c r="M535" s="398"/>
      <c r="N535" s="398"/>
      <c r="O535" s="398"/>
      <c r="P535" s="398"/>
      <c r="Q535" s="398"/>
      <c r="R535" s="398"/>
      <c r="S535" s="398"/>
      <c r="T535" s="398"/>
      <c r="U535" s="398"/>
      <c r="V535" s="398"/>
      <c r="W535" s="398"/>
      <c r="X535" s="398"/>
      <c r="Y535" s="398"/>
      <c r="Z535" s="398"/>
    </row>
    <row r="536">
      <c r="A536" s="396"/>
      <c r="B536" s="397"/>
      <c r="C536" s="398"/>
      <c r="D536" s="398"/>
      <c r="E536" s="398"/>
      <c r="F536" s="398"/>
      <c r="G536" s="398"/>
      <c r="H536" s="398"/>
      <c r="I536" s="398"/>
      <c r="J536" s="398"/>
      <c r="K536" s="398"/>
      <c r="L536" s="398"/>
      <c r="M536" s="398"/>
      <c r="N536" s="398"/>
      <c r="O536" s="398"/>
      <c r="P536" s="398"/>
      <c r="Q536" s="398"/>
      <c r="R536" s="398"/>
      <c r="S536" s="398"/>
      <c r="T536" s="398"/>
      <c r="U536" s="398"/>
      <c r="V536" s="398"/>
      <c r="W536" s="398"/>
      <c r="X536" s="398"/>
      <c r="Y536" s="398"/>
      <c r="Z536" s="398"/>
    </row>
    <row r="537">
      <c r="A537" s="396"/>
      <c r="B537" s="397"/>
      <c r="C537" s="398"/>
      <c r="D537" s="398"/>
      <c r="E537" s="398"/>
      <c r="F537" s="398"/>
      <c r="G537" s="398"/>
      <c r="H537" s="398"/>
      <c r="I537" s="398"/>
      <c r="J537" s="398"/>
      <c r="K537" s="398"/>
      <c r="L537" s="398"/>
      <c r="M537" s="398"/>
      <c r="N537" s="398"/>
      <c r="O537" s="398"/>
      <c r="P537" s="398"/>
      <c r="Q537" s="398"/>
      <c r="R537" s="398"/>
      <c r="S537" s="398"/>
      <c r="T537" s="398"/>
      <c r="U537" s="398"/>
      <c r="V537" s="398"/>
      <c r="W537" s="398"/>
      <c r="X537" s="398"/>
      <c r="Y537" s="398"/>
      <c r="Z537" s="398"/>
    </row>
    <row r="538">
      <c r="A538" s="396"/>
      <c r="B538" s="397"/>
      <c r="C538" s="398"/>
      <c r="D538" s="398"/>
      <c r="E538" s="398"/>
      <c r="F538" s="398"/>
      <c r="G538" s="398"/>
      <c r="H538" s="398"/>
      <c r="I538" s="398"/>
      <c r="J538" s="398"/>
      <c r="K538" s="398"/>
      <c r="L538" s="398"/>
      <c r="M538" s="398"/>
      <c r="N538" s="398"/>
      <c r="O538" s="398"/>
      <c r="P538" s="398"/>
      <c r="Q538" s="398"/>
      <c r="R538" s="398"/>
      <c r="S538" s="398"/>
      <c r="T538" s="398"/>
      <c r="U538" s="398"/>
      <c r="V538" s="398"/>
      <c r="W538" s="398"/>
      <c r="X538" s="398"/>
      <c r="Y538" s="398"/>
      <c r="Z538" s="398"/>
    </row>
    <row r="539">
      <c r="A539" s="396"/>
      <c r="B539" s="397"/>
      <c r="C539" s="398"/>
      <c r="D539" s="398"/>
      <c r="E539" s="398"/>
      <c r="F539" s="398"/>
      <c r="G539" s="398"/>
      <c r="H539" s="398"/>
      <c r="I539" s="398"/>
      <c r="J539" s="398"/>
      <c r="K539" s="398"/>
      <c r="L539" s="398"/>
      <c r="M539" s="398"/>
      <c r="N539" s="398"/>
      <c r="O539" s="398"/>
      <c r="P539" s="398"/>
      <c r="Q539" s="398"/>
      <c r="R539" s="398"/>
      <c r="S539" s="398"/>
      <c r="T539" s="398"/>
      <c r="U539" s="398"/>
      <c r="V539" s="398"/>
      <c r="W539" s="398"/>
      <c r="X539" s="398"/>
      <c r="Y539" s="398"/>
      <c r="Z539" s="398"/>
    </row>
    <row r="540">
      <c r="A540" s="396"/>
      <c r="B540" s="397"/>
      <c r="C540" s="398"/>
      <c r="D540" s="398"/>
      <c r="E540" s="398"/>
      <c r="F540" s="398"/>
      <c r="G540" s="398"/>
      <c r="H540" s="398"/>
      <c r="I540" s="398"/>
      <c r="J540" s="398"/>
      <c r="K540" s="398"/>
      <c r="L540" s="398"/>
      <c r="M540" s="398"/>
      <c r="N540" s="398"/>
      <c r="O540" s="398"/>
      <c r="P540" s="398"/>
      <c r="Q540" s="398"/>
      <c r="R540" s="398"/>
      <c r="S540" s="398"/>
      <c r="T540" s="398"/>
      <c r="U540" s="398"/>
      <c r="V540" s="398"/>
      <c r="W540" s="398"/>
      <c r="X540" s="398"/>
      <c r="Y540" s="398"/>
      <c r="Z540" s="398"/>
    </row>
    <row r="541">
      <c r="A541" s="396"/>
      <c r="B541" s="397"/>
      <c r="C541" s="398"/>
      <c r="D541" s="398"/>
      <c r="E541" s="398"/>
      <c r="F541" s="398"/>
      <c r="G541" s="398"/>
      <c r="H541" s="398"/>
      <c r="I541" s="398"/>
      <c r="J541" s="398"/>
      <c r="K541" s="398"/>
      <c r="L541" s="398"/>
      <c r="M541" s="398"/>
      <c r="N541" s="398"/>
      <c r="O541" s="398"/>
      <c r="P541" s="398"/>
      <c r="Q541" s="398"/>
      <c r="R541" s="398"/>
      <c r="S541" s="398"/>
      <c r="T541" s="398"/>
      <c r="U541" s="398"/>
      <c r="V541" s="398"/>
      <c r="W541" s="398"/>
      <c r="X541" s="398"/>
      <c r="Y541" s="398"/>
      <c r="Z541" s="398"/>
    </row>
    <row r="542">
      <c r="A542" s="396"/>
      <c r="B542" s="397"/>
      <c r="C542" s="398"/>
      <c r="D542" s="398"/>
      <c r="E542" s="398"/>
      <c r="F542" s="398"/>
      <c r="G542" s="398"/>
      <c r="H542" s="398"/>
      <c r="I542" s="398"/>
      <c r="J542" s="398"/>
      <c r="K542" s="398"/>
      <c r="L542" s="398"/>
      <c r="M542" s="398"/>
      <c r="N542" s="398"/>
      <c r="O542" s="398"/>
      <c r="P542" s="398"/>
      <c r="Q542" s="398"/>
      <c r="R542" s="398"/>
      <c r="S542" s="398"/>
      <c r="T542" s="398"/>
      <c r="U542" s="398"/>
      <c r="V542" s="398"/>
      <c r="W542" s="398"/>
      <c r="X542" s="398"/>
      <c r="Y542" s="398"/>
      <c r="Z542" s="398"/>
    </row>
    <row r="543">
      <c r="A543" s="396"/>
      <c r="B543" s="397"/>
      <c r="C543" s="398"/>
      <c r="D543" s="398"/>
      <c r="E543" s="398"/>
      <c r="F543" s="398"/>
      <c r="G543" s="398"/>
      <c r="H543" s="398"/>
      <c r="I543" s="398"/>
      <c r="J543" s="398"/>
      <c r="K543" s="398"/>
      <c r="L543" s="398"/>
      <c r="M543" s="398"/>
      <c r="N543" s="398"/>
      <c r="O543" s="398"/>
      <c r="P543" s="398"/>
      <c r="Q543" s="398"/>
      <c r="R543" s="398"/>
      <c r="S543" s="398"/>
      <c r="T543" s="398"/>
      <c r="U543" s="398"/>
      <c r="V543" s="398"/>
      <c r="W543" s="398"/>
      <c r="X543" s="398"/>
      <c r="Y543" s="398"/>
      <c r="Z543" s="398"/>
    </row>
    <row r="544">
      <c r="A544" s="396"/>
      <c r="B544" s="397"/>
      <c r="C544" s="398"/>
      <c r="D544" s="398"/>
      <c r="E544" s="398"/>
      <c r="F544" s="398"/>
      <c r="G544" s="398"/>
      <c r="H544" s="398"/>
      <c r="I544" s="398"/>
      <c r="J544" s="398"/>
      <c r="K544" s="398"/>
      <c r="L544" s="398"/>
      <c r="M544" s="398"/>
      <c r="N544" s="398"/>
      <c r="O544" s="398"/>
      <c r="P544" s="398"/>
      <c r="Q544" s="398"/>
      <c r="R544" s="398"/>
      <c r="S544" s="398"/>
      <c r="T544" s="398"/>
      <c r="U544" s="398"/>
      <c r="V544" s="398"/>
      <c r="W544" s="398"/>
      <c r="X544" s="398"/>
      <c r="Y544" s="398"/>
      <c r="Z544" s="398"/>
    </row>
    <row r="545">
      <c r="A545" s="396"/>
      <c r="B545" s="397"/>
      <c r="C545" s="398"/>
      <c r="D545" s="398"/>
      <c r="E545" s="398"/>
      <c r="F545" s="398"/>
      <c r="G545" s="398"/>
      <c r="H545" s="398"/>
      <c r="I545" s="398"/>
      <c r="J545" s="398"/>
      <c r="K545" s="398"/>
      <c r="L545" s="398"/>
      <c r="M545" s="398"/>
      <c r="N545" s="398"/>
      <c r="O545" s="398"/>
      <c r="P545" s="398"/>
      <c r="Q545" s="398"/>
      <c r="R545" s="398"/>
      <c r="S545" s="398"/>
      <c r="T545" s="398"/>
      <c r="U545" s="398"/>
      <c r="V545" s="398"/>
      <c r="W545" s="398"/>
      <c r="X545" s="398"/>
      <c r="Y545" s="398"/>
      <c r="Z545" s="398"/>
    </row>
    <row r="546">
      <c r="A546" s="396"/>
      <c r="B546" s="397"/>
      <c r="C546" s="398"/>
      <c r="D546" s="398"/>
      <c r="E546" s="398"/>
      <c r="F546" s="398"/>
      <c r="G546" s="398"/>
      <c r="H546" s="398"/>
      <c r="I546" s="398"/>
      <c r="J546" s="398"/>
      <c r="K546" s="398"/>
      <c r="L546" s="398"/>
      <c r="M546" s="398"/>
      <c r="N546" s="398"/>
      <c r="O546" s="398"/>
      <c r="P546" s="398"/>
      <c r="Q546" s="398"/>
      <c r="R546" s="398"/>
      <c r="S546" s="398"/>
      <c r="T546" s="398"/>
      <c r="U546" s="398"/>
      <c r="V546" s="398"/>
      <c r="W546" s="398"/>
      <c r="X546" s="398"/>
      <c r="Y546" s="398"/>
      <c r="Z546" s="398"/>
    </row>
    <row r="547">
      <c r="A547" s="396"/>
      <c r="B547" s="397"/>
      <c r="C547" s="398"/>
      <c r="D547" s="398"/>
      <c r="E547" s="398"/>
      <c r="F547" s="398"/>
      <c r="G547" s="398"/>
      <c r="H547" s="398"/>
      <c r="I547" s="398"/>
      <c r="J547" s="398"/>
      <c r="K547" s="398"/>
      <c r="L547" s="398"/>
      <c r="M547" s="398"/>
      <c r="N547" s="398"/>
      <c r="O547" s="398"/>
      <c r="P547" s="398"/>
      <c r="Q547" s="398"/>
      <c r="R547" s="398"/>
      <c r="S547" s="398"/>
      <c r="T547" s="398"/>
      <c r="U547" s="398"/>
      <c r="V547" s="398"/>
      <c r="W547" s="398"/>
      <c r="X547" s="398"/>
      <c r="Y547" s="398"/>
      <c r="Z547" s="398"/>
    </row>
    <row r="548">
      <c r="A548" s="396"/>
      <c r="B548" s="397"/>
      <c r="C548" s="398"/>
      <c r="D548" s="398"/>
      <c r="E548" s="398"/>
      <c r="F548" s="398"/>
      <c r="G548" s="398"/>
      <c r="H548" s="398"/>
      <c r="I548" s="398"/>
      <c r="J548" s="398"/>
      <c r="K548" s="398"/>
      <c r="L548" s="398"/>
      <c r="M548" s="398"/>
      <c r="N548" s="398"/>
      <c r="O548" s="398"/>
      <c r="P548" s="398"/>
      <c r="Q548" s="398"/>
      <c r="R548" s="398"/>
      <c r="S548" s="398"/>
      <c r="T548" s="398"/>
      <c r="U548" s="398"/>
      <c r="V548" s="398"/>
      <c r="W548" s="398"/>
      <c r="X548" s="398"/>
      <c r="Y548" s="398"/>
      <c r="Z548" s="398"/>
    </row>
    <row r="549">
      <c r="A549" s="396"/>
      <c r="B549" s="397"/>
      <c r="C549" s="398"/>
      <c r="D549" s="398"/>
      <c r="E549" s="398"/>
      <c r="F549" s="398"/>
      <c r="G549" s="398"/>
      <c r="H549" s="398"/>
      <c r="I549" s="398"/>
      <c r="J549" s="398"/>
      <c r="K549" s="398"/>
      <c r="L549" s="398"/>
      <c r="M549" s="398"/>
      <c r="N549" s="398"/>
      <c r="O549" s="398"/>
      <c r="P549" s="398"/>
      <c r="Q549" s="398"/>
      <c r="R549" s="398"/>
      <c r="S549" s="398"/>
      <c r="T549" s="398"/>
      <c r="U549" s="398"/>
      <c r="V549" s="398"/>
      <c r="W549" s="398"/>
      <c r="X549" s="398"/>
      <c r="Y549" s="398"/>
      <c r="Z549" s="398"/>
    </row>
    <row r="550">
      <c r="A550" s="396"/>
      <c r="B550" s="397"/>
      <c r="C550" s="398"/>
      <c r="D550" s="398"/>
      <c r="E550" s="398"/>
      <c r="F550" s="398"/>
      <c r="G550" s="398"/>
      <c r="H550" s="398"/>
      <c r="I550" s="398"/>
      <c r="J550" s="398"/>
      <c r="K550" s="398"/>
      <c r="L550" s="398"/>
      <c r="M550" s="398"/>
      <c r="N550" s="398"/>
      <c r="O550" s="398"/>
      <c r="P550" s="398"/>
      <c r="Q550" s="398"/>
      <c r="R550" s="398"/>
      <c r="S550" s="398"/>
      <c r="T550" s="398"/>
      <c r="U550" s="398"/>
      <c r="V550" s="398"/>
      <c r="W550" s="398"/>
      <c r="X550" s="398"/>
      <c r="Y550" s="398"/>
      <c r="Z550" s="398"/>
    </row>
    <row r="551">
      <c r="A551" s="396"/>
      <c r="B551" s="397"/>
      <c r="C551" s="398"/>
      <c r="D551" s="398"/>
      <c r="E551" s="398"/>
      <c r="F551" s="398"/>
      <c r="G551" s="398"/>
      <c r="H551" s="398"/>
      <c r="I551" s="398"/>
      <c r="J551" s="398"/>
      <c r="K551" s="398"/>
      <c r="L551" s="398"/>
      <c r="M551" s="398"/>
      <c r="N551" s="398"/>
      <c r="O551" s="398"/>
      <c r="P551" s="398"/>
      <c r="Q551" s="398"/>
      <c r="R551" s="398"/>
      <c r="S551" s="398"/>
      <c r="T551" s="398"/>
      <c r="U551" s="398"/>
      <c r="V551" s="398"/>
      <c r="W551" s="398"/>
      <c r="X551" s="398"/>
      <c r="Y551" s="398"/>
      <c r="Z551" s="398"/>
    </row>
    <row r="552">
      <c r="A552" s="396"/>
      <c r="B552" s="397"/>
      <c r="C552" s="398"/>
      <c r="D552" s="398"/>
      <c r="E552" s="398"/>
      <c r="F552" s="398"/>
      <c r="G552" s="398"/>
      <c r="H552" s="398"/>
      <c r="I552" s="398"/>
      <c r="J552" s="398"/>
      <c r="K552" s="398"/>
      <c r="L552" s="398"/>
      <c r="M552" s="398"/>
      <c r="N552" s="398"/>
      <c r="O552" s="398"/>
      <c r="P552" s="398"/>
      <c r="Q552" s="398"/>
      <c r="R552" s="398"/>
      <c r="S552" s="398"/>
      <c r="T552" s="398"/>
      <c r="U552" s="398"/>
      <c r="V552" s="398"/>
      <c r="W552" s="398"/>
      <c r="X552" s="398"/>
      <c r="Y552" s="398"/>
      <c r="Z552" s="398"/>
    </row>
    <row r="553">
      <c r="A553" s="396"/>
      <c r="B553" s="397"/>
      <c r="C553" s="398"/>
      <c r="D553" s="398"/>
      <c r="E553" s="398"/>
      <c r="F553" s="398"/>
      <c r="G553" s="398"/>
      <c r="H553" s="398"/>
      <c r="I553" s="398"/>
      <c r="J553" s="398"/>
      <c r="K553" s="398"/>
      <c r="L553" s="398"/>
      <c r="M553" s="398"/>
      <c r="N553" s="398"/>
      <c r="O553" s="398"/>
      <c r="P553" s="398"/>
      <c r="Q553" s="398"/>
      <c r="R553" s="398"/>
      <c r="S553" s="398"/>
      <c r="T553" s="398"/>
      <c r="U553" s="398"/>
      <c r="V553" s="398"/>
      <c r="W553" s="398"/>
      <c r="X553" s="398"/>
      <c r="Y553" s="398"/>
      <c r="Z553" s="398"/>
    </row>
    <row r="554">
      <c r="A554" s="396"/>
      <c r="B554" s="397"/>
      <c r="C554" s="398"/>
      <c r="D554" s="398"/>
      <c r="E554" s="398"/>
      <c r="F554" s="398"/>
      <c r="G554" s="398"/>
      <c r="H554" s="398"/>
      <c r="I554" s="398"/>
      <c r="J554" s="398"/>
      <c r="K554" s="398"/>
      <c r="L554" s="398"/>
      <c r="M554" s="398"/>
      <c r="N554" s="398"/>
      <c r="O554" s="398"/>
      <c r="P554" s="398"/>
      <c r="Q554" s="398"/>
      <c r="R554" s="398"/>
      <c r="S554" s="398"/>
      <c r="T554" s="398"/>
      <c r="U554" s="398"/>
      <c r="V554" s="398"/>
      <c r="W554" s="398"/>
      <c r="X554" s="398"/>
      <c r="Y554" s="398"/>
      <c r="Z554" s="398"/>
    </row>
    <row r="555">
      <c r="A555" s="396"/>
      <c r="B555" s="397"/>
      <c r="C555" s="398"/>
      <c r="D555" s="398"/>
      <c r="E555" s="398"/>
      <c r="F555" s="398"/>
      <c r="G555" s="398"/>
      <c r="H555" s="398"/>
      <c r="I555" s="398"/>
      <c r="J555" s="398"/>
      <c r="K555" s="398"/>
      <c r="L555" s="398"/>
      <c r="M555" s="398"/>
      <c r="N555" s="398"/>
      <c r="O555" s="398"/>
      <c r="P555" s="398"/>
      <c r="Q555" s="398"/>
      <c r="R555" s="398"/>
      <c r="S555" s="398"/>
      <c r="T555" s="398"/>
      <c r="U555" s="398"/>
      <c r="V555" s="398"/>
      <c r="W555" s="398"/>
      <c r="X555" s="398"/>
      <c r="Y555" s="398"/>
      <c r="Z555" s="398"/>
    </row>
    <row r="556">
      <c r="A556" s="396"/>
      <c r="B556" s="397"/>
      <c r="C556" s="398"/>
      <c r="D556" s="398"/>
      <c r="E556" s="398"/>
      <c r="F556" s="398"/>
      <c r="G556" s="398"/>
      <c r="H556" s="398"/>
      <c r="I556" s="398"/>
      <c r="J556" s="398"/>
      <c r="K556" s="398"/>
      <c r="L556" s="398"/>
      <c r="M556" s="398"/>
      <c r="N556" s="398"/>
      <c r="O556" s="398"/>
      <c r="P556" s="398"/>
      <c r="Q556" s="398"/>
      <c r="R556" s="398"/>
      <c r="S556" s="398"/>
      <c r="T556" s="398"/>
      <c r="U556" s="398"/>
      <c r="V556" s="398"/>
      <c r="W556" s="398"/>
      <c r="X556" s="398"/>
      <c r="Y556" s="398"/>
      <c r="Z556" s="398"/>
    </row>
    <row r="557">
      <c r="A557" s="396"/>
      <c r="B557" s="397"/>
      <c r="C557" s="398"/>
      <c r="D557" s="398"/>
      <c r="E557" s="398"/>
      <c r="F557" s="398"/>
      <c r="G557" s="398"/>
      <c r="H557" s="398"/>
      <c r="I557" s="398"/>
      <c r="J557" s="398"/>
      <c r="K557" s="398"/>
      <c r="L557" s="398"/>
      <c r="M557" s="398"/>
      <c r="N557" s="398"/>
      <c r="O557" s="398"/>
      <c r="P557" s="398"/>
      <c r="Q557" s="398"/>
      <c r="R557" s="398"/>
      <c r="S557" s="398"/>
      <c r="T557" s="398"/>
      <c r="U557" s="398"/>
      <c r="V557" s="398"/>
      <c r="W557" s="398"/>
      <c r="X557" s="398"/>
      <c r="Y557" s="398"/>
      <c r="Z557" s="398"/>
    </row>
    <row r="558">
      <c r="A558" s="396"/>
      <c r="B558" s="397"/>
      <c r="C558" s="398"/>
      <c r="D558" s="398"/>
      <c r="E558" s="398"/>
      <c r="F558" s="398"/>
      <c r="G558" s="398"/>
      <c r="H558" s="398"/>
      <c r="I558" s="398"/>
      <c r="J558" s="398"/>
      <c r="K558" s="398"/>
      <c r="L558" s="398"/>
      <c r="M558" s="398"/>
      <c r="N558" s="398"/>
      <c r="O558" s="398"/>
      <c r="P558" s="398"/>
      <c r="Q558" s="398"/>
      <c r="R558" s="398"/>
      <c r="S558" s="398"/>
      <c r="T558" s="398"/>
      <c r="U558" s="398"/>
      <c r="V558" s="398"/>
      <c r="W558" s="398"/>
      <c r="X558" s="398"/>
      <c r="Y558" s="398"/>
      <c r="Z558" s="398"/>
    </row>
    <row r="559">
      <c r="A559" s="396"/>
      <c r="B559" s="397"/>
      <c r="C559" s="398"/>
      <c r="D559" s="398"/>
      <c r="E559" s="398"/>
      <c r="F559" s="398"/>
      <c r="G559" s="398"/>
      <c r="H559" s="398"/>
      <c r="I559" s="398"/>
      <c r="J559" s="398"/>
      <c r="K559" s="398"/>
      <c r="L559" s="398"/>
      <c r="M559" s="398"/>
      <c r="N559" s="398"/>
      <c r="O559" s="398"/>
      <c r="P559" s="398"/>
      <c r="Q559" s="398"/>
      <c r="R559" s="398"/>
      <c r="S559" s="398"/>
      <c r="T559" s="398"/>
      <c r="U559" s="398"/>
      <c r="V559" s="398"/>
      <c r="W559" s="398"/>
      <c r="X559" s="398"/>
      <c r="Y559" s="398"/>
      <c r="Z559" s="398"/>
    </row>
    <row r="560">
      <c r="A560" s="396"/>
      <c r="B560" s="397"/>
      <c r="C560" s="398"/>
      <c r="D560" s="398"/>
      <c r="E560" s="398"/>
      <c r="F560" s="398"/>
      <c r="G560" s="398"/>
      <c r="H560" s="398"/>
      <c r="I560" s="398"/>
      <c r="J560" s="398"/>
      <c r="K560" s="398"/>
      <c r="L560" s="398"/>
      <c r="M560" s="398"/>
      <c r="N560" s="398"/>
      <c r="O560" s="398"/>
      <c r="P560" s="398"/>
      <c r="Q560" s="398"/>
      <c r="R560" s="398"/>
      <c r="S560" s="398"/>
      <c r="T560" s="398"/>
      <c r="U560" s="398"/>
      <c r="V560" s="398"/>
      <c r="W560" s="398"/>
      <c r="X560" s="398"/>
      <c r="Y560" s="398"/>
      <c r="Z560" s="398"/>
    </row>
    <row r="561">
      <c r="A561" s="396"/>
      <c r="B561" s="397"/>
      <c r="C561" s="398"/>
      <c r="D561" s="398"/>
      <c r="E561" s="398"/>
      <c r="F561" s="398"/>
      <c r="G561" s="398"/>
      <c r="H561" s="398"/>
      <c r="I561" s="398"/>
      <c r="J561" s="398"/>
      <c r="K561" s="398"/>
      <c r="L561" s="398"/>
      <c r="M561" s="398"/>
      <c r="N561" s="398"/>
      <c r="O561" s="398"/>
      <c r="P561" s="398"/>
      <c r="Q561" s="398"/>
      <c r="R561" s="398"/>
      <c r="S561" s="398"/>
      <c r="T561" s="398"/>
      <c r="U561" s="398"/>
      <c r="V561" s="398"/>
      <c r="W561" s="398"/>
      <c r="X561" s="398"/>
      <c r="Y561" s="398"/>
      <c r="Z561" s="398"/>
    </row>
    <row r="562">
      <c r="A562" s="396"/>
      <c r="B562" s="397"/>
      <c r="C562" s="398"/>
      <c r="D562" s="398"/>
      <c r="E562" s="398"/>
      <c r="F562" s="398"/>
      <c r="G562" s="398"/>
      <c r="H562" s="398"/>
      <c r="I562" s="398"/>
      <c r="J562" s="398"/>
      <c r="K562" s="398"/>
      <c r="L562" s="398"/>
      <c r="M562" s="398"/>
      <c r="N562" s="398"/>
      <c r="O562" s="398"/>
      <c r="P562" s="398"/>
      <c r="Q562" s="398"/>
      <c r="R562" s="398"/>
      <c r="S562" s="398"/>
      <c r="T562" s="398"/>
      <c r="U562" s="398"/>
      <c r="V562" s="398"/>
      <c r="W562" s="398"/>
      <c r="X562" s="398"/>
      <c r="Y562" s="398"/>
      <c r="Z562" s="398"/>
    </row>
    <row r="563">
      <c r="A563" s="396"/>
      <c r="B563" s="397"/>
      <c r="C563" s="398"/>
      <c r="D563" s="398"/>
      <c r="E563" s="398"/>
      <c r="F563" s="398"/>
      <c r="G563" s="398"/>
      <c r="H563" s="398"/>
      <c r="I563" s="398"/>
      <c r="J563" s="398"/>
      <c r="K563" s="398"/>
      <c r="L563" s="398"/>
      <c r="M563" s="398"/>
      <c r="N563" s="398"/>
      <c r="O563" s="398"/>
      <c r="P563" s="398"/>
      <c r="Q563" s="398"/>
      <c r="R563" s="398"/>
      <c r="S563" s="398"/>
      <c r="T563" s="398"/>
      <c r="U563" s="398"/>
      <c r="V563" s="398"/>
      <c r="W563" s="398"/>
      <c r="X563" s="398"/>
      <c r="Y563" s="398"/>
      <c r="Z563" s="398"/>
    </row>
    <row r="564">
      <c r="A564" s="396"/>
      <c r="B564" s="397"/>
      <c r="C564" s="398"/>
      <c r="D564" s="398"/>
      <c r="E564" s="398"/>
      <c r="F564" s="398"/>
      <c r="G564" s="398"/>
      <c r="H564" s="398"/>
      <c r="I564" s="398"/>
      <c r="J564" s="398"/>
      <c r="K564" s="398"/>
      <c r="L564" s="398"/>
      <c r="M564" s="398"/>
      <c r="N564" s="398"/>
      <c r="O564" s="398"/>
      <c r="P564" s="398"/>
      <c r="Q564" s="398"/>
      <c r="R564" s="398"/>
      <c r="S564" s="398"/>
      <c r="T564" s="398"/>
      <c r="U564" s="398"/>
      <c r="V564" s="398"/>
      <c r="W564" s="398"/>
      <c r="X564" s="398"/>
      <c r="Y564" s="398"/>
      <c r="Z564" s="398"/>
    </row>
    <row r="565">
      <c r="A565" s="396"/>
      <c r="B565" s="397"/>
      <c r="C565" s="398"/>
      <c r="D565" s="398"/>
      <c r="E565" s="398"/>
      <c r="F565" s="398"/>
      <c r="G565" s="398"/>
      <c r="H565" s="398"/>
      <c r="I565" s="398"/>
      <c r="J565" s="398"/>
      <c r="K565" s="398"/>
      <c r="L565" s="398"/>
      <c r="M565" s="398"/>
      <c r="N565" s="398"/>
      <c r="O565" s="398"/>
      <c r="P565" s="398"/>
      <c r="Q565" s="398"/>
      <c r="R565" s="398"/>
      <c r="S565" s="398"/>
      <c r="T565" s="398"/>
      <c r="U565" s="398"/>
      <c r="V565" s="398"/>
      <c r="W565" s="398"/>
      <c r="X565" s="398"/>
      <c r="Y565" s="398"/>
      <c r="Z565" s="398"/>
    </row>
    <row r="566">
      <c r="A566" s="396"/>
      <c r="B566" s="397"/>
      <c r="C566" s="398"/>
      <c r="D566" s="398"/>
      <c r="E566" s="398"/>
      <c r="F566" s="398"/>
      <c r="G566" s="398"/>
      <c r="H566" s="398"/>
      <c r="I566" s="398"/>
      <c r="J566" s="398"/>
      <c r="K566" s="398"/>
      <c r="L566" s="398"/>
      <c r="M566" s="398"/>
      <c r="N566" s="398"/>
      <c r="O566" s="398"/>
      <c r="P566" s="398"/>
      <c r="Q566" s="398"/>
      <c r="R566" s="398"/>
      <c r="S566" s="398"/>
      <c r="T566" s="398"/>
      <c r="U566" s="398"/>
      <c r="V566" s="398"/>
      <c r="W566" s="398"/>
      <c r="X566" s="398"/>
      <c r="Y566" s="398"/>
      <c r="Z566" s="398"/>
    </row>
    <row r="567">
      <c r="A567" s="396"/>
      <c r="B567" s="397"/>
      <c r="C567" s="398"/>
      <c r="D567" s="398"/>
      <c r="E567" s="398"/>
      <c r="F567" s="398"/>
      <c r="G567" s="398"/>
      <c r="H567" s="398"/>
      <c r="I567" s="398"/>
      <c r="J567" s="398"/>
      <c r="K567" s="398"/>
      <c r="L567" s="398"/>
      <c r="M567" s="398"/>
      <c r="N567" s="398"/>
      <c r="O567" s="398"/>
      <c r="P567" s="398"/>
      <c r="Q567" s="398"/>
      <c r="R567" s="398"/>
      <c r="S567" s="398"/>
      <c r="T567" s="398"/>
      <c r="U567" s="398"/>
      <c r="V567" s="398"/>
      <c r="W567" s="398"/>
      <c r="X567" s="398"/>
      <c r="Y567" s="398"/>
      <c r="Z567" s="398"/>
    </row>
    <row r="568">
      <c r="A568" s="396"/>
      <c r="B568" s="397"/>
      <c r="C568" s="398"/>
      <c r="D568" s="398"/>
      <c r="E568" s="398"/>
      <c r="F568" s="398"/>
      <c r="G568" s="398"/>
      <c r="H568" s="398"/>
      <c r="I568" s="398"/>
      <c r="J568" s="398"/>
      <c r="K568" s="398"/>
      <c r="L568" s="398"/>
      <c r="M568" s="398"/>
      <c r="N568" s="398"/>
      <c r="O568" s="398"/>
      <c r="P568" s="398"/>
      <c r="Q568" s="398"/>
      <c r="R568" s="398"/>
      <c r="S568" s="398"/>
      <c r="T568" s="398"/>
      <c r="U568" s="398"/>
      <c r="V568" s="398"/>
      <c r="W568" s="398"/>
      <c r="X568" s="398"/>
      <c r="Y568" s="398"/>
      <c r="Z568" s="398"/>
    </row>
    <row r="569">
      <c r="A569" s="396"/>
      <c r="B569" s="397"/>
      <c r="C569" s="398"/>
      <c r="D569" s="398"/>
      <c r="E569" s="398"/>
      <c r="F569" s="398"/>
      <c r="G569" s="398"/>
      <c r="H569" s="398"/>
      <c r="I569" s="398"/>
      <c r="J569" s="398"/>
      <c r="K569" s="398"/>
      <c r="L569" s="398"/>
      <c r="M569" s="398"/>
      <c r="N569" s="398"/>
      <c r="O569" s="398"/>
      <c r="P569" s="398"/>
      <c r="Q569" s="398"/>
      <c r="R569" s="398"/>
      <c r="S569" s="398"/>
      <c r="T569" s="398"/>
      <c r="U569" s="398"/>
      <c r="V569" s="398"/>
      <c r="W569" s="398"/>
      <c r="X569" s="398"/>
      <c r="Y569" s="398"/>
      <c r="Z569" s="398"/>
    </row>
    <row r="570">
      <c r="A570" s="396"/>
      <c r="B570" s="397"/>
      <c r="C570" s="398"/>
      <c r="D570" s="398"/>
      <c r="E570" s="398"/>
      <c r="F570" s="398"/>
      <c r="G570" s="398"/>
      <c r="H570" s="398"/>
      <c r="I570" s="398"/>
      <c r="J570" s="398"/>
      <c r="K570" s="398"/>
      <c r="L570" s="398"/>
      <c r="M570" s="398"/>
      <c r="N570" s="398"/>
      <c r="O570" s="398"/>
      <c r="P570" s="398"/>
      <c r="Q570" s="398"/>
      <c r="R570" s="398"/>
      <c r="S570" s="398"/>
      <c r="T570" s="398"/>
      <c r="U570" s="398"/>
      <c r="V570" s="398"/>
      <c r="W570" s="398"/>
      <c r="X570" s="398"/>
      <c r="Y570" s="398"/>
      <c r="Z570" s="398"/>
    </row>
    <row r="571">
      <c r="A571" s="396"/>
      <c r="B571" s="397"/>
      <c r="C571" s="398"/>
      <c r="D571" s="398"/>
      <c r="E571" s="398"/>
      <c r="F571" s="398"/>
      <c r="G571" s="398"/>
      <c r="H571" s="398"/>
      <c r="I571" s="398"/>
      <c r="J571" s="398"/>
      <c r="K571" s="398"/>
      <c r="L571" s="398"/>
      <c r="M571" s="398"/>
      <c r="N571" s="398"/>
      <c r="O571" s="398"/>
      <c r="P571" s="398"/>
      <c r="Q571" s="398"/>
      <c r="R571" s="398"/>
      <c r="S571" s="398"/>
      <c r="T571" s="398"/>
      <c r="U571" s="398"/>
      <c r="V571" s="398"/>
      <c r="W571" s="398"/>
      <c r="X571" s="398"/>
      <c r="Y571" s="398"/>
      <c r="Z571" s="398"/>
    </row>
    <row r="572">
      <c r="A572" s="396"/>
      <c r="B572" s="397"/>
      <c r="C572" s="398"/>
      <c r="D572" s="398"/>
      <c r="E572" s="398"/>
      <c r="F572" s="398"/>
      <c r="G572" s="398"/>
      <c r="H572" s="398"/>
      <c r="I572" s="398"/>
      <c r="J572" s="398"/>
      <c r="K572" s="398"/>
      <c r="L572" s="398"/>
      <c r="M572" s="398"/>
      <c r="N572" s="398"/>
      <c r="O572" s="398"/>
      <c r="P572" s="398"/>
      <c r="Q572" s="398"/>
      <c r="R572" s="398"/>
      <c r="S572" s="398"/>
      <c r="T572" s="398"/>
      <c r="U572" s="398"/>
      <c r="V572" s="398"/>
      <c r="W572" s="398"/>
      <c r="X572" s="398"/>
      <c r="Y572" s="398"/>
      <c r="Z572" s="398"/>
    </row>
    <row r="573">
      <c r="A573" s="396"/>
      <c r="B573" s="397"/>
      <c r="C573" s="398"/>
      <c r="D573" s="398"/>
      <c r="E573" s="398"/>
      <c r="F573" s="398"/>
      <c r="G573" s="398"/>
      <c r="H573" s="398"/>
      <c r="I573" s="398"/>
      <c r="J573" s="398"/>
      <c r="K573" s="398"/>
      <c r="L573" s="398"/>
      <c r="M573" s="398"/>
      <c r="N573" s="398"/>
      <c r="O573" s="398"/>
      <c r="P573" s="398"/>
      <c r="Q573" s="398"/>
      <c r="R573" s="398"/>
      <c r="S573" s="398"/>
      <c r="T573" s="398"/>
      <c r="U573" s="398"/>
      <c r="V573" s="398"/>
      <c r="W573" s="398"/>
      <c r="X573" s="398"/>
      <c r="Y573" s="398"/>
      <c r="Z573" s="398"/>
    </row>
    <row r="574">
      <c r="A574" s="396"/>
      <c r="B574" s="397"/>
      <c r="C574" s="398"/>
      <c r="D574" s="398"/>
      <c r="E574" s="398"/>
      <c r="F574" s="398"/>
      <c r="G574" s="398"/>
      <c r="H574" s="398"/>
      <c r="I574" s="398"/>
      <c r="J574" s="398"/>
      <c r="K574" s="398"/>
      <c r="L574" s="398"/>
      <c r="M574" s="398"/>
      <c r="N574" s="398"/>
      <c r="O574" s="398"/>
      <c r="P574" s="398"/>
      <c r="Q574" s="398"/>
      <c r="R574" s="398"/>
      <c r="S574" s="398"/>
      <c r="T574" s="398"/>
      <c r="U574" s="398"/>
      <c r="V574" s="398"/>
      <c r="W574" s="398"/>
      <c r="X574" s="398"/>
      <c r="Y574" s="398"/>
      <c r="Z574" s="398"/>
    </row>
    <row r="575">
      <c r="A575" s="396"/>
      <c r="B575" s="397"/>
      <c r="C575" s="398"/>
      <c r="D575" s="398"/>
      <c r="E575" s="398"/>
      <c r="F575" s="398"/>
      <c r="G575" s="398"/>
      <c r="H575" s="398"/>
      <c r="I575" s="398"/>
      <c r="J575" s="398"/>
      <c r="K575" s="398"/>
      <c r="L575" s="398"/>
      <c r="M575" s="398"/>
      <c r="N575" s="398"/>
      <c r="O575" s="398"/>
      <c r="P575" s="398"/>
      <c r="Q575" s="398"/>
      <c r="R575" s="398"/>
      <c r="S575" s="398"/>
      <c r="T575" s="398"/>
      <c r="U575" s="398"/>
      <c r="V575" s="398"/>
      <c r="W575" s="398"/>
      <c r="X575" s="398"/>
      <c r="Y575" s="398"/>
      <c r="Z575" s="398"/>
    </row>
    <row r="576">
      <c r="A576" s="396"/>
      <c r="B576" s="397"/>
      <c r="C576" s="398"/>
      <c r="D576" s="398"/>
      <c r="E576" s="398"/>
      <c r="F576" s="398"/>
      <c r="G576" s="398"/>
      <c r="H576" s="398"/>
      <c r="I576" s="398"/>
      <c r="J576" s="398"/>
      <c r="K576" s="398"/>
      <c r="L576" s="398"/>
      <c r="M576" s="398"/>
      <c r="N576" s="398"/>
      <c r="O576" s="398"/>
      <c r="P576" s="398"/>
      <c r="Q576" s="398"/>
      <c r="R576" s="398"/>
      <c r="S576" s="398"/>
      <c r="T576" s="398"/>
      <c r="U576" s="398"/>
      <c r="V576" s="398"/>
      <c r="W576" s="398"/>
      <c r="X576" s="398"/>
      <c r="Y576" s="398"/>
      <c r="Z576" s="398"/>
    </row>
    <row r="577">
      <c r="A577" s="396"/>
      <c r="B577" s="397"/>
      <c r="C577" s="398"/>
      <c r="D577" s="398"/>
      <c r="E577" s="398"/>
      <c r="F577" s="398"/>
      <c r="G577" s="398"/>
      <c r="H577" s="398"/>
      <c r="I577" s="398"/>
      <c r="J577" s="398"/>
      <c r="K577" s="398"/>
      <c r="L577" s="398"/>
      <c r="M577" s="398"/>
      <c r="N577" s="398"/>
      <c r="O577" s="398"/>
      <c r="P577" s="398"/>
      <c r="Q577" s="398"/>
      <c r="R577" s="398"/>
      <c r="S577" s="398"/>
      <c r="T577" s="398"/>
      <c r="U577" s="398"/>
      <c r="V577" s="398"/>
      <c r="W577" s="398"/>
      <c r="X577" s="398"/>
      <c r="Y577" s="398"/>
      <c r="Z577" s="398"/>
    </row>
    <row r="578">
      <c r="A578" s="396"/>
      <c r="B578" s="397"/>
      <c r="C578" s="398"/>
      <c r="D578" s="398"/>
      <c r="E578" s="398"/>
      <c r="F578" s="398"/>
      <c r="G578" s="398"/>
      <c r="H578" s="398"/>
      <c r="I578" s="398"/>
      <c r="J578" s="398"/>
      <c r="K578" s="398"/>
      <c r="L578" s="398"/>
      <c r="M578" s="398"/>
      <c r="N578" s="398"/>
      <c r="O578" s="398"/>
      <c r="P578" s="398"/>
      <c r="Q578" s="398"/>
      <c r="R578" s="398"/>
      <c r="S578" s="398"/>
      <c r="T578" s="398"/>
      <c r="U578" s="398"/>
      <c r="V578" s="398"/>
      <c r="W578" s="398"/>
      <c r="X578" s="398"/>
      <c r="Y578" s="398"/>
      <c r="Z578" s="398"/>
    </row>
    <row r="579">
      <c r="A579" s="396"/>
      <c r="B579" s="397"/>
      <c r="C579" s="398"/>
      <c r="D579" s="398"/>
      <c r="E579" s="398"/>
      <c r="F579" s="398"/>
      <c r="G579" s="398"/>
      <c r="H579" s="398"/>
      <c r="I579" s="398"/>
      <c r="J579" s="398"/>
      <c r="K579" s="398"/>
      <c r="L579" s="398"/>
      <c r="M579" s="398"/>
      <c r="N579" s="398"/>
      <c r="O579" s="398"/>
      <c r="P579" s="398"/>
      <c r="Q579" s="398"/>
      <c r="R579" s="398"/>
      <c r="S579" s="398"/>
      <c r="T579" s="398"/>
      <c r="U579" s="398"/>
      <c r="V579" s="398"/>
      <c r="W579" s="398"/>
      <c r="X579" s="398"/>
      <c r="Y579" s="398"/>
      <c r="Z579" s="398"/>
    </row>
    <row r="580">
      <c r="A580" s="396"/>
      <c r="B580" s="397"/>
      <c r="C580" s="398"/>
      <c r="D580" s="398"/>
      <c r="E580" s="398"/>
      <c r="F580" s="398"/>
      <c r="G580" s="398"/>
      <c r="H580" s="398"/>
      <c r="I580" s="398"/>
      <c r="J580" s="398"/>
      <c r="K580" s="398"/>
      <c r="L580" s="398"/>
      <c r="M580" s="398"/>
      <c r="N580" s="398"/>
      <c r="O580" s="398"/>
      <c r="P580" s="398"/>
      <c r="Q580" s="398"/>
      <c r="R580" s="398"/>
      <c r="S580" s="398"/>
      <c r="T580" s="398"/>
      <c r="U580" s="398"/>
      <c r="V580" s="398"/>
      <c r="W580" s="398"/>
      <c r="X580" s="398"/>
      <c r="Y580" s="398"/>
      <c r="Z580" s="398"/>
    </row>
    <row r="581">
      <c r="A581" s="396"/>
      <c r="B581" s="397"/>
      <c r="C581" s="398"/>
      <c r="D581" s="398"/>
      <c r="E581" s="398"/>
      <c r="F581" s="398"/>
      <c r="G581" s="398"/>
      <c r="H581" s="398"/>
      <c r="I581" s="398"/>
      <c r="J581" s="398"/>
      <c r="K581" s="398"/>
      <c r="L581" s="398"/>
      <c r="M581" s="398"/>
      <c r="N581" s="398"/>
      <c r="O581" s="398"/>
      <c r="P581" s="398"/>
      <c r="Q581" s="398"/>
      <c r="R581" s="398"/>
      <c r="S581" s="398"/>
      <c r="T581" s="398"/>
      <c r="U581" s="398"/>
      <c r="V581" s="398"/>
      <c r="W581" s="398"/>
      <c r="X581" s="398"/>
      <c r="Y581" s="398"/>
      <c r="Z581" s="398"/>
    </row>
    <row r="582">
      <c r="A582" s="396"/>
      <c r="B582" s="397"/>
      <c r="C582" s="398"/>
      <c r="D582" s="398"/>
      <c r="E582" s="398"/>
      <c r="F582" s="398"/>
      <c r="G582" s="398"/>
      <c r="H582" s="398"/>
      <c r="I582" s="398"/>
      <c r="J582" s="398"/>
      <c r="K582" s="398"/>
      <c r="L582" s="398"/>
      <c r="M582" s="398"/>
      <c r="N582" s="398"/>
      <c r="O582" s="398"/>
      <c r="P582" s="398"/>
      <c r="Q582" s="398"/>
      <c r="R582" s="398"/>
      <c r="S582" s="398"/>
      <c r="T582" s="398"/>
      <c r="U582" s="398"/>
      <c r="V582" s="398"/>
      <c r="W582" s="398"/>
      <c r="X582" s="398"/>
      <c r="Y582" s="398"/>
      <c r="Z582" s="398"/>
    </row>
    <row r="583">
      <c r="A583" s="396"/>
      <c r="B583" s="397"/>
      <c r="C583" s="398"/>
      <c r="D583" s="398"/>
      <c r="E583" s="398"/>
      <c r="F583" s="398"/>
      <c r="G583" s="398"/>
      <c r="H583" s="398"/>
      <c r="I583" s="398"/>
      <c r="J583" s="398"/>
      <c r="K583" s="398"/>
      <c r="L583" s="398"/>
      <c r="M583" s="398"/>
      <c r="N583" s="398"/>
      <c r="O583" s="398"/>
      <c r="P583" s="398"/>
      <c r="Q583" s="398"/>
      <c r="R583" s="398"/>
      <c r="S583" s="398"/>
      <c r="T583" s="398"/>
      <c r="U583" s="398"/>
      <c r="V583" s="398"/>
      <c r="W583" s="398"/>
      <c r="X583" s="398"/>
      <c r="Y583" s="398"/>
      <c r="Z583" s="398"/>
    </row>
    <row r="584">
      <c r="A584" s="396"/>
      <c r="B584" s="397"/>
      <c r="C584" s="398"/>
      <c r="D584" s="398"/>
      <c r="E584" s="398"/>
      <c r="F584" s="398"/>
      <c r="G584" s="398"/>
      <c r="H584" s="398"/>
      <c r="I584" s="398"/>
      <c r="J584" s="398"/>
      <c r="K584" s="398"/>
      <c r="L584" s="398"/>
      <c r="M584" s="398"/>
      <c r="N584" s="398"/>
      <c r="O584" s="398"/>
      <c r="P584" s="398"/>
      <c r="Q584" s="398"/>
      <c r="R584" s="398"/>
      <c r="S584" s="398"/>
      <c r="T584" s="398"/>
      <c r="U584" s="398"/>
      <c r="V584" s="398"/>
      <c r="W584" s="398"/>
      <c r="X584" s="398"/>
      <c r="Y584" s="398"/>
      <c r="Z584" s="398"/>
    </row>
    <row r="585">
      <c r="A585" s="396"/>
      <c r="B585" s="397"/>
      <c r="C585" s="398"/>
      <c r="D585" s="398"/>
      <c r="E585" s="398"/>
      <c r="F585" s="398"/>
      <c r="G585" s="398"/>
      <c r="H585" s="398"/>
      <c r="I585" s="398"/>
      <c r="J585" s="398"/>
      <c r="K585" s="398"/>
      <c r="L585" s="398"/>
      <c r="M585" s="398"/>
      <c r="N585" s="398"/>
      <c r="O585" s="398"/>
      <c r="P585" s="398"/>
      <c r="Q585" s="398"/>
      <c r="R585" s="398"/>
      <c r="S585" s="398"/>
      <c r="T585" s="398"/>
      <c r="U585" s="398"/>
      <c r="V585" s="398"/>
      <c r="W585" s="398"/>
      <c r="X585" s="398"/>
      <c r="Y585" s="398"/>
      <c r="Z585" s="398"/>
    </row>
    <row r="586">
      <c r="A586" s="396"/>
      <c r="B586" s="397"/>
      <c r="C586" s="398"/>
      <c r="D586" s="398"/>
      <c r="E586" s="398"/>
      <c r="F586" s="398"/>
      <c r="G586" s="398"/>
      <c r="H586" s="398"/>
      <c r="I586" s="398"/>
      <c r="J586" s="398"/>
      <c r="K586" s="398"/>
      <c r="L586" s="398"/>
      <c r="M586" s="398"/>
      <c r="N586" s="398"/>
      <c r="O586" s="398"/>
      <c r="P586" s="398"/>
      <c r="Q586" s="398"/>
      <c r="R586" s="398"/>
      <c r="S586" s="398"/>
      <c r="T586" s="398"/>
      <c r="U586" s="398"/>
      <c r="V586" s="398"/>
      <c r="W586" s="398"/>
      <c r="X586" s="398"/>
      <c r="Y586" s="398"/>
      <c r="Z586" s="398"/>
    </row>
    <row r="587">
      <c r="A587" s="396"/>
      <c r="B587" s="397"/>
      <c r="C587" s="398"/>
      <c r="D587" s="398"/>
      <c r="E587" s="398"/>
      <c r="F587" s="398"/>
      <c r="G587" s="398"/>
      <c r="H587" s="398"/>
      <c r="I587" s="398"/>
      <c r="J587" s="398"/>
      <c r="K587" s="398"/>
      <c r="L587" s="398"/>
      <c r="M587" s="398"/>
      <c r="N587" s="398"/>
      <c r="O587" s="398"/>
      <c r="P587" s="398"/>
      <c r="Q587" s="398"/>
      <c r="R587" s="398"/>
      <c r="S587" s="398"/>
      <c r="T587" s="398"/>
      <c r="U587" s="398"/>
      <c r="V587" s="398"/>
      <c r="W587" s="398"/>
      <c r="X587" s="398"/>
      <c r="Y587" s="398"/>
      <c r="Z587" s="398"/>
    </row>
    <row r="588">
      <c r="A588" s="396"/>
      <c r="B588" s="397"/>
      <c r="C588" s="398"/>
      <c r="D588" s="398"/>
      <c r="E588" s="398"/>
      <c r="F588" s="398"/>
      <c r="G588" s="398"/>
      <c r="H588" s="398"/>
      <c r="I588" s="398"/>
      <c r="J588" s="398"/>
      <c r="K588" s="398"/>
      <c r="L588" s="398"/>
      <c r="M588" s="398"/>
      <c r="N588" s="398"/>
      <c r="O588" s="398"/>
      <c r="P588" s="398"/>
      <c r="Q588" s="398"/>
      <c r="R588" s="398"/>
      <c r="S588" s="398"/>
      <c r="T588" s="398"/>
      <c r="U588" s="398"/>
      <c r="V588" s="398"/>
      <c r="W588" s="398"/>
      <c r="X588" s="398"/>
      <c r="Y588" s="398"/>
      <c r="Z588" s="398"/>
    </row>
    <row r="589">
      <c r="A589" s="396"/>
      <c r="B589" s="397"/>
      <c r="C589" s="398"/>
      <c r="D589" s="398"/>
      <c r="E589" s="398"/>
      <c r="F589" s="398"/>
      <c r="G589" s="398"/>
      <c r="H589" s="398"/>
      <c r="I589" s="398"/>
      <c r="J589" s="398"/>
      <c r="K589" s="398"/>
      <c r="L589" s="398"/>
      <c r="M589" s="398"/>
      <c r="N589" s="398"/>
      <c r="O589" s="398"/>
      <c r="P589" s="398"/>
      <c r="Q589" s="398"/>
      <c r="R589" s="398"/>
      <c r="S589" s="398"/>
      <c r="T589" s="398"/>
      <c r="U589" s="398"/>
      <c r="V589" s="398"/>
      <c r="W589" s="398"/>
      <c r="X589" s="398"/>
      <c r="Y589" s="398"/>
      <c r="Z589" s="398"/>
    </row>
    <row r="590">
      <c r="A590" s="396"/>
      <c r="B590" s="397"/>
      <c r="C590" s="398"/>
      <c r="D590" s="398"/>
      <c r="E590" s="398"/>
      <c r="F590" s="398"/>
      <c r="G590" s="398"/>
      <c r="H590" s="398"/>
      <c r="I590" s="398"/>
      <c r="J590" s="398"/>
      <c r="K590" s="398"/>
      <c r="L590" s="398"/>
      <c r="M590" s="398"/>
      <c r="N590" s="398"/>
      <c r="O590" s="398"/>
      <c r="P590" s="398"/>
      <c r="Q590" s="398"/>
      <c r="R590" s="398"/>
      <c r="S590" s="398"/>
      <c r="T590" s="398"/>
      <c r="U590" s="398"/>
      <c r="V590" s="398"/>
      <c r="W590" s="398"/>
      <c r="X590" s="398"/>
      <c r="Y590" s="398"/>
      <c r="Z590" s="398"/>
    </row>
    <row r="591">
      <c r="A591" s="396"/>
      <c r="B591" s="397"/>
      <c r="C591" s="398"/>
      <c r="D591" s="398"/>
      <c r="E591" s="398"/>
      <c r="F591" s="398"/>
      <c r="G591" s="398"/>
      <c r="H591" s="398"/>
      <c r="I591" s="398"/>
      <c r="J591" s="398"/>
      <c r="K591" s="398"/>
      <c r="L591" s="398"/>
      <c r="M591" s="398"/>
      <c r="N591" s="398"/>
      <c r="O591" s="398"/>
      <c r="P591" s="398"/>
      <c r="Q591" s="398"/>
      <c r="R591" s="398"/>
      <c r="S591" s="398"/>
      <c r="T591" s="398"/>
      <c r="U591" s="398"/>
      <c r="V591" s="398"/>
      <c r="W591" s="398"/>
      <c r="X591" s="398"/>
      <c r="Y591" s="398"/>
      <c r="Z591" s="398"/>
    </row>
    <row r="592">
      <c r="A592" s="396"/>
      <c r="B592" s="397"/>
      <c r="C592" s="398"/>
      <c r="D592" s="398"/>
      <c r="E592" s="398"/>
      <c r="F592" s="398"/>
      <c r="G592" s="398"/>
      <c r="H592" s="398"/>
      <c r="I592" s="398"/>
      <c r="J592" s="398"/>
      <c r="K592" s="398"/>
      <c r="L592" s="398"/>
      <c r="M592" s="398"/>
      <c r="N592" s="398"/>
      <c r="O592" s="398"/>
      <c r="P592" s="398"/>
      <c r="Q592" s="398"/>
      <c r="R592" s="398"/>
      <c r="S592" s="398"/>
      <c r="T592" s="398"/>
      <c r="U592" s="398"/>
      <c r="V592" s="398"/>
      <c r="W592" s="398"/>
      <c r="X592" s="398"/>
      <c r="Y592" s="398"/>
      <c r="Z592" s="398"/>
    </row>
    <row r="593">
      <c r="A593" s="396"/>
      <c r="B593" s="397"/>
      <c r="C593" s="398"/>
      <c r="D593" s="398"/>
      <c r="E593" s="398"/>
      <c r="F593" s="398"/>
      <c r="G593" s="398"/>
      <c r="H593" s="398"/>
      <c r="I593" s="398"/>
      <c r="J593" s="398"/>
      <c r="K593" s="398"/>
      <c r="L593" s="398"/>
      <c r="M593" s="398"/>
      <c r="N593" s="398"/>
      <c r="O593" s="398"/>
      <c r="P593" s="398"/>
      <c r="Q593" s="398"/>
      <c r="R593" s="398"/>
      <c r="S593" s="398"/>
      <c r="T593" s="398"/>
      <c r="U593" s="398"/>
      <c r="V593" s="398"/>
      <c r="W593" s="398"/>
      <c r="X593" s="398"/>
      <c r="Y593" s="398"/>
      <c r="Z593" s="398"/>
    </row>
    <row r="594">
      <c r="A594" s="396"/>
      <c r="B594" s="397"/>
      <c r="C594" s="398"/>
      <c r="D594" s="398"/>
      <c r="E594" s="398"/>
      <c r="F594" s="398"/>
      <c r="G594" s="398"/>
      <c r="H594" s="398"/>
      <c r="I594" s="398"/>
      <c r="J594" s="398"/>
      <c r="K594" s="398"/>
      <c r="L594" s="398"/>
      <c r="M594" s="398"/>
      <c r="N594" s="398"/>
      <c r="O594" s="398"/>
      <c r="P594" s="398"/>
      <c r="Q594" s="398"/>
      <c r="R594" s="398"/>
      <c r="S594" s="398"/>
      <c r="T594" s="398"/>
      <c r="U594" s="398"/>
      <c r="V594" s="398"/>
      <c r="W594" s="398"/>
      <c r="X594" s="398"/>
      <c r="Y594" s="398"/>
      <c r="Z594" s="398"/>
    </row>
    <row r="595">
      <c r="A595" s="396"/>
      <c r="B595" s="397"/>
      <c r="C595" s="398"/>
      <c r="D595" s="398"/>
      <c r="E595" s="398"/>
      <c r="F595" s="398"/>
      <c r="G595" s="398"/>
      <c r="H595" s="398"/>
      <c r="I595" s="398"/>
      <c r="J595" s="398"/>
      <c r="K595" s="398"/>
      <c r="L595" s="398"/>
      <c r="M595" s="398"/>
      <c r="N595" s="398"/>
      <c r="O595" s="398"/>
      <c r="P595" s="398"/>
      <c r="Q595" s="398"/>
      <c r="R595" s="398"/>
      <c r="S595" s="398"/>
      <c r="T595" s="398"/>
      <c r="U595" s="398"/>
      <c r="V595" s="398"/>
      <c r="W595" s="398"/>
      <c r="X595" s="398"/>
      <c r="Y595" s="398"/>
      <c r="Z595" s="398"/>
    </row>
    <row r="596">
      <c r="A596" s="396"/>
      <c r="B596" s="397"/>
      <c r="C596" s="398"/>
      <c r="D596" s="398"/>
      <c r="E596" s="398"/>
      <c r="F596" s="398"/>
      <c r="G596" s="398"/>
      <c r="H596" s="398"/>
      <c r="I596" s="398"/>
      <c r="J596" s="398"/>
      <c r="K596" s="398"/>
      <c r="L596" s="398"/>
      <c r="M596" s="398"/>
      <c r="N596" s="398"/>
      <c r="O596" s="398"/>
      <c r="P596" s="398"/>
      <c r="Q596" s="398"/>
      <c r="R596" s="398"/>
      <c r="S596" s="398"/>
      <c r="T596" s="398"/>
      <c r="U596" s="398"/>
      <c r="V596" s="398"/>
      <c r="W596" s="398"/>
      <c r="X596" s="398"/>
      <c r="Y596" s="398"/>
      <c r="Z596" s="398"/>
    </row>
    <row r="597">
      <c r="A597" s="396"/>
      <c r="B597" s="397"/>
      <c r="C597" s="398"/>
      <c r="D597" s="398"/>
      <c r="E597" s="398"/>
      <c r="F597" s="398"/>
      <c r="G597" s="398"/>
      <c r="H597" s="398"/>
      <c r="I597" s="398"/>
      <c r="J597" s="398"/>
      <c r="K597" s="398"/>
      <c r="L597" s="398"/>
      <c r="M597" s="398"/>
      <c r="N597" s="398"/>
      <c r="O597" s="398"/>
      <c r="P597" s="398"/>
      <c r="Q597" s="398"/>
      <c r="R597" s="398"/>
      <c r="S597" s="398"/>
      <c r="T597" s="398"/>
      <c r="U597" s="398"/>
      <c r="V597" s="398"/>
      <c r="W597" s="398"/>
      <c r="X597" s="398"/>
      <c r="Y597" s="398"/>
      <c r="Z597" s="398"/>
    </row>
    <row r="598">
      <c r="A598" s="396"/>
      <c r="B598" s="397"/>
      <c r="C598" s="398"/>
      <c r="D598" s="398"/>
      <c r="E598" s="398"/>
      <c r="F598" s="398"/>
      <c r="G598" s="398"/>
      <c r="H598" s="398"/>
      <c r="I598" s="398"/>
      <c r="J598" s="398"/>
      <c r="K598" s="398"/>
      <c r="L598" s="398"/>
      <c r="M598" s="398"/>
      <c r="N598" s="398"/>
      <c r="O598" s="398"/>
      <c r="P598" s="398"/>
      <c r="Q598" s="398"/>
      <c r="R598" s="398"/>
      <c r="S598" s="398"/>
      <c r="T598" s="398"/>
      <c r="U598" s="398"/>
      <c r="V598" s="398"/>
      <c r="W598" s="398"/>
      <c r="X598" s="398"/>
      <c r="Y598" s="398"/>
      <c r="Z598" s="398"/>
    </row>
    <row r="599">
      <c r="A599" s="396"/>
      <c r="B599" s="397"/>
      <c r="C599" s="398"/>
      <c r="D599" s="398"/>
      <c r="E599" s="398"/>
      <c r="F599" s="398"/>
      <c r="G599" s="398"/>
      <c r="H599" s="398"/>
      <c r="I599" s="398"/>
      <c r="J599" s="398"/>
      <c r="K599" s="398"/>
      <c r="L599" s="398"/>
      <c r="M599" s="398"/>
      <c r="N599" s="398"/>
      <c r="O599" s="398"/>
      <c r="P599" s="398"/>
      <c r="Q599" s="398"/>
      <c r="R599" s="398"/>
      <c r="S599" s="398"/>
      <c r="T599" s="398"/>
      <c r="U599" s="398"/>
      <c r="V599" s="398"/>
      <c r="W599" s="398"/>
      <c r="X599" s="398"/>
      <c r="Y599" s="398"/>
      <c r="Z599" s="398"/>
    </row>
    <row r="600">
      <c r="A600" s="396"/>
      <c r="B600" s="397"/>
      <c r="C600" s="398"/>
      <c r="D600" s="398"/>
      <c r="E600" s="398"/>
      <c r="F600" s="398"/>
      <c r="G600" s="398"/>
      <c r="H600" s="398"/>
      <c r="I600" s="398"/>
      <c r="J600" s="398"/>
      <c r="K600" s="398"/>
      <c r="L600" s="398"/>
      <c r="M600" s="398"/>
      <c r="N600" s="398"/>
      <c r="O600" s="398"/>
      <c r="P600" s="398"/>
      <c r="Q600" s="398"/>
      <c r="R600" s="398"/>
      <c r="S600" s="398"/>
      <c r="T600" s="398"/>
      <c r="U600" s="398"/>
      <c r="V600" s="398"/>
      <c r="W600" s="398"/>
      <c r="X600" s="398"/>
      <c r="Y600" s="398"/>
      <c r="Z600" s="398"/>
    </row>
    <row r="601">
      <c r="A601" s="396"/>
      <c r="B601" s="397"/>
      <c r="C601" s="398"/>
      <c r="D601" s="398"/>
      <c r="E601" s="398"/>
      <c r="F601" s="398"/>
      <c r="G601" s="398"/>
      <c r="H601" s="398"/>
      <c r="I601" s="398"/>
      <c r="J601" s="398"/>
      <c r="K601" s="398"/>
      <c r="L601" s="398"/>
      <c r="M601" s="398"/>
      <c r="N601" s="398"/>
      <c r="O601" s="398"/>
      <c r="P601" s="398"/>
      <c r="Q601" s="398"/>
      <c r="R601" s="398"/>
      <c r="S601" s="398"/>
      <c r="T601" s="398"/>
      <c r="U601" s="398"/>
      <c r="V601" s="398"/>
      <c r="W601" s="398"/>
      <c r="X601" s="398"/>
      <c r="Y601" s="398"/>
      <c r="Z601" s="398"/>
    </row>
    <row r="602">
      <c r="A602" s="396"/>
      <c r="B602" s="397"/>
      <c r="C602" s="398"/>
      <c r="D602" s="398"/>
      <c r="E602" s="398"/>
      <c r="F602" s="398"/>
      <c r="G602" s="398"/>
      <c r="H602" s="398"/>
      <c r="I602" s="398"/>
      <c r="J602" s="398"/>
      <c r="K602" s="398"/>
      <c r="L602" s="398"/>
      <c r="M602" s="398"/>
      <c r="N602" s="398"/>
      <c r="O602" s="398"/>
      <c r="P602" s="398"/>
      <c r="Q602" s="398"/>
      <c r="R602" s="398"/>
      <c r="S602" s="398"/>
      <c r="T602" s="398"/>
      <c r="U602" s="398"/>
      <c r="V602" s="398"/>
      <c r="W602" s="398"/>
      <c r="X602" s="398"/>
      <c r="Y602" s="398"/>
      <c r="Z602" s="398"/>
    </row>
    <row r="603">
      <c r="A603" s="396"/>
      <c r="B603" s="397"/>
      <c r="C603" s="398"/>
      <c r="D603" s="398"/>
      <c r="E603" s="398"/>
      <c r="F603" s="398"/>
      <c r="G603" s="398"/>
      <c r="H603" s="398"/>
      <c r="I603" s="398"/>
      <c r="J603" s="398"/>
      <c r="K603" s="398"/>
      <c r="L603" s="398"/>
      <c r="M603" s="398"/>
      <c r="N603" s="398"/>
      <c r="O603" s="398"/>
      <c r="P603" s="398"/>
      <c r="Q603" s="398"/>
      <c r="R603" s="398"/>
      <c r="S603" s="398"/>
      <c r="T603" s="398"/>
      <c r="U603" s="398"/>
      <c r="V603" s="398"/>
      <c r="W603" s="398"/>
      <c r="X603" s="398"/>
      <c r="Y603" s="398"/>
      <c r="Z603" s="398"/>
    </row>
    <row r="604">
      <c r="A604" s="396"/>
      <c r="B604" s="397"/>
      <c r="C604" s="398"/>
      <c r="D604" s="398"/>
      <c r="E604" s="398"/>
      <c r="F604" s="398"/>
      <c r="G604" s="398"/>
      <c r="H604" s="398"/>
      <c r="I604" s="398"/>
      <c r="J604" s="398"/>
      <c r="K604" s="398"/>
      <c r="L604" s="398"/>
      <c r="M604" s="398"/>
      <c r="N604" s="398"/>
      <c r="O604" s="398"/>
      <c r="P604" s="398"/>
      <c r="Q604" s="398"/>
      <c r="R604" s="398"/>
      <c r="S604" s="398"/>
      <c r="T604" s="398"/>
      <c r="U604" s="398"/>
      <c r="V604" s="398"/>
      <c r="W604" s="398"/>
      <c r="X604" s="398"/>
      <c r="Y604" s="398"/>
      <c r="Z604" s="398"/>
    </row>
    <row r="605">
      <c r="A605" s="396"/>
      <c r="B605" s="397"/>
      <c r="C605" s="398"/>
      <c r="D605" s="398"/>
      <c r="E605" s="398"/>
      <c r="F605" s="398"/>
      <c r="G605" s="398"/>
      <c r="H605" s="398"/>
      <c r="I605" s="398"/>
      <c r="J605" s="398"/>
      <c r="K605" s="398"/>
      <c r="L605" s="398"/>
      <c r="M605" s="398"/>
      <c r="N605" s="398"/>
      <c r="O605" s="398"/>
      <c r="P605" s="398"/>
      <c r="Q605" s="398"/>
      <c r="R605" s="398"/>
      <c r="S605" s="398"/>
      <c r="T605" s="398"/>
      <c r="U605" s="398"/>
      <c r="V605" s="398"/>
      <c r="W605" s="398"/>
      <c r="X605" s="398"/>
      <c r="Y605" s="398"/>
      <c r="Z605" s="398"/>
    </row>
    <row r="606">
      <c r="A606" s="396"/>
      <c r="B606" s="397"/>
      <c r="C606" s="398"/>
      <c r="D606" s="398"/>
      <c r="E606" s="398"/>
      <c r="F606" s="398"/>
      <c r="G606" s="398"/>
      <c r="H606" s="398"/>
      <c r="I606" s="398"/>
      <c r="J606" s="398"/>
      <c r="K606" s="398"/>
      <c r="L606" s="398"/>
      <c r="M606" s="398"/>
      <c r="N606" s="398"/>
      <c r="O606" s="398"/>
      <c r="P606" s="398"/>
      <c r="Q606" s="398"/>
      <c r="R606" s="398"/>
      <c r="S606" s="398"/>
      <c r="T606" s="398"/>
      <c r="U606" s="398"/>
      <c r="V606" s="398"/>
      <c r="W606" s="398"/>
      <c r="X606" s="398"/>
      <c r="Y606" s="398"/>
      <c r="Z606" s="398"/>
    </row>
    <row r="607">
      <c r="A607" s="396"/>
      <c r="B607" s="397"/>
      <c r="C607" s="398"/>
      <c r="D607" s="398"/>
      <c r="E607" s="398"/>
      <c r="F607" s="398"/>
      <c r="G607" s="398"/>
      <c r="H607" s="398"/>
      <c r="I607" s="398"/>
      <c r="J607" s="398"/>
      <c r="K607" s="398"/>
      <c r="L607" s="398"/>
      <c r="M607" s="398"/>
      <c r="N607" s="398"/>
      <c r="O607" s="398"/>
      <c r="P607" s="398"/>
      <c r="Q607" s="398"/>
      <c r="R607" s="398"/>
      <c r="S607" s="398"/>
      <c r="T607" s="398"/>
      <c r="U607" s="398"/>
      <c r="V607" s="398"/>
      <c r="W607" s="398"/>
      <c r="X607" s="398"/>
      <c r="Y607" s="398"/>
      <c r="Z607" s="398"/>
    </row>
    <row r="608">
      <c r="A608" s="396"/>
      <c r="B608" s="397"/>
      <c r="C608" s="398"/>
      <c r="D608" s="398"/>
      <c r="E608" s="398"/>
      <c r="F608" s="398"/>
      <c r="G608" s="398"/>
      <c r="H608" s="398"/>
      <c r="I608" s="398"/>
      <c r="J608" s="398"/>
      <c r="K608" s="398"/>
      <c r="L608" s="398"/>
      <c r="M608" s="398"/>
      <c r="N608" s="398"/>
      <c r="O608" s="398"/>
      <c r="P608" s="398"/>
      <c r="Q608" s="398"/>
      <c r="R608" s="398"/>
      <c r="S608" s="398"/>
      <c r="T608" s="398"/>
      <c r="U608" s="398"/>
      <c r="V608" s="398"/>
      <c r="W608" s="398"/>
      <c r="X608" s="398"/>
      <c r="Y608" s="398"/>
      <c r="Z608" s="398"/>
    </row>
    <row r="609">
      <c r="A609" s="396"/>
      <c r="B609" s="397"/>
      <c r="C609" s="398"/>
      <c r="D609" s="398"/>
      <c r="E609" s="398"/>
      <c r="F609" s="398"/>
      <c r="G609" s="398"/>
      <c r="H609" s="398"/>
      <c r="I609" s="398"/>
      <c r="J609" s="398"/>
      <c r="K609" s="398"/>
      <c r="L609" s="398"/>
      <c r="M609" s="398"/>
      <c r="N609" s="398"/>
      <c r="O609" s="398"/>
      <c r="P609" s="398"/>
      <c r="Q609" s="398"/>
      <c r="R609" s="398"/>
      <c r="S609" s="398"/>
      <c r="T609" s="398"/>
      <c r="U609" s="398"/>
      <c r="V609" s="398"/>
      <c r="W609" s="398"/>
      <c r="X609" s="398"/>
      <c r="Y609" s="398"/>
      <c r="Z609" s="398"/>
    </row>
    <row r="610">
      <c r="A610" s="396"/>
      <c r="B610" s="397"/>
      <c r="C610" s="398"/>
      <c r="D610" s="398"/>
      <c r="E610" s="398"/>
      <c r="F610" s="398"/>
      <c r="G610" s="398"/>
      <c r="H610" s="398"/>
      <c r="I610" s="398"/>
      <c r="J610" s="398"/>
      <c r="K610" s="398"/>
      <c r="L610" s="398"/>
      <c r="M610" s="398"/>
      <c r="N610" s="398"/>
      <c r="O610" s="398"/>
      <c r="P610" s="398"/>
      <c r="Q610" s="398"/>
      <c r="R610" s="398"/>
      <c r="S610" s="398"/>
      <c r="T610" s="398"/>
      <c r="U610" s="398"/>
      <c r="V610" s="398"/>
      <c r="W610" s="398"/>
      <c r="X610" s="398"/>
      <c r="Y610" s="398"/>
      <c r="Z610" s="398"/>
    </row>
    <row r="611">
      <c r="A611" s="396"/>
      <c r="B611" s="397"/>
      <c r="C611" s="398"/>
      <c r="D611" s="398"/>
      <c r="E611" s="398"/>
      <c r="F611" s="398"/>
      <c r="G611" s="398"/>
      <c r="H611" s="398"/>
      <c r="I611" s="398"/>
      <c r="J611" s="398"/>
      <c r="K611" s="398"/>
      <c r="L611" s="398"/>
      <c r="M611" s="398"/>
      <c r="N611" s="398"/>
      <c r="O611" s="398"/>
      <c r="P611" s="398"/>
      <c r="Q611" s="398"/>
      <c r="R611" s="398"/>
      <c r="S611" s="398"/>
      <c r="T611" s="398"/>
      <c r="U611" s="398"/>
      <c r="V611" s="398"/>
      <c r="W611" s="398"/>
      <c r="X611" s="398"/>
      <c r="Y611" s="398"/>
      <c r="Z611" s="398"/>
    </row>
    <row r="612">
      <c r="A612" s="396"/>
      <c r="B612" s="397"/>
      <c r="C612" s="398"/>
      <c r="D612" s="398"/>
      <c r="E612" s="398"/>
      <c r="F612" s="398"/>
      <c r="G612" s="398"/>
      <c r="H612" s="398"/>
      <c r="I612" s="398"/>
      <c r="J612" s="398"/>
      <c r="K612" s="398"/>
      <c r="L612" s="398"/>
      <c r="M612" s="398"/>
      <c r="N612" s="398"/>
      <c r="O612" s="398"/>
      <c r="P612" s="398"/>
      <c r="Q612" s="398"/>
      <c r="R612" s="398"/>
      <c r="S612" s="398"/>
      <c r="T612" s="398"/>
      <c r="U612" s="398"/>
      <c r="V612" s="398"/>
      <c r="W612" s="398"/>
      <c r="X612" s="398"/>
      <c r="Y612" s="398"/>
      <c r="Z612" s="398"/>
    </row>
    <row r="613">
      <c r="A613" s="396"/>
      <c r="B613" s="397"/>
      <c r="C613" s="398"/>
      <c r="D613" s="398"/>
      <c r="E613" s="398"/>
      <c r="F613" s="398"/>
      <c r="G613" s="398"/>
      <c r="H613" s="398"/>
      <c r="I613" s="398"/>
      <c r="J613" s="398"/>
      <c r="K613" s="398"/>
      <c r="L613" s="398"/>
      <c r="M613" s="398"/>
      <c r="N613" s="398"/>
      <c r="O613" s="398"/>
      <c r="P613" s="398"/>
      <c r="Q613" s="398"/>
      <c r="R613" s="398"/>
      <c r="S613" s="398"/>
      <c r="T613" s="398"/>
      <c r="U613" s="398"/>
      <c r="V613" s="398"/>
      <c r="W613" s="398"/>
      <c r="X613" s="398"/>
      <c r="Y613" s="398"/>
      <c r="Z613" s="398"/>
    </row>
    <row r="614">
      <c r="A614" s="396"/>
      <c r="B614" s="397"/>
      <c r="C614" s="398"/>
      <c r="D614" s="398"/>
      <c r="E614" s="398"/>
      <c r="F614" s="398"/>
      <c r="G614" s="398"/>
      <c r="H614" s="398"/>
      <c r="I614" s="398"/>
      <c r="J614" s="398"/>
      <c r="K614" s="398"/>
      <c r="L614" s="398"/>
      <c r="M614" s="398"/>
      <c r="N614" s="398"/>
      <c r="O614" s="398"/>
      <c r="P614" s="398"/>
      <c r="Q614" s="398"/>
      <c r="R614" s="398"/>
      <c r="S614" s="398"/>
      <c r="T614" s="398"/>
      <c r="U614" s="398"/>
      <c r="V614" s="398"/>
      <c r="W614" s="398"/>
      <c r="X614" s="398"/>
      <c r="Y614" s="398"/>
      <c r="Z614" s="398"/>
    </row>
    <row r="615">
      <c r="A615" s="396"/>
      <c r="B615" s="397"/>
      <c r="C615" s="398"/>
      <c r="D615" s="398"/>
      <c r="E615" s="398"/>
      <c r="F615" s="398"/>
      <c r="G615" s="398"/>
      <c r="H615" s="398"/>
      <c r="I615" s="398"/>
      <c r="J615" s="398"/>
      <c r="K615" s="398"/>
      <c r="L615" s="398"/>
      <c r="M615" s="398"/>
      <c r="N615" s="398"/>
      <c r="O615" s="398"/>
      <c r="P615" s="398"/>
      <c r="Q615" s="398"/>
      <c r="R615" s="398"/>
      <c r="S615" s="398"/>
      <c r="T615" s="398"/>
      <c r="U615" s="398"/>
      <c r="V615" s="398"/>
      <c r="W615" s="398"/>
      <c r="X615" s="398"/>
      <c r="Y615" s="398"/>
      <c r="Z615" s="398"/>
    </row>
    <row r="616">
      <c r="A616" s="396"/>
      <c r="B616" s="397"/>
      <c r="C616" s="398"/>
      <c r="D616" s="398"/>
      <c r="E616" s="398"/>
      <c r="F616" s="398"/>
      <c r="G616" s="398"/>
      <c r="H616" s="398"/>
      <c r="I616" s="398"/>
      <c r="J616" s="398"/>
      <c r="K616" s="398"/>
      <c r="L616" s="398"/>
      <c r="M616" s="398"/>
      <c r="N616" s="398"/>
      <c r="O616" s="398"/>
      <c r="P616" s="398"/>
      <c r="Q616" s="398"/>
      <c r="R616" s="398"/>
      <c r="S616" s="398"/>
      <c r="T616" s="398"/>
      <c r="U616" s="398"/>
      <c r="V616" s="398"/>
      <c r="W616" s="398"/>
      <c r="X616" s="398"/>
      <c r="Y616" s="398"/>
      <c r="Z616" s="398"/>
    </row>
    <row r="617">
      <c r="A617" s="396"/>
      <c r="B617" s="397"/>
      <c r="C617" s="398"/>
      <c r="D617" s="398"/>
      <c r="E617" s="398"/>
      <c r="F617" s="398"/>
      <c r="G617" s="398"/>
      <c r="H617" s="398"/>
      <c r="I617" s="398"/>
      <c r="J617" s="398"/>
      <c r="K617" s="398"/>
      <c r="L617" s="398"/>
      <c r="M617" s="398"/>
      <c r="N617" s="398"/>
      <c r="O617" s="398"/>
      <c r="P617" s="398"/>
      <c r="Q617" s="398"/>
      <c r="R617" s="398"/>
      <c r="S617" s="398"/>
      <c r="T617" s="398"/>
      <c r="U617" s="398"/>
      <c r="V617" s="398"/>
      <c r="W617" s="398"/>
      <c r="X617" s="398"/>
      <c r="Y617" s="398"/>
      <c r="Z617" s="398"/>
    </row>
    <row r="618">
      <c r="A618" s="396"/>
      <c r="B618" s="397"/>
      <c r="C618" s="398"/>
      <c r="D618" s="398"/>
      <c r="E618" s="398"/>
      <c r="F618" s="398"/>
      <c r="G618" s="398"/>
      <c r="H618" s="398"/>
      <c r="I618" s="398"/>
      <c r="J618" s="398"/>
      <c r="K618" s="398"/>
      <c r="L618" s="398"/>
      <c r="M618" s="398"/>
      <c r="N618" s="398"/>
      <c r="O618" s="398"/>
      <c r="P618" s="398"/>
      <c r="Q618" s="398"/>
      <c r="R618" s="398"/>
      <c r="S618" s="398"/>
      <c r="T618" s="398"/>
      <c r="U618" s="398"/>
      <c r="V618" s="398"/>
      <c r="W618" s="398"/>
      <c r="X618" s="398"/>
      <c r="Y618" s="398"/>
      <c r="Z618" s="398"/>
    </row>
    <row r="619">
      <c r="A619" s="396"/>
      <c r="B619" s="397"/>
      <c r="C619" s="398"/>
      <c r="D619" s="398"/>
      <c r="E619" s="398"/>
      <c r="F619" s="398"/>
      <c r="G619" s="398"/>
      <c r="H619" s="398"/>
      <c r="I619" s="398"/>
      <c r="J619" s="398"/>
      <c r="K619" s="398"/>
      <c r="L619" s="398"/>
      <c r="M619" s="398"/>
      <c r="N619" s="398"/>
      <c r="O619" s="398"/>
      <c r="P619" s="398"/>
      <c r="Q619" s="398"/>
      <c r="R619" s="398"/>
      <c r="S619" s="398"/>
      <c r="T619" s="398"/>
      <c r="U619" s="398"/>
      <c r="V619" s="398"/>
      <c r="W619" s="398"/>
      <c r="X619" s="398"/>
      <c r="Y619" s="398"/>
      <c r="Z619" s="398"/>
    </row>
    <row r="620">
      <c r="A620" s="396"/>
      <c r="B620" s="397"/>
      <c r="C620" s="398"/>
      <c r="D620" s="398"/>
      <c r="E620" s="398"/>
      <c r="F620" s="398"/>
      <c r="G620" s="398"/>
      <c r="H620" s="398"/>
      <c r="I620" s="398"/>
      <c r="J620" s="398"/>
      <c r="K620" s="398"/>
      <c r="L620" s="398"/>
      <c r="M620" s="398"/>
      <c r="N620" s="398"/>
      <c r="O620" s="398"/>
      <c r="P620" s="398"/>
      <c r="Q620" s="398"/>
      <c r="R620" s="398"/>
      <c r="S620" s="398"/>
      <c r="T620" s="398"/>
      <c r="U620" s="398"/>
      <c r="V620" s="398"/>
      <c r="W620" s="398"/>
      <c r="X620" s="398"/>
      <c r="Y620" s="398"/>
      <c r="Z620" s="398"/>
    </row>
    <row r="621">
      <c r="A621" s="396"/>
      <c r="B621" s="397"/>
      <c r="C621" s="398"/>
      <c r="D621" s="398"/>
      <c r="E621" s="398"/>
      <c r="F621" s="398"/>
      <c r="G621" s="398"/>
      <c r="H621" s="398"/>
      <c r="I621" s="398"/>
      <c r="J621" s="398"/>
      <c r="K621" s="398"/>
      <c r="L621" s="398"/>
      <c r="M621" s="398"/>
      <c r="N621" s="398"/>
      <c r="O621" s="398"/>
      <c r="P621" s="398"/>
      <c r="Q621" s="398"/>
      <c r="R621" s="398"/>
      <c r="S621" s="398"/>
      <c r="T621" s="398"/>
      <c r="U621" s="398"/>
      <c r="V621" s="398"/>
      <c r="W621" s="398"/>
      <c r="X621" s="398"/>
      <c r="Y621" s="398"/>
      <c r="Z621" s="398"/>
    </row>
    <row r="622">
      <c r="A622" s="396"/>
      <c r="B622" s="397"/>
      <c r="C622" s="398"/>
      <c r="D622" s="398"/>
      <c r="E622" s="398"/>
      <c r="F622" s="398"/>
      <c r="G622" s="398"/>
      <c r="H622" s="398"/>
      <c r="I622" s="398"/>
      <c r="J622" s="398"/>
      <c r="K622" s="398"/>
      <c r="L622" s="398"/>
      <c r="M622" s="398"/>
      <c r="N622" s="398"/>
      <c r="O622" s="398"/>
      <c r="P622" s="398"/>
      <c r="Q622" s="398"/>
      <c r="R622" s="398"/>
      <c r="S622" s="398"/>
      <c r="T622" s="398"/>
      <c r="U622" s="398"/>
      <c r="V622" s="398"/>
      <c r="W622" s="398"/>
      <c r="X622" s="398"/>
      <c r="Y622" s="398"/>
      <c r="Z622" s="398"/>
    </row>
    <row r="623">
      <c r="A623" s="396"/>
      <c r="B623" s="397"/>
      <c r="C623" s="398"/>
      <c r="D623" s="398"/>
      <c r="E623" s="398"/>
      <c r="F623" s="398"/>
      <c r="G623" s="398"/>
      <c r="H623" s="398"/>
      <c r="I623" s="398"/>
      <c r="J623" s="398"/>
      <c r="K623" s="398"/>
      <c r="L623" s="398"/>
      <c r="M623" s="398"/>
      <c r="N623" s="398"/>
      <c r="O623" s="398"/>
      <c r="P623" s="398"/>
      <c r="Q623" s="398"/>
      <c r="R623" s="398"/>
      <c r="S623" s="398"/>
      <c r="T623" s="398"/>
      <c r="U623" s="398"/>
      <c r="V623" s="398"/>
      <c r="W623" s="398"/>
      <c r="X623" s="398"/>
      <c r="Y623" s="398"/>
      <c r="Z623" s="398"/>
    </row>
    <row r="624">
      <c r="A624" s="396"/>
      <c r="B624" s="397"/>
      <c r="C624" s="398"/>
      <c r="D624" s="398"/>
      <c r="E624" s="398"/>
      <c r="F624" s="398"/>
      <c r="G624" s="398"/>
      <c r="H624" s="398"/>
      <c r="I624" s="398"/>
      <c r="J624" s="398"/>
      <c r="K624" s="398"/>
      <c r="L624" s="398"/>
      <c r="M624" s="398"/>
      <c r="N624" s="398"/>
      <c r="O624" s="398"/>
      <c r="P624" s="398"/>
      <c r="Q624" s="398"/>
      <c r="R624" s="398"/>
      <c r="S624" s="398"/>
      <c r="T624" s="398"/>
      <c r="U624" s="398"/>
      <c r="V624" s="398"/>
      <c r="W624" s="398"/>
      <c r="X624" s="398"/>
      <c r="Y624" s="398"/>
      <c r="Z624" s="398"/>
    </row>
    <row r="625">
      <c r="A625" s="396"/>
      <c r="B625" s="397"/>
      <c r="C625" s="398"/>
      <c r="D625" s="398"/>
      <c r="E625" s="398"/>
      <c r="F625" s="398"/>
      <c r="G625" s="398"/>
      <c r="H625" s="398"/>
      <c r="I625" s="398"/>
      <c r="J625" s="398"/>
      <c r="K625" s="398"/>
      <c r="L625" s="398"/>
      <c r="M625" s="398"/>
      <c r="N625" s="398"/>
      <c r="O625" s="398"/>
      <c r="P625" s="398"/>
      <c r="Q625" s="398"/>
      <c r="R625" s="398"/>
      <c r="S625" s="398"/>
      <c r="T625" s="398"/>
      <c r="U625" s="398"/>
      <c r="V625" s="398"/>
      <c r="W625" s="398"/>
      <c r="X625" s="398"/>
      <c r="Y625" s="398"/>
      <c r="Z625" s="398"/>
    </row>
    <row r="626">
      <c r="A626" s="396"/>
      <c r="B626" s="397"/>
      <c r="C626" s="398"/>
      <c r="D626" s="398"/>
      <c r="E626" s="398"/>
      <c r="F626" s="398"/>
      <c r="G626" s="398"/>
      <c r="H626" s="398"/>
      <c r="I626" s="398"/>
      <c r="J626" s="398"/>
      <c r="K626" s="398"/>
      <c r="L626" s="398"/>
      <c r="M626" s="398"/>
      <c r="N626" s="398"/>
      <c r="O626" s="398"/>
      <c r="P626" s="398"/>
      <c r="Q626" s="398"/>
      <c r="R626" s="398"/>
      <c r="S626" s="398"/>
      <c r="T626" s="398"/>
      <c r="U626" s="398"/>
      <c r="V626" s="398"/>
      <c r="W626" s="398"/>
      <c r="X626" s="398"/>
      <c r="Y626" s="398"/>
      <c r="Z626" s="398"/>
    </row>
    <row r="627">
      <c r="A627" s="396"/>
      <c r="B627" s="397"/>
      <c r="C627" s="398"/>
      <c r="D627" s="398"/>
      <c r="E627" s="398"/>
      <c r="F627" s="398"/>
      <c r="G627" s="398"/>
      <c r="H627" s="398"/>
      <c r="I627" s="398"/>
      <c r="J627" s="398"/>
      <c r="K627" s="398"/>
      <c r="L627" s="398"/>
      <c r="M627" s="398"/>
      <c r="N627" s="398"/>
      <c r="O627" s="398"/>
      <c r="P627" s="398"/>
      <c r="Q627" s="398"/>
      <c r="R627" s="398"/>
      <c r="S627" s="398"/>
      <c r="T627" s="398"/>
      <c r="U627" s="398"/>
      <c r="V627" s="398"/>
      <c r="W627" s="398"/>
      <c r="X627" s="398"/>
      <c r="Y627" s="398"/>
      <c r="Z627" s="398"/>
    </row>
    <row r="628">
      <c r="A628" s="396"/>
      <c r="B628" s="397"/>
      <c r="C628" s="398"/>
      <c r="D628" s="398"/>
      <c r="E628" s="398"/>
      <c r="F628" s="398"/>
      <c r="G628" s="398"/>
      <c r="H628" s="398"/>
      <c r="I628" s="398"/>
      <c r="J628" s="398"/>
      <c r="K628" s="398"/>
      <c r="L628" s="398"/>
      <c r="M628" s="398"/>
      <c r="N628" s="398"/>
      <c r="O628" s="398"/>
      <c r="P628" s="398"/>
      <c r="Q628" s="398"/>
      <c r="R628" s="398"/>
      <c r="S628" s="398"/>
      <c r="T628" s="398"/>
      <c r="U628" s="398"/>
      <c r="V628" s="398"/>
      <c r="W628" s="398"/>
      <c r="X628" s="398"/>
      <c r="Y628" s="398"/>
      <c r="Z628" s="398"/>
    </row>
    <row r="629">
      <c r="A629" s="396"/>
      <c r="B629" s="397"/>
      <c r="C629" s="398"/>
      <c r="D629" s="398"/>
      <c r="E629" s="398"/>
      <c r="F629" s="398"/>
      <c r="G629" s="398"/>
      <c r="H629" s="398"/>
      <c r="I629" s="398"/>
      <c r="J629" s="398"/>
      <c r="K629" s="398"/>
      <c r="L629" s="398"/>
      <c r="M629" s="398"/>
      <c r="N629" s="398"/>
      <c r="O629" s="398"/>
      <c r="P629" s="398"/>
      <c r="Q629" s="398"/>
      <c r="R629" s="398"/>
      <c r="S629" s="398"/>
      <c r="T629" s="398"/>
      <c r="U629" s="398"/>
      <c r="V629" s="398"/>
      <c r="W629" s="398"/>
      <c r="X629" s="398"/>
      <c r="Y629" s="398"/>
      <c r="Z629" s="398"/>
    </row>
    <row r="630">
      <c r="A630" s="396"/>
      <c r="B630" s="397"/>
      <c r="C630" s="398"/>
      <c r="D630" s="398"/>
      <c r="E630" s="398"/>
      <c r="F630" s="398"/>
      <c r="G630" s="398"/>
      <c r="H630" s="398"/>
      <c r="I630" s="398"/>
      <c r="J630" s="398"/>
      <c r="K630" s="398"/>
      <c r="L630" s="398"/>
      <c r="M630" s="398"/>
      <c r="N630" s="398"/>
      <c r="O630" s="398"/>
      <c r="P630" s="398"/>
      <c r="Q630" s="398"/>
      <c r="R630" s="398"/>
      <c r="S630" s="398"/>
      <c r="T630" s="398"/>
      <c r="U630" s="398"/>
      <c r="V630" s="398"/>
      <c r="W630" s="398"/>
      <c r="X630" s="398"/>
      <c r="Y630" s="398"/>
      <c r="Z630" s="398"/>
    </row>
    <row r="631">
      <c r="A631" s="396"/>
      <c r="B631" s="397"/>
      <c r="C631" s="398"/>
      <c r="D631" s="398"/>
      <c r="E631" s="398"/>
      <c r="F631" s="398"/>
      <c r="G631" s="398"/>
      <c r="H631" s="398"/>
      <c r="I631" s="398"/>
      <c r="J631" s="398"/>
      <c r="K631" s="398"/>
      <c r="L631" s="398"/>
      <c r="M631" s="398"/>
      <c r="N631" s="398"/>
      <c r="O631" s="398"/>
      <c r="P631" s="398"/>
      <c r="Q631" s="398"/>
      <c r="R631" s="398"/>
      <c r="S631" s="398"/>
      <c r="T631" s="398"/>
      <c r="U631" s="398"/>
      <c r="V631" s="398"/>
      <c r="W631" s="398"/>
      <c r="X631" s="398"/>
      <c r="Y631" s="398"/>
      <c r="Z631" s="398"/>
    </row>
    <row r="632">
      <c r="A632" s="396"/>
      <c r="B632" s="397"/>
      <c r="C632" s="398"/>
      <c r="D632" s="398"/>
      <c r="E632" s="398"/>
      <c r="F632" s="398"/>
      <c r="G632" s="398"/>
      <c r="H632" s="398"/>
      <c r="I632" s="398"/>
      <c r="J632" s="398"/>
      <c r="K632" s="398"/>
      <c r="L632" s="398"/>
      <c r="M632" s="398"/>
      <c r="N632" s="398"/>
      <c r="O632" s="398"/>
      <c r="P632" s="398"/>
      <c r="Q632" s="398"/>
      <c r="R632" s="398"/>
      <c r="S632" s="398"/>
      <c r="T632" s="398"/>
      <c r="U632" s="398"/>
      <c r="V632" s="398"/>
      <c r="W632" s="398"/>
      <c r="X632" s="398"/>
      <c r="Y632" s="398"/>
      <c r="Z632" s="398"/>
    </row>
    <row r="633">
      <c r="A633" s="396"/>
      <c r="B633" s="397"/>
      <c r="C633" s="398"/>
      <c r="D633" s="398"/>
      <c r="E633" s="398"/>
      <c r="F633" s="398"/>
      <c r="G633" s="398"/>
      <c r="H633" s="398"/>
      <c r="I633" s="398"/>
      <c r="J633" s="398"/>
      <c r="K633" s="398"/>
      <c r="L633" s="398"/>
      <c r="M633" s="398"/>
      <c r="N633" s="398"/>
      <c r="O633" s="398"/>
      <c r="P633" s="398"/>
      <c r="Q633" s="398"/>
      <c r="R633" s="398"/>
      <c r="S633" s="398"/>
      <c r="T633" s="398"/>
      <c r="U633" s="398"/>
      <c r="V633" s="398"/>
      <c r="W633" s="398"/>
      <c r="X633" s="398"/>
      <c r="Y633" s="398"/>
      <c r="Z633" s="398"/>
    </row>
    <row r="634">
      <c r="A634" s="396"/>
      <c r="B634" s="397"/>
      <c r="C634" s="398"/>
      <c r="D634" s="398"/>
      <c r="E634" s="398"/>
      <c r="F634" s="398"/>
      <c r="G634" s="398"/>
      <c r="H634" s="398"/>
      <c r="I634" s="398"/>
      <c r="J634" s="398"/>
      <c r="K634" s="398"/>
      <c r="L634" s="398"/>
      <c r="M634" s="398"/>
      <c r="N634" s="398"/>
      <c r="O634" s="398"/>
      <c r="P634" s="398"/>
      <c r="Q634" s="398"/>
      <c r="R634" s="398"/>
      <c r="S634" s="398"/>
      <c r="T634" s="398"/>
      <c r="U634" s="398"/>
      <c r="V634" s="398"/>
      <c r="W634" s="398"/>
      <c r="X634" s="398"/>
      <c r="Y634" s="398"/>
      <c r="Z634" s="398"/>
    </row>
    <row r="635">
      <c r="A635" s="396"/>
      <c r="B635" s="397"/>
      <c r="C635" s="398"/>
      <c r="D635" s="398"/>
      <c r="E635" s="398"/>
      <c r="F635" s="398"/>
      <c r="G635" s="398"/>
      <c r="H635" s="398"/>
      <c r="I635" s="398"/>
      <c r="J635" s="398"/>
      <c r="K635" s="398"/>
      <c r="L635" s="398"/>
      <c r="M635" s="398"/>
      <c r="N635" s="398"/>
      <c r="O635" s="398"/>
      <c r="P635" s="398"/>
      <c r="Q635" s="398"/>
      <c r="R635" s="398"/>
      <c r="S635" s="398"/>
      <c r="T635" s="398"/>
      <c r="U635" s="398"/>
      <c r="V635" s="398"/>
      <c r="W635" s="398"/>
      <c r="X635" s="398"/>
      <c r="Y635" s="398"/>
      <c r="Z635" s="398"/>
    </row>
    <row r="636">
      <c r="A636" s="396"/>
      <c r="B636" s="397"/>
      <c r="C636" s="398"/>
      <c r="D636" s="398"/>
      <c r="E636" s="398"/>
      <c r="F636" s="398"/>
      <c r="G636" s="398"/>
      <c r="H636" s="398"/>
      <c r="I636" s="398"/>
      <c r="J636" s="398"/>
      <c r="K636" s="398"/>
      <c r="L636" s="398"/>
      <c r="M636" s="398"/>
      <c r="N636" s="398"/>
      <c r="O636" s="398"/>
      <c r="P636" s="398"/>
      <c r="Q636" s="398"/>
      <c r="R636" s="398"/>
      <c r="S636" s="398"/>
      <c r="T636" s="398"/>
      <c r="U636" s="398"/>
      <c r="V636" s="398"/>
      <c r="W636" s="398"/>
      <c r="X636" s="398"/>
      <c r="Y636" s="398"/>
      <c r="Z636" s="398"/>
    </row>
    <row r="637">
      <c r="A637" s="396"/>
      <c r="B637" s="397"/>
      <c r="C637" s="398"/>
      <c r="D637" s="398"/>
      <c r="E637" s="398"/>
      <c r="F637" s="398"/>
      <c r="G637" s="398"/>
      <c r="H637" s="398"/>
      <c r="I637" s="398"/>
      <c r="J637" s="398"/>
      <c r="K637" s="398"/>
      <c r="L637" s="398"/>
      <c r="M637" s="398"/>
      <c r="N637" s="398"/>
      <c r="O637" s="398"/>
      <c r="P637" s="398"/>
      <c r="Q637" s="398"/>
      <c r="R637" s="398"/>
      <c r="S637" s="398"/>
      <c r="T637" s="398"/>
      <c r="U637" s="398"/>
      <c r="V637" s="398"/>
      <c r="W637" s="398"/>
      <c r="X637" s="398"/>
      <c r="Y637" s="398"/>
      <c r="Z637" s="398"/>
    </row>
    <row r="638">
      <c r="A638" s="396"/>
      <c r="B638" s="397"/>
      <c r="C638" s="398"/>
      <c r="D638" s="398"/>
      <c r="E638" s="398"/>
      <c r="F638" s="398"/>
      <c r="G638" s="398"/>
      <c r="H638" s="398"/>
      <c r="I638" s="398"/>
      <c r="J638" s="398"/>
      <c r="K638" s="398"/>
      <c r="L638" s="398"/>
      <c r="M638" s="398"/>
      <c r="N638" s="398"/>
      <c r="O638" s="398"/>
      <c r="P638" s="398"/>
      <c r="Q638" s="398"/>
      <c r="R638" s="398"/>
      <c r="S638" s="398"/>
      <c r="T638" s="398"/>
      <c r="U638" s="398"/>
      <c r="V638" s="398"/>
      <c r="W638" s="398"/>
      <c r="X638" s="398"/>
      <c r="Y638" s="398"/>
      <c r="Z638" s="398"/>
    </row>
    <row r="639">
      <c r="A639" s="396"/>
      <c r="B639" s="397"/>
      <c r="C639" s="398"/>
      <c r="D639" s="398"/>
      <c r="E639" s="398"/>
      <c r="F639" s="398"/>
      <c r="G639" s="398"/>
      <c r="H639" s="398"/>
      <c r="I639" s="398"/>
      <c r="J639" s="398"/>
      <c r="K639" s="398"/>
      <c r="L639" s="398"/>
      <c r="M639" s="398"/>
      <c r="N639" s="398"/>
      <c r="O639" s="398"/>
      <c r="P639" s="398"/>
      <c r="Q639" s="398"/>
      <c r="R639" s="398"/>
      <c r="S639" s="398"/>
      <c r="T639" s="398"/>
      <c r="U639" s="398"/>
      <c r="V639" s="398"/>
      <c r="W639" s="398"/>
      <c r="X639" s="398"/>
      <c r="Y639" s="398"/>
      <c r="Z639" s="398"/>
    </row>
    <row r="640">
      <c r="A640" s="396"/>
      <c r="B640" s="397"/>
      <c r="C640" s="398"/>
      <c r="D640" s="398"/>
      <c r="E640" s="398"/>
      <c r="F640" s="398"/>
      <c r="G640" s="398"/>
      <c r="H640" s="398"/>
      <c r="I640" s="398"/>
      <c r="J640" s="398"/>
      <c r="K640" s="398"/>
      <c r="L640" s="398"/>
      <c r="M640" s="398"/>
      <c r="N640" s="398"/>
      <c r="O640" s="398"/>
      <c r="P640" s="398"/>
      <c r="Q640" s="398"/>
      <c r="R640" s="398"/>
      <c r="S640" s="398"/>
      <c r="T640" s="398"/>
      <c r="U640" s="398"/>
      <c r="V640" s="398"/>
      <c r="W640" s="398"/>
      <c r="X640" s="398"/>
      <c r="Y640" s="398"/>
      <c r="Z640" s="398"/>
    </row>
    <row r="641">
      <c r="A641" s="396"/>
      <c r="B641" s="397"/>
      <c r="C641" s="398"/>
      <c r="D641" s="398"/>
      <c r="E641" s="398"/>
      <c r="F641" s="398"/>
      <c r="G641" s="398"/>
      <c r="H641" s="398"/>
      <c r="I641" s="398"/>
      <c r="J641" s="398"/>
      <c r="K641" s="398"/>
      <c r="L641" s="398"/>
      <c r="M641" s="398"/>
      <c r="N641" s="398"/>
      <c r="O641" s="398"/>
      <c r="P641" s="398"/>
      <c r="Q641" s="398"/>
      <c r="R641" s="398"/>
      <c r="S641" s="398"/>
      <c r="T641" s="398"/>
      <c r="U641" s="398"/>
      <c r="V641" s="398"/>
      <c r="W641" s="398"/>
      <c r="X641" s="398"/>
      <c r="Y641" s="398"/>
      <c r="Z641" s="398"/>
    </row>
    <row r="642">
      <c r="A642" s="396"/>
      <c r="B642" s="397"/>
      <c r="C642" s="398"/>
      <c r="D642" s="398"/>
      <c r="E642" s="398"/>
      <c r="F642" s="398"/>
      <c r="G642" s="398"/>
      <c r="H642" s="398"/>
      <c r="I642" s="398"/>
      <c r="J642" s="398"/>
      <c r="K642" s="398"/>
      <c r="L642" s="398"/>
      <c r="M642" s="398"/>
      <c r="N642" s="398"/>
      <c r="O642" s="398"/>
      <c r="P642" s="398"/>
      <c r="Q642" s="398"/>
      <c r="R642" s="398"/>
      <c r="S642" s="398"/>
      <c r="T642" s="398"/>
      <c r="U642" s="398"/>
      <c r="V642" s="398"/>
      <c r="W642" s="398"/>
      <c r="X642" s="398"/>
      <c r="Y642" s="398"/>
      <c r="Z642" s="398"/>
    </row>
    <row r="643">
      <c r="A643" s="396"/>
      <c r="B643" s="397"/>
      <c r="C643" s="398"/>
      <c r="D643" s="398"/>
      <c r="E643" s="398"/>
      <c r="F643" s="398"/>
      <c r="G643" s="398"/>
      <c r="H643" s="398"/>
      <c r="I643" s="398"/>
      <c r="J643" s="398"/>
      <c r="K643" s="398"/>
      <c r="L643" s="398"/>
      <c r="M643" s="398"/>
      <c r="N643" s="398"/>
      <c r="O643" s="398"/>
      <c r="P643" s="398"/>
      <c r="Q643" s="398"/>
      <c r="R643" s="398"/>
      <c r="S643" s="398"/>
      <c r="T643" s="398"/>
      <c r="U643" s="398"/>
      <c r="V643" s="398"/>
      <c r="W643" s="398"/>
      <c r="X643" s="398"/>
      <c r="Y643" s="398"/>
      <c r="Z643" s="398"/>
    </row>
    <row r="644">
      <c r="A644" s="396"/>
      <c r="B644" s="397"/>
      <c r="C644" s="398"/>
      <c r="D644" s="398"/>
      <c r="E644" s="398"/>
      <c r="F644" s="398"/>
      <c r="G644" s="398"/>
      <c r="H644" s="398"/>
      <c r="I644" s="398"/>
      <c r="J644" s="398"/>
      <c r="K644" s="398"/>
      <c r="L644" s="398"/>
      <c r="M644" s="398"/>
      <c r="N644" s="398"/>
      <c r="O644" s="398"/>
      <c r="P644" s="398"/>
      <c r="Q644" s="398"/>
      <c r="R644" s="398"/>
      <c r="S644" s="398"/>
      <c r="T644" s="398"/>
      <c r="U644" s="398"/>
      <c r="V644" s="398"/>
      <c r="W644" s="398"/>
      <c r="X644" s="398"/>
      <c r="Y644" s="398"/>
      <c r="Z644" s="398"/>
    </row>
    <row r="645">
      <c r="A645" s="396"/>
      <c r="B645" s="397"/>
      <c r="C645" s="398"/>
      <c r="D645" s="398"/>
      <c r="E645" s="398"/>
      <c r="F645" s="398"/>
      <c r="G645" s="398"/>
      <c r="H645" s="398"/>
      <c r="I645" s="398"/>
      <c r="J645" s="398"/>
      <c r="K645" s="398"/>
      <c r="L645" s="398"/>
      <c r="M645" s="398"/>
      <c r="N645" s="398"/>
      <c r="O645" s="398"/>
      <c r="P645" s="398"/>
      <c r="Q645" s="398"/>
      <c r="R645" s="398"/>
      <c r="S645" s="398"/>
      <c r="T645" s="398"/>
      <c r="U645" s="398"/>
      <c r="V645" s="398"/>
      <c r="W645" s="398"/>
      <c r="X645" s="398"/>
      <c r="Y645" s="398"/>
      <c r="Z645" s="398"/>
    </row>
    <row r="646">
      <c r="A646" s="396"/>
      <c r="B646" s="397"/>
      <c r="C646" s="398"/>
      <c r="D646" s="398"/>
      <c r="E646" s="398"/>
      <c r="F646" s="398"/>
      <c r="G646" s="398"/>
      <c r="H646" s="398"/>
      <c r="I646" s="398"/>
      <c r="J646" s="398"/>
      <c r="K646" s="398"/>
      <c r="L646" s="398"/>
      <c r="M646" s="398"/>
      <c r="N646" s="398"/>
      <c r="O646" s="398"/>
      <c r="P646" s="398"/>
      <c r="Q646" s="398"/>
      <c r="R646" s="398"/>
      <c r="S646" s="398"/>
      <c r="T646" s="398"/>
      <c r="U646" s="398"/>
      <c r="V646" s="398"/>
      <c r="W646" s="398"/>
      <c r="X646" s="398"/>
      <c r="Y646" s="398"/>
      <c r="Z646" s="398"/>
    </row>
    <row r="647">
      <c r="A647" s="396"/>
      <c r="B647" s="397"/>
      <c r="C647" s="398"/>
      <c r="D647" s="398"/>
      <c r="E647" s="398"/>
      <c r="F647" s="398"/>
      <c r="G647" s="398"/>
      <c r="H647" s="398"/>
      <c r="I647" s="398"/>
      <c r="J647" s="398"/>
      <c r="K647" s="398"/>
      <c r="L647" s="398"/>
      <c r="M647" s="398"/>
      <c r="N647" s="398"/>
      <c r="O647" s="398"/>
      <c r="P647" s="398"/>
      <c r="Q647" s="398"/>
      <c r="R647" s="398"/>
      <c r="S647" s="398"/>
      <c r="T647" s="398"/>
      <c r="U647" s="398"/>
      <c r="V647" s="398"/>
      <c r="W647" s="398"/>
      <c r="X647" s="398"/>
      <c r="Y647" s="398"/>
      <c r="Z647" s="398"/>
    </row>
    <row r="648">
      <c r="A648" s="396"/>
      <c r="B648" s="397"/>
      <c r="C648" s="398"/>
      <c r="D648" s="398"/>
      <c r="E648" s="398"/>
      <c r="F648" s="398"/>
      <c r="G648" s="398"/>
      <c r="H648" s="398"/>
      <c r="I648" s="398"/>
      <c r="J648" s="398"/>
      <c r="K648" s="398"/>
      <c r="L648" s="398"/>
      <c r="M648" s="398"/>
      <c r="N648" s="398"/>
      <c r="O648" s="398"/>
      <c r="P648" s="398"/>
      <c r="Q648" s="398"/>
      <c r="R648" s="398"/>
      <c r="S648" s="398"/>
      <c r="T648" s="398"/>
      <c r="U648" s="398"/>
      <c r="V648" s="398"/>
      <c r="W648" s="398"/>
      <c r="X648" s="398"/>
      <c r="Y648" s="398"/>
      <c r="Z648" s="398"/>
    </row>
    <row r="649">
      <c r="A649" s="396"/>
      <c r="B649" s="397"/>
      <c r="C649" s="398"/>
      <c r="D649" s="398"/>
      <c r="E649" s="398"/>
      <c r="F649" s="398"/>
      <c r="G649" s="398"/>
      <c r="H649" s="398"/>
      <c r="I649" s="398"/>
      <c r="J649" s="398"/>
      <c r="K649" s="398"/>
      <c r="L649" s="398"/>
      <c r="M649" s="398"/>
      <c r="N649" s="398"/>
      <c r="O649" s="398"/>
      <c r="P649" s="398"/>
      <c r="Q649" s="398"/>
      <c r="R649" s="398"/>
      <c r="S649" s="398"/>
      <c r="T649" s="398"/>
      <c r="U649" s="398"/>
      <c r="V649" s="398"/>
      <c r="W649" s="398"/>
      <c r="X649" s="398"/>
      <c r="Y649" s="398"/>
      <c r="Z649" s="398"/>
    </row>
    <row r="650">
      <c r="A650" s="396"/>
      <c r="B650" s="397"/>
      <c r="C650" s="398"/>
      <c r="D650" s="398"/>
      <c r="E650" s="398"/>
      <c r="F650" s="398"/>
      <c r="G650" s="398"/>
      <c r="H650" s="398"/>
      <c r="I650" s="398"/>
      <c r="J650" s="398"/>
      <c r="K650" s="398"/>
      <c r="L650" s="398"/>
      <c r="M650" s="398"/>
      <c r="N650" s="398"/>
      <c r="O650" s="398"/>
      <c r="P650" s="398"/>
      <c r="Q650" s="398"/>
      <c r="R650" s="398"/>
      <c r="S650" s="398"/>
      <c r="T650" s="398"/>
      <c r="U650" s="398"/>
      <c r="V650" s="398"/>
      <c r="W650" s="398"/>
      <c r="X650" s="398"/>
      <c r="Y650" s="398"/>
      <c r="Z650" s="398"/>
    </row>
    <row r="651">
      <c r="A651" s="396"/>
      <c r="B651" s="397"/>
      <c r="C651" s="398"/>
      <c r="D651" s="398"/>
      <c r="E651" s="398"/>
      <c r="F651" s="398"/>
      <c r="G651" s="398"/>
      <c r="H651" s="398"/>
      <c r="I651" s="398"/>
      <c r="J651" s="398"/>
      <c r="K651" s="398"/>
      <c r="L651" s="398"/>
      <c r="M651" s="398"/>
      <c r="N651" s="398"/>
      <c r="O651" s="398"/>
      <c r="P651" s="398"/>
      <c r="Q651" s="398"/>
      <c r="R651" s="398"/>
      <c r="S651" s="398"/>
      <c r="T651" s="398"/>
      <c r="U651" s="398"/>
      <c r="V651" s="398"/>
      <c r="W651" s="398"/>
      <c r="X651" s="398"/>
      <c r="Y651" s="398"/>
      <c r="Z651" s="398"/>
    </row>
    <row r="652">
      <c r="A652" s="396"/>
      <c r="B652" s="397"/>
      <c r="C652" s="398"/>
      <c r="D652" s="398"/>
      <c r="E652" s="398"/>
      <c r="F652" s="398"/>
      <c r="G652" s="398"/>
      <c r="H652" s="398"/>
      <c r="I652" s="398"/>
      <c r="J652" s="398"/>
      <c r="K652" s="398"/>
      <c r="L652" s="398"/>
      <c r="M652" s="398"/>
      <c r="N652" s="398"/>
      <c r="O652" s="398"/>
      <c r="P652" s="398"/>
      <c r="Q652" s="398"/>
      <c r="R652" s="398"/>
      <c r="S652" s="398"/>
      <c r="T652" s="398"/>
      <c r="U652" s="398"/>
      <c r="V652" s="398"/>
      <c r="W652" s="398"/>
      <c r="X652" s="398"/>
      <c r="Y652" s="398"/>
      <c r="Z652" s="398"/>
    </row>
    <row r="653">
      <c r="A653" s="396"/>
      <c r="B653" s="397"/>
      <c r="C653" s="398"/>
      <c r="D653" s="398"/>
      <c r="E653" s="398"/>
      <c r="F653" s="398"/>
      <c r="G653" s="398"/>
      <c r="H653" s="398"/>
      <c r="I653" s="398"/>
      <c r="J653" s="398"/>
      <c r="K653" s="398"/>
      <c r="L653" s="398"/>
      <c r="M653" s="398"/>
      <c r="N653" s="398"/>
      <c r="O653" s="398"/>
      <c r="P653" s="398"/>
      <c r="Q653" s="398"/>
      <c r="R653" s="398"/>
      <c r="S653" s="398"/>
      <c r="T653" s="398"/>
      <c r="U653" s="398"/>
      <c r="V653" s="398"/>
      <c r="W653" s="398"/>
      <c r="X653" s="398"/>
      <c r="Y653" s="398"/>
      <c r="Z653" s="398"/>
    </row>
    <row r="654">
      <c r="A654" s="396"/>
      <c r="B654" s="397"/>
      <c r="C654" s="398"/>
      <c r="D654" s="398"/>
      <c r="E654" s="398"/>
      <c r="F654" s="398"/>
      <c r="G654" s="398"/>
      <c r="H654" s="398"/>
      <c r="I654" s="398"/>
      <c r="J654" s="398"/>
      <c r="K654" s="398"/>
      <c r="L654" s="398"/>
      <c r="M654" s="398"/>
      <c r="N654" s="398"/>
      <c r="O654" s="398"/>
      <c r="P654" s="398"/>
      <c r="Q654" s="398"/>
      <c r="R654" s="398"/>
      <c r="S654" s="398"/>
      <c r="T654" s="398"/>
      <c r="U654" s="398"/>
      <c r="V654" s="398"/>
      <c r="W654" s="398"/>
      <c r="X654" s="398"/>
      <c r="Y654" s="398"/>
      <c r="Z654" s="398"/>
    </row>
    <row r="655">
      <c r="A655" s="396"/>
      <c r="B655" s="397"/>
      <c r="C655" s="398"/>
      <c r="D655" s="398"/>
      <c r="E655" s="398"/>
      <c r="F655" s="398"/>
      <c r="G655" s="398"/>
      <c r="H655" s="398"/>
      <c r="I655" s="398"/>
      <c r="J655" s="398"/>
      <c r="K655" s="398"/>
      <c r="L655" s="398"/>
      <c r="M655" s="398"/>
      <c r="N655" s="398"/>
      <c r="O655" s="398"/>
      <c r="P655" s="398"/>
      <c r="Q655" s="398"/>
      <c r="R655" s="398"/>
      <c r="S655" s="398"/>
      <c r="T655" s="398"/>
      <c r="U655" s="398"/>
      <c r="V655" s="398"/>
      <c r="W655" s="398"/>
      <c r="X655" s="398"/>
      <c r="Y655" s="398"/>
      <c r="Z655" s="398"/>
    </row>
    <row r="656">
      <c r="A656" s="396"/>
      <c r="B656" s="397"/>
      <c r="C656" s="398"/>
      <c r="D656" s="398"/>
      <c r="E656" s="398"/>
      <c r="F656" s="398"/>
      <c r="G656" s="398"/>
      <c r="H656" s="398"/>
      <c r="I656" s="398"/>
      <c r="J656" s="398"/>
      <c r="K656" s="398"/>
      <c r="L656" s="398"/>
      <c r="M656" s="398"/>
      <c r="N656" s="398"/>
      <c r="O656" s="398"/>
      <c r="P656" s="398"/>
      <c r="Q656" s="398"/>
      <c r="R656" s="398"/>
      <c r="S656" s="398"/>
      <c r="T656" s="398"/>
      <c r="U656" s="398"/>
      <c r="V656" s="398"/>
      <c r="W656" s="398"/>
      <c r="X656" s="398"/>
      <c r="Y656" s="398"/>
      <c r="Z656" s="398"/>
    </row>
    <row r="657">
      <c r="A657" s="396"/>
      <c r="B657" s="397"/>
      <c r="C657" s="398"/>
      <c r="D657" s="398"/>
      <c r="E657" s="398"/>
      <c r="F657" s="398"/>
      <c r="G657" s="398"/>
      <c r="H657" s="398"/>
      <c r="I657" s="398"/>
      <c r="J657" s="398"/>
      <c r="K657" s="398"/>
      <c r="L657" s="398"/>
      <c r="M657" s="398"/>
      <c r="N657" s="398"/>
      <c r="O657" s="398"/>
      <c r="P657" s="398"/>
      <c r="Q657" s="398"/>
      <c r="R657" s="398"/>
      <c r="S657" s="398"/>
      <c r="T657" s="398"/>
      <c r="U657" s="398"/>
      <c r="V657" s="398"/>
      <c r="W657" s="398"/>
      <c r="X657" s="398"/>
      <c r="Y657" s="398"/>
      <c r="Z657" s="398"/>
    </row>
    <row r="658">
      <c r="A658" s="396"/>
      <c r="B658" s="397"/>
      <c r="C658" s="398"/>
      <c r="D658" s="398"/>
      <c r="E658" s="398"/>
      <c r="F658" s="398"/>
      <c r="G658" s="398"/>
      <c r="H658" s="398"/>
      <c r="I658" s="398"/>
      <c r="J658" s="398"/>
      <c r="K658" s="398"/>
      <c r="L658" s="398"/>
      <c r="M658" s="398"/>
      <c r="N658" s="398"/>
      <c r="O658" s="398"/>
      <c r="P658" s="398"/>
      <c r="Q658" s="398"/>
      <c r="R658" s="398"/>
      <c r="S658" s="398"/>
      <c r="T658" s="398"/>
      <c r="U658" s="398"/>
      <c r="V658" s="398"/>
      <c r="W658" s="398"/>
      <c r="X658" s="398"/>
      <c r="Y658" s="398"/>
      <c r="Z658" s="398"/>
    </row>
    <row r="659">
      <c r="A659" s="396"/>
      <c r="B659" s="397"/>
      <c r="C659" s="398"/>
      <c r="D659" s="398"/>
      <c r="E659" s="398"/>
      <c r="F659" s="398"/>
      <c r="G659" s="398"/>
      <c r="H659" s="398"/>
      <c r="I659" s="398"/>
      <c r="J659" s="398"/>
      <c r="K659" s="398"/>
      <c r="L659" s="398"/>
      <c r="M659" s="398"/>
      <c r="N659" s="398"/>
      <c r="O659" s="398"/>
      <c r="P659" s="398"/>
      <c r="Q659" s="398"/>
      <c r="R659" s="398"/>
      <c r="S659" s="398"/>
      <c r="T659" s="398"/>
      <c r="U659" s="398"/>
      <c r="V659" s="398"/>
      <c r="W659" s="398"/>
      <c r="X659" s="398"/>
      <c r="Y659" s="398"/>
      <c r="Z659" s="398"/>
    </row>
    <row r="660">
      <c r="A660" s="396"/>
      <c r="B660" s="397"/>
      <c r="C660" s="398"/>
      <c r="D660" s="398"/>
      <c r="E660" s="398"/>
      <c r="F660" s="398"/>
      <c r="G660" s="398"/>
      <c r="H660" s="398"/>
      <c r="I660" s="398"/>
      <c r="J660" s="398"/>
      <c r="K660" s="398"/>
      <c r="L660" s="398"/>
      <c r="M660" s="398"/>
      <c r="N660" s="398"/>
      <c r="O660" s="398"/>
      <c r="P660" s="398"/>
      <c r="Q660" s="398"/>
      <c r="R660" s="398"/>
      <c r="S660" s="398"/>
      <c r="T660" s="398"/>
      <c r="U660" s="398"/>
      <c r="V660" s="398"/>
      <c r="W660" s="398"/>
      <c r="X660" s="398"/>
      <c r="Y660" s="398"/>
      <c r="Z660" s="398"/>
    </row>
    <row r="661">
      <c r="A661" s="396"/>
      <c r="B661" s="397"/>
      <c r="C661" s="398"/>
      <c r="D661" s="398"/>
      <c r="E661" s="398"/>
      <c r="F661" s="398"/>
      <c r="G661" s="398"/>
      <c r="H661" s="398"/>
      <c r="I661" s="398"/>
      <c r="J661" s="398"/>
      <c r="K661" s="398"/>
      <c r="L661" s="398"/>
      <c r="M661" s="398"/>
      <c r="N661" s="398"/>
      <c r="O661" s="398"/>
      <c r="P661" s="398"/>
      <c r="Q661" s="398"/>
      <c r="R661" s="398"/>
      <c r="S661" s="398"/>
      <c r="T661" s="398"/>
      <c r="U661" s="398"/>
      <c r="V661" s="398"/>
      <c r="W661" s="398"/>
      <c r="X661" s="398"/>
      <c r="Y661" s="398"/>
      <c r="Z661" s="398"/>
    </row>
    <row r="662">
      <c r="A662" s="396"/>
      <c r="B662" s="397"/>
      <c r="C662" s="398"/>
      <c r="D662" s="398"/>
      <c r="E662" s="398"/>
      <c r="F662" s="398"/>
      <c r="G662" s="398"/>
      <c r="H662" s="398"/>
      <c r="I662" s="398"/>
      <c r="J662" s="398"/>
      <c r="K662" s="398"/>
      <c r="L662" s="398"/>
      <c r="M662" s="398"/>
      <c r="N662" s="398"/>
      <c r="O662" s="398"/>
      <c r="P662" s="398"/>
      <c r="Q662" s="398"/>
      <c r="R662" s="398"/>
      <c r="S662" s="398"/>
      <c r="T662" s="398"/>
      <c r="U662" s="398"/>
      <c r="V662" s="398"/>
      <c r="W662" s="398"/>
      <c r="X662" s="398"/>
      <c r="Y662" s="398"/>
      <c r="Z662" s="398"/>
    </row>
    <row r="663">
      <c r="A663" s="396"/>
      <c r="B663" s="397"/>
      <c r="C663" s="398"/>
      <c r="D663" s="398"/>
      <c r="E663" s="398"/>
      <c r="F663" s="398"/>
      <c r="G663" s="398"/>
      <c r="H663" s="398"/>
      <c r="I663" s="398"/>
      <c r="J663" s="398"/>
      <c r="K663" s="398"/>
      <c r="L663" s="398"/>
      <c r="M663" s="398"/>
      <c r="N663" s="398"/>
      <c r="O663" s="398"/>
      <c r="P663" s="398"/>
      <c r="Q663" s="398"/>
      <c r="R663" s="398"/>
      <c r="S663" s="398"/>
      <c r="T663" s="398"/>
      <c r="U663" s="398"/>
      <c r="V663" s="398"/>
      <c r="W663" s="398"/>
      <c r="X663" s="398"/>
      <c r="Y663" s="398"/>
      <c r="Z663" s="398"/>
    </row>
    <row r="664">
      <c r="A664" s="396"/>
      <c r="B664" s="397"/>
      <c r="C664" s="398"/>
      <c r="D664" s="398"/>
      <c r="E664" s="398"/>
      <c r="F664" s="398"/>
      <c r="G664" s="398"/>
      <c r="H664" s="398"/>
      <c r="I664" s="398"/>
      <c r="J664" s="398"/>
      <c r="K664" s="398"/>
      <c r="L664" s="398"/>
      <c r="M664" s="398"/>
      <c r="N664" s="398"/>
      <c r="O664" s="398"/>
      <c r="P664" s="398"/>
      <c r="Q664" s="398"/>
      <c r="R664" s="398"/>
      <c r="S664" s="398"/>
      <c r="T664" s="398"/>
      <c r="U664" s="398"/>
      <c r="V664" s="398"/>
      <c r="W664" s="398"/>
      <c r="X664" s="398"/>
      <c r="Y664" s="398"/>
      <c r="Z664" s="398"/>
    </row>
    <row r="665">
      <c r="A665" s="396"/>
      <c r="B665" s="397"/>
      <c r="C665" s="398"/>
      <c r="D665" s="398"/>
      <c r="E665" s="398"/>
      <c r="F665" s="398"/>
      <c r="G665" s="398"/>
      <c r="H665" s="398"/>
      <c r="I665" s="398"/>
      <c r="J665" s="398"/>
      <c r="K665" s="398"/>
      <c r="L665" s="398"/>
      <c r="M665" s="398"/>
      <c r="N665" s="398"/>
      <c r="O665" s="398"/>
      <c r="P665" s="398"/>
      <c r="Q665" s="398"/>
      <c r="R665" s="398"/>
      <c r="S665" s="398"/>
      <c r="T665" s="398"/>
      <c r="U665" s="398"/>
      <c r="V665" s="398"/>
      <c r="W665" s="398"/>
      <c r="X665" s="398"/>
      <c r="Y665" s="398"/>
      <c r="Z665" s="398"/>
    </row>
    <row r="666">
      <c r="A666" s="396"/>
      <c r="B666" s="397"/>
      <c r="C666" s="398"/>
      <c r="D666" s="398"/>
      <c r="E666" s="398"/>
      <c r="F666" s="398"/>
      <c r="G666" s="398"/>
      <c r="H666" s="398"/>
      <c r="I666" s="398"/>
      <c r="J666" s="398"/>
      <c r="K666" s="398"/>
      <c r="L666" s="398"/>
      <c r="M666" s="398"/>
      <c r="N666" s="398"/>
      <c r="O666" s="398"/>
      <c r="P666" s="398"/>
      <c r="Q666" s="398"/>
      <c r="R666" s="398"/>
      <c r="S666" s="398"/>
      <c r="T666" s="398"/>
      <c r="U666" s="398"/>
      <c r="V666" s="398"/>
      <c r="W666" s="398"/>
      <c r="X666" s="398"/>
      <c r="Y666" s="398"/>
      <c r="Z666" s="398"/>
    </row>
    <row r="667">
      <c r="A667" s="396"/>
      <c r="B667" s="397"/>
      <c r="C667" s="398"/>
      <c r="D667" s="398"/>
      <c r="E667" s="398"/>
      <c r="F667" s="398"/>
      <c r="G667" s="398"/>
      <c r="H667" s="398"/>
      <c r="I667" s="398"/>
      <c r="J667" s="398"/>
      <c r="K667" s="398"/>
      <c r="L667" s="398"/>
      <c r="M667" s="398"/>
      <c r="N667" s="398"/>
      <c r="O667" s="398"/>
      <c r="P667" s="398"/>
      <c r="Q667" s="398"/>
      <c r="R667" s="398"/>
      <c r="S667" s="398"/>
      <c r="T667" s="398"/>
      <c r="U667" s="398"/>
      <c r="V667" s="398"/>
      <c r="W667" s="398"/>
      <c r="X667" s="398"/>
      <c r="Y667" s="398"/>
      <c r="Z667" s="398"/>
    </row>
    <row r="668">
      <c r="A668" s="396"/>
      <c r="B668" s="397"/>
      <c r="C668" s="398"/>
      <c r="D668" s="398"/>
      <c r="E668" s="398"/>
      <c r="F668" s="398"/>
      <c r="G668" s="398"/>
      <c r="H668" s="398"/>
      <c r="I668" s="398"/>
      <c r="J668" s="398"/>
      <c r="K668" s="398"/>
      <c r="L668" s="398"/>
      <c r="M668" s="398"/>
      <c r="N668" s="398"/>
      <c r="O668" s="398"/>
      <c r="P668" s="398"/>
      <c r="Q668" s="398"/>
      <c r="R668" s="398"/>
      <c r="S668" s="398"/>
      <c r="T668" s="398"/>
      <c r="U668" s="398"/>
      <c r="V668" s="398"/>
      <c r="W668" s="398"/>
      <c r="X668" s="398"/>
      <c r="Y668" s="398"/>
      <c r="Z668" s="398"/>
    </row>
    <row r="669">
      <c r="A669" s="396"/>
      <c r="B669" s="397"/>
      <c r="C669" s="398"/>
      <c r="D669" s="398"/>
      <c r="E669" s="398"/>
      <c r="F669" s="398"/>
      <c r="G669" s="398"/>
      <c r="H669" s="398"/>
      <c r="I669" s="398"/>
      <c r="J669" s="398"/>
      <c r="K669" s="398"/>
      <c r="L669" s="398"/>
      <c r="M669" s="398"/>
      <c r="N669" s="398"/>
      <c r="O669" s="398"/>
      <c r="P669" s="398"/>
      <c r="Q669" s="398"/>
      <c r="R669" s="398"/>
      <c r="S669" s="398"/>
      <c r="T669" s="398"/>
      <c r="U669" s="398"/>
      <c r="V669" s="398"/>
      <c r="W669" s="398"/>
      <c r="X669" s="398"/>
      <c r="Y669" s="398"/>
      <c r="Z669" s="398"/>
    </row>
    <row r="670">
      <c r="A670" s="396"/>
      <c r="B670" s="397"/>
      <c r="C670" s="398"/>
      <c r="D670" s="398"/>
      <c r="E670" s="398"/>
      <c r="F670" s="398"/>
      <c r="G670" s="398"/>
      <c r="H670" s="398"/>
      <c r="I670" s="398"/>
      <c r="J670" s="398"/>
      <c r="K670" s="398"/>
      <c r="L670" s="398"/>
      <c r="M670" s="398"/>
      <c r="N670" s="398"/>
      <c r="O670" s="398"/>
      <c r="P670" s="398"/>
      <c r="Q670" s="398"/>
      <c r="R670" s="398"/>
      <c r="S670" s="398"/>
      <c r="T670" s="398"/>
      <c r="U670" s="398"/>
      <c r="V670" s="398"/>
      <c r="W670" s="398"/>
      <c r="X670" s="398"/>
      <c r="Y670" s="398"/>
      <c r="Z670" s="398"/>
    </row>
    <row r="671">
      <c r="A671" s="396"/>
      <c r="B671" s="397"/>
      <c r="C671" s="398"/>
      <c r="D671" s="398"/>
      <c r="E671" s="398"/>
      <c r="F671" s="398"/>
      <c r="G671" s="398"/>
      <c r="H671" s="398"/>
      <c r="I671" s="398"/>
      <c r="J671" s="398"/>
      <c r="K671" s="398"/>
      <c r="L671" s="398"/>
      <c r="M671" s="398"/>
      <c r="N671" s="398"/>
      <c r="O671" s="398"/>
      <c r="P671" s="398"/>
      <c r="Q671" s="398"/>
      <c r="R671" s="398"/>
      <c r="S671" s="398"/>
      <c r="T671" s="398"/>
      <c r="U671" s="398"/>
      <c r="V671" s="398"/>
      <c r="W671" s="398"/>
      <c r="X671" s="398"/>
      <c r="Y671" s="398"/>
      <c r="Z671" s="398"/>
    </row>
    <row r="672">
      <c r="A672" s="396"/>
      <c r="B672" s="397"/>
      <c r="C672" s="398"/>
      <c r="D672" s="398"/>
      <c r="E672" s="398"/>
      <c r="F672" s="398"/>
      <c r="G672" s="398"/>
      <c r="H672" s="398"/>
      <c r="I672" s="398"/>
      <c r="J672" s="398"/>
      <c r="K672" s="398"/>
      <c r="L672" s="398"/>
      <c r="M672" s="398"/>
      <c r="N672" s="398"/>
      <c r="O672" s="398"/>
      <c r="P672" s="398"/>
      <c r="Q672" s="398"/>
      <c r="R672" s="398"/>
      <c r="S672" s="398"/>
      <c r="T672" s="398"/>
      <c r="U672" s="398"/>
      <c r="V672" s="398"/>
      <c r="W672" s="398"/>
      <c r="X672" s="398"/>
      <c r="Y672" s="398"/>
      <c r="Z672" s="398"/>
    </row>
    <row r="673">
      <c r="A673" s="396"/>
      <c r="B673" s="397"/>
      <c r="C673" s="398"/>
      <c r="D673" s="398"/>
      <c r="E673" s="398"/>
      <c r="F673" s="398"/>
      <c r="G673" s="398"/>
      <c r="H673" s="398"/>
      <c r="I673" s="398"/>
      <c r="J673" s="398"/>
      <c r="K673" s="398"/>
      <c r="L673" s="398"/>
      <c r="M673" s="398"/>
      <c r="N673" s="398"/>
      <c r="O673" s="398"/>
      <c r="P673" s="398"/>
      <c r="Q673" s="398"/>
      <c r="R673" s="398"/>
      <c r="S673" s="398"/>
      <c r="T673" s="398"/>
      <c r="U673" s="398"/>
      <c r="V673" s="398"/>
      <c r="W673" s="398"/>
      <c r="X673" s="398"/>
      <c r="Y673" s="398"/>
      <c r="Z673" s="398"/>
    </row>
    <row r="674">
      <c r="A674" s="396"/>
      <c r="B674" s="397"/>
      <c r="C674" s="398"/>
      <c r="D674" s="398"/>
      <c r="E674" s="398"/>
      <c r="F674" s="398"/>
      <c r="G674" s="398"/>
      <c r="H674" s="398"/>
      <c r="I674" s="398"/>
      <c r="J674" s="398"/>
      <c r="K674" s="398"/>
      <c r="L674" s="398"/>
      <c r="M674" s="398"/>
      <c r="N674" s="398"/>
      <c r="O674" s="398"/>
      <c r="P674" s="398"/>
      <c r="Q674" s="398"/>
      <c r="R674" s="398"/>
      <c r="S674" s="398"/>
      <c r="T674" s="398"/>
      <c r="U674" s="398"/>
      <c r="V674" s="398"/>
      <c r="W674" s="398"/>
      <c r="X674" s="398"/>
      <c r="Y674" s="398"/>
      <c r="Z674" s="398"/>
    </row>
    <row r="675">
      <c r="A675" s="396"/>
      <c r="B675" s="397"/>
      <c r="C675" s="398"/>
      <c r="D675" s="398"/>
      <c r="E675" s="398"/>
      <c r="F675" s="398"/>
      <c r="G675" s="398"/>
      <c r="H675" s="398"/>
      <c r="I675" s="398"/>
      <c r="J675" s="398"/>
      <c r="K675" s="398"/>
      <c r="L675" s="398"/>
      <c r="M675" s="398"/>
      <c r="N675" s="398"/>
      <c r="O675" s="398"/>
      <c r="P675" s="398"/>
      <c r="Q675" s="398"/>
      <c r="R675" s="398"/>
      <c r="S675" s="398"/>
      <c r="T675" s="398"/>
      <c r="U675" s="398"/>
      <c r="V675" s="398"/>
      <c r="W675" s="398"/>
      <c r="X675" s="398"/>
      <c r="Y675" s="398"/>
      <c r="Z675" s="398"/>
    </row>
    <row r="676">
      <c r="A676" s="396"/>
      <c r="B676" s="397"/>
      <c r="C676" s="398"/>
      <c r="D676" s="398"/>
      <c r="E676" s="398"/>
      <c r="F676" s="398"/>
      <c r="G676" s="398"/>
      <c r="H676" s="398"/>
      <c r="I676" s="398"/>
      <c r="J676" s="398"/>
      <c r="K676" s="398"/>
      <c r="L676" s="398"/>
      <c r="M676" s="398"/>
      <c r="N676" s="398"/>
      <c r="O676" s="398"/>
      <c r="P676" s="398"/>
      <c r="Q676" s="398"/>
      <c r="R676" s="398"/>
      <c r="S676" s="398"/>
      <c r="T676" s="398"/>
      <c r="U676" s="398"/>
      <c r="V676" s="398"/>
      <c r="W676" s="398"/>
      <c r="X676" s="398"/>
      <c r="Y676" s="398"/>
      <c r="Z676" s="398"/>
    </row>
    <row r="677">
      <c r="A677" s="396"/>
      <c r="B677" s="397"/>
      <c r="C677" s="398"/>
      <c r="D677" s="398"/>
      <c r="E677" s="398"/>
      <c r="F677" s="398"/>
      <c r="G677" s="398"/>
      <c r="H677" s="398"/>
      <c r="I677" s="398"/>
      <c r="J677" s="398"/>
      <c r="K677" s="398"/>
      <c r="L677" s="398"/>
      <c r="M677" s="398"/>
      <c r="N677" s="398"/>
      <c r="O677" s="398"/>
      <c r="P677" s="398"/>
      <c r="Q677" s="398"/>
      <c r="R677" s="398"/>
      <c r="S677" s="398"/>
      <c r="T677" s="398"/>
      <c r="U677" s="398"/>
      <c r="V677" s="398"/>
      <c r="W677" s="398"/>
      <c r="X677" s="398"/>
      <c r="Y677" s="398"/>
      <c r="Z677" s="398"/>
    </row>
    <row r="678">
      <c r="A678" s="396"/>
      <c r="B678" s="397"/>
      <c r="C678" s="398"/>
      <c r="D678" s="398"/>
      <c r="E678" s="398"/>
      <c r="F678" s="398"/>
      <c r="G678" s="398"/>
      <c r="H678" s="398"/>
      <c r="I678" s="398"/>
      <c r="J678" s="398"/>
      <c r="K678" s="398"/>
      <c r="L678" s="398"/>
      <c r="M678" s="398"/>
      <c r="N678" s="398"/>
      <c r="O678" s="398"/>
      <c r="P678" s="398"/>
      <c r="Q678" s="398"/>
      <c r="R678" s="398"/>
      <c r="S678" s="398"/>
      <c r="T678" s="398"/>
      <c r="U678" s="398"/>
      <c r="V678" s="398"/>
      <c r="W678" s="398"/>
      <c r="X678" s="398"/>
      <c r="Y678" s="398"/>
      <c r="Z678" s="398"/>
    </row>
    <row r="679">
      <c r="A679" s="396"/>
      <c r="B679" s="397"/>
      <c r="C679" s="398"/>
      <c r="D679" s="398"/>
      <c r="E679" s="398"/>
      <c r="F679" s="398"/>
      <c r="G679" s="398"/>
      <c r="H679" s="398"/>
      <c r="I679" s="398"/>
      <c r="J679" s="398"/>
      <c r="K679" s="398"/>
      <c r="L679" s="398"/>
      <c r="M679" s="398"/>
      <c r="N679" s="398"/>
      <c r="O679" s="398"/>
      <c r="P679" s="398"/>
      <c r="Q679" s="398"/>
      <c r="R679" s="398"/>
      <c r="S679" s="398"/>
      <c r="T679" s="398"/>
      <c r="U679" s="398"/>
      <c r="V679" s="398"/>
      <c r="W679" s="398"/>
      <c r="X679" s="398"/>
      <c r="Y679" s="398"/>
      <c r="Z679" s="398"/>
    </row>
    <row r="680">
      <c r="A680" s="396"/>
      <c r="B680" s="397"/>
      <c r="C680" s="398"/>
      <c r="D680" s="398"/>
      <c r="E680" s="398"/>
      <c r="F680" s="398"/>
      <c r="G680" s="398"/>
      <c r="H680" s="398"/>
      <c r="I680" s="398"/>
      <c r="J680" s="398"/>
      <c r="K680" s="398"/>
      <c r="L680" s="398"/>
      <c r="M680" s="398"/>
      <c r="N680" s="398"/>
      <c r="O680" s="398"/>
      <c r="P680" s="398"/>
      <c r="Q680" s="398"/>
      <c r="R680" s="398"/>
      <c r="S680" s="398"/>
      <c r="T680" s="398"/>
      <c r="U680" s="398"/>
      <c r="V680" s="398"/>
      <c r="W680" s="398"/>
      <c r="X680" s="398"/>
      <c r="Y680" s="398"/>
      <c r="Z680" s="398"/>
    </row>
    <row r="681">
      <c r="A681" s="396"/>
      <c r="B681" s="397"/>
      <c r="C681" s="398"/>
      <c r="D681" s="398"/>
      <c r="E681" s="398"/>
      <c r="F681" s="398"/>
      <c r="G681" s="398"/>
      <c r="H681" s="398"/>
      <c r="I681" s="398"/>
      <c r="J681" s="398"/>
      <c r="K681" s="398"/>
      <c r="L681" s="398"/>
      <c r="M681" s="398"/>
      <c r="N681" s="398"/>
      <c r="O681" s="398"/>
      <c r="P681" s="398"/>
      <c r="Q681" s="398"/>
      <c r="R681" s="398"/>
      <c r="S681" s="398"/>
      <c r="T681" s="398"/>
      <c r="U681" s="398"/>
      <c r="V681" s="398"/>
      <c r="W681" s="398"/>
      <c r="X681" s="398"/>
      <c r="Y681" s="398"/>
      <c r="Z681" s="398"/>
    </row>
    <row r="682">
      <c r="A682" s="396"/>
      <c r="B682" s="397"/>
      <c r="C682" s="398"/>
      <c r="D682" s="398"/>
      <c r="E682" s="398"/>
      <c r="F682" s="398"/>
      <c r="G682" s="398"/>
      <c r="H682" s="398"/>
      <c r="I682" s="398"/>
      <c r="J682" s="398"/>
      <c r="K682" s="398"/>
      <c r="L682" s="398"/>
      <c r="M682" s="398"/>
      <c r="N682" s="398"/>
      <c r="O682" s="398"/>
      <c r="P682" s="398"/>
      <c r="Q682" s="398"/>
      <c r="R682" s="398"/>
      <c r="S682" s="398"/>
      <c r="T682" s="398"/>
      <c r="U682" s="398"/>
      <c r="V682" s="398"/>
      <c r="W682" s="398"/>
      <c r="X682" s="398"/>
      <c r="Y682" s="398"/>
      <c r="Z682" s="398"/>
    </row>
    <row r="683">
      <c r="A683" s="396"/>
      <c r="B683" s="397"/>
      <c r="C683" s="398"/>
      <c r="D683" s="398"/>
      <c r="E683" s="398"/>
      <c r="F683" s="398"/>
      <c r="G683" s="398"/>
      <c r="H683" s="398"/>
      <c r="I683" s="398"/>
      <c r="J683" s="398"/>
      <c r="K683" s="398"/>
      <c r="L683" s="398"/>
      <c r="M683" s="398"/>
      <c r="N683" s="398"/>
      <c r="O683" s="398"/>
      <c r="P683" s="398"/>
      <c r="Q683" s="398"/>
      <c r="R683" s="398"/>
      <c r="S683" s="398"/>
      <c r="T683" s="398"/>
      <c r="U683" s="398"/>
      <c r="V683" s="398"/>
      <c r="W683" s="398"/>
      <c r="X683" s="398"/>
      <c r="Y683" s="398"/>
      <c r="Z683" s="398"/>
    </row>
    <row r="684">
      <c r="A684" s="396"/>
      <c r="B684" s="397"/>
      <c r="C684" s="398"/>
      <c r="D684" s="398"/>
      <c r="E684" s="398"/>
      <c r="F684" s="398"/>
      <c r="G684" s="398"/>
      <c r="H684" s="398"/>
      <c r="I684" s="398"/>
      <c r="J684" s="398"/>
      <c r="K684" s="398"/>
      <c r="L684" s="398"/>
      <c r="M684" s="398"/>
      <c r="N684" s="398"/>
      <c r="O684" s="398"/>
      <c r="P684" s="398"/>
      <c r="Q684" s="398"/>
      <c r="R684" s="398"/>
      <c r="S684" s="398"/>
      <c r="T684" s="398"/>
      <c r="U684" s="398"/>
      <c r="V684" s="398"/>
      <c r="W684" s="398"/>
      <c r="X684" s="398"/>
      <c r="Y684" s="398"/>
      <c r="Z684" s="398"/>
    </row>
    <row r="685">
      <c r="A685" s="396"/>
      <c r="B685" s="397"/>
      <c r="C685" s="398"/>
      <c r="D685" s="398"/>
      <c r="E685" s="398"/>
      <c r="F685" s="398"/>
      <c r="G685" s="398"/>
      <c r="H685" s="398"/>
      <c r="I685" s="398"/>
      <c r="J685" s="398"/>
      <c r="K685" s="398"/>
      <c r="L685" s="398"/>
      <c r="M685" s="398"/>
      <c r="N685" s="398"/>
      <c r="O685" s="398"/>
      <c r="P685" s="398"/>
      <c r="Q685" s="398"/>
      <c r="R685" s="398"/>
      <c r="S685" s="398"/>
      <c r="T685" s="398"/>
      <c r="U685" s="398"/>
      <c r="V685" s="398"/>
      <c r="W685" s="398"/>
      <c r="X685" s="398"/>
      <c r="Y685" s="398"/>
      <c r="Z685" s="398"/>
    </row>
    <row r="686">
      <c r="A686" s="396"/>
      <c r="B686" s="397"/>
      <c r="C686" s="398"/>
      <c r="D686" s="398"/>
      <c r="E686" s="398"/>
      <c r="F686" s="398"/>
      <c r="G686" s="398"/>
      <c r="H686" s="398"/>
      <c r="I686" s="398"/>
      <c r="J686" s="398"/>
      <c r="K686" s="398"/>
      <c r="L686" s="398"/>
      <c r="M686" s="398"/>
      <c r="N686" s="398"/>
      <c r="O686" s="398"/>
      <c r="P686" s="398"/>
      <c r="Q686" s="398"/>
      <c r="R686" s="398"/>
      <c r="S686" s="398"/>
      <c r="T686" s="398"/>
      <c r="U686" s="398"/>
      <c r="V686" s="398"/>
      <c r="W686" s="398"/>
      <c r="X686" s="398"/>
      <c r="Y686" s="398"/>
      <c r="Z686" s="398"/>
    </row>
    <row r="687">
      <c r="A687" s="396"/>
      <c r="B687" s="397"/>
      <c r="C687" s="398"/>
      <c r="D687" s="398"/>
      <c r="E687" s="398"/>
      <c r="F687" s="398"/>
      <c r="G687" s="398"/>
      <c r="H687" s="398"/>
      <c r="I687" s="398"/>
      <c r="J687" s="398"/>
      <c r="K687" s="398"/>
      <c r="L687" s="398"/>
      <c r="M687" s="398"/>
      <c r="N687" s="398"/>
      <c r="O687" s="398"/>
      <c r="P687" s="398"/>
      <c r="Q687" s="398"/>
      <c r="R687" s="398"/>
      <c r="S687" s="398"/>
      <c r="T687" s="398"/>
      <c r="U687" s="398"/>
      <c r="V687" s="398"/>
      <c r="W687" s="398"/>
      <c r="X687" s="398"/>
      <c r="Y687" s="398"/>
      <c r="Z687" s="398"/>
    </row>
    <row r="688">
      <c r="A688" s="396"/>
      <c r="B688" s="397"/>
      <c r="C688" s="398"/>
      <c r="D688" s="398"/>
      <c r="E688" s="398"/>
      <c r="F688" s="398"/>
      <c r="G688" s="398"/>
      <c r="H688" s="398"/>
      <c r="I688" s="398"/>
      <c r="J688" s="398"/>
      <c r="K688" s="398"/>
      <c r="L688" s="398"/>
      <c r="M688" s="398"/>
      <c r="N688" s="398"/>
      <c r="O688" s="398"/>
      <c r="P688" s="398"/>
      <c r="Q688" s="398"/>
      <c r="R688" s="398"/>
      <c r="S688" s="398"/>
      <c r="T688" s="398"/>
      <c r="U688" s="398"/>
      <c r="V688" s="398"/>
      <c r="W688" s="398"/>
      <c r="X688" s="398"/>
      <c r="Y688" s="398"/>
      <c r="Z688" s="398"/>
    </row>
    <row r="689">
      <c r="A689" s="396"/>
      <c r="B689" s="397"/>
      <c r="C689" s="398"/>
      <c r="D689" s="398"/>
      <c r="E689" s="398"/>
      <c r="F689" s="398"/>
      <c r="G689" s="398"/>
      <c r="H689" s="398"/>
      <c r="I689" s="398"/>
      <c r="J689" s="398"/>
      <c r="K689" s="398"/>
      <c r="L689" s="398"/>
      <c r="M689" s="398"/>
      <c r="N689" s="398"/>
      <c r="O689" s="398"/>
      <c r="P689" s="398"/>
      <c r="Q689" s="398"/>
      <c r="R689" s="398"/>
      <c r="S689" s="398"/>
      <c r="T689" s="398"/>
      <c r="U689" s="398"/>
      <c r="V689" s="398"/>
      <c r="W689" s="398"/>
      <c r="X689" s="398"/>
      <c r="Y689" s="398"/>
      <c r="Z689" s="398"/>
    </row>
    <row r="690">
      <c r="A690" s="396"/>
      <c r="B690" s="397"/>
      <c r="C690" s="398"/>
      <c r="D690" s="398"/>
      <c r="E690" s="398"/>
      <c r="F690" s="398"/>
      <c r="G690" s="398"/>
      <c r="H690" s="398"/>
      <c r="I690" s="398"/>
      <c r="J690" s="398"/>
      <c r="K690" s="398"/>
      <c r="L690" s="398"/>
      <c r="M690" s="398"/>
      <c r="N690" s="398"/>
      <c r="O690" s="398"/>
      <c r="P690" s="398"/>
      <c r="Q690" s="398"/>
      <c r="R690" s="398"/>
      <c r="S690" s="398"/>
      <c r="T690" s="398"/>
      <c r="U690" s="398"/>
      <c r="V690" s="398"/>
      <c r="W690" s="398"/>
      <c r="X690" s="398"/>
      <c r="Y690" s="398"/>
      <c r="Z690" s="398"/>
    </row>
    <row r="691">
      <c r="A691" s="396"/>
      <c r="B691" s="397"/>
      <c r="C691" s="398"/>
      <c r="D691" s="398"/>
      <c r="E691" s="398"/>
      <c r="F691" s="398"/>
      <c r="G691" s="398"/>
      <c r="H691" s="398"/>
      <c r="I691" s="398"/>
      <c r="J691" s="398"/>
      <c r="K691" s="398"/>
      <c r="L691" s="398"/>
      <c r="M691" s="398"/>
      <c r="N691" s="398"/>
      <c r="O691" s="398"/>
      <c r="P691" s="398"/>
      <c r="Q691" s="398"/>
      <c r="R691" s="398"/>
      <c r="S691" s="398"/>
      <c r="T691" s="398"/>
      <c r="U691" s="398"/>
      <c r="V691" s="398"/>
      <c r="W691" s="398"/>
      <c r="X691" s="398"/>
      <c r="Y691" s="398"/>
      <c r="Z691" s="398"/>
    </row>
    <row r="692">
      <c r="A692" s="396"/>
      <c r="B692" s="397"/>
      <c r="C692" s="398"/>
      <c r="D692" s="398"/>
      <c r="E692" s="398"/>
      <c r="F692" s="398"/>
      <c r="G692" s="398"/>
      <c r="H692" s="398"/>
      <c r="I692" s="398"/>
      <c r="J692" s="398"/>
      <c r="K692" s="398"/>
      <c r="L692" s="398"/>
      <c r="M692" s="398"/>
      <c r="N692" s="398"/>
      <c r="O692" s="398"/>
      <c r="P692" s="398"/>
      <c r="Q692" s="398"/>
      <c r="R692" s="398"/>
      <c r="S692" s="398"/>
      <c r="T692" s="398"/>
      <c r="U692" s="398"/>
      <c r="V692" s="398"/>
      <c r="W692" s="398"/>
      <c r="X692" s="398"/>
      <c r="Y692" s="398"/>
      <c r="Z692" s="398"/>
    </row>
    <row r="693">
      <c r="A693" s="396"/>
      <c r="B693" s="397"/>
      <c r="C693" s="398"/>
      <c r="D693" s="398"/>
      <c r="E693" s="398"/>
      <c r="F693" s="398"/>
      <c r="G693" s="398"/>
      <c r="H693" s="398"/>
      <c r="I693" s="398"/>
      <c r="J693" s="398"/>
      <c r="K693" s="398"/>
      <c r="L693" s="398"/>
      <c r="M693" s="398"/>
      <c r="N693" s="398"/>
      <c r="O693" s="398"/>
      <c r="P693" s="398"/>
      <c r="Q693" s="398"/>
      <c r="R693" s="398"/>
      <c r="S693" s="398"/>
      <c r="T693" s="398"/>
      <c r="U693" s="398"/>
      <c r="V693" s="398"/>
      <c r="W693" s="398"/>
      <c r="X693" s="398"/>
      <c r="Y693" s="398"/>
      <c r="Z693" s="398"/>
    </row>
    <row r="694">
      <c r="A694" s="396"/>
      <c r="B694" s="397"/>
      <c r="C694" s="398"/>
      <c r="D694" s="398"/>
      <c r="E694" s="398"/>
      <c r="F694" s="398"/>
      <c r="G694" s="398"/>
      <c r="H694" s="398"/>
      <c r="I694" s="398"/>
      <c r="J694" s="398"/>
      <c r="K694" s="398"/>
      <c r="L694" s="398"/>
      <c r="M694" s="398"/>
      <c r="N694" s="398"/>
      <c r="O694" s="398"/>
      <c r="P694" s="398"/>
      <c r="Q694" s="398"/>
      <c r="R694" s="398"/>
      <c r="S694" s="398"/>
      <c r="T694" s="398"/>
      <c r="U694" s="398"/>
      <c r="V694" s="398"/>
      <c r="W694" s="398"/>
      <c r="X694" s="398"/>
      <c r="Y694" s="398"/>
      <c r="Z694" s="398"/>
    </row>
    <row r="695">
      <c r="A695" s="396"/>
      <c r="B695" s="397"/>
      <c r="C695" s="398"/>
      <c r="D695" s="398"/>
      <c r="E695" s="398"/>
      <c r="F695" s="398"/>
      <c r="G695" s="398"/>
      <c r="H695" s="398"/>
      <c r="I695" s="398"/>
      <c r="J695" s="398"/>
      <c r="K695" s="398"/>
      <c r="L695" s="398"/>
      <c r="M695" s="398"/>
      <c r="N695" s="398"/>
      <c r="O695" s="398"/>
      <c r="P695" s="398"/>
      <c r="Q695" s="398"/>
      <c r="R695" s="398"/>
      <c r="S695" s="398"/>
      <c r="T695" s="398"/>
      <c r="U695" s="398"/>
      <c r="V695" s="398"/>
      <c r="W695" s="398"/>
      <c r="X695" s="398"/>
      <c r="Y695" s="398"/>
      <c r="Z695" s="398"/>
    </row>
    <row r="696">
      <c r="A696" s="396"/>
      <c r="B696" s="397"/>
      <c r="C696" s="398"/>
      <c r="D696" s="398"/>
      <c r="E696" s="398"/>
      <c r="F696" s="398"/>
      <c r="G696" s="398"/>
      <c r="H696" s="398"/>
      <c r="I696" s="398"/>
      <c r="J696" s="398"/>
      <c r="K696" s="398"/>
      <c r="L696" s="398"/>
      <c r="M696" s="398"/>
      <c r="N696" s="398"/>
      <c r="O696" s="398"/>
      <c r="P696" s="398"/>
      <c r="Q696" s="398"/>
      <c r="R696" s="398"/>
      <c r="S696" s="398"/>
      <c r="T696" s="398"/>
      <c r="U696" s="398"/>
      <c r="V696" s="398"/>
      <c r="W696" s="398"/>
      <c r="X696" s="398"/>
      <c r="Y696" s="398"/>
      <c r="Z696" s="398"/>
    </row>
    <row r="697">
      <c r="A697" s="396"/>
      <c r="B697" s="397"/>
      <c r="C697" s="398"/>
      <c r="D697" s="398"/>
      <c r="E697" s="398"/>
      <c r="F697" s="398"/>
      <c r="G697" s="398"/>
      <c r="H697" s="398"/>
      <c r="I697" s="398"/>
      <c r="J697" s="398"/>
      <c r="K697" s="398"/>
      <c r="L697" s="398"/>
      <c r="M697" s="398"/>
      <c r="N697" s="398"/>
      <c r="O697" s="398"/>
      <c r="P697" s="398"/>
      <c r="Q697" s="398"/>
      <c r="R697" s="398"/>
      <c r="S697" s="398"/>
      <c r="T697" s="398"/>
      <c r="U697" s="398"/>
      <c r="V697" s="398"/>
      <c r="W697" s="398"/>
      <c r="X697" s="398"/>
      <c r="Y697" s="398"/>
      <c r="Z697" s="398"/>
    </row>
    <row r="698">
      <c r="A698" s="396"/>
      <c r="B698" s="397"/>
      <c r="C698" s="398"/>
      <c r="D698" s="398"/>
      <c r="E698" s="398"/>
      <c r="F698" s="398"/>
      <c r="G698" s="398"/>
      <c r="H698" s="398"/>
      <c r="I698" s="398"/>
      <c r="J698" s="398"/>
      <c r="K698" s="398"/>
      <c r="L698" s="398"/>
      <c r="M698" s="398"/>
      <c r="N698" s="398"/>
      <c r="O698" s="398"/>
      <c r="P698" s="398"/>
      <c r="Q698" s="398"/>
      <c r="R698" s="398"/>
      <c r="S698" s="398"/>
      <c r="T698" s="398"/>
      <c r="U698" s="398"/>
      <c r="V698" s="398"/>
      <c r="W698" s="398"/>
      <c r="X698" s="398"/>
      <c r="Y698" s="398"/>
      <c r="Z698" s="398"/>
    </row>
    <row r="699">
      <c r="A699" s="396"/>
      <c r="B699" s="397"/>
      <c r="C699" s="398"/>
      <c r="D699" s="398"/>
      <c r="E699" s="398"/>
      <c r="F699" s="398"/>
      <c r="G699" s="398"/>
      <c r="H699" s="398"/>
      <c r="I699" s="398"/>
      <c r="J699" s="398"/>
      <c r="K699" s="398"/>
      <c r="L699" s="398"/>
      <c r="M699" s="398"/>
      <c r="N699" s="398"/>
      <c r="O699" s="398"/>
      <c r="P699" s="398"/>
      <c r="Q699" s="398"/>
      <c r="R699" s="398"/>
      <c r="S699" s="398"/>
      <c r="T699" s="398"/>
      <c r="U699" s="398"/>
      <c r="V699" s="398"/>
      <c r="W699" s="398"/>
      <c r="X699" s="398"/>
      <c r="Y699" s="398"/>
      <c r="Z699" s="398"/>
    </row>
    <row r="700">
      <c r="A700" s="396"/>
      <c r="B700" s="397"/>
      <c r="C700" s="398"/>
      <c r="D700" s="398"/>
      <c r="E700" s="398"/>
      <c r="F700" s="398"/>
      <c r="G700" s="398"/>
      <c r="H700" s="398"/>
      <c r="I700" s="398"/>
      <c r="J700" s="398"/>
      <c r="K700" s="398"/>
      <c r="L700" s="398"/>
      <c r="M700" s="398"/>
      <c r="N700" s="398"/>
      <c r="O700" s="398"/>
      <c r="P700" s="398"/>
      <c r="Q700" s="398"/>
      <c r="R700" s="398"/>
      <c r="S700" s="398"/>
      <c r="T700" s="398"/>
      <c r="U700" s="398"/>
      <c r="V700" s="398"/>
      <c r="W700" s="398"/>
      <c r="X700" s="398"/>
      <c r="Y700" s="398"/>
      <c r="Z700" s="398"/>
    </row>
    <row r="701">
      <c r="A701" s="396"/>
      <c r="B701" s="397"/>
      <c r="C701" s="398"/>
      <c r="D701" s="398"/>
      <c r="E701" s="398"/>
      <c r="F701" s="398"/>
      <c r="G701" s="398"/>
      <c r="H701" s="398"/>
      <c r="I701" s="398"/>
      <c r="J701" s="398"/>
      <c r="K701" s="398"/>
      <c r="L701" s="398"/>
      <c r="M701" s="398"/>
      <c r="N701" s="398"/>
      <c r="O701" s="398"/>
      <c r="P701" s="398"/>
      <c r="Q701" s="398"/>
      <c r="R701" s="398"/>
      <c r="S701" s="398"/>
      <c r="T701" s="398"/>
      <c r="U701" s="398"/>
      <c r="V701" s="398"/>
      <c r="W701" s="398"/>
      <c r="X701" s="398"/>
      <c r="Y701" s="398"/>
      <c r="Z701" s="398"/>
    </row>
    <row r="702">
      <c r="A702" s="396"/>
      <c r="B702" s="397"/>
      <c r="C702" s="398"/>
      <c r="D702" s="398"/>
      <c r="E702" s="398"/>
      <c r="F702" s="398"/>
      <c r="G702" s="398"/>
      <c r="H702" s="398"/>
      <c r="I702" s="398"/>
      <c r="J702" s="398"/>
      <c r="K702" s="398"/>
      <c r="L702" s="398"/>
      <c r="M702" s="398"/>
      <c r="N702" s="398"/>
      <c r="O702" s="398"/>
      <c r="P702" s="398"/>
      <c r="Q702" s="398"/>
      <c r="R702" s="398"/>
      <c r="S702" s="398"/>
      <c r="T702" s="398"/>
      <c r="U702" s="398"/>
      <c r="V702" s="398"/>
      <c r="W702" s="398"/>
      <c r="X702" s="398"/>
      <c r="Y702" s="398"/>
      <c r="Z702" s="398"/>
    </row>
    <row r="703">
      <c r="A703" s="396"/>
      <c r="B703" s="397"/>
      <c r="C703" s="398"/>
      <c r="D703" s="398"/>
      <c r="E703" s="398"/>
      <c r="F703" s="398"/>
      <c r="G703" s="398"/>
      <c r="H703" s="398"/>
      <c r="I703" s="398"/>
      <c r="J703" s="398"/>
      <c r="K703" s="398"/>
      <c r="L703" s="398"/>
      <c r="M703" s="398"/>
      <c r="N703" s="398"/>
      <c r="O703" s="398"/>
      <c r="P703" s="398"/>
      <c r="Q703" s="398"/>
      <c r="R703" s="398"/>
      <c r="S703" s="398"/>
      <c r="T703" s="398"/>
      <c r="U703" s="398"/>
      <c r="V703" s="398"/>
      <c r="W703" s="398"/>
      <c r="X703" s="398"/>
      <c r="Y703" s="398"/>
      <c r="Z703" s="398"/>
    </row>
    <row r="704">
      <c r="A704" s="396"/>
      <c r="B704" s="397"/>
      <c r="C704" s="398"/>
      <c r="D704" s="398"/>
      <c r="E704" s="398"/>
      <c r="F704" s="398"/>
      <c r="G704" s="398"/>
      <c r="H704" s="398"/>
      <c r="I704" s="398"/>
      <c r="J704" s="398"/>
      <c r="K704" s="398"/>
      <c r="L704" s="398"/>
      <c r="M704" s="398"/>
      <c r="N704" s="398"/>
      <c r="O704" s="398"/>
      <c r="P704" s="398"/>
      <c r="Q704" s="398"/>
      <c r="R704" s="398"/>
      <c r="S704" s="398"/>
      <c r="T704" s="398"/>
      <c r="U704" s="398"/>
      <c r="V704" s="398"/>
      <c r="W704" s="398"/>
      <c r="X704" s="398"/>
      <c r="Y704" s="398"/>
      <c r="Z704" s="398"/>
    </row>
    <row r="705">
      <c r="A705" s="396"/>
      <c r="B705" s="397"/>
      <c r="C705" s="398"/>
      <c r="D705" s="398"/>
      <c r="E705" s="398"/>
      <c r="F705" s="398"/>
      <c r="G705" s="398"/>
      <c r="H705" s="398"/>
      <c r="I705" s="398"/>
      <c r="J705" s="398"/>
      <c r="K705" s="398"/>
      <c r="L705" s="398"/>
      <c r="M705" s="398"/>
      <c r="N705" s="398"/>
      <c r="O705" s="398"/>
      <c r="P705" s="398"/>
      <c r="Q705" s="398"/>
      <c r="R705" s="398"/>
      <c r="S705" s="398"/>
      <c r="T705" s="398"/>
      <c r="U705" s="398"/>
      <c r="V705" s="398"/>
      <c r="W705" s="398"/>
      <c r="X705" s="398"/>
      <c r="Y705" s="398"/>
      <c r="Z705" s="398"/>
    </row>
    <row r="706">
      <c r="A706" s="396"/>
      <c r="B706" s="397"/>
      <c r="C706" s="398"/>
      <c r="D706" s="398"/>
      <c r="E706" s="398"/>
      <c r="F706" s="398"/>
      <c r="G706" s="398"/>
      <c r="H706" s="398"/>
      <c r="I706" s="398"/>
      <c r="J706" s="398"/>
      <c r="K706" s="398"/>
      <c r="L706" s="398"/>
      <c r="M706" s="398"/>
      <c r="N706" s="398"/>
      <c r="O706" s="398"/>
      <c r="P706" s="398"/>
      <c r="Q706" s="398"/>
      <c r="R706" s="398"/>
      <c r="S706" s="398"/>
      <c r="T706" s="398"/>
      <c r="U706" s="398"/>
      <c r="V706" s="398"/>
      <c r="W706" s="398"/>
      <c r="X706" s="398"/>
      <c r="Y706" s="398"/>
      <c r="Z706" s="398"/>
    </row>
    <row r="707">
      <c r="A707" s="396"/>
      <c r="B707" s="397"/>
      <c r="C707" s="398"/>
      <c r="D707" s="398"/>
      <c r="E707" s="398"/>
      <c r="F707" s="398"/>
      <c r="G707" s="398"/>
      <c r="H707" s="398"/>
      <c r="I707" s="398"/>
      <c r="J707" s="398"/>
      <c r="K707" s="398"/>
      <c r="L707" s="398"/>
      <c r="M707" s="398"/>
      <c r="N707" s="398"/>
      <c r="O707" s="398"/>
      <c r="P707" s="398"/>
      <c r="Q707" s="398"/>
      <c r="R707" s="398"/>
      <c r="S707" s="398"/>
      <c r="T707" s="398"/>
      <c r="U707" s="398"/>
      <c r="V707" s="398"/>
      <c r="W707" s="398"/>
      <c r="X707" s="398"/>
      <c r="Y707" s="398"/>
      <c r="Z707" s="398"/>
    </row>
    <row r="708">
      <c r="A708" s="396"/>
      <c r="B708" s="397"/>
      <c r="C708" s="398"/>
      <c r="D708" s="398"/>
      <c r="E708" s="398"/>
      <c r="F708" s="398"/>
      <c r="G708" s="398"/>
      <c r="H708" s="398"/>
      <c r="I708" s="398"/>
      <c r="J708" s="398"/>
      <c r="K708" s="398"/>
      <c r="L708" s="398"/>
      <c r="M708" s="398"/>
      <c r="N708" s="398"/>
      <c r="O708" s="398"/>
      <c r="P708" s="398"/>
      <c r="Q708" s="398"/>
      <c r="R708" s="398"/>
      <c r="S708" s="398"/>
      <c r="T708" s="398"/>
      <c r="U708" s="398"/>
      <c r="V708" s="398"/>
      <c r="W708" s="398"/>
      <c r="X708" s="398"/>
      <c r="Y708" s="398"/>
      <c r="Z708" s="398"/>
    </row>
    <row r="709">
      <c r="A709" s="396"/>
      <c r="B709" s="397"/>
      <c r="C709" s="398"/>
      <c r="D709" s="398"/>
      <c r="E709" s="398"/>
      <c r="F709" s="398"/>
      <c r="G709" s="398"/>
      <c r="H709" s="398"/>
      <c r="I709" s="398"/>
      <c r="J709" s="398"/>
      <c r="K709" s="398"/>
      <c r="L709" s="398"/>
      <c r="M709" s="398"/>
      <c r="N709" s="398"/>
      <c r="O709" s="398"/>
      <c r="P709" s="398"/>
      <c r="Q709" s="398"/>
      <c r="R709" s="398"/>
      <c r="S709" s="398"/>
      <c r="T709" s="398"/>
      <c r="U709" s="398"/>
      <c r="V709" s="398"/>
      <c r="W709" s="398"/>
      <c r="X709" s="398"/>
      <c r="Y709" s="398"/>
      <c r="Z709" s="398"/>
    </row>
    <row r="710">
      <c r="A710" s="396"/>
      <c r="B710" s="397"/>
      <c r="C710" s="398"/>
      <c r="D710" s="398"/>
      <c r="E710" s="398"/>
      <c r="F710" s="398"/>
      <c r="G710" s="398"/>
      <c r="H710" s="398"/>
      <c r="I710" s="398"/>
      <c r="J710" s="398"/>
      <c r="K710" s="398"/>
      <c r="L710" s="398"/>
      <c r="M710" s="398"/>
      <c r="N710" s="398"/>
      <c r="O710" s="398"/>
      <c r="P710" s="398"/>
      <c r="Q710" s="398"/>
      <c r="R710" s="398"/>
      <c r="S710" s="398"/>
      <c r="T710" s="398"/>
      <c r="U710" s="398"/>
      <c r="V710" s="398"/>
      <c r="W710" s="398"/>
      <c r="X710" s="398"/>
      <c r="Y710" s="398"/>
      <c r="Z710" s="398"/>
    </row>
    <row r="711">
      <c r="A711" s="396"/>
      <c r="B711" s="397"/>
      <c r="C711" s="398"/>
      <c r="D711" s="398"/>
      <c r="E711" s="398"/>
      <c r="F711" s="398"/>
      <c r="G711" s="398"/>
      <c r="H711" s="398"/>
      <c r="I711" s="398"/>
      <c r="J711" s="398"/>
      <c r="K711" s="398"/>
      <c r="L711" s="398"/>
      <c r="M711" s="398"/>
      <c r="N711" s="398"/>
      <c r="O711" s="398"/>
      <c r="P711" s="398"/>
      <c r="Q711" s="398"/>
      <c r="R711" s="398"/>
      <c r="S711" s="398"/>
      <c r="T711" s="398"/>
      <c r="U711" s="398"/>
      <c r="V711" s="398"/>
      <c r="W711" s="398"/>
      <c r="X711" s="398"/>
      <c r="Y711" s="398"/>
      <c r="Z711" s="398"/>
    </row>
    <row r="712">
      <c r="A712" s="396"/>
      <c r="B712" s="397"/>
      <c r="C712" s="398"/>
      <c r="D712" s="398"/>
      <c r="E712" s="398"/>
      <c r="F712" s="398"/>
      <c r="G712" s="398"/>
      <c r="H712" s="398"/>
      <c r="I712" s="398"/>
      <c r="J712" s="398"/>
      <c r="K712" s="398"/>
      <c r="L712" s="398"/>
      <c r="M712" s="398"/>
      <c r="N712" s="398"/>
      <c r="O712" s="398"/>
      <c r="P712" s="398"/>
      <c r="Q712" s="398"/>
      <c r="R712" s="398"/>
      <c r="S712" s="398"/>
      <c r="T712" s="398"/>
      <c r="U712" s="398"/>
      <c r="V712" s="398"/>
      <c r="W712" s="398"/>
      <c r="X712" s="398"/>
      <c r="Y712" s="398"/>
      <c r="Z712" s="398"/>
    </row>
    <row r="713">
      <c r="A713" s="396"/>
      <c r="B713" s="397"/>
      <c r="C713" s="398"/>
      <c r="D713" s="398"/>
      <c r="E713" s="398"/>
      <c r="F713" s="398"/>
      <c r="G713" s="398"/>
      <c r="H713" s="398"/>
      <c r="I713" s="398"/>
      <c r="J713" s="398"/>
      <c r="K713" s="398"/>
      <c r="L713" s="398"/>
      <c r="M713" s="398"/>
      <c r="N713" s="398"/>
      <c r="O713" s="398"/>
      <c r="P713" s="398"/>
      <c r="Q713" s="398"/>
      <c r="R713" s="398"/>
      <c r="S713" s="398"/>
      <c r="T713" s="398"/>
      <c r="U713" s="398"/>
      <c r="V713" s="398"/>
      <c r="W713" s="398"/>
      <c r="X713" s="398"/>
      <c r="Y713" s="398"/>
      <c r="Z713" s="398"/>
    </row>
    <row r="714">
      <c r="A714" s="396"/>
      <c r="B714" s="397"/>
      <c r="C714" s="398"/>
      <c r="D714" s="398"/>
      <c r="E714" s="398"/>
      <c r="F714" s="398"/>
      <c r="G714" s="398"/>
      <c r="H714" s="398"/>
      <c r="I714" s="398"/>
      <c r="J714" s="398"/>
      <c r="K714" s="398"/>
      <c r="L714" s="398"/>
      <c r="M714" s="398"/>
      <c r="N714" s="398"/>
      <c r="O714" s="398"/>
      <c r="P714" s="398"/>
      <c r="Q714" s="398"/>
      <c r="R714" s="398"/>
      <c r="S714" s="398"/>
      <c r="T714" s="398"/>
      <c r="U714" s="398"/>
      <c r="V714" s="398"/>
      <c r="W714" s="398"/>
      <c r="X714" s="398"/>
      <c r="Y714" s="398"/>
      <c r="Z714" s="398"/>
    </row>
    <row r="715">
      <c r="A715" s="396"/>
      <c r="B715" s="397"/>
      <c r="C715" s="398"/>
      <c r="D715" s="398"/>
      <c r="E715" s="398"/>
      <c r="F715" s="398"/>
      <c r="G715" s="398"/>
      <c r="H715" s="398"/>
      <c r="I715" s="398"/>
      <c r="J715" s="398"/>
      <c r="K715" s="398"/>
      <c r="L715" s="398"/>
      <c r="M715" s="398"/>
      <c r="N715" s="398"/>
      <c r="O715" s="398"/>
      <c r="P715" s="398"/>
      <c r="Q715" s="398"/>
      <c r="R715" s="398"/>
      <c r="S715" s="398"/>
      <c r="T715" s="398"/>
      <c r="U715" s="398"/>
      <c r="V715" s="398"/>
      <c r="W715" s="398"/>
      <c r="X715" s="398"/>
      <c r="Y715" s="398"/>
      <c r="Z715" s="398"/>
    </row>
    <row r="716">
      <c r="A716" s="396"/>
      <c r="B716" s="397"/>
      <c r="C716" s="398"/>
      <c r="D716" s="398"/>
      <c r="E716" s="398"/>
      <c r="F716" s="398"/>
      <c r="G716" s="398"/>
      <c r="H716" s="398"/>
      <c r="I716" s="398"/>
      <c r="J716" s="398"/>
      <c r="K716" s="398"/>
      <c r="L716" s="398"/>
      <c r="M716" s="398"/>
      <c r="N716" s="398"/>
      <c r="O716" s="398"/>
      <c r="P716" s="398"/>
      <c r="Q716" s="398"/>
      <c r="R716" s="398"/>
      <c r="S716" s="398"/>
      <c r="T716" s="398"/>
      <c r="U716" s="398"/>
      <c r="V716" s="398"/>
      <c r="W716" s="398"/>
      <c r="X716" s="398"/>
      <c r="Y716" s="398"/>
      <c r="Z716" s="398"/>
    </row>
    <row r="717">
      <c r="A717" s="396"/>
      <c r="B717" s="397"/>
      <c r="C717" s="398"/>
      <c r="D717" s="398"/>
      <c r="E717" s="398"/>
      <c r="F717" s="398"/>
      <c r="G717" s="398"/>
      <c r="H717" s="398"/>
      <c r="I717" s="398"/>
      <c r="J717" s="398"/>
      <c r="K717" s="398"/>
      <c r="L717" s="398"/>
      <c r="M717" s="398"/>
      <c r="N717" s="398"/>
      <c r="O717" s="398"/>
      <c r="P717" s="398"/>
      <c r="Q717" s="398"/>
      <c r="R717" s="398"/>
      <c r="S717" s="398"/>
      <c r="T717" s="398"/>
      <c r="U717" s="398"/>
      <c r="V717" s="398"/>
      <c r="W717" s="398"/>
      <c r="X717" s="398"/>
      <c r="Y717" s="398"/>
      <c r="Z717" s="398"/>
    </row>
    <row r="718">
      <c r="A718" s="396"/>
      <c r="B718" s="397"/>
      <c r="C718" s="398"/>
      <c r="D718" s="398"/>
      <c r="E718" s="398"/>
      <c r="F718" s="398"/>
      <c r="G718" s="398"/>
      <c r="H718" s="398"/>
      <c r="I718" s="398"/>
      <c r="J718" s="398"/>
      <c r="K718" s="398"/>
      <c r="L718" s="398"/>
      <c r="M718" s="398"/>
      <c r="N718" s="398"/>
      <c r="O718" s="398"/>
      <c r="P718" s="398"/>
      <c r="Q718" s="398"/>
      <c r="R718" s="398"/>
      <c r="S718" s="398"/>
      <c r="T718" s="398"/>
      <c r="U718" s="398"/>
      <c r="V718" s="398"/>
      <c r="W718" s="398"/>
      <c r="X718" s="398"/>
      <c r="Y718" s="398"/>
      <c r="Z718" s="398"/>
    </row>
    <row r="719">
      <c r="A719" s="396"/>
      <c r="B719" s="397"/>
      <c r="C719" s="398"/>
      <c r="D719" s="398"/>
      <c r="E719" s="398"/>
      <c r="F719" s="398"/>
      <c r="G719" s="398"/>
      <c r="H719" s="398"/>
      <c r="I719" s="398"/>
      <c r="J719" s="398"/>
      <c r="K719" s="398"/>
      <c r="L719" s="398"/>
      <c r="M719" s="398"/>
      <c r="N719" s="398"/>
      <c r="O719" s="398"/>
      <c r="P719" s="398"/>
      <c r="Q719" s="398"/>
      <c r="R719" s="398"/>
      <c r="S719" s="398"/>
      <c r="T719" s="398"/>
      <c r="U719" s="398"/>
      <c r="V719" s="398"/>
      <c r="W719" s="398"/>
      <c r="X719" s="398"/>
      <c r="Y719" s="398"/>
      <c r="Z719" s="398"/>
    </row>
    <row r="720">
      <c r="A720" s="396"/>
      <c r="B720" s="397"/>
      <c r="C720" s="398"/>
      <c r="D720" s="398"/>
      <c r="E720" s="398"/>
      <c r="F720" s="398"/>
      <c r="G720" s="398"/>
      <c r="H720" s="398"/>
      <c r="I720" s="398"/>
      <c r="J720" s="398"/>
      <c r="K720" s="398"/>
      <c r="L720" s="398"/>
      <c r="M720" s="398"/>
      <c r="N720" s="398"/>
      <c r="O720" s="398"/>
      <c r="P720" s="398"/>
      <c r="Q720" s="398"/>
      <c r="R720" s="398"/>
      <c r="S720" s="398"/>
      <c r="T720" s="398"/>
      <c r="U720" s="398"/>
      <c r="V720" s="398"/>
      <c r="W720" s="398"/>
      <c r="X720" s="398"/>
      <c r="Y720" s="398"/>
      <c r="Z720" s="398"/>
    </row>
    <row r="721">
      <c r="A721" s="396"/>
      <c r="B721" s="397"/>
      <c r="C721" s="398"/>
      <c r="D721" s="398"/>
      <c r="E721" s="398"/>
      <c r="F721" s="398"/>
      <c r="G721" s="398"/>
      <c r="H721" s="398"/>
      <c r="I721" s="398"/>
      <c r="J721" s="398"/>
      <c r="K721" s="398"/>
      <c r="L721" s="398"/>
      <c r="M721" s="398"/>
      <c r="N721" s="398"/>
      <c r="O721" s="398"/>
      <c r="P721" s="398"/>
      <c r="Q721" s="398"/>
      <c r="R721" s="398"/>
      <c r="S721" s="398"/>
      <c r="T721" s="398"/>
      <c r="U721" s="398"/>
      <c r="V721" s="398"/>
      <c r="W721" s="398"/>
      <c r="X721" s="398"/>
      <c r="Y721" s="398"/>
      <c r="Z721" s="398"/>
    </row>
    <row r="722">
      <c r="A722" s="396"/>
      <c r="B722" s="397"/>
      <c r="C722" s="398"/>
      <c r="D722" s="398"/>
      <c r="E722" s="398"/>
      <c r="F722" s="398"/>
      <c r="G722" s="398"/>
      <c r="H722" s="398"/>
      <c r="I722" s="398"/>
      <c r="J722" s="398"/>
      <c r="K722" s="398"/>
      <c r="L722" s="398"/>
      <c r="M722" s="398"/>
      <c r="N722" s="398"/>
      <c r="O722" s="398"/>
      <c r="P722" s="398"/>
      <c r="Q722" s="398"/>
      <c r="R722" s="398"/>
      <c r="S722" s="398"/>
      <c r="T722" s="398"/>
      <c r="U722" s="398"/>
      <c r="V722" s="398"/>
      <c r="W722" s="398"/>
      <c r="X722" s="398"/>
      <c r="Y722" s="398"/>
      <c r="Z722" s="398"/>
    </row>
    <row r="723">
      <c r="A723" s="396"/>
      <c r="B723" s="397"/>
      <c r="C723" s="398"/>
      <c r="D723" s="398"/>
      <c r="E723" s="398"/>
      <c r="F723" s="398"/>
      <c r="G723" s="398"/>
      <c r="H723" s="398"/>
      <c r="I723" s="398"/>
      <c r="J723" s="398"/>
      <c r="K723" s="398"/>
      <c r="L723" s="398"/>
      <c r="M723" s="398"/>
      <c r="N723" s="398"/>
      <c r="O723" s="398"/>
      <c r="P723" s="398"/>
      <c r="Q723" s="398"/>
      <c r="R723" s="398"/>
      <c r="S723" s="398"/>
      <c r="T723" s="398"/>
      <c r="U723" s="398"/>
      <c r="V723" s="398"/>
      <c r="W723" s="398"/>
      <c r="X723" s="398"/>
      <c r="Y723" s="398"/>
      <c r="Z723" s="398"/>
    </row>
    <row r="724">
      <c r="A724" s="396"/>
      <c r="B724" s="397"/>
      <c r="C724" s="398"/>
      <c r="D724" s="398"/>
      <c r="E724" s="398"/>
      <c r="F724" s="398"/>
      <c r="G724" s="398"/>
      <c r="H724" s="398"/>
      <c r="I724" s="398"/>
      <c r="J724" s="398"/>
      <c r="K724" s="398"/>
      <c r="L724" s="398"/>
      <c r="M724" s="398"/>
      <c r="N724" s="398"/>
      <c r="O724" s="398"/>
      <c r="P724" s="398"/>
      <c r="Q724" s="398"/>
      <c r="R724" s="398"/>
      <c r="S724" s="398"/>
      <c r="T724" s="398"/>
      <c r="U724" s="398"/>
      <c r="V724" s="398"/>
      <c r="W724" s="398"/>
      <c r="X724" s="398"/>
      <c r="Y724" s="398"/>
      <c r="Z724" s="398"/>
    </row>
    <row r="725">
      <c r="A725" s="396"/>
      <c r="B725" s="397"/>
      <c r="C725" s="398"/>
      <c r="D725" s="398"/>
      <c r="E725" s="398"/>
      <c r="F725" s="398"/>
      <c r="G725" s="398"/>
      <c r="H725" s="398"/>
      <c r="I725" s="398"/>
      <c r="J725" s="398"/>
      <c r="K725" s="398"/>
      <c r="L725" s="398"/>
      <c r="M725" s="398"/>
      <c r="N725" s="398"/>
      <c r="O725" s="398"/>
      <c r="P725" s="398"/>
      <c r="Q725" s="398"/>
      <c r="R725" s="398"/>
      <c r="S725" s="398"/>
      <c r="T725" s="398"/>
      <c r="U725" s="398"/>
      <c r="V725" s="398"/>
      <c r="W725" s="398"/>
      <c r="X725" s="398"/>
      <c r="Y725" s="398"/>
      <c r="Z725" s="398"/>
    </row>
    <row r="726">
      <c r="A726" s="396"/>
      <c r="B726" s="397"/>
      <c r="C726" s="398"/>
      <c r="D726" s="398"/>
      <c r="E726" s="398"/>
      <c r="F726" s="398"/>
      <c r="G726" s="398"/>
      <c r="H726" s="398"/>
      <c r="I726" s="398"/>
      <c r="J726" s="398"/>
      <c r="K726" s="398"/>
      <c r="L726" s="398"/>
      <c r="M726" s="398"/>
      <c r="N726" s="398"/>
      <c r="O726" s="398"/>
      <c r="P726" s="398"/>
      <c r="Q726" s="398"/>
      <c r="R726" s="398"/>
      <c r="S726" s="398"/>
      <c r="T726" s="398"/>
      <c r="U726" s="398"/>
      <c r="V726" s="398"/>
      <c r="W726" s="398"/>
      <c r="X726" s="398"/>
      <c r="Y726" s="398"/>
      <c r="Z726" s="398"/>
    </row>
    <row r="727">
      <c r="A727" s="396"/>
      <c r="B727" s="397"/>
      <c r="C727" s="398"/>
      <c r="D727" s="398"/>
      <c r="E727" s="398"/>
      <c r="F727" s="398"/>
      <c r="G727" s="398"/>
      <c r="H727" s="398"/>
      <c r="I727" s="398"/>
      <c r="J727" s="398"/>
      <c r="K727" s="398"/>
      <c r="L727" s="398"/>
      <c r="M727" s="398"/>
      <c r="N727" s="398"/>
      <c r="O727" s="398"/>
      <c r="P727" s="398"/>
      <c r="Q727" s="398"/>
      <c r="R727" s="398"/>
      <c r="S727" s="398"/>
      <c r="T727" s="398"/>
      <c r="U727" s="398"/>
      <c r="V727" s="398"/>
      <c r="W727" s="398"/>
      <c r="X727" s="398"/>
      <c r="Y727" s="398"/>
      <c r="Z727" s="398"/>
    </row>
    <row r="728">
      <c r="A728" s="396"/>
      <c r="B728" s="397"/>
      <c r="C728" s="398"/>
      <c r="D728" s="398"/>
      <c r="E728" s="398"/>
      <c r="F728" s="398"/>
      <c r="G728" s="398"/>
      <c r="H728" s="398"/>
      <c r="I728" s="398"/>
      <c r="J728" s="398"/>
      <c r="K728" s="398"/>
      <c r="L728" s="398"/>
      <c r="M728" s="398"/>
      <c r="N728" s="398"/>
      <c r="O728" s="398"/>
      <c r="P728" s="398"/>
      <c r="Q728" s="398"/>
      <c r="R728" s="398"/>
      <c r="S728" s="398"/>
      <c r="T728" s="398"/>
      <c r="U728" s="398"/>
      <c r="V728" s="398"/>
      <c r="W728" s="398"/>
      <c r="X728" s="398"/>
      <c r="Y728" s="398"/>
      <c r="Z728" s="398"/>
    </row>
    <row r="729">
      <c r="A729" s="396"/>
      <c r="B729" s="397"/>
      <c r="C729" s="398"/>
      <c r="D729" s="398"/>
      <c r="E729" s="398"/>
      <c r="F729" s="398"/>
      <c r="G729" s="398"/>
      <c r="H729" s="398"/>
      <c r="I729" s="398"/>
      <c r="J729" s="398"/>
      <c r="K729" s="398"/>
      <c r="L729" s="398"/>
      <c r="M729" s="398"/>
      <c r="N729" s="398"/>
      <c r="O729" s="398"/>
      <c r="P729" s="398"/>
      <c r="Q729" s="398"/>
      <c r="R729" s="398"/>
      <c r="S729" s="398"/>
      <c r="T729" s="398"/>
      <c r="U729" s="398"/>
      <c r="V729" s="398"/>
      <c r="W729" s="398"/>
      <c r="X729" s="398"/>
      <c r="Y729" s="398"/>
      <c r="Z729" s="398"/>
    </row>
    <row r="730">
      <c r="A730" s="396"/>
      <c r="B730" s="397"/>
      <c r="C730" s="398"/>
      <c r="D730" s="398"/>
      <c r="E730" s="398"/>
      <c r="F730" s="398"/>
      <c r="G730" s="398"/>
      <c r="H730" s="398"/>
      <c r="I730" s="398"/>
      <c r="J730" s="398"/>
      <c r="K730" s="398"/>
      <c r="L730" s="398"/>
      <c r="M730" s="398"/>
      <c r="N730" s="398"/>
      <c r="O730" s="398"/>
      <c r="P730" s="398"/>
      <c r="Q730" s="398"/>
      <c r="R730" s="398"/>
      <c r="S730" s="398"/>
      <c r="T730" s="398"/>
      <c r="U730" s="398"/>
      <c r="V730" s="398"/>
      <c r="W730" s="398"/>
      <c r="X730" s="398"/>
      <c r="Y730" s="398"/>
      <c r="Z730" s="398"/>
    </row>
    <row r="731">
      <c r="A731" s="396"/>
      <c r="B731" s="397"/>
      <c r="C731" s="398"/>
      <c r="D731" s="398"/>
      <c r="E731" s="398"/>
      <c r="F731" s="398"/>
      <c r="G731" s="398"/>
      <c r="H731" s="398"/>
      <c r="I731" s="398"/>
      <c r="J731" s="398"/>
      <c r="K731" s="398"/>
      <c r="L731" s="398"/>
      <c r="M731" s="398"/>
      <c r="N731" s="398"/>
      <c r="O731" s="398"/>
      <c r="P731" s="398"/>
      <c r="Q731" s="398"/>
      <c r="R731" s="398"/>
      <c r="S731" s="398"/>
      <c r="T731" s="398"/>
      <c r="U731" s="398"/>
      <c r="V731" s="398"/>
      <c r="W731" s="398"/>
      <c r="X731" s="398"/>
      <c r="Y731" s="398"/>
      <c r="Z731" s="398"/>
    </row>
    <row r="732">
      <c r="A732" s="396"/>
      <c r="B732" s="397"/>
      <c r="C732" s="398"/>
      <c r="D732" s="398"/>
      <c r="E732" s="398"/>
      <c r="F732" s="398"/>
      <c r="G732" s="398"/>
      <c r="H732" s="398"/>
      <c r="I732" s="398"/>
      <c r="J732" s="398"/>
      <c r="K732" s="398"/>
      <c r="L732" s="398"/>
      <c r="M732" s="398"/>
      <c r="N732" s="398"/>
      <c r="O732" s="398"/>
      <c r="P732" s="398"/>
      <c r="Q732" s="398"/>
      <c r="R732" s="398"/>
      <c r="S732" s="398"/>
      <c r="T732" s="398"/>
      <c r="U732" s="398"/>
      <c r="V732" s="398"/>
      <c r="W732" s="398"/>
      <c r="X732" s="398"/>
      <c r="Y732" s="398"/>
      <c r="Z732" s="398"/>
    </row>
    <row r="733">
      <c r="A733" s="396"/>
      <c r="B733" s="397"/>
      <c r="C733" s="398"/>
      <c r="D733" s="398"/>
      <c r="E733" s="398"/>
      <c r="F733" s="398"/>
      <c r="G733" s="398"/>
      <c r="H733" s="398"/>
      <c r="I733" s="398"/>
      <c r="J733" s="398"/>
      <c r="K733" s="398"/>
      <c r="L733" s="398"/>
      <c r="M733" s="398"/>
      <c r="N733" s="398"/>
      <c r="O733" s="398"/>
      <c r="P733" s="398"/>
      <c r="Q733" s="398"/>
      <c r="R733" s="398"/>
      <c r="S733" s="398"/>
      <c r="T733" s="398"/>
      <c r="U733" s="398"/>
      <c r="V733" s="398"/>
      <c r="W733" s="398"/>
      <c r="X733" s="398"/>
      <c r="Y733" s="398"/>
      <c r="Z733" s="398"/>
    </row>
    <row r="734">
      <c r="A734" s="396"/>
      <c r="B734" s="397"/>
      <c r="C734" s="398"/>
      <c r="D734" s="398"/>
      <c r="E734" s="398"/>
      <c r="F734" s="398"/>
      <c r="G734" s="398"/>
      <c r="H734" s="398"/>
      <c r="I734" s="398"/>
      <c r="J734" s="398"/>
      <c r="K734" s="398"/>
      <c r="L734" s="398"/>
      <c r="M734" s="398"/>
      <c r="N734" s="398"/>
      <c r="O734" s="398"/>
      <c r="P734" s="398"/>
      <c r="Q734" s="398"/>
      <c r="R734" s="398"/>
      <c r="S734" s="398"/>
      <c r="T734" s="398"/>
      <c r="U734" s="398"/>
      <c r="V734" s="398"/>
      <c r="W734" s="398"/>
      <c r="X734" s="398"/>
      <c r="Y734" s="398"/>
      <c r="Z734" s="398"/>
    </row>
    <row r="735">
      <c r="A735" s="396"/>
      <c r="B735" s="397"/>
      <c r="C735" s="398"/>
      <c r="D735" s="398"/>
      <c r="E735" s="398"/>
      <c r="F735" s="398"/>
      <c r="G735" s="398"/>
      <c r="H735" s="398"/>
      <c r="I735" s="398"/>
      <c r="J735" s="398"/>
      <c r="K735" s="398"/>
      <c r="L735" s="398"/>
      <c r="M735" s="398"/>
      <c r="N735" s="398"/>
      <c r="O735" s="398"/>
      <c r="P735" s="398"/>
      <c r="Q735" s="398"/>
      <c r="R735" s="398"/>
      <c r="S735" s="398"/>
      <c r="T735" s="398"/>
      <c r="U735" s="398"/>
      <c r="V735" s="398"/>
      <c r="W735" s="398"/>
      <c r="X735" s="398"/>
      <c r="Y735" s="398"/>
      <c r="Z735" s="398"/>
    </row>
    <row r="736">
      <c r="A736" s="396"/>
      <c r="B736" s="397"/>
      <c r="C736" s="398"/>
      <c r="D736" s="398"/>
      <c r="E736" s="398"/>
      <c r="F736" s="398"/>
      <c r="G736" s="398"/>
      <c r="H736" s="398"/>
      <c r="I736" s="398"/>
      <c r="J736" s="398"/>
      <c r="K736" s="398"/>
      <c r="L736" s="398"/>
      <c r="M736" s="398"/>
      <c r="N736" s="398"/>
      <c r="O736" s="398"/>
      <c r="P736" s="398"/>
      <c r="Q736" s="398"/>
      <c r="R736" s="398"/>
      <c r="S736" s="398"/>
      <c r="T736" s="398"/>
      <c r="U736" s="398"/>
      <c r="V736" s="398"/>
      <c r="W736" s="398"/>
      <c r="X736" s="398"/>
      <c r="Y736" s="398"/>
      <c r="Z736" s="398"/>
    </row>
    <row r="737">
      <c r="A737" s="396"/>
      <c r="B737" s="397"/>
      <c r="C737" s="398"/>
      <c r="D737" s="398"/>
      <c r="E737" s="398"/>
      <c r="F737" s="398"/>
      <c r="G737" s="398"/>
      <c r="H737" s="398"/>
      <c r="I737" s="398"/>
      <c r="J737" s="398"/>
      <c r="K737" s="398"/>
      <c r="L737" s="398"/>
      <c r="M737" s="398"/>
      <c r="N737" s="398"/>
      <c r="O737" s="398"/>
      <c r="P737" s="398"/>
      <c r="Q737" s="398"/>
      <c r="R737" s="398"/>
      <c r="S737" s="398"/>
      <c r="T737" s="398"/>
      <c r="U737" s="398"/>
      <c r="V737" s="398"/>
      <c r="W737" s="398"/>
      <c r="X737" s="398"/>
      <c r="Y737" s="398"/>
      <c r="Z737" s="398"/>
    </row>
    <row r="738">
      <c r="A738" s="396"/>
      <c r="B738" s="397"/>
      <c r="C738" s="398"/>
      <c r="D738" s="398"/>
      <c r="E738" s="398"/>
      <c r="F738" s="398"/>
      <c r="G738" s="398"/>
      <c r="H738" s="398"/>
      <c r="I738" s="398"/>
      <c r="J738" s="398"/>
      <c r="K738" s="398"/>
      <c r="L738" s="398"/>
      <c r="M738" s="398"/>
      <c r="N738" s="398"/>
      <c r="O738" s="398"/>
      <c r="P738" s="398"/>
      <c r="Q738" s="398"/>
      <c r="R738" s="398"/>
      <c r="S738" s="398"/>
      <c r="T738" s="398"/>
      <c r="U738" s="398"/>
      <c r="V738" s="398"/>
      <c r="W738" s="398"/>
      <c r="X738" s="398"/>
      <c r="Y738" s="398"/>
      <c r="Z738" s="398"/>
    </row>
    <row r="739">
      <c r="A739" s="396"/>
      <c r="B739" s="397"/>
      <c r="C739" s="398"/>
      <c r="D739" s="398"/>
      <c r="E739" s="398"/>
      <c r="F739" s="398"/>
      <c r="G739" s="398"/>
      <c r="H739" s="398"/>
      <c r="I739" s="398"/>
      <c r="J739" s="398"/>
      <c r="K739" s="398"/>
      <c r="L739" s="398"/>
      <c r="M739" s="398"/>
      <c r="N739" s="398"/>
      <c r="O739" s="398"/>
      <c r="P739" s="398"/>
      <c r="Q739" s="398"/>
      <c r="R739" s="398"/>
      <c r="S739" s="398"/>
      <c r="T739" s="398"/>
      <c r="U739" s="398"/>
      <c r="V739" s="398"/>
      <c r="W739" s="398"/>
      <c r="X739" s="398"/>
      <c r="Y739" s="398"/>
      <c r="Z739" s="398"/>
    </row>
    <row r="740">
      <c r="A740" s="396"/>
      <c r="B740" s="397"/>
      <c r="C740" s="398"/>
      <c r="D740" s="398"/>
      <c r="E740" s="398"/>
      <c r="F740" s="398"/>
      <c r="G740" s="398"/>
      <c r="H740" s="398"/>
      <c r="I740" s="398"/>
      <c r="J740" s="398"/>
      <c r="K740" s="398"/>
      <c r="L740" s="398"/>
      <c r="M740" s="398"/>
      <c r="N740" s="398"/>
      <c r="O740" s="398"/>
      <c r="P740" s="398"/>
      <c r="Q740" s="398"/>
      <c r="R740" s="398"/>
      <c r="S740" s="398"/>
      <c r="T740" s="398"/>
      <c r="U740" s="398"/>
      <c r="V740" s="398"/>
      <c r="W740" s="398"/>
      <c r="X740" s="398"/>
      <c r="Y740" s="398"/>
      <c r="Z740" s="398"/>
    </row>
    <row r="741">
      <c r="A741" s="396"/>
      <c r="B741" s="397"/>
      <c r="C741" s="398"/>
      <c r="D741" s="398"/>
      <c r="E741" s="398"/>
      <c r="F741" s="398"/>
      <c r="G741" s="398"/>
      <c r="H741" s="398"/>
      <c r="I741" s="398"/>
      <c r="J741" s="398"/>
      <c r="K741" s="398"/>
      <c r="L741" s="398"/>
      <c r="M741" s="398"/>
      <c r="N741" s="398"/>
      <c r="O741" s="398"/>
      <c r="P741" s="398"/>
      <c r="Q741" s="398"/>
      <c r="R741" s="398"/>
      <c r="S741" s="398"/>
      <c r="T741" s="398"/>
      <c r="U741" s="398"/>
      <c r="V741" s="398"/>
      <c r="W741" s="398"/>
      <c r="X741" s="398"/>
      <c r="Y741" s="398"/>
      <c r="Z741" s="398"/>
    </row>
    <row r="742">
      <c r="A742" s="396"/>
      <c r="B742" s="397"/>
      <c r="C742" s="398"/>
      <c r="D742" s="398"/>
      <c r="E742" s="398"/>
      <c r="F742" s="398"/>
      <c r="G742" s="398"/>
      <c r="H742" s="398"/>
      <c r="I742" s="398"/>
      <c r="J742" s="398"/>
      <c r="K742" s="398"/>
      <c r="L742" s="398"/>
      <c r="M742" s="398"/>
      <c r="N742" s="398"/>
      <c r="O742" s="398"/>
      <c r="P742" s="398"/>
      <c r="Q742" s="398"/>
      <c r="R742" s="398"/>
      <c r="S742" s="398"/>
      <c r="T742" s="398"/>
      <c r="U742" s="398"/>
      <c r="V742" s="398"/>
      <c r="W742" s="398"/>
      <c r="X742" s="398"/>
      <c r="Y742" s="398"/>
      <c r="Z742" s="398"/>
    </row>
    <row r="743">
      <c r="A743" s="396"/>
      <c r="B743" s="397"/>
      <c r="C743" s="398"/>
      <c r="D743" s="398"/>
      <c r="E743" s="398"/>
      <c r="F743" s="398"/>
      <c r="G743" s="398"/>
      <c r="H743" s="398"/>
      <c r="I743" s="398"/>
      <c r="J743" s="398"/>
      <c r="K743" s="398"/>
      <c r="L743" s="398"/>
      <c r="M743" s="398"/>
      <c r="N743" s="398"/>
      <c r="O743" s="398"/>
      <c r="P743" s="398"/>
      <c r="Q743" s="398"/>
      <c r="R743" s="398"/>
      <c r="S743" s="398"/>
      <c r="T743" s="398"/>
      <c r="U743" s="398"/>
      <c r="V743" s="398"/>
      <c r="W743" s="398"/>
      <c r="X743" s="398"/>
      <c r="Y743" s="398"/>
      <c r="Z743" s="398"/>
    </row>
    <row r="744">
      <c r="A744" s="396"/>
      <c r="B744" s="397"/>
      <c r="C744" s="398"/>
      <c r="D744" s="398"/>
      <c r="E744" s="398"/>
      <c r="F744" s="398"/>
      <c r="G744" s="398"/>
      <c r="H744" s="398"/>
      <c r="I744" s="398"/>
      <c r="J744" s="398"/>
      <c r="K744" s="398"/>
      <c r="L744" s="398"/>
      <c r="M744" s="398"/>
      <c r="N744" s="398"/>
      <c r="O744" s="398"/>
      <c r="P744" s="398"/>
      <c r="Q744" s="398"/>
      <c r="R744" s="398"/>
      <c r="S744" s="398"/>
      <c r="T744" s="398"/>
      <c r="U744" s="398"/>
      <c r="V744" s="398"/>
      <c r="W744" s="398"/>
      <c r="X744" s="398"/>
      <c r="Y744" s="398"/>
      <c r="Z744" s="398"/>
    </row>
    <row r="745">
      <c r="A745" s="396"/>
      <c r="B745" s="397"/>
      <c r="C745" s="398"/>
      <c r="D745" s="398"/>
      <c r="E745" s="398"/>
      <c r="F745" s="398"/>
      <c r="G745" s="398"/>
      <c r="H745" s="398"/>
      <c r="I745" s="398"/>
      <c r="J745" s="398"/>
      <c r="K745" s="398"/>
      <c r="L745" s="398"/>
      <c r="M745" s="398"/>
      <c r="N745" s="398"/>
      <c r="O745" s="398"/>
      <c r="P745" s="398"/>
      <c r="Q745" s="398"/>
      <c r="R745" s="398"/>
      <c r="S745" s="398"/>
      <c r="T745" s="398"/>
      <c r="U745" s="398"/>
      <c r="V745" s="398"/>
      <c r="W745" s="398"/>
      <c r="X745" s="398"/>
      <c r="Y745" s="398"/>
      <c r="Z745" s="398"/>
    </row>
    <row r="746">
      <c r="A746" s="396"/>
      <c r="B746" s="397"/>
      <c r="C746" s="398"/>
      <c r="D746" s="398"/>
      <c r="E746" s="398"/>
      <c r="F746" s="398"/>
      <c r="G746" s="398"/>
      <c r="H746" s="398"/>
      <c r="I746" s="398"/>
      <c r="J746" s="398"/>
      <c r="K746" s="398"/>
      <c r="L746" s="398"/>
      <c r="M746" s="398"/>
      <c r="N746" s="398"/>
      <c r="O746" s="398"/>
      <c r="P746" s="398"/>
      <c r="Q746" s="398"/>
      <c r="R746" s="398"/>
      <c r="S746" s="398"/>
      <c r="T746" s="398"/>
      <c r="U746" s="398"/>
      <c r="V746" s="398"/>
      <c r="W746" s="398"/>
      <c r="X746" s="398"/>
      <c r="Y746" s="398"/>
      <c r="Z746" s="398"/>
    </row>
    <row r="747">
      <c r="A747" s="396"/>
      <c r="B747" s="397"/>
      <c r="C747" s="398"/>
      <c r="D747" s="398"/>
      <c r="E747" s="398"/>
      <c r="F747" s="398"/>
      <c r="G747" s="398"/>
      <c r="H747" s="398"/>
      <c r="I747" s="398"/>
      <c r="J747" s="398"/>
      <c r="K747" s="398"/>
      <c r="L747" s="398"/>
      <c r="M747" s="398"/>
      <c r="N747" s="398"/>
      <c r="O747" s="398"/>
      <c r="P747" s="398"/>
      <c r="Q747" s="398"/>
      <c r="R747" s="398"/>
      <c r="S747" s="398"/>
      <c r="T747" s="398"/>
      <c r="U747" s="398"/>
      <c r="V747" s="398"/>
      <c r="W747" s="398"/>
      <c r="X747" s="398"/>
      <c r="Y747" s="398"/>
      <c r="Z747" s="398"/>
    </row>
    <row r="748">
      <c r="A748" s="396"/>
      <c r="B748" s="397"/>
      <c r="C748" s="398"/>
      <c r="D748" s="398"/>
      <c r="E748" s="398"/>
      <c r="F748" s="398"/>
      <c r="G748" s="398"/>
      <c r="H748" s="398"/>
      <c r="I748" s="398"/>
      <c r="J748" s="398"/>
      <c r="K748" s="398"/>
      <c r="L748" s="398"/>
      <c r="M748" s="398"/>
      <c r="N748" s="398"/>
      <c r="O748" s="398"/>
      <c r="P748" s="398"/>
      <c r="Q748" s="398"/>
      <c r="R748" s="398"/>
      <c r="S748" s="398"/>
      <c r="T748" s="398"/>
      <c r="U748" s="398"/>
      <c r="V748" s="398"/>
      <c r="W748" s="398"/>
      <c r="X748" s="398"/>
      <c r="Y748" s="398"/>
      <c r="Z748" s="398"/>
    </row>
    <row r="749">
      <c r="A749" s="396"/>
      <c r="B749" s="397"/>
      <c r="C749" s="398"/>
      <c r="D749" s="398"/>
      <c r="E749" s="398"/>
      <c r="F749" s="398"/>
      <c r="G749" s="398"/>
      <c r="H749" s="398"/>
      <c r="I749" s="398"/>
      <c r="J749" s="398"/>
      <c r="K749" s="398"/>
      <c r="L749" s="398"/>
      <c r="M749" s="398"/>
      <c r="N749" s="398"/>
      <c r="O749" s="398"/>
      <c r="P749" s="398"/>
      <c r="Q749" s="398"/>
      <c r="R749" s="398"/>
      <c r="S749" s="398"/>
      <c r="T749" s="398"/>
      <c r="U749" s="398"/>
      <c r="V749" s="398"/>
      <c r="W749" s="398"/>
      <c r="X749" s="398"/>
      <c r="Y749" s="398"/>
      <c r="Z749" s="398"/>
    </row>
    <row r="750">
      <c r="A750" s="396"/>
      <c r="B750" s="397"/>
      <c r="C750" s="398"/>
      <c r="D750" s="398"/>
      <c r="E750" s="398"/>
      <c r="F750" s="398"/>
      <c r="G750" s="398"/>
      <c r="H750" s="398"/>
      <c r="I750" s="398"/>
      <c r="J750" s="398"/>
      <c r="K750" s="398"/>
      <c r="L750" s="398"/>
      <c r="M750" s="398"/>
      <c r="N750" s="398"/>
      <c r="O750" s="398"/>
      <c r="P750" s="398"/>
      <c r="Q750" s="398"/>
      <c r="R750" s="398"/>
      <c r="S750" s="398"/>
      <c r="T750" s="398"/>
      <c r="U750" s="398"/>
      <c r="V750" s="398"/>
      <c r="W750" s="398"/>
      <c r="X750" s="398"/>
      <c r="Y750" s="398"/>
      <c r="Z750" s="398"/>
    </row>
    <row r="751">
      <c r="A751" s="396"/>
      <c r="B751" s="397"/>
      <c r="C751" s="398"/>
      <c r="D751" s="398"/>
      <c r="E751" s="398"/>
      <c r="F751" s="398"/>
      <c r="G751" s="398"/>
      <c r="H751" s="398"/>
      <c r="I751" s="398"/>
      <c r="J751" s="398"/>
      <c r="K751" s="398"/>
      <c r="L751" s="398"/>
      <c r="M751" s="398"/>
      <c r="N751" s="398"/>
      <c r="O751" s="398"/>
      <c r="P751" s="398"/>
      <c r="Q751" s="398"/>
      <c r="R751" s="398"/>
      <c r="S751" s="398"/>
      <c r="T751" s="398"/>
      <c r="U751" s="398"/>
      <c r="V751" s="398"/>
      <c r="W751" s="398"/>
      <c r="X751" s="398"/>
      <c r="Y751" s="398"/>
      <c r="Z751" s="398"/>
    </row>
    <row r="752">
      <c r="A752" s="396"/>
      <c r="B752" s="397"/>
      <c r="C752" s="398"/>
      <c r="D752" s="398"/>
      <c r="E752" s="398"/>
      <c r="F752" s="398"/>
      <c r="G752" s="398"/>
      <c r="H752" s="398"/>
      <c r="I752" s="398"/>
      <c r="J752" s="398"/>
      <c r="K752" s="398"/>
      <c r="L752" s="398"/>
      <c r="M752" s="398"/>
      <c r="N752" s="398"/>
      <c r="O752" s="398"/>
      <c r="P752" s="398"/>
      <c r="Q752" s="398"/>
      <c r="R752" s="398"/>
      <c r="S752" s="398"/>
      <c r="T752" s="398"/>
      <c r="U752" s="398"/>
      <c r="V752" s="398"/>
      <c r="W752" s="398"/>
      <c r="X752" s="398"/>
      <c r="Y752" s="398"/>
      <c r="Z752" s="398"/>
    </row>
    <row r="753">
      <c r="A753" s="396"/>
      <c r="B753" s="397"/>
      <c r="C753" s="398"/>
      <c r="D753" s="398"/>
      <c r="E753" s="398"/>
      <c r="F753" s="398"/>
      <c r="G753" s="398"/>
      <c r="H753" s="398"/>
      <c r="I753" s="398"/>
      <c r="J753" s="398"/>
      <c r="K753" s="398"/>
      <c r="L753" s="398"/>
      <c r="M753" s="398"/>
      <c r="N753" s="398"/>
      <c r="O753" s="398"/>
      <c r="P753" s="398"/>
      <c r="Q753" s="398"/>
      <c r="R753" s="398"/>
      <c r="S753" s="398"/>
      <c r="T753" s="398"/>
      <c r="U753" s="398"/>
      <c r="V753" s="398"/>
      <c r="W753" s="398"/>
      <c r="X753" s="398"/>
      <c r="Y753" s="398"/>
      <c r="Z753" s="398"/>
    </row>
    <row r="754">
      <c r="A754" s="396"/>
      <c r="B754" s="397"/>
      <c r="C754" s="398"/>
      <c r="D754" s="398"/>
      <c r="E754" s="398"/>
      <c r="F754" s="398"/>
      <c r="G754" s="398"/>
      <c r="H754" s="398"/>
      <c r="I754" s="398"/>
      <c r="J754" s="398"/>
      <c r="K754" s="398"/>
      <c r="L754" s="398"/>
      <c r="M754" s="398"/>
      <c r="N754" s="398"/>
      <c r="O754" s="398"/>
      <c r="P754" s="398"/>
      <c r="Q754" s="398"/>
      <c r="R754" s="398"/>
      <c r="S754" s="398"/>
      <c r="T754" s="398"/>
      <c r="U754" s="398"/>
      <c r="V754" s="398"/>
      <c r="W754" s="398"/>
      <c r="X754" s="398"/>
      <c r="Y754" s="398"/>
      <c r="Z754" s="398"/>
    </row>
    <row r="755">
      <c r="A755" s="396"/>
      <c r="B755" s="397"/>
      <c r="C755" s="398"/>
      <c r="D755" s="398"/>
      <c r="E755" s="398"/>
      <c r="F755" s="398"/>
      <c r="G755" s="398"/>
      <c r="H755" s="398"/>
      <c r="I755" s="398"/>
      <c r="J755" s="398"/>
      <c r="K755" s="398"/>
      <c r="L755" s="398"/>
      <c r="M755" s="398"/>
      <c r="N755" s="398"/>
      <c r="O755" s="398"/>
      <c r="P755" s="398"/>
      <c r="Q755" s="398"/>
      <c r="R755" s="398"/>
      <c r="S755" s="398"/>
      <c r="T755" s="398"/>
      <c r="U755" s="398"/>
      <c r="V755" s="398"/>
      <c r="W755" s="398"/>
      <c r="X755" s="398"/>
      <c r="Y755" s="398"/>
      <c r="Z755" s="398"/>
    </row>
    <row r="756">
      <c r="A756" s="396"/>
      <c r="B756" s="397"/>
      <c r="C756" s="398"/>
      <c r="D756" s="398"/>
      <c r="E756" s="398"/>
      <c r="F756" s="398"/>
      <c r="G756" s="398"/>
      <c r="H756" s="398"/>
      <c r="I756" s="398"/>
      <c r="J756" s="398"/>
      <c r="K756" s="398"/>
      <c r="L756" s="398"/>
      <c r="M756" s="398"/>
      <c r="N756" s="398"/>
      <c r="O756" s="398"/>
      <c r="P756" s="398"/>
      <c r="Q756" s="398"/>
      <c r="R756" s="398"/>
      <c r="S756" s="398"/>
      <c r="T756" s="398"/>
      <c r="U756" s="398"/>
      <c r="V756" s="398"/>
      <c r="W756" s="398"/>
      <c r="X756" s="398"/>
      <c r="Y756" s="398"/>
      <c r="Z756" s="398"/>
    </row>
    <row r="757">
      <c r="A757" s="396"/>
      <c r="B757" s="397"/>
      <c r="C757" s="398"/>
      <c r="D757" s="398"/>
      <c r="E757" s="398"/>
      <c r="F757" s="398"/>
      <c r="G757" s="398"/>
      <c r="H757" s="398"/>
      <c r="I757" s="398"/>
      <c r="J757" s="398"/>
      <c r="K757" s="398"/>
      <c r="L757" s="398"/>
      <c r="M757" s="398"/>
      <c r="N757" s="398"/>
      <c r="O757" s="398"/>
      <c r="P757" s="398"/>
      <c r="Q757" s="398"/>
      <c r="R757" s="398"/>
      <c r="S757" s="398"/>
      <c r="T757" s="398"/>
      <c r="U757" s="398"/>
      <c r="V757" s="398"/>
      <c r="W757" s="398"/>
      <c r="X757" s="398"/>
      <c r="Y757" s="398"/>
      <c r="Z757" s="398"/>
    </row>
    <row r="758">
      <c r="A758" s="396"/>
      <c r="B758" s="397"/>
      <c r="C758" s="398"/>
      <c r="D758" s="398"/>
      <c r="E758" s="398"/>
      <c r="F758" s="398"/>
      <c r="G758" s="398"/>
      <c r="H758" s="398"/>
      <c r="I758" s="398"/>
      <c r="J758" s="398"/>
      <c r="K758" s="398"/>
      <c r="L758" s="398"/>
      <c r="M758" s="398"/>
      <c r="N758" s="398"/>
      <c r="O758" s="398"/>
      <c r="P758" s="398"/>
      <c r="Q758" s="398"/>
      <c r="R758" s="398"/>
      <c r="S758" s="398"/>
      <c r="T758" s="398"/>
      <c r="U758" s="398"/>
      <c r="V758" s="398"/>
      <c r="W758" s="398"/>
      <c r="X758" s="398"/>
      <c r="Y758" s="398"/>
      <c r="Z758" s="398"/>
    </row>
    <row r="759">
      <c r="A759" s="396"/>
      <c r="B759" s="397"/>
      <c r="C759" s="398"/>
      <c r="D759" s="398"/>
      <c r="E759" s="398"/>
      <c r="F759" s="398"/>
      <c r="G759" s="398"/>
      <c r="H759" s="398"/>
      <c r="I759" s="398"/>
      <c r="J759" s="398"/>
      <c r="K759" s="398"/>
      <c r="L759" s="398"/>
      <c r="M759" s="398"/>
      <c r="N759" s="398"/>
      <c r="O759" s="398"/>
      <c r="P759" s="398"/>
      <c r="Q759" s="398"/>
      <c r="R759" s="398"/>
      <c r="S759" s="398"/>
      <c r="T759" s="398"/>
      <c r="U759" s="398"/>
      <c r="V759" s="398"/>
      <c r="W759" s="398"/>
      <c r="X759" s="398"/>
      <c r="Y759" s="398"/>
      <c r="Z759" s="398"/>
    </row>
    <row r="760">
      <c r="A760" s="396"/>
      <c r="B760" s="397"/>
      <c r="C760" s="398"/>
      <c r="D760" s="398"/>
      <c r="E760" s="398"/>
      <c r="F760" s="398"/>
      <c r="G760" s="398"/>
      <c r="H760" s="398"/>
      <c r="I760" s="398"/>
      <c r="J760" s="398"/>
      <c r="K760" s="398"/>
      <c r="L760" s="398"/>
      <c r="M760" s="398"/>
      <c r="N760" s="398"/>
      <c r="O760" s="398"/>
      <c r="P760" s="398"/>
      <c r="Q760" s="398"/>
      <c r="R760" s="398"/>
      <c r="S760" s="398"/>
      <c r="T760" s="398"/>
      <c r="U760" s="398"/>
      <c r="V760" s="398"/>
      <c r="W760" s="398"/>
      <c r="X760" s="398"/>
      <c r="Y760" s="398"/>
      <c r="Z760" s="398"/>
    </row>
    <row r="761">
      <c r="A761" s="396"/>
      <c r="B761" s="397"/>
      <c r="C761" s="398"/>
      <c r="D761" s="398"/>
      <c r="E761" s="398"/>
      <c r="F761" s="398"/>
      <c r="G761" s="398"/>
      <c r="H761" s="398"/>
      <c r="I761" s="398"/>
      <c r="J761" s="398"/>
      <c r="K761" s="398"/>
      <c r="L761" s="398"/>
      <c r="M761" s="398"/>
      <c r="N761" s="398"/>
      <c r="O761" s="398"/>
      <c r="P761" s="398"/>
      <c r="Q761" s="398"/>
      <c r="R761" s="398"/>
      <c r="S761" s="398"/>
      <c r="T761" s="398"/>
      <c r="U761" s="398"/>
      <c r="V761" s="398"/>
      <c r="W761" s="398"/>
      <c r="X761" s="398"/>
      <c r="Y761" s="398"/>
      <c r="Z761" s="398"/>
    </row>
    <row r="762">
      <c r="A762" s="396"/>
      <c r="B762" s="397"/>
      <c r="C762" s="398"/>
      <c r="D762" s="398"/>
      <c r="E762" s="398"/>
      <c r="F762" s="398"/>
      <c r="G762" s="398"/>
      <c r="H762" s="398"/>
      <c r="I762" s="398"/>
      <c r="J762" s="398"/>
      <c r="K762" s="398"/>
      <c r="L762" s="398"/>
      <c r="M762" s="398"/>
      <c r="N762" s="398"/>
      <c r="O762" s="398"/>
      <c r="P762" s="398"/>
      <c r="Q762" s="398"/>
      <c r="R762" s="398"/>
      <c r="S762" s="398"/>
      <c r="T762" s="398"/>
      <c r="U762" s="398"/>
      <c r="V762" s="398"/>
      <c r="W762" s="398"/>
      <c r="X762" s="398"/>
      <c r="Y762" s="398"/>
      <c r="Z762" s="398"/>
    </row>
    <row r="763">
      <c r="A763" s="396"/>
      <c r="B763" s="397"/>
      <c r="C763" s="398"/>
      <c r="D763" s="398"/>
      <c r="E763" s="398"/>
      <c r="F763" s="398"/>
      <c r="G763" s="398"/>
      <c r="H763" s="398"/>
      <c r="I763" s="398"/>
      <c r="J763" s="398"/>
      <c r="K763" s="398"/>
      <c r="L763" s="398"/>
      <c r="M763" s="398"/>
      <c r="N763" s="398"/>
      <c r="O763" s="398"/>
      <c r="P763" s="398"/>
      <c r="Q763" s="398"/>
      <c r="R763" s="398"/>
      <c r="S763" s="398"/>
      <c r="T763" s="398"/>
      <c r="U763" s="398"/>
      <c r="V763" s="398"/>
      <c r="W763" s="398"/>
      <c r="X763" s="398"/>
      <c r="Y763" s="398"/>
      <c r="Z763" s="398"/>
    </row>
    <row r="764">
      <c r="A764" s="396"/>
      <c r="B764" s="397"/>
      <c r="C764" s="398"/>
      <c r="D764" s="398"/>
      <c r="E764" s="398"/>
      <c r="F764" s="398"/>
      <c r="G764" s="398"/>
      <c r="H764" s="398"/>
      <c r="I764" s="398"/>
      <c r="J764" s="398"/>
      <c r="K764" s="398"/>
      <c r="L764" s="398"/>
      <c r="M764" s="398"/>
      <c r="N764" s="398"/>
      <c r="O764" s="398"/>
      <c r="P764" s="398"/>
      <c r="Q764" s="398"/>
      <c r="R764" s="398"/>
      <c r="S764" s="398"/>
      <c r="T764" s="398"/>
      <c r="U764" s="398"/>
      <c r="V764" s="398"/>
      <c r="W764" s="398"/>
      <c r="X764" s="398"/>
      <c r="Y764" s="398"/>
      <c r="Z764" s="398"/>
    </row>
    <row r="765">
      <c r="A765" s="396"/>
      <c r="B765" s="397"/>
      <c r="C765" s="398"/>
      <c r="D765" s="398"/>
      <c r="E765" s="398"/>
      <c r="F765" s="398"/>
      <c r="G765" s="398"/>
      <c r="H765" s="398"/>
      <c r="I765" s="398"/>
      <c r="J765" s="398"/>
      <c r="K765" s="398"/>
      <c r="L765" s="398"/>
      <c r="M765" s="398"/>
      <c r="N765" s="398"/>
      <c r="O765" s="398"/>
      <c r="P765" s="398"/>
      <c r="Q765" s="398"/>
      <c r="R765" s="398"/>
      <c r="S765" s="398"/>
      <c r="T765" s="398"/>
      <c r="U765" s="398"/>
      <c r="V765" s="398"/>
      <c r="W765" s="398"/>
      <c r="X765" s="398"/>
      <c r="Y765" s="398"/>
      <c r="Z765" s="398"/>
    </row>
    <row r="766">
      <c r="A766" s="396"/>
      <c r="B766" s="397"/>
      <c r="C766" s="398"/>
      <c r="D766" s="398"/>
      <c r="E766" s="398"/>
      <c r="F766" s="398"/>
      <c r="G766" s="398"/>
      <c r="H766" s="398"/>
      <c r="I766" s="398"/>
      <c r="J766" s="398"/>
      <c r="K766" s="398"/>
      <c r="L766" s="398"/>
      <c r="M766" s="398"/>
      <c r="N766" s="398"/>
      <c r="O766" s="398"/>
      <c r="P766" s="398"/>
      <c r="Q766" s="398"/>
      <c r="R766" s="398"/>
      <c r="S766" s="398"/>
      <c r="T766" s="398"/>
      <c r="U766" s="398"/>
      <c r="V766" s="398"/>
      <c r="W766" s="398"/>
      <c r="X766" s="398"/>
      <c r="Y766" s="398"/>
      <c r="Z766" s="398"/>
    </row>
    <row r="767">
      <c r="A767" s="396"/>
      <c r="B767" s="397"/>
      <c r="C767" s="398"/>
      <c r="D767" s="398"/>
      <c r="E767" s="398"/>
      <c r="F767" s="398"/>
      <c r="G767" s="398"/>
      <c r="H767" s="398"/>
      <c r="I767" s="398"/>
      <c r="J767" s="398"/>
      <c r="K767" s="398"/>
      <c r="L767" s="398"/>
      <c r="M767" s="398"/>
      <c r="N767" s="398"/>
      <c r="O767" s="398"/>
      <c r="P767" s="398"/>
      <c r="Q767" s="398"/>
      <c r="R767" s="398"/>
      <c r="S767" s="398"/>
      <c r="T767" s="398"/>
      <c r="U767" s="398"/>
      <c r="V767" s="398"/>
      <c r="W767" s="398"/>
      <c r="X767" s="398"/>
      <c r="Y767" s="398"/>
      <c r="Z767" s="398"/>
    </row>
    <row r="768">
      <c r="A768" s="396"/>
      <c r="B768" s="397"/>
      <c r="C768" s="398"/>
      <c r="D768" s="398"/>
      <c r="E768" s="398"/>
      <c r="F768" s="398"/>
      <c r="G768" s="398"/>
      <c r="H768" s="398"/>
      <c r="I768" s="398"/>
      <c r="J768" s="398"/>
      <c r="K768" s="398"/>
      <c r="L768" s="398"/>
      <c r="M768" s="398"/>
      <c r="N768" s="398"/>
      <c r="O768" s="398"/>
      <c r="P768" s="398"/>
      <c r="Q768" s="398"/>
      <c r="R768" s="398"/>
      <c r="S768" s="398"/>
      <c r="T768" s="398"/>
      <c r="U768" s="398"/>
      <c r="V768" s="398"/>
      <c r="W768" s="398"/>
      <c r="X768" s="398"/>
      <c r="Y768" s="398"/>
      <c r="Z768" s="398"/>
    </row>
    <row r="769">
      <c r="A769" s="396"/>
      <c r="B769" s="397"/>
      <c r="C769" s="398"/>
      <c r="D769" s="398"/>
      <c r="E769" s="398"/>
      <c r="F769" s="398"/>
      <c r="G769" s="398"/>
      <c r="H769" s="398"/>
      <c r="I769" s="398"/>
      <c r="J769" s="398"/>
      <c r="K769" s="398"/>
      <c r="L769" s="398"/>
      <c r="M769" s="398"/>
      <c r="N769" s="398"/>
      <c r="O769" s="398"/>
      <c r="P769" s="398"/>
      <c r="Q769" s="398"/>
      <c r="R769" s="398"/>
      <c r="S769" s="398"/>
      <c r="T769" s="398"/>
      <c r="U769" s="398"/>
      <c r="V769" s="398"/>
      <c r="W769" s="398"/>
      <c r="X769" s="398"/>
      <c r="Y769" s="398"/>
      <c r="Z769" s="398"/>
    </row>
    <row r="770">
      <c r="A770" s="396"/>
      <c r="B770" s="397"/>
      <c r="C770" s="398"/>
      <c r="D770" s="398"/>
      <c r="E770" s="398"/>
      <c r="F770" s="398"/>
      <c r="G770" s="398"/>
      <c r="H770" s="398"/>
      <c r="I770" s="398"/>
      <c r="J770" s="398"/>
      <c r="K770" s="398"/>
      <c r="L770" s="398"/>
      <c r="M770" s="398"/>
      <c r="N770" s="398"/>
      <c r="O770" s="398"/>
      <c r="P770" s="398"/>
      <c r="Q770" s="398"/>
      <c r="R770" s="398"/>
      <c r="S770" s="398"/>
      <c r="T770" s="398"/>
      <c r="U770" s="398"/>
      <c r="V770" s="398"/>
      <c r="W770" s="398"/>
      <c r="X770" s="398"/>
      <c r="Y770" s="398"/>
      <c r="Z770" s="398"/>
    </row>
    <row r="771">
      <c r="A771" s="396"/>
      <c r="B771" s="397"/>
      <c r="C771" s="398"/>
      <c r="D771" s="398"/>
      <c r="E771" s="398"/>
      <c r="F771" s="398"/>
      <c r="G771" s="398"/>
      <c r="H771" s="398"/>
      <c r="I771" s="398"/>
      <c r="J771" s="398"/>
      <c r="K771" s="398"/>
      <c r="L771" s="398"/>
      <c r="M771" s="398"/>
      <c r="N771" s="398"/>
      <c r="O771" s="398"/>
      <c r="P771" s="398"/>
      <c r="Q771" s="398"/>
      <c r="R771" s="398"/>
      <c r="S771" s="398"/>
      <c r="T771" s="398"/>
      <c r="U771" s="398"/>
      <c r="V771" s="398"/>
      <c r="W771" s="398"/>
      <c r="X771" s="398"/>
      <c r="Y771" s="398"/>
      <c r="Z771" s="398"/>
    </row>
    <row r="772">
      <c r="A772" s="396"/>
      <c r="B772" s="397"/>
      <c r="C772" s="398"/>
      <c r="D772" s="398"/>
      <c r="E772" s="398"/>
      <c r="F772" s="398"/>
      <c r="G772" s="398"/>
      <c r="H772" s="398"/>
      <c r="I772" s="398"/>
      <c r="J772" s="398"/>
      <c r="K772" s="398"/>
      <c r="L772" s="398"/>
      <c r="M772" s="398"/>
      <c r="N772" s="398"/>
      <c r="O772" s="398"/>
      <c r="P772" s="398"/>
      <c r="Q772" s="398"/>
      <c r="R772" s="398"/>
      <c r="S772" s="398"/>
      <c r="T772" s="398"/>
      <c r="U772" s="398"/>
      <c r="V772" s="398"/>
      <c r="W772" s="398"/>
      <c r="X772" s="398"/>
      <c r="Y772" s="398"/>
      <c r="Z772" s="398"/>
    </row>
    <row r="773">
      <c r="A773" s="396"/>
      <c r="B773" s="397"/>
      <c r="C773" s="398"/>
      <c r="D773" s="398"/>
      <c r="E773" s="398"/>
      <c r="F773" s="398"/>
      <c r="G773" s="398"/>
      <c r="H773" s="398"/>
      <c r="I773" s="398"/>
      <c r="J773" s="398"/>
      <c r="K773" s="398"/>
      <c r="L773" s="398"/>
      <c r="M773" s="398"/>
      <c r="N773" s="398"/>
      <c r="O773" s="398"/>
      <c r="P773" s="398"/>
      <c r="Q773" s="398"/>
      <c r="R773" s="398"/>
      <c r="S773" s="398"/>
      <c r="T773" s="398"/>
      <c r="U773" s="398"/>
      <c r="V773" s="398"/>
      <c r="W773" s="398"/>
      <c r="X773" s="398"/>
      <c r="Y773" s="398"/>
      <c r="Z773" s="398"/>
    </row>
    <row r="774">
      <c r="A774" s="396"/>
      <c r="B774" s="397"/>
      <c r="C774" s="398"/>
      <c r="D774" s="398"/>
      <c r="E774" s="398"/>
      <c r="F774" s="398"/>
      <c r="G774" s="398"/>
      <c r="H774" s="398"/>
      <c r="I774" s="398"/>
      <c r="J774" s="398"/>
      <c r="K774" s="398"/>
      <c r="L774" s="398"/>
      <c r="M774" s="398"/>
      <c r="N774" s="398"/>
      <c r="O774" s="398"/>
      <c r="P774" s="398"/>
      <c r="Q774" s="398"/>
      <c r="R774" s="398"/>
      <c r="S774" s="398"/>
      <c r="T774" s="398"/>
      <c r="U774" s="398"/>
      <c r="V774" s="398"/>
      <c r="W774" s="398"/>
      <c r="X774" s="398"/>
      <c r="Y774" s="398"/>
      <c r="Z774" s="398"/>
    </row>
    <row r="775">
      <c r="A775" s="396"/>
      <c r="B775" s="397"/>
      <c r="C775" s="398"/>
      <c r="D775" s="398"/>
      <c r="E775" s="398"/>
      <c r="F775" s="398"/>
      <c r="G775" s="398"/>
      <c r="H775" s="398"/>
      <c r="I775" s="398"/>
      <c r="J775" s="398"/>
      <c r="K775" s="398"/>
      <c r="L775" s="398"/>
      <c r="M775" s="398"/>
      <c r="N775" s="398"/>
      <c r="O775" s="398"/>
      <c r="P775" s="398"/>
      <c r="Q775" s="398"/>
      <c r="R775" s="398"/>
      <c r="S775" s="398"/>
      <c r="T775" s="398"/>
      <c r="U775" s="398"/>
      <c r="V775" s="398"/>
      <c r="W775" s="398"/>
      <c r="X775" s="398"/>
      <c r="Y775" s="398"/>
      <c r="Z775" s="398"/>
    </row>
    <row r="776">
      <c r="A776" s="396"/>
      <c r="B776" s="397"/>
      <c r="C776" s="398"/>
      <c r="D776" s="398"/>
      <c r="E776" s="398"/>
      <c r="F776" s="398"/>
      <c r="G776" s="398"/>
      <c r="H776" s="398"/>
      <c r="I776" s="398"/>
      <c r="J776" s="398"/>
      <c r="K776" s="398"/>
      <c r="L776" s="398"/>
      <c r="M776" s="398"/>
      <c r="N776" s="398"/>
      <c r="O776" s="398"/>
      <c r="P776" s="398"/>
      <c r="Q776" s="398"/>
      <c r="R776" s="398"/>
      <c r="S776" s="398"/>
      <c r="T776" s="398"/>
      <c r="U776" s="398"/>
      <c r="V776" s="398"/>
      <c r="W776" s="398"/>
      <c r="X776" s="398"/>
      <c r="Y776" s="398"/>
      <c r="Z776" s="398"/>
    </row>
    <row r="777">
      <c r="A777" s="396"/>
      <c r="B777" s="397"/>
      <c r="C777" s="398"/>
      <c r="D777" s="398"/>
      <c r="E777" s="398"/>
      <c r="F777" s="398"/>
      <c r="G777" s="398"/>
      <c r="H777" s="398"/>
      <c r="I777" s="398"/>
      <c r="J777" s="398"/>
      <c r="K777" s="398"/>
      <c r="L777" s="398"/>
      <c r="M777" s="398"/>
      <c r="N777" s="398"/>
      <c r="O777" s="398"/>
      <c r="P777" s="398"/>
      <c r="Q777" s="398"/>
      <c r="R777" s="398"/>
      <c r="S777" s="398"/>
      <c r="T777" s="398"/>
      <c r="U777" s="398"/>
      <c r="V777" s="398"/>
      <c r="W777" s="398"/>
      <c r="X777" s="398"/>
      <c r="Y777" s="398"/>
      <c r="Z777" s="398"/>
    </row>
    <row r="778">
      <c r="A778" s="396"/>
      <c r="B778" s="397"/>
      <c r="C778" s="398"/>
      <c r="D778" s="398"/>
      <c r="E778" s="398"/>
      <c r="F778" s="398"/>
      <c r="G778" s="398"/>
      <c r="H778" s="398"/>
      <c r="I778" s="398"/>
      <c r="J778" s="398"/>
      <c r="K778" s="398"/>
      <c r="L778" s="398"/>
      <c r="M778" s="398"/>
      <c r="N778" s="398"/>
      <c r="O778" s="398"/>
      <c r="P778" s="398"/>
      <c r="Q778" s="398"/>
      <c r="R778" s="398"/>
      <c r="S778" s="398"/>
      <c r="T778" s="398"/>
      <c r="U778" s="398"/>
      <c r="V778" s="398"/>
      <c r="W778" s="398"/>
      <c r="X778" s="398"/>
      <c r="Y778" s="398"/>
      <c r="Z778" s="398"/>
    </row>
    <row r="779">
      <c r="A779" s="396"/>
      <c r="B779" s="397"/>
      <c r="C779" s="398"/>
      <c r="D779" s="398"/>
      <c r="E779" s="398"/>
      <c r="F779" s="398"/>
      <c r="G779" s="398"/>
      <c r="H779" s="398"/>
      <c r="I779" s="398"/>
      <c r="J779" s="398"/>
      <c r="K779" s="398"/>
      <c r="L779" s="398"/>
      <c r="M779" s="398"/>
      <c r="N779" s="398"/>
      <c r="O779" s="398"/>
      <c r="P779" s="398"/>
      <c r="Q779" s="398"/>
      <c r="R779" s="398"/>
      <c r="S779" s="398"/>
      <c r="T779" s="398"/>
      <c r="U779" s="398"/>
      <c r="V779" s="398"/>
      <c r="W779" s="398"/>
      <c r="X779" s="398"/>
      <c r="Y779" s="398"/>
      <c r="Z779" s="398"/>
    </row>
    <row r="780">
      <c r="A780" s="396"/>
      <c r="B780" s="397"/>
      <c r="C780" s="398"/>
      <c r="D780" s="398"/>
      <c r="E780" s="398"/>
      <c r="F780" s="398"/>
      <c r="G780" s="398"/>
      <c r="H780" s="398"/>
      <c r="I780" s="398"/>
      <c r="J780" s="398"/>
      <c r="K780" s="398"/>
      <c r="L780" s="398"/>
      <c r="M780" s="398"/>
      <c r="N780" s="398"/>
      <c r="O780" s="398"/>
      <c r="P780" s="398"/>
      <c r="Q780" s="398"/>
      <c r="R780" s="398"/>
      <c r="S780" s="398"/>
      <c r="T780" s="398"/>
      <c r="U780" s="398"/>
      <c r="V780" s="398"/>
      <c r="W780" s="398"/>
      <c r="X780" s="398"/>
      <c r="Y780" s="398"/>
      <c r="Z780" s="398"/>
    </row>
    <row r="781">
      <c r="A781" s="396"/>
      <c r="B781" s="397"/>
      <c r="C781" s="398"/>
      <c r="D781" s="398"/>
      <c r="E781" s="398"/>
      <c r="F781" s="398"/>
      <c r="G781" s="398"/>
      <c r="H781" s="398"/>
      <c r="I781" s="398"/>
      <c r="J781" s="398"/>
      <c r="K781" s="398"/>
      <c r="L781" s="398"/>
      <c r="M781" s="398"/>
      <c r="N781" s="398"/>
      <c r="O781" s="398"/>
      <c r="P781" s="398"/>
      <c r="Q781" s="398"/>
      <c r="R781" s="398"/>
      <c r="S781" s="398"/>
      <c r="T781" s="398"/>
      <c r="U781" s="398"/>
      <c r="V781" s="398"/>
      <c r="W781" s="398"/>
      <c r="X781" s="398"/>
      <c r="Y781" s="398"/>
      <c r="Z781" s="398"/>
    </row>
    <row r="782">
      <c r="A782" s="396"/>
      <c r="B782" s="397"/>
      <c r="C782" s="398"/>
      <c r="D782" s="398"/>
      <c r="E782" s="398"/>
      <c r="F782" s="398"/>
      <c r="G782" s="398"/>
      <c r="H782" s="398"/>
      <c r="I782" s="398"/>
      <c r="J782" s="398"/>
      <c r="K782" s="398"/>
      <c r="L782" s="398"/>
      <c r="M782" s="398"/>
      <c r="N782" s="398"/>
      <c r="O782" s="398"/>
      <c r="P782" s="398"/>
      <c r="Q782" s="398"/>
      <c r="R782" s="398"/>
      <c r="S782" s="398"/>
      <c r="T782" s="398"/>
      <c r="U782" s="398"/>
      <c r="V782" s="398"/>
      <c r="W782" s="398"/>
      <c r="X782" s="398"/>
      <c r="Y782" s="398"/>
      <c r="Z782" s="398"/>
    </row>
    <row r="783">
      <c r="A783" s="396"/>
      <c r="B783" s="397"/>
      <c r="C783" s="398"/>
      <c r="D783" s="398"/>
      <c r="E783" s="398"/>
      <c r="F783" s="398"/>
      <c r="G783" s="398"/>
      <c r="H783" s="398"/>
      <c r="I783" s="398"/>
      <c r="J783" s="398"/>
      <c r="K783" s="398"/>
      <c r="L783" s="398"/>
      <c r="M783" s="398"/>
      <c r="N783" s="398"/>
      <c r="O783" s="398"/>
      <c r="P783" s="398"/>
      <c r="Q783" s="398"/>
      <c r="R783" s="398"/>
      <c r="S783" s="398"/>
      <c r="T783" s="398"/>
      <c r="U783" s="398"/>
      <c r="V783" s="398"/>
      <c r="W783" s="398"/>
      <c r="X783" s="398"/>
      <c r="Y783" s="398"/>
      <c r="Z783" s="398"/>
    </row>
    <row r="784">
      <c r="A784" s="396"/>
      <c r="B784" s="397"/>
      <c r="C784" s="398"/>
      <c r="D784" s="398"/>
      <c r="E784" s="398"/>
      <c r="F784" s="398"/>
      <c r="G784" s="398"/>
      <c r="H784" s="398"/>
      <c r="I784" s="398"/>
      <c r="J784" s="398"/>
      <c r="K784" s="398"/>
      <c r="L784" s="398"/>
      <c r="M784" s="398"/>
      <c r="N784" s="398"/>
      <c r="O784" s="398"/>
      <c r="P784" s="398"/>
      <c r="Q784" s="398"/>
      <c r="R784" s="398"/>
      <c r="S784" s="398"/>
      <c r="T784" s="398"/>
      <c r="U784" s="398"/>
      <c r="V784" s="398"/>
      <c r="W784" s="398"/>
      <c r="X784" s="398"/>
      <c r="Y784" s="398"/>
      <c r="Z784" s="398"/>
    </row>
    <row r="785">
      <c r="A785" s="396"/>
      <c r="B785" s="397"/>
      <c r="C785" s="398"/>
      <c r="D785" s="398"/>
      <c r="E785" s="398"/>
      <c r="F785" s="398"/>
      <c r="G785" s="398"/>
      <c r="H785" s="398"/>
      <c r="I785" s="398"/>
      <c r="J785" s="398"/>
      <c r="K785" s="398"/>
      <c r="L785" s="398"/>
      <c r="M785" s="398"/>
      <c r="N785" s="398"/>
      <c r="O785" s="398"/>
      <c r="P785" s="398"/>
      <c r="Q785" s="398"/>
      <c r="R785" s="398"/>
      <c r="S785" s="398"/>
      <c r="T785" s="398"/>
      <c r="U785" s="398"/>
      <c r="V785" s="398"/>
      <c r="W785" s="398"/>
      <c r="X785" s="398"/>
      <c r="Y785" s="398"/>
      <c r="Z785" s="398"/>
    </row>
    <row r="786">
      <c r="A786" s="396"/>
      <c r="B786" s="397"/>
      <c r="C786" s="398"/>
      <c r="D786" s="398"/>
      <c r="E786" s="398"/>
      <c r="F786" s="398"/>
      <c r="G786" s="398"/>
      <c r="H786" s="398"/>
      <c r="I786" s="398"/>
      <c r="J786" s="398"/>
      <c r="K786" s="398"/>
      <c r="L786" s="398"/>
      <c r="M786" s="398"/>
      <c r="N786" s="398"/>
      <c r="O786" s="398"/>
      <c r="P786" s="398"/>
      <c r="Q786" s="398"/>
      <c r="R786" s="398"/>
      <c r="S786" s="398"/>
      <c r="T786" s="398"/>
      <c r="U786" s="398"/>
      <c r="V786" s="398"/>
      <c r="W786" s="398"/>
      <c r="X786" s="398"/>
      <c r="Y786" s="398"/>
      <c r="Z786" s="398"/>
    </row>
    <row r="787">
      <c r="A787" s="396"/>
      <c r="B787" s="397"/>
      <c r="C787" s="398"/>
      <c r="D787" s="398"/>
      <c r="E787" s="398"/>
      <c r="F787" s="398"/>
      <c r="G787" s="398"/>
      <c r="H787" s="398"/>
      <c r="I787" s="398"/>
      <c r="J787" s="398"/>
      <c r="K787" s="398"/>
      <c r="L787" s="398"/>
      <c r="M787" s="398"/>
      <c r="N787" s="398"/>
      <c r="O787" s="398"/>
      <c r="P787" s="398"/>
      <c r="Q787" s="398"/>
      <c r="R787" s="398"/>
      <c r="S787" s="398"/>
      <c r="T787" s="398"/>
      <c r="U787" s="398"/>
      <c r="V787" s="398"/>
      <c r="W787" s="398"/>
      <c r="X787" s="398"/>
      <c r="Y787" s="398"/>
      <c r="Z787" s="398"/>
    </row>
    <row r="788">
      <c r="A788" s="396"/>
      <c r="B788" s="397"/>
      <c r="C788" s="398"/>
      <c r="D788" s="398"/>
      <c r="E788" s="398"/>
      <c r="F788" s="398"/>
      <c r="G788" s="398"/>
      <c r="H788" s="398"/>
      <c r="I788" s="398"/>
      <c r="J788" s="398"/>
      <c r="K788" s="398"/>
      <c r="L788" s="398"/>
      <c r="M788" s="398"/>
      <c r="N788" s="398"/>
      <c r="O788" s="398"/>
      <c r="P788" s="398"/>
      <c r="Q788" s="398"/>
      <c r="R788" s="398"/>
      <c r="S788" s="398"/>
      <c r="T788" s="398"/>
      <c r="U788" s="398"/>
      <c r="V788" s="398"/>
      <c r="W788" s="398"/>
      <c r="X788" s="398"/>
      <c r="Y788" s="398"/>
      <c r="Z788" s="398"/>
    </row>
    <row r="789">
      <c r="A789" s="396"/>
      <c r="B789" s="397"/>
      <c r="C789" s="398"/>
      <c r="D789" s="398"/>
      <c r="E789" s="398"/>
      <c r="F789" s="398"/>
      <c r="G789" s="398"/>
      <c r="H789" s="398"/>
      <c r="I789" s="398"/>
      <c r="J789" s="398"/>
      <c r="K789" s="398"/>
      <c r="L789" s="398"/>
      <c r="M789" s="398"/>
      <c r="N789" s="398"/>
      <c r="O789" s="398"/>
      <c r="P789" s="398"/>
      <c r="Q789" s="398"/>
      <c r="R789" s="398"/>
      <c r="S789" s="398"/>
      <c r="T789" s="398"/>
      <c r="U789" s="398"/>
      <c r="V789" s="398"/>
      <c r="W789" s="398"/>
      <c r="X789" s="398"/>
      <c r="Y789" s="398"/>
      <c r="Z789" s="398"/>
    </row>
    <row r="790">
      <c r="A790" s="396"/>
      <c r="B790" s="397"/>
      <c r="C790" s="398"/>
      <c r="D790" s="398"/>
      <c r="E790" s="398"/>
      <c r="F790" s="398"/>
      <c r="G790" s="398"/>
      <c r="H790" s="398"/>
      <c r="I790" s="398"/>
      <c r="J790" s="398"/>
      <c r="K790" s="398"/>
      <c r="L790" s="398"/>
      <c r="M790" s="398"/>
      <c r="N790" s="398"/>
      <c r="O790" s="398"/>
      <c r="P790" s="398"/>
      <c r="Q790" s="398"/>
      <c r="R790" s="398"/>
      <c r="S790" s="398"/>
      <c r="T790" s="398"/>
      <c r="U790" s="398"/>
      <c r="V790" s="398"/>
      <c r="W790" s="398"/>
      <c r="X790" s="398"/>
      <c r="Y790" s="398"/>
      <c r="Z790" s="398"/>
    </row>
    <row r="791">
      <c r="A791" s="396"/>
      <c r="B791" s="397"/>
      <c r="C791" s="398"/>
      <c r="D791" s="398"/>
      <c r="E791" s="398"/>
      <c r="F791" s="398"/>
      <c r="G791" s="398"/>
      <c r="H791" s="398"/>
      <c r="I791" s="398"/>
      <c r="J791" s="398"/>
      <c r="K791" s="398"/>
      <c r="L791" s="398"/>
      <c r="M791" s="398"/>
      <c r="N791" s="398"/>
      <c r="O791" s="398"/>
      <c r="P791" s="398"/>
      <c r="Q791" s="398"/>
      <c r="R791" s="398"/>
      <c r="S791" s="398"/>
      <c r="T791" s="398"/>
      <c r="U791" s="398"/>
      <c r="V791" s="398"/>
      <c r="W791" s="398"/>
      <c r="X791" s="398"/>
      <c r="Y791" s="398"/>
      <c r="Z791" s="398"/>
    </row>
    <row r="792">
      <c r="A792" s="396"/>
      <c r="B792" s="397"/>
      <c r="C792" s="398"/>
      <c r="D792" s="398"/>
      <c r="E792" s="398"/>
      <c r="F792" s="398"/>
      <c r="G792" s="398"/>
      <c r="H792" s="398"/>
      <c r="I792" s="398"/>
      <c r="J792" s="398"/>
      <c r="K792" s="398"/>
      <c r="L792" s="398"/>
      <c r="M792" s="398"/>
      <c r="N792" s="398"/>
      <c r="O792" s="398"/>
      <c r="P792" s="398"/>
      <c r="Q792" s="398"/>
      <c r="R792" s="398"/>
      <c r="S792" s="398"/>
      <c r="T792" s="398"/>
      <c r="U792" s="398"/>
      <c r="V792" s="398"/>
      <c r="W792" s="398"/>
      <c r="X792" s="398"/>
      <c r="Y792" s="398"/>
      <c r="Z792" s="398"/>
    </row>
    <row r="793">
      <c r="A793" s="396"/>
      <c r="B793" s="397"/>
      <c r="C793" s="398"/>
      <c r="D793" s="398"/>
      <c r="E793" s="398"/>
      <c r="F793" s="398"/>
      <c r="G793" s="398"/>
      <c r="H793" s="398"/>
      <c r="I793" s="398"/>
      <c r="J793" s="398"/>
      <c r="K793" s="398"/>
      <c r="L793" s="398"/>
      <c r="M793" s="398"/>
      <c r="N793" s="398"/>
      <c r="O793" s="398"/>
      <c r="P793" s="398"/>
      <c r="Q793" s="398"/>
      <c r="R793" s="398"/>
      <c r="S793" s="398"/>
      <c r="T793" s="398"/>
      <c r="U793" s="398"/>
      <c r="V793" s="398"/>
      <c r="W793" s="398"/>
      <c r="X793" s="398"/>
      <c r="Y793" s="398"/>
      <c r="Z793" s="398"/>
    </row>
    <row r="794">
      <c r="A794" s="396"/>
      <c r="B794" s="397"/>
      <c r="C794" s="398"/>
      <c r="D794" s="398"/>
      <c r="E794" s="398"/>
      <c r="F794" s="398"/>
      <c r="G794" s="398"/>
      <c r="H794" s="398"/>
      <c r="I794" s="398"/>
      <c r="J794" s="398"/>
      <c r="K794" s="398"/>
      <c r="L794" s="398"/>
      <c r="M794" s="398"/>
      <c r="N794" s="398"/>
      <c r="O794" s="398"/>
      <c r="P794" s="398"/>
      <c r="Q794" s="398"/>
      <c r="R794" s="398"/>
      <c r="S794" s="398"/>
      <c r="T794" s="398"/>
      <c r="U794" s="398"/>
      <c r="V794" s="398"/>
      <c r="W794" s="398"/>
      <c r="X794" s="398"/>
      <c r="Y794" s="398"/>
      <c r="Z794" s="398"/>
    </row>
    <row r="795">
      <c r="A795" s="396"/>
      <c r="B795" s="397"/>
      <c r="C795" s="398"/>
      <c r="D795" s="398"/>
      <c r="E795" s="398"/>
      <c r="F795" s="398"/>
      <c r="G795" s="398"/>
      <c r="H795" s="398"/>
      <c r="I795" s="398"/>
      <c r="J795" s="398"/>
      <c r="K795" s="398"/>
      <c r="L795" s="398"/>
      <c r="M795" s="398"/>
      <c r="N795" s="398"/>
      <c r="O795" s="398"/>
      <c r="P795" s="398"/>
      <c r="Q795" s="398"/>
      <c r="R795" s="398"/>
      <c r="S795" s="398"/>
      <c r="T795" s="398"/>
      <c r="U795" s="398"/>
      <c r="V795" s="398"/>
      <c r="W795" s="398"/>
      <c r="X795" s="398"/>
      <c r="Y795" s="398"/>
      <c r="Z795" s="398"/>
    </row>
    <row r="796">
      <c r="A796" s="396"/>
      <c r="B796" s="397"/>
      <c r="C796" s="398"/>
      <c r="D796" s="398"/>
      <c r="E796" s="398"/>
      <c r="F796" s="398"/>
      <c r="G796" s="398"/>
      <c r="H796" s="398"/>
      <c r="I796" s="398"/>
      <c r="J796" s="398"/>
      <c r="K796" s="398"/>
      <c r="L796" s="398"/>
      <c r="M796" s="398"/>
      <c r="N796" s="398"/>
      <c r="O796" s="398"/>
      <c r="P796" s="398"/>
      <c r="Q796" s="398"/>
      <c r="R796" s="398"/>
      <c r="S796" s="398"/>
      <c r="T796" s="398"/>
      <c r="U796" s="398"/>
      <c r="V796" s="398"/>
      <c r="W796" s="398"/>
      <c r="X796" s="398"/>
      <c r="Y796" s="398"/>
      <c r="Z796" s="398"/>
    </row>
    <row r="797">
      <c r="A797" s="396"/>
      <c r="B797" s="397"/>
      <c r="C797" s="398"/>
      <c r="D797" s="398"/>
      <c r="E797" s="398"/>
      <c r="F797" s="398"/>
      <c r="G797" s="398"/>
      <c r="H797" s="398"/>
      <c r="I797" s="398"/>
      <c r="J797" s="398"/>
      <c r="K797" s="398"/>
      <c r="L797" s="398"/>
      <c r="M797" s="398"/>
      <c r="N797" s="398"/>
      <c r="O797" s="398"/>
      <c r="P797" s="398"/>
      <c r="Q797" s="398"/>
      <c r="R797" s="398"/>
      <c r="S797" s="398"/>
      <c r="T797" s="398"/>
      <c r="U797" s="398"/>
      <c r="V797" s="398"/>
      <c r="W797" s="398"/>
      <c r="X797" s="398"/>
      <c r="Y797" s="398"/>
      <c r="Z797" s="398"/>
    </row>
    <row r="798">
      <c r="A798" s="396"/>
      <c r="B798" s="397"/>
      <c r="C798" s="398"/>
      <c r="D798" s="398"/>
      <c r="E798" s="398"/>
      <c r="F798" s="398"/>
      <c r="G798" s="398"/>
      <c r="H798" s="398"/>
      <c r="I798" s="398"/>
      <c r="J798" s="398"/>
      <c r="K798" s="398"/>
      <c r="L798" s="398"/>
      <c r="M798" s="398"/>
      <c r="N798" s="398"/>
      <c r="O798" s="398"/>
      <c r="P798" s="398"/>
      <c r="Q798" s="398"/>
      <c r="R798" s="398"/>
      <c r="S798" s="398"/>
      <c r="T798" s="398"/>
      <c r="U798" s="398"/>
      <c r="V798" s="398"/>
      <c r="W798" s="398"/>
      <c r="X798" s="398"/>
      <c r="Y798" s="398"/>
      <c r="Z798" s="398"/>
    </row>
    <row r="799">
      <c r="A799" s="396"/>
      <c r="B799" s="397"/>
      <c r="C799" s="398"/>
      <c r="D799" s="398"/>
      <c r="E799" s="398"/>
      <c r="F799" s="398"/>
      <c r="G799" s="398"/>
      <c r="H799" s="398"/>
      <c r="I799" s="398"/>
      <c r="J799" s="398"/>
      <c r="K799" s="398"/>
      <c r="L799" s="398"/>
      <c r="M799" s="398"/>
      <c r="N799" s="398"/>
      <c r="O799" s="398"/>
      <c r="P799" s="398"/>
      <c r="Q799" s="398"/>
      <c r="R799" s="398"/>
      <c r="S799" s="398"/>
      <c r="T799" s="398"/>
      <c r="U799" s="398"/>
      <c r="V799" s="398"/>
      <c r="W799" s="398"/>
      <c r="X799" s="398"/>
      <c r="Y799" s="398"/>
      <c r="Z799" s="398"/>
    </row>
    <row r="800">
      <c r="A800" s="396"/>
      <c r="B800" s="397"/>
      <c r="C800" s="398"/>
      <c r="D800" s="398"/>
      <c r="E800" s="398"/>
      <c r="F800" s="398"/>
      <c r="G800" s="398"/>
      <c r="H800" s="398"/>
      <c r="I800" s="398"/>
      <c r="J800" s="398"/>
      <c r="K800" s="398"/>
      <c r="L800" s="398"/>
      <c r="M800" s="398"/>
      <c r="N800" s="398"/>
      <c r="O800" s="398"/>
      <c r="P800" s="398"/>
      <c r="Q800" s="398"/>
      <c r="R800" s="398"/>
      <c r="S800" s="398"/>
      <c r="T800" s="398"/>
      <c r="U800" s="398"/>
      <c r="V800" s="398"/>
      <c r="W800" s="398"/>
      <c r="X800" s="398"/>
      <c r="Y800" s="398"/>
      <c r="Z800" s="398"/>
    </row>
    <row r="801">
      <c r="A801" s="396"/>
      <c r="B801" s="397"/>
      <c r="C801" s="398"/>
      <c r="D801" s="398"/>
      <c r="E801" s="398"/>
      <c r="F801" s="398"/>
      <c r="G801" s="398"/>
      <c r="H801" s="398"/>
      <c r="I801" s="398"/>
      <c r="J801" s="398"/>
      <c r="K801" s="398"/>
      <c r="L801" s="398"/>
      <c r="M801" s="398"/>
      <c r="N801" s="398"/>
      <c r="O801" s="398"/>
      <c r="P801" s="398"/>
      <c r="Q801" s="398"/>
      <c r="R801" s="398"/>
      <c r="S801" s="398"/>
      <c r="T801" s="398"/>
      <c r="U801" s="398"/>
      <c r="V801" s="398"/>
      <c r="W801" s="398"/>
      <c r="X801" s="398"/>
      <c r="Y801" s="398"/>
      <c r="Z801" s="398"/>
    </row>
    <row r="802">
      <c r="A802" s="396"/>
      <c r="B802" s="397"/>
      <c r="C802" s="398"/>
      <c r="D802" s="398"/>
      <c r="E802" s="398"/>
      <c r="F802" s="398"/>
      <c r="G802" s="398"/>
      <c r="H802" s="398"/>
      <c r="I802" s="398"/>
      <c r="J802" s="398"/>
      <c r="K802" s="398"/>
      <c r="L802" s="398"/>
      <c r="M802" s="398"/>
      <c r="N802" s="398"/>
      <c r="O802" s="398"/>
      <c r="P802" s="398"/>
      <c r="Q802" s="398"/>
      <c r="R802" s="398"/>
      <c r="S802" s="398"/>
      <c r="T802" s="398"/>
      <c r="U802" s="398"/>
      <c r="V802" s="398"/>
      <c r="W802" s="398"/>
      <c r="X802" s="398"/>
      <c r="Y802" s="398"/>
      <c r="Z802" s="398"/>
    </row>
    <row r="803">
      <c r="A803" s="396"/>
      <c r="B803" s="397"/>
      <c r="C803" s="398"/>
      <c r="D803" s="398"/>
      <c r="E803" s="398"/>
      <c r="F803" s="398"/>
      <c r="G803" s="398"/>
      <c r="H803" s="398"/>
      <c r="I803" s="398"/>
      <c r="J803" s="398"/>
      <c r="K803" s="398"/>
      <c r="L803" s="398"/>
      <c r="M803" s="398"/>
      <c r="N803" s="398"/>
      <c r="O803" s="398"/>
      <c r="P803" s="398"/>
      <c r="Q803" s="398"/>
      <c r="R803" s="398"/>
      <c r="S803" s="398"/>
      <c r="T803" s="398"/>
      <c r="U803" s="398"/>
      <c r="V803" s="398"/>
      <c r="W803" s="398"/>
      <c r="X803" s="398"/>
      <c r="Y803" s="398"/>
      <c r="Z803" s="398"/>
    </row>
    <row r="804">
      <c r="A804" s="396"/>
      <c r="B804" s="397"/>
      <c r="C804" s="398"/>
      <c r="D804" s="398"/>
      <c r="E804" s="398"/>
      <c r="F804" s="398"/>
      <c r="G804" s="398"/>
      <c r="H804" s="398"/>
      <c r="I804" s="398"/>
      <c r="J804" s="398"/>
      <c r="K804" s="398"/>
      <c r="L804" s="398"/>
      <c r="M804" s="398"/>
      <c r="N804" s="398"/>
      <c r="O804" s="398"/>
      <c r="P804" s="398"/>
      <c r="Q804" s="398"/>
      <c r="R804" s="398"/>
      <c r="S804" s="398"/>
      <c r="T804" s="398"/>
      <c r="U804" s="398"/>
      <c r="V804" s="398"/>
      <c r="W804" s="398"/>
      <c r="X804" s="398"/>
      <c r="Y804" s="398"/>
      <c r="Z804" s="398"/>
    </row>
    <row r="805">
      <c r="A805" s="396"/>
      <c r="B805" s="397"/>
      <c r="C805" s="398"/>
      <c r="D805" s="398"/>
      <c r="E805" s="398"/>
      <c r="F805" s="398"/>
      <c r="G805" s="398"/>
      <c r="H805" s="398"/>
      <c r="I805" s="398"/>
      <c r="J805" s="398"/>
      <c r="K805" s="398"/>
      <c r="L805" s="398"/>
      <c r="M805" s="398"/>
      <c r="N805" s="398"/>
      <c r="O805" s="398"/>
      <c r="P805" s="398"/>
      <c r="Q805" s="398"/>
      <c r="R805" s="398"/>
      <c r="S805" s="398"/>
      <c r="T805" s="398"/>
      <c r="U805" s="398"/>
      <c r="V805" s="398"/>
      <c r="W805" s="398"/>
      <c r="X805" s="398"/>
      <c r="Y805" s="398"/>
      <c r="Z805" s="398"/>
    </row>
    <row r="806">
      <c r="A806" s="396"/>
      <c r="B806" s="397"/>
      <c r="C806" s="398"/>
      <c r="D806" s="398"/>
      <c r="E806" s="398"/>
      <c r="F806" s="398"/>
      <c r="G806" s="398"/>
      <c r="H806" s="398"/>
      <c r="I806" s="398"/>
      <c r="J806" s="398"/>
      <c r="K806" s="398"/>
      <c r="L806" s="398"/>
      <c r="M806" s="398"/>
      <c r="N806" s="398"/>
      <c r="O806" s="398"/>
      <c r="P806" s="398"/>
      <c r="Q806" s="398"/>
      <c r="R806" s="398"/>
      <c r="S806" s="398"/>
      <c r="T806" s="398"/>
      <c r="U806" s="398"/>
      <c r="V806" s="398"/>
      <c r="W806" s="398"/>
      <c r="X806" s="398"/>
      <c r="Y806" s="398"/>
      <c r="Z806" s="398"/>
    </row>
    <row r="807">
      <c r="A807" s="396"/>
      <c r="B807" s="397"/>
      <c r="C807" s="398"/>
      <c r="D807" s="398"/>
      <c r="E807" s="398"/>
      <c r="F807" s="398"/>
      <c r="G807" s="398"/>
      <c r="H807" s="398"/>
      <c r="I807" s="398"/>
      <c r="J807" s="398"/>
      <c r="K807" s="398"/>
      <c r="L807" s="398"/>
      <c r="M807" s="398"/>
      <c r="N807" s="398"/>
      <c r="O807" s="398"/>
      <c r="P807" s="398"/>
      <c r="Q807" s="398"/>
      <c r="R807" s="398"/>
      <c r="S807" s="398"/>
      <c r="T807" s="398"/>
      <c r="U807" s="398"/>
      <c r="V807" s="398"/>
      <c r="W807" s="398"/>
      <c r="X807" s="398"/>
      <c r="Y807" s="398"/>
      <c r="Z807" s="398"/>
    </row>
    <row r="808">
      <c r="A808" s="396"/>
      <c r="B808" s="397"/>
      <c r="C808" s="398"/>
      <c r="D808" s="398"/>
      <c r="E808" s="398"/>
      <c r="F808" s="398"/>
      <c r="G808" s="398"/>
      <c r="H808" s="398"/>
      <c r="I808" s="398"/>
      <c r="J808" s="398"/>
      <c r="K808" s="398"/>
      <c r="L808" s="398"/>
      <c r="M808" s="398"/>
      <c r="N808" s="398"/>
      <c r="O808" s="398"/>
      <c r="P808" s="398"/>
      <c r="Q808" s="398"/>
      <c r="R808" s="398"/>
      <c r="S808" s="398"/>
      <c r="T808" s="398"/>
      <c r="U808" s="398"/>
      <c r="V808" s="398"/>
      <c r="W808" s="398"/>
      <c r="X808" s="398"/>
      <c r="Y808" s="398"/>
      <c r="Z808" s="398"/>
    </row>
    <row r="809">
      <c r="A809" s="396"/>
      <c r="B809" s="397"/>
      <c r="C809" s="398"/>
      <c r="D809" s="398"/>
      <c r="E809" s="398"/>
      <c r="F809" s="398"/>
      <c r="G809" s="398"/>
      <c r="H809" s="398"/>
      <c r="I809" s="398"/>
      <c r="J809" s="398"/>
      <c r="K809" s="398"/>
      <c r="L809" s="398"/>
      <c r="M809" s="398"/>
      <c r="N809" s="398"/>
      <c r="O809" s="398"/>
      <c r="P809" s="398"/>
      <c r="Q809" s="398"/>
      <c r="R809" s="398"/>
      <c r="S809" s="398"/>
      <c r="T809" s="398"/>
      <c r="U809" s="398"/>
      <c r="V809" s="398"/>
      <c r="W809" s="398"/>
      <c r="X809" s="398"/>
      <c r="Y809" s="398"/>
      <c r="Z809" s="398"/>
    </row>
    <row r="810">
      <c r="A810" s="396"/>
      <c r="B810" s="397"/>
      <c r="C810" s="398"/>
      <c r="D810" s="398"/>
      <c r="E810" s="398"/>
      <c r="F810" s="398"/>
      <c r="G810" s="398"/>
      <c r="H810" s="398"/>
      <c r="I810" s="398"/>
      <c r="J810" s="398"/>
      <c r="K810" s="398"/>
      <c r="L810" s="398"/>
      <c r="M810" s="398"/>
      <c r="N810" s="398"/>
      <c r="O810" s="398"/>
      <c r="P810" s="398"/>
      <c r="Q810" s="398"/>
      <c r="R810" s="398"/>
      <c r="S810" s="398"/>
      <c r="T810" s="398"/>
      <c r="U810" s="398"/>
      <c r="V810" s="398"/>
      <c r="W810" s="398"/>
      <c r="X810" s="398"/>
      <c r="Y810" s="398"/>
      <c r="Z810" s="398"/>
    </row>
    <row r="811">
      <c r="A811" s="396"/>
      <c r="B811" s="397"/>
      <c r="C811" s="398"/>
      <c r="D811" s="398"/>
      <c r="E811" s="398"/>
      <c r="F811" s="398"/>
      <c r="G811" s="398"/>
      <c r="H811" s="398"/>
      <c r="I811" s="398"/>
      <c r="J811" s="398"/>
      <c r="K811" s="398"/>
      <c r="L811" s="398"/>
      <c r="M811" s="398"/>
      <c r="N811" s="398"/>
      <c r="O811" s="398"/>
      <c r="P811" s="398"/>
      <c r="Q811" s="398"/>
      <c r="R811" s="398"/>
      <c r="S811" s="398"/>
      <c r="T811" s="398"/>
      <c r="U811" s="398"/>
      <c r="V811" s="398"/>
      <c r="W811" s="398"/>
      <c r="X811" s="398"/>
      <c r="Y811" s="398"/>
      <c r="Z811" s="398"/>
    </row>
    <row r="812">
      <c r="A812" s="396"/>
      <c r="B812" s="397"/>
      <c r="C812" s="398"/>
      <c r="D812" s="398"/>
      <c r="E812" s="398"/>
      <c r="F812" s="398"/>
      <c r="G812" s="398"/>
      <c r="H812" s="398"/>
      <c r="I812" s="398"/>
      <c r="J812" s="398"/>
      <c r="K812" s="398"/>
      <c r="L812" s="398"/>
      <c r="M812" s="398"/>
      <c r="N812" s="398"/>
      <c r="O812" s="398"/>
      <c r="P812" s="398"/>
      <c r="Q812" s="398"/>
      <c r="R812" s="398"/>
      <c r="S812" s="398"/>
      <c r="T812" s="398"/>
      <c r="U812" s="398"/>
      <c r="V812" s="398"/>
      <c r="W812" s="398"/>
      <c r="X812" s="398"/>
      <c r="Y812" s="398"/>
      <c r="Z812" s="398"/>
    </row>
    <row r="813">
      <c r="A813" s="396"/>
      <c r="B813" s="397"/>
      <c r="C813" s="398"/>
      <c r="D813" s="398"/>
      <c r="E813" s="398"/>
      <c r="F813" s="398"/>
      <c r="G813" s="398"/>
      <c r="H813" s="398"/>
      <c r="I813" s="398"/>
      <c r="J813" s="398"/>
      <c r="K813" s="398"/>
      <c r="L813" s="398"/>
      <c r="M813" s="398"/>
      <c r="N813" s="398"/>
      <c r="O813" s="398"/>
      <c r="P813" s="398"/>
      <c r="Q813" s="398"/>
      <c r="R813" s="398"/>
      <c r="S813" s="398"/>
      <c r="T813" s="398"/>
      <c r="U813" s="398"/>
      <c r="V813" s="398"/>
      <c r="W813" s="398"/>
      <c r="X813" s="398"/>
      <c r="Y813" s="398"/>
      <c r="Z813" s="398"/>
    </row>
    <row r="814">
      <c r="A814" s="396"/>
      <c r="B814" s="397"/>
      <c r="C814" s="398"/>
      <c r="D814" s="398"/>
      <c r="E814" s="398"/>
      <c r="F814" s="398"/>
      <c r="G814" s="398"/>
      <c r="H814" s="398"/>
      <c r="I814" s="398"/>
      <c r="J814" s="398"/>
      <c r="K814" s="398"/>
      <c r="L814" s="398"/>
      <c r="M814" s="398"/>
      <c r="N814" s="398"/>
      <c r="O814" s="398"/>
      <c r="P814" s="398"/>
      <c r="Q814" s="398"/>
      <c r="R814" s="398"/>
      <c r="S814" s="398"/>
      <c r="T814" s="398"/>
      <c r="U814" s="398"/>
      <c r="V814" s="398"/>
      <c r="W814" s="398"/>
      <c r="X814" s="398"/>
      <c r="Y814" s="398"/>
      <c r="Z814" s="398"/>
    </row>
    <row r="815">
      <c r="A815" s="396"/>
      <c r="B815" s="397"/>
      <c r="C815" s="398"/>
      <c r="D815" s="398"/>
      <c r="E815" s="398"/>
      <c r="F815" s="398"/>
      <c r="G815" s="398"/>
      <c r="H815" s="398"/>
      <c r="I815" s="398"/>
      <c r="J815" s="398"/>
      <c r="K815" s="398"/>
      <c r="L815" s="398"/>
      <c r="M815" s="398"/>
      <c r="N815" s="398"/>
      <c r="O815" s="398"/>
      <c r="P815" s="398"/>
      <c r="Q815" s="398"/>
      <c r="R815" s="398"/>
      <c r="S815" s="398"/>
      <c r="T815" s="398"/>
      <c r="U815" s="398"/>
      <c r="V815" s="398"/>
      <c r="W815" s="398"/>
      <c r="X815" s="398"/>
      <c r="Y815" s="398"/>
      <c r="Z815" s="398"/>
    </row>
    <row r="816">
      <c r="A816" s="396"/>
      <c r="B816" s="397"/>
      <c r="C816" s="398"/>
      <c r="D816" s="398"/>
      <c r="E816" s="398"/>
      <c r="F816" s="398"/>
      <c r="G816" s="398"/>
      <c r="H816" s="398"/>
      <c r="I816" s="398"/>
      <c r="J816" s="398"/>
      <c r="K816" s="398"/>
      <c r="L816" s="398"/>
      <c r="M816" s="398"/>
      <c r="N816" s="398"/>
      <c r="O816" s="398"/>
      <c r="P816" s="398"/>
      <c r="Q816" s="398"/>
      <c r="R816" s="398"/>
      <c r="S816" s="398"/>
      <c r="T816" s="398"/>
      <c r="U816" s="398"/>
      <c r="V816" s="398"/>
      <c r="W816" s="398"/>
      <c r="X816" s="398"/>
      <c r="Y816" s="398"/>
      <c r="Z816" s="398"/>
    </row>
    <row r="817">
      <c r="A817" s="396"/>
      <c r="B817" s="397"/>
      <c r="C817" s="398"/>
      <c r="D817" s="398"/>
      <c r="E817" s="398"/>
      <c r="F817" s="398"/>
      <c r="G817" s="398"/>
      <c r="H817" s="398"/>
      <c r="I817" s="398"/>
      <c r="J817" s="398"/>
      <c r="K817" s="398"/>
      <c r="L817" s="398"/>
      <c r="M817" s="398"/>
      <c r="N817" s="398"/>
      <c r="O817" s="398"/>
      <c r="P817" s="398"/>
      <c r="Q817" s="398"/>
      <c r="R817" s="398"/>
      <c r="S817" s="398"/>
      <c r="T817" s="398"/>
      <c r="U817" s="398"/>
      <c r="V817" s="398"/>
      <c r="W817" s="398"/>
      <c r="X817" s="398"/>
      <c r="Y817" s="398"/>
      <c r="Z817" s="398"/>
    </row>
    <row r="818">
      <c r="A818" s="396"/>
      <c r="B818" s="397"/>
      <c r="C818" s="398"/>
      <c r="D818" s="398"/>
      <c r="E818" s="398"/>
      <c r="F818" s="398"/>
      <c r="G818" s="398"/>
      <c r="H818" s="398"/>
      <c r="I818" s="398"/>
      <c r="J818" s="398"/>
      <c r="K818" s="398"/>
      <c r="L818" s="398"/>
      <c r="M818" s="398"/>
      <c r="N818" s="398"/>
      <c r="O818" s="398"/>
      <c r="P818" s="398"/>
      <c r="Q818" s="398"/>
      <c r="R818" s="398"/>
      <c r="S818" s="398"/>
      <c r="T818" s="398"/>
      <c r="U818" s="398"/>
      <c r="V818" s="398"/>
      <c r="W818" s="398"/>
      <c r="X818" s="398"/>
      <c r="Y818" s="398"/>
      <c r="Z818" s="398"/>
    </row>
    <row r="819">
      <c r="A819" s="396"/>
      <c r="B819" s="397"/>
      <c r="C819" s="398"/>
      <c r="D819" s="398"/>
      <c r="E819" s="398"/>
      <c r="F819" s="398"/>
      <c r="G819" s="398"/>
      <c r="H819" s="398"/>
      <c r="I819" s="398"/>
      <c r="J819" s="398"/>
      <c r="K819" s="398"/>
      <c r="L819" s="398"/>
      <c r="M819" s="398"/>
      <c r="N819" s="398"/>
      <c r="O819" s="398"/>
      <c r="P819" s="398"/>
      <c r="Q819" s="398"/>
      <c r="R819" s="398"/>
      <c r="S819" s="398"/>
      <c r="T819" s="398"/>
      <c r="U819" s="398"/>
      <c r="V819" s="398"/>
      <c r="W819" s="398"/>
      <c r="X819" s="398"/>
      <c r="Y819" s="398"/>
      <c r="Z819" s="398"/>
    </row>
    <row r="820">
      <c r="A820" s="396"/>
      <c r="B820" s="397"/>
      <c r="C820" s="398"/>
      <c r="D820" s="398"/>
      <c r="E820" s="398"/>
      <c r="F820" s="398"/>
      <c r="G820" s="398"/>
      <c r="H820" s="398"/>
      <c r="I820" s="398"/>
      <c r="J820" s="398"/>
      <c r="K820" s="398"/>
      <c r="L820" s="398"/>
      <c r="M820" s="398"/>
      <c r="N820" s="398"/>
      <c r="O820" s="398"/>
      <c r="P820" s="398"/>
      <c r="Q820" s="398"/>
      <c r="R820" s="398"/>
      <c r="S820" s="398"/>
      <c r="T820" s="398"/>
      <c r="U820" s="398"/>
      <c r="V820" s="398"/>
      <c r="W820" s="398"/>
      <c r="X820" s="398"/>
      <c r="Y820" s="398"/>
      <c r="Z820" s="398"/>
    </row>
    <row r="821">
      <c r="A821" s="396"/>
      <c r="B821" s="397"/>
      <c r="C821" s="398"/>
      <c r="D821" s="398"/>
      <c r="E821" s="398"/>
      <c r="F821" s="398"/>
      <c r="G821" s="398"/>
      <c r="H821" s="398"/>
      <c r="I821" s="398"/>
      <c r="J821" s="398"/>
      <c r="K821" s="398"/>
      <c r="L821" s="398"/>
      <c r="M821" s="398"/>
      <c r="N821" s="398"/>
      <c r="O821" s="398"/>
      <c r="P821" s="398"/>
      <c r="Q821" s="398"/>
      <c r="R821" s="398"/>
      <c r="S821" s="398"/>
      <c r="T821" s="398"/>
      <c r="U821" s="398"/>
      <c r="V821" s="398"/>
      <c r="W821" s="398"/>
      <c r="X821" s="398"/>
      <c r="Y821" s="398"/>
      <c r="Z821" s="398"/>
    </row>
    <row r="822">
      <c r="A822" s="396"/>
      <c r="B822" s="397"/>
      <c r="C822" s="398"/>
      <c r="D822" s="398"/>
      <c r="E822" s="398"/>
      <c r="F822" s="398"/>
      <c r="G822" s="398"/>
      <c r="H822" s="398"/>
      <c r="I822" s="398"/>
      <c r="J822" s="398"/>
      <c r="K822" s="398"/>
      <c r="L822" s="398"/>
      <c r="M822" s="398"/>
      <c r="N822" s="398"/>
      <c r="O822" s="398"/>
      <c r="P822" s="398"/>
      <c r="Q822" s="398"/>
      <c r="R822" s="398"/>
      <c r="S822" s="398"/>
      <c r="T822" s="398"/>
      <c r="U822" s="398"/>
      <c r="V822" s="398"/>
      <c r="W822" s="398"/>
      <c r="X822" s="398"/>
      <c r="Y822" s="398"/>
      <c r="Z822" s="398"/>
    </row>
    <row r="823">
      <c r="A823" s="396"/>
      <c r="B823" s="397"/>
      <c r="C823" s="398"/>
      <c r="D823" s="398"/>
      <c r="E823" s="398"/>
      <c r="F823" s="398"/>
      <c r="G823" s="398"/>
      <c r="H823" s="398"/>
      <c r="I823" s="398"/>
      <c r="J823" s="398"/>
      <c r="K823" s="398"/>
      <c r="L823" s="398"/>
      <c r="M823" s="398"/>
      <c r="N823" s="398"/>
      <c r="O823" s="398"/>
      <c r="P823" s="398"/>
      <c r="Q823" s="398"/>
      <c r="R823" s="398"/>
      <c r="S823" s="398"/>
      <c r="T823" s="398"/>
      <c r="U823" s="398"/>
      <c r="V823" s="398"/>
      <c r="W823" s="398"/>
      <c r="X823" s="398"/>
      <c r="Y823" s="398"/>
      <c r="Z823" s="398"/>
    </row>
    <row r="824">
      <c r="A824" s="396"/>
      <c r="B824" s="397"/>
      <c r="C824" s="398"/>
      <c r="D824" s="398"/>
      <c r="E824" s="398"/>
      <c r="F824" s="398"/>
      <c r="G824" s="398"/>
      <c r="H824" s="398"/>
      <c r="I824" s="398"/>
      <c r="J824" s="398"/>
      <c r="K824" s="398"/>
      <c r="L824" s="398"/>
      <c r="M824" s="398"/>
      <c r="N824" s="398"/>
      <c r="O824" s="398"/>
      <c r="P824" s="398"/>
      <c r="Q824" s="398"/>
      <c r="R824" s="398"/>
      <c r="S824" s="398"/>
      <c r="T824" s="398"/>
      <c r="U824" s="398"/>
      <c r="V824" s="398"/>
      <c r="W824" s="398"/>
      <c r="X824" s="398"/>
      <c r="Y824" s="398"/>
      <c r="Z824" s="398"/>
    </row>
    <row r="825">
      <c r="A825" s="396"/>
      <c r="B825" s="397"/>
      <c r="C825" s="398"/>
      <c r="D825" s="398"/>
      <c r="E825" s="398"/>
      <c r="F825" s="398"/>
      <c r="G825" s="398"/>
      <c r="H825" s="398"/>
      <c r="I825" s="398"/>
      <c r="J825" s="398"/>
      <c r="K825" s="398"/>
      <c r="L825" s="398"/>
      <c r="M825" s="398"/>
      <c r="N825" s="398"/>
      <c r="O825" s="398"/>
      <c r="P825" s="398"/>
      <c r="Q825" s="398"/>
      <c r="R825" s="398"/>
      <c r="S825" s="398"/>
      <c r="T825" s="398"/>
      <c r="U825" s="398"/>
      <c r="V825" s="398"/>
      <c r="W825" s="398"/>
      <c r="X825" s="398"/>
      <c r="Y825" s="398"/>
      <c r="Z825" s="398"/>
    </row>
    <row r="826">
      <c r="A826" s="396"/>
      <c r="B826" s="397"/>
      <c r="C826" s="398"/>
      <c r="D826" s="398"/>
      <c r="E826" s="398"/>
      <c r="F826" s="398"/>
      <c r="G826" s="398"/>
      <c r="H826" s="398"/>
      <c r="I826" s="398"/>
      <c r="J826" s="398"/>
      <c r="K826" s="398"/>
      <c r="L826" s="398"/>
      <c r="M826" s="398"/>
      <c r="N826" s="398"/>
      <c r="O826" s="398"/>
      <c r="P826" s="398"/>
      <c r="Q826" s="398"/>
      <c r="R826" s="398"/>
      <c r="S826" s="398"/>
      <c r="T826" s="398"/>
      <c r="U826" s="398"/>
      <c r="V826" s="398"/>
      <c r="W826" s="398"/>
      <c r="X826" s="398"/>
      <c r="Y826" s="398"/>
      <c r="Z826" s="398"/>
    </row>
    <row r="827">
      <c r="A827" s="396"/>
      <c r="B827" s="397"/>
      <c r="C827" s="398"/>
      <c r="D827" s="398"/>
      <c r="E827" s="398"/>
      <c r="F827" s="398"/>
      <c r="G827" s="398"/>
      <c r="H827" s="398"/>
      <c r="I827" s="398"/>
      <c r="J827" s="398"/>
      <c r="K827" s="398"/>
      <c r="L827" s="398"/>
      <c r="M827" s="398"/>
      <c r="N827" s="398"/>
      <c r="O827" s="398"/>
      <c r="P827" s="398"/>
      <c r="Q827" s="398"/>
      <c r="R827" s="398"/>
      <c r="S827" s="398"/>
      <c r="T827" s="398"/>
      <c r="U827" s="398"/>
      <c r="V827" s="398"/>
      <c r="W827" s="398"/>
      <c r="X827" s="398"/>
      <c r="Y827" s="398"/>
      <c r="Z827" s="398"/>
    </row>
    <row r="828">
      <c r="A828" s="396"/>
      <c r="B828" s="397"/>
      <c r="C828" s="398"/>
      <c r="D828" s="398"/>
      <c r="E828" s="398"/>
      <c r="F828" s="398"/>
      <c r="G828" s="398"/>
      <c r="H828" s="398"/>
      <c r="I828" s="398"/>
      <c r="J828" s="398"/>
      <c r="K828" s="398"/>
      <c r="L828" s="398"/>
      <c r="M828" s="398"/>
      <c r="N828" s="398"/>
      <c r="O828" s="398"/>
      <c r="P828" s="398"/>
      <c r="Q828" s="398"/>
      <c r="R828" s="398"/>
      <c r="S828" s="398"/>
      <c r="T828" s="398"/>
      <c r="U828" s="398"/>
      <c r="V828" s="398"/>
      <c r="W828" s="398"/>
      <c r="X828" s="398"/>
      <c r="Y828" s="398"/>
      <c r="Z828" s="398"/>
    </row>
    <row r="829">
      <c r="A829" s="396"/>
      <c r="B829" s="397"/>
      <c r="C829" s="398"/>
      <c r="D829" s="398"/>
      <c r="E829" s="398"/>
      <c r="F829" s="398"/>
      <c r="G829" s="398"/>
      <c r="H829" s="398"/>
      <c r="I829" s="398"/>
      <c r="J829" s="398"/>
      <c r="K829" s="398"/>
      <c r="L829" s="398"/>
      <c r="M829" s="398"/>
      <c r="N829" s="398"/>
      <c r="O829" s="398"/>
      <c r="P829" s="398"/>
      <c r="Q829" s="398"/>
      <c r="R829" s="398"/>
      <c r="S829" s="398"/>
      <c r="T829" s="398"/>
      <c r="U829" s="398"/>
      <c r="V829" s="398"/>
      <c r="W829" s="398"/>
      <c r="X829" s="398"/>
      <c r="Y829" s="398"/>
      <c r="Z829" s="398"/>
    </row>
    <row r="830">
      <c r="A830" s="396"/>
      <c r="B830" s="397"/>
      <c r="C830" s="398"/>
      <c r="D830" s="398"/>
      <c r="E830" s="398"/>
      <c r="F830" s="398"/>
      <c r="G830" s="398"/>
      <c r="H830" s="398"/>
      <c r="I830" s="398"/>
      <c r="J830" s="398"/>
      <c r="K830" s="398"/>
      <c r="L830" s="398"/>
      <c r="M830" s="398"/>
      <c r="N830" s="398"/>
      <c r="O830" s="398"/>
      <c r="P830" s="398"/>
      <c r="Q830" s="398"/>
      <c r="R830" s="398"/>
      <c r="S830" s="398"/>
      <c r="T830" s="398"/>
      <c r="U830" s="398"/>
      <c r="V830" s="398"/>
      <c r="W830" s="398"/>
      <c r="X830" s="398"/>
      <c r="Y830" s="398"/>
      <c r="Z830" s="398"/>
    </row>
    <row r="831">
      <c r="A831" s="396"/>
      <c r="B831" s="397"/>
      <c r="C831" s="398"/>
      <c r="D831" s="398"/>
      <c r="E831" s="398"/>
      <c r="F831" s="398"/>
      <c r="G831" s="398"/>
      <c r="H831" s="398"/>
      <c r="I831" s="398"/>
      <c r="J831" s="398"/>
      <c r="K831" s="398"/>
      <c r="L831" s="398"/>
      <c r="M831" s="398"/>
      <c r="N831" s="398"/>
      <c r="O831" s="398"/>
      <c r="P831" s="398"/>
      <c r="Q831" s="398"/>
      <c r="R831" s="398"/>
      <c r="S831" s="398"/>
      <c r="T831" s="398"/>
      <c r="U831" s="398"/>
      <c r="V831" s="398"/>
      <c r="W831" s="398"/>
      <c r="X831" s="398"/>
      <c r="Y831" s="398"/>
      <c r="Z831" s="398"/>
    </row>
    <row r="832">
      <c r="A832" s="396"/>
      <c r="B832" s="397"/>
      <c r="C832" s="398"/>
      <c r="D832" s="398"/>
      <c r="E832" s="398"/>
      <c r="F832" s="398"/>
      <c r="G832" s="398"/>
      <c r="H832" s="398"/>
      <c r="I832" s="398"/>
      <c r="J832" s="398"/>
      <c r="K832" s="398"/>
      <c r="L832" s="398"/>
      <c r="M832" s="398"/>
      <c r="N832" s="398"/>
      <c r="O832" s="398"/>
      <c r="P832" s="398"/>
      <c r="Q832" s="398"/>
      <c r="R832" s="398"/>
      <c r="S832" s="398"/>
      <c r="T832" s="398"/>
      <c r="U832" s="398"/>
      <c r="V832" s="398"/>
      <c r="W832" s="398"/>
      <c r="X832" s="398"/>
      <c r="Y832" s="398"/>
      <c r="Z832" s="398"/>
    </row>
    <row r="833">
      <c r="A833" s="396"/>
      <c r="B833" s="397"/>
      <c r="C833" s="398"/>
      <c r="D833" s="398"/>
      <c r="E833" s="398"/>
      <c r="F833" s="398"/>
      <c r="G833" s="398"/>
      <c r="H833" s="398"/>
      <c r="I833" s="398"/>
      <c r="J833" s="398"/>
      <c r="K833" s="398"/>
      <c r="L833" s="398"/>
      <c r="M833" s="398"/>
      <c r="N833" s="398"/>
      <c r="O833" s="398"/>
      <c r="P833" s="398"/>
      <c r="Q833" s="398"/>
      <c r="R833" s="398"/>
      <c r="S833" s="398"/>
      <c r="T833" s="398"/>
      <c r="U833" s="398"/>
      <c r="V833" s="398"/>
      <c r="W833" s="398"/>
      <c r="X833" s="398"/>
      <c r="Y833" s="398"/>
      <c r="Z833" s="398"/>
    </row>
    <row r="834">
      <c r="A834" s="396"/>
      <c r="B834" s="397"/>
      <c r="C834" s="398"/>
      <c r="D834" s="398"/>
      <c r="E834" s="398"/>
      <c r="F834" s="398"/>
      <c r="G834" s="398"/>
      <c r="H834" s="398"/>
      <c r="I834" s="398"/>
      <c r="J834" s="398"/>
      <c r="K834" s="398"/>
      <c r="L834" s="398"/>
      <c r="M834" s="398"/>
      <c r="N834" s="398"/>
      <c r="O834" s="398"/>
      <c r="P834" s="398"/>
      <c r="Q834" s="398"/>
      <c r="R834" s="398"/>
      <c r="S834" s="398"/>
      <c r="T834" s="398"/>
      <c r="U834" s="398"/>
      <c r="V834" s="398"/>
      <c r="W834" s="398"/>
      <c r="X834" s="398"/>
      <c r="Y834" s="398"/>
      <c r="Z834" s="398"/>
    </row>
    <row r="835">
      <c r="A835" s="396"/>
      <c r="B835" s="397"/>
      <c r="C835" s="398"/>
      <c r="D835" s="398"/>
      <c r="E835" s="398"/>
      <c r="F835" s="398"/>
      <c r="G835" s="398"/>
      <c r="H835" s="398"/>
      <c r="I835" s="398"/>
      <c r="J835" s="398"/>
      <c r="K835" s="398"/>
      <c r="L835" s="398"/>
      <c r="M835" s="398"/>
      <c r="N835" s="398"/>
      <c r="O835" s="398"/>
      <c r="P835" s="398"/>
      <c r="Q835" s="398"/>
      <c r="R835" s="398"/>
      <c r="S835" s="398"/>
      <c r="T835" s="398"/>
      <c r="U835" s="398"/>
      <c r="V835" s="398"/>
      <c r="W835" s="398"/>
      <c r="X835" s="398"/>
      <c r="Y835" s="398"/>
      <c r="Z835" s="398"/>
    </row>
    <row r="836">
      <c r="A836" s="396"/>
      <c r="B836" s="397"/>
      <c r="C836" s="398"/>
      <c r="D836" s="398"/>
      <c r="E836" s="398"/>
      <c r="F836" s="398"/>
      <c r="G836" s="398"/>
      <c r="H836" s="398"/>
      <c r="I836" s="398"/>
      <c r="J836" s="398"/>
      <c r="K836" s="398"/>
      <c r="L836" s="398"/>
      <c r="M836" s="398"/>
      <c r="N836" s="398"/>
      <c r="O836" s="398"/>
      <c r="P836" s="398"/>
      <c r="Q836" s="398"/>
      <c r="R836" s="398"/>
      <c r="S836" s="398"/>
      <c r="T836" s="398"/>
      <c r="U836" s="398"/>
      <c r="V836" s="398"/>
      <c r="W836" s="398"/>
      <c r="X836" s="398"/>
      <c r="Y836" s="398"/>
      <c r="Z836" s="398"/>
    </row>
    <row r="837">
      <c r="A837" s="396"/>
      <c r="B837" s="397"/>
      <c r="C837" s="398"/>
      <c r="D837" s="398"/>
      <c r="E837" s="398"/>
      <c r="F837" s="398"/>
      <c r="G837" s="398"/>
      <c r="H837" s="398"/>
      <c r="I837" s="398"/>
      <c r="J837" s="398"/>
      <c r="K837" s="398"/>
      <c r="L837" s="398"/>
      <c r="M837" s="398"/>
      <c r="N837" s="398"/>
      <c r="O837" s="398"/>
      <c r="P837" s="398"/>
      <c r="Q837" s="398"/>
      <c r="R837" s="398"/>
      <c r="S837" s="398"/>
      <c r="T837" s="398"/>
      <c r="U837" s="398"/>
      <c r="V837" s="398"/>
      <c r="W837" s="398"/>
      <c r="X837" s="398"/>
      <c r="Y837" s="398"/>
      <c r="Z837" s="398"/>
    </row>
    <row r="838">
      <c r="A838" s="396"/>
      <c r="B838" s="397"/>
      <c r="C838" s="398"/>
      <c r="D838" s="398"/>
      <c r="E838" s="398"/>
      <c r="F838" s="398"/>
      <c r="G838" s="398"/>
      <c r="H838" s="398"/>
      <c r="I838" s="398"/>
      <c r="J838" s="398"/>
      <c r="K838" s="398"/>
      <c r="L838" s="398"/>
      <c r="M838" s="398"/>
      <c r="N838" s="398"/>
      <c r="O838" s="398"/>
      <c r="P838" s="398"/>
      <c r="Q838" s="398"/>
      <c r="R838" s="398"/>
      <c r="S838" s="398"/>
      <c r="T838" s="398"/>
      <c r="U838" s="398"/>
      <c r="V838" s="398"/>
      <c r="W838" s="398"/>
      <c r="X838" s="398"/>
      <c r="Y838" s="398"/>
      <c r="Z838" s="398"/>
    </row>
    <row r="839">
      <c r="A839" s="396"/>
      <c r="B839" s="397"/>
      <c r="C839" s="398"/>
      <c r="D839" s="398"/>
      <c r="E839" s="398"/>
      <c r="F839" s="398"/>
      <c r="G839" s="398"/>
      <c r="H839" s="398"/>
      <c r="I839" s="398"/>
      <c r="J839" s="398"/>
      <c r="K839" s="398"/>
      <c r="L839" s="398"/>
      <c r="M839" s="398"/>
      <c r="N839" s="398"/>
      <c r="O839" s="398"/>
      <c r="P839" s="398"/>
      <c r="Q839" s="398"/>
      <c r="R839" s="398"/>
      <c r="S839" s="398"/>
      <c r="T839" s="398"/>
      <c r="U839" s="398"/>
      <c r="V839" s="398"/>
      <c r="W839" s="398"/>
      <c r="X839" s="398"/>
      <c r="Y839" s="398"/>
      <c r="Z839" s="398"/>
    </row>
    <row r="840">
      <c r="A840" s="396"/>
      <c r="B840" s="397"/>
      <c r="C840" s="398"/>
      <c r="D840" s="398"/>
      <c r="E840" s="398"/>
      <c r="F840" s="398"/>
      <c r="G840" s="398"/>
      <c r="H840" s="398"/>
      <c r="I840" s="398"/>
      <c r="J840" s="398"/>
      <c r="K840" s="398"/>
      <c r="L840" s="398"/>
      <c r="M840" s="398"/>
      <c r="N840" s="398"/>
      <c r="O840" s="398"/>
      <c r="P840" s="398"/>
      <c r="Q840" s="398"/>
      <c r="R840" s="398"/>
      <c r="S840" s="398"/>
      <c r="T840" s="398"/>
      <c r="U840" s="398"/>
      <c r="V840" s="398"/>
      <c r="W840" s="398"/>
      <c r="X840" s="398"/>
      <c r="Y840" s="398"/>
      <c r="Z840" s="398"/>
    </row>
    <row r="841">
      <c r="A841" s="396"/>
      <c r="B841" s="397"/>
      <c r="C841" s="398"/>
      <c r="D841" s="398"/>
      <c r="E841" s="398"/>
      <c r="F841" s="398"/>
      <c r="G841" s="398"/>
      <c r="H841" s="398"/>
      <c r="I841" s="398"/>
      <c r="J841" s="398"/>
      <c r="K841" s="398"/>
      <c r="L841" s="398"/>
      <c r="M841" s="398"/>
      <c r="N841" s="398"/>
      <c r="O841" s="398"/>
      <c r="P841" s="398"/>
      <c r="Q841" s="398"/>
      <c r="R841" s="398"/>
      <c r="S841" s="398"/>
      <c r="T841" s="398"/>
      <c r="U841" s="398"/>
      <c r="V841" s="398"/>
      <c r="W841" s="398"/>
      <c r="X841" s="398"/>
      <c r="Y841" s="398"/>
      <c r="Z841" s="398"/>
    </row>
    <row r="842">
      <c r="A842" s="396"/>
      <c r="B842" s="397"/>
      <c r="C842" s="398"/>
      <c r="D842" s="398"/>
      <c r="E842" s="398"/>
      <c r="F842" s="398"/>
      <c r="G842" s="398"/>
      <c r="H842" s="398"/>
      <c r="I842" s="398"/>
      <c r="J842" s="398"/>
      <c r="K842" s="398"/>
      <c r="L842" s="398"/>
      <c r="M842" s="398"/>
      <c r="N842" s="398"/>
      <c r="O842" s="398"/>
      <c r="P842" s="398"/>
      <c r="Q842" s="398"/>
      <c r="R842" s="398"/>
      <c r="S842" s="398"/>
      <c r="T842" s="398"/>
      <c r="U842" s="398"/>
      <c r="V842" s="398"/>
      <c r="W842" s="398"/>
      <c r="X842" s="398"/>
      <c r="Y842" s="398"/>
      <c r="Z842" s="398"/>
    </row>
    <row r="843">
      <c r="A843" s="396"/>
      <c r="B843" s="397"/>
      <c r="C843" s="398"/>
      <c r="D843" s="398"/>
      <c r="E843" s="398"/>
      <c r="F843" s="398"/>
      <c r="G843" s="398"/>
      <c r="H843" s="398"/>
      <c r="I843" s="398"/>
      <c r="J843" s="398"/>
      <c r="K843" s="398"/>
      <c r="L843" s="398"/>
      <c r="M843" s="398"/>
      <c r="N843" s="398"/>
      <c r="O843" s="398"/>
      <c r="P843" s="398"/>
      <c r="Q843" s="398"/>
      <c r="R843" s="398"/>
      <c r="S843" s="398"/>
      <c r="T843" s="398"/>
      <c r="U843" s="398"/>
      <c r="V843" s="398"/>
      <c r="W843" s="398"/>
      <c r="X843" s="398"/>
      <c r="Y843" s="398"/>
      <c r="Z843" s="398"/>
    </row>
    <row r="844">
      <c r="A844" s="396"/>
      <c r="B844" s="397"/>
      <c r="C844" s="398"/>
      <c r="D844" s="398"/>
      <c r="E844" s="398"/>
      <c r="F844" s="398"/>
      <c r="G844" s="398"/>
      <c r="H844" s="398"/>
      <c r="I844" s="398"/>
      <c r="J844" s="398"/>
      <c r="K844" s="398"/>
      <c r="L844" s="398"/>
      <c r="M844" s="398"/>
      <c r="N844" s="398"/>
      <c r="O844" s="398"/>
      <c r="P844" s="398"/>
      <c r="Q844" s="398"/>
      <c r="R844" s="398"/>
      <c r="S844" s="398"/>
      <c r="T844" s="398"/>
      <c r="U844" s="398"/>
      <c r="V844" s="398"/>
      <c r="W844" s="398"/>
      <c r="X844" s="398"/>
      <c r="Y844" s="398"/>
      <c r="Z844" s="398"/>
    </row>
    <row r="845">
      <c r="A845" s="396"/>
      <c r="B845" s="397"/>
      <c r="C845" s="398"/>
      <c r="D845" s="398"/>
      <c r="E845" s="398"/>
      <c r="F845" s="398"/>
      <c r="G845" s="398"/>
      <c r="H845" s="398"/>
      <c r="I845" s="398"/>
      <c r="J845" s="398"/>
      <c r="K845" s="398"/>
      <c r="L845" s="398"/>
      <c r="M845" s="398"/>
      <c r="N845" s="398"/>
      <c r="O845" s="398"/>
      <c r="P845" s="398"/>
      <c r="Q845" s="398"/>
      <c r="R845" s="398"/>
      <c r="S845" s="398"/>
      <c r="T845" s="398"/>
      <c r="U845" s="398"/>
      <c r="V845" s="398"/>
      <c r="W845" s="398"/>
      <c r="X845" s="398"/>
      <c r="Y845" s="398"/>
      <c r="Z845" s="398"/>
    </row>
    <row r="846">
      <c r="A846" s="396"/>
      <c r="B846" s="397"/>
      <c r="C846" s="398"/>
      <c r="D846" s="398"/>
      <c r="E846" s="398"/>
      <c r="F846" s="398"/>
      <c r="G846" s="398"/>
      <c r="H846" s="398"/>
      <c r="I846" s="398"/>
      <c r="J846" s="398"/>
      <c r="K846" s="398"/>
      <c r="L846" s="398"/>
      <c r="M846" s="398"/>
      <c r="N846" s="398"/>
      <c r="O846" s="398"/>
      <c r="P846" s="398"/>
      <c r="Q846" s="398"/>
      <c r="R846" s="398"/>
      <c r="S846" s="398"/>
      <c r="T846" s="398"/>
      <c r="U846" s="398"/>
      <c r="V846" s="398"/>
      <c r="W846" s="398"/>
      <c r="X846" s="398"/>
      <c r="Y846" s="398"/>
      <c r="Z846" s="398"/>
    </row>
    <row r="847">
      <c r="A847" s="396"/>
      <c r="B847" s="397"/>
      <c r="C847" s="398"/>
      <c r="D847" s="398"/>
      <c r="E847" s="398"/>
      <c r="F847" s="398"/>
      <c r="G847" s="398"/>
      <c r="H847" s="398"/>
      <c r="I847" s="398"/>
      <c r="J847" s="398"/>
      <c r="K847" s="398"/>
      <c r="L847" s="398"/>
      <c r="M847" s="398"/>
      <c r="N847" s="398"/>
      <c r="O847" s="398"/>
      <c r="P847" s="398"/>
      <c r="Q847" s="398"/>
      <c r="R847" s="398"/>
      <c r="S847" s="398"/>
      <c r="T847" s="398"/>
      <c r="U847" s="398"/>
      <c r="V847" s="398"/>
      <c r="W847" s="398"/>
      <c r="X847" s="398"/>
      <c r="Y847" s="398"/>
      <c r="Z847" s="398"/>
    </row>
    <row r="848">
      <c r="A848" s="396"/>
      <c r="B848" s="397"/>
      <c r="C848" s="398"/>
      <c r="D848" s="398"/>
      <c r="E848" s="398"/>
      <c r="F848" s="398"/>
      <c r="G848" s="398"/>
      <c r="H848" s="398"/>
      <c r="I848" s="398"/>
      <c r="J848" s="398"/>
      <c r="K848" s="398"/>
      <c r="L848" s="398"/>
      <c r="M848" s="398"/>
      <c r="N848" s="398"/>
      <c r="O848" s="398"/>
      <c r="P848" s="398"/>
      <c r="Q848" s="398"/>
      <c r="R848" s="398"/>
      <c r="S848" s="398"/>
      <c r="T848" s="398"/>
      <c r="U848" s="398"/>
      <c r="V848" s="398"/>
      <c r="W848" s="398"/>
      <c r="X848" s="398"/>
      <c r="Y848" s="398"/>
      <c r="Z848" s="398"/>
    </row>
    <row r="849">
      <c r="A849" s="396"/>
      <c r="B849" s="397"/>
      <c r="C849" s="398"/>
      <c r="D849" s="398"/>
      <c r="E849" s="398"/>
      <c r="F849" s="398"/>
      <c r="G849" s="398"/>
      <c r="H849" s="398"/>
      <c r="I849" s="398"/>
      <c r="J849" s="398"/>
      <c r="K849" s="398"/>
      <c r="L849" s="398"/>
      <c r="M849" s="398"/>
      <c r="N849" s="398"/>
      <c r="O849" s="398"/>
      <c r="P849" s="398"/>
      <c r="Q849" s="398"/>
      <c r="R849" s="398"/>
      <c r="S849" s="398"/>
      <c r="T849" s="398"/>
      <c r="U849" s="398"/>
      <c r="V849" s="398"/>
      <c r="W849" s="398"/>
      <c r="X849" s="398"/>
      <c r="Y849" s="398"/>
      <c r="Z849" s="398"/>
    </row>
    <row r="850">
      <c r="A850" s="396"/>
      <c r="B850" s="397"/>
      <c r="C850" s="398"/>
      <c r="D850" s="398"/>
      <c r="E850" s="398"/>
      <c r="F850" s="398"/>
      <c r="G850" s="398"/>
      <c r="H850" s="398"/>
      <c r="I850" s="398"/>
      <c r="J850" s="398"/>
      <c r="K850" s="398"/>
      <c r="L850" s="398"/>
      <c r="M850" s="398"/>
      <c r="N850" s="398"/>
      <c r="O850" s="398"/>
      <c r="P850" s="398"/>
      <c r="Q850" s="398"/>
      <c r="R850" s="398"/>
      <c r="S850" s="398"/>
      <c r="T850" s="398"/>
      <c r="U850" s="398"/>
      <c r="V850" s="398"/>
      <c r="W850" s="398"/>
      <c r="X850" s="398"/>
      <c r="Y850" s="398"/>
      <c r="Z850" s="398"/>
    </row>
    <row r="851">
      <c r="A851" s="396"/>
      <c r="B851" s="397"/>
      <c r="C851" s="398"/>
      <c r="D851" s="398"/>
      <c r="E851" s="398"/>
      <c r="F851" s="398"/>
      <c r="G851" s="398"/>
      <c r="H851" s="398"/>
      <c r="I851" s="398"/>
      <c r="J851" s="398"/>
      <c r="K851" s="398"/>
      <c r="L851" s="398"/>
      <c r="M851" s="398"/>
      <c r="N851" s="398"/>
      <c r="O851" s="398"/>
      <c r="P851" s="398"/>
      <c r="Q851" s="398"/>
      <c r="R851" s="398"/>
      <c r="S851" s="398"/>
      <c r="T851" s="398"/>
      <c r="U851" s="398"/>
      <c r="V851" s="398"/>
      <c r="W851" s="398"/>
      <c r="X851" s="398"/>
      <c r="Y851" s="398"/>
      <c r="Z851" s="398"/>
    </row>
    <row r="852">
      <c r="A852" s="396"/>
      <c r="B852" s="397"/>
      <c r="C852" s="398"/>
      <c r="D852" s="398"/>
      <c r="E852" s="398"/>
      <c r="F852" s="398"/>
      <c r="G852" s="398"/>
      <c r="H852" s="398"/>
      <c r="I852" s="398"/>
      <c r="J852" s="398"/>
      <c r="K852" s="398"/>
      <c r="L852" s="398"/>
      <c r="M852" s="398"/>
      <c r="N852" s="398"/>
      <c r="O852" s="398"/>
      <c r="P852" s="398"/>
      <c r="Q852" s="398"/>
      <c r="R852" s="398"/>
      <c r="S852" s="398"/>
      <c r="T852" s="398"/>
      <c r="U852" s="398"/>
      <c r="V852" s="398"/>
      <c r="W852" s="398"/>
      <c r="X852" s="398"/>
      <c r="Y852" s="398"/>
      <c r="Z852" s="398"/>
    </row>
    <row r="853">
      <c r="A853" s="396"/>
      <c r="B853" s="397"/>
      <c r="C853" s="398"/>
      <c r="D853" s="398"/>
      <c r="E853" s="398"/>
      <c r="F853" s="398"/>
      <c r="G853" s="398"/>
      <c r="H853" s="398"/>
      <c r="I853" s="398"/>
      <c r="J853" s="398"/>
      <c r="K853" s="398"/>
      <c r="L853" s="398"/>
      <c r="M853" s="398"/>
      <c r="N853" s="398"/>
      <c r="O853" s="398"/>
      <c r="P853" s="398"/>
      <c r="Q853" s="398"/>
      <c r="R853" s="398"/>
      <c r="S853" s="398"/>
      <c r="T853" s="398"/>
      <c r="U853" s="398"/>
      <c r="V853" s="398"/>
      <c r="W853" s="398"/>
      <c r="X853" s="398"/>
      <c r="Y853" s="398"/>
      <c r="Z853" s="398"/>
    </row>
    <row r="854">
      <c r="A854" s="396"/>
      <c r="B854" s="397"/>
      <c r="C854" s="398"/>
      <c r="D854" s="398"/>
      <c r="E854" s="398"/>
      <c r="F854" s="398"/>
      <c r="G854" s="398"/>
      <c r="H854" s="398"/>
      <c r="I854" s="398"/>
      <c r="J854" s="398"/>
      <c r="K854" s="398"/>
      <c r="L854" s="398"/>
      <c r="M854" s="398"/>
      <c r="N854" s="398"/>
      <c r="O854" s="398"/>
      <c r="P854" s="398"/>
      <c r="Q854" s="398"/>
      <c r="R854" s="398"/>
      <c r="S854" s="398"/>
      <c r="T854" s="398"/>
      <c r="U854" s="398"/>
      <c r="V854" s="398"/>
      <c r="W854" s="398"/>
      <c r="X854" s="398"/>
      <c r="Y854" s="398"/>
      <c r="Z854" s="398"/>
    </row>
    <row r="855">
      <c r="A855" s="396"/>
      <c r="B855" s="397"/>
      <c r="C855" s="398"/>
      <c r="D855" s="398"/>
      <c r="E855" s="398"/>
      <c r="F855" s="398"/>
      <c r="G855" s="398"/>
      <c r="H855" s="398"/>
      <c r="I855" s="398"/>
      <c r="J855" s="398"/>
      <c r="K855" s="398"/>
      <c r="L855" s="398"/>
      <c r="M855" s="398"/>
      <c r="N855" s="398"/>
      <c r="O855" s="398"/>
      <c r="P855" s="398"/>
      <c r="Q855" s="398"/>
      <c r="R855" s="398"/>
      <c r="S855" s="398"/>
      <c r="T855" s="398"/>
      <c r="U855" s="398"/>
      <c r="V855" s="398"/>
      <c r="W855" s="398"/>
      <c r="X855" s="398"/>
      <c r="Y855" s="398"/>
      <c r="Z855" s="398"/>
    </row>
    <row r="856">
      <c r="A856" s="396"/>
      <c r="B856" s="397"/>
      <c r="C856" s="398"/>
      <c r="D856" s="398"/>
      <c r="E856" s="398"/>
      <c r="F856" s="398"/>
      <c r="G856" s="398"/>
      <c r="H856" s="398"/>
      <c r="I856" s="398"/>
      <c r="J856" s="398"/>
      <c r="K856" s="398"/>
      <c r="L856" s="398"/>
      <c r="M856" s="398"/>
      <c r="N856" s="398"/>
      <c r="O856" s="398"/>
      <c r="P856" s="398"/>
      <c r="Q856" s="398"/>
      <c r="R856" s="398"/>
      <c r="S856" s="398"/>
      <c r="T856" s="398"/>
      <c r="U856" s="398"/>
      <c r="V856" s="398"/>
      <c r="W856" s="398"/>
      <c r="X856" s="398"/>
      <c r="Y856" s="398"/>
      <c r="Z856" s="398"/>
    </row>
    <row r="857">
      <c r="A857" s="396"/>
      <c r="B857" s="397"/>
      <c r="C857" s="398"/>
      <c r="D857" s="398"/>
      <c r="E857" s="398"/>
      <c r="F857" s="398"/>
      <c r="G857" s="398"/>
      <c r="H857" s="398"/>
      <c r="I857" s="398"/>
      <c r="J857" s="398"/>
      <c r="K857" s="398"/>
      <c r="L857" s="398"/>
      <c r="M857" s="398"/>
      <c r="N857" s="398"/>
      <c r="O857" s="398"/>
      <c r="P857" s="398"/>
      <c r="Q857" s="398"/>
      <c r="R857" s="398"/>
      <c r="S857" s="398"/>
      <c r="T857" s="398"/>
      <c r="U857" s="398"/>
      <c r="V857" s="398"/>
      <c r="W857" s="398"/>
      <c r="X857" s="398"/>
      <c r="Y857" s="398"/>
      <c r="Z857" s="398"/>
    </row>
    <row r="858">
      <c r="A858" s="396"/>
      <c r="B858" s="397"/>
      <c r="C858" s="398"/>
      <c r="D858" s="398"/>
      <c r="E858" s="398"/>
      <c r="F858" s="398"/>
      <c r="G858" s="398"/>
      <c r="H858" s="398"/>
      <c r="I858" s="398"/>
      <c r="J858" s="398"/>
      <c r="K858" s="398"/>
      <c r="L858" s="398"/>
      <c r="M858" s="398"/>
      <c r="N858" s="398"/>
      <c r="O858" s="398"/>
      <c r="P858" s="398"/>
      <c r="Q858" s="398"/>
      <c r="R858" s="398"/>
      <c r="S858" s="398"/>
      <c r="T858" s="398"/>
      <c r="U858" s="398"/>
      <c r="V858" s="398"/>
      <c r="W858" s="398"/>
      <c r="X858" s="398"/>
      <c r="Y858" s="398"/>
      <c r="Z858" s="398"/>
    </row>
    <row r="859">
      <c r="A859" s="396"/>
      <c r="B859" s="397"/>
      <c r="C859" s="398"/>
      <c r="D859" s="398"/>
      <c r="E859" s="398"/>
      <c r="F859" s="398"/>
      <c r="G859" s="398"/>
      <c r="H859" s="398"/>
      <c r="I859" s="398"/>
      <c r="J859" s="398"/>
      <c r="K859" s="398"/>
      <c r="L859" s="398"/>
      <c r="M859" s="398"/>
      <c r="N859" s="398"/>
      <c r="O859" s="398"/>
      <c r="P859" s="398"/>
      <c r="Q859" s="398"/>
      <c r="R859" s="398"/>
      <c r="S859" s="398"/>
      <c r="T859" s="398"/>
      <c r="U859" s="398"/>
      <c r="V859" s="398"/>
      <c r="W859" s="398"/>
      <c r="X859" s="398"/>
      <c r="Y859" s="398"/>
      <c r="Z859" s="398"/>
    </row>
    <row r="860">
      <c r="A860" s="396"/>
      <c r="B860" s="397"/>
      <c r="C860" s="398"/>
      <c r="D860" s="398"/>
      <c r="E860" s="398"/>
      <c r="F860" s="398"/>
      <c r="G860" s="398"/>
      <c r="H860" s="398"/>
      <c r="I860" s="398"/>
      <c r="J860" s="398"/>
      <c r="K860" s="398"/>
      <c r="L860" s="398"/>
      <c r="M860" s="398"/>
      <c r="N860" s="398"/>
      <c r="O860" s="398"/>
      <c r="P860" s="398"/>
      <c r="Q860" s="398"/>
      <c r="R860" s="398"/>
      <c r="S860" s="398"/>
      <c r="T860" s="398"/>
      <c r="U860" s="398"/>
      <c r="V860" s="398"/>
      <c r="W860" s="398"/>
      <c r="X860" s="398"/>
      <c r="Y860" s="398"/>
      <c r="Z860" s="398"/>
    </row>
    <row r="861">
      <c r="A861" s="396"/>
      <c r="B861" s="397"/>
      <c r="C861" s="398"/>
      <c r="D861" s="398"/>
      <c r="E861" s="398"/>
      <c r="F861" s="398"/>
      <c r="G861" s="398"/>
      <c r="H861" s="398"/>
      <c r="I861" s="398"/>
      <c r="J861" s="398"/>
      <c r="K861" s="398"/>
      <c r="L861" s="398"/>
      <c r="M861" s="398"/>
      <c r="N861" s="398"/>
      <c r="O861" s="398"/>
      <c r="P861" s="398"/>
      <c r="Q861" s="398"/>
      <c r="R861" s="398"/>
      <c r="S861" s="398"/>
      <c r="T861" s="398"/>
      <c r="U861" s="398"/>
      <c r="V861" s="398"/>
      <c r="W861" s="398"/>
      <c r="X861" s="398"/>
      <c r="Y861" s="398"/>
      <c r="Z861" s="398"/>
    </row>
    <row r="862">
      <c r="A862" s="396"/>
      <c r="B862" s="397"/>
      <c r="C862" s="398"/>
      <c r="D862" s="398"/>
      <c r="E862" s="398"/>
      <c r="F862" s="398"/>
      <c r="G862" s="398"/>
      <c r="H862" s="398"/>
      <c r="I862" s="398"/>
      <c r="J862" s="398"/>
      <c r="K862" s="398"/>
      <c r="L862" s="398"/>
      <c r="M862" s="398"/>
      <c r="N862" s="398"/>
      <c r="O862" s="398"/>
      <c r="P862" s="398"/>
      <c r="Q862" s="398"/>
      <c r="R862" s="398"/>
      <c r="S862" s="398"/>
      <c r="T862" s="398"/>
      <c r="U862" s="398"/>
      <c r="V862" s="398"/>
      <c r="W862" s="398"/>
      <c r="X862" s="398"/>
      <c r="Y862" s="398"/>
      <c r="Z862" s="398"/>
    </row>
    <row r="863">
      <c r="A863" s="396"/>
      <c r="B863" s="397"/>
      <c r="C863" s="398"/>
      <c r="D863" s="398"/>
      <c r="E863" s="398"/>
      <c r="F863" s="398"/>
      <c r="G863" s="398"/>
      <c r="H863" s="398"/>
      <c r="I863" s="398"/>
      <c r="J863" s="398"/>
      <c r="K863" s="398"/>
      <c r="L863" s="398"/>
      <c r="M863" s="398"/>
      <c r="N863" s="398"/>
      <c r="O863" s="398"/>
      <c r="P863" s="398"/>
      <c r="Q863" s="398"/>
      <c r="R863" s="398"/>
      <c r="S863" s="398"/>
      <c r="T863" s="398"/>
      <c r="U863" s="398"/>
      <c r="V863" s="398"/>
      <c r="W863" s="398"/>
      <c r="X863" s="398"/>
      <c r="Y863" s="398"/>
      <c r="Z863" s="398"/>
    </row>
    <row r="864">
      <c r="A864" s="396"/>
      <c r="B864" s="397"/>
      <c r="C864" s="398"/>
      <c r="D864" s="398"/>
      <c r="E864" s="398"/>
      <c r="F864" s="398"/>
      <c r="G864" s="398"/>
      <c r="H864" s="398"/>
      <c r="I864" s="398"/>
      <c r="J864" s="398"/>
      <c r="K864" s="398"/>
      <c r="L864" s="398"/>
      <c r="M864" s="398"/>
      <c r="N864" s="398"/>
      <c r="O864" s="398"/>
      <c r="P864" s="398"/>
      <c r="Q864" s="398"/>
      <c r="R864" s="398"/>
      <c r="S864" s="398"/>
      <c r="T864" s="398"/>
      <c r="U864" s="398"/>
      <c r="V864" s="398"/>
      <c r="W864" s="398"/>
      <c r="X864" s="398"/>
      <c r="Y864" s="398"/>
      <c r="Z864" s="398"/>
    </row>
    <row r="865">
      <c r="A865" s="396"/>
      <c r="B865" s="397"/>
      <c r="C865" s="398"/>
      <c r="D865" s="398"/>
      <c r="E865" s="398"/>
      <c r="F865" s="398"/>
      <c r="G865" s="398"/>
      <c r="H865" s="398"/>
      <c r="I865" s="398"/>
      <c r="J865" s="398"/>
      <c r="K865" s="398"/>
      <c r="L865" s="398"/>
      <c r="M865" s="398"/>
      <c r="N865" s="398"/>
      <c r="O865" s="398"/>
      <c r="P865" s="398"/>
      <c r="Q865" s="398"/>
      <c r="R865" s="398"/>
      <c r="S865" s="398"/>
      <c r="T865" s="398"/>
      <c r="U865" s="398"/>
      <c r="V865" s="398"/>
      <c r="W865" s="398"/>
      <c r="X865" s="398"/>
      <c r="Y865" s="398"/>
      <c r="Z865" s="398"/>
    </row>
    <row r="866">
      <c r="A866" s="396"/>
      <c r="B866" s="397"/>
      <c r="C866" s="398"/>
      <c r="D866" s="398"/>
      <c r="E866" s="398"/>
      <c r="F866" s="398"/>
      <c r="G866" s="398"/>
      <c r="H866" s="398"/>
      <c r="I866" s="398"/>
      <c r="J866" s="398"/>
      <c r="K866" s="398"/>
      <c r="L866" s="398"/>
      <c r="M866" s="398"/>
      <c r="N866" s="398"/>
      <c r="O866" s="398"/>
      <c r="P866" s="398"/>
      <c r="Q866" s="398"/>
      <c r="R866" s="398"/>
      <c r="S866" s="398"/>
      <c r="T866" s="398"/>
      <c r="U866" s="398"/>
      <c r="V866" s="398"/>
      <c r="W866" s="398"/>
      <c r="X866" s="398"/>
      <c r="Y866" s="398"/>
      <c r="Z866" s="398"/>
    </row>
    <row r="867">
      <c r="A867" s="396"/>
      <c r="B867" s="397"/>
      <c r="C867" s="398"/>
      <c r="D867" s="398"/>
      <c r="E867" s="398"/>
      <c r="F867" s="398"/>
      <c r="G867" s="398"/>
      <c r="H867" s="398"/>
      <c r="I867" s="398"/>
      <c r="J867" s="398"/>
      <c r="K867" s="398"/>
      <c r="L867" s="398"/>
      <c r="M867" s="398"/>
      <c r="N867" s="398"/>
      <c r="O867" s="398"/>
      <c r="P867" s="398"/>
      <c r="Q867" s="398"/>
      <c r="R867" s="398"/>
      <c r="S867" s="398"/>
      <c r="T867" s="398"/>
      <c r="U867" s="398"/>
      <c r="V867" s="398"/>
      <c r="W867" s="398"/>
      <c r="X867" s="398"/>
      <c r="Y867" s="398"/>
      <c r="Z867" s="398"/>
    </row>
    <row r="868">
      <c r="A868" s="396"/>
      <c r="B868" s="397"/>
      <c r="C868" s="398"/>
      <c r="D868" s="398"/>
      <c r="E868" s="398"/>
      <c r="F868" s="398"/>
      <c r="G868" s="398"/>
      <c r="H868" s="398"/>
      <c r="I868" s="398"/>
      <c r="J868" s="398"/>
      <c r="K868" s="398"/>
      <c r="L868" s="398"/>
      <c r="M868" s="398"/>
      <c r="N868" s="398"/>
      <c r="O868" s="398"/>
      <c r="P868" s="398"/>
      <c r="Q868" s="398"/>
      <c r="R868" s="398"/>
      <c r="S868" s="398"/>
      <c r="T868" s="398"/>
      <c r="U868" s="398"/>
      <c r="V868" s="398"/>
      <c r="W868" s="398"/>
      <c r="X868" s="398"/>
      <c r="Y868" s="398"/>
      <c r="Z868" s="398"/>
    </row>
    <row r="869">
      <c r="A869" s="396"/>
      <c r="B869" s="397"/>
      <c r="C869" s="398"/>
      <c r="D869" s="398"/>
      <c r="E869" s="398"/>
      <c r="F869" s="398"/>
      <c r="G869" s="398"/>
      <c r="H869" s="398"/>
      <c r="I869" s="398"/>
      <c r="J869" s="398"/>
      <c r="K869" s="398"/>
      <c r="L869" s="398"/>
      <c r="M869" s="398"/>
      <c r="N869" s="398"/>
      <c r="O869" s="398"/>
      <c r="P869" s="398"/>
      <c r="Q869" s="398"/>
      <c r="R869" s="398"/>
      <c r="S869" s="398"/>
      <c r="T869" s="398"/>
      <c r="U869" s="398"/>
      <c r="V869" s="398"/>
      <c r="W869" s="398"/>
      <c r="X869" s="398"/>
      <c r="Y869" s="398"/>
      <c r="Z869" s="398"/>
    </row>
    <row r="870">
      <c r="A870" s="396"/>
      <c r="B870" s="397"/>
      <c r="C870" s="398"/>
      <c r="D870" s="398"/>
      <c r="E870" s="398"/>
      <c r="F870" s="398"/>
      <c r="G870" s="398"/>
      <c r="H870" s="398"/>
      <c r="I870" s="398"/>
      <c r="J870" s="398"/>
      <c r="K870" s="398"/>
      <c r="L870" s="398"/>
      <c r="M870" s="398"/>
      <c r="N870" s="398"/>
      <c r="O870" s="398"/>
      <c r="P870" s="398"/>
      <c r="Q870" s="398"/>
      <c r="R870" s="398"/>
      <c r="S870" s="398"/>
      <c r="T870" s="398"/>
      <c r="U870" s="398"/>
      <c r="V870" s="398"/>
      <c r="W870" s="398"/>
      <c r="X870" s="398"/>
      <c r="Y870" s="398"/>
      <c r="Z870" s="398"/>
    </row>
    <row r="871">
      <c r="A871" s="396"/>
      <c r="B871" s="397"/>
      <c r="C871" s="398"/>
      <c r="D871" s="398"/>
      <c r="E871" s="398"/>
      <c r="F871" s="398"/>
      <c r="G871" s="398"/>
      <c r="H871" s="398"/>
      <c r="I871" s="398"/>
      <c r="J871" s="398"/>
      <c r="K871" s="398"/>
      <c r="L871" s="398"/>
      <c r="M871" s="398"/>
      <c r="N871" s="398"/>
      <c r="O871" s="398"/>
      <c r="P871" s="398"/>
      <c r="Q871" s="398"/>
      <c r="R871" s="398"/>
      <c r="S871" s="398"/>
      <c r="T871" s="398"/>
      <c r="U871" s="398"/>
      <c r="V871" s="398"/>
      <c r="W871" s="398"/>
      <c r="X871" s="398"/>
      <c r="Y871" s="398"/>
      <c r="Z871" s="398"/>
    </row>
    <row r="872">
      <c r="A872" s="396"/>
      <c r="B872" s="397"/>
      <c r="C872" s="398"/>
      <c r="D872" s="398"/>
      <c r="E872" s="398"/>
      <c r="F872" s="398"/>
      <c r="G872" s="398"/>
      <c r="H872" s="398"/>
      <c r="I872" s="398"/>
      <c r="J872" s="398"/>
      <c r="K872" s="398"/>
      <c r="L872" s="398"/>
      <c r="M872" s="398"/>
      <c r="N872" s="398"/>
      <c r="O872" s="398"/>
      <c r="P872" s="398"/>
      <c r="Q872" s="398"/>
      <c r="R872" s="398"/>
      <c r="S872" s="398"/>
      <c r="T872" s="398"/>
      <c r="U872" s="398"/>
      <c r="V872" s="398"/>
      <c r="W872" s="398"/>
      <c r="X872" s="398"/>
      <c r="Y872" s="398"/>
      <c r="Z872" s="398"/>
    </row>
    <row r="873">
      <c r="A873" s="396"/>
      <c r="B873" s="397"/>
      <c r="C873" s="398"/>
      <c r="D873" s="398"/>
      <c r="E873" s="398"/>
      <c r="F873" s="398"/>
      <c r="G873" s="398"/>
      <c r="H873" s="398"/>
      <c r="I873" s="398"/>
      <c r="J873" s="398"/>
      <c r="K873" s="398"/>
      <c r="L873" s="398"/>
      <c r="M873" s="398"/>
      <c r="N873" s="398"/>
      <c r="O873" s="398"/>
      <c r="P873" s="398"/>
      <c r="Q873" s="398"/>
      <c r="R873" s="398"/>
      <c r="S873" s="398"/>
      <c r="T873" s="398"/>
      <c r="U873" s="398"/>
      <c r="V873" s="398"/>
      <c r="W873" s="398"/>
      <c r="X873" s="398"/>
      <c r="Y873" s="398"/>
      <c r="Z873" s="398"/>
    </row>
    <row r="874">
      <c r="A874" s="396"/>
      <c r="B874" s="397"/>
      <c r="C874" s="398"/>
      <c r="D874" s="398"/>
      <c r="E874" s="398"/>
      <c r="F874" s="398"/>
      <c r="G874" s="398"/>
      <c r="H874" s="398"/>
      <c r="I874" s="398"/>
      <c r="J874" s="398"/>
      <c r="K874" s="398"/>
      <c r="L874" s="398"/>
      <c r="M874" s="398"/>
      <c r="N874" s="398"/>
      <c r="O874" s="398"/>
      <c r="P874" s="398"/>
      <c r="Q874" s="398"/>
      <c r="R874" s="398"/>
      <c r="S874" s="398"/>
      <c r="T874" s="398"/>
      <c r="U874" s="398"/>
      <c r="V874" s="398"/>
      <c r="W874" s="398"/>
      <c r="X874" s="398"/>
      <c r="Y874" s="398"/>
      <c r="Z874" s="398"/>
    </row>
    <row r="875">
      <c r="A875" s="396"/>
      <c r="B875" s="397"/>
      <c r="C875" s="398"/>
      <c r="D875" s="398"/>
      <c r="E875" s="398"/>
      <c r="F875" s="398"/>
      <c r="G875" s="398"/>
      <c r="H875" s="398"/>
      <c r="I875" s="398"/>
      <c r="J875" s="398"/>
      <c r="K875" s="398"/>
      <c r="L875" s="398"/>
      <c r="M875" s="398"/>
      <c r="N875" s="398"/>
      <c r="O875" s="398"/>
      <c r="P875" s="398"/>
      <c r="Q875" s="398"/>
      <c r="R875" s="398"/>
      <c r="S875" s="398"/>
      <c r="T875" s="398"/>
      <c r="U875" s="398"/>
      <c r="V875" s="398"/>
      <c r="W875" s="398"/>
      <c r="X875" s="398"/>
      <c r="Y875" s="398"/>
      <c r="Z875" s="398"/>
    </row>
    <row r="876">
      <c r="A876" s="396"/>
      <c r="B876" s="397"/>
      <c r="C876" s="398"/>
      <c r="D876" s="398"/>
      <c r="E876" s="398"/>
      <c r="F876" s="398"/>
      <c r="G876" s="398"/>
      <c r="H876" s="398"/>
      <c r="I876" s="398"/>
      <c r="J876" s="398"/>
      <c r="K876" s="398"/>
      <c r="L876" s="398"/>
      <c r="M876" s="398"/>
      <c r="N876" s="398"/>
      <c r="O876" s="398"/>
      <c r="P876" s="398"/>
      <c r="Q876" s="398"/>
      <c r="R876" s="398"/>
      <c r="S876" s="398"/>
      <c r="T876" s="398"/>
      <c r="U876" s="398"/>
      <c r="V876" s="398"/>
      <c r="W876" s="398"/>
      <c r="X876" s="398"/>
      <c r="Y876" s="398"/>
      <c r="Z876" s="398"/>
    </row>
    <row r="877">
      <c r="A877" s="396"/>
      <c r="B877" s="397"/>
      <c r="C877" s="398"/>
      <c r="D877" s="398"/>
      <c r="E877" s="398"/>
      <c r="F877" s="398"/>
      <c r="G877" s="398"/>
      <c r="H877" s="398"/>
      <c r="I877" s="398"/>
      <c r="J877" s="398"/>
      <c r="K877" s="398"/>
      <c r="L877" s="398"/>
      <c r="M877" s="398"/>
      <c r="N877" s="398"/>
      <c r="O877" s="398"/>
      <c r="P877" s="398"/>
      <c r="Q877" s="398"/>
      <c r="R877" s="398"/>
      <c r="S877" s="398"/>
      <c r="T877" s="398"/>
      <c r="U877" s="398"/>
      <c r="V877" s="398"/>
      <c r="W877" s="398"/>
      <c r="X877" s="398"/>
      <c r="Y877" s="398"/>
      <c r="Z877" s="398"/>
    </row>
    <row r="878">
      <c r="A878" s="396"/>
      <c r="B878" s="397"/>
      <c r="C878" s="398"/>
      <c r="D878" s="398"/>
      <c r="E878" s="398"/>
      <c r="F878" s="398"/>
      <c r="G878" s="398"/>
      <c r="H878" s="398"/>
      <c r="I878" s="398"/>
      <c r="J878" s="398"/>
      <c r="K878" s="398"/>
      <c r="L878" s="398"/>
      <c r="M878" s="398"/>
      <c r="N878" s="398"/>
      <c r="O878" s="398"/>
      <c r="P878" s="398"/>
      <c r="Q878" s="398"/>
      <c r="R878" s="398"/>
      <c r="S878" s="398"/>
      <c r="T878" s="398"/>
      <c r="U878" s="398"/>
      <c r="V878" s="398"/>
      <c r="W878" s="398"/>
      <c r="X878" s="398"/>
      <c r="Y878" s="398"/>
      <c r="Z878" s="398"/>
    </row>
    <row r="879">
      <c r="A879" s="396"/>
      <c r="B879" s="397"/>
      <c r="C879" s="398"/>
      <c r="D879" s="398"/>
      <c r="E879" s="398"/>
      <c r="F879" s="398"/>
      <c r="G879" s="398"/>
      <c r="H879" s="398"/>
      <c r="I879" s="398"/>
      <c r="J879" s="398"/>
      <c r="K879" s="398"/>
      <c r="L879" s="398"/>
      <c r="M879" s="398"/>
      <c r="N879" s="398"/>
      <c r="O879" s="398"/>
      <c r="P879" s="398"/>
      <c r="Q879" s="398"/>
      <c r="R879" s="398"/>
      <c r="S879" s="398"/>
      <c r="T879" s="398"/>
      <c r="U879" s="398"/>
      <c r="V879" s="398"/>
      <c r="W879" s="398"/>
      <c r="X879" s="398"/>
      <c r="Y879" s="398"/>
      <c r="Z879" s="398"/>
    </row>
    <row r="880">
      <c r="A880" s="396"/>
      <c r="B880" s="397"/>
      <c r="C880" s="398"/>
      <c r="D880" s="398"/>
      <c r="E880" s="398"/>
      <c r="F880" s="398"/>
      <c r="G880" s="398"/>
      <c r="H880" s="398"/>
      <c r="I880" s="398"/>
      <c r="J880" s="398"/>
      <c r="K880" s="398"/>
      <c r="L880" s="398"/>
      <c r="M880" s="398"/>
      <c r="N880" s="398"/>
      <c r="O880" s="398"/>
      <c r="P880" s="398"/>
      <c r="Q880" s="398"/>
      <c r="R880" s="398"/>
      <c r="S880" s="398"/>
      <c r="T880" s="398"/>
      <c r="U880" s="398"/>
      <c r="V880" s="398"/>
      <c r="W880" s="398"/>
      <c r="X880" s="398"/>
      <c r="Y880" s="398"/>
      <c r="Z880" s="398"/>
    </row>
    <row r="881">
      <c r="A881" s="396"/>
      <c r="B881" s="397"/>
      <c r="C881" s="398"/>
      <c r="D881" s="398"/>
      <c r="E881" s="398"/>
      <c r="F881" s="398"/>
      <c r="G881" s="398"/>
      <c r="H881" s="398"/>
      <c r="I881" s="398"/>
      <c r="J881" s="398"/>
      <c r="K881" s="398"/>
      <c r="L881" s="398"/>
      <c r="M881" s="398"/>
      <c r="N881" s="398"/>
      <c r="O881" s="398"/>
      <c r="P881" s="398"/>
      <c r="Q881" s="398"/>
      <c r="R881" s="398"/>
      <c r="S881" s="398"/>
      <c r="T881" s="398"/>
      <c r="U881" s="398"/>
      <c r="V881" s="398"/>
      <c r="W881" s="398"/>
      <c r="X881" s="398"/>
      <c r="Y881" s="398"/>
      <c r="Z881" s="398"/>
    </row>
    <row r="882">
      <c r="A882" s="396"/>
      <c r="B882" s="397"/>
      <c r="C882" s="398"/>
      <c r="D882" s="398"/>
      <c r="E882" s="398"/>
      <c r="F882" s="398"/>
      <c r="G882" s="398"/>
      <c r="H882" s="398"/>
      <c r="I882" s="398"/>
      <c r="J882" s="398"/>
      <c r="K882" s="398"/>
      <c r="L882" s="398"/>
      <c r="M882" s="398"/>
      <c r="N882" s="398"/>
      <c r="O882" s="398"/>
      <c r="P882" s="398"/>
      <c r="Q882" s="398"/>
      <c r="R882" s="398"/>
      <c r="S882" s="398"/>
      <c r="T882" s="398"/>
      <c r="U882" s="398"/>
      <c r="V882" s="398"/>
      <c r="W882" s="398"/>
      <c r="X882" s="398"/>
      <c r="Y882" s="398"/>
      <c r="Z882" s="398"/>
    </row>
    <row r="883">
      <c r="A883" s="396"/>
      <c r="B883" s="397"/>
      <c r="C883" s="398"/>
      <c r="D883" s="398"/>
      <c r="E883" s="398"/>
      <c r="F883" s="398"/>
      <c r="G883" s="398"/>
      <c r="H883" s="398"/>
      <c r="I883" s="398"/>
      <c r="J883" s="398"/>
      <c r="K883" s="398"/>
      <c r="L883" s="398"/>
      <c r="M883" s="398"/>
      <c r="N883" s="398"/>
      <c r="O883" s="398"/>
      <c r="P883" s="398"/>
      <c r="Q883" s="398"/>
      <c r="R883" s="398"/>
      <c r="S883" s="398"/>
      <c r="T883" s="398"/>
      <c r="U883" s="398"/>
      <c r="V883" s="398"/>
      <c r="W883" s="398"/>
      <c r="X883" s="398"/>
      <c r="Y883" s="398"/>
      <c r="Z883" s="398"/>
    </row>
    <row r="884">
      <c r="A884" s="396"/>
      <c r="B884" s="397"/>
      <c r="C884" s="398"/>
      <c r="D884" s="398"/>
      <c r="E884" s="398"/>
      <c r="F884" s="398"/>
      <c r="G884" s="398"/>
      <c r="H884" s="398"/>
      <c r="I884" s="398"/>
      <c r="J884" s="398"/>
      <c r="K884" s="398"/>
      <c r="L884" s="398"/>
      <c r="M884" s="398"/>
      <c r="N884" s="398"/>
      <c r="O884" s="398"/>
      <c r="P884" s="398"/>
      <c r="Q884" s="398"/>
      <c r="R884" s="398"/>
      <c r="S884" s="398"/>
      <c r="T884" s="398"/>
      <c r="U884" s="398"/>
      <c r="V884" s="398"/>
      <c r="W884" s="398"/>
      <c r="X884" s="398"/>
      <c r="Y884" s="398"/>
      <c r="Z884" s="398"/>
    </row>
    <row r="885">
      <c r="A885" s="396"/>
      <c r="B885" s="397"/>
      <c r="C885" s="398"/>
      <c r="D885" s="398"/>
      <c r="E885" s="398"/>
      <c r="F885" s="398"/>
      <c r="G885" s="398"/>
      <c r="H885" s="398"/>
      <c r="I885" s="398"/>
      <c r="J885" s="398"/>
      <c r="K885" s="398"/>
      <c r="L885" s="398"/>
      <c r="M885" s="398"/>
      <c r="N885" s="398"/>
      <c r="O885" s="398"/>
      <c r="P885" s="398"/>
      <c r="Q885" s="398"/>
      <c r="R885" s="398"/>
      <c r="S885" s="398"/>
      <c r="T885" s="398"/>
      <c r="U885" s="398"/>
      <c r="V885" s="398"/>
      <c r="W885" s="398"/>
      <c r="X885" s="398"/>
      <c r="Y885" s="398"/>
      <c r="Z885" s="398"/>
    </row>
    <row r="886">
      <c r="A886" s="396"/>
      <c r="B886" s="397"/>
      <c r="C886" s="398"/>
      <c r="D886" s="398"/>
      <c r="E886" s="398"/>
      <c r="F886" s="398"/>
      <c r="G886" s="398"/>
      <c r="H886" s="398"/>
      <c r="I886" s="398"/>
      <c r="J886" s="398"/>
      <c r="K886" s="398"/>
      <c r="L886" s="398"/>
      <c r="M886" s="398"/>
      <c r="N886" s="398"/>
      <c r="O886" s="398"/>
      <c r="P886" s="398"/>
      <c r="Q886" s="398"/>
      <c r="R886" s="398"/>
      <c r="S886" s="398"/>
      <c r="T886" s="398"/>
      <c r="U886" s="398"/>
      <c r="V886" s="398"/>
      <c r="W886" s="398"/>
      <c r="X886" s="398"/>
      <c r="Y886" s="398"/>
      <c r="Z886" s="398"/>
    </row>
    <row r="887">
      <c r="A887" s="396"/>
      <c r="B887" s="397"/>
      <c r="C887" s="398"/>
      <c r="D887" s="398"/>
      <c r="E887" s="398"/>
      <c r="F887" s="398"/>
      <c r="G887" s="398"/>
      <c r="H887" s="398"/>
      <c r="I887" s="398"/>
      <c r="J887" s="398"/>
      <c r="K887" s="398"/>
      <c r="L887" s="398"/>
      <c r="M887" s="398"/>
      <c r="N887" s="398"/>
      <c r="O887" s="398"/>
      <c r="P887" s="398"/>
      <c r="Q887" s="398"/>
      <c r="R887" s="398"/>
      <c r="S887" s="398"/>
      <c r="T887" s="398"/>
      <c r="U887" s="398"/>
      <c r="V887" s="398"/>
      <c r="W887" s="398"/>
      <c r="X887" s="398"/>
      <c r="Y887" s="398"/>
      <c r="Z887" s="398"/>
    </row>
    <row r="888">
      <c r="A888" s="396"/>
      <c r="B888" s="397"/>
      <c r="C888" s="398"/>
      <c r="D888" s="398"/>
      <c r="E888" s="398"/>
      <c r="F888" s="398"/>
      <c r="G888" s="398"/>
      <c r="H888" s="398"/>
      <c r="I888" s="398"/>
      <c r="J888" s="398"/>
      <c r="K888" s="398"/>
      <c r="L888" s="398"/>
      <c r="M888" s="398"/>
      <c r="N888" s="398"/>
      <c r="O888" s="398"/>
      <c r="P888" s="398"/>
      <c r="Q888" s="398"/>
      <c r="R888" s="398"/>
      <c r="S888" s="398"/>
      <c r="T888" s="398"/>
      <c r="U888" s="398"/>
      <c r="V888" s="398"/>
      <c r="W888" s="398"/>
      <c r="X888" s="398"/>
      <c r="Y888" s="398"/>
      <c r="Z888" s="398"/>
    </row>
    <row r="889">
      <c r="A889" s="396"/>
      <c r="B889" s="397"/>
      <c r="C889" s="398"/>
      <c r="D889" s="398"/>
      <c r="E889" s="398"/>
      <c r="F889" s="398"/>
      <c r="G889" s="398"/>
      <c r="H889" s="398"/>
      <c r="I889" s="398"/>
      <c r="J889" s="398"/>
      <c r="K889" s="398"/>
      <c r="L889" s="398"/>
      <c r="M889" s="398"/>
      <c r="N889" s="398"/>
      <c r="O889" s="398"/>
      <c r="P889" s="398"/>
      <c r="Q889" s="398"/>
      <c r="R889" s="398"/>
      <c r="S889" s="398"/>
      <c r="T889" s="398"/>
      <c r="U889" s="398"/>
      <c r="V889" s="398"/>
      <c r="W889" s="398"/>
      <c r="X889" s="398"/>
      <c r="Y889" s="398"/>
      <c r="Z889" s="398"/>
    </row>
    <row r="890">
      <c r="A890" s="396"/>
      <c r="B890" s="397"/>
      <c r="C890" s="398"/>
      <c r="D890" s="398"/>
      <c r="E890" s="398"/>
      <c r="F890" s="398"/>
      <c r="G890" s="398"/>
      <c r="H890" s="398"/>
      <c r="I890" s="398"/>
      <c r="J890" s="398"/>
      <c r="K890" s="398"/>
      <c r="L890" s="398"/>
      <c r="M890" s="398"/>
      <c r="N890" s="398"/>
      <c r="O890" s="398"/>
      <c r="P890" s="398"/>
      <c r="Q890" s="398"/>
      <c r="R890" s="398"/>
      <c r="S890" s="398"/>
      <c r="T890" s="398"/>
      <c r="U890" s="398"/>
      <c r="V890" s="398"/>
      <c r="W890" s="398"/>
      <c r="X890" s="398"/>
      <c r="Y890" s="398"/>
      <c r="Z890" s="398"/>
    </row>
    <row r="891">
      <c r="A891" s="396"/>
      <c r="B891" s="397"/>
      <c r="C891" s="398"/>
      <c r="D891" s="398"/>
      <c r="E891" s="398"/>
      <c r="F891" s="398"/>
      <c r="G891" s="398"/>
      <c r="H891" s="398"/>
      <c r="I891" s="398"/>
      <c r="J891" s="398"/>
      <c r="K891" s="398"/>
      <c r="L891" s="398"/>
      <c r="M891" s="398"/>
      <c r="N891" s="398"/>
      <c r="O891" s="398"/>
      <c r="P891" s="398"/>
      <c r="Q891" s="398"/>
      <c r="R891" s="398"/>
      <c r="S891" s="398"/>
      <c r="T891" s="398"/>
      <c r="U891" s="398"/>
      <c r="V891" s="398"/>
      <c r="W891" s="398"/>
      <c r="X891" s="398"/>
      <c r="Y891" s="398"/>
      <c r="Z891" s="398"/>
    </row>
    <row r="892">
      <c r="A892" s="396"/>
      <c r="B892" s="397"/>
      <c r="C892" s="398"/>
      <c r="D892" s="398"/>
      <c r="E892" s="398"/>
      <c r="F892" s="398"/>
      <c r="G892" s="398"/>
      <c r="H892" s="398"/>
      <c r="I892" s="398"/>
      <c r="J892" s="398"/>
      <c r="K892" s="398"/>
      <c r="L892" s="398"/>
      <c r="M892" s="398"/>
      <c r="N892" s="398"/>
      <c r="O892" s="398"/>
      <c r="P892" s="398"/>
      <c r="Q892" s="398"/>
      <c r="R892" s="398"/>
      <c r="S892" s="398"/>
      <c r="T892" s="398"/>
      <c r="U892" s="398"/>
      <c r="V892" s="398"/>
      <c r="W892" s="398"/>
      <c r="X892" s="398"/>
      <c r="Y892" s="398"/>
      <c r="Z892" s="398"/>
    </row>
    <row r="893">
      <c r="A893" s="396"/>
      <c r="B893" s="397"/>
      <c r="C893" s="398"/>
      <c r="D893" s="398"/>
      <c r="E893" s="398"/>
      <c r="F893" s="398"/>
      <c r="G893" s="398"/>
      <c r="H893" s="398"/>
      <c r="I893" s="398"/>
      <c r="J893" s="398"/>
      <c r="K893" s="398"/>
      <c r="L893" s="398"/>
      <c r="M893" s="398"/>
      <c r="N893" s="398"/>
      <c r="O893" s="398"/>
      <c r="P893" s="398"/>
      <c r="Q893" s="398"/>
      <c r="R893" s="398"/>
      <c r="S893" s="398"/>
      <c r="T893" s="398"/>
      <c r="U893" s="398"/>
      <c r="V893" s="398"/>
      <c r="W893" s="398"/>
      <c r="X893" s="398"/>
      <c r="Y893" s="398"/>
      <c r="Z893" s="398"/>
    </row>
    <row r="894">
      <c r="A894" s="396"/>
      <c r="B894" s="397"/>
      <c r="C894" s="398"/>
      <c r="D894" s="398"/>
      <c r="E894" s="398"/>
      <c r="F894" s="398"/>
      <c r="G894" s="398"/>
      <c r="H894" s="398"/>
      <c r="I894" s="398"/>
      <c r="J894" s="398"/>
      <c r="K894" s="398"/>
      <c r="L894" s="398"/>
      <c r="M894" s="398"/>
      <c r="N894" s="398"/>
      <c r="O894" s="398"/>
      <c r="P894" s="398"/>
      <c r="Q894" s="398"/>
      <c r="R894" s="398"/>
      <c r="S894" s="398"/>
      <c r="T894" s="398"/>
      <c r="U894" s="398"/>
      <c r="V894" s="398"/>
      <c r="W894" s="398"/>
      <c r="X894" s="398"/>
      <c r="Y894" s="398"/>
      <c r="Z894" s="398"/>
    </row>
    <row r="895">
      <c r="A895" s="396"/>
      <c r="B895" s="397"/>
      <c r="C895" s="398"/>
      <c r="D895" s="398"/>
      <c r="E895" s="398"/>
      <c r="F895" s="398"/>
      <c r="G895" s="398"/>
      <c r="H895" s="398"/>
      <c r="I895" s="398"/>
      <c r="J895" s="398"/>
      <c r="K895" s="398"/>
      <c r="L895" s="398"/>
      <c r="M895" s="398"/>
      <c r="N895" s="398"/>
      <c r="O895" s="398"/>
      <c r="P895" s="398"/>
      <c r="Q895" s="398"/>
      <c r="R895" s="398"/>
      <c r="S895" s="398"/>
      <c r="T895" s="398"/>
      <c r="U895" s="398"/>
      <c r="V895" s="398"/>
      <c r="W895" s="398"/>
      <c r="X895" s="398"/>
      <c r="Y895" s="398"/>
      <c r="Z895" s="398"/>
    </row>
    <row r="896">
      <c r="A896" s="396"/>
      <c r="B896" s="397"/>
      <c r="C896" s="398"/>
      <c r="D896" s="398"/>
      <c r="E896" s="398"/>
      <c r="F896" s="398"/>
      <c r="G896" s="398"/>
      <c r="H896" s="398"/>
      <c r="I896" s="398"/>
      <c r="J896" s="398"/>
      <c r="K896" s="398"/>
      <c r="L896" s="398"/>
      <c r="M896" s="398"/>
      <c r="N896" s="398"/>
      <c r="O896" s="398"/>
      <c r="P896" s="398"/>
      <c r="Q896" s="398"/>
      <c r="R896" s="398"/>
      <c r="S896" s="398"/>
      <c r="T896" s="398"/>
      <c r="U896" s="398"/>
      <c r="V896" s="398"/>
      <c r="W896" s="398"/>
      <c r="X896" s="398"/>
      <c r="Y896" s="398"/>
      <c r="Z896" s="398"/>
    </row>
    <row r="897">
      <c r="A897" s="396"/>
      <c r="B897" s="397"/>
      <c r="C897" s="398"/>
      <c r="D897" s="398"/>
      <c r="E897" s="398"/>
      <c r="F897" s="398"/>
      <c r="G897" s="398"/>
      <c r="H897" s="398"/>
      <c r="I897" s="398"/>
      <c r="J897" s="398"/>
      <c r="K897" s="398"/>
      <c r="L897" s="398"/>
      <c r="M897" s="398"/>
      <c r="N897" s="398"/>
      <c r="O897" s="398"/>
      <c r="P897" s="398"/>
      <c r="Q897" s="398"/>
      <c r="R897" s="398"/>
      <c r="S897" s="398"/>
      <c r="T897" s="398"/>
      <c r="U897" s="398"/>
      <c r="V897" s="398"/>
      <c r="W897" s="398"/>
      <c r="X897" s="398"/>
      <c r="Y897" s="398"/>
      <c r="Z897" s="398"/>
    </row>
    <row r="898">
      <c r="A898" s="396"/>
      <c r="B898" s="397"/>
      <c r="C898" s="398"/>
      <c r="D898" s="398"/>
      <c r="E898" s="398"/>
      <c r="F898" s="398"/>
      <c r="G898" s="398"/>
      <c r="H898" s="398"/>
      <c r="I898" s="398"/>
      <c r="J898" s="398"/>
      <c r="K898" s="398"/>
      <c r="L898" s="398"/>
      <c r="M898" s="398"/>
      <c r="N898" s="398"/>
      <c r="O898" s="398"/>
      <c r="P898" s="398"/>
      <c r="Q898" s="398"/>
      <c r="R898" s="398"/>
      <c r="S898" s="398"/>
      <c r="T898" s="398"/>
      <c r="U898" s="398"/>
      <c r="V898" s="398"/>
      <c r="W898" s="398"/>
      <c r="X898" s="398"/>
      <c r="Y898" s="398"/>
      <c r="Z898" s="398"/>
    </row>
    <row r="899">
      <c r="A899" s="396"/>
      <c r="B899" s="397"/>
      <c r="C899" s="398"/>
      <c r="D899" s="398"/>
      <c r="E899" s="398"/>
      <c r="F899" s="398"/>
      <c r="G899" s="398"/>
      <c r="H899" s="398"/>
      <c r="I899" s="398"/>
      <c r="J899" s="398"/>
      <c r="K899" s="398"/>
      <c r="L899" s="398"/>
      <c r="M899" s="398"/>
      <c r="N899" s="398"/>
      <c r="O899" s="398"/>
      <c r="P899" s="398"/>
      <c r="Q899" s="398"/>
      <c r="R899" s="398"/>
      <c r="S899" s="398"/>
      <c r="T899" s="398"/>
      <c r="U899" s="398"/>
      <c r="V899" s="398"/>
      <c r="W899" s="398"/>
      <c r="X899" s="398"/>
      <c r="Y899" s="398"/>
      <c r="Z899" s="398"/>
    </row>
    <row r="900">
      <c r="A900" s="396"/>
      <c r="B900" s="397"/>
      <c r="C900" s="398"/>
      <c r="D900" s="398"/>
      <c r="E900" s="398"/>
      <c r="F900" s="398"/>
      <c r="G900" s="398"/>
      <c r="H900" s="398"/>
      <c r="I900" s="398"/>
      <c r="J900" s="398"/>
      <c r="K900" s="398"/>
      <c r="L900" s="398"/>
      <c r="M900" s="398"/>
      <c r="N900" s="398"/>
      <c r="O900" s="398"/>
      <c r="P900" s="398"/>
      <c r="Q900" s="398"/>
      <c r="R900" s="398"/>
      <c r="S900" s="398"/>
      <c r="T900" s="398"/>
      <c r="U900" s="398"/>
      <c r="V900" s="398"/>
      <c r="W900" s="398"/>
      <c r="X900" s="398"/>
      <c r="Y900" s="398"/>
      <c r="Z900" s="398"/>
    </row>
    <row r="901">
      <c r="A901" s="396"/>
      <c r="B901" s="397"/>
      <c r="C901" s="398"/>
      <c r="D901" s="398"/>
      <c r="E901" s="398"/>
      <c r="F901" s="398"/>
      <c r="G901" s="398"/>
      <c r="H901" s="398"/>
      <c r="I901" s="398"/>
      <c r="J901" s="398"/>
      <c r="K901" s="398"/>
      <c r="L901" s="398"/>
      <c r="M901" s="398"/>
      <c r="N901" s="398"/>
      <c r="O901" s="398"/>
      <c r="P901" s="398"/>
      <c r="Q901" s="398"/>
      <c r="R901" s="398"/>
      <c r="S901" s="398"/>
      <c r="T901" s="398"/>
      <c r="U901" s="398"/>
      <c r="V901" s="398"/>
      <c r="W901" s="398"/>
      <c r="X901" s="398"/>
      <c r="Y901" s="398"/>
      <c r="Z901" s="398"/>
    </row>
    <row r="902">
      <c r="A902" s="396"/>
      <c r="B902" s="397"/>
      <c r="C902" s="398"/>
      <c r="D902" s="398"/>
      <c r="E902" s="398"/>
      <c r="F902" s="398"/>
      <c r="G902" s="398"/>
      <c r="H902" s="398"/>
      <c r="I902" s="398"/>
      <c r="J902" s="398"/>
      <c r="K902" s="398"/>
      <c r="L902" s="398"/>
      <c r="M902" s="398"/>
      <c r="N902" s="398"/>
      <c r="O902" s="398"/>
      <c r="P902" s="398"/>
      <c r="Q902" s="398"/>
      <c r="R902" s="398"/>
      <c r="S902" s="398"/>
      <c r="T902" s="398"/>
      <c r="U902" s="398"/>
      <c r="V902" s="398"/>
      <c r="W902" s="398"/>
      <c r="X902" s="398"/>
      <c r="Y902" s="398"/>
      <c r="Z902" s="398"/>
    </row>
    <row r="903">
      <c r="A903" s="396"/>
      <c r="B903" s="397"/>
      <c r="C903" s="398"/>
      <c r="D903" s="398"/>
      <c r="E903" s="398"/>
      <c r="F903" s="398"/>
      <c r="G903" s="398"/>
      <c r="H903" s="398"/>
      <c r="I903" s="398"/>
      <c r="J903" s="398"/>
      <c r="K903" s="398"/>
      <c r="L903" s="398"/>
      <c r="M903" s="398"/>
      <c r="N903" s="398"/>
      <c r="O903" s="398"/>
      <c r="P903" s="398"/>
      <c r="Q903" s="398"/>
      <c r="R903" s="398"/>
      <c r="S903" s="398"/>
      <c r="T903" s="398"/>
      <c r="U903" s="398"/>
      <c r="V903" s="398"/>
      <c r="W903" s="398"/>
      <c r="X903" s="398"/>
      <c r="Y903" s="398"/>
      <c r="Z903" s="398"/>
    </row>
    <row r="904">
      <c r="A904" s="396"/>
      <c r="B904" s="397"/>
      <c r="C904" s="398"/>
      <c r="D904" s="398"/>
      <c r="E904" s="398"/>
      <c r="F904" s="398"/>
      <c r="G904" s="398"/>
      <c r="H904" s="398"/>
      <c r="I904" s="398"/>
      <c r="J904" s="398"/>
      <c r="K904" s="398"/>
      <c r="L904" s="398"/>
      <c r="M904" s="398"/>
      <c r="N904" s="398"/>
      <c r="O904" s="398"/>
      <c r="P904" s="398"/>
      <c r="Q904" s="398"/>
      <c r="R904" s="398"/>
      <c r="S904" s="398"/>
      <c r="T904" s="398"/>
      <c r="U904" s="398"/>
      <c r="V904" s="398"/>
      <c r="W904" s="398"/>
      <c r="X904" s="398"/>
      <c r="Y904" s="398"/>
      <c r="Z904" s="398"/>
    </row>
    <row r="905">
      <c r="A905" s="396"/>
      <c r="B905" s="397"/>
      <c r="C905" s="398"/>
      <c r="D905" s="398"/>
      <c r="E905" s="398"/>
      <c r="F905" s="398"/>
      <c r="G905" s="398"/>
      <c r="H905" s="398"/>
      <c r="I905" s="398"/>
      <c r="J905" s="398"/>
      <c r="K905" s="398"/>
      <c r="L905" s="398"/>
      <c r="M905" s="398"/>
      <c r="N905" s="398"/>
      <c r="O905" s="398"/>
      <c r="P905" s="398"/>
      <c r="Q905" s="398"/>
      <c r="R905" s="398"/>
      <c r="S905" s="398"/>
      <c r="T905" s="398"/>
      <c r="U905" s="398"/>
      <c r="V905" s="398"/>
      <c r="W905" s="398"/>
      <c r="X905" s="398"/>
      <c r="Y905" s="398"/>
      <c r="Z905" s="398"/>
    </row>
    <row r="906">
      <c r="A906" s="396"/>
      <c r="B906" s="397"/>
      <c r="C906" s="398"/>
      <c r="D906" s="398"/>
      <c r="E906" s="398"/>
      <c r="F906" s="398"/>
      <c r="G906" s="398"/>
      <c r="H906" s="398"/>
      <c r="I906" s="398"/>
      <c r="J906" s="398"/>
      <c r="K906" s="398"/>
      <c r="L906" s="398"/>
      <c r="M906" s="398"/>
      <c r="N906" s="398"/>
      <c r="O906" s="398"/>
      <c r="P906" s="398"/>
      <c r="Q906" s="398"/>
      <c r="R906" s="398"/>
      <c r="S906" s="398"/>
      <c r="T906" s="398"/>
      <c r="U906" s="398"/>
      <c r="V906" s="398"/>
      <c r="W906" s="398"/>
      <c r="X906" s="398"/>
      <c r="Y906" s="398"/>
      <c r="Z906" s="398"/>
    </row>
    <row r="907">
      <c r="A907" s="396"/>
      <c r="B907" s="397"/>
      <c r="C907" s="398"/>
      <c r="D907" s="398"/>
      <c r="E907" s="398"/>
      <c r="F907" s="398"/>
      <c r="G907" s="398"/>
      <c r="H907" s="398"/>
      <c r="I907" s="398"/>
      <c r="J907" s="398"/>
      <c r="K907" s="398"/>
      <c r="L907" s="398"/>
      <c r="M907" s="398"/>
      <c r="N907" s="398"/>
      <c r="O907" s="398"/>
      <c r="P907" s="398"/>
      <c r="Q907" s="398"/>
      <c r="R907" s="398"/>
      <c r="S907" s="398"/>
      <c r="T907" s="398"/>
      <c r="U907" s="398"/>
      <c r="V907" s="398"/>
      <c r="W907" s="398"/>
      <c r="X907" s="398"/>
      <c r="Y907" s="398"/>
      <c r="Z907" s="398"/>
    </row>
    <row r="908">
      <c r="A908" s="396"/>
      <c r="B908" s="397"/>
      <c r="C908" s="398"/>
      <c r="D908" s="398"/>
      <c r="E908" s="398"/>
      <c r="F908" s="398"/>
      <c r="G908" s="398"/>
      <c r="H908" s="398"/>
      <c r="I908" s="398"/>
      <c r="J908" s="398"/>
      <c r="K908" s="398"/>
      <c r="L908" s="398"/>
      <c r="M908" s="398"/>
      <c r="N908" s="398"/>
      <c r="O908" s="398"/>
      <c r="P908" s="398"/>
      <c r="Q908" s="398"/>
      <c r="R908" s="398"/>
      <c r="S908" s="398"/>
      <c r="T908" s="398"/>
      <c r="U908" s="398"/>
      <c r="V908" s="398"/>
      <c r="W908" s="398"/>
      <c r="X908" s="398"/>
      <c r="Y908" s="398"/>
      <c r="Z908" s="398"/>
    </row>
    <row r="909">
      <c r="A909" s="396"/>
      <c r="B909" s="397"/>
      <c r="C909" s="398"/>
      <c r="D909" s="398"/>
      <c r="E909" s="398"/>
      <c r="F909" s="398"/>
      <c r="G909" s="398"/>
      <c r="H909" s="398"/>
      <c r="I909" s="398"/>
      <c r="J909" s="398"/>
      <c r="K909" s="398"/>
      <c r="L909" s="398"/>
      <c r="M909" s="398"/>
      <c r="N909" s="398"/>
      <c r="O909" s="398"/>
      <c r="P909" s="398"/>
      <c r="Q909" s="398"/>
      <c r="R909" s="398"/>
      <c r="S909" s="398"/>
      <c r="T909" s="398"/>
      <c r="U909" s="398"/>
      <c r="V909" s="398"/>
      <c r="W909" s="398"/>
      <c r="X909" s="398"/>
      <c r="Y909" s="398"/>
      <c r="Z909" s="398"/>
    </row>
    <row r="910">
      <c r="A910" s="396"/>
      <c r="B910" s="397"/>
      <c r="C910" s="398"/>
      <c r="D910" s="398"/>
      <c r="E910" s="398"/>
      <c r="F910" s="398"/>
      <c r="G910" s="398"/>
      <c r="H910" s="398"/>
      <c r="I910" s="398"/>
      <c r="J910" s="398"/>
      <c r="K910" s="398"/>
      <c r="L910" s="398"/>
      <c r="M910" s="398"/>
      <c r="N910" s="398"/>
      <c r="O910" s="398"/>
      <c r="P910" s="398"/>
      <c r="Q910" s="398"/>
      <c r="R910" s="398"/>
      <c r="S910" s="398"/>
      <c r="T910" s="398"/>
      <c r="U910" s="398"/>
      <c r="V910" s="398"/>
      <c r="W910" s="398"/>
      <c r="X910" s="398"/>
      <c r="Y910" s="398"/>
      <c r="Z910" s="398"/>
    </row>
    <row r="911">
      <c r="A911" s="396"/>
      <c r="B911" s="397"/>
      <c r="C911" s="398"/>
      <c r="D911" s="398"/>
      <c r="E911" s="398"/>
      <c r="F911" s="398"/>
      <c r="G911" s="398"/>
      <c r="H911" s="398"/>
      <c r="I911" s="398"/>
      <c r="J911" s="398"/>
      <c r="K911" s="398"/>
      <c r="L911" s="398"/>
      <c r="M911" s="398"/>
      <c r="N911" s="398"/>
      <c r="O911" s="398"/>
      <c r="P911" s="398"/>
      <c r="Q911" s="398"/>
      <c r="R911" s="398"/>
      <c r="S911" s="398"/>
      <c r="T911" s="398"/>
      <c r="U911" s="398"/>
      <c r="V911" s="398"/>
      <c r="W911" s="398"/>
      <c r="X911" s="398"/>
      <c r="Y911" s="398"/>
      <c r="Z911" s="398"/>
    </row>
    <row r="912">
      <c r="A912" s="396"/>
      <c r="B912" s="397"/>
      <c r="C912" s="398"/>
      <c r="D912" s="398"/>
      <c r="E912" s="398"/>
      <c r="F912" s="398"/>
      <c r="G912" s="398"/>
      <c r="H912" s="398"/>
      <c r="I912" s="398"/>
      <c r="J912" s="398"/>
      <c r="K912" s="398"/>
      <c r="L912" s="398"/>
      <c r="M912" s="398"/>
      <c r="N912" s="398"/>
      <c r="O912" s="398"/>
      <c r="P912" s="398"/>
      <c r="Q912" s="398"/>
      <c r="R912" s="398"/>
      <c r="S912" s="398"/>
      <c r="T912" s="398"/>
      <c r="U912" s="398"/>
      <c r="V912" s="398"/>
      <c r="W912" s="398"/>
      <c r="X912" s="398"/>
      <c r="Y912" s="398"/>
      <c r="Z912" s="398"/>
    </row>
    <row r="913">
      <c r="A913" s="396"/>
      <c r="B913" s="397"/>
      <c r="C913" s="398"/>
      <c r="D913" s="398"/>
      <c r="E913" s="398"/>
      <c r="F913" s="398"/>
      <c r="G913" s="398"/>
      <c r="H913" s="398"/>
      <c r="I913" s="398"/>
      <c r="J913" s="398"/>
      <c r="K913" s="398"/>
      <c r="L913" s="398"/>
      <c r="M913" s="398"/>
      <c r="N913" s="398"/>
      <c r="O913" s="398"/>
      <c r="P913" s="398"/>
      <c r="Q913" s="398"/>
      <c r="R913" s="398"/>
      <c r="S913" s="398"/>
      <c r="T913" s="398"/>
      <c r="U913" s="398"/>
      <c r="V913" s="398"/>
      <c r="W913" s="398"/>
      <c r="X913" s="398"/>
      <c r="Y913" s="398"/>
      <c r="Z913" s="398"/>
    </row>
    <row r="914">
      <c r="A914" s="396"/>
      <c r="B914" s="397"/>
      <c r="C914" s="398"/>
      <c r="D914" s="398"/>
      <c r="E914" s="398"/>
      <c r="F914" s="398"/>
      <c r="G914" s="398"/>
      <c r="H914" s="398"/>
      <c r="I914" s="398"/>
      <c r="J914" s="398"/>
      <c r="K914" s="398"/>
      <c r="L914" s="398"/>
      <c r="M914" s="398"/>
      <c r="N914" s="398"/>
      <c r="O914" s="398"/>
      <c r="P914" s="398"/>
      <c r="Q914" s="398"/>
      <c r="R914" s="398"/>
      <c r="S914" s="398"/>
      <c r="T914" s="398"/>
      <c r="U914" s="398"/>
      <c r="V914" s="398"/>
      <c r="W914" s="398"/>
      <c r="X914" s="398"/>
      <c r="Y914" s="398"/>
      <c r="Z914" s="398"/>
    </row>
    <row r="915">
      <c r="A915" s="396"/>
      <c r="B915" s="397"/>
      <c r="C915" s="398"/>
      <c r="D915" s="398"/>
      <c r="E915" s="398"/>
      <c r="F915" s="398"/>
      <c r="G915" s="398"/>
      <c r="H915" s="398"/>
      <c r="I915" s="398"/>
      <c r="J915" s="398"/>
      <c r="K915" s="398"/>
      <c r="L915" s="398"/>
      <c r="M915" s="398"/>
      <c r="N915" s="398"/>
      <c r="O915" s="398"/>
      <c r="P915" s="398"/>
      <c r="Q915" s="398"/>
      <c r="R915" s="398"/>
      <c r="S915" s="398"/>
      <c r="T915" s="398"/>
      <c r="U915" s="398"/>
      <c r="V915" s="398"/>
      <c r="W915" s="398"/>
      <c r="X915" s="398"/>
      <c r="Y915" s="398"/>
      <c r="Z915" s="398"/>
    </row>
    <row r="916">
      <c r="A916" s="396"/>
      <c r="B916" s="397"/>
      <c r="C916" s="398"/>
      <c r="D916" s="398"/>
      <c r="E916" s="398"/>
      <c r="F916" s="398"/>
      <c r="G916" s="398"/>
      <c r="H916" s="398"/>
      <c r="I916" s="398"/>
      <c r="J916" s="398"/>
      <c r="K916" s="398"/>
      <c r="L916" s="398"/>
      <c r="M916" s="398"/>
      <c r="N916" s="398"/>
      <c r="O916" s="398"/>
      <c r="P916" s="398"/>
      <c r="Q916" s="398"/>
      <c r="R916" s="398"/>
      <c r="S916" s="398"/>
      <c r="T916" s="398"/>
      <c r="U916" s="398"/>
      <c r="V916" s="398"/>
      <c r="W916" s="398"/>
      <c r="X916" s="398"/>
      <c r="Y916" s="398"/>
      <c r="Z916" s="398"/>
    </row>
    <row r="917">
      <c r="A917" s="396"/>
      <c r="B917" s="397"/>
      <c r="C917" s="398"/>
      <c r="D917" s="398"/>
      <c r="E917" s="398"/>
      <c r="F917" s="398"/>
      <c r="G917" s="398"/>
      <c r="H917" s="398"/>
      <c r="I917" s="398"/>
      <c r="J917" s="398"/>
      <c r="K917" s="398"/>
      <c r="L917" s="398"/>
      <c r="M917" s="398"/>
      <c r="N917" s="398"/>
      <c r="O917" s="398"/>
      <c r="P917" s="398"/>
      <c r="Q917" s="398"/>
      <c r="R917" s="398"/>
      <c r="S917" s="398"/>
      <c r="T917" s="398"/>
      <c r="U917" s="398"/>
      <c r="V917" s="398"/>
      <c r="W917" s="398"/>
      <c r="X917" s="398"/>
      <c r="Y917" s="398"/>
      <c r="Z917" s="398"/>
    </row>
    <row r="918">
      <c r="A918" s="396"/>
      <c r="B918" s="397"/>
      <c r="C918" s="398"/>
      <c r="D918" s="398"/>
      <c r="E918" s="398"/>
      <c r="F918" s="398"/>
      <c r="G918" s="398"/>
      <c r="H918" s="398"/>
      <c r="I918" s="398"/>
      <c r="J918" s="398"/>
      <c r="K918" s="398"/>
      <c r="L918" s="398"/>
      <c r="M918" s="398"/>
      <c r="N918" s="398"/>
      <c r="O918" s="398"/>
      <c r="P918" s="398"/>
      <c r="Q918" s="398"/>
      <c r="R918" s="398"/>
      <c r="S918" s="398"/>
      <c r="T918" s="398"/>
      <c r="U918" s="398"/>
      <c r="V918" s="398"/>
      <c r="W918" s="398"/>
      <c r="X918" s="398"/>
      <c r="Y918" s="398"/>
      <c r="Z918" s="398"/>
    </row>
    <row r="919">
      <c r="A919" s="396"/>
      <c r="B919" s="397"/>
      <c r="C919" s="398"/>
      <c r="D919" s="398"/>
      <c r="E919" s="398"/>
      <c r="F919" s="398"/>
      <c r="G919" s="398"/>
      <c r="H919" s="398"/>
      <c r="I919" s="398"/>
      <c r="J919" s="398"/>
      <c r="K919" s="398"/>
      <c r="L919" s="398"/>
      <c r="M919" s="398"/>
      <c r="N919" s="398"/>
      <c r="O919" s="398"/>
      <c r="P919" s="398"/>
      <c r="Q919" s="398"/>
      <c r="R919" s="398"/>
      <c r="S919" s="398"/>
      <c r="T919" s="398"/>
      <c r="U919" s="398"/>
      <c r="V919" s="398"/>
      <c r="W919" s="398"/>
      <c r="X919" s="398"/>
      <c r="Y919" s="398"/>
      <c r="Z919" s="398"/>
    </row>
    <row r="920">
      <c r="A920" s="396"/>
      <c r="B920" s="397"/>
      <c r="C920" s="398"/>
      <c r="D920" s="398"/>
      <c r="E920" s="398"/>
      <c r="F920" s="398"/>
      <c r="G920" s="398"/>
      <c r="H920" s="398"/>
      <c r="I920" s="398"/>
      <c r="J920" s="398"/>
      <c r="K920" s="398"/>
      <c r="L920" s="398"/>
      <c r="M920" s="398"/>
      <c r="N920" s="398"/>
      <c r="O920" s="398"/>
      <c r="P920" s="398"/>
      <c r="Q920" s="398"/>
      <c r="R920" s="398"/>
      <c r="S920" s="398"/>
      <c r="T920" s="398"/>
      <c r="U920" s="398"/>
      <c r="V920" s="398"/>
      <c r="W920" s="398"/>
      <c r="X920" s="398"/>
      <c r="Y920" s="398"/>
      <c r="Z920" s="398"/>
    </row>
    <row r="921">
      <c r="A921" s="396"/>
      <c r="B921" s="397"/>
      <c r="C921" s="398"/>
      <c r="D921" s="398"/>
      <c r="E921" s="398"/>
      <c r="F921" s="398"/>
      <c r="G921" s="398"/>
      <c r="H921" s="398"/>
      <c r="I921" s="398"/>
      <c r="J921" s="398"/>
      <c r="K921" s="398"/>
      <c r="L921" s="398"/>
      <c r="M921" s="398"/>
      <c r="N921" s="398"/>
      <c r="O921" s="398"/>
      <c r="P921" s="398"/>
      <c r="Q921" s="398"/>
      <c r="R921" s="398"/>
      <c r="S921" s="398"/>
      <c r="T921" s="398"/>
      <c r="U921" s="398"/>
      <c r="V921" s="398"/>
      <c r="W921" s="398"/>
      <c r="X921" s="398"/>
      <c r="Y921" s="398"/>
      <c r="Z921" s="398"/>
    </row>
    <row r="922">
      <c r="A922" s="396"/>
      <c r="B922" s="397"/>
      <c r="C922" s="398"/>
      <c r="D922" s="398"/>
      <c r="E922" s="398"/>
      <c r="F922" s="398"/>
      <c r="G922" s="398"/>
      <c r="H922" s="398"/>
      <c r="I922" s="398"/>
      <c r="J922" s="398"/>
      <c r="K922" s="398"/>
      <c r="L922" s="398"/>
      <c r="M922" s="398"/>
      <c r="N922" s="398"/>
      <c r="O922" s="398"/>
      <c r="P922" s="398"/>
      <c r="Q922" s="398"/>
      <c r="R922" s="398"/>
      <c r="S922" s="398"/>
      <c r="T922" s="398"/>
      <c r="U922" s="398"/>
      <c r="V922" s="398"/>
      <c r="W922" s="398"/>
      <c r="X922" s="398"/>
      <c r="Y922" s="398"/>
      <c r="Z922" s="398"/>
    </row>
    <row r="923">
      <c r="A923" s="396"/>
      <c r="B923" s="397"/>
      <c r="C923" s="398"/>
      <c r="D923" s="398"/>
      <c r="E923" s="398"/>
      <c r="F923" s="398"/>
      <c r="G923" s="398"/>
      <c r="H923" s="398"/>
      <c r="I923" s="398"/>
      <c r="J923" s="398"/>
      <c r="K923" s="398"/>
      <c r="L923" s="398"/>
      <c r="M923" s="398"/>
      <c r="N923" s="398"/>
      <c r="O923" s="398"/>
      <c r="P923" s="398"/>
      <c r="Q923" s="398"/>
      <c r="R923" s="398"/>
      <c r="S923" s="398"/>
      <c r="T923" s="398"/>
      <c r="U923" s="398"/>
      <c r="V923" s="398"/>
      <c r="W923" s="398"/>
      <c r="X923" s="398"/>
      <c r="Y923" s="398"/>
      <c r="Z923" s="398"/>
    </row>
    <row r="924">
      <c r="A924" s="396"/>
      <c r="B924" s="397"/>
      <c r="C924" s="398"/>
      <c r="D924" s="398"/>
      <c r="E924" s="398"/>
      <c r="F924" s="398"/>
      <c r="G924" s="398"/>
      <c r="H924" s="398"/>
      <c r="I924" s="398"/>
      <c r="J924" s="398"/>
      <c r="K924" s="398"/>
      <c r="L924" s="398"/>
      <c r="M924" s="398"/>
      <c r="N924" s="398"/>
      <c r="O924" s="398"/>
      <c r="P924" s="398"/>
      <c r="Q924" s="398"/>
      <c r="R924" s="398"/>
      <c r="S924" s="398"/>
      <c r="T924" s="398"/>
      <c r="U924" s="398"/>
      <c r="V924" s="398"/>
      <c r="W924" s="398"/>
      <c r="X924" s="398"/>
      <c r="Y924" s="398"/>
      <c r="Z924" s="398"/>
    </row>
    <row r="925">
      <c r="A925" s="396"/>
      <c r="B925" s="397"/>
      <c r="C925" s="398"/>
      <c r="D925" s="398"/>
      <c r="E925" s="398"/>
      <c r="F925" s="398"/>
      <c r="G925" s="398"/>
      <c r="H925" s="398"/>
      <c r="I925" s="398"/>
      <c r="J925" s="398"/>
      <c r="K925" s="398"/>
      <c r="L925" s="398"/>
      <c r="M925" s="398"/>
      <c r="N925" s="398"/>
      <c r="O925" s="398"/>
      <c r="P925" s="398"/>
      <c r="Q925" s="398"/>
      <c r="R925" s="398"/>
      <c r="S925" s="398"/>
      <c r="T925" s="398"/>
      <c r="U925" s="398"/>
      <c r="V925" s="398"/>
      <c r="W925" s="398"/>
      <c r="X925" s="398"/>
      <c r="Y925" s="398"/>
      <c r="Z925" s="398"/>
    </row>
    <row r="926">
      <c r="A926" s="396"/>
      <c r="B926" s="397"/>
      <c r="C926" s="398"/>
      <c r="D926" s="398"/>
      <c r="E926" s="398"/>
      <c r="F926" s="398"/>
      <c r="G926" s="398"/>
      <c r="H926" s="398"/>
      <c r="I926" s="398"/>
      <c r="J926" s="398"/>
      <c r="K926" s="398"/>
      <c r="L926" s="398"/>
      <c r="M926" s="398"/>
      <c r="N926" s="398"/>
      <c r="O926" s="398"/>
      <c r="P926" s="398"/>
      <c r="Q926" s="398"/>
      <c r="R926" s="398"/>
      <c r="S926" s="398"/>
      <c r="T926" s="398"/>
      <c r="U926" s="398"/>
      <c r="V926" s="398"/>
      <c r="W926" s="398"/>
      <c r="X926" s="398"/>
      <c r="Y926" s="398"/>
      <c r="Z926" s="398"/>
    </row>
    <row r="927">
      <c r="A927" s="396"/>
      <c r="B927" s="397"/>
      <c r="C927" s="398"/>
      <c r="D927" s="398"/>
      <c r="E927" s="398"/>
      <c r="F927" s="398"/>
      <c r="G927" s="398"/>
      <c r="H927" s="398"/>
      <c r="I927" s="398"/>
      <c r="J927" s="398"/>
      <c r="K927" s="398"/>
      <c r="L927" s="398"/>
      <c r="M927" s="398"/>
      <c r="N927" s="398"/>
      <c r="O927" s="398"/>
      <c r="P927" s="398"/>
      <c r="Q927" s="398"/>
      <c r="R927" s="398"/>
      <c r="S927" s="398"/>
      <c r="T927" s="398"/>
      <c r="U927" s="398"/>
      <c r="V927" s="398"/>
      <c r="W927" s="398"/>
      <c r="X927" s="398"/>
      <c r="Y927" s="398"/>
      <c r="Z927" s="398"/>
    </row>
    <row r="928">
      <c r="A928" s="396"/>
      <c r="B928" s="397"/>
      <c r="C928" s="398"/>
      <c r="D928" s="398"/>
      <c r="E928" s="398"/>
      <c r="F928" s="398"/>
      <c r="G928" s="398"/>
      <c r="H928" s="398"/>
      <c r="I928" s="398"/>
      <c r="J928" s="398"/>
      <c r="K928" s="398"/>
      <c r="L928" s="398"/>
      <c r="M928" s="398"/>
      <c r="N928" s="398"/>
      <c r="O928" s="398"/>
      <c r="P928" s="398"/>
      <c r="Q928" s="398"/>
      <c r="R928" s="398"/>
      <c r="S928" s="398"/>
      <c r="T928" s="398"/>
      <c r="U928" s="398"/>
      <c r="V928" s="398"/>
      <c r="W928" s="398"/>
      <c r="X928" s="398"/>
      <c r="Y928" s="398"/>
      <c r="Z928" s="398"/>
    </row>
    <row r="929">
      <c r="A929" s="396"/>
      <c r="B929" s="397"/>
      <c r="C929" s="398"/>
      <c r="D929" s="398"/>
      <c r="E929" s="398"/>
      <c r="F929" s="398"/>
      <c r="G929" s="398"/>
      <c r="H929" s="398"/>
      <c r="I929" s="398"/>
      <c r="J929" s="398"/>
      <c r="K929" s="398"/>
      <c r="L929" s="398"/>
      <c r="M929" s="398"/>
      <c r="N929" s="398"/>
      <c r="O929" s="398"/>
      <c r="P929" s="398"/>
      <c r="Q929" s="398"/>
      <c r="R929" s="398"/>
      <c r="S929" s="398"/>
      <c r="T929" s="398"/>
      <c r="U929" s="398"/>
      <c r="V929" s="398"/>
      <c r="W929" s="398"/>
      <c r="X929" s="398"/>
      <c r="Y929" s="398"/>
      <c r="Z929" s="398"/>
    </row>
    <row r="930">
      <c r="A930" s="396"/>
      <c r="B930" s="397"/>
      <c r="C930" s="398"/>
      <c r="D930" s="398"/>
      <c r="E930" s="398"/>
      <c r="F930" s="398"/>
      <c r="G930" s="398"/>
      <c r="H930" s="398"/>
      <c r="I930" s="398"/>
      <c r="J930" s="398"/>
      <c r="K930" s="398"/>
      <c r="L930" s="398"/>
      <c r="M930" s="398"/>
      <c r="N930" s="398"/>
      <c r="O930" s="398"/>
      <c r="P930" s="398"/>
      <c r="Q930" s="398"/>
      <c r="R930" s="398"/>
      <c r="S930" s="398"/>
      <c r="T930" s="398"/>
      <c r="U930" s="398"/>
      <c r="V930" s="398"/>
      <c r="W930" s="398"/>
      <c r="X930" s="398"/>
      <c r="Y930" s="398"/>
      <c r="Z930" s="398"/>
    </row>
    <row r="931">
      <c r="A931" s="396"/>
      <c r="B931" s="397"/>
      <c r="C931" s="398"/>
      <c r="D931" s="398"/>
      <c r="E931" s="398"/>
      <c r="F931" s="398"/>
      <c r="G931" s="398"/>
      <c r="H931" s="398"/>
      <c r="I931" s="398"/>
      <c r="J931" s="398"/>
      <c r="K931" s="398"/>
      <c r="L931" s="398"/>
      <c r="M931" s="398"/>
      <c r="N931" s="398"/>
      <c r="O931" s="398"/>
      <c r="P931" s="398"/>
      <c r="Q931" s="398"/>
      <c r="R931" s="398"/>
      <c r="S931" s="398"/>
      <c r="T931" s="398"/>
      <c r="U931" s="398"/>
      <c r="V931" s="398"/>
      <c r="W931" s="398"/>
      <c r="X931" s="398"/>
      <c r="Y931" s="398"/>
      <c r="Z931" s="398"/>
    </row>
    <row r="932">
      <c r="A932" s="396"/>
      <c r="B932" s="397"/>
      <c r="C932" s="398"/>
      <c r="D932" s="398"/>
      <c r="E932" s="398"/>
      <c r="F932" s="398"/>
      <c r="G932" s="398"/>
      <c r="H932" s="398"/>
      <c r="I932" s="398"/>
      <c r="J932" s="398"/>
      <c r="K932" s="398"/>
      <c r="L932" s="398"/>
      <c r="M932" s="398"/>
      <c r="N932" s="398"/>
      <c r="O932" s="398"/>
      <c r="P932" s="398"/>
      <c r="Q932" s="398"/>
      <c r="R932" s="398"/>
      <c r="S932" s="398"/>
      <c r="T932" s="398"/>
      <c r="U932" s="398"/>
      <c r="V932" s="398"/>
      <c r="W932" s="398"/>
      <c r="X932" s="398"/>
      <c r="Y932" s="398"/>
      <c r="Z932" s="398"/>
    </row>
    <row r="933">
      <c r="A933" s="396"/>
      <c r="B933" s="397"/>
      <c r="C933" s="398"/>
      <c r="D933" s="398"/>
      <c r="E933" s="398"/>
      <c r="F933" s="398"/>
      <c r="G933" s="398"/>
      <c r="H933" s="398"/>
      <c r="I933" s="398"/>
      <c r="J933" s="398"/>
      <c r="K933" s="398"/>
      <c r="L933" s="398"/>
      <c r="M933" s="398"/>
      <c r="N933" s="398"/>
      <c r="O933" s="398"/>
      <c r="P933" s="398"/>
      <c r="Q933" s="398"/>
      <c r="R933" s="398"/>
      <c r="S933" s="398"/>
      <c r="T933" s="398"/>
      <c r="U933" s="398"/>
      <c r="V933" s="398"/>
      <c r="W933" s="398"/>
      <c r="X933" s="398"/>
      <c r="Y933" s="398"/>
      <c r="Z933" s="398"/>
    </row>
    <row r="934">
      <c r="A934" s="396"/>
      <c r="B934" s="397"/>
      <c r="C934" s="398"/>
      <c r="D934" s="398"/>
      <c r="E934" s="398"/>
      <c r="F934" s="398"/>
      <c r="G934" s="398"/>
      <c r="H934" s="398"/>
      <c r="I934" s="398"/>
      <c r="J934" s="398"/>
      <c r="K934" s="398"/>
      <c r="L934" s="398"/>
      <c r="M934" s="398"/>
      <c r="N934" s="398"/>
      <c r="O934" s="398"/>
      <c r="P934" s="398"/>
      <c r="Q934" s="398"/>
      <c r="R934" s="398"/>
      <c r="S934" s="398"/>
      <c r="T934" s="398"/>
      <c r="U934" s="398"/>
      <c r="V934" s="398"/>
      <c r="W934" s="398"/>
      <c r="X934" s="398"/>
      <c r="Y934" s="398"/>
      <c r="Z934" s="398"/>
    </row>
    <row r="935">
      <c r="A935" s="396"/>
      <c r="B935" s="397"/>
      <c r="C935" s="398"/>
      <c r="D935" s="398"/>
      <c r="E935" s="398"/>
      <c r="F935" s="398"/>
      <c r="G935" s="398"/>
      <c r="H935" s="398"/>
      <c r="I935" s="398"/>
      <c r="J935" s="398"/>
      <c r="K935" s="398"/>
      <c r="L935" s="398"/>
      <c r="M935" s="398"/>
      <c r="N935" s="398"/>
      <c r="O935" s="398"/>
      <c r="P935" s="398"/>
      <c r="Q935" s="398"/>
      <c r="R935" s="398"/>
      <c r="S935" s="398"/>
      <c r="T935" s="398"/>
      <c r="U935" s="398"/>
      <c r="V935" s="398"/>
      <c r="W935" s="398"/>
      <c r="X935" s="398"/>
      <c r="Y935" s="398"/>
      <c r="Z935" s="398"/>
    </row>
    <row r="936">
      <c r="A936" s="396"/>
      <c r="B936" s="397"/>
      <c r="C936" s="398"/>
      <c r="D936" s="398"/>
      <c r="E936" s="398"/>
      <c r="F936" s="398"/>
      <c r="G936" s="398"/>
      <c r="H936" s="398"/>
      <c r="I936" s="398"/>
      <c r="J936" s="398"/>
      <c r="K936" s="398"/>
      <c r="L936" s="398"/>
      <c r="M936" s="398"/>
      <c r="N936" s="398"/>
      <c r="O936" s="398"/>
      <c r="P936" s="398"/>
      <c r="Q936" s="398"/>
      <c r="R936" s="398"/>
      <c r="S936" s="398"/>
      <c r="T936" s="398"/>
      <c r="U936" s="398"/>
      <c r="V936" s="398"/>
      <c r="W936" s="398"/>
      <c r="X936" s="398"/>
      <c r="Y936" s="398"/>
      <c r="Z936" s="398"/>
    </row>
    <row r="937">
      <c r="A937" s="396"/>
      <c r="B937" s="397"/>
      <c r="C937" s="398"/>
      <c r="D937" s="398"/>
      <c r="E937" s="398"/>
      <c r="F937" s="398"/>
      <c r="G937" s="398"/>
      <c r="H937" s="398"/>
      <c r="I937" s="398"/>
      <c r="J937" s="398"/>
      <c r="K937" s="398"/>
      <c r="L937" s="398"/>
      <c r="M937" s="398"/>
      <c r="N937" s="398"/>
      <c r="O937" s="398"/>
      <c r="P937" s="398"/>
      <c r="Q937" s="398"/>
      <c r="R937" s="398"/>
      <c r="S937" s="398"/>
      <c r="T937" s="398"/>
      <c r="U937" s="398"/>
      <c r="V937" s="398"/>
      <c r="W937" s="398"/>
      <c r="X937" s="398"/>
      <c r="Y937" s="398"/>
      <c r="Z937" s="398"/>
    </row>
    <row r="938">
      <c r="A938" s="396"/>
      <c r="B938" s="397"/>
      <c r="C938" s="398"/>
      <c r="D938" s="398"/>
      <c r="E938" s="398"/>
      <c r="F938" s="398"/>
      <c r="G938" s="398"/>
      <c r="H938" s="398"/>
      <c r="I938" s="398"/>
      <c r="J938" s="398"/>
      <c r="K938" s="398"/>
      <c r="L938" s="398"/>
      <c r="M938" s="398"/>
      <c r="N938" s="398"/>
      <c r="O938" s="398"/>
      <c r="P938" s="398"/>
      <c r="Q938" s="398"/>
      <c r="R938" s="398"/>
      <c r="S938" s="398"/>
      <c r="T938" s="398"/>
      <c r="U938" s="398"/>
      <c r="V938" s="398"/>
      <c r="W938" s="398"/>
      <c r="X938" s="398"/>
      <c r="Y938" s="398"/>
      <c r="Z938" s="398"/>
    </row>
    <row r="939">
      <c r="A939" s="396"/>
      <c r="B939" s="397"/>
      <c r="C939" s="398"/>
      <c r="D939" s="398"/>
      <c r="E939" s="398"/>
      <c r="F939" s="398"/>
      <c r="G939" s="398"/>
      <c r="H939" s="398"/>
      <c r="I939" s="398"/>
      <c r="J939" s="398"/>
      <c r="K939" s="398"/>
      <c r="L939" s="398"/>
      <c r="M939" s="398"/>
      <c r="N939" s="398"/>
      <c r="O939" s="398"/>
      <c r="P939" s="398"/>
      <c r="Q939" s="398"/>
      <c r="R939" s="398"/>
      <c r="S939" s="398"/>
      <c r="T939" s="398"/>
      <c r="U939" s="398"/>
      <c r="V939" s="398"/>
      <c r="W939" s="398"/>
      <c r="X939" s="398"/>
      <c r="Y939" s="398"/>
      <c r="Z939" s="398"/>
    </row>
    <row r="940">
      <c r="A940" s="396"/>
      <c r="B940" s="397"/>
      <c r="C940" s="398"/>
      <c r="D940" s="398"/>
      <c r="E940" s="398"/>
      <c r="F940" s="398"/>
      <c r="G940" s="398"/>
      <c r="H940" s="398"/>
      <c r="I940" s="398"/>
      <c r="J940" s="398"/>
      <c r="K940" s="398"/>
      <c r="L940" s="398"/>
      <c r="M940" s="398"/>
      <c r="N940" s="398"/>
      <c r="O940" s="398"/>
      <c r="P940" s="398"/>
      <c r="Q940" s="398"/>
      <c r="R940" s="398"/>
      <c r="S940" s="398"/>
      <c r="T940" s="398"/>
      <c r="U940" s="398"/>
      <c r="V940" s="398"/>
      <c r="W940" s="398"/>
      <c r="X940" s="398"/>
      <c r="Y940" s="398"/>
      <c r="Z940" s="398"/>
    </row>
    <row r="941">
      <c r="A941" s="396"/>
      <c r="B941" s="397"/>
      <c r="C941" s="398"/>
      <c r="D941" s="398"/>
      <c r="E941" s="398"/>
      <c r="F941" s="398"/>
      <c r="G941" s="398"/>
      <c r="H941" s="398"/>
      <c r="I941" s="398"/>
      <c r="J941" s="398"/>
      <c r="K941" s="398"/>
      <c r="L941" s="398"/>
      <c r="M941" s="398"/>
      <c r="N941" s="398"/>
      <c r="O941" s="398"/>
      <c r="P941" s="398"/>
      <c r="Q941" s="398"/>
      <c r="R941" s="398"/>
      <c r="S941" s="398"/>
      <c r="T941" s="398"/>
      <c r="U941" s="398"/>
      <c r="V941" s="398"/>
      <c r="W941" s="398"/>
      <c r="X941" s="398"/>
      <c r="Y941" s="398"/>
      <c r="Z941" s="398"/>
    </row>
    <row r="942">
      <c r="A942" s="396"/>
      <c r="B942" s="397"/>
      <c r="C942" s="398"/>
      <c r="D942" s="398"/>
      <c r="E942" s="398"/>
      <c r="F942" s="398"/>
      <c r="G942" s="398"/>
      <c r="H942" s="398"/>
      <c r="I942" s="398"/>
      <c r="J942" s="398"/>
      <c r="K942" s="398"/>
      <c r="L942" s="398"/>
      <c r="M942" s="398"/>
      <c r="N942" s="398"/>
      <c r="O942" s="398"/>
      <c r="P942" s="398"/>
      <c r="Q942" s="398"/>
      <c r="R942" s="398"/>
      <c r="S942" s="398"/>
      <c r="T942" s="398"/>
      <c r="U942" s="398"/>
      <c r="V942" s="398"/>
      <c r="W942" s="398"/>
      <c r="X942" s="398"/>
      <c r="Y942" s="398"/>
      <c r="Z942" s="398"/>
    </row>
    <row r="943">
      <c r="A943" s="396"/>
      <c r="B943" s="397"/>
      <c r="C943" s="398"/>
      <c r="D943" s="398"/>
      <c r="E943" s="398"/>
      <c r="F943" s="398"/>
      <c r="G943" s="398"/>
      <c r="H943" s="398"/>
      <c r="I943" s="398"/>
      <c r="J943" s="398"/>
      <c r="K943" s="398"/>
      <c r="L943" s="398"/>
      <c r="M943" s="398"/>
      <c r="N943" s="398"/>
      <c r="O943" s="398"/>
      <c r="P943" s="398"/>
      <c r="Q943" s="398"/>
      <c r="R943" s="398"/>
      <c r="S943" s="398"/>
      <c r="T943" s="398"/>
      <c r="U943" s="398"/>
      <c r="V943" s="398"/>
      <c r="W943" s="398"/>
      <c r="X943" s="398"/>
      <c r="Y943" s="398"/>
      <c r="Z943" s="398"/>
    </row>
    <row r="944">
      <c r="A944" s="396"/>
      <c r="B944" s="397"/>
      <c r="C944" s="398"/>
      <c r="D944" s="398"/>
      <c r="E944" s="398"/>
      <c r="F944" s="398"/>
      <c r="G944" s="398"/>
      <c r="H944" s="398"/>
      <c r="I944" s="398"/>
      <c r="J944" s="398"/>
      <c r="K944" s="398"/>
      <c r="L944" s="398"/>
      <c r="M944" s="398"/>
      <c r="N944" s="398"/>
      <c r="O944" s="398"/>
      <c r="P944" s="398"/>
      <c r="Q944" s="398"/>
      <c r="R944" s="398"/>
      <c r="S944" s="398"/>
      <c r="T944" s="398"/>
      <c r="U944" s="398"/>
      <c r="V944" s="398"/>
      <c r="W944" s="398"/>
      <c r="X944" s="398"/>
      <c r="Y944" s="398"/>
      <c r="Z944" s="398"/>
    </row>
    <row r="945">
      <c r="A945" s="396"/>
      <c r="B945" s="397"/>
      <c r="C945" s="398"/>
      <c r="D945" s="398"/>
      <c r="E945" s="398"/>
      <c r="F945" s="398"/>
      <c r="G945" s="398"/>
      <c r="H945" s="398"/>
      <c r="I945" s="398"/>
      <c r="J945" s="398"/>
      <c r="K945" s="398"/>
      <c r="L945" s="398"/>
      <c r="M945" s="398"/>
      <c r="N945" s="398"/>
      <c r="O945" s="398"/>
      <c r="P945" s="398"/>
      <c r="Q945" s="398"/>
      <c r="R945" s="398"/>
      <c r="S945" s="398"/>
      <c r="T945" s="398"/>
      <c r="U945" s="398"/>
      <c r="V945" s="398"/>
      <c r="W945" s="398"/>
      <c r="X945" s="398"/>
      <c r="Y945" s="398"/>
      <c r="Z945" s="398"/>
    </row>
    <row r="946">
      <c r="A946" s="396"/>
      <c r="B946" s="397"/>
      <c r="C946" s="398"/>
      <c r="D946" s="398"/>
      <c r="E946" s="398"/>
      <c r="F946" s="398"/>
      <c r="G946" s="398"/>
      <c r="H946" s="398"/>
      <c r="I946" s="398"/>
      <c r="J946" s="398"/>
      <c r="K946" s="398"/>
      <c r="L946" s="398"/>
      <c r="M946" s="398"/>
      <c r="N946" s="398"/>
      <c r="O946" s="398"/>
      <c r="P946" s="398"/>
      <c r="Q946" s="398"/>
      <c r="R946" s="398"/>
      <c r="S946" s="398"/>
      <c r="T946" s="398"/>
      <c r="U946" s="398"/>
      <c r="V946" s="398"/>
      <c r="W946" s="398"/>
      <c r="X946" s="398"/>
      <c r="Y946" s="398"/>
      <c r="Z946" s="398"/>
    </row>
    <row r="947">
      <c r="A947" s="396"/>
      <c r="B947" s="397"/>
      <c r="C947" s="398"/>
      <c r="D947" s="398"/>
      <c r="E947" s="398"/>
      <c r="F947" s="398"/>
      <c r="G947" s="398"/>
      <c r="H947" s="398"/>
      <c r="I947" s="398"/>
      <c r="J947" s="398"/>
      <c r="K947" s="398"/>
      <c r="L947" s="398"/>
      <c r="M947" s="398"/>
      <c r="N947" s="398"/>
      <c r="O947" s="398"/>
      <c r="P947" s="398"/>
      <c r="Q947" s="398"/>
      <c r="R947" s="398"/>
      <c r="S947" s="398"/>
      <c r="T947" s="398"/>
      <c r="U947" s="398"/>
      <c r="V947" s="398"/>
      <c r="W947" s="398"/>
      <c r="X947" s="398"/>
      <c r="Y947" s="398"/>
      <c r="Z947" s="398"/>
    </row>
    <row r="948">
      <c r="A948" s="396"/>
      <c r="B948" s="397"/>
      <c r="C948" s="398"/>
      <c r="D948" s="398"/>
      <c r="E948" s="398"/>
      <c r="F948" s="398"/>
      <c r="G948" s="398"/>
      <c r="H948" s="398"/>
      <c r="I948" s="398"/>
      <c r="J948" s="398"/>
      <c r="K948" s="398"/>
      <c r="L948" s="398"/>
      <c r="M948" s="398"/>
      <c r="N948" s="398"/>
      <c r="O948" s="398"/>
      <c r="P948" s="398"/>
      <c r="Q948" s="398"/>
      <c r="R948" s="398"/>
      <c r="S948" s="398"/>
      <c r="T948" s="398"/>
      <c r="U948" s="398"/>
      <c r="V948" s="398"/>
      <c r="W948" s="398"/>
      <c r="X948" s="398"/>
      <c r="Y948" s="398"/>
      <c r="Z948" s="398"/>
    </row>
    <row r="949">
      <c r="A949" s="396"/>
      <c r="B949" s="397"/>
      <c r="C949" s="398"/>
      <c r="D949" s="398"/>
      <c r="E949" s="398"/>
      <c r="F949" s="398"/>
      <c r="G949" s="398"/>
      <c r="H949" s="398"/>
      <c r="I949" s="398"/>
      <c r="J949" s="398"/>
      <c r="K949" s="398"/>
      <c r="L949" s="398"/>
      <c r="M949" s="398"/>
      <c r="N949" s="398"/>
      <c r="O949" s="398"/>
      <c r="P949" s="398"/>
      <c r="Q949" s="398"/>
      <c r="R949" s="398"/>
      <c r="S949" s="398"/>
      <c r="T949" s="398"/>
      <c r="U949" s="398"/>
      <c r="V949" s="398"/>
      <c r="W949" s="398"/>
      <c r="X949" s="398"/>
      <c r="Y949" s="398"/>
      <c r="Z949" s="398"/>
    </row>
    <row r="950">
      <c r="A950" s="396"/>
      <c r="B950" s="397"/>
      <c r="C950" s="398"/>
      <c r="D950" s="398"/>
      <c r="E950" s="398"/>
      <c r="F950" s="398"/>
      <c r="G950" s="398"/>
      <c r="H950" s="398"/>
      <c r="I950" s="398"/>
      <c r="J950" s="398"/>
      <c r="K950" s="398"/>
      <c r="L950" s="398"/>
      <c r="M950" s="398"/>
      <c r="N950" s="398"/>
      <c r="O950" s="398"/>
      <c r="P950" s="398"/>
      <c r="Q950" s="398"/>
      <c r="R950" s="398"/>
      <c r="S950" s="398"/>
      <c r="T950" s="398"/>
      <c r="U950" s="398"/>
      <c r="V950" s="398"/>
      <c r="W950" s="398"/>
      <c r="X950" s="398"/>
      <c r="Y950" s="398"/>
      <c r="Z950" s="398"/>
    </row>
    <row r="951">
      <c r="A951" s="396"/>
      <c r="B951" s="397"/>
      <c r="C951" s="398"/>
      <c r="D951" s="398"/>
      <c r="E951" s="398"/>
      <c r="F951" s="398"/>
      <c r="G951" s="398"/>
      <c r="H951" s="398"/>
      <c r="I951" s="398"/>
      <c r="J951" s="398"/>
      <c r="K951" s="398"/>
      <c r="L951" s="398"/>
      <c r="M951" s="398"/>
      <c r="N951" s="398"/>
      <c r="O951" s="398"/>
      <c r="P951" s="398"/>
      <c r="Q951" s="398"/>
      <c r="R951" s="398"/>
      <c r="S951" s="398"/>
      <c r="T951" s="398"/>
      <c r="U951" s="398"/>
      <c r="V951" s="398"/>
      <c r="W951" s="398"/>
      <c r="X951" s="398"/>
      <c r="Y951" s="398"/>
      <c r="Z951" s="398"/>
    </row>
    <row r="952">
      <c r="A952" s="396"/>
      <c r="B952" s="397"/>
      <c r="C952" s="398"/>
      <c r="D952" s="398"/>
      <c r="E952" s="398"/>
      <c r="F952" s="398"/>
      <c r="G952" s="398"/>
      <c r="H952" s="398"/>
      <c r="I952" s="398"/>
      <c r="J952" s="398"/>
      <c r="K952" s="398"/>
      <c r="L952" s="398"/>
      <c r="M952" s="398"/>
      <c r="N952" s="398"/>
      <c r="O952" s="398"/>
      <c r="P952" s="398"/>
      <c r="Q952" s="398"/>
      <c r="R952" s="398"/>
      <c r="S952" s="398"/>
      <c r="T952" s="398"/>
      <c r="U952" s="398"/>
      <c r="V952" s="398"/>
      <c r="W952" s="398"/>
      <c r="X952" s="398"/>
      <c r="Y952" s="398"/>
      <c r="Z952" s="398"/>
    </row>
    <row r="953">
      <c r="A953" s="396"/>
      <c r="B953" s="397"/>
      <c r="C953" s="398"/>
      <c r="D953" s="398"/>
      <c r="E953" s="398"/>
      <c r="F953" s="398"/>
      <c r="G953" s="398"/>
      <c r="H953" s="398"/>
      <c r="I953" s="398"/>
      <c r="J953" s="398"/>
      <c r="K953" s="398"/>
      <c r="L953" s="398"/>
      <c r="M953" s="398"/>
      <c r="N953" s="398"/>
      <c r="O953" s="398"/>
      <c r="P953" s="398"/>
      <c r="Q953" s="398"/>
      <c r="R953" s="398"/>
      <c r="S953" s="398"/>
      <c r="T953" s="398"/>
      <c r="U953" s="398"/>
      <c r="V953" s="398"/>
      <c r="W953" s="398"/>
      <c r="X953" s="398"/>
      <c r="Y953" s="398"/>
      <c r="Z953" s="398"/>
    </row>
    <row r="954">
      <c r="A954" s="396"/>
      <c r="B954" s="397"/>
      <c r="C954" s="398"/>
      <c r="D954" s="398"/>
      <c r="E954" s="398"/>
      <c r="F954" s="398"/>
      <c r="G954" s="398"/>
      <c r="H954" s="398"/>
      <c r="I954" s="398"/>
      <c r="J954" s="398"/>
      <c r="K954" s="398"/>
      <c r="L954" s="398"/>
      <c r="M954" s="398"/>
      <c r="N954" s="398"/>
      <c r="O954" s="398"/>
      <c r="P954" s="398"/>
      <c r="Q954" s="398"/>
      <c r="R954" s="398"/>
      <c r="S954" s="398"/>
      <c r="T954" s="398"/>
      <c r="U954" s="398"/>
      <c r="V954" s="398"/>
      <c r="W954" s="398"/>
      <c r="X954" s="398"/>
      <c r="Y954" s="398"/>
      <c r="Z954" s="398"/>
    </row>
    <row r="955">
      <c r="A955" s="396"/>
      <c r="B955" s="397"/>
      <c r="C955" s="398"/>
      <c r="D955" s="398"/>
      <c r="E955" s="398"/>
      <c r="F955" s="398"/>
      <c r="G955" s="398"/>
      <c r="H955" s="398"/>
      <c r="I955" s="398"/>
      <c r="J955" s="398"/>
      <c r="K955" s="398"/>
      <c r="L955" s="398"/>
      <c r="M955" s="398"/>
      <c r="N955" s="398"/>
      <c r="O955" s="398"/>
      <c r="P955" s="398"/>
      <c r="Q955" s="398"/>
      <c r="R955" s="398"/>
      <c r="S955" s="398"/>
      <c r="T955" s="398"/>
      <c r="U955" s="398"/>
      <c r="V955" s="398"/>
      <c r="W955" s="398"/>
      <c r="X955" s="398"/>
      <c r="Y955" s="398"/>
      <c r="Z955" s="398"/>
    </row>
    <row r="956">
      <c r="A956" s="396"/>
      <c r="B956" s="397"/>
      <c r="C956" s="398"/>
      <c r="D956" s="398"/>
      <c r="E956" s="398"/>
      <c r="F956" s="398"/>
      <c r="G956" s="398"/>
      <c r="H956" s="398"/>
      <c r="I956" s="398"/>
      <c r="J956" s="398"/>
      <c r="K956" s="398"/>
      <c r="L956" s="398"/>
      <c r="M956" s="398"/>
      <c r="N956" s="398"/>
      <c r="O956" s="398"/>
      <c r="P956" s="398"/>
      <c r="Q956" s="398"/>
      <c r="R956" s="398"/>
      <c r="S956" s="398"/>
      <c r="T956" s="398"/>
      <c r="U956" s="398"/>
      <c r="V956" s="398"/>
      <c r="W956" s="398"/>
      <c r="X956" s="398"/>
      <c r="Y956" s="398"/>
      <c r="Z956" s="398"/>
    </row>
    <row r="957">
      <c r="A957" s="396"/>
      <c r="B957" s="397"/>
      <c r="C957" s="398"/>
      <c r="D957" s="398"/>
      <c r="E957" s="398"/>
      <c r="F957" s="398"/>
      <c r="G957" s="398"/>
      <c r="H957" s="398"/>
      <c r="I957" s="398"/>
      <c r="J957" s="398"/>
      <c r="K957" s="398"/>
      <c r="L957" s="398"/>
      <c r="M957" s="398"/>
      <c r="N957" s="398"/>
      <c r="O957" s="398"/>
      <c r="P957" s="398"/>
      <c r="Q957" s="398"/>
      <c r="R957" s="398"/>
      <c r="S957" s="398"/>
      <c r="T957" s="398"/>
      <c r="U957" s="398"/>
      <c r="V957" s="398"/>
      <c r="W957" s="398"/>
      <c r="X957" s="398"/>
      <c r="Y957" s="398"/>
      <c r="Z957" s="398"/>
    </row>
    <row r="958">
      <c r="A958" s="396"/>
      <c r="B958" s="397"/>
      <c r="C958" s="398"/>
      <c r="D958" s="398"/>
      <c r="E958" s="398"/>
      <c r="F958" s="398"/>
      <c r="G958" s="398"/>
      <c r="H958" s="398"/>
      <c r="I958" s="398"/>
      <c r="J958" s="398"/>
      <c r="K958" s="398"/>
      <c r="L958" s="398"/>
      <c r="M958" s="398"/>
      <c r="N958" s="398"/>
      <c r="O958" s="398"/>
      <c r="P958" s="398"/>
      <c r="Q958" s="398"/>
      <c r="R958" s="398"/>
      <c r="S958" s="398"/>
      <c r="T958" s="398"/>
      <c r="U958" s="398"/>
      <c r="V958" s="398"/>
      <c r="W958" s="398"/>
      <c r="X958" s="398"/>
      <c r="Y958" s="398"/>
      <c r="Z958" s="398"/>
    </row>
    <row r="959">
      <c r="A959" s="396"/>
      <c r="B959" s="397"/>
      <c r="C959" s="398"/>
      <c r="D959" s="398"/>
      <c r="E959" s="398"/>
      <c r="F959" s="398"/>
      <c r="G959" s="398"/>
      <c r="H959" s="398"/>
      <c r="I959" s="398"/>
      <c r="J959" s="398"/>
      <c r="K959" s="398"/>
      <c r="L959" s="398"/>
      <c r="M959" s="398"/>
      <c r="N959" s="398"/>
      <c r="O959" s="398"/>
      <c r="P959" s="398"/>
      <c r="Q959" s="398"/>
      <c r="R959" s="398"/>
      <c r="S959" s="398"/>
      <c r="T959" s="398"/>
      <c r="U959" s="398"/>
      <c r="V959" s="398"/>
      <c r="W959" s="398"/>
      <c r="X959" s="398"/>
      <c r="Y959" s="398"/>
      <c r="Z959" s="398"/>
    </row>
    <row r="960">
      <c r="A960" s="396"/>
      <c r="B960" s="397"/>
      <c r="C960" s="398"/>
      <c r="D960" s="398"/>
      <c r="E960" s="398"/>
      <c r="F960" s="398"/>
      <c r="G960" s="398"/>
      <c r="H960" s="398"/>
      <c r="I960" s="398"/>
      <c r="J960" s="398"/>
      <c r="K960" s="398"/>
      <c r="L960" s="398"/>
      <c r="M960" s="398"/>
      <c r="N960" s="398"/>
      <c r="O960" s="398"/>
      <c r="P960" s="398"/>
      <c r="Q960" s="398"/>
      <c r="R960" s="398"/>
      <c r="S960" s="398"/>
      <c r="T960" s="398"/>
      <c r="U960" s="398"/>
      <c r="V960" s="398"/>
      <c r="W960" s="398"/>
      <c r="X960" s="398"/>
      <c r="Y960" s="398"/>
      <c r="Z960" s="398"/>
    </row>
    <row r="961">
      <c r="A961" s="396"/>
      <c r="B961" s="397"/>
      <c r="C961" s="398"/>
      <c r="D961" s="398"/>
      <c r="E961" s="398"/>
      <c r="F961" s="398"/>
      <c r="G961" s="398"/>
      <c r="H961" s="398"/>
      <c r="I961" s="398"/>
      <c r="J961" s="398"/>
      <c r="K961" s="398"/>
      <c r="L961" s="398"/>
      <c r="M961" s="398"/>
      <c r="N961" s="398"/>
      <c r="O961" s="398"/>
      <c r="P961" s="398"/>
      <c r="Q961" s="398"/>
      <c r="R961" s="398"/>
      <c r="S961" s="398"/>
      <c r="T961" s="398"/>
      <c r="U961" s="398"/>
      <c r="V961" s="398"/>
      <c r="W961" s="398"/>
      <c r="X961" s="398"/>
      <c r="Y961" s="398"/>
      <c r="Z961" s="398"/>
    </row>
    <row r="962">
      <c r="A962" s="396"/>
      <c r="B962" s="397"/>
      <c r="C962" s="398"/>
      <c r="D962" s="398"/>
      <c r="E962" s="398"/>
      <c r="F962" s="398"/>
      <c r="G962" s="398"/>
      <c r="H962" s="398"/>
      <c r="I962" s="398"/>
      <c r="J962" s="398"/>
      <c r="K962" s="398"/>
      <c r="L962" s="398"/>
      <c r="M962" s="398"/>
      <c r="N962" s="398"/>
      <c r="O962" s="398"/>
      <c r="P962" s="398"/>
      <c r="Q962" s="398"/>
      <c r="R962" s="398"/>
      <c r="S962" s="398"/>
      <c r="T962" s="398"/>
      <c r="U962" s="398"/>
      <c r="V962" s="398"/>
      <c r="W962" s="398"/>
      <c r="X962" s="398"/>
      <c r="Y962" s="398"/>
      <c r="Z962" s="398"/>
    </row>
    <row r="963">
      <c r="A963" s="396"/>
      <c r="B963" s="397"/>
      <c r="C963" s="398"/>
      <c r="D963" s="398"/>
      <c r="E963" s="398"/>
      <c r="F963" s="398"/>
      <c r="G963" s="398"/>
      <c r="H963" s="398"/>
      <c r="I963" s="398"/>
      <c r="J963" s="398"/>
      <c r="K963" s="398"/>
      <c r="L963" s="398"/>
      <c r="M963" s="398"/>
      <c r="N963" s="398"/>
      <c r="O963" s="398"/>
      <c r="P963" s="398"/>
      <c r="Q963" s="398"/>
      <c r="R963" s="398"/>
      <c r="S963" s="398"/>
      <c r="T963" s="398"/>
      <c r="U963" s="398"/>
      <c r="V963" s="398"/>
      <c r="W963" s="398"/>
      <c r="X963" s="398"/>
      <c r="Y963" s="398"/>
      <c r="Z963" s="398"/>
    </row>
    <row r="964">
      <c r="A964" s="396"/>
      <c r="B964" s="397"/>
      <c r="C964" s="398"/>
      <c r="D964" s="398"/>
      <c r="E964" s="398"/>
      <c r="F964" s="398"/>
      <c r="G964" s="398"/>
      <c r="H964" s="398"/>
      <c r="I964" s="398"/>
      <c r="J964" s="398"/>
      <c r="K964" s="398"/>
      <c r="L964" s="398"/>
      <c r="M964" s="398"/>
      <c r="N964" s="398"/>
      <c r="O964" s="398"/>
      <c r="P964" s="398"/>
      <c r="Q964" s="398"/>
      <c r="R964" s="398"/>
      <c r="S964" s="398"/>
      <c r="T964" s="398"/>
      <c r="U964" s="398"/>
      <c r="V964" s="398"/>
      <c r="W964" s="398"/>
      <c r="X964" s="398"/>
      <c r="Y964" s="398"/>
      <c r="Z964" s="398"/>
    </row>
    <row r="965">
      <c r="A965" s="396"/>
      <c r="B965" s="397"/>
      <c r="C965" s="398"/>
      <c r="D965" s="398"/>
      <c r="E965" s="398"/>
      <c r="F965" s="398"/>
      <c r="G965" s="398"/>
      <c r="H965" s="398"/>
      <c r="I965" s="398"/>
      <c r="J965" s="398"/>
      <c r="K965" s="398"/>
      <c r="L965" s="398"/>
      <c r="M965" s="398"/>
      <c r="N965" s="398"/>
      <c r="O965" s="398"/>
      <c r="P965" s="398"/>
      <c r="Q965" s="398"/>
      <c r="R965" s="398"/>
      <c r="S965" s="398"/>
      <c r="T965" s="398"/>
      <c r="U965" s="398"/>
      <c r="V965" s="398"/>
      <c r="W965" s="398"/>
      <c r="X965" s="398"/>
      <c r="Y965" s="398"/>
      <c r="Z965" s="398"/>
    </row>
    <row r="966">
      <c r="A966" s="396"/>
      <c r="B966" s="397"/>
      <c r="C966" s="398"/>
      <c r="D966" s="398"/>
      <c r="E966" s="398"/>
      <c r="F966" s="398"/>
      <c r="G966" s="398"/>
      <c r="H966" s="398"/>
      <c r="I966" s="398"/>
      <c r="J966" s="398"/>
      <c r="K966" s="398"/>
      <c r="L966" s="398"/>
      <c r="M966" s="398"/>
      <c r="N966" s="398"/>
      <c r="O966" s="398"/>
      <c r="P966" s="398"/>
      <c r="Q966" s="398"/>
      <c r="R966" s="398"/>
      <c r="S966" s="398"/>
      <c r="T966" s="398"/>
      <c r="U966" s="398"/>
      <c r="V966" s="398"/>
      <c r="W966" s="398"/>
      <c r="X966" s="398"/>
      <c r="Y966" s="398"/>
      <c r="Z966" s="398"/>
    </row>
    <row r="967">
      <c r="A967" s="396"/>
      <c r="B967" s="397"/>
      <c r="C967" s="398"/>
      <c r="D967" s="398"/>
      <c r="E967" s="398"/>
      <c r="F967" s="398"/>
      <c r="G967" s="398"/>
      <c r="H967" s="398"/>
      <c r="I967" s="398"/>
      <c r="J967" s="398"/>
      <c r="K967" s="398"/>
      <c r="L967" s="398"/>
      <c r="M967" s="398"/>
      <c r="N967" s="398"/>
      <c r="O967" s="398"/>
      <c r="P967" s="398"/>
      <c r="Q967" s="398"/>
      <c r="R967" s="398"/>
      <c r="S967" s="398"/>
      <c r="T967" s="398"/>
      <c r="U967" s="398"/>
      <c r="V967" s="398"/>
      <c r="W967" s="398"/>
      <c r="X967" s="398"/>
      <c r="Y967" s="398"/>
      <c r="Z967" s="398"/>
    </row>
    <row r="968">
      <c r="A968" s="396"/>
      <c r="B968" s="397"/>
      <c r="C968" s="398"/>
      <c r="D968" s="398"/>
      <c r="E968" s="398"/>
      <c r="F968" s="398"/>
      <c r="G968" s="398"/>
      <c r="H968" s="398"/>
      <c r="I968" s="398"/>
      <c r="J968" s="398"/>
      <c r="K968" s="398"/>
      <c r="L968" s="398"/>
      <c r="M968" s="398"/>
      <c r="N968" s="398"/>
      <c r="O968" s="398"/>
      <c r="P968" s="398"/>
      <c r="Q968" s="398"/>
      <c r="R968" s="398"/>
      <c r="S968" s="398"/>
      <c r="T968" s="398"/>
      <c r="U968" s="398"/>
      <c r="V968" s="398"/>
      <c r="W968" s="398"/>
      <c r="X968" s="398"/>
      <c r="Y968" s="398"/>
      <c r="Z968" s="398"/>
    </row>
    <row r="969">
      <c r="A969" s="396"/>
      <c r="B969" s="397"/>
      <c r="C969" s="398"/>
      <c r="D969" s="398"/>
      <c r="E969" s="398"/>
      <c r="F969" s="398"/>
      <c r="G969" s="398"/>
      <c r="H969" s="398"/>
      <c r="I969" s="398"/>
      <c r="J969" s="398"/>
      <c r="K969" s="398"/>
      <c r="L969" s="398"/>
      <c r="M969" s="398"/>
      <c r="N969" s="398"/>
      <c r="O969" s="398"/>
      <c r="P969" s="398"/>
      <c r="Q969" s="398"/>
      <c r="R969" s="398"/>
      <c r="S969" s="398"/>
      <c r="T969" s="398"/>
      <c r="U969" s="398"/>
      <c r="V969" s="398"/>
      <c r="W969" s="398"/>
      <c r="X969" s="398"/>
      <c r="Y969" s="398"/>
      <c r="Z969" s="398"/>
    </row>
    <row r="970">
      <c r="A970" s="396"/>
      <c r="B970" s="397"/>
      <c r="C970" s="398"/>
      <c r="D970" s="398"/>
      <c r="E970" s="398"/>
      <c r="F970" s="398"/>
      <c r="G970" s="398"/>
      <c r="H970" s="398"/>
      <c r="I970" s="398"/>
      <c r="J970" s="398"/>
      <c r="K970" s="398"/>
      <c r="L970" s="398"/>
      <c r="M970" s="398"/>
      <c r="N970" s="398"/>
      <c r="O970" s="398"/>
      <c r="P970" s="398"/>
      <c r="Q970" s="398"/>
      <c r="R970" s="398"/>
      <c r="S970" s="398"/>
      <c r="T970" s="398"/>
      <c r="U970" s="398"/>
      <c r="V970" s="398"/>
      <c r="W970" s="398"/>
      <c r="X970" s="398"/>
      <c r="Y970" s="398"/>
      <c r="Z970" s="398"/>
    </row>
    <row r="971">
      <c r="A971" s="396"/>
      <c r="B971" s="397"/>
      <c r="C971" s="398"/>
      <c r="D971" s="398"/>
      <c r="E971" s="398"/>
      <c r="F971" s="398"/>
      <c r="G971" s="398"/>
      <c r="H971" s="398"/>
      <c r="I971" s="398"/>
      <c r="J971" s="398"/>
      <c r="K971" s="398"/>
      <c r="L971" s="398"/>
      <c r="M971" s="398"/>
      <c r="N971" s="398"/>
      <c r="O971" s="398"/>
      <c r="P971" s="398"/>
      <c r="Q971" s="398"/>
      <c r="R971" s="398"/>
      <c r="S971" s="398"/>
      <c r="T971" s="398"/>
      <c r="U971" s="398"/>
      <c r="V971" s="398"/>
      <c r="W971" s="398"/>
      <c r="X971" s="398"/>
      <c r="Y971" s="398"/>
      <c r="Z971" s="398"/>
    </row>
    <row r="972">
      <c r="A972" s="396"/>
      <c r="B972" s="397"/>
      <c r="C972" s="398"/>
      <c r="D972" s="398"/>
      <c r="E972" s="398"/>
      <c r="F972" s="398"/>
      <c r="G972" s="398"/>
      <c r="H972" s="398"/>
      <c r="I972" s="398"/>
      <c r="J972" s="398"/>
      <c r="K972" s="398"/>
      <c r="L972" s="398"/>
      <c r="M972" s="398"/>
      <c r="N972" s="398"/>
      <c r="O972" s="398"/>
      <c r="P972" s="398"/>
      <c r="Q972" s="398"/>
      <c r="R972" s="398"/>
      <c r="S972" s="398"/>
      <c r="T972" s="398"/>
      <c r="U972" s="398"/>
      <c r="V972" s="398"/>
      <c r="W972" s="398"/>
      <c r="X972" s="398"/>
      <c r="Y972" s="398"/>
      <c r="Z972" s="398"/>
    </row>
    <row r="973">
      <c r="A973" s="396"/>
      <c r="B973" s="397"/>
      <c r="C973" s="398"/>
      <c r="D973" s="398"/>
      <c r="E973" s="398"/>
      <c r="F973" s="398"/>
      <c r="G973" s="398"/>
      <c r="H973" s="398"/>
      <c r="I973" s="398"/>
      <c r="J973" s="398"/>
      <c r="K973" s="398"/>
      <c r="L973" s="398"/>
      <c r="M973" s="398"/>
      <c r="N973" s="398"/>
      <c r="O973" s="398"/>
      <c r="P973" s="398"/>
      <c r="Q973" s="398"/>
      <c r="R973" s="398"/>
      <c r="S973" s="398"/>
      <c r="T973" s="398"/>
      <c r="U973" s="398"/>
      <c r="V973" s="398"/>
      <c r="W973" s="398"/>
      <c r="X973" s="398"/>
      <c r="Y973" s="398"/>
      <c r="Z973" s="398"/>
    </row>
    <row r="974">
      <c r="A974" s="396"/>
      <c r="B974" s="397"/>
      <c r="C974" s="398"/>
      <c r="D974" s="398"/>
      <c r="E974" s="398"/>
      <c r="F974" s="398"/>
      <c r="G974" s="398"/>
      <c r="H974" s="398"/>
      <c r="I974" s="398"/>
      <c r="J974" s="398"/>
      <c r="K974" s="398"/>
      <c r="L974" s="398"/>
      <c r="M974" s="398"/>
      <c r="N974" s="398"/>
      <c r="O974" s="398"/>
      <c r="P974" s="398"/>
      <c r="Q974" s="398"/>
      <c r="R974" s="398"/>
      <c r="S974" s="398"/>
      <c r="T974" s="398"/>
      <c r="U974" s="398"/>
      <c r="V974" s="398"/>
      <c r="W974" s="398"/>
      <c r="X974" s="398"/>
      <c r="Y974" s="398"/>
      <c r="Z974" s="398"/>
    </row>
    <row r="975">
      <c r="A975" s="396"/>
      <c r="B975" s="397"/>
      <c r="C975" s="398"/>
      <c r="D975" s="398"/>
      <c r="E975" s="398"/>
      <c r="F975" s="398"/>
      <c r="G975" s="398"/>
      <c r="H975" s="398"/>
      <c r="I975" s="398"/>
      <c r="J975" s="398"/>
      <c r="K975" s="398"/>
      <c r="L975" s="398"/>
      <c r="M975" s="398"/>
      <c r="N975" s="398"/>
      <c r="O975" s="398"/>
      <c r="P975" s="398"/>
      <c r="Q975" s="398"/>
      <c r="R975" s="398"/>
      <c r="S975" s="398"/>
      <c r="T975" s="398"/>
      <c r="U975" s="398"/>
      <c r="V975" s="398"/>
      <c r="W975" s="398"/>
      <c r="X975" s="398"/>
      <c r="Y975" s="398"/>
      <c r="Z975" s="398"/>
    </row>
    <row r="976">
      <c r="A976" s="396"/>
      <c r="B976" s="397"/>
      <c r="C976" s="398"/>
      <c r="D976" s="398"/>
      <c r="E976" s="398"/>
      <c r="F976" s="398"/>
      <c r="G976" s="398"/>
      <c r="H976" s="398"/>
      <c r="I976" s="398"/>
      <c r="J976" s="398"/>
      <c r="K976" s="398"/>
      <c r="L976" s="398"/>
      <c r="M976" s="398"/>
      <c r="N976" s="398"/>
      <c r="O976" s="398"/>
      <c r="P976" s="398"/>
      <c r="Q976" s="398"/>
      <c r="R976" s="398"/>
      <c r="S976" s="398"/>
      <c r="T976" s="398"/>
      <c r="U976" s="398"/>
      <c r="V976" s="398"/>
      <c r="W976" s="398"/>
      <c r="X976" s="398"/>
      <c r="Y976" s="398"/>
      <c r="Z976" s="398"/>
    </row>
    <row r="977">
      <c r="A977" s="396"/>
      <c r="B977" s="397"/>
      <c r="C977" s="398"/>
      <c r="D977" s="398"/>
      <c r="E977" s="398"/>
      <c r="F977" s="398"/>
      <c r="G977" s="398"/>
      <c r="H977" s="398"/>
      <c r="I977" s="398"/>
      <c r="J977" s="398"/>
      <c r="K977" s="398"/>
      <c r="L977" s="398"/>
      <c r="M977" s="398"/>
      <c r="N977" s="398"/>
      <c r="O977" s="398"/>
      <c r="P977" s="398"/>
      <c r="Q977" s="398"/>
      <c r="R977" s="398"/>
      <c r="S977" s="398"/>
      <c r="T977" s="398"/>
      <c r="U977" s="398"/>
      <c r="V977" s="398"/>
      <c r="W977" s="398"/>
      <c r="X977" s="398"/>
      <c r="Y977" s="398"/>
      <c r="Z977" s="398"/>
    </row>
    <row r="978">
      <c r="A978" s="396"/>
      <c r="B978" s="397"/>
      <c r="C978" s="398"/>
      <c r="D978" s="398"/>
      <c r="E978" s="398"/>
      <c r="F978" s="398"/>
      <c r="G978" s="398"/>
      <c r="H978" s="398"/>
      <c r="I978" s="398"/>
      <c r="J978" s="398"/>
      <c r="K978" s="398"/>
      <c r="L978" s="398"/>
      <c r="M978" s="398"/>
      <c r="N978" s="398"/>
      <c r="O978" s="398"/>
      <c r="P978" s="398"/>
      <c r="Q978" s="398"/>
      <c r="R978" s="398"/>
      <c r="S978" s="398"/>
      <c r="T978" s="398"/>
      <c r="U978" s="398"/>
      <c r="V978" s="398"/>
      <c r="W978" s="398"/>
      <c r="X978" s="398"/>
      <c r="Y978" s="398"/>
      <c r="Z978" s="398"/>
    </row>
    <row r="979">
      <c r="A979" s="396"/>
      <c r="B979" s="397"/>
      <c r="C979" s="398"/>
      <c r="D979" s="398"/>
      <c r="E979" s="398"/>
      <c r="F979" s="398"/>
      <c r="G979" s="398"/>
      <c r="H979" s="398"/>
      <c r="I979" s="398"/>
      <c r="J979" s="398"/>
      <c r="K979" s="398"/>
      <c r="L979" s="398"/>
      <c r="M979" s="398"/>
      <c r="N979" s="398"/>
      <c r="O979" s="398"/>
      <c r="P979" s="398"/>
      <c r="Q979" s="398"/>
      <c r="R979" s="398"/>
      <c r="S979" s="398"/>
      <c r="T979" s="398"/>
      <c r="U979" s="398"/>
      <c r="V979" s="398"/>
      <c r="W979" s="398"/>
      <c r="X979" s="398"/>
      <c r="Y979" s="398"/>
      <c r="Z979" s="398"/>
    </row>
    <row r="980">
      <c r="A980" s="396"/>
      <c r="B980" s="397"/>
      <c r="C980" s="398"/>
      <c r="D980" s="398"/>
      <c r="E980" s="398"/>
      <c r="F980" s="398"/>
      <c r="G980" s="398"/>
      <c r="H980" s="398"/>
      <c r="I980" s="398"/>
      <c r="J980" s="398"/>
      <c r="K980" s="398"/>
      <c r="L980" s="398"/>
      <c r="M980" s="398"/>
      <c r="N980" s="398"/>
      <c r="O980" s="398"/>
      <c r="P980" s="398"/>
      <c r="Q980" s="398"/>
      <c r="R980" s="398"/>
      <c r="S980" s="398"/>
      <c r="T980" s="398"/>
      <c r="U980" s="398"/>
      <c r="V980" s="398"/>
      <c r="W980" s="398"/>
      <c r="X980" s="398"/>
      <c r="Y980" s="398"/>
      <c r="Z980" s="398"/>
    </row>
    <row r="981">
      <c r="A981" s="396"/>
      <c r="B981" s="397"/>
      <c r="C981" s="398"/>
      <c r="D981" s="398"/>
      <c r="E981" s="398"/>
      <c r="F981" s="398"/>
      <c r="G981" s="398"/>
      <c r="H981" s="398"/>
      <c r="I981" s="398"/>
      <c r="J981" s="398"/>
      <c r="K981" s="398"/>
      <c r="L981" s="398"/>
      <c r="M981" s="398"/>
      <c r="N981" s="398"/>
      <c r="O981" s="398"/>
      <c r="P981" s="398"/>
      <c r="Q981" s="398"/>
      <c r="R981" s="398"/>
      <c r="S981" s="398"/>
      <c r="T981" s="398"/>
      <c r="U981" s="398"/>
      <c r="V981" s="398"/>
      <c r="W981" s="398"/>
      <c r="X981" s="398"/>
      <c r="Y981" s="398"/>
      <c r="Z981" s="398"/>
    </row>
    <row r="982">
      <c r="A982" s="396"/>
      <c r="B982" s="397"/>
      <c r="C982" s="398"/>
      <c r="D982" s="398"/>
      <c r="E982" s="398"/>
      <c r="F982" s="398"/>
      <c r="G982" s="398"/>
      <c r="H982" s="398"/>
      <c r="I982" s="398"/>
      <c r="J982" s="398"/>
      <c r="K982" s="398"/>
      <c r="L982" s="398"/>
      <c r="M982" s="398"/>
      <c r="N982" s="398"/>
      <c r="O982" s="398"/>
      <c r="P982" s="398"/>
      <c r="Q982" s="398"/>
      <c r="R982" s="398"/>
      <c r="S982" s="398"/>
      <c r="T982" s="398"/>
      <c r="U982" s="398"/>
      <c r="V982" s="398"/>
      <c r="W982" s="398"/>
      <c r="X982" s="398"/>
      <c r="Y982" s="398"/>
      <c r="Z982" s="398"/>
    </row>
    <row r="983">
      <c r="A983" s="396"/>
      <c r="B983" s="397"/>
      <c r="C983" s="398"/>
      <c r="D983" s="398"/>
      <c r="E983" s="398"/>
      <c r="F983" s="398"/>
      <c r="G983" s="398"/>
      <c r="H983" s="398"/>
      <c r="I983" s="398"/>
      <c r="J983" s="398"/>
      <c r="K983" s="398"/>
      <c r="L983" s="398"/>
      <c r="M983" s="398"/>
      <c r="N983" s="398"/>
      <c r="O983" s="398"/>
      <c r="P983" s="398"/>
      <c r="Q983" s="398"/>
      <c r="R983" s="398"/>
      <c r="S983" s="398"/>
      <c r="T983" s="398"/>
      <c r="U983" s="398"/>
      <c r="V983" s="398"/>
      <c r="W983" s="398"/>
      <c r="X983" s="398"/>
      <c r="Y983" s="398"/>
      <c r="Z983" s="398"/>
    </row>
    <row r="984">
      <c r="A984" s="396"/>
      <c r="B984" s="397"/>
      <c r="C984" s="398"/>
      <c r="D984" s="398"/>
      <c r="E984" s="398"/>
      <c r="F984" s="398"/>
      <c r="G984" s="398"/>
      <c r="H984" s="398"/>
      <c r="I984" s="398"/>
      <c r="J984" s="398"/>
      <c r="K984" s="398"/>
      <c r="L984" s="398"/>
      <c r="M984" s="398"/>
      <c r="N984" s="398"/>
      <c r="O984" s="398"/>
      <c r="P984" s="398"/>
      <c r="Q984" s="398"/>
      <c r="R984" s="398"/>
      <c r="S984" s="398"/>
      <c r="T984" s="398"/>
      <c r="U984" s="398"/>
      <c r="V984" s="398"/>
      <c r="W984" s="398"/>
      <c r="X984" s="398"/>
      <c r="Y984" s="398"/>
      <c r="Z984" s="398"/>
    </row>
    <row r="985">
      <c r="A985" s="396"/>
      <c r="B985" s="397"/>
      <c r="C985" s="398"/>
      <c r="D985" s="398"/>
      <c r="E985" s="398"/>
      <c r="F985" s="398"/>
      <c r="G985" s="398"/>
      <c r="H985" s="398"/>
      <c r="I985" s="398"/>
      <c r="J985" s="398"/>
      <c r="K985" s="398"/>
      <c r="L985" s="398"/>
      <c r="M985" s="398"/>
      <c r="N985" s="398"/>
      <c r="O985" s="398"/>
      <c r="P985" s="398"/>
      <c r="Q985" s="398"/>
      <c r="R985" s="398"/>
      <c r="S985" s="398"/>
      <c r="T985" s="398"/>
      <c r="U985" s="398"/>
      <c r="V985" s="398"/>
      <c r="W985" s="398"/>
      <c r="X985" s="398"/>
      <c r="Y985" s="398"/>
      <c r="Z985" s="398"/>
    </row>
    <row r="986">
      <c r="A986" s="396"/>
      <c r="B986" s="397"/>
      <c r="C986" s="398"/>
      <c r="D986" s="398"/>
      <c r="E986" s="398"/>
      <c r="F986" s="398"/>
      <c r="G986" s="398"/>
      <c r="H986" s="398"/>
      <c r="I986" s="398"/>
      <c r="J986" s="398"/>
      <c r="K986" s="398"/>
      <c r="L986" s="398"/>
      <c r="M986" s="398"/>
      <c r="N986" s="398"/>
      <c r="O986" s="398"/>
      <c r="P986" s="398"/>
      <c r="Q986" s="398"/>
      <c r="R986" s="398"/>
      <c r="S986" s="398"/>
      <c r="T986" s="398"/>
      <c r="U986" s="398"/>
      <c r="V986" s="398"/>
      <c r="W986" s="398"/>
      <c r="X986" s="398"/>
      <c r="Y986" s="398"/>
      <c r="Z986" s="398"/>
    </row>
    <row r="987">
      <c r="A987" s="396"/>
      <c r="B987" s="397"/>
      <c r="C987" s="398"/>
      <c r="D987" s="398"/>
      <c r="E987" s="398"/>
      <c r="F987" s="398"/>
      <c r="G987" s="398"/>
      <c r="H987" s="398"/>
      <c r="I987" s="398"/>
      <c r="J987" s="398"/>
      <c r="K987" s="398"/>
      <c r="L987" s="398"/>
      <c r="M987" s="398"/>
      <c r="N987" s="398"/>
      <c r="O987" s="398"/>
      <c r="P987" s="398"/>
      <c r="Q987" s="398"/>
      <c r="R987" s="398"/>
      <c r="S987" s="398"/>
      <c r="T987" s="398"/>
      <c r="U987" s="398"/>
      <c r="V987" s="398"/>
      <c r="W987" s="398"/>
      <c r="X987" s="398"/>
      <c r="Y987" s="398"/>
      <c r="Z987" s="398"/>
    </row>
    <row r="988">
      <c r="A988" s="396"/>
      <c r="B988" s="397"/>
      <c r="C988" s="398"/>
      <c r="D988" s="398"/>
      <c r="E988" s="398"/>
      <c r="F988" s="398"/>
      <c r="G988" s="398"/>
      <c r="H988" s="398"/>
      <c r="I988" s="398"/>
      <c r="J988" s="398"/>
      <c r="K988" s="398"/>
      <c r="L988" s="398"/>
      <c r="M988" s="398"/>
      <c r="N988" s="398"/>
      <c r="O988" s="398"/>
      <c r="P988" s="398"/>
      <c r="Q988" s="398"/>
      <c r="R988" s="398"/>
      <c r="S988" s="398"/>
      <c r="T988" s="398"/>
      <c r="U988" s="398"/>
      <c r="V988" s="398"/>
      <c r="W988" s="398"/>
      <c r="X988" s="398"/>
      <c r="Y988" s="398"/>
      <c r="Z988" s="398"/>
    </row>
    <row r="989">
      <c r="A989" s="396"/>
      <c r="B989" s="397"/>
      <c r="C989" s="398"/>
      <c r="D989" s="398"/>
      <c r="E989" s="398"/>
      <c r="F989" s="398"/>
      <c r="G989" s="398"/>
      <c r="H989" s="398"/>
      <c r="I989" s="398"/>
      <c r="J989" s="398"/>
      <c r="K989" s="398"/>
      <c r="L989" s="398"/>
      <c r="M989" s="398"/>
      <c r="N989" s="398"/>
      <c r="O989" s="398"/>
      <c r="P989" s="398"/>
      <c r="Q989" s="398"/>
      <c r="R989" s="398"/>
      <c r="S989" s="398"/>
      <c r="T989" s="398"/>
      <c r="U989" s="398"/>
      <c r="V989" s="398"/>
      <c r="W989" s="398"/>
      <c r="X989" s="398"/>
      <c r="Y989" s="398"/>
      <c r="Z989" s="398"/>
    </row>
    <row r="990">
      <c r="A990" s="396"/>
      <c r="B990" s="397"/>
      <c r="C990" s="398"/>
      <c r="D990" s="398"/>
      <c r="E990" s="398"/>
      <c r="F990" s="398"/>
      <c r="G990" s="398"/>
      <c r="H990" s="398"/>
      <c r="I990" s="398"/>
      <c r="J990" s="398"/>
      <c r="K990" s="398"/>
      <c r="L990" s="398"/>
      <c r="M990" s="398"/>
      <c r="N990" s="398"/>
      <c r="O990" s="398"/>
      <c r="P990" s="398"/>
      <c r="Q990" s="398"/>
      <c r="R990" s="398"/>
      <c r="S990" s="398"/>
      <c r="T990" s="398"/>
      <c r="U990" s="398"/>
      <c r="V990" s="398"/>
      <c r="W990" s="398"/>
      <c r="X990" s="398"/>
      <c r="Y990" s="398"/>
      <c r="Z990" s="398"/>
    </row>
    <row r="991">
      <c r="A991" s="396"/>
      <c r="B991" s="397"/>
      <c r="C991" s="398"/>
      <c r="D991" s="398"/>
      <c r="E991" s="398"/>
      <c r="F991" s="398"/>
      <c r="G991" s="398"/>
      <c r="H991" s="398"/>
      <c r="I991" s="398"/>
      <c r="J991" s="398"/>
      <c r="K991" s="398"/>
      <c r="L991" s="398"/>
      <c r="M991" s="398"/>
      <c r="N991" s="398"/>
      <c r="O991" s="398"/>
      <c r="P991" s="398"/>
      <c r="Q991" s="398"/>
      <c r="R991" s="398"/>
      <c r="S991" s="398"/>
      <c r="T991" s="398"/>
      <c r="U991" s="398"/>
      <c r="V991" s="398"/>
      <c r="W991" s="398"/>
      <c r="X991" s="398"/>
      <c r="Y991" s="398"/>
      <c r="Z991" s="398"/>
    </row>
    <row r="992">
      <c r="A992" s="396"/>
      <c r="B992" s="397"/>
      <c r="C992" s="398"/>
      <c r="D992" s="398"/>
      <c r="E992" s="398"/>
      <c r="F992" s="398"/>
      <c r="G992" s="398"/>
      <c r="H992" s="398"/>
      <c r="I992" s="398"/>
      <c r="J992" s="398"/>
      <c r="K992" s="398"/>
      <c r="L992" s="398"/>
      <c r="M992" s="398"/>
      <c r="N992" s="398"/>
      <c r="O992" s="398"/>
      <c r="P992" s="398"/>
      <c r="Q992" s="398"/>
      <c r="R992" s="398"/>
      <c r="S992" s="398"/>
      <c r="T992" s="398"/>
      <c r="U992" s="398"/>
      <c r="V992" s="398"/>
      <c r="W992" s="398"/>
      <c r="X992" s="398"/>
      <c r="Y992" s="398"/>
      <c r="Z992" s="398"/>
    </row>
    <row r="993">
      <c r="A993" s="396"/>
      <c r="B993" s="397"/>
      <c r="C993" s="398"/>
      <c r="D993" s="398"/>
      <c r="E993" s="398"/>
      <c r="F993" s="398"/>
      <c r="G993" s="398"/>
      <c r="H993" s="398"/>
      <c r="I993" s="398"/>
      <c r="J993" s="398"/>
      <c r="K993" s="398"/>
      <c r="L993" s="398"/>
      <c r="M993" s="398"/>
      <c r="N993" s="398"/>
      <c r="O993" s="398"/>
      <c r="P993" s="398"/>
      <c r="Q993" s="398"/>
      <c r="R993" s="398"/>
      <c r="S993" s="398"/>
      <c r="T993" s="398"/>
      <c r="U993" s="398"/>
      <c r="V993" s="398"/>
      <c r="W993" s="398"/>
      <c r="X993" s="398"/>
      <c r="Y993" s="398"/>
      <c r="Z993" s="398"/>
    </row>
    <row r="994">
      <c r="A994" s="396"/>
      <c r="B994" s="397"/>
      <c r="C994" s="398"/>
      <c r="D994" s="398"/>
      <c r="E994" s="398"/>
      <c r="F994" s="398"/>
      <c r="G994" s="398"/>
      <c r="H994" s="398"/>
      <c r="I994" s="398"/>
      <c r="J994" s="398"/>
      <c r="K994" s="398"/>
      <c r="L994" s="398"/>
      <c r="M994" s="398"/>
      <c r="N994" s="398"/>
      <c r="O994" s="398"/>
      <c r="P994" s="398"/>
      <c r="Q994" s="398"/>
      <c r="R994" s="398"/>
      <c r="S994" s="398"/>
      <c r="T994" s="398"/>
      <c r="U994" s="398"/>
      <c r="V994" s="398"/>
      <c r="W994" s="398"/>
      <c r="X994" s="398"/>
      <c r="Y994" s="398"/>
      <c r="Z994" s="398"/>
    </row>
    <row r="995">
      <c r="A995" s="396"/>
      <c r="B995" s="397"/>
      <c r="C995" s="398"/>
      <c r="D995" s="398"/>
      <c r="E995" s="398"/>
      <c r="F995" s="398"/>
      <c r="G995" s="398"/>
      <c r="H995" s="398"/>
      <c r="I995" s="398"/>
      <c r="J995" s="398"/>
      <c r="K995" s="398"/>
      <c r="L995" s="398"/>
      <c r="M995" s="398"/>
      <c r="N995" s="398"/>
      <c r="O995" s="398"/>
      <c r="P995" s="398"/>
      <c r="Q995" s="398"/>
      <c r="R995" s="398"/>
      <c r="S995" s="398"/>
      <c r="T995" s="398"/>
      <c r="U995" s="398"/>
      <c r="V995" s="398"/>
      <c r="W995" s="398"/>
      <c r="X995" s="398"/>
      <c r="Y995" s="398"/>
      <c r="Z995" s="398"/>
    </row>
    <row r="996">
      <c r="A996" s="396"/>
      <c r="B996" s="397"/>
      <c r="C996" s="398"/>
      <c r="D996" s="398"/>
      <c r="E996" s="398"/>
      <c r="F996" s="398"/>
      <c r="G996" s="398"/>
      <c r="H996" s="398"/>
      <c r="I996" s="398"/>
      <c r="J996" s="398"/>
      <c r="K996" s="398"/>
      <c r="L996" s="398"/>
      <c r="M996" s="398"/>
      <c r="N996" s="398"/>
      <c r="O996" s="398"/>
      <c r="P996" s="398"/>
      <c r="Q996" s="398"/>
      <c r="R996" s="398"/>
      <c r="S996" s="398"/>
      <c r="T996" s="398"/>
      <c r="U996" s="398"/>
      <c r="V996" s="398"/>
      <c r="W996" s="398"/>
      <c r="X996" s="398"/>
      <c r="Y996" s="398"/>
      <c r="Z996" s="398"/>
    </row>
    <row r="997">
      <c r="A997" s="396"/>
      <c r="B997" s="397"/>
      <c r="C997" s="398"/>
      <c r="D997" s="398"/>
      <c r="E997" s="398"/>
      <c r="F997" s="398"/>
      <c r="G997" s="398"/>
      <c r="H997" s="398"/>
      <c r="I997" s="398"/>
      <c r="J997" s="398"/>
      <c r="K997" s="398"/>
      <c r="L997" s="398"/>
      <c r="M997" s="398"/>
      <c r="N997" s="398"/>
      <c r="O997" s="398"/>
      <c r="P997" s="398"/>
      <c r="Q997" s="398"/>
      <c r="R997" s="398"/>
      <c r="S997" s="398"/>
      <c r="T997" s="398"/>
      <c r="U997" s="398"/>
      <c r="V997" s="398"/>
      <c r="W997" s="398"/>
      <c r="X997" s="398"/>
      <c r="Y997" s="398"/>
      <c r="Z997" s="398"/>
    </row>
    <row r="998">
      <c r="A998" s="396"/>
      <c r="B998" s="397"/>
      <c r="C998" s="398"/>
      <c r="D998" s="398"/>
      <c r="E998" s="398"/>
      <c r="F998" s="398"/>
      <c r="G998" s="398"/>
      <c r="H998" s="398"/>
      <c r="I998" s="398"/>
      <c r="J998" s="398"/>
      <c r="K998" s="398"/>
      <c r="L998" s="398"/>
      <c r="M998" s="398"/>
      <c r="N998" s="398"/>
      <c r="O998" s="398"/>
      <c r="P998" s="398"/>
      <c r="Q998" s="398"/>
      <c r="R998" s="398"/>
      <c r="S998" s="398"/>
      <c r="T998" s="398"/>
      <c r="U998" s="398"/>
      <c r="V998" s="398"/>
      <c r="W998" s="398"/>
      <c r="X998" s="398"/>
      <c r="Y998" s="398"/>
      <c r="Z998" s="398"/>
    </row>
    <row r="999">
      <c r="A999" s="396"/>
      <c r="B999" s="397"/>
      <c r="C999" s="398"/>
      <c r="D999" s="398"/>
      <c r="E999" s="398"/>
      <c r="F999" s="398"/>
      <c r="G999" s="398"/>
      <c r="H999" s="398"/>
      <c r="I999" s="398"/>
      <c r="J999" s="398"/>
      <c r="K999" s="398"/>
      <c r="L999" s="398"/>
      <c r="M999" s="398"/>
      <c r="N999" s="398"/>
      <c r="O999" s="398"/>
      <c r="P999" s="398"/>
      <c r="Q999" s="398"/>
      <c r="R999" s="398"/>
      <c r="S999" s="398"/>
      <c r="T999" s="398"/>
      <c r="U999" s="398"/>
      <c r="V999" s="398"/>
      <c r="W999" s="398"/>
      <c r="X999" s="398"/>
      <c r="Y999" s="398"/>
      <c r="Z999" s="398"/>
    </row>
    <row r="1000">
      <c r="A1000" s="396"/>
      <c r="B1000" s="397"/>
      <c r="C1000" s="398"/>
      <c r="D1000" s="398"/>
      <c r="E1000" s="398"/>
      <c r="F1000" s="398"/>
      <c r="G1000" s="398"/>
      <c r="H1000" s="398"/>
      <c r="I1000" s="398"/>
      <c r="J1000" s="398"/>
      <c r="K1000" s="398"/>
      <c r="L1000" s="398"/>
      <c r="M1000" s="398"/>
      <c r="N1000" s="398"/>
      <c r="O1000" s="398"/>
      <c r="P1000" s="398"/>
      <c r="Q1000" s="398"/>
      <c r="R1000" s="398"/>
      <c r="S1000" s="398"/>
      <c r="T1000" s="398"/>
      <c r="U1000" s="398"/>
      <c r="V1000" s="398"/>
      <c r="W1000" s="398"/>
      <c r="X1000" s="398"/>
      <c r="Y1000" s="398"/>
      <c r="Z1000" s="3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7.44"/>
    <col customWidth="1" min="2" max="2" width="12.78"/>
    <col customWidth="1" min="3" max="3" width="25.33"/>
    <col customWidth="1" min="7" max="7" width="33.89"/>
    <col customWidth="1" min="8" max="8" width="39.67"/>
  </cols>
  <sheetData>
    <row r="1">
      <c r="A1" s="403" t="s">
        <v>1730</v>
      </c>
      <c r="B1" s="363"/>
      <c r="C1" s="363"/>
      <c r="D1" s="363"/>
      <c r="E1" s="363"/>
      <c r="F1" s="363"/>
      <c r="G1" s="363"/>
      <c r="H1" s="364"/>
      <c r="I1" s="404"/>
      <c r="J1" s="404"/>
      <c r="K1" s="404"/>
      <c r="L1" s="404"/>
      <c r="M1" s="404"/>
      <c r="N1" s="404"/>
      <c r="O1" s="404"/>
      <c r="P1" s="404"/>
      <c r="Q1" s="404"/>
      <c r="R1" s="404"/>
      <c r="S1" s="404"/>
      <c r="T1" s="404"/>
      <c r="U1" s="404"/>
      <c r="V1" s="404"/>
      <c r="W1" s="404"/>
      <c r="X1" s="404"/>
      <c r="Y1" s="404"/>
      <c r="Z1" s="404"/>
      <c r="AA1" s="404"/>
    </row>
    <row r="2">
      <c r="A2" s="369"/>
      <c r="B2" s="370"/>
      <c r="C2" s="370"/>
      <c r="D2" s="370"/>
      <c r="E2" s="370"/>
      <c r="F2" s="370"/>
      <c r="G2" s="370"/>
      <c r="H2" s="371"/>
      <c r="I2" s="404"/>
      <c r="J2" s="404"/>
      <c r="K2" s="404"/>
      <c r="L2" s="404"/>
      <c r="M2" s="404"/>
      <c r="N2" s="404"/>
      <c r="O2" s="404"/>
      <c r="P2" s="404"/>
      <c r="Q2" s="404"/>
      <c r="R2" s="404"/>
      <c r="S2" s="404"/>
      <c r="T2" s="404"/>
      <c r="U2" s="404"/>
      <c r="V2" s="404"/>
      <c r="W2" s="404"/>
      <c r="X2" s="404"/>
      <c r="Y2" s="404"/>
      <c r="Z2" s="404"/>
      <c r="AA2" s="404"/>
    </row>
    <row r="3">
      <c r="A3" s="405" t="s">
        <v>33</v>
      </c>
      <c r="B3" s="2"/>
      <c r="C3" s="406" t="s">
        <v>1731</v>
      </c>
      <c r="D3" s="406" t="s">
        <v>1732</v>
      </c>
      <c r="E3" s="406" t="s">
        <v>1733</v>
      </c>
      <c r="F3" s="406" t="s">
        <v>1734</v>
      </c>
      <c r="G3" s="406" t="s">
        <v>1735</v>
      </c>
      <c r="H3" s="406" t="s">
        <v>38</v>
      </c>
      <c r="I3" s="404"/>
      <c r="J3" s="404"/>
      <c r="K3" s="404"/>
      <c r="L3" s="404"/>
      <c r="M3" s="404"/>
      <c r="N3" s="404"/>
      <c r="O3" s="404"/>
      <c r="P3" s="404"/>
      <c r="Q3" s="404"/>
      <c r="R3" s="404"/>
      <c r="S3" s="404"/>
      <c r="T3" s="404"/>
      <c r="U3" s="404"/>
      <c r="V3" s="404"/>
      <c r="W3" s="404"/>
      <c r="X3" s="404"/>
      <c r="Y3" s="404"/>
      <c r="Z3" s="404"/>
      <c r="AA3" s="404"/>
    </row>
    <row r="4">
      <c r="A4" s="407" t="s">
        <v>1736</v>
      </c>
      <c r="B4" s="408" t="s">
        <v>1737</v>
      </c>
      <c r="C4" s="251"/>
      <c r="D4" s="251"/>
      <c r="E4" s="251"/>
      <c r="F4" s="251"/>
      <c r="G4" s="251"/>
      <c r="H4" s="251"/>
      <c r="I4" s="409"/>
      <c r="J4" s="409"/>
      <c r="K4" s="409"/>
      <c r="L4" s="409"/>
      <c r="M4" s="409"/>
      <c r="N4" s="409"/>
      <c r="O4" s="409"/>
      <c r="P4" s="409"/>
      <c r="Q4" s="409"/>
      <c r="R4" s="409"/>
      <c r="S4" s="409"/>
      <c r="T4" s="409"/>
      <c r="U4" s="409"/>
      <c r="V4" s="409"/>
      <c r="W4" s="409"/>
      <c r="X4" s="409"/>
      <c r="Y4" s="409"/>
      <c r="Z4" s="409"/>
      <c r="AA4" s="409"/>
    </row>
    <row r="5">
      <c r="A5" s="410" t="s">
        <v>112</v>
      </c>
      <c r="B5" s="411" t="s">
        <v>1738</v>
      </c>
      <c r="C5" s="412" t="s">
        <v>1739</v>
      </c>
      <c r="D5" s="410" t="s">
        <v>1740</v>
      </c>
      <c r="E5" s="410" t="s">
        <v>1741</v>
      </c>
      <c r="F5" s="410" t="s">
        <v>1742</v>
      </c>
      <c r="G5" s="412" t="s">
        <v>1743</v>
      </c>
      <c r="H5" s="413" t="s">
        <v>1744</v>
      </c>
      <c r="I5" s="409"/>
      <c r="J5" s="409"/>
      <c r="K5" s="409"/>
      <c r="L5" s="409"/>
      <c r="M5" s="409"/>
      <c r="N5" s="409"/>
      <c r="O5" s="409"/>
      <c r="P5" s="409"/>
      <c r="Q5" s="409"/>
      <c r="R5" s="409"/>
      <c r="S5" s="409"/>
      <c r="T5" s="409"/>
      <c r="U5" s="409"/>
      <c r="V5" s="409"/>
      <c r="W5" s="409"/>
      <c r="X5" s="409"/>
      <c r="Y5" s="409"/>
      <c r="Z5" s="409"/>
      <c r="AA5" s="409"/>
    </row>
    <row r="6" ht="29.25" customHeight="1">
      <c r="A6" s="410" t="s">
        <v>166</v>
      </c>
      <c r="B6" s="411" t="s">
        <v>1660</v>
      </c>
      <c r="C6" s="412" t="s">
        <v>1745</v>
      </c>
      <c r="D6" s="410" t="s">
        <v>1746</v>
      </c>
      <c r="E6" s="410" t="s">
        <v>1747</v>
      </c>
      <c r="F6" s="410" t="s">
        <v>1747</v>
      </c>
      <c r="G6" s="412" t="s">
        <v>1748</v>
      </c>
      <c r="H6" s="414"/>
      <c r="I6" s="409"/>
      <c r="J6" s="409"/>
      <c r="K6" s="409"/>
      <c r="L6" s="409"/>
      <c r="M6" s="409"/>
      <c r="N6" s="409"/>
      <c r="O6" s="409"/>
      <c r="P6" s="409"/>
      <c r="Q6" s="409"/>
      <c r="R6" s="409"/>
      <c r="S6" s="409"/>
      <c r="T6" s="409"/>
      <c r="U6" s="409"/>
      <c r="V6" s="409"/>
      <c r="W6" s="409"/>
      <c r="X6" s="409"/>
      <c r="Y6" s="409"/>
      <c r="Z6" s="409"/>
      <c r="AA6" s="409"/>
    </row>
    <row r="7" ht="29.25" customHeight="1">
      <c r="A7" s="410" t="s">
        <v>166</v>
      </c>
      <c r="B7" s="411" t="s">
        <v>1660</v>
      </c>
      <c r="C7" s="412" t="s">
        <v>1749</v>
      </c>
      <c r="D7" s="410" t="s">
        <v>1746</v>
      </c>
      <c r="E7" s="410" t="s">
        <v>1747</v>
      </c>
      <c r="F7" s="410" t="s">
        <v>1747</v>
      </c>
      <c r="G7" s="412" t="s">
        <v>1750</v>
      </c>
      <c r="H7" s="414"/>
      <c r="I7" s="409"/>
      <c r="J7" s="409"/>
      <c r="K7" s="409"/>
      <c r="L7" s="409"/>
      <c r="M7" s="409"/>
      <c r="N7" s="409"/>
      <c r="O7" s="409"/>
      <c r="P7" s="409"/>
      <c r="Q7" s="409"/>
      <c r="R7" s="409"/>
      <c r="S7" s="409"/>
      <c r="T7" s="409"/>
      <c r="U7" s="409"/>
      <c r="V7" s="409"/>
      <c r="W7" s="409"/>
      <c r="X7" s="409"/>
      <c r="Y7" s="409"/>
      <c r="Z7" s="409"/>
      <c r="AA7" s="409"/>
    </row>
    <row r="8" ht="44.25" customHeight="1">
      <c r="A8" s="410" t="s">
        <v>1751</v>
      </c>
      <c r="B8" s="411" t="s">
        <v>1752</v>
      </c>
      <c r="C8" s="412" t="s">
        <v>1753</v>
      </c>
      <c r="D8" s="410" t="s">
        <v>1754</v>
      </c>
      <c r="E8" s="410" t="s">
        <v>1755</v>
      </c>
      <c r="F8" s="410" t="s">
        <v>1756</v>
      </c>
      <c r="G8" s="412" t="s">
        <v>1757</v>
      </c>
      <c r="H8" s="415"/>
      <c r="I8" s="409"/>
      <c r="J8" s="409"/>
      <c r="K8" s="409"/>
      <c r="L8" s="409"/>
      <c r="M8" s="409"/>
      <c r="N8" s="409"/>
      <c r="O8" s="409"/>
      <c r="P8" s="409"/>
      <c r="Q8" s="409"/>
      <c r="R8" s="409"/>
      <c r="S8" s="409"/>
      <c r="T8" s="409"/>
      <c r="U8" s="409"/>
      <c r="V8" s="409"/>
      <c r="W8" s="409"/>
      <c r="X8" s="409"/>
      <c r="Y8" s="409"/>
      <c r="Z8" s="409"/>
      <c r="AA8" s="409"/>
    </row>
    <row r="9" ht="44.25" customHeight="1">
      <c r="A9" s="410" t="s">
        <v>1751</v>
      </c>
      <c r="B9" s="411" t="s">
        <v>1758</v>
      </c>
      <c r="C9" s="412" t="s">
        <v>1759</v>
      </c>
      <c r="D9" s="410" t="s">
        <v>1754</v>
      </c>
      <c r="E9" s="410" t="s">
        <v>1760</v>
      </c>
      <c r="F9" s="410" t="s">
        <v>1761</v>
      </c>
      <c r="G9" s="412" t="s">
        <v>1757</v>
      </c>
      <c r="H9" s="412"/>
      <c r="I9" s="409"/>
      <c r="J9" s="409"/>
      <c r="K9" s="409"/>
      <c r="L9" s="409"/>
      <c r="M9" s="409"/>
      <c r="N9" s="409"/>
      <c r="O9" s="409"/>
      <c r="P9" s="409"/>
      <c r="Q9" s="409"/>
      <c r="R9" s="409"/>
      <c r="S9" s="409"/>
      <c r="T9" s="409"/>
      <c r="U9" s="409"/>
      <c r="V9" s="409"/>
      <c r="W9" s="409"/>
      <c r="X9" s="409"/>
      <c r="Y9" s="409"/>
      <c r="Z9" s="409"/>
      <c r="AA9" s="409"/>
    </row>
    <row r="10" ht="49.5" customHeight="1">
      <c r="A10" s="410" t="s">
        <v>1751</v>
      </c>
      <c r="B10" s="411" t="s">
        <v>1762</v>
      </c>
      <c r="C10" s="412" t="s">
        <v>1763</v>
      </c>
      <c r="D10" s="410" t="s">
        <v>1754</v>
      </c>
      <c r="E10" s="410" t="s">
        <v>1764</v>
      </c>
      <c r="F10" s="410" t="s">
        <v>1765</v>
      </c>
      <c r="G10" s="412" t="s">
        <v>1757</v>
      </c>
      <c r="H10" s="412"/>
      <c r="I10" s="409"/>
      <c r="J10" s="409"/>
      <c r="K10" s="409"/>
      <c r="L10" s="409"/>
      <c r="M10" s="409"/>
      <c r="N10" s="409"/>
      <c r="O10" s="409"/>
      <c r="P10" s="409"/>
      <c r="Q10" s="409"/>
      <c r="R10" s="409"/>
      <c r="S10" s="409"/>
      <c r="T10" s="409"/>
      <c r="U10" s="409"/>
      <c r="V10" s="409"/>
      <c r="W10" s="409"/>
      <c r="X10" s="409"/>
      <c r="Y10" s="409"/>
      <c r="Z10" s="409"/>
      <c r="AA10" s="409"/>
    </row>
    <row r="11" ht="29.25" customHeight="1">
      <c r="A11" s="410" t="s">
        <v>1660</v>
      </c>
      <c r="B11" s="411" t="s">
        <v>138</v>
      </c>
      <c r="C11" s="412" t="s">
        <v>1766</v>
      </c>
      <c r="D11" s="410" t="s">
        <v>1767</v>
      </c>
      <c r="E11" s="416">
        <v>45334.0</v>
      </c>
      <c r="F11" s="417">
        <v>45455.0</v>
      </c>
      <c r="G11" s="412" t="s">
        <v>1768</v>
      </c>
      <c r="H11" s="412" t="s">
        <v>1769</v>
      </c>
      <c r="I11" s="409"/>
      <c r="J11" s="409"/>
      <c r="K11" s="409"/>
      <c r="L11" s="409"/>
      <c r="M11" s="409"/>
      <c r="N11" s="409"/>
      <c r="O11" s="409"/>
      <c r="P11" s="409"/>
      <c r="Q11" s="409"/>
      <c r="R11" s="409"/>
      <c r="S11" s="409"/>
      <c r="T11" s="409"/>
      <c r="U11" s="409"/>
      <c r="V11" s="409"/>
      <c r="W11" s="409"/>
      <c r="X11" s="409"/>
      <c r="Y11" s="409"/>
      <c r="Z11" s="409"/>
      <c r="AA11" s="409"/>
    </row>
    <row r="12" ht="29.25" customHeight="1">
      <c r="A12" s="410" t="s">
        <v>166</v>
      </c>
      <c r="B12" s="411" t="s">
        <v>1660</v>
      </c>
      <c r="C12" s="412" t="s">
        <v>1749</v>
      </c>
      <c r="D12" s="410" t="s">
        <v>1746</v>
      </c>
      <c r="E12" s="417">
        <v>45547.0</v>
      </c>
      <c r="F12" s="417">
        <v>45547.0</v>
      </c>
      <c r="G12" s="414"/>
      <c r="H12" s="414"/>
      <c r="I12" s="409"/>
      <c r="J12" s="409"/>
      <c r="K12" s="409"/>
      <c r="L12" s="409"/>
      <c r="M12" s="409"/>
      <c r="N12" s="409"/>
      <c r="O12" s="409"/>
      <c r="P12" s="409"/>
      <c r="Q12" s="409"/>
      <c r="R12" s="409"/>
      <c r="S12" s="409"/>
      <c r="T12" s="409"/>
      <c r="U12" s="409"/>
      <c r="V12" s="409"/>
      <c r="W12" s="409"/>
      <c r="X12" s="409"/>
      <c r="Y12" s="409"/>
      <c r="Z12" s="409"/>
      <c r="AA12" s="409"/>
    </row>
    <row r="13" ht="29.25" customHeight="1">
      <c r="A13" s="410" t="s">
        <v>166</v>
      </c>
      <c r="B13" s="410" t="s">
        <v>1660</v>
      </c>
      <c r="C13" s="412" t="s">
        <v>1770</v>
      </c>
      <c r="D13" s="410" t="s">
        <v>1771</v>
      </c>
      <c r="E13" s="416">
        <v>45577.0</v>
      </c>
      <c r="F13" s="416">
        <v>45608.0</v>
      </c>
      <c r="G13" s="414"/>
      <c r="H13" s="414"/>
      <c r="I13" s="409"/>
      <c r="J13" s="409"/>
      <c r="K13" s="409"/>
      <c r="L13" s="409"/>
      <c r="M13" s="409"/>
      <c r="N13" s="409"/>
      <c r="O13" s="409"/>
      <c r="P13" s="409"/>
      <c r="Q13" s="409"/>
      <c r="R13" s="409"/>
      <c r="S13" s="409"/>
      <c r="T13" s="409"/>
      <c r="U13" s="409"/>
      <c r="V13" s="409"/>
      <c r="W13" s="409"/>
      <c r="X13" s="409"/>
      <c r="Y13" s="409"/>
      <c r="Z13" s="409"/>
      <c r="AA13" s="409"/>
    </row>
    <row r="14" ht="25.5" customHeight="1">
      <c r="A14" s="410" t="s">
        <v>166</v>
      </c>
      <c r="B14" s="410" t="s">
        <v>1660</v>
      </c>
      <c r="C14" s="412" t="s">
        <v>1772</v>
      </c>
      <c r="D14" s="410" t="s">
        <v>1746</v>
      </c>
      <c r="E14" s="416">
        <v>45638.0</v>
      </c>
      <c r="F14" s="416">
        <v>45638.0</v>
      </c>
      <c r="G14" s="414"/>
      <c r="H14" s="414"/>
      <c r="I14" s="409"/>
      <c r="J14" s="409"/>
      <c r="K14" s="409"/>
      <c r="L14" s="409"/>
      <c r="M14" s="409"/>
      <c r="N14" s="409"/>
      <c r="O14" s="409"/>
      <c r="P14" s="409"/>
      <c r="Q14" s="409"/>
      <c r="R14" s="409"/>
      <c r="S14" s="409"/>
      <c r="T14" s="409"/>
      <c r="U14" s="409"/>
      <c r="V14" s="409"/>
      <c r="W14" s="409"/>
      <c r="X14" s="409"/>
      <c r="Y14" s="409"/>
      <c r="Z14" s="409"/>
      <c r="AA14" s="409"/>
    </row>
    <row r="15" ht="25.5" customHeight="1">
      <c r="A15" s="410" t="s">
        <v>1751</v>
      </c>
      <c r="B15" s="410" t="s">
        <v>1773</v>
      </c>
      <c r="C15" s="412" t="s">
        <v>1774</v>
      </c>
      <c r="D15" s="410" t="s">
        <v>1754</v>
      </c>
      <c r="E15" s="410" t="s">
        <v>1775</v>
      </c>
      <c r="F15" s="410" t="s">
        <v>1776</v>
      </c>
      <c r="G15" s="414"/>
      <c r="H15" s="414"/>
      <c r="I15" s="409"/>
      <c r="J15" s="409"/>
      <c r="K15" s="409"/>
      <c r="L15" s="409"/>
      <c r="M15" s="409"/>
      <c r="N15" s="409"/>
      <c r="O15" s="409"/>
      <c r="P15" s="409"/>
      <c r="Q15" s="409"/>
      <c r="R15" s="409"/>
      <c r="S15" s="409"/>
      <c r="T15" s="409"/>
      <c r="U15" s="409"/>
      <c r="V15" s="409"/>
      <c r="W15" s="409"/>
      <c r="X15" s="409"/>
      <c r="Y15" s="409"/>
      <c r="Z15" s="409"/>
      <c r="AA15" s="409"/>
    </row>
    <row r="16" ht="25.5" customHeight="1">
      <c r="A16" s="410" t="s">
        <v>166</v>
      </c>
      <c r="B16" s="410" t="s">
        <v>1660</v>
      </c>
      <c r="C16" s="412" t="s">
        <v>1777</v>
      </c>
      <c r="D16" s="410" t="s">
        <v>1746</v>
      </c>
      <c r="E16" s="410" t="s">
        <v>1776</v>
      </c>
      <c r="F16" s="410" t="s">
        <v>1776</v>
      </c>
      <c r="G16" s="414"/>
      <c r="H16" s="414"/>
      <c r="I16" s="409"/>
      <c r="J16" s="409"/>
      <c r="K16" s="409"/>
      <c r="L16" s="409"/>
      <c r="M16" s="409"/>
      <c r="N16" s="409"/>
      <c r="O16" s="409"/>
      <c r="P16" s="409"/>
      <c r="Q16" s="409"/>
      <c r="R16" s="409"/>
      <c r="S16" s="409"/>
      <c r="T16" s="409"/>
      <c r="U16" s="409"/>
      <c r="V16" s="409"/>
      <c r="W16" s="409"/>
      <c r="X16" s="409"/>
      <c r="Y16" s="409"/>
      <c r="Z16" s="409"/>
      <c r="AA16" s="409"/>
    </row>
    <row r="17" ht="25.5" customHeight="1">
      <c r="A17" s="410" t="s">
        <v>166</v>
      </c>
      <c r="B17" s="411" t="s">
        <v>1660</v>
      </c>
      <c r="C17" s="412" t="s">
        <v>1778</v>
      </c>
      <c r="D17" s="410" t="s">
        <v>1746</v>
      </c>
      <c r="E17" s="410" t="s">
        <v>1779</v>
      </c>
      <c r="F17" s="410" t="s">
        <v>1779</v>
      </c>
      <c r="G17" s="414"/>
      <c r="H17" s="414"/>
      <c r="I17" s="409"/>
      <c r="J17" s="409"/>
      <c r="K17" s="409"/>
      <c r="L17" s="409"/>
      <c r="M17" s="409"/>
      <c r="N17" s="409"/>
      <c r="O17" s="409"/>
      <c r="P17" s="409"/>
      <c r="Q17" s="409"/>
      <c r="R17" s="409"/>
      <c r="S17" s="409"/>
      <c r="T17" s="409"/>
      <c r="U17" s="409"/>
      <c r="V17" s="409"/>
      <c r="W17" s="409"/>
      <c r="X17" s="409"/>
      <c r="Y17" s="409"/>
      <c r="Z17" s="409"/>
      <c r="AA17" s="409"/>
    </row>
    <row r="18">
      <c r="A18" s="409"/>
      <c r="B18" s="376"/>
      <c r="C18" s="409"/>
      <c r="D18" s="418"/>
      <c r="E18" s="418"/>
      <c r="F18" s="418"/>
      <c r="G18" s="409"/>
      <c r="H18" s="409"/>
      <c r="I18" s="409"/>
      <c r="J18" s="409"/>
      <c r="K18" s="409"/>
      <c r="L18" s="409"/>
      <c r="M18" s="409"/>
      <c r="N18" s="409"/>
      <c r="O18" s="409"/>
      <c r="P18" s="409"/>
      <c r="Q18" s="409"/>
      <c r="R18" s="409"/>
      <c r="S18" s="409"/>
      <c r="T18" s="409"/>
      <c r="U18" s="409"/>
      <c r="V18" s="409"/>
      <c r="W18" s="409"/>
      <c r="X18" s="409"/>
      <c r="Y18" s="409"/>
      <c r="Z18" s="409"/>
      <c r="AA18" s="409"/>
    </row>
    <row r="19">
      <c r="A19" s="409"/>
      <c r="B19" s="376"/>
      <c r="C19" s="409"/>
      <c r="D19" s="418"/>
      <c r="E19" s="418"/>
      <c r="F19" s="418"/>
      <c r="G19" s="409"/>
      <c r="H19" s="409"/>
      <c r="I19" s="409"/>
      <c r="J19" s="409"/>
      <c r="K19" s="409"/>
      <c r="L19" s="409"/>
      <c r="M19" s="409"/>
      <c r="N19" s="409"/>
      <c r="O19" s="409"/>
      <c r="P19" s="409"/>
      <c r="Q19" s="409"/>
      <c r="R19" s="409"/>
      <c r="S19" s="409"/>
      <c r="T19" s="409"/>
      <c r="U19" s="409"/>
      <c r="V19" s="409"/>
      <c r="W19" s="409"/>
      <c r="X19" s="409"/>
      <c r="Y19" s="409"/>
      <c r="Z19" s="409"/>
      <c r="AA19" s="409"/>
    </row>
    <row r="20">
      <c r="A20" s="409"/>
      <c r="B20" s="376"/>
      <c r="C20" s="409"/>
      <c r="D20" s="418"/>
      <c r="E20" s="418"/>
      <c r="F20" s="418"/>
      <c r="G20" s="409"/>
      <c r="H20" s="409"/>
      <c r="I20" s="409"/>
      <c r="J20" s="409"/>
      <c r="K20" s="409"/>
      <c r="L20" s="409"/>
      <c r="M20" s="409"/>
      <c r="N20" s="409"/>
      <c r="O20" s="409"/>
      <c r="P20" s="409"/>
      <c r="Q20" s="409"/>
      <c r="R20" s="409"/>
      <c r="S20" s="409"/>
      <c r="T20" s="409"/>
      <c r="U20" s="409"/>
      <c r="V20" s="409"/>
      <c r="W20" s="409"/>
      <c r="X20" s="409"/>
      <c r="Y20" s="409"/>
      <c r="Z20" s="409"/>
      <c r="AA20" s="409"/>
    </row>
    <row r="21">
      <c r="A21" s="409"/>
      <c r="B21" s="376"/>
      <c r="C21" s="409"/>
      <c r="D21" s="418"/>
      <c r="E21" s="418"/>
      <c r="F21" s="418"/>
      <c r="G21" s="409"/>
      <c r="H21" s="409"/>
      <c r="I21" s="409"/>
      <c r="J21" s="409"/>
      <c r="K21" s="409"/>
      <c r="L21" s="409"/>
      <c r="M21" s="409"/>
      <c r="N21" s="409"/>
      <c r="O21" s="409"/>
      <c r="P21" s="409"/>
      <c r="Q21" s="409"/>
      <c r="R21" s="409"/>
      <c r="S21" s="409"/>
      <c r="T21" s="409"/>
      <c r="U21" s="409"/>
      <c r="V21" s="409"/>
      <c r="W21" s="409"/>
      <c r="X21" s="409"/>
      <c r="Y21" s="409"/>
      <c r="Z21" s="409"/>
      <c r="AA21" s="409"/>
    </row>
    <row r="22">
      <c r="A22" s="409"/>
      <c r="B22" s="376"/>
      <c r="C22" s="409"/>
      <c r="D22" s="418"/>
      <c r="E22" s="418"/>
      <c r="F22" s="418"/>
      <c r="G22" s="409"/>
      <c r="H22" s="409"/>
      <c r="I22" s="409"/>
      <c r="J22" s="409"/>
      <c r="K22" s="409"/>
      <c r="L22" s="409"/>
      <c r="M22" s="409"/>
      <c r="N22" s="409"/>
      <c r="O22" s="409"/>
      <c r="P22" s="409"/>
      <c r="Q22" s="409"/>
      <c r="R22" s="409"/>
      <c r="S22" s="409"/>
      <c r="T22" s="409"/>
      <c r="U22" s="409"/>
      <c r="V22" s="409"/>
      <c r="W22" s="409"/>
      <c r="X22" s="409"/>
      <c r="Y22" s="409"/>
      <c r="Z22" s="409"/>
      <c r="AA22" s="409"/>
    </row>
    <row r="23">
      <c r="A23" s="409"/>
      <c r="B23" s="376"/>
      <c r="C23" s="409"/>
      <c r="D23" s="418"/>
      <c r="E23" s="418"/>
      <c r="F23" s="418"/>
      <c r="G23" s="409"/>
      <c r="H23" s="409"/>
      <c r="I23" s="409"/>
      <c r="J23" s="409"/>
      <c r="K23" s="409"/>
      <c r="L23" s="409"/>
      <c r="M23" s="409"/>
      <c r="N23" s="409"/>
      <c r="O23" s="409"/>
      <c r="P23" s="409"/>
      <c r="Q23" s="409"/>
      <c r="R23" s="409"/>
      <c r="S23" s="409"/>
      <c r="T23" s="409"/>
      <c r="U23" s="409"/>
      <c r="V23" s="409"/>
      <c r="W23" s="409"/>
      <c r="X23" s="409"/>
      <c r="Y23" s="409"/>
      <c r="Z23" s="409"/>
      <c r="AA23" s="409"/>
    </row>
    <row r="24">
      <c r="A24" s="409"/>
      <c r="B24" s="376"/>
      <c r="C24" s="409"/>
      <c r="D24" s="418"/>
      <c r="E24" s="418"/>
      <c r="F24" s="418"/>
      <c r="G24" s="409"/>
      <c r="H24" s="409"/>
      <c r="I24" s="409"/>
      <c r="J24" s="409"/>
      <c r="K24" s="409"/>
      <c r="L24" s="409"/>
      <c r="M24" s="409"/>
      <c r="N24" s="409"/>
      <c r="O24" s="409"/>
      <c r="P24" s="409"/>
      <c r="Q24" s="409"/>
      <c r="R24" s="409"/>
      <c r="S24" s="409"/>
      <c r="T24" s="409"/>
      <c r="U24" s="409"/>
      <c r="V24" s="409"/>
      <c r="W24" s="409"/>
      <c r="X24" s="409"/>
      <c r="Y24" s="409"/>
      <c r="Z24" s="409"/>
      <c r="AA24" s="409"/>
    </row>
    <row r="25">
      <c r="A25" s="409"/>
      <c r="B25" s="376"/>
      <c r="C25" s="409"/>
      <c r="D25" s="418"/>
      <c r="E25" s="418"/>
      <c r="F25" s="418"/>
      <c r="G25" s="409"/>
      <c r="H25" s="409"/>
      <c r="I25" s="409"/>
      <c r="J25" s="409"/>
      <c r="K25" s="409"/>
      <c r="L25" s="409"/>
      <c r="M25" s="409"/>
      <c r="N25" s="409"/>
      <c r="O25" s="409"/>
      <c r="P25" s="409"/>
      <c r="Q25" s="409"/>
      <c r="R25" s="409"/>
      <c r="S25" s="409"/>
      <c r="T25" s="409"/>
      <c r="U25" s="409"/>
      <c r="V25" s="409"/>
      <c r="W25" s="409"/>
      <c r="X25" s="409"/>
      <c r="Y25" s="409"/>
      <c r="Z25" s="409"/>
      <c r="AA25" s="409"/>
    </row>
    <row r="26">
      <c r="A26" s="409"/>
      <c r="B26" s="376"/>
      <c r="C26" s="409"/>
      <c r="D26" s="418"/>
      <c r="E26" s="418"/>
      <c r="F26" s="418"/>
      <c r="G26" s="409"/>
      <c r="H26" s="409"/>
      <c r="I26" s="409"/>
      <c r="J26" s="409"/>
      <c r="K26" s="409"/>
      <c r="L26" s="409"/>
      <c r="M26" s="409"/>
      <c r="N26" s="409"/>
      <c r="O26" s="409"/>
      <c r="P26" s="409"/>
      <c r="Q26" s="409"/>
      <c r="R26" s="409"/>
      <c r="S26" s="409"/>
      <c r="T26" s="409"/>
      <c r="U26" s="409"/>
      <c r="V26" s="409"/>
      <c r="W26" s="409"/>
      <c r="X26" s="409"/>
      <c r="Y26" s="409"/>
      <c r="Z26" s="409"/>
      <c r="AA26" s="409"/>
    </row>
    <row r="27">
      <c r="A27" s="409"/>
      <c r="B27" s="376"/>
      <c r="C27" s="409"/>
      <c r="D27" s="418"/>
      <c r="E27" s="418"/>
      <c r="F27" s="418"/>
      <c r="G27" s="409"/>
      <c r="H27" s="409"/>
      <c r="I27" s="409"/>
      <c r="J27" s="409"/>
      <c r="K27" s="409"/>
      <c r="L27" s="409"/>
      <c r="M27" s="409"/>
      <c r="N27" s="409"/>
      <c r="O27" s="409"/>
      <c r="P27" s="409"/>
      <c r="Q27" s="409"/>
      <c r="R27" s="409"/>
      <c r="S27" s="409"/>
      <c r="T27" s="409"/>
      <c r="U27" s="409"/>
      <c r="V27" s="409"/>
      <c r="W27" s="409"/>
      <c r="X27" s="409"/>
      <c r="Y27" s="409"/>
      <c r="Z27" s="409"/>
      <c r="AA27" s="409"/>
    </row>
    <row r="28">
      <c r="A28" s="409"/>
      <c r="B28" s="376"/>
      <c r="C28" s="409"/>
      <c r="D28" s="418"/>
      <c r="E28" s="418"/>
      <c r="F28" s="418"/>
      <c r="G28" s="409"/>
      <c r="H28" s="409"/>
      <c r="I28" s="409"/>
      <c r="J28" s="409"/>
      <c r="K28" s="409"/>
      <c r="L28" s="409"/>
      <c r="M28" s="409"/>
      <c r="N28" s="409"/>
      <c r="O28" s="409"/>
      <c r="P28" s="409"/>
      <c r="Q28" s="409"/>
      <c r="R28" s="409"/>
      <c r="S28" s="409"/>
      <c r="T28" s="409"/>
      <c r="U28" s="409"/>
      <c r="V28" s="409"/>
      <c r="W28" s="409"/>
      <c r="X28" s="409"/>
      <c r="Y28" s="409"/>
      <c r="Z28" s="409"/>
      <c r="AA28" s="409"/>
    </row>
    <row r="29">
      <c r="A29" s="409"/>
      <c r="B29" s="376"/>
      <c r="C29" s="409"/>
      <c r="D29" s="418"/>
      <c r="E29" s="418"/>
      <c r="F29" s="418"/>
      <c r="G29" s="409"/>
      <c r="H29" s="409"/>
      <c r="I29" s="409"/>
      <c r="J29" s="409"/>
      <c r="K29" s="409"/>
      <c r="L29" s="409"/>
      <c r="M29" s="409"/>
      <c r="N29" s="409"/>
      <c r="O29" s="409"/>
      <c r="P29" s="409"/>
      <c r="Q29" s="409"/>
      <c r="R29" s="409"/>
      <c r="S29" s="409"/>
      <c r="T29" s="409"/>
      <c r="U29" s="409"/>
      <c r="V29" s="409"/>
      <c r="W29" s="409"/>
      <c r="X29" s="409"/>
      <c r="Y29" s="409"/>
      <c r="Z29" s="409"/>
      <c r="AA29" s="409"/>
    </row>
    <row r="30">
      <c r="A30" s="409"/>
      <c r="B30" s="376"/>
      <c r="C30" s="409"/>
      <c r="D30" s="418"/>
      <c r="E30" s="418"/>
      <c r="F30" s="418"/>
      <c r="G30" s="409"/>
      <c r="H30" s="409"/>
      <c r="I30" s="409"/>
      <c r="J30" s="409"/>
      <c r="K30" s="409"/>
      <c r="L30" s="409"/>
      <c r="M30" s="409"/>
      <c r="N30" s="409"/>
      <c r="O30" s="409"/>
      <c r="P30" s="409"/>
      <c r="Q30" s="409"/>
      <c r="R30" s="409"/>
      <c r="S30" s="409"/>
      <c r="T30" s="409"/>
      <c r="U30" s="409"/>
      <c r="V30" s="409"/>
      <c r="W30" s="409"/>
      <c r="X30" s="409"/>
      <c r="Y30" s="409"/>
      <c r="Z30" s="409"/>
      <c r="AA30" s="409"/>
    </row>
    <row r="31">
      <c r="A31" s="409"/>
      <c r="B31" s="376"/>
      <c r="C31" s="409"/>
      <c r="D31" s="418"/>
      <c r="E31" s="418"/>
      <c r="F31" s="418"/>
      <c r="G31" s="409"/>
      <c r="H31" s="409"/>
      <c r="I31" s="409"/>
      <c r="J31" s="409"/>
      <c r="K31" s="409"/>
      <c r="L31" s="409"/>
      <c r="M31" s="409"/>
      <c r="N31" s="409"/>
      <c r="O31" s="409"/>
      <c r="P31" s="409"/>
      <c r="Q31" s="409"/>
      <c r="R31" s="409"/>
      <c r="S31" s="409"/>
      <c r="T31" s="409"/>
      <c r="U31" s="409"/>
      <c r="V31" s="409"/>
      <c r="W31" s="409"/>
      <c r="X31" s="409"/>
      <c r="Y31" s="409"/>
      <c r="Z31" s="409"/>
      <c r="AA31" s="409"/>
    </row>
    <row r="32">
      <c r="A32" s="409"/>
      <c r="B32" s="376"/>
      <c r="C32" s="409"/>
      <c r="D32" s="418"/>
      <c r="E32" s="418"/>
      <c r="F32" s="418"/>
      <c r="G32" s="409"/>
      <c r="H32" s="409"/>
      <c r="I32" s="409"/>
      <c r="J32" s="409"/>
      <c r="K32" s="409"/>
      <c r="L32" s="409"/>
      <c r="M32" s="409"/>
      <c r="N32" s="409"/>
      <c r="O32" s="409"/>
      <c r="P32" s="409"/>
      <c r="Q32" s="409"/>
      <c r="R32" s="409"/>
      <c r="S32" s="409"/>
      <c r="T32" s="409"/>
      <c r="U32" s="409"/>
      <c r="V32" s="409"/>
      <c r="W32" s="409"/>
      <c r="X32" s="409"/>
      <c r="Y32" s="409"/>
      <c r="Z32" s="409"/>
      <c r="AA32" s="409"/>
    </row>
    <row r="33">
      <c r="A33" s="409"/>
      <c r="B33" s="376"/>
      <c r="C33" s="409"/>
      <c r="D33" s="418"/>
      <c r="E33" s="418"/>
      <c r="F33" s="418"/>
      <c r="G33" s="409"/>
      <c r="H33" s="409"/>
      <c r="I33" s="409"/>
      <c r="J33" s="409"/>
      <c r="K33" s="409"/>
      <c r="L33" s="409"/>
      <c r="M33" s="409"/>
      <c r="N33" s="409"/>
      <c r="O33" s="409"/>
      <c r="P33" s="409"/>
      <c r="Q33" s="409"/>
      <c r="R33" s="409"/>
      <c r="S33" s="409"/>
      <c r="T33" s="409"/>
      <c r="U33" s="409"/>
      <c r="V33" s="409"/>
      <c r="W33" s="409"/>
      <c r="X33" s="409"/>
      <c r="Y33" s="409"/>
      <c r="Z33" s="409"/>
      <c r="AA33" s="409"/>
    </row>
    <row r="34">
      <c r="A34" s="409"/>
      <c r="B34" s="376"/>
      <c r="C34" s="409"/>
      <c r="D34" s="418"/>
      <c r="E34" s="418"/>
      <c r="F34" s="418"/>
      <c r="G34" s="409"/>
      <c r="H34" s="409"/>
      <c r="I34" s="409"/>
      <c r="J34" s="409"/>
      <c r="K34" s="409"/>
      <c r="L34" s="409"/>
      <c r="M34" s="409"/>
      <c r="N34" s="409"/>
      <c r="O34" s="409"/>
      <c r="P34" s="409"/>
      <c r="Q34" s="409"/>
      <c r="R34" s="409"/>
      <c r="S34" s="409"/>
      <c r="T34" s="409"/>
      <c r="U34" s="409"/>
      <c r="V34" s="409"/>
      <c r="W34" s="409"/>
      <c r="X34" s="409"/>
      <c r="Y34" s="409"/>
      <c r="Z34" s="409"/>
      <c r="AA34" s="409"/>
    </row>
    <row r="35">
      <c r="A35" s="409"/>
      <c r="B35" s="376"/>
      <c r="C35" s="409"/>
      <c r="D35" s="418"/>
      <c r="E35" s="418"/>
      <c r="F35" s="418"/>
      <c r="G35" s="409"/>
      <c r="H35" s="409"/>
      <c r="I35" s="409"/>
      <c r="J35" s="409"/>
      <c r="K35" s="409"/>
      <c r="L35" s="409"/>
      <c r="M35" s="409"/>
      <c r="N35" s="409"/>
      <c r="O35" s="409"/>
      <c r="P35" s="409"/>
      <c r="Q35" s="409"/>
      <c r="R35" s="409"/>
      <c r="S35" s="409"/>
      <c r="T35" s="409"/>
      <c r="U35" s="409"/>
      <c r="V35" s="409"/>
      <c r="W35" s="409"/>
      <c r="X35" s="409"/>
      <c r="Y35" s="409"/>
      <c r="Z35" s="409"/>
      <c r="AA35" s="409"/>
    </row>
    <row r="36">
      <c r="A36" s="409"/>
      <c r="B36" s="376"/>
      <c r="C36" s="409"/>
      <c r="D36" s="418"/>
      <c r="E36" s="418"/>
      <c r="F36" s="418"/>
      <c r="G36" s="409"/>
      <c r="H36" s="409"/>
      <c r="I36" s="409"/>
      <c r="J36" s="409"/>
      <c r="K36" s="409"/>
      <c r="L36" s="409"/>
      <c r="M36" s="409"/>
      <c r="N36" s="409"/>
      <c r="O36" s="409"/>
      <c r="P36" s="409"/>
      <c r="Q36" s="409"/>
      <c r="R36" s="409"/>
      <c r="S36" s="409"/>
      <c r="T36" s="409"/>
      <c r="U36" s="409"/>
      <c r="V36" s="409"/>
      <c r="W36" s="409"/>
      <c r="X36" s="409"/>
      <c r="Y36" s="409"/>
      <c r="Z36" s="409"/>
      <c r="AA36" s="409"/>
    </row>
    <row r="37">
      <c r="A37" s="409"/>
      <c r="B37" s="376"/>
      <c r="C37" s="409"/>
      <c r="D37" s="418"/>
      <c r="E37" s="418"/>
      <c r="F37" s="418"/>
      <c r="G37" s="409"/>
      <c r="H37" s="409"/>
      <c r="I37" s="409"/>
      <c r="J37" s="409"/>
      <c r="K37" s="409"/>
      <c r="L37" s="409"/>
      <c r="M37" s="409"/>
      <c r="N37" s="409"/>
      <c r="O37" s="409"/>
      <c r="P37" s="409"/>
      <c r="Q37" s="409"/>
      <c r="R37" s="409"/>
      <c r="S37" s="409"/>
      <c r="T37" s="409"/>
      <c r="U37" s="409"/>
      <c r="V37" s="409"/>
      <c r="W37" s="409"/>
      <c r="X37" s="409"/>
      <c r="Y37" s="409"/>
      <c r="Z37" s="409"/>
      <c r="AA37" s="409"/>
    </row>
    <row r="38">
      <c r="A38" s="409"/>
      <c r="B38" s="376"/>
      <c r="C38" s="409"/>
      <c r="D38" s="418"/>
      <c r="E38" s="418"/>
      <c r="F38" s="418"/>
      <c r="G38" s="409"/>
      <c r="H38" s="409"/>
      <c r="I38" s="409"/>
      <c r="J38" s="409"/>
      <c r="K38" s="409"/>
      <c r="L38" s="409"/>
      <c r="M38" s="409"/>
      <c r="N38" s="409"/>
      <c r="O38" s="409"/>
      <c r="P38" s="409"/>
      <c r="Q38" s="409"/>
      <c r="R38" s="409"/>
      <c r="S38" s="409"/>
      <c r="T38" s="409"/>
      <c r="U38" s="409"/>
      <c r="V38" s="409"/>
      <c r="W38" s="409"/>
      <c r="X38" s="409"/>
      <c r="Y38" s="409"/>
      <c r="Z38" s="409"/>
      <c r="AA38" s="409"/>
    </row>
    <row r="39">
      <c r="A39" s="409"/>
      <c r="B39" s="376"/>
      <c r="C39" s="409"/>
      <c r="D39" s="418"/>
      <c r="E39" s="418"/>
      <c r="F39" s="418"/>
      <c r="G39" s="409"/>
      <c r="H39" s="409"/>
      <c r="I39" s="409"/>
      <c r="J39" s="409"/>
      <c r="K39" s="409"/>
      <c r="L39" s="409"/>
      <c r="M39" s="409"/>
      <c r="N39" s="409"/>
      <c r="O39" s="409"/>
      <c r="P39" s="409"/>
      <c r="Q39" s="409"/>
      <c r="R39" s="409"/>
      <c r="S39" s="409"/>
      <c r="T39" s="409"/>
      <c r="U39" s="409"/>
      <c r="V39" s="409"/>
      <c r="W39" s="409"/>
      <c r="X39" s="409"/>
      <c r="Y39" s="409"/>
      <c r="Z39" s="409"/>
      <c r="AA39" s="409"/>
    </row>
    <row r="40">
      <c r="A40" s="409"/>
      <c r="B40" s="376"/>
      <c r="C40" s="409"/>
      <c r="D40" s="418"/>
      <c r="E40" s="418"/>
      <c r="F40" s="418"/>
      <c r="G40" s="409"/>
      <c r="H40" s="409"/>
      <c r="I40" s="409"/>
      <c r="J40" s="409"/>
      <c r="K40" s="409"/>
      <c r="L40" s="409"/>
      <c r="M40" s="409"/>
      <c r="N40" s="409"/>
      <c r="O40" s="409"/>
      <c r="P40" s="409"/>
      <c r="Q40" s="409"/>
      <c r="R40" s="409"/>
      <c r="S40" s="409"/>
      <c r="T40" s="409"/>
      <c r="U40" s="409"/>
      <c r="V40" s="409"/>
      <c r="W40" s="409"/>
      <c r="X40" s="409"/>
      <c r="Y40" s="409"/>
      <c r="Z40" s="409"/>
      <c r="AA40" s="409"/>
    </row>
    <row r="41">
      <c r="A41" s="409"/>
      <c r="B41" s="376"/>
      <c r="C41" s="409"/>
      <c r="D41" s="418"/>
      <c r="E41" s="418"/>
      <c r="F41" s="418"/>
      <c r="G41" s="409"/>
      <c r="H41" s="409"/>
      <c r="I41" s="409"/>
      <c r="J41" s="409"/>
      <c r="K41" s="409"/>
      <c r="L41" s="409"/>
      <c r="M41" s="409"/>
      <c r="N41" s="409"/>
      <c r="O41" s="409"/>
      <c r="P41" s="409"/>
      <c r="Q41" s="409"/>
      <c r="R41" s="409"/>
      <c r="S41" s="409"/>
      <c r="T41" s="409"/>
      <c r="U41" s="409"/>
      <c r="V41" s="409"/>
      <c r="W41" s="409"/>
      <c r="X41" s="409"/>
      <c r="Y41" s="409"/>
      <c r="Z41" s="409"/>
      <c r="AA41" s="409"/>
    </row>
    <row r="42">
      <c r="A42" s="409"/>
      <c r="B42" s="376"/>
      <c r="C42" s="409"/>
      <c r="D42" s="418"/>
      <c r="E42" s="418"/>
      <c r="F42" s="418"/>
      <c r="G42" s="409"/>
      <c r="H42" s="409"/>
      <c r="I42" s="409"/>
      <c r="J42" s="409"/>
      <c r="K42" s="409"/>
      <c r="L42" s="409"/>
      <c r="M42" s="409"/>
      <c r="N42" s="409"/>
      <c r="O42" s="409"/>
      <c r="P42" s="409"/>
      <c r="Q42" s="409"/>
      <c r="R42" s="409"/>
      <c r="S42" s="409"/>
      <c r="T42" s="409"/>
      <c r="U42" s="409"/>
      <c r="V42" s="409"/>
      <c r="W42" s="409"/>
      <c r="X42" s="409"/>
      <c r="Y42" s="409"/>
      <c r="Z42" s="409"/>
      <c r="AA42" s="409"/>
    </row>
    <row r="43">
      <c r="A43" s="409"/>
      <c r="B43" s="376"/>
      <c r="C43" s="409"/>
      <c r="D43" s="418"/>
      <c r="E43" s="418"/>
      <c r="F43" s="418"/>
      <c r="G43" s="409"/>
      <c r="H43" s="409"/>
      <c r="I43" s="409"/>
      <c r="J43" s="409"/>
      <c r="K43" s="409"/>
      <c r="L43" s="409"/>
      <c r="M43" s="409"/>
      <c r="N43" s="409"/>
      <c r="O43" s="409"/>
      <c r="P43" s="409"/>
      <c r="Q43" s="409"/>
      <c r="R43" s="409"/>
      <c r="S43" s="409"/>
      <c r="T43" s="409"/>
      <c r="U43" s="409"/>
      <c r="V43" s="409"/>
      <c r="W43" s="409"/>
      <c r="X43" s="409"/>
      <c r="Y43" s="409"/>
      <c r="Z43" s="409"/>
      <c r="AA43" s="409"/>
    </row>
    <row r="44">
      <c r="A44" s="409"/>
      <c r="B44" s="376"/>
      <c r="C44" s="409"/>
      <c r="D44" s="418"/>
      <c r="E44" s="418"/>
      <c r="F44" s="418"/>
      <c r="G44" s="409"/>
      <c r="H44" s="409"/>
      <c r="I44" s="409"/>
      <c r="J44" s="409"/>
      <c r="K44" s="409"/>
      <c r="L44" s="409"/>
      <c r="M44" s="409"/>
      <c r="N44" s="409"/>
      <c r="O44" s="409"/>
      <c r="P44" s="409"/>
      <c r="Q44" s="409"/>
      <c r="R44" s="409"/>
      <c r="S44" s="409"/>
      <c r="T44" s="409"/>
      <c r="U44" s="409"/>
      <c r="V44" s="409"/>
      <c r="W44" s="409"/>
      <c r="X44" s="409"/>
      <c r="Y44" s="409"/>
      <c r="Z44" s="409"/>
      <c r="AA44" s="409"/>
    </row>
    <row r="45">
      <c r="A45" s="409"/>
      <c r="B45" s="376"/>
      <c r="C45" s="409"/>
      <c r="D45" s="418"/>
      <c r="E45" s="418"/>
      <c r="F45" s="418"/>
      <c r="G45" s="409"/>
      <c r="H45" s="409"/>
      <c r="I45" s="409"/>
      <c r="J45" s="409"/>
      <c r="K45" s="409"/>
      <c r="L45" s="409"/>
      <c r="M45" s="409"/>
      <c r="N45" s="409"/>
      <c r="O45" s="409"/>
      <c r="P45" s="409"/>
      <c r="Q45" s="409"/>
      <c r="R45" s="409"/>
      <c r="S45" s="409"/>
      <c r="T45" s="409"/>
      <c r="U45" s="409"/>
      <c r="V45" s="409"/>
      <c r="W45" s="409"/>
      <c r="X45" s="409"/>
      <c r="Y45" s="409"/>
      <c r="Z45" s="409"/>
      <c r="AA45" s="409"/>
    </row>
    <row r="46">
      <c r="A46" s="409"/>
      <c r="B46" s="376"/>
      <c r="C46" s="409"/>
      <c r="D46" s="418"/>
      <c r="E46" s="418"/>
      <c r="F46" s="418"/>
      <c r="G46" s="409"/>
      <c r="H46" s="409"/>
      <c r="I46" s="409"/>
      <c r="J46" s="409"/>
      <c r="K46" s="409"/>
      <c r="L46" s="409"/>
      <c r="M46" s="409"/>
      <c r="N46" s="409"/>
      <c r="O46" s="409"/>
      <c r="P46" s="409"/>
      <c r="Q46" s="409"/>
      <c r="R46" s="409"/>
      <c r="S46" s="409"/>
      <c r="T46" s="409"/>
      <c r="U46" s="409"/>
      <c r="V46" s="409"/>
      <c r="W46" s="409"/>
      <c r="X46" s="409"/>
      <c r="Y46" s="409"/>
      <c r="Z46" s="409"/>
      <c r="AA46" s="409"/>
    </row>
    <row r="47">
      <c r="A47" s="409"/>
      <c r="B47" s="376"/>
      <c r="C47" s="409"/>
      <c r="D47" s="409"/>
      <c r="E47" s="409"/>
      <c r="F47" s="409"/>
      <c r="G47" s="409"/>
      <c r="H47" s="409"/>
      <c r="I47" s="409"/>
      <c r="J47" s="409"/>
      <c r="K47" s="409"/>
      <c r="L47" s="409"/>
      <c r="M47" s="409"/>
      <c r="N47" s="409"/>
      <c r="O47" s="409"/>
      <c r="P47" s="409"/>
      <c r="Q47" s="409"/>
      <c r="R47" s="409"/>
      <c r="S47" s="409"/>
      <c r="T47" s="409"/>
      <c r="U47" s="409"/>
      <c r="V47" s="409"/>
      <c r="W47" s="409"/>
      <c r="X47" s="409"/>
      <c r="Y47" s="409"/>
      <c r="Z47" s="409"/>
      <c r="AA47" s="409"/>
    </row>
    <row r="48">
      <c r="A48" s="409"/>
      <c r="B48" s="376"/>
      <c r="C48" s="409"/>
      <c r="D48" s="409"/>
      <c r="E48" s="409"/>
      <c r="F48" s="409"/>
      <c r="G48" s="409"/>
      <c r="H48" s="409"/>
      <c r="I48" s="409"/>
      <c r="J48" s="409"/>
      <c r="K48" s="409"/>
      <c r="L48" s="409"/>
      <c r="M48" s="409"/>
      <c r="N48" s="409"/>
      <c r="O48" s="409"/>
      <c r="P48" s="409"/>
      <c r="Q48" s="409"/>
      <c r="R48" s="409"/>
      <c r="S48" s="409"/>
      <c r="T48" s="409"/>
      <c r="U48" s="409"/>
      <c r="V48" s="409"/>
      <c r="W48" s="409"/>
      <c r="X48" s="409"/>
      <c r="Y48" s="409"/>
      <c r="Z48" s="409"/>
      <c r="AA48" s="409"/>
    </row>
    <row r="49">
      <c r="A49" s="409"/>
      <c r="B49" s="376"/>
      <c r="C49" s="409"/>
      <c r="D49" s="409"/>
      <c r="E49" s="409"/>
      <c r="F49" s="409"/>
      <c r="G49" s="409"/>
      <c r="H49" s="409"/>
      <c r="I49" s="409"/>
      <c r="J49" s="409"/>
      <c r="K49" s="409"/>
      <c r="L49" s="409"/>
      <c r="M49" s="409"/>
      <c r="N49" s="409"/>
      <c r="O49" s="409"/>
      <c r="P49" s="409"/>
      <c r="Q49" s="409"/>
      <c r="R49" s="409"/>
      <c r="S49" s="409"/>
      <c r="T49" s="409"/>
      <c r="U49" s="409"/>
      <c r="V49" s="409"/>
      <c r="W49" s="409"/>
      <c r="X49" s="409"/>
      <c r="Y49" s="409"/>
      <c r="Z49" s="409"/>
      <c r="AA49" s="409"/>
    </row>
    <row r="50">
      <c r="A50" s="409"/>
      <c r="B50" s="376"/>
      <c r="C50" s="409"/>
      <c r="D50" s="409"/>
      <c r="E50" s="409"/>
      <c r="F50" s="409"/>
      <c r="G50" s="409"/>
      <c r="H50" s="409"/>
      <c r="I50" s="409"/>
      <c r="J50" s="409"/>
      <c r="K50" s="409"/>
      <c r="L50" s="409"/>
      <c r="M50" s="409"/>
      <c r="N50" s="409"/>
      <c r="O50" s="409"/>
      <c r="P50" s="409"/>
      <c r="Q50" s="409"/>
      <c r="R50" s="409"/>
      <c r="S50" s="409"/>
      <c r="T50" s="409"/>
      <c r="U50" s="409"/>
      <c r="V50" s="409"/>
      <c r="W50" s="409"/>
      <c r="X50" s="409"/>
      <c r="Y50" s="409"/>
      <c r="Z50" s="409"/>
      <c r="AA50" s="409"/>
    </row>
    <row r="51">
      <c r="A51" s="409"/>
      <c r="B51" s="376"/>
      <c r="C51" s="409"/>
      <c r="D51" s="409"/>
      <c r="E51" s="409"/>
      <c r="F51" s="409"/>
      <c r="G51" s="409"/>
      <c r="H51" s="409"/>
      <c r="I51" s="409"/>
      <c r="J51" s="409"/>
      <c r="K51" s="409"/>
      <c r="L51" s="409"/>
      <c r="M51" s="409"/>
      <c r="N51" s="409"/>
      <c r="O51" s="409"/>
      <c r="P51" s="409"/>
      <c r="Q51" s="409"/>
      <c r="R51" s="409"/>
      <c r="S51" s="409"/>
      <c r="T51" s="409"/>
      <c r="U51" s="409"/>
      <c r="V51" s="409"/>
      <c r="W51" s="409"/>
      <c r="X51" s="409"/>
      <c r="Y51" s="409"/>
      <c r="Z51" s="409"/>
      <c r="AA51" s="409"/>
    </row>
    <row r="52">
      <c r="A52" s="409"/>
      <c r="B52" s="376"/>
      <c r="C52" s="409"/>
      <c r="D52" s="409"/>
      <c r="E52" s="409"/>
      <c r="F52" s="409"/>
      <c r="G52" s="409"/>
      <c r="H52" s="409"/>
      <c r="I52" s="409"/>
      <c r="J52" s="409"/>
      <c r="K52" s="409"/>
      <c r="L52" s="409"/>
      <c r="M52" s="409"/>
      <c r="N52" s="409"/>
      <c r="O52" s="409"/>
      <c r="P52" s="409"/>
      <c r="Q52" s="409"/>
      <c r="R52" s="409"/>
      <c r="S52" s="409"/>
      <c r="T52" s="409"/>
      <c r="U52" s="409"/>
      <c r="V52" s="409"/>
      <c r="W52" s="409"/>
      <c r="X52" s="409"/>
      <c r="Y52" s="409"/>
      <c r="Z52" s="409"/>
      <c r="AA52" s="409"/>
    </row>
    <row r="53">
      <c r="A53" s="409"/>
      <c r="B53" s="376"/>
      <c r="C53" s="409"/>
      <c r="D53" s="409"/>
      <c r="E53" s="409"/>
      <c r="F53" s="409"/>
      <c r="G53" s="409"/>
      <c r="H53" s="409"/>
      <c r="I53" s="409"/>
      <c r="J53" s="409"/>
      <c r="K53" s="409"/>
      <c r="L53" s="409"/>
      <c r="M53" s="409"/>
      <c r="N53" s="409"/>
      <c r="O53" s="409"/>
      <c r="P53" s="409"/>
      <c r="Q53" s="409"/>
      <c r="R53" s="409"/>
      <c r="S53" s="409"/>
      <c r="T53" s="409"/>
      <c r="U53" s="409"/>
      <c r="V53" s="409"/>
      <c r="W53" s="409"/>
      <c r="X53" s="409"/>
      <c r="Y53" s="409"/>
      <c r="Z53" s="409"/>
      <c r="AA53" s="409"/>
    </row>
    <row r="54">
      <c r="A54" s="409"/>
      <c r="B54" s="376"/>
      <c r="C54" s="409"/>
      <c r="D54" s="409"/>
      <c r="E54" s="409"/>
      <c r="F54" s="409"/>
      <c r="G54" s="409"/>
      <c r="H54" s="409"/>
      <c r="I54" s="409"/>
      <c r="J54" s="409"/>
      <c r="K54" s="409"/>
      <c r="L54" s="409"/>
      <c r="M54" s="409"/>
      <c r="N54" s="409"/>
      <c r="O54" s="409"/>
      <c r="P54" s="409"/>
      <c r="Q54" s="409"/>
      <c r="R54" s="409"/>
      <c r="S54" s="409"/>
      <c r="T54" s="409"/>
      <c r="U54" s="409"/>
      <c r="V54" s="409"/>
      <c r="W54" s="409"/>
      <c r="X54" s="409"/>
      <c r="Y54" s="409"/>
      <c r="Z54" s="409"/>
      <c r="AA54" s="409"/>
    </row>
    <row r="55">
      <c r="A55" s="409"/>
      <c r="B55" s="376"/>
      <c r="C55" s="409"/>
      <c r="D55" s="409"/>
      <c r="E55" s="409"/>
      <c r="F55" s="409"/>
      <c r="G55" s="409"/>
      <c r="H55" s="409"/>
      <c r="I55" s="409"/>
      <c r="J55" s="409"/>
      <c r="K55" s="409"/>
      <c r="L55" s="409"/>
      <c r="M55" s="409"/>
      <c r="N55" s="409"/>
      <c r="O55" s="409"/>
      <c r="P55" s="409"/>
      <c r="Q55" s="409"/>
      <c r="R55" s="409"/>
      <c r="S55" s="409"/>
      <c r="T55" s="409"/>
      <c r="U55" s="409"/>
      <c r="V55" s="409"/>
      <c r="W55" s="409"/>
      <c r="X55" s="409"/>
      <c r="Y55" s="409"/>
      <c r="Z55" s="409"/>
      <c r="AA55" s="409"/>
    </row>
    <row r="56">
      <c r="A56" s="409"/>
      <c r="B56" s="376"/>
      <c r="C56" s="409"/>
      <c r="D56" s="409"/>
      <c r="E56" s="409"/>
      <c r="F56" s="409"/>
      <c r="G56" s="409"/>
      <c r="H56" s="409"/>
      <c r="I56" s="409"/>
      <c r="J56" s="409"/>
      <c r="K56" s="409"/>
      <c r="L56" s="409"/>
      <c r="M56" s="409"/>
      <c r="N56" s="409"/>
      <c r="O56" s="409"/>
      <c r="P56" s="409"/>
      <c r="Q56" s="409"/>
      <c r="R56" s="409"/>
      <c r="S56" s="409"/>
      <c r="T56" s="409"/>
      <c r="U56" s="409"/>
      <c r="V56" s="409"/>
      <c r="W56" s="409"/>
      <c r="X56" s="409"/>
      <c r="Y56" s="409"/>
      <c r="Z56" s="409"/>
      <c r="AA56" s="409"/>
    </row>
    <row r="57">
      <c r="A57" s="409"/>
      <c r="B57" s="376"/>
      <c r="C57" s="409"/>
      <c r="D57" s="409"/>
      <c r="E57" s="409"/>
      <c r="F57" s="409"/>
      <c r="G57" s="409"/>
      <c r="H57" s="409"/>
      <c r="I57" s="409"/>
      <c r="J57" s="409"/>
      <c r="K57" s="409"/>
      <c r="L57" s="409"/>
      <c r="M57" s="409"/>
      <c r="N57" s="409"/>
      <c r="O57" s="409"/>
      <c r="P57" s="409"/>
      <c r="Q57" s="409"/>
      <c r="R57" s="409"/>
      <c r="S57" s="409"/>
      <c r="T57" s="409"/>
      <c r="U57" s="409"/>
      <c r="V57" s="409"/>
      <c r="W57" s="409"/>
      <c r="X57" s="409"/>
      <c r="Y57" s="409"/>
      <c r="Z57" s="409"/>
      <c r="AA57" s="409"/>
    </row>
    <row r="58">
      <c r="A58" s="409"/>
      <c r="B58" s="376"/>
      <c r="C58" s="409"/>
      <c r="D58" s="409"/>
      <c r="E58" s="409"/>
      <c r="F58" s="409"/>
      <c r="G58" s="409"/>
      <c r="H58" s="409"/>
      <c r="I58" s="409"/>
      <c r="J58" s="409"/>
      <c r="K58" s="409"/>
      <c r="L58" s="409"/>
      <c r="M58" s="409"/>
      <c r="N58" s="409"/>
      <c r="O58" s="409"/>
      <c r="P58" s="409"/>
      <c r="Q58" s="409"/>
      <c r="R58" s="409"/>
      <c r="S58" s="409"/>
      <c r="T58" s="409"/>
      <c r="U58" s="409"/>
      <c r="V58" s="409"/>
      <c r="W58" s="409"/>
      <c r="X58" s="409"/>
      <c r="Y58" s="409"/>
      <c r="Z58" s="409"/>
      <c r="AA58" s="409"/>
    </row>
    <row r="59">
      <c r="A59" s="409"/>
      <c r="B59" s="376"/>
      <c r="C59" s="409"/>
      <c r="D59" s="409"/>
      <c r="E59" s="409"/>
      <c r="F59" s="409"/>
      <c r="G59" s="409"/>
      <c r="H59" s="409"/>
      <c r="I59" s="409"/>
      <c r="J59" s="409"/>
      <c r="K59" s="409"/>
      <c r="L59" s="409"/>
      <c r="M59" s="409"/>
      <c r="N59" s="409"/>
      <c r="O59" s="409"/>
      <c r="P59" s="409"/>
      <c r="Q59" s="409"/>
      <c r="R59" s="409"/>
      <c r="S59" s="409"/>
      <c r="T59" s="409"/>
      <c r="U59" s="409"/>
      <c r="V59" s="409"/>
      <c r="W59" s="409"/>
      <c r="X59" s="409"/>
      <c r="Y59" s="409"/>
      <c r="Z59" s="409"/>
      <c r="AA59" s="409"/>
    </row>
    <row r="60">
      <c r="A60" s="404"/>
      <c r="B60" s="419"/>
      <c r="C60" s="404"/>
      <c r="D60" s="404"/>
      <c r="E60" s="404"/>
      <c r="F60" s="404"/>
      <c r="G60" s="404"/>
      <c r="H60" s="404"/>
      <c r="I60" s="404"/>
      <c r="J60" s="404"/>
      <c r="K60" s="404"/>
      <c r="L60" s="404"/>
      <c r="M60" s="404"/>
      <c r="N60" s="404"/>
      <c r="O60" s="404"/>
      <c r="P60" s="404"/>
      <c r="Q60" s="404"/>
      <c r="R60" s="404"/>
      <c r="S60" s="404"/>
      <c r="T60" s="404"/>
      <c r="U60" s="404"/>
      <c r="V60" s="404"/>
      <c r="W60" s="404"/>
      <c r="X60" s="404"/>
      <c r="Y60" s="404"/>
      <c r="Z60" s="404"/>
      <c r="AA60" s="404"/>
    </row>
    <row r="61">
      <c r="A61" s="404"/>
      <c r="B61" s="419"/>
      <c r="C61" s="404"/>
      <c r="D61" s="404"/>
      <c r="E61" s="404"/>
      <c r="F61" s="404"/>
      <c r="G61" s="404"/>
      <c r="H61" s="404"/>
      <c r="I61" s="404"/>
      <c r="J61" s="404"/>
      <c r="K61" s="404"/>
      <c r="L61" s="404"/>
      <c r="M61" s="404"/>
      <c r="N61" s="404"/>
      <c r="O61" s="404"/>
      <c r="P61" s="404"/>
      <c r="Q61" s="404"/>
      <c r="R61" s="404"/>
      <c r="S61" s="404"/>
      <c r="T61" s="404"/>
      <c r="U61" s="404"/>
      <c r="V61" s="404"/>
      <c r="W61" s="404"/>
      <c r="X61" s="404"/>
      <c r="Y61" s="404"/>
      <c r="Z61" s="404"/>
      <c r="AA61" s="404"/>
    </row>
    <row r="62">
      <c r="A62" s="404"/>
      <c r="B62" s="419"/>
      <c r="C62" s="404"/>
      <c r="D62" s="404"/>
      <c r="E62" s="404"/>
      <c r="F62" s="404"/>
      <c r="G62" s="404"/>
      <c r="H62" s="404"/>
      <c r="I62" s="404"/>
      <c r="J62" s="404"/>
      <c r="K62" s="404"/>
      <c r="L62" s="404"/>
      <c r="M62" s="404"/>
      <c r="N62" s="404"/>
      <c r="O62" s="404"/>
      <c r="P62" s="404"/>
      <c r="Q62" s="404"/>
      <c r="R62" s="404"/>
      <c r="S62" s="404"/>
      <c r="T62" s="404"/>
      <c r="U62" s="404"/>
      <c r="V62" s="404"/>
      <c r="W62" s="404"/>
      <c r="X62" s="404"/>
      <c r="Y62" s="404"/>
      <c r="Z62" s="404"/>
      <c r="AA62" s="404"/>
    </row>
    <row r="63">
      <c r="A63" s="404"/>
      <c r="B63" s="419"/>
      <c r="C63" s="404"/>
      <c r="D63" s="404"/>
      <c r="E63" s="404"/>
      <c r="F63" s="404"/>
      <c r="G63" s="404"/>
      <c r="H63" s="404"/>
      <c r="I63" s="404"/>
      <c r="J63" s="404"/>
      <c r="K63" s="404"/>
      <c r="L63" s="404"/>
      <c r="M63" s="404"/>
      <c r="N63" s="404"/>
      <c r="O63" s="404"/>
      <c r="P63" s="404"/>
      <c r="Q63" s="404"/>
      <c r="R63" s="404"/>
      <c r="S63" s="404"/>
      <c r="T63" s="404"/>
      <c r="U63" s="404"/>
      <c r="V63" s="404"/>
      <c r="W63" s="404"/>
      <c r="X63" s="404"/>
      <c r="Y63" s="404"/>
      <c r="Z63" s="404"/>
      <c r="AA63" s="404"/>
    </row>
    <row r="64">
      <c r="A64" s="404"/>
      <c r="B64" s="419"/>
      <c r="C64" s="404"/>
      <c r="D64" s="404"/>
      <c r="E64" s="404"/>
      <c r="F64" s="404"/>
      <c r="G64" s="404"/>
      <c r="H64" s="404"/>
      <c r="I64" s="404"/>
      <c r="J64" s="404"/>
      <c r="K64" s="404"/>
      <c r="L64" s="404"/>
      <c r="M64" s="404"/>
      <c r="N64" s="404"/>
      <c r="O64" s="404"/>
      <c r="P64" s="404"/>
      <c r="Q64" s="404"/>
      <c r="R64" s="404"/>
      <c r="S64" s="404"/>
      <c r="T64" s="404"/>
      <c r="U64" s="404"/>
      <c r="V64" s="404"/>
      <c r="W64" s="404"/>
      <c r="X64" s="404"/>
      <c r="Y64" s="404"/>
      <c r="Z64" s="404"/>
      <c r="AA64" s="404"/>
    </row>
    <row r="65">
      <c r="A65" s="404"/>
      <c r="B65" s="419"/>
      <c r="C65" s="404"/>
      <c r="D65" s="404"/>
      <c r="E65" s="404"/>
      <c r="F65" s="404"/>
      <c r="G65" s="404"/>
      <c r="H65" s="404"/>
      <c r="I65" s="404"/>
      <c r="J65" s="404"/>
      <c r="K65" s="404"/>
      <c r="L65" s="404"/>
      <c r="M65" s="404"/>
      <c r="N65" s="404"/>
      <c r="O65" s="404"/>
      <c r="P65" s="404"/>
      <c r="Q65" s="404"/>
      <c r="R65" s="404"/>
      <c r="S65" s="404"/>
      <c r="T65" s="404"/>
      <c r="U65" s="404"/>
      <c r="V65" s="404"/>
      <c r="W65" s="404"/>
      <c r="X65" s="404"/>
      <c r="Y65" s="404"/>
      <c r="Z65" s="404"/>
      <c r="AA65" s="404"/>
    </row>
    <row r="66">
      <c r="A66" s="404"/>
      <c r="B66" s="419"/>
      <c r="C66" s="404"/>
      <c r="D66" s="404"/>
      <c r="E66" s="404"/>
      <c r="F66" s="404"/>
      <c r="G66" s="404"/>
      <c r="H66" s="404"/>
      <c r="I66" s="404"/>
      <c r="J66" s="404"/>
      <c r="K66" s="404"/>
      <c r="L66" s="404"/>
      <c r="M66" s="404"/>
      <c r="N66" s="404"/>
      <c r="O66" s="404"/>
      <c r="P66" s="404"/>
      <c r="Q66" s="404"/>
      <c r="R66" s="404"/>
      <c r="S66" s="404"/>
      <c r="T66" s="404"/>
      <c r="U66" s="404"/>
      <c r="V66" s="404"/>
      <c r="W66" s="404"/>
      <c r="X66" s="404"/>
      <c r="Y66" s="404"/>
      <c r="Z66" s="404"/>
      <c r="AA66" s="404"/>
    </row>
    <row r="67">
      <c r="A67" s="404"/>
      <c r="B67" s="419"/>
      <c r="C67" s="404"/>
      <c r="D67" s="404"/>
      <c r="E67" s="404"/>
      <c r="F67" s="404"/>
      <c r="G67" s="404"/>
      <c r="H67" s="404"/>
      <c r="I67" s="404"/>
      <c r="J67" s="404"/>
      <c r="K67" s="404"/>
      <c r="L67" s="404"/>
      <c r="M67" s="404"/>
      <c r="N67" s="404"/>
      <c r="O67" s="404"/>
      <c r="P67" s="404"/>
      <c r="Q67" s="404"/>
      <c r="R67" s="404"/>
      <c r="S67" s="404"/>
      <c r="T67" s="404"/>
      <c r="U67" s="404"/>
      <c r="V67" s="404"/>
      <c r="W67" s="404"/>
      <c r="X67" s="404"/>
      <c r="Y67" s="404"/>
      <c r="Z67" s="404"/>
      <c r="AA67" s="404"/>
    </row>
    <row r="68">
      <c r="A68" s="404"/>
      <c r="B68" s="419"/>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row>
    <row r="69">
      <c r="A69" s="404"/>
      <c r="B69" s="419"/>
      <c r="C69" s="404"/>
      <c r="D69" s="404"/>
      <c r="E69" s="404"/>
      <c r="F69" s="404"/>
      <c r="G69" s="404"/>
      <c r="H69" s="404"/>
      <c r="I69" s="404"/>
      <c r="J69" s="404"/>
      <c r="K69" s="404"/>
      <c r="L69" s="404"/>
      <c r="M69" s="404"/>
      <c r="N69" s="404"/>
      <c r="O69" s="404"/>
      <c r="P69" s="404"/>
      <c r="Q69" s="404"/>
      <c r="R69" s="404"/>
      <c r="S69" s="404"/>
      <c r="T69" s="404"/>
      <c r="U69" s="404"/>
      <c r="V69" s="404"/>
      <c r="W69" s="404"/>
      <c r="X69" s="404"/>
      <c r="Y69" s="404"/>
      <c r="Z69" s="404"/>
      <c r="AA69" s="404"/>
    </row>
    <row r="70">
      <c r="A70" s="404"/>
      <c r="B70" s="419"/>
      <c r="C70" s="404"/>
      <c r="D70" s="404"/>
      <c r="E70" s="404"/>
      <c r="F70" s="404"/>
      <c r="G70" s="404"/>
      <c r="H70" s="404"/>
      <c r="I70" s="404"/>
      <c r="J70" s="404"/>
      <c r="K70" s="404"/>
      <c r="L70" s="404"/>
      <c r="M70" s="404"/>
      <c r="N70" s="404"/>
      <c r="O70" s="404"/>
      <c r="P70" s="404"/>
      <c r="Q70" s="404"/>
      <c r="R70" s="404"/>
      <c r="S70" s="404"/>
      <c r="T70" s="404"/>
      <c r="U70" s="404"/>
      <c r="V70" s="404"/>
      <c r="W70" s="404"/>
      <c r="X70" s="404"/>
      <c r="Y70" s="404"/>
      <c r="Z70" s="404"/>
      <c r="AA70" s="404"/>
    </row>
    <row r="71">
      <c r="A71" s="404"/>
      <c r="B71" s="419"/>
      <c r="C71" s="404"/>
      <c r="D71" s="404"/>
      <c r="E71" s="404"/>
      <c r="F71" s="404"/>
      <c r="G71" s="404"/>
      <c r="H71" s="404"/>
      <c r="I71" s="404"/>
      <c r="J71" s="404"/>
      <c r="K71" s="404"/>
      <c r="L71" s="404"/>
      <c r="M71" s="404"/>
      <c r="N71" s="404"/>
      <c r="O71" s="404"/>
      <c r="P71" s="404"/>
      <c r="Q71" s="404"/>
      <c r="R71" s="404"/>
      <c r="S71" s="404"/>
      <c r="T71" s="404"/>
      <c r="U71" s="404"/>
      <c r="V71" s="404"/>
      <c r="W71" s="404"/>
      <c r="X71" s="404"/>
      <c r="Y71" s="404"/>
      <c r="Z71" s="404"/>
      <c r="AA71" s="404"/>
    </row>
    <row r="72">
      <c r="A72" s="404"/>
      <c r="B72" s="419"/>
      <c r="C72" s="404"/>
      <c r="D72" s="404"/>
      <c r="E72" s="404"/>
      <c r="F72" s="404"/>
      <c r="G72" s="404"/>
      <c r="H72" s="404"/>
      <c r="I72" s="404"/>
      <c r="J72" s="404"/>
      <c r="K72" s="404"/>
      <c r="L72" s="404"/>
      <c r="M72" s="404"/>
      <c r="N72" s="404"/>
      <c r="O72" s="404"/>
      <c r="P72" s="404"/>
      <c r="Q72" s="404"/>
      <c r="R72" s="404"/>
      <c r="S72" s="404"/>
      <c r="T72" s="404"/>
      <c r="U72" s="404"/>
      <c r="V72" s="404"/>
      <c r="W72" s="404"/>
      <c r="X72" s="404"/>
      <c r="Y72" s="404"/>
      <c r="Z72" s="404"/>
      <c r="AA72" s="404"/>
    </row>
    <row r="73">
      <c r="A73" s="404"/>
      <c r="B73" s="419"/>
      <c r="C73" s="404"/>
      <c r="D73" s="404"/>
      <c r="E73" s="404"/>
      <c r="F73" s="404"/>
      <c r="G73" s="404"/>
      <c r="H73" s="404"/>
      <c r="I73" s="404"/>
      <c r="J73" s="404"/>
      <c r="K73" s="404"/>
      <c r="L73" s="404"/>
      <c r="M73" s="404"/>
      <c r="N73" s="404"/>
      <c r="O73" s="404"/>
      <c r="P73" s="404"/>
      <c r="Q73" s="404"/>
      <c r="R73" s="404"/>
      <c r="S73" s="404"/>
      <c r="T73" s="404"/>
      <c r="U73" s="404"/>
      <c r="V73" s="404"/>
      <c r="W73" s="404"/>
      <c r="X73" s="404"/>
      <c r="Y73" s="404"/>
      <c r="Z73" s="404"/>
      <c r="AA73" s="404"/>
    </row>
    <row r="74">
      <c r="A74" s="404"/>
      <c r="B74" s="419"/>
      <c r="C74" s="404"/>
      <c r="D74" s="404"/>
      <c r="E74" s="404"/>
      <c r="F74" s="404"/>
      <c r="G74" s="404"/>
      <c r="H74" s="404"/>
      <c r="I74" s="404"/>
      <c r="J74" s="404"/>
      <c r="K74" s="404"/>
      <c r="L74" s="404"/>
      <c r="M74" s="404"/>
      <c r="N74" s="404"/>
      <c r="O74" s="404"/>
      <c r="P74" s="404"/>
      <c r="Q74" s="404"/>
      <c r="R74" s="404"/>
      <c r="S74" s="404"/>
      <c r="T74" s="404"/>
      <c r="U74" s="404"/>
      <c r="V74" s="404"/>
      <c r="W74" s="404"/>
      <c r="X74" s="404"/>
      <c r="Y74" s="404"/>
      <c r="Z74" s="404"/>
      <c r="AA74" s="404"/>
    </row>
    <row r="75">
      <c r="A75" s="404"/>
      <c r="B75" s="419"/>
      <c r="C75" s="404"/>
      <c r="D75" s="404"/>
      <c r="E75" s="404"/>
      <c r="F75" s="404"/>
      <c r="G75" s="404"/>
      <c r="H75" s="404"/>
      <c r="I75" s="404"/>
      <c r="J75" s="404"/>
      <c r="K75" s="404"/>
      <c r="L75" s="404"/>
      <c r="M75" s="404"/>
      <c r="N75" s="404"/>
      <c r="O75" s="404"/>
      <c r="P75" s="404"/>
      <c r="Q75" s="404"/>
      <c r="R75" s="404"/>
      <c r="S75" s="404"/>
      <c r="T75" s="404"/>
      <c r="U75" s="404"/>
      <c r="V75" s="404"/>
      <c r="W75" s="404"/>
      <c r="X75" s="404"/>
      <c r="Y75" s="404"/>
      <c r="Z75" s="404"/>
      <c r="AA75" s="404"/>
    </row>
    <row r="76">
      <c r="A76" s="404"/>
      <c r="B76" s="419"/>
      <c r="C76" s="404"/>
      <c r="D76" s="404"/>
      <c r="E76" s="404"/>
      <c r="F76" s="404"/>
      <c r="G76" s="404"/>
      <c r="H76" s="404"/>
      <c r="I76" s="404"/>
      <c r="J76" s="404"/>
      <c r="K76" s="404"/>
      <c r="L76" s="404"/>
      <c r="M76" s="404"/>
      <c r="N76" s="404"/>
      <c r="O76" s="404"/>
      <c r="P76" s="404"/>
      <c r="Q76" s="404"/>
      <c r="R76" s="404"/>
      <c r="S76" s="404"/>
      <c r="T76" s="404"/>
      <c r="U76" s="404"/>
      <c r="V76" s="404"/>
      <c r="W76" s="404"/>
      <c r="X76" s="404"/>
      <c r="Y76" s="404"/>
      <c r="Z76" s="404"/>
      <c r="AA76" s="404"/>
    </row>
    <row r="77">
      <c r="A77" s="404"/>
      <c r="B77" s="419"/>
      <c r="C77" s="404"/>
      <c r="D77" s="404"/>
      <c r="E77" s="404"/>
      <c r="F77" s="404"/>
      <c r="G77" s="404"/>
      <c r="H77" s="404"/>
      <c r="I77" s="404"/>
      <c r="J77" s="404"/>
      <c r="K77" s="404"/>
      <c r="L77" s="404"/>
      <c r="M77" s="404"/>
      <c r="N77" s="404"/>
      <c r="O77" s="404"/>
      <c r="P77" s="404"/>
      <c r="Q77" s="404"/>
      <c r="R77" s="404"/>
      <c r="S77" s="404"/>
      <c r="T77" s="404"/>
      <c r="U77" s="404"/>
      <c r="V77" s="404"/>
      <c r="W77" s="404"/>
      <c r="X77" s="404"/>
      <c r="Y77" s="404"/>
      <c r="Z77" s="404"/>
      <c r="AA77" s="404"/>
    </row>
    <row r="78">
      <c r="A78" s="404"/>
      <c r="B78" s="419"/>
      <c r="C78" s="404"/>
      <c r="D78" s="404"/>
      <c r="E78" s="404"/>
      <c r="F78" s="404"/>
      <c r="G78" s="404"/>
      <c r="H78" s="404"/>
      <c r="I78" s="404"/>
      <c r="J78" s="404"/>
      <c r="K78" s="404"/>
      <c r="L78" s="404"/>
      <c r="M78" s="404"/>
      <c r="N78" s="404"/>
      <c r="O78" s="404"/>
      <c r="P78" s="404"/>
      <c r="Q78" s="404"/>
      <c r="R78" s="404"/>
      <c r="S78" s="404"/>
      <c r="T78" s="404"/>
      <c r="U78" s="404"/>
      <c r="V78" s="404"/>
      <c r="W78" s="404"/>
      <c r="X78" s="404"/>
      <c r="Y78" s="404"/>
      <c r="Z78" s="404"/>
      <c r="AA78" s="404"/>
    </row>
    <row r="79">
      <c r="A79" s="404"/>
      <c r="B79" s="419"/>
      <c r="C79" s="404"/>
      <c r="D79" s="404"/>
      <c r="E79" s="404"/>
      <c r="F79" s="404"/>
      <c r="G79" s="404"/>
      <c r="H79" s="404"/>
      <c r="I79" s="404"/>
      <c r="J79" s="404"/>
      <c r="K79" s="404"/>
      <c r="L79" s="404"/>
      <c r="M79" s="404"/>
      <c r="N79" s="404"/>
      <c r="O79" s="404"/>
      <c r="P79" s="404"/>
      <c r="Q79" s="404"/>
      <c r="R79" s="404"/>
      <c r="S79" s="404"/>
      <c r="T79" s="404"/>
      <c r="U79" s="404"/>
      <c r="V79" s="404"/>
      <c r="W79" s="404"/>
      <c r="X79" s="404"/>
      <c r="Y79" s="404"/>
      <c r="Z79" s="404"/>
      <c r="AA79" s="404"/>
    </row>
    <row r="80">
      <c r="A80" s="404"/>
      <c r="B80" s="419"/>
      <c r="C80" s="404"/>
      <c r="D80" s="404"/>
      <c r="E80" s="404"/>
      <c r="F80" s="404"/>
      <c r="G80" s="404"/>
      <c r="H80" s="404"/>
      <c r="I80" s="404"/>
      <c r="J80" s="404"/>
      <c r="K80" s="404"/>
      <c r="L80" s="404"/>
      <c r="M80" s="404"/>
      <c r="N80" s="404"/>
      <c r="O80" s="404"/>
      <c r="P80" s="404"/>
      <c r="Q80" s="404"/>
      <c r="R80" s="404"/>
      <c r="S80" s="404"/>
      <c r="T80" s="404"/>
      <c r="U80" s="404"/>
      <c r="V80" s="404"/>
      <c r="W80" s="404"/>
      <c r="X80" s="404"/>
      <c r="Y80" s="404"/>
      <c r="Z80" s="404"/>
      <c r="AA80" s="404"/>
    </row>
    <row r="81">
      <c r="A81" s="404"/>
      <c r="B81" s="419"/>
      <c r="C81" s="404"/>
      <c r="D81" s="404"/>
      <c r="E81" s="404"/>
      <c r="F81" s="404"/>
      <c r="G81" s="404"/>
      <c r="H81" s="404"/>
      <c r="I81" s="404"/>
      <c r="J81" s="404"/>
      <c r="K81" s="404"/>
      <c r="L81" s="404"/>
      <c r="M81" s="404"/>
      <c r="N81" s="404"/>
      <c r="O81" s="404"/>
      <c r="P81" s="404"/>
      <c r="Q81" s="404"/>
      <c r="R81" s="404"/>
      <c r="S81" s="404"/>
      <c r="T81" s="404"/>
      <c r="U81" s="404"/>
      <c r="V81" s="404"/>
      <c r="W81" s="404"/>
      <c r="X81" s="404"/>
      <c r="Y81" s="404"/>
      <c r="Z81" s="404"/>
      <c r="AA81" s="404"/>
    </row>
    <row r="82">
      <c r="A82" s="404"/>
      <c r="B82" s="419"/>
      <c r="C82" s="404"/>
      <c r="D82" s="404"/>
      <c r="E82" s="404"/>
      <c r="F82" s="404"/>
      <c r="G82" s="404"/>
      <c r="H82" s="404"/>
      <c r="I82" s="404"/>
      <c r="J82" s="404"/>
      <c r="K82" s="404"/>
      <c r="L82" s="404"/>
      <c r="M82" s="404"/>
      <c r="N82" s="404"/>
      <c r="O82" s="404"/>
      <c r="P82" s="404"/>
      <c r="Q82" s="404"/>
      <c r="R82" s="404"/>
      <c r="S82" s="404"/>
      <c r="T82" s="404"/>
      <c r="U82" s="404"/>
      <c r="V82" s="404"/>
      <c r="W82" s="404"/>
      <c r="X82" s="404"/>
      <c r="Y82" s="404"/>
      <c r="Z82" s="404"/>
      <c r="AA82" s="404"/>
    </row>
    <row r="83">
      <c r="A83" s="404"/>
      <c r="B83" s="419"/>
      <c r="C83" s="404"/>
      <c r="D83" s="404"/>
      <c r="E83" s="404"/>
      <c r="F83" s="404"/>
      <c r="G83" s="404"/>
      <c r="H83" s="404"/>
      <c r="I83" s="404"/>
      <c r="J83" s="404"/>
      <c r="K83" s="404"/>
      <c r="L83" s="404"/>
      <c r="M83" s="404"/>
      <c r="N83" s="404"/>
      <c r="O83" s="404"/>
      <c r="P83" s="404"/>
      <c r="Q83" s="404"/>
      <c r="R83" s="404"/>
      <c r="S83" s="404"/>
      <c r="T83" s="404"/>
      <c r="U83" s="404"/>
      <c r="V83" s="404"/>
      <c r="W83" s="404"/>
      <c r="X83" s="404"/>
      <c r="Y83" s="404"/>
      <c r="Z83" s="404"/>
      <c r="AA83" s="404"/>
    </row>
    <row r="84">
      <c r="A84" s="404"/>
      <c r="B84" s="419"/>
      <c r="C84" s="404"/>
      <c r="D84" s="404"/>
      <c r="E84" s="404"/>
      <c r="F84" s="404"/>
      <c r="G84" s="404"/>
      <c r="H84" s="404"/>
      <c r="I84" s="404"/>
      <c r="J84" s="404"/>
      <c r="K84" s="404"/>
      <c r="L84" s="404"/>
      <c r="M84" s="404"/>
      <c r="N84" s="404"/>
      <c r="O84" s="404"/>
      <c r="P84" s="404"/>
      <c r="Q84" s="404"/>
      <c r="R84" s="404"/>
      <c r="S84" s="404"/>
      <c r="T84" s="404"/>
      <c r="U84" s="404"/>
      <c r="V84" s="404"/>
      <c r="W84" s="404"/>
      <c r="X84" s="404"/>
      <c r="Y84" s="404"/>
      <c r="Z84" s="404"/>
      <c r="AA84" s="404"/>
    </row>
    <row r="85">
      <c r="A85" s="404"/>
      <c r="B85" s="419"/>
      <c r="C85" s="404"/>
      <c r="D85" s="404"/>
      <c r="E85" s="404"/>
      <c r="F85" s="404"/>
      <c r="G85" s="404"/>
      <c r="H85" s="404"/>
      <c r="I85" s="404"/>
      <c r="J85" s="404"/>
      <c r="K85" s="404"/>
      <c r="L85" s="404"/>
      <c r="M85" s="404"/>
      <c r="N85" s="404"/>
      <c r="O85" s="404"/>
      <c r="P85" s="404"/>
      <c r="Q85" s="404"/>
      <c r="R85" s="404"/>
      <c r="S85" s="404"/>
      <c r="T85" s="404"/>
      <c r="U85" s="404"/>
      <c r="V85" s="404"/>
      <c r="W85" s="404"/>
      <c r="X85" s="404"/>
      <c r="Y85" s="404"/>
      <c r="Z85" s="404"/>
      <c r="AA85" s="404"/>
    </row>
    <row r="86">
      <c r="A86" s="404"/>
      <c r="B86" s="419"/>
      <c r="C86" s="404"/>
      <c r="D86" s="404"/>
      <c r="E86" s="404"/>
      <c r="F86" s="404"/>
      <c r="G86" s="404"/>
      <c r="H86" s="404"/>
      <c r="I86" s="404"/>
      <c r="J86" s="404"/>
      <c r="K86" s="404"/>
      <c r="L86" s="404"/>
      <c r="M86" s="404"/>
      <c r="N86" s="404"/>
      <c r="O86" s="404"/>
      <c r="P86" s="404"/>
      <c r="Q86" s="404"/>
      <c r="R86" s="404"/>
      <c r="S86" s="404"/>
      <c r="T86" s="404"/>
      <c r="U86" s="404"/>
      <c r="V86" s="404"/>
      <c r="W86" s="404"/>
      <c r="X86" s="404"/>
      <c r="Y86" s="404"/>
      <c r="Z86" s="404"/>
      <c r="AA86" s="404"/>
    </row>
    <row r="87">
      <c r="A87" s="404"/>
      <c r="B87" s="419"/>
      <c r="C87" s="404"/>
      <c r="D87" s="404"/>
      <c r="E87" s="404"/>
      <c r="F87" s="404"/>
      <c r="G87" s="404"/>
      <c r="H87" s="404"/>
      <c r="I87" s="404"/>
      <c r="J87" s="404"/>
      <c r="K87" s="404"/>
      <c r="L87" s="404"/>
      <c r="M87" s="404"/>
      <c r="N87" s="404"/>
      <c r="O87" s="404"/>
      <c r="P87" s="404"/>
      <c r="Q87" s="404"/>
      <c r="R87" s="404"/>
      <c r="S87" s="404"/>
      <c r="T87" s="404"/>
      <c r="U87" s="404"/>
      <c r="V87" s="404"/>
      <c r="W87" s="404"/>
      <c r="X87" s="404"/>
      <c r="Y87" s="404"/>
      <c r="Z87" s="404"/>
      <c r="AA87" s="404"/>
    </row>
    <row r="88">
      <c r="A88" s="404"/>
      <c r="B88" s="419"/>
      <c r="C88" s="404"/>
      <c r="D88" s="404"/>
      <c r="E88" s="404"/>
      <c r="F88" s="404"/>
      <c r="G88" s="404"/>
      <c r="H88" s="404"/>
      <c r="I88" s="404"/>
      <c r="J88" s="404"/>
      <c r="K88" s="404"/>
      <c r="L88" s="404"/>
      <c r="M88" s="404"/>
      <c r="N88" s="404"/>
      <c r="O88" s="404"/>
      <c r="P88" s="404"/>
      <c r="Q88" s="404"/>
      <c r="R88" s="404"/>
      <c r="S88" s="404"/>
      <c r="T88" s="404"/>
      <c r="U88" s="404"/>
      <c r="V88" s="404"/>
      <c r="W88" s="404"/>
      <c r="X88" s="404"/>
      <c r="Y88" s="404"/>
      <c r="Z88" s="404"/>
      <c r="AA88" s="404"/>
    </row>
    <row r="89">
      <c r="A89" s="404"/>
      <c r="B89" s="419"/>
      <c r="C89" s="404"/>
      <c r="D89" s="404"/>
      <c r="E89" s="404"/>
      <c r="F89" s="404"/>
      <c r="G89" s="404"/>
      <c r="H89" s="404"/>
      <c r="I89" s="404"/>
      <c r="J89" s="404"/>
      <c r="K89" s="404"/>
      <c r="L89" s="404"/>
      <c r="M89" s="404"/>
      <c r="N89" s="404"/>
      <c r="O89" s="404"/>
      <c r="P89" s="404"/>
      <c r="Q89" s="404"/>
      <c r="R89" s="404"/>
      <c r="S89" s="404"/>
      <c r="T89" s="404"/>
      <c r="U89" s="404"/>
      <c r="V89" s="404"/>
      <c r="W89" s="404"/>
      <c r="X89" s="404"/>
      <c r="Y89" s="404"/>
      <c r="Z89" s="404"/>
      <c r="AA89" s="404"/>
    </row>
    <row r="90">
      <c r="A90" s="404"/>
      <c r="B90" s="419"/>
      <c r="C90" s="404"/>
      <c r="D90" s="404"/>
      <c r="E90" s="404"/>
      <c r="F90" s="404"/>
      <c r="G90" s="404"/>
      <c r="H90" s="404"/>
      <c r="I90" s="404"/>
      <c r="J90" s="404"/>
      <c r="K90" s="404"/>
      <c r="L90" s="404"/>
      <c r="M90" s="404"/>
      <c r="N90" s="404"/>
      <c r="O90" s="404"/>
      <c r="P90" s="404"/>
      <c r="Q90" s="404"/>
      <c r="R90" s="404"/>
      <c r="S90" s="404"/>
      <c r="T90" s="404"/>
      <c r="U90" s="404"/>
      <c r="V90" s="404"/>
      <c r="W90" s="404"/>
      <c r="X90" s="404"/>
      <c r="Y90" s="404"/>
      <c r="Z90" s="404"/>
      <c r="AA90" s="404"/>
    </row>
    <row r="91">
      <c r="A91" s="404"/>
      <c r="B91" s="419"/>
      <c r="C91" s="404"/>
      <c r="D91" s="404"/>
      <c r="E91" s="404"/>
      <c r="F91" s="404"/>
      <c r="G91" s="404"/>
      <c r="H91" s="404"/>
      <c r="I91" s="404"/>
      <c r="J91" s="404"/>
      <c r="K91" s="404"/>
      <c r="L91" s="404"/>
      <c r="M91" s="404"/>
      <c r="N91" s="404"/>
      <c r="O91" s="404"/>
      <c r="P91" s="404"/>
      <c r="Q91" s="404"/>
      <c r="R91" s="404"/>
      <c r="S91" s="404"/>
      <c r="T91" s="404"/>
      <c r="U91" s="404"/>
      <c r="V91" s="404"/>
      <c r="W91" s="404"/>
      <c r="X91" s="404"/>
      <c r="Y91" s="404"/>
      <c r="Z91" s="404"/>
      <c r="AA91" s="404"/>
    </row>
    <row r="92">
      <c r="A92" s="404"/>
      <c r="B92" s="419"/>
      <c r="C92" s="404"/>
      <c r="D92" s="404"/>
      <c r="E92" s="404"/>
      <c r="F92" s="404"/>
      <c r="G92" s="404"/>
      <c r="H92" s="404"/>
      <c r="I92" s="404"/>
      <c r="J92" s="404"/>
      <c r="K92" s="404"/>
      <c r="L92" s="404"/>
      <c r="M92" s="404"/>
      <c r="N92" s="404"/>
      <c r="O92" s="404"/>
      <c r="P92" s="404"/>
      <c r="Q92" s="404"/>
      <c r="R92" s="404"/>
      <c r="S92" s="404"/>
      <c r="T92" s="404"/>
      <c r="U92" s="404"/>
      <c r="V92" s="404"/>
      <c r="W92" s="404"/>
      <c r="X92" s="404"/>
      <c r="Y92" s="404"/>
      <c r="Z92" s="404"/>
      <c r="AA92" s="404"/>
    </row>
    <row r="93">
      <c r="A93" s="404"/>
      <c r="B93" s="419"/>
      <c r="C93" s="404"/>
      <c r="D93" s="404"/>
      <c r="E93" s="404"/>
      <c r="F93" s="404"/>
      <c r="G93" s="404"/>
      <c r="H93" s="404"/>
      <c r="I93" s="404"/>
      <c r="J93" s="404"/>
      <c r="K93" s="404"/>
      <c r="L93" s="404"/>
      <c r="M93" s="404"/>
      <c r="N93" s="404"/>
      <c r="O93" s="404"/>
      <c r="P93" s="404"/>
      <c r="Q93" s="404"/>
      <c r="R93" s="404"/>
      <c r="S93" s="404"/>
      <c r="T93" s="404"/>
      <c r="U93" s="404"/>
      <c r="V93" s="404"/>
      <c r="W93" s="404"/>
      <c r="X93" s="404"/>
      <c r="Y93" s="404"/>
      <c r="Z93" s="404"/>
      <c r="AA93" s="404"/>
    </row>
    <row r="94">
      <c r="A94" s="404"/>
      <c r="B94" s="419"/>
      <c r="C94" s="404"/>
      <c r="D94" s="404"/>
      <c r="E94" s="404"/>
      <c r="F94" s="404"/>
      <c r="G94" s="404"/>
      <c r="H94" s="404"/>
      <c r="I94" s="404"/>
      <c r="J94" s="404"/>
      <c r="K94" s="404"/>
      <c r="L94" s="404"/>
      <c r="M94" s="404"/>
      <c r="N94" s="404"/>
      <c r="O94" s="404"/>
      <c r="P94" s="404"/>
      <c r="Q94" s="404"/>
      <c r="R94" s="404"/>
      <c r="S94" s="404"/>
      <c r="T94" s="404"/>
      <c r="U94" s="404"/>
      <c r="V94" s="404"/>
      <c r="W94" s="404"/>
      <c r="X94" s="404"/>
      <c r="Y94" s="404"/>
      <c r="Z94" s="404"/>
      <c r="AA94" s="404"/>
    </row>
    <row r="95">
      <c r="A95" s="404"/>
      <c r="B95" s="419"/>
      <c r="C95" s="404"/>
      <c r="D95" s="404"/>
      <c r="E95" s="404"/>
      <c r="F95" s="404"/>
      <c r="G95" s="404"/>
      <c r="H95" s="404"/>
      <c r="I95" s="404"/>
      <c r="J95" s="404"/>
      <c r="K95" s="404"/>
      <c r="L95" s="404"/>
      <c r="M95" s="404"/>
      <c r="N95" s="404"/>
      <c r="O95" s="404"/>
      <c r="P95" s="404"/>
      <c r="Q95" s="404"/>
      <c r="R95" s="404"/>
      <c r="S95" s="404"/>
      <c r="T95" s="404"/>
      <c r="U95" s="404"/>
      <c r="V95" s="404"/>
      <c r="W95" s="404"/>
      <c r="X95" s="404"/>
      <c r="Y95" s="404"/>
      <c r="Z95" s="404"/>
      <c r="AA95" s="404"/>
    </row>
    <row r="96">
      <c r="A96" s="404"/>
      <c r="B96" s="419"/>
      <c r="C96" s="404"/>
      <c r="D96" s="404"/>
      <c r="E96" s="404"/>
      <c r="F96" s="404"/>
      <c r="G96" s="404"/>
      <c r="H96" s="404"/>
      <c r="I96" s="404"/>
      <c r="J96" s="404"/>
      <c r="K96" s="404"/>
      <c r="L96" s="404"/>
      <c r="M96" s="404"/>
      <c r="N96" s="404"/>
      <c r="O96" s="404"/>
      <c r="P96" s="404"/>
      <c r="Q96" s="404"/>
      <c r="R96" s="404"/>
      <c r="S96" s="404"/>
      <c r="T96" s="404"/>
      <c r="U96" s="404"/>
      <c r="V96" s="404"/>
      <c r="W96" s="404"/>
      <c r="X96" s="404"/>
      <c r="Y96" s="404"/>
      <c r="Z96" s="404"/>
      <c r="AA96" s="404"/>
    </row>
    <row r="97">
      <c r="A97" s="404"/>
      <c r="B97" s="419"/>
      <c r="C97" s="404"/>
      <c r="D97" s="404"/>
      <c r="E97" s="404"/>
      <c r="F97" s="404"/>
      <c r="G97" s="404"/>
      <c r="H97" s="404"/>
      <c r="I97" s="404"/>
      <c r="J97" s="404"/>
      <c r="K97" s="404"/>
      <c r="L97" s="404"/>
      <c r="M97" s="404"/>
      <c r="N97" s="404"/>
      <c r="O97" s="404"/>
      <c r="P97" s="404"/>
      <c r="Q97" s="404"/>
      <c r="R97" s="404"/>
      <c r="S97" s="404"/>
      <c r="T97" s="404"/>
      <c r="U97" s="404"/>
      <c r="V97" s="404"/>
      <c r="W97" s="404"/>
      <c r="X97" s="404"/>
      <c r="Y97" s="404"/>
      <c r="Z97" s="404"/>
      <c r="AA97" s="404"/>
    </row>
    <row r="98">
      <c r="A98" s="404"/>
      <c r="B98" s="419"/>
      <c r="C98" s="404"/>
      <c r="D98" s="404"/>
      <c r="E98" s="404"/>
      <c r="F98" s="404"/>
      <c r="G98" s="404"/>
      <c r="H98" s="404"/>
      <c r="I98" s="404"/>
      <c r="J98" s="404"/>
      <c r="K98" s="404"/>
      <c r="L98" s="404"/>
      <c r="M98" s="404"/>
      <c r="N98" s="404"/>
      <c r="O98" s="404"/>
      <c r="P98" s="404"/>
      <c r="Q98" s="404"/>
      <c r="R98" s="404"/>
      <c r="S98" s="404"/>
      <c r="T98" s="404"/>
      <c r="U98" s="404"/>
      <c r="V98" s="404"/>
      <c r="W98" s="404"/>
      <c r="X98" s="404"/>
      <c r="Y98" s="404"/>
      <c r="Z98" s="404"/>
      <c r="AA98" s="404"/>
    </row>
    <row r="99">
      <c r="A99" s="404"/>
      <c r="B99" s="419"/>
      <c r="C99" s="404"/>
      <c r="D99" s="404"/>
      <c r="E99" s="404"/>
      <c r="F99" s="404"/>
      <c r="G99" s="404"/>
      <c r="H99" s="404"/>
      <c r="I99" s="404"/>
      <c r="J99" s="404"/>
      <c r="K99" s="404"/>
      <c r="L99" s="404"/>
      <c r="M99" s="404"/>
      <c r="N99" s="404"/>
      <c r="O99" s="404"/>
      <c r="P99" s="404"/>
      <c r="Q99" s="404"/>
      <c r="R99" s="404"/>
      <c r="S99" s="404"/>
      <c r="T99" s="404"/>
      <c r="U99" s="404"/>
      <c r="V99" s="404"/>
      <c r="W99" s="404"/>
      <c r="X99" s="404"/>
      <c r="Y99" s="404"/>
      <c r="Z99" s="404"/>
      <c r="AA99" s="404"/>
    </row>
    <row r="100">
      <c r="A100" s="404"/>
      <c r="B100" s="419"/>
      <c r="C100" s="404"/>
      <c r="D100" s="404"/>
      <c r="E100" s="404"/>
      <c r="F100" s="404"/>
      <c r="G100" s="404"/>
      <c r="H100" s="404"/>
      <c r="I100" s="404"/>
      <c r="J100" s="404"/>
      <c r="K100" s="404"/>
      <c r="L100" s="404"/>
      <c r="M100" s="404"/>
      <c r="N100" s="404"/>
      <c r="O100" s="404"/>
      <c r="P100" s="404"/>
      <c r="Q100" s="404"/>
      <c r="R100" s="404"/>
      <c r="S100" s="404"/>
      <c r="T100" s="404"/>
      <c r="U100" s="404"/>
      <c r="V100" s="404"/>
      <c r="W100" s="404"/>
      <c r="X100" s="404"/>
      <c r="Y100" s="404"/>
      <c r="Z100" s="404"/>
      <c r="AA100" s="404"/>
    </row>
    <row r="101">
      <c r="A101" s="404"/>
      <c r="B101" s="419"/>
      <c r="C101" s="404"/>
      <c r="D101" s="404"/>
      <c r="E101" s="404"/>
      <c r="F101" s="404"/>
      <c r="G101" s="404"/>
      <c r="H101" s="404"/>
      <c r="I101" s="404"/>
      <c r="J101" s="404"/>
      <c r="K101" s="404"/>
      <c r="L101" s="404"/>
      <c r="M101" s="404"/>
      <c r="N101" s="404"/>
      <c r="O101" s="404"/>
      <c r="P101" s="404"/>
      <c r="Q101" s="404"/>
      <c r="R101" s="404"/>
      <c r="S101" s="404"/>
      <c r="T101" s="404"/>
      <c r="U101" s="404"/>
      <c r="V101" s="404"/>
      <c r="W101" s="404"/>
      <c r="X101" s="404"/>
      <c r="Y101" s="404"/>
      <c r="Z101" s="404"/>
      <c r="AA101" s="404"/>
    </row>
    <row r="102">
      <c r="A102" s="404"/>
      <c r="B102" s="419"/>
      <c r="C102" s="404"/>
      <c r="D102" s="404"/>
      <c r="E102" s="404"/>
      <c r="F102" s="404"/>
      <c r="G102" s="404"/>
      <c r="H102" s="404"/>
      <c r="I102" s="404"/>
      <c r="J102" s="404"/>
      <c r="K102" s="404"/>
      <c r="L102" s="404"/>
      <c r="M102" s="404"/>
      <c r="N102" s="404"/>
      <c r="O102" s="404"/>
      <c r="P102" s="404"/>
      <c r="Q102" s="404"/>
      <c r="R102" s="404"/>
      <c r="S102" s="404"/>
      <c r="T102" s="404"/>
      <c r="U102" s="404"/>
      <c r="V102" s="404"/>
      <c r="W102" s="404"/>
      <c r="X102" s="404"/>
      <c r="Y102" s="404"/>
      <c r="Z102" s="404"/>
      <c r="AA102" s="404"/>
    </row>
    <row r="103">
      <c r="A103" s="404"/>
      <c r="B103" s="419"/>
      <c r="C103" s="404"/>
      <c r="D103" s="404"/>
      <c r="E103" s="404"/>
      <c r="F103" s="404"/>
      <c r="G103" s="404"/>
      <c r="H103" s="404"/>
      <c r="I103" s="404"/>
      <c r="J103" s="404"/>
      <c r="K103" s="404"/>
      <c r="L103" s="404"/>
      <c r="M103" s="404"/>
      <c r="N103" s="404"/>
      <c r="O103" s="404"/>
      <c r="P103" s="404"/>
      <c r="Q103" s="404"/>
      <c r="R103" s="404"/>
      <c r="S103" s="404"/>
      <c r="T103" s="404"/>
      <c r="U103" s="404"/>
      <c r="V103" s="404"/>
      <c r="W103" s="404"/>
      <c r="X103" s="404"/>
      <c r="Y103" s="404"/>
      <c r="Z103" s="404"/>
      <c r="AA103" s="404"/>
    </row>
    <row r="104">
      <c r="A104" s="404"/>
      <c r="B104" s="419"/>
      <c r="C104" s="404"/>
      <c r="D104" s="404"/>
      <c r="E104" s="404"/>
      <c r="F104" s="404"/>
      <c r="G104" s="404"/>
      <c r="H104" s="404"/>
      <c r="I104" s="404"/>
      <c r="J104" s="404"/>
      <c r="K104" s="404"/>
      <c r="L104" s="404"/>
      <c r="M104" s="404"/>
      <c r="N104" s="404"/>
      <c r="O104" s="404"/>
      <c r="P104" s="404"/>
      <c r="Q104" s="404"/>
      <c r="R104" s="404"/>
      <c r="S104" s="404"/>
      <c r="T104" s="404"/>
      <c r="U104" s="404"/>
      <c r="V104" s="404"/>
      <c r="W104" s="404"/>
      <c r="X104" s="404"/>
      <c r="Y104" s="404"/>
      <c r="Z104" s="404"/>
      <c r="AA104" s="404"/>
    </row>
    <row r="105">
      <c r="A105" s="404"/>
      <c r="B105" s="419"/>
      <c r="C105" s="404"/>
      <c r="D105" s="404"/>
      <c r="E105" s="404"/>
      <c r="F105" s="404"/>
      <c r="G105" s="404"/>
      <c r="H105" s="404"/>
      <c r="I105" s="404"/>
      <c r="J105" s="404"/>
      <c r="K105" s="404"/>
      <c r="L105" s="404"/>
      <c r="M105" s="404"/>
      <c r="N105" s="404"/>
      <c r="O105" s="404"/>
      <c r="P105" s="404"/>
      <c r="Q105" s="404"/>
      <c r="R105" s="404"/>
      <c r="S105" s="404"/>
      <c r="T105" s="404"/>
      <c r="U105" s="404"/>
      <c r="V105" s="404"/>
      <c r="W105" s="404"/>
      <c r="X105" s="404"/>
      <c r="Y105" s="404"/>
      <c r="Z105" s="404"/>
      <c r="AA105" s="404"/>
    </row>
    <row r="106">
      <c r="A106" s="404"/>
      <c r="B106" s="419"/>
      <c r="C106" s="404"/>
      <c r="D106" s="404"/>
      <c r="E106" s="404"/>
      <c r="F106" s="404"/>
      <c r="G106" s="404"/>
      <c r="H106" s="404"/>
      <c r="I106" s="404"/>
      <c r="J106" s="404"/>
      <c r="K106" s="404"/>
      <c r="L106" s="404"/>
      <c r="M106" s="404"/>
      <c r="N106" s="404"/>
      <c r="O106" s="404"/>
      <c r="P106" s="404"/>
      <c r="Q106" s="404"/>
      <c r="R106" s="404"/>
      <c r="S106" s="404"/>
      <c r="T106" s="404"/>
      <c r="U106" s="404"/>
      <c r="V106" s="404"/>
      <c r="W106" s="404"/>
      <c r="X106" s="404"/>
      <c r="Y106" s="404"/>
      <c r="Z106" s="404"/>
      <c r="AA106" s="404"/>
    </row>
    <row r="107">
      <c r="A107" s="404"/>
      <c r="B107" s="419"/>
      <c r="C107" s="404"/>
      <c r="D107" s="40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c r="AA107" s="404"/>
    </row>
    <row r="108">
      <c r="A108" s="404"/>
      <c r="B108" s="419"/>
      <c r="C108" s="404"/>
      <c r="D108" s="404"/>
      <c r="E108" s="404"/>
      <c r="F108" s="404"/>
      <c r="G108" s="404"/>
      <c r="H108" s="404"/>
      <c r="I108" s="404"/>
      <c r="J108" s="404"/>
      <c r="K108" s="404"/>
      <c r="L108" s="404"/>
      <c r="M108" s="404"/>
      <c r="N108" s="404"/>
      <c r="O108" s="404"/>
      <c r="P108" s="404"/>
      <c r="Q108" s="404"/>
      <c r="R108" s="404"/>
      <c r="S108" s="404"/>
      <c r="T108" s="404"/>
      <c r="U108" s="404"/>
      <c r="V108" s="404"/>
      <c r="W108" s="404"/>
      <c r="X108" s="404"/>
      <c r="Y108" s="404"/>
      <c r="Z108" s="404"/>
      <c r="AA108" s="404"/>
    </row>
    <row r="109">
      <c r="A109" s="404"/>
      <c r="B109" s="419"/>
      <c r="C109" s="404"/>
      <c r="D109" s="404"/>
      <c r="E109" s="404"/>
      <c r="F109" s="404"/>
      <c r="G109" s="404"/>
      <c r="H109" s="404"/>
      <c r="I109" s="404"/>
      <c r="J109" s="404"/>
      <c r="K109" s="404"/>
      <c r="L109" s="404"/>
      <c r="M109" s="404"/>
      <c r="N109" s="404"/>
      <c r="O109" s="404"/>
      <c r="P109" s="404"/>
      <c r="Q109" s="404"/>
      <c r="R109" s="404"/>
      <c r="S109" s="404"/>
      <c r="T109" s="404"/>
      <c r="U109" s="404"/>
      <c r="V109" s="404"/>
      <c r="W109" s="404"/>
      <c r="X109" s="404"/>
      <c r="Y109" s="404"/>
      <c r="Z109" s="404"/>
      <c r="AA109" s="404"/>
    </row>
    <row r="110">
      <c r="A110" s="404"/>
      <c r="B110" s="419"/>
      <c r="C110" s="404"/>
      <c r="D110" s="404"/>
      <c r="E110" s="404"/>
      <c r="F110" s="404"/>
      <c r="G110" s="404"/>
      <c r="H110" s="404"/>
      <c r="I110" s="404"/>
      <c r="J110" s="404"/>
      <c r="K110" s="404"/>
      <c r="L110" s="404"/>
      <c r="M110" s="404"/>
      <c r="N110" s="404"/>
      <c r="O110" s="404"/>
      <c r="P110" s="404"/>
      <c r="Q110" s="404"/>
      <c r="R110" s="404"/>
      <c r="S110" s="404"/>
      <c r="T110" s="404"/>
      <c r="U110" s="404"/>
      <c r="V110" s="404"/>
      <c r="W110" s="404"/>
      <c r="X110" s="404"/>
      <c r="Y110" s="404"/>
      <c r="Z110" s="404"/>
      <c r="AA110" s="404"/>
    </row>
    <row r="111">
      <c r="A111" s="404"/>
      <c r="B111" s="419"/>
      <c r="C111" s="404"/>
      <c r="D111" s="404"/>
      <c r="E111" s="404"/>
      <c r="F111" s="404"/>
      <c r="G111" s="404"/>
      <c r="H111" s="404"/>
      <c r="I111" s="404"/>
      <c r="J111" s="404"/>
      <c r="K111" s="404"/>
      <c r="L111" s="404"/>
      <c r="M111" s="404"/>
      <c r="N111" s="404"/>
      <c r="O111" s="404"/>
      <c r="P111" s="404"/>
      <c r="Q111" s="404"/>
      <c r="R111" s="404"/>
      <c r="S111" s="404"/>
      <c r="T111" s="404"/>
      <c r="U111" s="404"/>
      <c r="V111" s="404"/>
      <c r="W111" s="404"/>
      <c r="X111" s="404"/>
      <c r="Y111" s="404"/>
      <c r="Z111" s="404"/>
      <c r="AA111" s="404"/>
    </row>
    <row r="112">
      <c r="A112" s="404"/>
      <c r="B112" s="419"/>
      <c r="C112" s="404"/>
      <c r="D112" s="404"/>
      <c r="E112" s="404"/>
      <c r="F112" s="404"/>
      <c r="G112" s="404"/>
      <c r="H112" s="404"/>
      <c r="I112" s="404"/>
      <c r="J112" s="404"/>
      <c r="K112" s="404"/>
      <c r="L112" s="404"/>
      <c r="M112" s="404"/>
      <c r="N112" s="404"/>
      <c r="O112" s="404"/>
      <c r="P112" s="404"/>
      <c r="Q112" s="404"/>
      <c r="R112" s="404"/>
      <c r="S112" s="404"/>
      <c r="T112" s="404"/>
      <c r="U112" s="404"/>
      <c r="V112" s="404"/>
      <c r="W112" s="404"/>
      <c r="X112" s="404"/>
      <c r="Y112" s="404"/>
      <c r="Z112" s="404"/>
      <c r="AA112" s="404"/>
    </row>
    <row r="113">
      <c r="A113" s="404"/>
      <c r="B113" s="419"/>
      <c r="C113" s="404"/>
      <c r="D113" s="404"/>
      <c r="E113" s="404"/>
      <c r="F113" s="404"/>
      <c r="G113" s="404"/>
      <c r="H113" s="404"/>
      <c r="I113" s="404"/>
      <c r="J113" s="404"/>
      <c r="K113" s="404"/>
      <c r="L113" s="404"/>
      <c r="M113" s="404"/>
      <c r="N113" s="404"/>
      <c r="O113" s="404"/>
      <c r="P113" s="404"/>
      <c r="Q113" s="404"/>
      <c r="R113" s="404"/>
      <c r="S113" s="404"/>
      <c r="T113" s="404"/>
      <c r="U113" s="404"/>
      <c r="V113" s="404"/>
      <c r="W113" s="404"/>
      <c r="X113" s="404"/>
      <c r="Y113" s="404"/>
      <c r="Z113" s="404"/>
      <c r="AA113" s="404"/>
    </row>
    <row r="114">
      <c r="A114" s="404"/>
      <c r="B114" s="419"/>
      <c r="C114" s="404"/>
      <c r="D114" s="404"/>
      <c r="E114" s="404"/>
      <c r="F114" s="404"/>
      <c r="G114" s="404"/>
      <c r="H114" s="404"/>
      <c r="I114" s="404"/>
      <c r="J114" s="404"/>
      <c r="K114" s="404"/>
      <c r="L114" s="404"/>
      <c r="M114" s="404"/>
      <c r="N114" s="404"/>
      <c r="O114" s="404"/>
      <c r="P114" s="404"/>
      <c r="Q114" s="404"/>
      <c r="R114" s="404"/>
      <c r="S114" s="404"/>
      <c r="T114" s="404"/>
      <c r="U114" s="404"/>
      <c r="V114" s="404"/>
      <c r="W114" s="404"/>
      <c r="X114" s="404"/>
      <c r="Y114" s="404"/>
      <c r="Z114" s="404"/>
      <c r="AA114" s="404"/>
    </row>
    <row r="115">
      <c r="A115" s="404"/>
      <c r="B115" s="419"/>
      <c r="C115" s="404"/>
      <c r="D115" s="404"/>
      <c r="E115" s="404"/>
      <c r="F115" s="404"/>
      <c r="G115" s="404"/>
      <c r="H115" s="404"/>
      <c r="I115" s="404"/>
      <c r="J115" s="404"/>
      <c r="K115" s="404"/>
      <c r="L115" s="404"/>
      <c r="M115" s="404"/>
      <c r="N115" s="404"/>
      <c r="O115" s="404"/>
      <c r="P115" s="404"/>
      <c r="Q115" s="404"/>
      <c r="R115" s="404"/>
      <c r="S115" s="404"/>
      <c r="T115" s="404"/>
      <c r="U115" s="404"/>
      <c r="V115" s="404"/>
      <c r="W115" s="404"/>
      <c r="X115" s="404"/>
      <c r="Y115" s="404"/>
      <c r="Z115" s="404"/>
      <c r="AA115" s="404"/>
    </row>
    <row r="116">
      <c r="A116" s="404"/>
      <c r="B116" s="419"/>
      <c r="C116" s="404"/>
      <c r="D116" s="404"/>
      <c r="E116" s="404"/>
      <c r="F116" s="404"/>
      <c r="G116" s="404"/>
      <c r="H116" s="404"/>
      <c r="I116" s="404"/>
      <c r="J116" s="404"/>
      <c r="K116" s="404"/>
      <c r="L116" s="404"/>
      <c r="M116" s="404"/>
      <c r="N116" s="404"/>
      <c r="O116" s="404"/>
      <c r="P116" s="404"/>
      <c r="Q116" s="404"/>
      <c r="R116" s="404"/>
      <c r="S116" s="404"/>
      <c r="T116" s="404"/>
      <c r="U116" s="404"/>
      <c r="V116" s="404"/>
      <c r="W116" s="404"/>
      <c r="X116" s="404"/>
      <c r="Y116" s="404"/>
      <c r="Z116" s="404"/>
      <c r="AA116" s="404"/>
    </row>
    <row r="117">
      <c r="A117" s="404"/>
      <c r="B117" s="419"/>
      <c r="C117" s="404"/>
      <c r="D117" s="404"/>
      <c r="E117" s="404"/>
      <c r="F117" s="404"/>
      <c r="G117" s="404"/>
      <c r="H117" s="404"/>
      <c r="I117" s="404"/>
      <c r="J117" s="404"/>
      <c r="K117" s="404"/>
      <c r="L117" s="404"/>
      <c r="M117" s="404"/>
      <c r="N117" s="404"/>
      <c r="O117" s="404"/>
      <c r="P117" s="404"/>
      <c r="Q117" s="404"/>
      <c r="R117" s="404"/>
      <c r="S117" s="404"/>
      <c r="T117" s="404"/>
      <c r="U117" s="404"/>
      <c r="V117" s="404"/>
      <c r="W117" s="404"/>
      <c r="X117" s="404"/>
      <c r="Y117" s="404"/>
      <c r="Z117" s="404"/>
      <c r="AA117" s="404"/>
    </row>
    <row r="118">
      <c r="A118" s="404"/>
      <c r="B118" s="419"/>
      <c r="C118" s="404"/>
      <c r="D118" s="404"/>
      <c r="E118" s="404"/>
      <c r="F118" s="404"/>
      <c r="G118" s="404"/>
      <c r="H118" s="404"/>
      <c r="I118" s="404"/>
      <c r="J118" s="404"/>
      <c r="K118" s="404"/>
      <c r="L118" s="404"/>
      <c r="M118" s="404"/>
      <c r="N118" s="404"/>
      <c r="O118" s="404"/>
      <c r="P118" s="404"/>
      <c r="Q118" s="404"/>
      <c r="R118" s="404"/>
      <c r="S118" s="404"/>
      <c r="T118" s="404"/>
      <c r="U118" s="404"/>
      <c r="V118" s="404"/>
      <c r="W118" s="404"/>
      <c r="X118" s="404"/>
      <c r="Y118" s="404"/>
      <c r="Z118" s="404"/>
      <c r="AA118" s="404"/>
    </row>
    <row r="119">
      <c r="A119" s="404"/>
      <c r="B119" s="419"/>
      <c r="C119" s="404"/>
      <c r="D119" s="404"/>
      <c r="E119" s="404"/>
      <c r="F119" s="404"/>
      <c r="G119" s="404"/>
      <c r="H119" s="404"/>
      <c r="I119" s="404"/>
      <c r="J119" s="404"/>
      <c r="K119" s="404"/>
      <c r="L119" s="404"/>
      <c r="M119" s="404"/>
      <c r="N119" s="404"/>
      <c r="O119" s="404"/>
      <c r="P119" s="404"/>
      <c r="Q119" s="404"/>
      <c r="R119" s="404"/>
      <c r="S119" s="404"/>
      <c r="T119" s="404"/>
      <c r="U119" s="404"/>
      <c r="V119" s="404"/>
      <c r="W119" s="404"/>
      <c r="X119" s="404"/>
      <c r="Y119" s="404"/>
      <c r="Z119" s="404"/>
      <c r="AA119" s="404"/>
    </row>
    <row r="120">
      <c r="A120" s="404"/>
      <c r="B120" s="419"/>
      <c r="C120" s="404"/>
      <c r="D120" s="40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c r="AA120" s="404"/>
    </row>
    <row r="121">
      <c r="A121" s="404"/>
      <c r="B121" s="419"/>
      <c r="C121" s="404"/>
      <c r="D121" s="404"/>
      <c r="E121" s="404"/>
      <c r="F121" s="404"/>
      <c r="G121" s="404"/>
      <c r="H121" s="404"/>
      <c r="I121" s="404"/>
      <c r="J121" s="404"/>
      <c r="K121" s="404"/>
      <c r="L121" s="404"/>
      <c r="M121" s="404"/>
      <c r="N121" s="404"/>
      <c r="O121" s="404"/>
      <c r="P121" s="404"/>
      <c r="Q121" s="404"/>
      <c r="R121" s="404"/>
      <c r="S121" s="404"/>
      <c r="T121" s="404"/>
      <c r="U121" s="404"/>
      <c r="V121" s="404"/>
      <c r="W121" s="404"/>
      <c r="X121" s="404"/>
      <c r="Y121" s="404"/>
      <c r="Z121" s="404"/>
      <c r="AA121" s="404"/>
    </row>
    <row r="122">
      <c r="A122" s="404"/>
      <c r="B122" s="419"/>
      <c r="C122" s="404"/>
      <c r="D122" s="404"/>
      <c r="E122" s="404"/>
      <c r="F122" s="404"/>
      <c r="G122" s="404"/>
      <c r="H122" s="404"/>
      <c r="I122" s="404"/>
      <c r="J122" s="404"/>
      <c r="K122" s="404"/>
      <c r="L122" s="404"/>
      <c r="M122" s="404"/>
      <c r="N122" s="404"/>
      <c r="O122" s="404"/>
      <c r="P122" s="404"/>
      <c r="Q122" s="404"/>
      <c r="R122" s="404"/>
      <c r="S122" s="404"/>
      <c r="T122" s="404"/>
      <c r="U122" s="404"/>
      <c r="V122" s="404"/>
      <c r="W122" s="404"/>
      <c r="X122" s="404"/>
      <c r="Y122" s="404"/>
      <c r="Z122" s="404"/>
      <c r="AA122" s="404"/>
    </row>
    <row r="123">
      <c r="A123" s="404"/>
      <c r="B123" s="419"/>
      <c r="C123" s="404"/>
      <c r="D123" s="404"/>
      <c r="E123" s="404"/>
      <c r="F123" s="404"/>
      <c r="G123" s="404"/>
      <c r="H123" s="404"/>
      <c r="I123" s="404"/>
      <c r="J123" s="404"/>
      <c r="K123" s="404"/>
      <c r="L123" s="404"/>
      <c r="M123" s="404"/>
      <c r="N123" s="404"/>
      <c r="O123" s="404"/>
      <c r="P123" s="404"/>
      <c r="Q123" s="404"/>
      <c r="R123" s="404"/>
      <c r="S123" s="404"/>
      <c r="T123" s="404"/>
      <c r="U123" s="404"/>
      <c r="V123" s="404"/>
      <c r="W123" s="404"/>
      <c r="X123" s="404"/>
      <c r="Y123" s="404"/>
      <c r="Z123" s="404"/>
      <c r="AA123" s="404"/>
    </row>
    <row r="124">
      <c r="A124" s="404"/>
      <c r="B124" s="419"/>
      <c r="C124" s="404"/>
      <c r="D124" s="404"/>
      <c r="E124" s="404"/>
      <c r="F124" s="404"/>
      <c r="G124" s="404"/>
      <c r="H124" s="404"/>
      <c r="I124" s="404"/>
      <c r="J124" s="404"/>
      <c r="K124" s="404"/>
      <c r="L124" s="404"/>
      <c r="M124" s="404"/>
      <c r="N124" s="404"/>
      <c r="O124" s="404"/>
      <c r="P124" s="404"/>
      <c r="Q124" s="404"/>
      <c r="R124" s="404"/>
      <c r="S124" s="404"/>
      <c r="T124" s="404"/>
      <c r="U124" s="404"/>
      <c r="V124" s="404"/>
      <c r="W124" s="404"/>
      <c r="X124" s="404"/>
      <c r="Y124" s="404"/>
      <c r="Z124" s="404"/>
      <c r="AA124" s="404"/>
    </row>
    <row r="125">
      <c r="A125" s="404"/>
      <c r="B125" s="419"/>
      <c r="C125" s="404"/>
      <c r="D125" s="404"/>
      <c r="E125" s="404"/>
      <c r="F125" s="404"/>
      <c r="G125" s="404"/>
      <c r="H125" s="404"/>
      <c r="I125" s="404"/>
      <c r="J125" s="404"/>
      <c r="K125" s="404"/>
      <c r="L125" s="404"/>
      <c r="M125" s="404"/>
      <c r="N125" s="404"/>
      <c r="O125" s="404"/>
      <c r="P125" s="404"/>
      <c r="Q125" s="404"/>
      <c r="R125" s="404"/>
      <c r="S125" s="404"/>
      <c r="T125" s="404"/>
      <c r="U125" s="404"/>
      <c r="V125" s="404"/>
      <c r="W125" s="404"/>
      <c r="X125" s="404"/>
      <c r="Y125" s="404"/>
      <c r="Z125" s="404"/>
      <c r="AA125" s="404"/>
    </row>
    <row r="126">
      <c r="A126" s="404"/>
      <c r="B126" s="419"/>
      <c r="C126" s="404"/>
      <c r="D126" s="404"/>
      <c r="E126" s="404"/>
      <c r="F126" s="404"/>
      <c r="G126" s="404"/>
      <c r="H126" s="404"/>
      <c r="I126" s="404"/>
      <c r="J126" s="404"/>
      <c r="K126" s="404"/>
      <c r="L126" s="404"/>
      <c r="M126" s="404"/>
      <c r="N126" s="404"/>
      <c r="O126" s="404"/>
      <c r="P126" s="404"/>
      <c r="Q126" s="404"/>
      <c r="R126" s="404"/>
      <c r="S126" s="404"/>
      <c r="T126" s="404"/>
      <c r="U126" s="404"/>
      <c r="V126" s="404"/>
      <c r="W126" s="404"/>
      <c r="X126" s="404"/>
      <c r="Y126" s="404"/>
      <c r="Z126" s="404"/>
      <c r="AA126" s="404"/>
    </row>
    <row r="127">
      <c r="A127" s="404"/>
      <c r="B127" s="419"/>
      <c r="C127" s="404"/>
      <c r="D127" s="404"/>
      <c r="E127" s="404"/>
      <c r="F127" s="404"/>
      <c r="G127" s="404"/>
      <c r="H127" s="404"/>
      <c r="I127" s="404"/>
      <c r="J127" s="404"/>
      <c r="K127" s="404"/>
      <c r="L127" s="404"/>
      <c r="M127" s="404"/>
      <c r="N127" s="404"/>
      <c r="O127" s="404"/>
      <c r="P127" s="404"/>
      <c r="Q127" s="404"/>
      <c r="R127" s="404"/>
      <c r="S127" s="404"/>
      <c r="T127" s="404"/>
      <c r="U127" s="404"/>
      <c r="V127" s="404"/>
      <c r="W127" s="404"/>
      <c r="X127" s="404"/>
      <c r="Y127" s="404"/>
      <c r="Z127" s="404"/>
      <c r="AA127" s="404"/>
    </row>
    <row r="128">
      <c r="A128" s="404"/>
      <c r="B128" s="419"/>
      <c r="C128" s="404"/>
      <c r="D128" s="404"/>
      <c r="E128" s="404"/>
      <c r="F128" s="404"/>
      <c r="G128" s="404"/>
      <c r="H128" s="404"/>
      <c r="I128" s="404"/>
      <c r="J128" s="404"/>
      <c r="K128" s="404"/>
      <c r="L128" s="404"/>
      <c r="M128" s="404"/>
      <c r="N128" s="404"/>
      <c r="O128" s="404"/>
      <c r="P128" s="404"/>
      <c r="Q128" s="404"/>
      <c r="R128" s="404"/>
      <c r="S128" s="404"/>
      <c r="T128" s="404"/>
      <c r="U128" s="404"/>
      <c r="V128" s="404"/>
      <c r="W128" s="404"/>
      <c r="X128" s="404"/>
      <c r="Y128" s="404"/>
      <c r="Z128" s="404"/>
      <c r="AA128" s="404"/>
    </row>
    <row r="129">
      <c r="A129" s="404"/>
      <c r="B129" s="419"/>
      <c r="C129" s="404"/>
      <c r="D129" s="404"/>
      <c r="E129" s="404"/>
      <c r="F129" s="404"/>
      <c r="G129" s="404"/>
      <c r="H129" s="404"/>
      <c r="I129" s="404"/>
      <c r="J129" s="404"/>
      <c r="K129" s="404"/>
      <c r="L129" s="404"/>
      <c r="M129" s="404"/>
      <c r="N129" s="404"/>
      <c r="O129" s="404"/>
      <c r="P129" s="404"/>
      <c r="Q129" s="404"/>
      <c r="R129" s="404"/>
      <c r="S129" s="404"/>
      <c r="T129" s="404"/>
      <c r="U129" s="404"/>
      <c r="V129" s="404"/>
      <c r="W129" s="404"/>
      <c r="X129" s="404"/>
      <c r="Y129" s="404"/>
      <c r="Z129" s="404"/>
      <c r="AA129" s="404"/>
    </row>
    <row r="130">
      <c r="A130" s="404"/>
      <c r="B130" s="419"/>
      <c r="C130" s="404"/>
      <c r="D130" s="404"/>
      <c r="E130" s="404"/>
      <c r="F130" s="404"/>
      <c r="G130" s="404"/>
      <c r="H130" s="404"/>
      <c r="I130" s="404"/>
      <c r="J130" s="404"/>
      <c r="K130" s="404"/>
      <c r="L130" s="404"/>
      <c r="M130" s="404"/>
      <c r="N130" s="404"/>
      <c r="O130" s="404"/>
      <c r="P130" s="404"/>
      <c r="Q130" s="404"/>
      <c r="R130" s="404"/>
      <c r="S130" s="404"/>
      <c r="T130" s="404"/>
      <c r="U130" s="404"/>
      <c r="V130" s="404"/>
      <c r="W130" s="404"/>
      <c r="X130" s="404"/>
      <c r="Y130" s="404"/>
      <c r="Z130" s="404"/>
      <c r="AA130" s="404"/>
    </row>
    <row r="131">
      <c r="A131" s="404"/>
      <c r="B131" s="419"/>
      <c r="C131" s="404"/>
      <c r="D131" s="404"/>
      <c r="E131" s="404"/>
      <c r="F131" s="404"/>
      <c r="G131" s="404"/>
      <c r="H131" s="404"/>
      <c r="I131" s="404"/>
      <c r="J131" s="404"/>
      <c r="K131" s="404"/>
      <c r="L131" s="404"/>
      <c r="M131" s="404"/>
      <c r="N131" s="404"/>
      <c r="O131" s="404"/>
      <c r="P131" s="404"/>
      <c r="Q131" s="404"/>
      <c r="R131" s="404"/>
      <c r="S131" s="404"/>
      <c r="T131" s="404"/>
      <c r="U131" s="404"/>
      <c r="V131" s="404"/>
      <c r="W131" s="404"/>
      <c r="X131" s="404"/>
      <c r="Y131" s="404"/>
      <c r="Z131" s="404"/>
      <c r="AA131" s="404"/>
    </row>
    <row r="132">
      <c r="A132" s="404"/>
      <c r="B132" s="419"/>
      <c r="C132" s="404"/>
      <c r="D132" s="404"/>
      <c r="E132" s="404"/>
      <c r="F132" s="404"/>
      <c r="G132" s="404"/>
      <c r="H132" s="404"/>
      <c r="I132" s="404"/>
      <c r="J132" s="404"/>
      <c r="K132" s="404"/>
      <c r="L132" s="404"/>
      <c r="M132" s="404"/>
      <c r="N132" s="404"/>
      <c r="O132" s="404"/>
      <c r="P132" s="404"/>
      <c r="Q132" s="404"/>
      <c r="R132" s="404"/>
      <c r="S132" s="404"/>
      <c r="T132" s="404"/>
      <c r="U132" s="404"/>
      <c r="V132" s="404"/>
      <c r="W132" s="404"/>
      <c r="X132" s="404"/>
      <c r="Y132" s="404"/>
      <c r="Z132" s="404"/>
      <c r="AA132" s="404"/>
    </row>
    <row r="133">
      <c r="A133" s="404"/>
      <c r="B133" s="419"/>
      <c r="C133" s="404"/>
      <c r="D133" s="404"/>
      <c r="E133" s="404"/>
      <c r="F133" s="404"/>
      <c r="G133" s="404"/>
      <c r="H133" s="404"/>
      <c r="I133" s="404"/>
      <c r="J133" s="404"/>
      <c r="K133" s="404"/>
      <c r="L133" s="404"/>
      <c r="M133" s="404"/>
      <c r="N133" s="404"/>
      <c r="O133" s="404"/>
      <c r="P133" s="404"/>
      <c r="Q133" s="404"/>
      <c r="R133" s="404"/>
      <c r="S133" s="404"/>
      <c r="T133" s="404"/>
      <c r="U133" s="404"/>
      <c r="V133" s="404"/>
      <c r="W133" s="404"/>
      <c r="X133" s="404"/>
      <c r="Y133" s="404"/>
      <c r="Z133" s="404"/>
      <c r="AA133" s="404"/>
    </row>
    <row r="134">
      <c r="A134" s="404"/>
      <c r="B134" s="419"/>
      <c r="C134" s="404"/>
      <c r="D134" s="404"/>
      <c r="E134" s="404"/>
      <c r="F134" s="404"/>
      <c r="G134" s="404"/>
      <c r="H134" s="404"/>
      <c r="I134" s="404"/>
      <c r="J134" s="404"/>
      <c r="K134" s="404"/>
      <c r="L134" s="404"/>
      <c r="M134" s="404"/>
      <c r="N134" s="404"/>
      <c r="O134" s="404"/>
      <c r="P134" s="404"/>
      <c r="Q134" s="404"/>
      <c r="R134" s="404"/>
      <c r="S134" s="404"/>
      <c r="T134" s="404"/>
      <c r="U134" s="404"/>
      <c r="V134" s="404"/>
      <c r="W134" s="404"/>
      <c r="X134" s="404"/>
      <c r="Y134" s="404"/>
      <c r="Z134" s="404"/>
      <c r="AA134" s="404"/>
    </row>
    <row r="135">
      <c r="A135" s="404"/>
      <c r="B135" s="419"/>
      <c r="C135" s="404"/>
      <c r="D135" s="404"/>
      <c r="E135" s="404"/>
      <c r="F135" s="404"/>
      <c r="G135" s="404"/>
      <c r="H135" s="404"/>
      <c r="I135" s="404"/>
      <c r="J135" s="404"/>
      <c r="K135" s="404"/>
      <c r="L135" s="404"/>
      <c r="M135" s="404"/>
      <c r="N135" s="404"/>
      <c r="O135" s="404"/>
      <c r="P135" s="404"/>
      <c r="Q135" s="404"/>
      <c r="R135" s="404"/>
      <c r="S135" s="404"/>
      <c r="T135" s="404"/>
      <c r="U135" s="404"/>
      <c r="V135" s="404"/>
      <c r="W135" s="404"/>
      <c r="X135" s="404"/>
      <c r="Y135" s="404"/>
      <c r="Z135" s="404"/>
      <c r="AA135" s="404"/>
    </row>
    <row r="136">
      <c r="A136" s="404"/>
      <c r="B136" s="419"/>
      <c r="C136" s="404"/>
      <c r="D136" s="404"/>
      <c r="E136" s="404"/>
      <c r="F136" s="404"/>
      <c r="G136" s="404"/>
      <c r="H136" s="404"/>
      <c r="I136" s="404"/>
      <c r="J136" s="404"/>
      <c r="K136" s="404"/>
      <c r="L136" s="404"/>
      <c r="M136" s="404"/>
      <c r="N136" s="404"/>
      <c r="O136" s="404"/>
      <c r="P136" s="404"/>
      <c r="Q136" s="404"/>
      <c r="R136" s="404"/>
      <c r="S136" s="404"/>
      <c r="T136" s="404"/>
      <c r="U136" s="404"/>
      <c r="V136" s="404"/>
      <c r="W136" s="404"/>
      <c r="X136" s="404"/>
      <c r="Y136" s="404"/>
      <c r="Z136" s="404"/>
      <c r="AA136" s="404"/>
    </row>
    <row r="137">
      <c r="A137" s="404"/>
      <c r="B137" s="419"/>
      <c r="C137" s="404"/>
      <c r="D137" s="404"/>
      <c r="E137" s="404"/>
      <c r="F137" s="404"/>
      <c r="G137" s="404"/>
      <c r="H137" s="404"/>
      <c r="I137" s="404"/>
      <c r="J137" s="404"/>
      <c r="K137" s="404"/>
      <c r="L137" s="404"/>
      <c r="M137" s="404"/>
      <c r="N137" s="404"/>
      <c r="O137" s="404"/>
      <c r="P137" s="404"/>
      <c r="Q137" s="404"/>
      <c r="R137" s="404"/>
      <c r="S137" s="404"/>
      <c r="T137" s="404"/>
      <c r="U137" s="404"/>
      <c r="V137" s="404"/>
      <c r="W137" s="404"/>
      <c r="X137" s="404"/>
      <c r="Y137" s="404"/>
      <c r="Z137" s="404"/>
      <c r="AA137" s="404"/>
    </row>
    <row r="138">
      <c r="A138" s="404"/>
      <c r="B138" s="419"/>
      <c r="C138" s="404"/>
      <c r="D138" s="404"/>
      <c r="E138" s="404"/>
      <c r="F138" s="404"/>
      <c r="G138" s="404"/>
      <c r="H138" s="404"/>
      <c r="I138" s="404"/>
      <c r="J138" s="404"/>
      <c r="K138" s="404"/>
      <c r="L138" s="404"/>
      <c r="M138" s="404"/>
      <c r="N138" s="404"/>
      <c r="O138" s="404"/>
      <c r="P138" s="404"/>
      <c r="Q138" s="404"/>
      <c r="R138" s="404"/>
      <c r="S138" s="404"/>
      <c r="T138" s="404"/>
      <c r="U138" s="404"/>
      <c r="V138" s="404"/>
      <c r="W138" s="404"/>
      <c r="X138" s="404"/>
      <c r="Y138" s="404"/>
      <c r="Z138" s="404"/>
      <c r="AA138" s="404"/>
    </row>
    <row r="139">
      <c r="A139" s="404"/>
      <c r="B139" s="419"/>
      <c r="C139" s="404"/>
      <c r="D139" s="404"/>
      <c r="E139" s="404"/>
      <c r="F139" s="404"/>
      <c r="G139" s="404"/>
      <c r="H139" s="404"/>
      <c r="I139" s="404"/>
      <c r="J139" s="404"/>
      <c r="K139" s="404"/>
      <c r="L139" s="404"/>
      <c r="M139" s="404"/>
      <c r="N139" s="404"/>
      <c r="O139" s="404"/>
      <c r="P139" s="404"/>
      <c r="Q139" s="404"/>
      <c r="R139" s="404"/>
      <c r="S139" s="404"/>
      <c r="T139" s="404"/>
      <c r="U139" s="404"/>
      <c r="V139" s="404"/>
      <c r="W139" s="404"/>
      <c r="X139" s="404"/>
      <c r="Y139" s="404"/>
      <c r="Z139" s="404"/>
      <c r="AA139" s="404"/>
    </row>
    <row r="140">
      <c r="A140" s="404"/>
      <c r="B140" s="419"/>
      <c r="C140" s="404"/>
      <c r="D140" s="404"/>
      <c r="E140" s="404"/>
      <c r="F140" s="404"/>
      <c r="G140" s="404"/>
      <c r="H140" s="404"/>
      <c r="I140" s="404"/>
      <c r="J140" s="404"/>
      <c r="K140" s="404"/>
      <c r="L140" s="404"/>
      <c r="M140" s="404"/>
      <c r="N140" s="404"/>
      <c r="O140" s="404"/>
      <c r="P140" s="404"/>
      <c r="Q140" s="404"/>
      <c r="R140" s="404"/>
      <c r="S140" s="404"/>
      <c r="T140" s="404"/>
      <c r="U140" s="404"/>
      <c r="V140" s="404"/>
      <c r="W140" s="404"/>
      <c r="X140" s="404"/>
      <c r="Y140" s="404"/>
      <c r="Z140" s="404"/>
      <c r="AA140" s="404"/>
    </row>
    <row r="141">
      <c r="A141" s="404"/>
      <c r="B141" s="419"/>
      <c r="C141" s="404"/>
      <c r="D141" s="404"/>
      <c r="E141" s="404"/>
      <c r="F141" s="404"/>
      <c r="G141" s="404"/>
      <c r="H141" s="404"/>
      <c r="I141" s="404"/>
      <c r="J141" s="404"/>
      <c r="K141" s="404"/>
      <c r="L141" s="404"/>
      <c r="M141" s="404"/>
      <c r="N141" s="404"/>
      <c r="O141" s="404"/>
      <c r="P141" s="404"/>
      <c r="Q141" s="404"/>
      <c r="R141" s="404"/>
      <c r="S141" s="404"/>
      <c r="T141" s="404"/>
      <c r="U141" s="404"/>
      <c r="V141" s="404"/>
      <c r="W141" s="404"/>
      <c r="X141" s="404"/>
      <c r="Y141" s="404"/>
      <c r="Z141" s="404"/>
      <c r="AA141" s="404"/>
    </row>
    <row r="142">
      <c r="A142" s="404"/>
      <c r="B142" s="419"/>
      <c r="C142" s="404"/>
      <c r="D142" s="404"/>
      <c r="E142" s="404"/>
      <c r="F142" s="404"/>
      <c r="G142" s="404"/>
      <c r="H142" s="404"/>
      <c r="I142" s="404"/>
      <c r="J142" s="404"/>
      <c r="K142" s="404"/>
      <c r="L142" s="404"/>
      <c r="M142" s="404"/>
      <c r="N142" s="404"/>
      <c r="O142" s="404"/>
      <c r="P142" s="404"/>
      <c r="Q142" s="404"/>
      <c r="R142" s="404"/>
      <c r="S142" s="404"/>
      <c r="T142" s="404"/>
      <c r="U142" s="404"/>
      <c r="V142" s="404"/>
      <c r="W142" s="404"/>
      <c r="X142" s="404"/>
      <c r="Y142" s="404"/>
      <c r="Z142" s="404"/>
      <c r="AA142" s="404"/>
    </row>
    <row r="143">
      <c r="A143" s="404"/>
      <c r="B143" s="419"/>
      <c r="C143" s="404"/>
      <c r="D143" s="404"/>
      <c r="E143" s="404"/>
      <c r="F143" s="404"/>
      <c r="G143" s="404"/>
      <c r="H143" s="404"/>
      <c r="I143" s="404"/>
      <c r="J143" s="404"/>
      <c r="K143" s="404"/>
      <c r="L143" s="404"/>
      <c r="M143" s="404"/>
      <c r="N143" s="404"/>
      <c r="O143" s="404"/>
      <c r="P143" s="404"/>
      <c r="Q143" s="404"/>
      <c r="R143" s="404"/>
      <c r="S143" s="404"/>
      <c r="T143" s="404"/>
      <c r="U143" s="404"/>
      <c r="V143" s="404"/>
      <c r="W143" s="404"/>
      <c r="X143" s="404"/>
      <c r="Y143" s="404"/>
      <c r="Z143" s="404"/>
      <c r="AA143" s="404"/>
    </row>
    <row r="144">
      <c r="A144" s="404"/>
      <c r="B144" s="419"/>
      <c r="C144" s="404"/>
      <c r="D144" s="404"/>
      <c r="E144" s="404"/>
      <c r="F144" s="404"/>
      <c r="G144" s="404"/>
      <c r="H144" s="404"/>
      <c r="I144" s="404"/>
      <c r="J144" s="404"/>
      <c r="K144" s="404"/>
      <c r="L144" s="404"/>
      <c r="M144" s="404"/>
      <c r="N144" s="404"/>
      <c r="O144" s="404"/>
      <c r="P144" s="404"/>
      <c r="Q144" s="404"/>
      <c r="R144" s="404"/>
      <c r="S144" s="404"/>
      <c r="T144" s="404"/>
      <c r="U144" s="404"/>
      <c r="V144" s="404"/>
      <c r="W144" s="404"/>
      <c r="X144" s="404"/>
      <c r="Y144" s="404"/>
      <c r="Z144" s="404"/>
      <c r="AA144" s="404"/>
    </row>
    <row r="145">
      <c r="A145" s="404"/>
      <c r="B145" s="419"/>
      <c r="C145" s="404"/>
      <c r="D145" s="404"/>
      <c r="E145" s="404"/>
      <c r="F145" s="404"/>
      <c r="G145" s="404"/>
      <c r="H145" s="404"/>
      <c r="I145" s="404"/>
      <c r="J145" s="404"/>
      <c r="K145" s="404"/>
      <c r="L145" s="404"/>
      <c r="M145" s="404"/>
      <c r="N145" s="404"/>
      <c r="O145" s="404"/>
      <c r="P145" s="404"/>
      <c r="Q145" s="404"/>
      <c r="R145" s="404"/>
      <c r="S145" s="404"/>
      <c r="T145" s="404"/>
      <c r="U145" s="404"/>
      <c r="V145" s="404"/>
      <c r="W145" s="404"/>
      <c r="X145" s="404"/>
      <c r="Y145" s="404"/>
      <c r="Z145" s="404"/>
      <c r="AA145" s="404"/>
    </row>
    <row r="146">
      <c r="A146" s="404"/>
      <c r="B146" s="419"/>
      <c r="C146" s="404"/>
      <c r="D146" s="404"/>
      <c r="E146" s="404"/>
      <c r="F146" s="404"/>
      <c r="G146" s="404"/>
      <c r="H146" s="404"/>
      <c r="I146" s="404"/>
      <c r="J146" s="404"/>
      <c r="K146" s="404"/>
      <c r="L146" s="404"/>
      <c r="M146" s="404"/>
      <c r="N146" s="404"/>
      <c r="O146" s="404"/>
      <c r="P146" s="404"/>
      <c r="Q146" s="404"/>
      <c r="R146" s="404"/>
      <c r="S146" s="404"/>
      <c r="T146" s="404"/>
      <c r="U146" s="404"/>
      <c r="V146" s="404"/>
      <c r="W146" s="404"/>
      <c r="X146" s="404"/>
      <c r="Y146" s="404"/>
      <c r="Z146" s="404"/>
      <c r="AA146" s="404"/>
    </row>
    <row r="147">
      <c r="A147" s="404"/>
      <c r="B147" s="419"/>
      <c r="C147" s="404"/>
      <c r="D147" s="404"/>
      <c r="E147" s="404"/>
      <c r="F147" s="404"/>
      <c r="G147" s="404"/>
      <c r="H147" s="404"/>
      <c r="I147" s="404"/>
      <c r="J147" s="404"/>
      <c r="K147" s="404"/>
      <c r="L147" s="404"/>
      <c r="M147" s="404"/>
      <c r="N147" s="404"/>
      <c r="O147" s="404"/>
      <c r="P147" s="404"/>
      <c r="Q147" s="404"/>
      <c r="R147" s="404"/>
      <c r="S147" s="404"/>
      <c r="T147" s="404"/>
      <c r="U147" s="404"/>
      <c r="V147" s="404"/>
      <c r="W147" s="404"/>
      <c r="X147" s="404"/>
      <c r="Y147" s="404"/>
      <c r="Z147" s="404"/>
      <c r="AA147" s="404"/>
    </row>
    <row r="148">
      <c r="A148" s="404"/>
      <c r="B148" s="419"/>
      <c r="C148" s="404"/>
      <c r="D148" s="404"/>
      <c r="E148" s="404"/>
      <c r="F148" s="404"/>
      <c r="G148" s="404"/>
      <c r="H148" s="404"/>
      <c r="I148" s="404"/>
      <c r="J148" s="404"/>
      <c r="K148" s="404"/>
      <c r="L148" s="404"/>
      <c r="M148" s="404"/>
      <c r="N148" s="404"/>
      <c r="O148" s="404"/>
      <c r="P148" s="404"/>
      <c r="Q148" s="404"/>
      <c r="R148" s="404"/>
      <c r="S148" s="404"/>
      <c r="T148" s="404"/>
      <c r="U148" s="404"/>
      <c r="V148" s="404"/>
      <c r="W148" s="404"/>
      <c r="X148" s="404"/>
      <c r="Y148" s="404"/>
      <c r="Z148" s="404"/>
      <c r="AA148" s="404"/>
    </row>
    <row r="149">
      <c r="A149" s="404"/>
      <c r="B149" s="419"/>
      <c r="C149" s="404"/>
      <c r="D149" s="404"/>
      <c r="E149" s="404"/>
      <c r="F149" s="404"/>
      <c r="G149" s="404"/>
      <c r="H149" s="404"/>
      <c r="I149" s="404"/>
      <c r="J149" s="404"/>
      <c r="K149" s="404"/>
      <c r="L149" s="404"/>
      <c r="M149" s="404"/>
      <c r="N149" s="404"/>
      <c r="O149" s="404"/>
      <c r="P149" s="404"/>
      <c r="Q149" s="404"/>
      <c r="R149" s="404"/>
      <c r="S149" s="404"/>
      <c r="T149" s="404"/>
      <c r="U149" s="404"/>
      <c r="V149" s="404"/>
      <c r="W149" s="404"/>
      <c r="X149" s="404"/>
      <c r="Y149" s="404"/>
      <c r="Z149" s="404"/>
      <c r="AA149" s="404"/>
    </row>
    <row r="150">
      <c r="A150" s="404"/>
      <c r="B150" s="419"/>
      <c r="C150" s="404"/>
      <c r="D150" s="404"/>
      <c r="E150" s="404"/>
      <c r="F150" s="404"/>
      <c r="G150" s="404"/>
      <c r="H150" s="404"/>
      <c r="I150" s="404"/>
      <c r="J150" s="404"/>
      <c r="K150" s="404"/>
      <c r="L150" s="404"/>
      <c r="M150" s="404"/>
      <c r="N150" s="404"/>
      <c r="O150" s="404"/>
      <c r="P150" s="404"/>
      <c r="Q150" s="404"/>
      <c r="R150" s="404"/>
      <c r="S150" s="404"/>
      <c r="T150" s="404"/>
      <c r="U150" s="404"/>
      <c r="V150" s="404"/>
      <c r="W150" s="404"/>
      <c r="X150" s="404"/>
      <c r="Y150" s="404"/>
      <c r="Z150" s="404"/>
      <c r="AA150" s="404"/>
    </row>
    <row r="151">
      <c r="A151" s="404"/>
      <c r="B151" s="419"/>
      <c r="C151" s="404"/>
      <c r="D151" s="404"/>
      <c r="E151" s="404"/>
      <c r="F151" s="404"/>
      <c r="G151" s="404"/>
      <c r="H151" s="404"/>
      <c r="I151" s="404"/>
      <c r="J151" s="404"/>
      <c r="K151" s="404"/>
      <c r="L151" s="404"/>
      <c r="M151" s="404"/>
      <c r="N151" s="404"/>
      <c r="O151" s="404"/>
      <c r="P151" s="404"/>
      <c r="Q151" s="404"/>
      <c r="R151" s="404"/>
      <c r="S151" s="404"/>
      <c r="T151" s="404"/>
      <c r="U151" s="404"/>
      <c r="V151" s="404"/>
      <c r="W151" s="404"/>
      <c r="X151" s="404"/>
      <c r="Y151" s="404"/>
      <c r="Z151" s="404"/>
      <c r="AA151" s="404"/>
    </row>
    <row r="152">
      <c r="A152" s="404"/>
      <c r="B152" s="419"/>
      <c r="C152" s="404"/>
      <c r="D152" s="404"/>
      <c r="E152" s="404"/>
      <c r="F152" s="404"/>
      <c r="G152" s="404"/>
      <c r="H152" s="404"/>
      <c r="I152" s="404"/>
      <c r="J152" s="404"/>
      <c r="K152" s="404"/>
      <c r="L152" s="404"/>
      <c r="M152" s="404"/>
      <c r="N152" s="404"/>
      <c r="O152" s="404"/>
      <c r="P152" s="404"/>
      <c r="Q152" s="404"/>
      <c r="R152" s="404"/>
      <c r="S152" s="404"/>
      <c r="T152" s="404"/>
      <c r="U152" s="404"/>
      <c r="V152" s="404"/>
      <c r="W152" s="404"/>
      <c r="X152" s="404"/>
      <c r="Y152" s="404"/>
      <c r="Z152" s="404"/>
      <c r="AA152" s="404"/>
    </row>
    <row r="153">
      <c r="A153" s="404"/>
      <c r="B153" s="419"/>
      <c r="C153" s="404"/>
      <c r="D153" s="404"/>
      <c r="E153" s="404"/>
      <c r="F153" s="404"/>
      <c r="G153" s="404"/>
      <c r="H153" s="404"/>
      <c r="I153" s="404"/>
      <c r="J153" s="404"/>
      <c r="K153" s="404"/>
      <c r="L153" s="404"/>
      <c r="M153" s="404"/>
      <c r="N153" s="404"/>
      <c r="O153" s="404"/>
      <c r="P153" s="404"/>
      <c r="Q153" s="404"/>
      <c r="R153" s="404"/>
      <c r="S153" s="404"/>
      <c r="T153" s="404"/>
      <c r="U153" s="404"/>
      <c r="V153" s="404"/>
      <c r="W153" s="404"/>
      <c r="X153" s="404"/>
      <c r="Y153" s="404"/>
      <c r="Z153" s="404"/>
      <c r="AA153" s="404"/>
    </row>
    <row r="154">
      <c r="A154" s="404"/>
      <c r="B154" s="419"/>
      <c r="C154" s="404"/>
      <c r="D154" s="404"/>
      <c r="E154" s="404"/>
      <c r="F154" s="404"/>
      <c r="G154" s="404"/>
      <c r="H154" s="404"/>
      <c r="I154" s="404"/>
      <c r="J154" s="404"/>
      <c r="K154" s="404"/>
      <c r="L154" s="404"/>
      <c r="M154" s="404"/>
      <c r="N154" s="404"/>
      <c r="O154" s="404"/>
      <c r="P154" s="404"/>
      <c r="Q154" s="404"/>
      <c r="R154" s="404"/>
      <c r="S154" s="404"/>
      <c r="T154" s="404"/>
      <c r="U154" s="404"/>
      <c r="V154" s="404"/>
      <c r="W154" s="404"/>
      <c r="X154" s="404"/>
      <c r="Y154" s="404"/>
      <c r="Z154" s="404"/>
      <c r="AA154" s="404"/>
    </row>
    <row r="155">
      <c r="A155" s="404"/>
      <c r="B155" s="419"/>
      <c r="C155" s="404"/>
      <c r="D155" s="404"/>
      <c r="E155" s="404"/>
      <c r="F155" s="404"/>
      <c r="G155" s="404"/>
      <c r="H155" s="404"/>
      <c r="I155" s="404"/>
      <c r="J155" s="404"/>
      <c r="K155" s="404"/>
      <c r="L155" s="404"/>
      <c r="M155" s="404"/>
      <c r="N155" s="404"/>
      <c r="O155" s="404"/>
      <c r="P155" s="404"/>
      <c r="Q155" s="404"/>
      <c r="R155" s="404"/>
      <c r="S155" s="404"/>
      <c r="T155" s="404"/>
      <c r="U155" s="404"/>
      <c r="V155" s="404"/>
      <c r="W155" s="404"/>
      <c r="X155" s="404"/>
      <c r="Y155" s="404"/>
      <c r="Z155" s="404"/>
      <c r="AA155" s="404"/>
    </row>
    <row r="156">
      <c r="A156" s="404"/>
      <c r="B156" s="419"/>
      <c r="C156" s="404"/>
      <c r="D156" s="404"/>
      <c r="E156" s="404"/>
      <c r="F156" s="404"/>
      <c r="G156" s="404"/>
      <c r="H156" s="404"/>
      <c r="I156" s="404"/>
      <c r="J156" s="404"/>
      <c r="K156" s="404"/>
      <c r="L156" s="404"/>
      <c r="M156" s="404"/>
      <c r="N156" s="404"/>
      <c r="O156" s="404"/>
      <c r="P156" s="404"/>
      <c r="Q156" s="404"/>
      <c r="R156" s="404"/>
      <c r="S156" s="404"/>
      <c r="T156" s="404"/>
      <c r="U156" s="404"/>
      <c r="V156" s="404"/>
      <c r="W156" s="404"/>
      <c r="X156" s="404"/>
      <c r="Y156" s="404"/>
      <c r="Z156" s="404"/>
      <c r="AA156" s="404"/>
    </row>
    <row r="157">
      <c r="A157" s="404"/>
      <c r="B157" s="419"/>
      <c r="C157" s="404"/>
      <c r="D157" s="404"/>
      <c r="E157" s="404"/>
      <c r="F157" s="404"/>
      <c r="G157" s="404"/>
      <c r="H157" s="404"/>
      <c r="I157" s="404"/>
      <c r="J157" s="404"/>
      <c r="K157" s="404"/>
      <c r="L157" s="404"/>
      <c r="M157" s="404"/>
      <c r="N157" s="404"/>
      <c r="O157" s="404"/>
      <c r="P157" s="404"/>
      <c r="Q157" s="404"/>
      <c r="R157" s="404"/>
      <c r="S157" s="404"/>
      <c r="T157" s="404"/>
      <c r="U157" s="404"/>
      <c r="V157" s="404"/>
      <c r="W157" s="404"/>
      <c r="X157" s="404"/>
      <c r="Y157" s="404"/>
      <c r="Z157" s="404"/>
      <c r="AA157" s="404"/>
    </row>
    <row r="158">
      <c r="A158" s="404"/>
      <c r="B158" s="419"/>
      <c r="C158" s="404"/>
      <c r="D158" s="404"/>
      <c r="E158" s="404"/>
      <c r="F158" s="404"/>
      <c r="G158" s="404"/>
      <c r="H158" s="404"/>
      <c r="I158" s="404"/>
      <c r="J158" s="404"/>
      <c r="K158" s="404"/>
      <c r="L158" s="404"/>
      <c r="M158" s="404"/>
      <c r="N158" s="404"/>
      <c r="O158" s="404"/>
      <c r="P158" s="404"/>
      <c r="Q158" s="404"/>
      <c r="R158" s="404"/>
      <c r="S158" s="404"/>
      <c r="T158" s="404"/>
      <c r="U158" s="404"/>
      <c r="V158" s="404"/>
      <c r="W158" s="404"/>
      <c r="X158" s="404"/>
      <c r="Y158" s="404"/>
      <c r="Z158" s="404"/>
      <c r="AA158" s="404"/>
    </row>
    <row r="159">
      <c r="A159" s="404"/>
      <c r="B159" s="419"/>
      <c r="C159" s="404"/>
      <c r="D159" s="404"/>
      <c r="E159" s="404"/>
      <c r="F159" s="404"/>
      <c r="G159" s="404"/>
      <c r="H159" s="404"/>
      <c r="I159" s="404"/>
      <c r="J159" s="404"/>
      <c r="K159" s="404"/>
      <c r="L159" s="404"/>
      <c r="M159" s="404"/>
      <c r="N159" s="404"/>
      <c r="O159" s="404"/>
      <c r="P159" s="404"/>
      <c r="Q159" s="404"/>
      <c r="R159" s="404"/>
      <c r="S159" s="404"/>
      <c r="T159" s="404"/>
      <c r="U159" s="404"/>
      <c r="V159" s="404"/>
      <c r="W159" s="404"/>
      <c r="X159" s="404"/>
      <c r="Y159" s="404"/>
      <c r="Z159" s="404"/>
      <c r="AA159" s="404"/>
    </row>
    <row r="160">
      <c r="A160" s="404"/>
      <c r="B160" s="419"/>
      <c r="C160" s="404"/>
      <c r="D160" s="404"/>
      <c r="E160" s="404"/>
      <c r="F160" s="404"/>
      <c r="G160" s="404"/>
      <c r="H160" s="404"/>
      <c r="I160" s="404"/>
      <c r="J160" s="404"/>
      <c r="K160" s="404"/>
      <c r="L160" s="404"/>
      <c r="M160" s="404"/>
      <c r="N160" s="404"/>
      <c r="O160" s="404"/>
      <c r="P160" s="404"/>
      <c r="Q160" s="404"/>
      <c r="R160" s="404"/>
      <c r="S160" s="404"/>
      <c r="T160" s="404"/>
      <c r="U160" s="404"/>
      <c r="V160" s="404"/>
      <c r="W160" s="404"/>
      <c r="X160" s="404"/>
      <c r="Y160" s="404"/>
      <c r="Z160" s="404"/>
      <c r="AA160" s="404"/>
    </row>
    <row r="161">
      <c r="A161" s="404"/>
      <c r="B161" s="419"/>
      <c r="C161" s="404"/>
      <c r="D161" s="404"/>
      <c r="E161" s="404"/>
      <c r="F161" s="404"/>
      <c r="G161" s="404"/>
      <c r="H161" s="404"/>
      <c r="I161" s="404"/>
      <c r="J161" s="404"/>
      <c r="K161" s="404"/>
      <c r="L161" s="404"/>
      <c r="M161" s="404"/>
      <c r="N161" s="404"/>
      <c r="O161" s="404"/>
      <c r="P161" s="404"/>
      <c r="Q161" s="404"/>
      <c r="R161" s="404"/>
      <c r="S161" s="404"/>
      <c r="T161" s="404"/>
      <c r="U161" s="404"/>
      <c r="V161" s="404"/>
      <c r="W161" s="404"/>
      <c r="X161" s="404"/>
      <c r="Y161" s="404"/>
      <c r="Z161" s="404"/>
      <c r="AA161" s="404"/>
    </row>
    <row r="162">
      <c r="A162" s="404"/>
      <c r="B162" s="419"/>
      <c r="C162" s="404"/>
      <c r="D162" s="404"/>
      <c r="E162" s="404"/>
      <c r="F162" s="404"/>
      <c r="G162" s="404"/>
      <c r="H162" s="404"/>
      <c r="I162" s="404"/>
      <c r="J162" s="404"/>
      <c r="K162" s="404"/>
      <c r="L162" s="404"/>
      <c r="M162" s="404"/>
      <c r="N162" s="404"/>
      <c r="O162" s="404"/>
      <c r="P162" s="404"/>
      <c r="Q162" s="404"/>
      <c r="R162" s="404"/>
      <c r="S162" s="404"/>
      <c r="T162" s="404"/>
      <c r="U162" s="404"/>
      <c r="V162" s="404"/>
      <c r="W162" s="404"/>
      <c r="X162" s="404"/>
      <c r="Y162" s="404"/>
      <c r="Z162" s="404"/>
      <c r="AA162" s="404"/>
    </row>
    <row r="163">
      <c r="A163" s="404"/>
      <c r="B163" s="419"/>
      <c r="C163" s="404"/>
      <c r="D163" s="404"/>
      <c r="E163" s="404"/>
      <c r="F163" s="404"/>
      <c r="G163" s="404"/>
      <c r="H163" s="404"/>
      <c r="I163" s="404"/>
      <c r="J163" s="404"/>
      <c r="K163" s="404"/>
      <c r="L163" s="404"/>
      <c r="M163" s="404"/>
      <c r="N163" s="404"/>
      <c r="O163" s="404"/>
      <c r="P163" s="404"/>
      <c r="Q163" s="404"/>
      <c r="R163" s="404"/>
      <c r="S163" s="404"/>
      <c r="T163" s="404"/>
      <c r="U163" s="404"/>
      <c r="V163" s="404"/>
      <c r="W163" s="404"/>
      <c r="X163" s="404"/>
      <c r="Y163" s="404"/>
      <c r="Z163" s="404"/>
      <c r="AA163" s="404"/>
    </row>
    <row r="164">
      <c r="A164" s="404"/>
      <c r="B164" s="419"/>
      <c r="C164" s="404"/>
      <c r="D164" s="404"/>
      <c r="E164" s="404"/>
      <c r="F164" s="404"/>
      <c r="G164" s="404"/>
      <c r="H164" s="404"/>
      <c r="I164" s="404"/>
      <c r="J164" s="404"/>
      <c r="K164" s="404"/>
      <c r="L164" s="404"/>
      <c r="M164" s="404"/>
      <c r="N164" s="404"/>
      <c r="O164" s="404"/>
      <c r="P164" s="404"/>
      <c r="Q164" s="404"/>
      <c r="R164" s="404"/>
      <c r="S164" s="404"/>
      <c r="T164" s="404"/>
      <c r="U164" s="404"/>
      <c r="V164" s="404"/>
      <c r="W164" s="404"/>
      <c r="X164" s="404"/>
      <c r="Y164" s="404"/>
      <c r="Z164" s="404"/>
      <c r="AA164" s="404"/>
    </row>
    <row r="165">
      <c r="A165" s="404"/>
      <c r="B165" s="419"/>
      <c r="C165" s="404"/>
      <c r="D165" s="404"/>
      <c r="E165" s="404"/>
      <c r="F165" s="404"/>
      <c r="G165" s="404"/>
      <c r="H165" s="404"/>
      <c r="I165" s="404"/>
      <c r="J165" s="404"/>
      <c r="K165" s="404"/>
      <c r="L165" s="404"/>
      <c r="M165" s="404"/>
      <c r="N165" s="404"/>
      <c r="O165" s="404"/>
      <c r="P165" s="404"/>
      <c r="Q165" s="404"/>
      <c r="R165" s="404"/>
      <c r="S165" s="404"/>
      <c r="T165" s="404"/>
      <c r="U165" s="404"/>
      <c r="V165" s="404"/>
      <c r="W165" s="404"/>
      <c r="X165" s="404"/>
      <c r="Y165" s="404"/>
      <c r="Z165" s="404"/>
      <c r="AA165" s="404"/>
    </row>
    <row r="166">
      <c r="A166" s="404"/>
      <c r="B166" s="419"/>
      <c r="C166" s="404"/>
      <c r="D166" s="404"/>
      <c r="E166" s="404"/>
      <c r="F166" s="404"/>
      <c r="G166" s="404"/>
      <c r="H166" s="404"/>
      <c r="I166" s="404"/>
      <c r="J166" s="404"/>
      <c r="K166" s="404"/>
      <c r="L166" s="404"/>
      <c r="M166" s="404"/>
      <c r="N166" s="404"/>
      <c r="O166" s="404"/>
      <c r="P166" s="404"/>
      <c r="Q166" s="404"/>
      <c r="R166" s="404"/>
      <c r="S166" s="404"/>
      <c r="T166" s="404"/>
      <c r="U166" s="404"/>
      <c r="V166" s="404"/>
      <c r="W166" s="404"/>
      <c r="X166" s="404"/>
      <c r="Y166" s="404"/>
      <c r="Z166" s="404"/>
      <c r="AA166" s="404"/>
    </row>
    <row r="167">
      <c r="A167" s="404"/>
      <c r="B167" s="419"/>
      <c r="C167" s="404"/>
      <c r="D167" s="404"/>
      <c r="E167" s="404"/>
      <c r="F167" s="404"/>
      <c r="G167" s="404"/>
      <c r="H167" s="404"/>
      <c r="I167" s="404"/>
      <c r="J167" s="404"/>
      <c r="K167" s="404"/>
      <c r="L167" s="404"/>
      <c r="M167" s="404"/>
      <c r="N167" s="404"/>
      <c r="O167" s="404"/>
      <c r="P167" s="404"/>
      <c r="Q167" s="404"/>
      <c r="R167" s="404"/>
      <c r="S167" s="404"/>
      <c r="T167" s="404"/>
      <c r="U167" s="404"/>
      <c r="V167" s="404"/>
      <c r="W167" s="404"/>
      <c r="X167" s="404"/>
      <c r="Y167" s="404"/>
      <c r="Z167" s="404"/>
      <c r="AA167" s="404"/>
    </row>
    <row r="168">
      <c r="A168" s="404"/>
      <c r="B168" s="419"/>
      <c r="C168" s="404"/>
      <c r="D168" s="404"/>
      <c r="E168" s="404"/>
      <c r="F168" s="404"/>
      <c r="G168" s="404"/>
      <c r="H168" s="404"/>
      <c r="I168" s="404"/>
      <c r="J168" s="404"/>
      <c r="K168" s="404"/>
      <c r="L168" s="404"/>
      <c r="M168" s="404"/>
      <c r="N168" s="404"/>
      <c r="O168" s="404"/>
      <c r="P168" s="404"/>
      <c r="Q168" s="404"/>
      <c r="R168" s="404"/>
      <c r="S168" s="404"/>
      <c r="T168" s="404"/>
      <c r="U168" s="404"/>
      <c r="V168" s="404"/>
      <c r="W168" s="404"/>
      <c r="X168" s="404"/>
      <c r="Y168" s="404"/>
      <c r="Z168" s="404"/>
      <c r="AA168" s="404"/>
    </row>
    <row r="169">
      <c r="A169" s="404"/>
      <c r="B169" s="419"/>
      <c r="C169" s="404"/>
      <c r="D169" s="404"/>
      <c r="E169" s="404"/>
      <c r="F169" s="404"/>
      <c r="G169" s="404"/>
      <c r="H169" s="404"/>
      <c r="I169" s="404"/>
      <c r="J169" s="404"/>
      <c r="K169" s="404"/>
      <c r="L169" s="404"/>
      <c r="M169" s="404"/>
      <c r="N169" s="404"/>
      <c r="O169" s="404"/>
      <c r="P169" s="404"/>
      <c r="Q169" s="404"/>
      <c r="R169" s="404"/>
      <c r="S169" s="404"/>
      <c r="T169" s="404"/>
      <c r="U169" s="404"/>
      <c r="V169" s="404"/>
      <c r="W169" s="404"/>
      <c r="X169" s="404"/>
      <c r="Y169" s="404"/>
      <c r="Z169" s="404"/>
      <c r="AA169" s="404"/>
    </row>
    <row r="170">
      <c r="A170" s="404"/>
      <c r="B170" s="419"/>
      <c r="C170" s="404"/>
      <c r="D170" s="404"/>
      <c r="E170" s="404"/>
      <c r="F170" s="404"/>
      <c r="G170" s="404"/>
      <c r="H170" s="404"/>
      <c r="I170" s="404"/>
      <c r="J170" s="404"/>
      <c r="K170" s="404"/>
      <c r="L170" s="404"/>
      <c r="M170" s="404"/>
      <c r="N170" s="404"/>
      <c r="O170" s="404"/>
      <c r="P170" s="404"/>
      <c r="Q170" s="404"/>
      <c r="R170" s="404"/>
      <c r="S170" s="404"/>
      <c r="T170" s="404"/>
      <c r="U170" s="404"/>
      <c r="V170" s="404"/>
      <c r="W170" s="404"/>
      <c r="X170" s="404"/>
      <c r="Y170" s="404"/>
      <c r="Z170" s="404"/>
      <c r="AA170" s="404"/>
    </row>
    <row r="171">
      <c r="A171" s="404"/>
      <c r="B171" s="419"/>
      <c r="C171" s="404"/>
      <c r="D171" s="404"/>
      <c r="E171" s="404"/>
      <c r="F171" s="404"/>
      <c r="G171" s="404"/>
      <c r="H171" s="404"/>
      <c r="I171" s="404"/>
      <c r="J171" s="404"/>
      <c r="K171" s="404"/>
      <c r="L171" s="404"/>
      <c r="M171" s="404"/>
      <c r="N171" s="404"/>
      <c r="O171" s="404"/>
      <c r="P171" s="404"/>
      <c r="Q171" s="404"/>
      <c r="R171" s="404"/>
      <c r="S171" s="404"/>
      <c r="T171" s="404"/>
      <c r="U171" s="404"/>
      <c r="V171" s="404"/>
      <c r="W171" s="404"/>
      <c r="X171" s="404"/>
      <c r="Y171" s="404"/>
      <c r="Z171" s="404"/>
      <c r="AA171" s="404"/>
    </row>
    <row r="172">
      <c r="A172" s="404"/>
      <c r="B172" s="419"/>
      <c r="C172" s="404"/>
      <c r="D172" s="404"/>
      <c r="E172" s="404"/>
      <c r="F172" s="404"/>
      <c r="G172" s="404"/>
      <c r="H172" s="404"/>
      <c r="I172" s="404"/>
      <c r="J172" s="404"/>
      <c r="K172" s="404"/>
      <c r="L172" s="404"/>
      <c r="M172" s="404"/>
      <c r="N172" s="404"/>
      <c r="O172" s="404"/>
      <c r="P172" s="404"/>
      <c r="Q172" s="404"/>
      <c r="R172" s="404"/>
      <c r="S172" s="404"/>
      <c r="T172" s="404"/>
      <c r="U172" s="404"/>
      <c r="V172" s="404"/>
      <c r="W172" s="404"/>
      <c r="X172" s="404"/>
      <c r="Y172" s="404"/>
      <c r="Z172" s="404"/>
      <c r="AA172" s="404"/>
    </row>
    <row r="173">
      <c r="A173" s="404"/>
      <c r="B173" s="419"/>
      <c r="C173" s="404"/>
      <c r="D173" s="404"/>
      <c r="E173" s="404"/>
      <c r="F173" s="404"/>
      <c r="G173" s="404"/>
      <c r="H173" s="404"/>
      <c r="I173" s="404"/>
      <c r="J173" s="404"/>
      <c r="K173" s="404"/>
      <c r="L173" s="404"/>
      <c r="M173" s="404"/>
      <c r="N173" s="404"/>
      <c r="O173" s="404"/>
      <c r="P173" s="404"/>
      <c r="Q173" s="404"/>
      <c r="R173" s="404"/>
      <c r="S173" s="404"/>
      <c r="T173" s="404"/>
      <c r="U173" s="404"/>
      <c r="V173" s="404"/>
      <c r="W173" s="404"/>
      <c r="X173" s="404"/>
      <c r="Y173" s="404"/>
      <c r="Z173" s="404"/>
      <c r="AA173" s="404"/>
    </row>
    <row r="174">
      <c r="A174" s="404"/>
      <c r="B174" s="419"/>
      <c r="C174" s="404"/>
      <c r="D174" s="404"/>
      <c r="E174" s="404"/>
      <c r="F174" s="404"/>
      <c r="G174" s="404"/>
      <c r="H174" s="404"/>
      <c r="I174" s="404"/>
      <c r="J174" s="404"/>
      <c r="K174" s="404"/>
      <c r="L174" s="404"/>
      <c r="M174" s="404"/>
      <c r="N174" s="404"/>
      <c r="O174" s="404"/>
      <c r="P174" s="404"/>
      <c r="Q174" s="404"/>
      <c r="R174" s="404"/>
      <c r="S174" s="404"/>
      <c r="T174" s="404"/>
      <c r="U174" s="404"/>
      <c r="V174" s="404"/>
      <c r="W174" s="404"/>
      <c r="X174" s="404"/>
      <c r="Y174" s="404"/>
      <c r="Z174" s="404"/>
      <c r="AA174" s="404"/>
    </row>
    <row r="175">
      <c r="A175" s="404"/>
      <c r="B175" s="419"/>
      <c r="C175" s="404"/>
      <c r="D175" s="404"/>
      <c r="E175" s="404"/>
      <c r="F175" s="404"/>
      <c r="G175" s="404"/>
      <c r="H175" s="404"/>
      <c r="I175" s="404"/>
      <c r="J175" s="404"/>
      <c r="K175" s="404"/>
      <c r="L175" s="404"/>
      <c r="M175" s="404"/>
      <c r="N175" s="404"/>
      <c r="O175" s="404"/>
      <c r="P175" s="404"/>
      <c r="Q175" s="404"/>
      <c r="R175" s="404"/>
      <c r="S175" s="404"/>
      <c r="T175" s="404"/>
      <c r="U175" s="404"/>
      <c r="V175" s="404"/>
      <c r="W175" s="404"/>
      <c r="X175" s="404"/>
      <c r="Y175" s="404"/>
      <c r="Z175" s="404"/>
      <c r="AA175" s="404"/>
    </row>
    <row r="176">
      <c r="A176" s="404"/>
      <c r="B176" s="419"/>
      <c r="C176" s="404"/>
      <c r="D176" s="404"/>
      <c r="E176" s="404"/>
      <c r="F176" s="404"/>
      <c r="G176" s="404"/>
      <c r="H176" s="404"/>
      <c r="I176" s="404"/>
      <c r="J176" s="404"/>
      <c r="K176" s="404"/>
      <c r="L176" s="404"/>
      <c r="M176" s="404"/>
      <c r="N176" s="404"/>
      <c r="O176" s="404"/>
      <c r="P176" s="404"/>
      <c r="Q176" s="404"/>
      <c r="R176" s="404"/>
      <c r="S176" s="404"/>
      <c r="T176" s="404"/>
      <c r="U176" s="404"/>
      <c r="V176" s="404"/>
      <c r="W176" s="404"/>
      <c r="X176" s="404"/>
      <c r="Y176" s="404"/>
      <c r="Z176" s="404"/>
      <c r="AA176" s="404"/>
    </row>
    <row r="177">
      <c r="A177" s="404"/>
      <c r="B177" s="419"/>
      <c r="C177" s="404"/>
      <c r="D177" s="404"/>
      <c r="E177" s="404"/>
      <c r="F177" s="404"/>
      <c r="G177" s="404"/>
      <c r="H177" s="404"/>
      <c r="I177" s="404"/>
      <c r="J177" s="404"/>
      <c r="K177" s="404"/>
      <c r="L177" s="404"/>
      <c r="M177" s="404"/>
      <c r="N177" s="404"/>
      <c r="O177" s="404"/>
      <c r="P177" s="404"/>
      <c r="Q177" s="404"/>
      <c r="R177" s="404"/>
      <c r="S177" s="404"/>
      <c r="T177" s="404"/>
      <c r="U177" s="404"/>
      <c r="V177" s="404"/>
      <c r="W177" s="404"/>
      <c r="X177" s="404"/>
      <c r="Y177" s="404"/>
      <c r="Z177" s="404"/>
      <c r="AA177" s="404"/>
    </row>
    <row r="178">
      <c r="A178" s="404"/>
      <c r="B178" s="419"/>
      <c r="C178" s="404"/>
      <c r="D178" s="404"/>
      <c r="E178" s="404"/>
      <c r="F178" s="404"/>
      <c r="G178" s="404"/>
      <c r="H178" s="404"/>
      <c r="I178" s="404"/>
      <c r="J178" s="404"/>
      <c r="K178" s="404"/>
      <c r="L178" s="404"/>
      <c r="M178" s="404"/>
      <c r="N178" s="404"/>
      <c r="O178" s="404"/>
      <c r="P178" s="404"/>
      <c r="Q178" s="404"/>
      <c r="R178" s="404"/>
      <c r="S178" s="404"/>
      <c r="T178" s="404"/>
      <c r="U178" s="404"/>
      <c r="V178" s="404"/>
      <c r="W178" s="404"/>
      <c r="X178" s="404"/>
      <c r="Y178" s="404"/>
      <c r="Z178" s="404"/>
      <c r="AA178" s="404"/>
    </row>
    <row r="179">
      <c r="A179" s="404"/>
      <c r="B179" s="419"/>
      <c r="C179" s="404"/>
      <c r="D179" s="404"/>
      <c r="E179" s="404"/>
      <c r="F179" s="404"/>
      <c r="G179" s="404"/>
      <c r="H179" s="404"/>
      <c r="I179" s="404"/>
      <c r="J179" s="404"/>
      <c r="K179" s="404"/>
      <c r="L179" s="404"/>
      <c r="M179" s="404"/>
      <c r="N179" s="404"/>
      <c r="O179" s="404"/>
      <c r="P179" s="404"/>
      <c r="Q179" s="404"/>
      <c r="R179" s="404"/>
      <c r="S179" s="404"/>
      <c r="T179" s="404"/>
      <c r="U179" s="404"/>
      <c r="V179" s="404"/>
      <c r="W179" s="404"/>
      <c r="X179" s="404"/>
      <c r="Y179" s="404"/>
      <c r="Z179" s="404"/>
      <c r="AA179" s="404"/>
    </row>
    <row r="180">
      <c r="A180" s="404"/>
      <c r="B180" s="419"/>
      <c r="C180" s="404"/>
      <c r="D180" s="404"/>
      <c r="E180" s="404"/>
      <c r="F180" s="404"/>
      <c r="G180" s="404"/>
      <c r="H180" s="404"/>
      <c r="I180" s="404"/>
      <c r="J180" s="404"/>
      <c r="K180" s="404"/>
      <c r="L180" s="404"/>
      <c r="M180" s="404"/>
      <c r="N180" s="404"/>
      <c r="O180" s="404"/>
      <c r="P180" s="404"/>
      <c r="Q180" s="404"/>
      <c r="R180" s="404"/>
      <c r="S180" s="404"/>
      <c r="T180" s="404"/>
      <c r="U180" s="404"/>
      <c r="V180" s="404"/>
      <c r="W180" s="404"/>
      <c r="X180" s="404"/>
      <c r="Y180" s="404"/>
      <c r="Z180" s="404"/>
      <c r="AA180" s="404"/>
    </row>
    <row r="181">
      <c r="A181" s="404"/>
      <c r="B181" s="419"/>
      <c r="C181" s="404"/>
      <c r="D181" s="404"/>
      <c r="E181" s="404"/>
      <c r="F181" s="404"/>
      <c r="G181" s="404"/>
      <c r="H181" s="404"/>
      <c r="I181" s="404"/>
      <c r="J181" s="404"/>
      <c r="K181" s="404"/>
      <c r="L181" s="404"/>
      <c r="M181" s="404"/>
      <c r="N181" s="404"/>
      <c r="O181" s="404"/>
      <c r="P181" s="404"/>
      <c r="Q181" s="404"/>
      <c r="R181" s="404"/>
      <c r="S181" s="404"/>
      <c r="T181" s="404"/>
      <c r="U181" s="404"/>
      <c r="V181" s="404"/>
      <c r="W181" s="404"/>
      <c r="X181" s="404"/>
      <c r="Y181" s="404"/>
      <c r="Z181" s="404"/>
      <c r="AA181" s="404"/>
    </row>
    <row r="182">
      <c r="A182" s="404"/>
      <c r="B182" s="419"/>
      <c r="C182" s="404"/>
      <c r="D182" s="404"/>
      <c r="E182" s="404"/>
      <c r="F182" s="404"/>
      <c r="G182" s="404"/>
      <c r="H182" s="404"/>
      <c r="I182" s="404"/>
      <c r="J182" s="404"/>
      <c r="K182" s="404"/>
      <c r="L182" s="404"/>
      <c r="M182" s="404"/>
      <c r="N182" s="404"/>
      <c r="O182" s="404"/>
      <c r="P182" s="404"/>
      <c r="Q182" s="404"/>
      <c r="R182" s="404"/>
      <c r="S182" s="404"/>
      <c r="T182" s="404"/>
      <c r="U182" s="404"/>
      <c r="V182" s="404"/>
      <c r="W182" s="404"/>
      <c r="X182" s="404"/>
      <c r="Y182" s="404"/>
      <c r="Z182" s="404"/>
      <c r="AA182" s="404"/>
    </row>
    <row r="183">
      <c r="A183" s="404"/>
      <c r="B183" s="419"/>
      <c r="C183" s="404"/>
      <c r="D183" s="404"/>
      <c r="E183" s="404"/>
      <c r="F183" s="404"/>
      <c r="G183" s="404"/>
      <c r="H183" s="404"/>
      <c r="I183" s="404"/>
      <c r="J183" s="404"/>
      <c r="K183" s="404"/>
      <c r="L183" s="404"/>
      <c r="M183" s="404"/>
      <c r="N183" s="404"/>
      <c r="O183" s="404"/>
      <c r="P183" s="404"/>
      <c r="Q183" s="404"/>
      <c r="R183" s="404"/>
      <c r="S183" s="404"/>
      <c r="T183" s="404"/>
      <c r="U183" s="404"/>
      <c r="V183" s="404"/>
      <c r="W183" s="404"/>
      <c r="X183" s="404"/>
      <c r="Y183" s="404"/>
      <c r="Z183" s="404"/>
      <c r="AA183" s="404"/>
    </row>
    <row r="184">
      <c r="A184" s="404"/>
      <c r="B184" s="419"/>
      <c r="C184" s="404"/>
      <c r="D184" s="404"/>
      <c r="E184" s="404"/>
      <c r="F184" s="404"/>
      <c r="G184" s="404"/>
      <c r="H184" s="404"/>
      <c r="I184" s="404"/>
      <c r="J184" s="404"/>
      <c r="K184" s="404"/>
      <c r="L184" s="404"/>
      <c r="M184" s="404"/>
      <c r="N184" s="404"/>
      <c r="O184" s="404"/>
      <c r="P184" s="404"/>
      <c r="Q184" s="404"/>
      <c r="R184" s="404"/>
      <c r="S184" s="404"/>
      <c r="T184" s="404"/>
      <c r="U184" s="404"/>
      <c r="V184" s="404"/>
      <c r="W184" s="404"/>
      <c r="X184" s="404"/>
      <c r="Y184" s="404"/>
      <c r="Z184" s="404"/>
      <c r="AA184" s="404"/>
    </row>
    <row r="185">
      <c r="A185" s="404"/>
      <c r="B185" s="419"/>
      <c r="C185" s="404"/>
      <c r="D185" s="404"/>
      <c r="E185" s="404"/>
      <c r="F185" s="404"/>
      <c r="G185" s="404"/>
      <c r="H185" s="404"/>
      <c r="I185" s="404"/>
      <c r="J185" s="404"/>
      <c r="K185" s="404"/>
      <c r="L185" s="404"/>
      <c r="M185" s="404"/>
      <c r="N185" s="404"/>
      <c r="O185" s="404"/>
      <c r="P185" s="404"/>
      <c r="Q185" s="404"/>
      <c r="R185" s="404"/>
      <c r="S185" s="404"/>
      <c r="T185" s="404"/>
      <c r="U185" s="404"/>
      <c r="V185" s="404"/>
      <c r="W185" s="404"/>
      <c r="X185" s="404"/>
      <c r="Y185" s="404"/>
      <c r="Z185" s="404"/>
      <c r="AA185" s="404"/>
    </row>
    <row r="186">
      <c r="A186" s="404"/>
      <c r="B186" s="419"/>
      <c r="C186" s="404"/>
      <c r="D186" s="404"/>
      <c r="E186" s="404"/>
      <c r="F186" s="404"/>
      <c r="G186" s="404"/>
      <c r="H186" s="404"/>
      <c r="I186" s="404"/>
      <c r="J186" s="404"/>
      <c r="K186" s="404"/>
      <c r="L186" s="404"/>
      <c r="M186" s="404"/>
      <c r="N186" s="404"/>
      <c r="O186" s="404"/>
      <c r="P186" s="404"/>
      <c r="Q186" s="404"/>
      <c r="R186" s="404"/>
      <c r="S186" s="404"/>
      <c r="T186" s="404"/>
      <c r="U186" s="404"/>
      <c r="V186" s="404"/>
      <c r="W186" s="404"/>
      <c r="X186" s="404"/>
      <c r="Y186" s="404"/>
      <c r="Z186" s="404"/>
      <c r="AA186" s="404"/>
    </row>
    <row r="187">
      <c r="A187" s="404"/>
      <c r="B187" s="419"/>
      <c r="C187" s="404"/>
      <c r="D187" s="404"/>
      <c r="E187" s="404"/>
      <c r="F187" s="404"/>
      <c r="G187" s="404"/>
      <c r="H187" s="404"/>
      <c r="I187" s="404"/>
      <c r="J187" s="404"/>
      <c r="K187" s="404"/>
      <c r="L187" s="404"/>
      <c r="M187" s="404"/>
      <c r="N187" s="404"/>
      <c r="O187" s="404"/>
      <c r="P187" s="404"/>
      <c r="Q187" s="404"/>
      <c r="R187" s="404"/>
      <c r="S187" s="404"/>
      <c r="T187" s="404"/>
      <c r="U187" s="404"/>
      <c r="V187" s="404"/>
      <c r="W187" s="404"/>
      <c r="X187" s="404"/>
      <c r="Y187" s="404"/>
      <c r="Z187" s="404"/>
      <c r="AA187" s="404"/>
    </row>
    <row r="188">
      <c r="A188" s="404"/>
      <c r="B188" s="419"/>
      <c r="C188" s="404"/>
      <c r="D188" s="404"/>
      <c r="E188" s="404"/>
      <c r="F188" s="404"/>
      <c r="G188" s="404"/>
      <c r="H188" s="404"/>
      <c r="I188" s="404"/>
      <c r="J188" s="404"/>
      <c r="K188" s="404"/>
      <c r="L188" s="404"/>
      <c r="M188" s="404"/>
      <c r="N188" s="404"/>
      <c r="O188" s="404"/>
      <c r="P188" s="404"/>
      <c r="Q188" s="404"/>
      <c r="R188" s="404"/>
      <c r="S188" s="404"/>
      <c r="T188" s="404"/>
      <c r="U188" s="404"/>
      <c r="V188" s="404"/>
      <c r="W188" s="404"/>
      <c r="X188" s="404"/>
      <c r="Y188" s="404"/>
      <c r="Z188" s="404"/>
      <c r="AA188" s="404"/>
    </row>
    <row r="189">
      <c r="A189" s="404"/>
      <c r="B189" s="419"/>
      <c r="C189" s="404"/>
      <c r="D189" s="404"/>
      <c r="E189" s="404"/>
      <c r="F189" s="404"/>
      <c r="G189" s="404"/>
      <c r="H189" s="404"/>
      <c r="I189" s="404"/>
      <c r="J189" s="404"/>
      <c r="K189" s="404"/>
      <c r="L189" s="404"/>
      <c r="M189" s="404"/>
      <c r="N189" s="404"/>
      <c r="O189" s="404"/>
      <c r="P189" s="404"/>
      <c r="Q189" s="404"/>
      <c r="R189" s="404"/>
      <c r="S189" s="404"/>
      <c r="T189" s="404"/>
      <c r="U189" s="404"/>
      <c r="V189" s="404"/>
      <c r="W189" s="404"/>
      <c r="X189" s="404"/>
      <c r="Y189" s="404"/>
      <c r="Z189" s="404"/>
      <c r="AA189" s="404"/>
    </row>
    <row r="190">
      <c r="A190" s="404"/>
      <c r="B190" s="419"/>
      <c r="C190" s="404"/>
      <c r="D190" s="404"/>
      <c r="E190" s="404"/>
      <c r="F190" s="404"/>
      <c r="G190" s="404"/>
      <c r="H190" s="404"/>
      <c r="I190" s="404"/>
      <c r="J190" s="404"/>
      <c r="K190" s="404"/>
      <c r="L190" s="404"/>
      <c r="M190" s="404"/>
      <c r="N190" s="404"/>
      <c r="O190" s="404"/>
      <c r="P190" s="404"/>
      <c r="Q190" s="404"/>
      <c r="R190" s="404"/>
      <c r="S190" s="404"/>
      <c r="T190" s="404"/>
      <c r="U190" s="404"/>
      <c r="V190" s="404"/>
      <c r="W190" s="404"/>
      <c r="X190" s="404"/>
      <c r="Y190" s="404"/>
      <c r="Z190" s="404"/>
      <c r="AA190" s="404"/>
    </row>
    <row r="191">
      <c r="A191" s="404"/>
      <c r="B191" s="419"/>
      <c r="C191" s="404"/>
      <c r="D191" s="404"/>
      <c r="E191" s="404"/>
      <c r="F191" s="404"/>
      <c r="G191" s="404"/>
      <c r="H191" s="404"/>
      <c r="I191" s="404"/>
      <c r="J191" s="404"/>
      <c r="K191" s="404"/>
      <c r="L191" s="404"/>
      <c r="M191" s="404"/>
      <c r="N191" s="404"/>
      <c r="O191" s="404"/>
      <c r="P191" s="404"/>
      <c r="Q191" s="404"/>
      <c r="R191" s="404"/>
      <c r="S191" s="404"/>
      <c r="T191" s="404"/>
      <c r="U191" s="404"/>
      <c r="V191" s="404"/>
      <c r="W191" s="404"/>
      <c r="X191" s="404"/>
      <c r="Y191" s="404"/>
      <c r="Z191" s="404"/>
      <c r="AA191" s="404"/>
    </row>
    <row r="192">
      <c r="A192" s="404"/>
      <c r="B192" s="419"/>
      <c r="C192" s="404"/>
      <c r="D192" s="404"/>
      <c r="E192" s="404"/>
      <c r="F192" s="404"/>
      <c r="G192" s="404"/>
      <c r="H192" s="404"/>
      <c r="I192" s="404"/>
      <c r="J192" s="404"/>
      <c r="K192" s="404"/>
      <c r="L192" s="404"/>
      <c r="M192" s="404"/>
      <c r="N192" s="404"/>
      <c r="O192" s="404"/>
      <c r="P192" s="404"/>
      <c r="Q192" s="404"/>
      <c r="R192" s="404"/>
      <c r="S192" s="404"/>
      <c r="T192" s="404"/>
      <c r="U192" s="404"/>
      <c r="V192" s="404"/>
      <c r="W192" s="404"/>
      <c r="X192" s="404"/>
      <c r="Y192" s="404"/>
      <c r="Z192" s="404"/>
      <c r="AA192" s="404"/>
    </row>
    <row r="193">
      <c r="A193" s="404"/>
      <c r="B193" s="419"/>
      <c r="C193" s="404"/>
      <c r="D193" s="404"/>
      <c r="E193" s="404"/>
      <c r="F193" s="404"/>
      <c r="G193" s="404"/>
      <c r="H193" s="404"/>
      <c r="I193" s="404"/>
      <c r="J193" s="404"/>
      <c r="K193" s="404"/>
      <c r="L193" s="404"/>
      <c r="M193" s="404"/>
      <c r="N193" s="404"/>
      <c r="O193" s="404"/>
      <c r="P193" s="404"/>
      <c r="Q193" s="404"/>
      <c r="R193" s="404"/>
      <c r="S193" s="404"/>
      <c r="T193" s="404"/>
      <c r="U193" s="404"/>
      <c r="V193" s="404"/>
      <c r="W193" s="404"/>
      <c r="X193" s="404"/>
      <c r="Y193" s="404"/>
      <c r="Z193" s="404"/>
      <c r="AA193" s="404"/>
    </row>
    <row r="194">
      <c r="A194" s="404"/>
      <c r="B194" s="419"/>
      <c r="C194" s="404"/>
      <c r="D194" s="404"/>
      <c r="E194" s="404"/>
      <c r="F194" s="404"/>
      <c r="G194" s="404"/>
      <c r="H194" s="404"/>
      <c r="I194" s="404"/>
      <c r="J194" s="404"/>
      <c r="K194" s="404"/>
      <c r="L194" s="404"/>
      <c r="M194" s="404"/>
      <c r="N194" s="404"/>
      <c r="O194" s="404"/>
      <c r="P194" s="404"/>
      <c r="Q194" s="404"/>
      <c r="R194" s="404"/>
      <c r="S194" s="404"/>
      <c r="T194" s="404"/>
      <c r="U194" s="404"/>
      <c r="V194" s="404"/>
      <c r="W194" s="404"/>
      <c r="X194" s="404"/>
      <c r="Y194" s="404"/>
      <c r="Z194" s="404"/>
      <c r="AA194" s="404"/>
    </row>
    <row r="195">
      <c r="A195" s="404"/>
      <c r="B195" s="419"/>
      <c r="C195" s="404"/>
      <c r="D195" s="404"/>
      <c r="E195" s="404"/>
      <c r="F195" s="404"/>
      <c r="G195" s="404"/>
      <c r="H195" s="404"/>
      <c r="I195" s="404"/>
      <c r="J195" s="404"/>
      <c r="K195" s="404"/>
      <c r="L195" s="404"/>
      <c r="M195" s="404"/>
      <c r="N195" s="404"/>
      <c r="O195" s="404"/>
      <c r="P195" s="404"/>
      <c r="Q195" s="404"/>
      <c r="R195" s="404"/>
      <c r="S195" s="404"/>
      <c r="T195" s="404"/>
      <c r="U195" s="404"/>
      <c r="V195" s="404"/>
      <c r="W195" s="404"/>
      <c r="X195" s="404"/>
      <c r="Y195" s="404"/>
      <c r="Z195" s="404"/>
      <c r="AA195" s="404"/>
    </row>
    <row r="196">
      <c r="A196" s="404"/>
      <c r="B196" s="419"/>
      <c r="C196" s="404"/>
      <c r="D196" s="404"/>
      <c r="E196" s="404"/>
      <c r="F196" s="404"/>
      <c r="G196" s="404"/>
      <c r="H196" s="404"/>
      <c r="I196" s="404"/>
      <c r="J196" s="404"/>
      <c r="K196" s="404"/>
      <c r="L196" s="404"/>
      <c r="M196" s="404"/>
      <c r="N196" s="404"/>
      <c r="O196" s="404"/>
      <c r="P196" s="404"/>
      <c r="Q196" s="404"/>
      <c r="R196" s="404"/>
      <c r="S196" s="404"/>
      <c r="T196" s="404"/>
      <c r="U196" s="404"/>
      <c r="V196" s="404"/>
      <c r="W196" s="404"/>
      <c r="X196" s="404"/>
      <c r="Y196" s="404"/>
      <c r="Z196" s="404"/>
      <c r="AA196" s="404"/>
    </row>
    <row r="197">
      <c r="A197" s="404"/>
      <c r="B197" s="419"/>
      <c r="C197" s="404"/>
      <c r="D197" s="404"/>
      <c r="E197" s="404"/>
      <c r="F197" s="404"/>
      <c r="G197" s="404"/>
      <c r="H197" s="404"/>
      <c r="I197" s="404"/>
      <c r="J197" s="404"/>
      <c r="K197" s="404"/>
      <c r="L197" s="404"/>
      <c r="M197" s="404"/>
      <c r="N197" s="404"/>
      <c r="O197" s="404"/>
      <c r="P197" s="404"/>
      <c r="Q197" s="404"/>
      <c r="R197" s="404"/>
      <c r="S197" s="404"/>
      <c r="T197" s="404"/>
      <c r="U197" s="404"/>
      <c r="V197" s="404"/>
      <c r="W197" s="404"/>
      <c r="X197" s="404"/>
      <c r="Y197" s="404"/>
      <c r="Z197" s="404"/>
      <c r="AA197" s="404"/>
    </row>
    <row r="198">
      <c r="A198" s="404"/>
      <c r="B198" s="419"/>
      <c r="C198" s="404"/>
      <c r="D198" s="404"/>
      <c r="E198" s="404"/>
      <c r="F198" s="404"/>
      <c r="G198" s="404"/>
      <c r="H198" s="404"/>
      <c r="I198" s="404"/>
      <c r="J198" s="404"/>
      <c r="K198" s="404"/>
      <c r="L198" s="404"/>
      <c r="M198" s="404"/>
      <c r="N198" s="404"/>
      <c r="O198" s="404"/>
      <c r="P198" s="404"/>
      <c r="Q198" s="404"/>
      <c r="R198" s="404"/>
      <c r="S198" s="404"/>
      <c r="T198" s="404"/>
      <c r="U198" s="404"/>
      <c r="V198" s="404"/>
      <c r="W198" s="404"/>
      <c r="X198" s="404"/>
      <c r="Y198" s="404"/>
      <c r="Z198" s="404"/>
      <c r="AA198" s="404"/>
    </row>
    <row r="199">
      <c r="A199" s="404"/>
      <c r="B199" s="419"/>
      <c r="C199" s="404"/>
      <c r="D199" s="404"/>
      <c r="E199" s="404"/>
      <c r="F199" s="404"/>
      <c r="G199" s="404"/>
      <c r="H199" s="404"/>
      <c r="I199" s="404"/>
      <c r="J199" s="404"/>
      <c r="K199" s="404"/>
      <c r="L199" s="404"/>
      <c r="M199" s="404"/>
      <c r="N199" s="404"/>
      <c r="O199" s="404"/>
      <c r="P199" s="404"/>
      <c r="Q199" s="404"/>
      <c r="R199" s="404"/>
      <c r="S199" s="404"/>
      <c r="T199" s="404"/>
      <c r="U199" s="404"/>
      <c r="V199" s="404"/>
      <c r="W199" s="404"/>
      <c r="X199" s="404"/>
      <c r="Y199" s="404"/>
      <c r="Z199" s="404"/>
      <c r="AA199" s="404"/>
    </row>
    <row r="200">
      <c r="A200" s="404"/>
      <c r="B200" s="419"/>
      <c r="C200" s="404"/>
      <c r="D200" s="404"/>
      <c r="E200" s="404"/>
      <c r="F200" s="404"/>
      <c r="G200" s="404"/>
      <c r="H200" s="404"/>
      <c r="I200" s="404"/>
      <c r="J200" s="404"/>
      <c r="K200" s="404"/>
      <c r="L200" s="404"/>
      <c r="M200" s="404"/>
      <c r="N200" s="404"/>
      <c r="O200" s="404"/>
      <c r="P200" s="404"/>
      <c r="Q200" s="404"/>
      <c r="R200" s="404"/>
      <c r="S200" s="404"/>
      <c r="T200" s="404"/>
      <c r="U200" s="404"/>
      <c r="V200" s="404"/>
      <c r="W200" s="404"/>
      <c r="X200" s="404"/>
      <c r="Y200" s="404"/>
      <c r="Z200" s="404"/>
      <c r="AA200" s="404"/>
    </row>
    <row r="201">
      <c r="A201" s="404"/>
      <c r="B201" s="419"/>
      <c r="C201" s="404"/>
      <c r="D201" s="404"/>
      <c r="E201" s="404"/>
      <c r="F201" s="404"/>
      <c r="G201" s="404"/>
      <c r="H201" s="404"/>
      <c r="I201" s="404"/>
      <c r="J201" s="404"/>
      <c r="K201" s="404"/>
      <c r="L201" s="404"/>
      <c r="M201" s="404"/>
      <c r="N201" s="404"/>
      <c r="O201" s="404"/>
      <c r="P201" s="404"/>
      <c r="Q201" s="404"/>
      <c r="R201" s="404"/>
      <c r="S201" s="404"/>
      <c r="T201" s="404"/>
      <c r="U201" s="404"/>
      <c r="V201" s="404"/>
      <c r="W201" s="404"/>
      <c r="X201" s="404"/>
      <c r="Y201" s="404"/>
      <c r="Z201" s="404"/>
      <c r="AA201" s="404"/>
    </row>
    <row r="202">
      <c r="A202" s="404"/>
      <c r="B202" s="419"/>
      <c r="C202" s="404"/>
      <c r="D202" s="404"/>
      <c r="E202" s="404"/>
      <c r="F202" s="404"/>
      <c r="G202" s="404"/>
      <c r="H202" s="404"/>
      <c r="I202" s="404"/>
      <c r="J202" s="404"/>
      <c r="K202" s="404"/>
      <c r="L202" s="404"/>
      <c r="M202" s="404"/>
      <c r="N202" s="404"/>
      <c r="O202" s="404"/>
      <c r="P202" s="404"/>
      <c r="Q202" s="404"/>
      <c r="R202" s="404"/>
      <c r="S202" s="404"/>
      <c r="T202" s="404"/>
      <c r="U202" s="404"/>
      <c r="V202" s="404"/>
      <c r="W202" s="404"/>
      <c r="X202" s="404"/>
      <c r="Y202" s="404"/>
      <c r="Z202" s="404"/>
      <c r="AA202" s="404"/>
    </row>
    <row r="203">
      <c r="A203" s="404"/>
      <c r="B203" s="419"/>
      <c r="C203" s="404"/>
      <c r="D203" s="404"/>
      <c r="E203" s="404"/>
      <c r="F203" s="404"/>
      <c r="G203" s="404"/>
      <c r="H203" s="404"/>
      <c r="I203" s="404"/>
      <c r="J203" s="404"/>
      <c r="K203" s="404"/>
      <c r="L203" s="404"/>
      <c r="M203" s="404"/>
      <c r="N203" s="404"/>
      <c r="O203" s="404"/>
      <c r="P203" s="404"/>
      <c r="Q203" s="404"/>
      <c r="R203" s="404"/>
      <c r="S203" s="404"/>
      <c r="T203" s="404"/>
      <c r="U203" s="404"/>
      <c r="V203" s="404"/>
      <c r="W203" s="404"/>
      <c r="X203" s="404"/>
      <c r="Y203" s="404"/>
      <c r="Z203" s="404"/>
      <c r="AA203" s="404"/>
    </row>
    <row r="204">
      <c r="A204" s="404"/>
      <c r="B204" s="419"/>
      <c r="C204" s="404"/>
      <c r="D204" s="404"/>
      <c r="E204" s="404"/>
      <c r="F204" s="404"/>
      <c r="G204" s="404"/>
      <c r="H204" s="404"/>
      <c r="I204" s="404"/>
      <c r="J204" s="404"/>
      <c r="K204" s="404"/>
      <c r="L204" s="404"/>
      <c r="M204" s="404"/>
      <c r="N204" s="404"/>
      <c r="O204" s="404"/>
      <c r="P204" s="404"/>
      <c r="Q204" s="404"/>
      <c r="R204" s="404"/>
      <c r="S204" s="404"/>
      <c r="T204" s="404"/>
      <c r="U204" s="404"/>
      <c r="V204" s="404"/>
      <c r="W204" s="404"/>
      <c r="X204" s="404"/>
      <c r="Y204" s="404"/>
      <c r="Z204" s="404"/>
      <c r="AA204" s="404"/>
    </row>
    <row r="205">
      <c r="A205" s="404"/>
      <c r="B205" s="419"/>
      <c r="C205" s="404"/>
      <c r="D205" s="404"/>
      <c r="E205" s="404"/>
      <c r="F205" s="404"/>
      <c r="G205" s="404"/>
      <c r="H205" s="404"/>
      <c r="I205" s="404"/>
      <c r="J205" s="404"/>
      <c r="K205" s="404"/>
      <c r="L205" s="404"/>
      <c r="M205" s="404"/>
      <c r="N205" s="404"/>
      <c r="O205" s="404"/>
      <c r="P205" s="404"/>
      <c r="Q205" s="404"/>
      <c r="R205" s="404"/>
      <c r="S205" s="404"/>
      <c r="T205" s="404"/>
      <c r="U205" s="404"/>
      <c r="V205" s="404"/>
      <c r="W205" s="404"/>
      <c r="X205" s="404"/>
      <c r="Y205" s="404"/>
      <c r="Z205" s="404"/>
      <c r="AA205" s="404"/>
    </row>
    <row r="206">
      <c r="A206" s="404"/>
      <c r="B206" s="419"/>
      <c r="C206" s="404"/>
      <c r="D206" s="404"/>
      <c r="E206" s="404"/>
      <c r="F206" s="404"/>
      <c r="G206" s="404"/>
      <c r="H206" s="404"/>
      <c r="I206" s="404"/>
      <c r="J206" s="404"/>
      <c r="K206" s="404"/>
      <c r="L206" s="404"/>
      <c r="M206" s="404"/>
      <c r="N206" s="404"/>
      <c r="O206" s="404"/>
      <c r="P206" s="404"/>
      <c r="Q206" s="404"/>
      <c r="R206" s="404"/>
      <c r="S206" s="404"/>
      <c r="T206" s="404"/>
      <c r="U206" s="404"/>
      <c r="V206" s="404"/>
      <c r="W206" s="404"/>
      <c r="X206" s="404"/>
      <c r="Y206" s="404"/>
      <c r="Z206" s="404"/>
      <c r="AA206" s="404"/>
    </row>
    <row r="207">
      <c r="A207" s="404"/>
      <c r="B207" s="419"/>
      <c r="C207" s="404"/>
      <c r="D207" s="404"/>
      <c r="E207" s="404"/>
      <c r="F207" s="404"/>
      <c r="G207" s="404"/>
      <c r="H207" s="404"/>
      <c r="I207" s="404"/>
      <c r="J207" s="404"/>
      <c r="K207" s="404"/>
      <c r="L207" s="404"/>
      <c r="M207" s="404"/>
      <c r="N207" s="404"/>
      <c r="O207" s="404"/>
      <c r="P207" s="404"/>
      <c r="Q207" s="404"/>
      <c r="R207" s="404"/>
      <c r="S207" s="404"/>
      <c r="T207" s="404"/>
      <c r="U207" s="404"/>
      <c r="V207" s="404"/>
      <c r="W207" s="404"/>
      <c r="X207" s="404"/>
      <c r="Y207" s="404"/>
      <c r="Z207" s="404"/>
      <c r="AA207" s="404"/>
    </row>
    <row r="208">
      <c r="A208" s="404"/>
      <c r="B208" s="419"/>
      <c r="C208" s="404"/>
      <c r="D208" s="404"/>
      <c r="E208" s="404"/>
      <c r="F208" s="404"/>
      <c r="G208" s="404"/>
      <c r="H208" s="404"/>
      <c r="I208" s="404"/>
      <c r="J208" s="404"/>
      <c r="K208" s="404"/>
      <c r="L208" s="404"/>
      <c r="M208" s="404"/>
      <c r="N208" s="404"/>
      <c r="O208" s="404"/>
      <c r="P208" s="404"/>
      <c r="Q208" s="404"/>
      <c r="R208" s="404"/>
      <c r="S208" s="404"/>
      <c r="T208" s="404"/>
      <c r="U208" s="404"/>
      <c r="V208" s="404"/>
      <c r="W208" s="404"/>
      <c r="X208" s="404"/>
      <c r="Y208" s="404"/>
      <c r="Z208" s="404"/>
      <c r="AA208" s="404"/>
    </row>
    <row r="209">
      <c r="A209" s="404"/>
      <c r="B209" s="419"/>
      <c r="C209" s="404"/>
      <c r="D209" s="404"/>
      <c r="E209" s="404"/>
      <c r="F209" s="404"/>
      <c r="G209" s="404"/>
      <c r="H209" s="404"/>
      <c r="I209" s="404"/>
      <c r="J209" s="404"/>
      <c r="K209" s="404"/>
      <c r="L209" s="404"/>
      <c r="M209" s="404"/>
      <c r="N209" s="404"/>
      <c r="O209" s="404"/>
      <c r="P209" s="404"/>
      <c r="Q209" s="404"/>
      <c r="R209" s="404"/>
      <c r="S209" s="404"/>
      <c r="T209" s="404"/>
      <c r="U209" s="404"/>
      <c r="V209" s="404"/>
      <c r="W209" s="404"/>
      <c r="X209" s="404"/>
      <c r="Y209" s="404"/>
      <c r="Z209" s="404"/>
      <c r="AA209" s="404"/>
    </row>
    <row r="210">
      <c r="A210" s="404"/>
      <c r="B210" s="419"/>
      <c r="C210" s="404"/>
      <c r="D210" s="404"/>
      <c r="E210" s="404"/>
      <c r="F210" s="404"/>
      <c r="G210" s="404"/>
      <c r="H210" s="404"/>
      <c r="I210" s="404"/>
      <c r="J210" s="404"/>
      <c r="K210" s="404"/>
      <c r="L210" s="404"/>
      <c r="M210" s="404"/>
      <c r="N210" s="404"/>
      <c r="O210" s="404"/>
      <c r="P210" s="404"/>
      <c r="Q210" s="404"/>
      <c r="R210" s="404"/>
      <c r="S210" s="404"/>
      <c r="T210" s="404"/>
      <c r="U210" s="404"/>
      <c r="V210" s="404"/>
      <c r="W210" s="404"/>
      <c r="X210" s="404"/>
      <c r="Y210" s="404"/>
      <c r="Z210" s="404"/>
      <c r="AA210" s="404"/>
    </row>
    <row r="211">
      <c r="A211" s="404"/>
      <c r="B211" s="419"/>
      <c r="C211" s="404"/>
      <c r="D211" s="404"/>
      <c r="E211" s="404"/>
      <c r="F211" s="404"/>
      <c r="G211" s="404"/>
      <c r="H211" s="404"/>
      <c r="I211" s="404"/>
      <c r="J211" s="404"/>
      <c r="K211" s="404"/>
      <c r="L211" s="404"/>
      <c r="M211" s="404"/>
      <c r="N211" s="404"/>
      <c r="O211" s="404"/>
      <c r="P211" s="404"/>
      <c r="Q211" s="404"/>
      <c r="R211" s="404"/>
      <c r="S211" s="404"/>
      <c r="T211" s="404"/>
      <c r="U211" s="404"/>
      <c r="V211" s="404"/>
      <c r="W211" s="404"/>
      <c r="X211" s="404"/>
      <c r="Y211" s="404"/>
      <c r="Z211" s="404"/>
      <c r="AA211" s="404"/>
    </row>
    <row r="212">
      <c r="A212" s="404"/>
      <c r="B212" s="419"/>
      <c r="C212" s="404"/>
      <c r="D212" s="404"/>
      <c r="E212" s="404"/>
      <c r="F212" s="404"/>
      <c r="G212" s="404"/>
      <c r="H212" s="404"/>
      <c r="I212" s="404"/>
      <c r="J212" s="404"/>
      <c r="K212" s="404"/>
      <c r="L212" s="404"/>
      <c r="M212" s="404"/>
      <c r="N212" s="404"/>
      <c r="O212" s="404"/>
      <c r="P212" s="404"/>
      <c r="Q212" s="404"/>
      <c r="R212" s="404"/>
      <c r="S212" s="404"/>
      <c r="T212" s="404"/>
      <c r="U212" s="404"/>
      <c r="V212" s="404"/>
      <c r="W212" s="404"/>
      <c r="X212" s="404"/>
      <c r="Y212" s="404"/>
      <c r="Z212" s="404"/>
      <c r="AA212" s="404"/>
    </row>
    <row r="213">
      <c r="A213" s="404"/>
      <c r="B213" s="419"/>
      <c r="C213" s="404"/>
      <c r="D213" s="404"/>
      <c r="E213" s="404"/>
      <c r="F213" s="404"/>
      <c r="G213" s="404"/>
      <c r="H213" s="404"/>
      <c r="I213" s="404"/>
      <c r="J213" s="404"/>
      <c r="K213" s="404"/>
      <c r="L213" s="404"/>
      <c r="M213" s="404"/>
      <c r="N213" s="404"/>
      <c r="O213" s="404"/>
      <c r="P213" s="404"/>
      <c r="Q213" s="404"/>
      <c r="R213" s="404"/>
      <c r="S213" s="404"/>
      <c r="T213" s="404"/>
      <c r="U213" s="404"/>
      <c r="V213" s="404"/>
      <c r="W213" s="404"/>
      <c r="X213" s="404"/>
      <c r="Y213" s="404"/>
      <c r="Z213" s="404"/>
      <c r="AA213" s="404"/>
    </row>
    <row r="214">
      <c r="A214" s="404"/>
      <c r="B214" s="419"/>
      <c r="C214" s="404"/>
      <c r="D214" s="404"/>
      <c r="E214" s="404"/>
      <c r="F214" s="404"/>
      <c r="G214" s="404"/>
      <c r="H214" s="404"/>
      <c r="I214" s="404"/>
      <c r="J214" s="404"/>
      <c r="K214" s="404"/>
      <c r="L214" s="404"/>
      <c r="M214" s="404"/>
      <c r="N214" s="404"/>
      <c r="O214" s="404"/>
      <c r="P214" s="404"/>
      <c r="Q214" s="404"/>
      <c r="R214" s="404"/>
      <c r="S214" s="404"/>
      <c r="T214" s="404"/>
      <c r="U214" s="404"/>
      <c r="V214" s="404"/>
      <c r="W214" s="404"/>
      <c r="X214" s="404"/>
      <c r="Y214" s="404"/>
      <c r="Z214" s="404"/>
      <c r="AA214" s="404"/>
    </row>
    <row r="215">
      <c r="A215" s="404"/>
      <c r="B215" s="419"/>
      <c r="C215" s="404"/>
      <c r="D215" s="404"/>
      <c r="E215" s="404"/>
      <c r="F215" s="404"/>
      <c r="G215" s="404"/>
      <c r="H215" s="404"/>
      <c r="I215" s="404"/>
      <c r="J215" s="404"/>
      <c r="K215" s="404"/>
      <c r="L215" s="404"/>
      <c r="M215" s="404"/>
      <c r="N215" s="404"/>
      <c r="O215" s="404"/>
      <c r="P215" s="404"/>
      <c r="Q215" s="404"/>
      <c r="R215" s="404"/>
      <c r="S215" s="404"/>
      <c r="T215" s="404"/>
      <c r="U215" s="404"/>
      <c r="V215" s="404"/>
      <c r="W215" s="404"/>
      <c r="X215" s="404"/>
      <c r="Y215" s="404"/>
      <c r="Z215" s="404"/>
      <c r="AA215" s="404"/>
    </row>
    <row r="216">
      <c r="A216" s="404"/>
      <c r="B216" s="419"/>
      <c r="C216" s="404"/>
      <c r="D216" s="404"/>
      <c r="E216" s="404"/>
      <c r="F216" s="404"/>
      <c r="G216" s="404"/>
      <c r="H216" s="404"/>
      <c r="I216" s="404"/>
      <c r="J216" s="404"/>
      <c r="K216" s="404"/>
      <c r="L216" s="404"/>
      <c r="M216" s="404"/>
      <c r="N216" s="404"/>
      <c r="O216" s="404"/>
      <c r="P216" s="404"/>
      <c r="Q216" s="404"/>
      <c r="R216" s="404"/>
      <c r="S216" s="404"/>
      <c r="T216" s="404"/>
      <c r="U216" s="404"/>
      <c r="V216" s="404"/>
      <c r="W216" s="404"/>
      <c r="X216" s="404"/>
      <c r="Y216" s="404"/>
      <c r="Z216" s="404"/>
      <c r="AA216" s="404"/>
    </row>
    <row r="217">
      <c r="A217" s="404"/>
      <c r="B217" s="419"/>
      <c r="C217" s="404"/>
      <c r="D217" s="404"/>
      <c r="E217" s="404"/>
      <c r="F217" s="404"/>
      <c r="G217" s="404"/>
      <c r="H217" s="404"/>
      <c r="I217" s="404"/>
      <c r="J217" s="404"/>
      <c r="K217" s="404"/>
      <c r="L217" s="404"/>
      <c r="M217" s="404"/>
      <c r="N217" s="404"/>
      <c r="O217" s="404"/>
      <c r="P217" s="404"/>
      <c r="Q217" s="404"/>
      <c r="R217" s="404"/>
      <c r="S217" s="404"/>
      <c r="T217" s="404"/>
      <c r="U217" s="404"/>
      <c r="V217" s="404"/>
      <c r="W217" s="404"/>
      <c r="X217" s="404"/>
      <c r="Y217" s="404"/>
      <c r="Z217" s="404"/>
      <c r="AA217" s="404"/>
    </row>
    <row r="218">
      <c r="A218" s="404"/>
      <c r="B218" s="419"/>
      <c r="C218" s="404"/>
      <c r="D218" s="404"/>
      <c r="E218" s="404"/>
      <c r="F218" s="404"/>
      <c r="G218" s="404"/>
      <c r="H218" s="404"/>
      <c r="I218" s="404"/>
      <c r="J218" s="404"/>
      <c r="K218" s="404"/>
      <c r="L218" s="404"/>
      <c r="M218" s="404"/>
      <c r="N218" s="404"/>
      <c r="O218" s="404"/>
      <c r="P218" s="404"/>
      <c r="Q218" s="404"/>
      <c r="R218" s="404"/>
      <c r="S218" s="404"/>
      <c r="T218" s="404"/>
      <c r="U218" s="404"/>
      <c r="V218" s="404"/>
      <c r="W218" s="404"/>
      <c r="X218" s="404"/>
      <c r="Y218" s="404"/>
      <c r="Z218" s="404"/>
      <c r="AA218" s="404"/>
    </row>
    <row r="219">
      <c r="A219" s="404"/>
      <c r="B219" s="419"/>
      <c r="C219" s="404"/>
      <c r="D219" s="404"/>
      <c r="E219" s="404"/>
      <c r="F219" s="404"/>
      <c r="G219" s="404"/>
      <c r="H219" s="404"/>
      <c r="I219" s="404"/>
      <c r="J219" s="404"/>
      <c r="K219" s="404"/>
      <c r="L219" s="404"/>
      <c r="M219" s="404"/>
      <c r="N219" s="404"/>
      <c r="O219" s="404"/>
      <c r="P219" s="404"/>
      <c r="Q219" s="404"/>
      <c r="R219" s="404"/>
      <c r="S219" s="404"/>
      <c r="T219" s="404"/>
      <c r="U219" s="404"/>
      <c r="V219" s="404"/>
      <c r="W219" s="404"/>
      <c r="X219" s="404"/>
      <c r="Y219" s="404"/>
      <c r="Z219" s="404"/>
      <c r="AA219" s="404"/>
    </row>
    <row r="220">
      <c r="A220" s="404"/>
      <c r="B220" s="419"/>
      <c r="C220" s="404"/>
      <c r="D220" s="404"/>
      <c r="E220" s="404"/>
      <c r="F220" s="404"/>
      <c r="G220" s="404"/>
      <c r="H220" s="404"/>
      <c r="I220" s="404"/>
      <c r="J220" s="404"/>
      <c r="K220" s="404"/>
      <c r="L220" s="404"/>
      <c r="M220" s="404"/>
      <c r="N220" s="404"/>
      <c r="O220" s="404"/>
      <c r="P220" s="404"/>
      <c r="Q220" s="404"/>
      <c r="R220" s="404"/>
      <c r="S220" s="404"/>
      <c r="T220" s="404"/>
      <c r="U220" s="404"/>
      <c r="V220" s="404"/>
      <c r="W220" s="404"/>
      <c r="X220" s="404"/>
      <c r="Y220" s="404"/>
      <c r="Z220" s="404"/>
      <c r="AA220" s="404"/>
    </row>
    <row r="221">
      <c r="A221" s="404"/>
      <c r="B221" s="419"/>
      <c r="C221" s="404"/>
      <c r="D221" s="404"/>
      <c r="E221" s="404"/>
      <c r="F221" s="404"/>
      <c r="G221" s="404"/>
      <c r="H221" s="404"/>
      <c r="I221" s="404"/>
      <c r="J221" s="404"/>
      <c r="K221" s="404"/>
      <c r="L221" s="404"/>
      <c r="M221" s="404"/>
      <c r="N221" s="404"/>
      <c r="O221" s="404"/>
      <c r="P221" s="404"/>
      <c r="Q221" s="404"/>
      <c r="R221" s="404"/>
      <c r="S221" s="404"/>
      <c r="T221" s="404"/>
      <c r="U221" s="404"/>
      <c r="V221" s="404"/>
      <c r="W221" s="404"/>
      <c r="X221" s="404"/>
      <c r="Y221" s="404"/>
      <c r="Z221" s="404"/>
      <c r="AA221" s="404"/>
    </row>
    <row r="222">
      <c r="A222" s="404"/>
      <c r="B222" s="419"/>
      <c r="C222" s="404"/>
      <c r="D222" s="404"/>
      <c r="E222" s="404"/>
      <c r="F222" s="404"/>
      <c r="G222" s="404"/>
      <c r="H222" s="404"/>
      <c r="I222" s="404"/>
      <c r="J222" s="404"/>
      <c r="K222" s="404"/>
      <c r="L222" s="404"/>
      <c r="M222" s="404"/>
      <c r="N222" s="404"/>
      <c r="O222" s="404"/>
      <c r="P222" s="404"/>
      <c r="Q222" s="404"/>
      <c r="R222" s="404"/>
      <c r="S222" s="404"/>
      <c r="T222" s="404"/>
      <c r="U222" s="404"/>
      <c r="V222" s="404"/>
      <c r="W222" s="404"/>
      <c r="X222" s="404"/>
      <c r="Y222" s="404"/>
      <c r="Z222" s="404"/>
      <c r="AA222" s="404"/>
    </row>
    <row r="223">
      <c r="A223" s="404"/>
      <c r="B223" s="419"/>
      <c r="C223" s="404"/>
      <c r="D223" s="404"/>
      <c r="E223" s="404"/>
      <c r="F223" s="404"/>
      <c r="G223" s="404"/>
      <c r="H223" s="404"/>
      <c r="I223" s="404"/>
      <c r="J223" s="404"/>
      <c r="K223" s="404"/>
      <c r="L223" s="404"/>
      <c r="M223" s="404"/>
      <c r="N223" s="404"/>
      <c r="O223" s="404"/>
      <c r="P223" s="404"/>
      <c r="Q223" s="404"/>
      <c r="R223" s="404"/>
      <c r="S223" s="404"/>
      <c r="T223" s="404"/>
      <c r="U223" s="404"/>
      <c r="V223" s="404"/>
      <c r="W223" s="404"/>
      <c r="X223" s="404"/>
      <c r="Y223" s="404"/>
      <c r="Z223" s="404"/>
      <c r="AA223" s="404"/>
    </row>
    <row r="224">
      <c r="A224" s="404"/>
      <c r="B224" s="419"/>
      <c r="C224" s="404"/>
      <c r="D224" s="404"/>
      <c r="E224" s="404"/>
      <c r="F224" s="404"/>
      <c r="G224" s="404"/>
      <c r="H224" s="404"/>
      <c r="I224" s="404"/>
      <c r="J224" s="404"/>
      <c r="K224" s="404"/>
      <c r="L224" s="404"/>
      <c r="M224" s="404"/>
      <c r="N224" s="404"/>
      <c r="O224" s="404"/>
      <c r="P224" s="404"/>
      <c r="Q224" s="404"/>
      <c r="R224" s="404"/>
      <c r="S224" s="404"/>
      <c r="T224" s="404"/>
      <c r="U224" s="404"/>
      <c r="V224" s="404"/>
      <c r="W224" s="404"/>
      <c r="X224" s="404"/>
      <c r="Y224" s="404"/>
      <c r="Z224" s="404"/>
      <c r="AA224" s="404"/>
    </row>
    <row r="225">
      <c r="A225" s="404"/>
      <c r="B225" s="419"/>
      <c r="C225" s="404"/>
      <c r="D225" s="404"/>
      <c r="E225" s="404"/>
      <c r="F225" s="404"/>
      <c r="G225" s="404"/>
      <c r="H225" s="404"/>
      <c r="I225" s="404"/>
      <c r="J225" s="404"/>
      <c r="K225" s="404"/>
      <c r="L225" s="404"/>
      <c r="M225" s="404"/>
      <c r="N225" s="404"/>
      <c r="O225" s="404"/>
      <c r="P225" s="404"/>
      <c r="Q225" s="404"/>
      <c r="R225" s="404"/>
      <c r="S225" s="404"/>
      <c r="T225" s="404"/>
      <c r="U225" s="404"/>
      <c r="V225" s="404"/>
      <c r="W225" s="404"/>
      <c r="X225" s="404"/>
      <c r="Y225" s="404"/>
      <c r="Z225" s="404"/>
      <c r="AA225" s="404"/>
    </row>
    <row r="226">
      <c r="A226" s="404"/>
      <c r="B226" s="419"/>
      <c r="C226" s="404"/>
      <c r="D226" s="404"/>
      <c r="E226" s="404"/>
      <c r="F226" s="404"/>
      <c r="G226" s="404"/>
      <c r="H226" s="404"/>
      <c r="I226" s="404"/>
      <c r="J226" s="404"/>
      <c r="K226" s="404"/>
      <c r="L226" s="404"/>
      <c r="M226" s="404"/>
      <c r="N226" s="404"/>
      <c r="O226" s="404"/>
      <c r="P226" s="404"/>
      <c r="Q226" s="404"/>
      <c r="R226" s="404"/>
      <c r="S226" s="404"/>
      <c r="T226" s="404"/>
      <c r="U226" s="404"/>
      <c r="V226" s="404"/>
      <c r="W226" s="404"/>
      <c r="X226" s="404"/>
      <c r="Y226" s="404"/>
      <c r="Z226" s="404"/>
      <c r="AA226" s="404"/>
    </row>
    <row r="227">
      <c r="A227" s="404"/>
      <c r="B227" s="419"/>
      <c r="C227" s="404"/>
      <c r="D227" s="404"/>
      <c r="E227" s="404"/>
      <c r="F227" s="404"/>
      <c r="G227" s="404"/>
      <c r="H227" s="404"/>
      <c r="I227" s="404"/>
      <c r="J227" s="404"/>
      <c r="K227" s="404"/>
      <c r="L227" s="404"/>
      <c r="M227" s="404"/>
      <c r="N227" s="404"/>
      <c r="O227" s="404"/>
      <c r="P227" s="404"/>
      <c r="Q227" s="404"/>
      <c r="R227" s="404"/>
      <c r="S227" s="404"/>
      <c r="T227" s="404"/>
      <c r="U227" s="404"/>
      <c r="V227" s="404"/>
      <c r="W227" s="404"/>
      <c r="X227" s="404"/>
      <c r="Y227" s="404"/>
      <c r="Z227" s="404"/>
      <c r="AA227" s="404"/>
    </row>
    <row r="228">
      <c r="A228" s="404"/>
      <c r="B228" s="419"/>
      <c r="C228" s="404"/>
      <c r="D228" s="404"/>
      <c r="E228" s="404"/>
      <c r="F228" s="404"/>
      <c r="G228" s="404"/>
      <c r="H228" s="404"/>
      <c r="I228" s="404"/>
      <c r="J228" s="404"/>
      <c r="K228" s="404"/>
      <c r="L228" s="404"/>
      <c r="M228" s="404"/>
      <c r="N228" s="404"/>
      <c r="O228" s="404"/>
      <c r="P228" s="404"/>
      <c r="Q228" s="404"/>
      <c r="R228" s="404"/>
      <c r="S228" s="404"/>
      <c r="T228" s="404"/>
      <c r="U228" s="404"/>
      <c r="V228" s="404"/>
      <c r="W228" s="404"/>
      <c r="X228" s="404"/>
      <c r="Y228" s="404"/>
      <c r="Z228" s="404"/>
      <c r="AA228" s="404"/>
    </row>
    <row r="229">
      <c r="A229" s="404"/>
      <c r="B229" s="419"/>
      <c r="C229" s="404"/>
      <c r="D229" s="404"/>
      <c r="E229" s="404"/>
      <c r="F229" s="404"/>
      <c r="G229" s="404"/>
      <c r="H229" s="404"/>
      <c r="I229" s="404"/>
      <c r="J229" s="404"/>
      <c r="K229" s="404"/>
      <c r="L229" s="404"/>
      <c r="M229" s="404"/>
      <c r="N229" s="404"/>
      <c r="O229" s="404"/>
      <c r="P229" s="404"/>
      <c r="Q229" s="404"/>
      <c r="R229" s="404"/>
      <c r="S229" s="404"/>
      <c r="T229" s="404"/>
      <c r="U229" s="404"/>
      <c r="V229" s="404"/>
      <c r="W229" s="404"/>
      <c r="X229" s="404"/>
      <c r="Y229" s="404"/>
      <c r="Z229" s="404"/>
      <c r="AA229" s="404"/>
    </row>
    <row r="230">
      <c r="A230" s="404"/>
      <c r="B230" s="419"/>
      <c r="C230" s="404"/>
      <c r="D230" s="404"/>
      <c r="E230" s="404"/>
      <c r="F230" s="404"/>
      <c r="G230" s="404"/>
      <c r="H230" s="404"/>
      <c r="I230" s="404"/>
      <c r="J230" s="404"/>
      <c r="K230" s="404"/>
      <c r="L230" s="404"/>
      <c r="M230" s="404"/>
      <c r="N230" s="404"/>
      <c r="O230" s="404"/>
      <c r="P230" s="404"/>
      <c r="Q230" s="404"/>
      <c r="R230" s="404"/>
      <c r="S230" s="404"/>
      <c r="T230" s="404"/>
      <c r="U230" s="404"/>
      <c r="V230" s="404"/>
      <c r="W230" s="404"/>
      <c r="X230" s="404"/>
      <c r="Y230" s="404"/>
      <c r="Z230" s="404"/>
      <c r="AA230" s="404"/>
    </row>
    <row r="231">
      <c r="A231" s="404"/>
      <c r="B231" s="419"/>
      <c r="C231" s="404"/>
      <c r="D231" s="404"/>
      <c r="E231" s="404"/>
      <c r="F231" s="404"/>
      <c r="G231" s="404"/>
      <c r="H231" s="404"/>
      <c r="I231" s="404"/>
      <c r="J231" s="404"/>
      <c r="K231" s="404"/>
      <c r="L231" s="404"/>
      <c r="M231" s="404"/>
      <c r="N231" s="404"/>
      <c r="O231" s="404"/>
      <c r="P231" s="404"/>
      <c r="Q231" s="404"/>
      <c r="R231" s="404"/>
      <c r="S231" s="404"/>
      <c r="T231" s="404"/>
      <c r="U231" s="404"/>
      <c r="V231" s="404"/>
      <c r="W231" s="404"/>
      <c r="X231" s="404"/>
      <c r="Y231" s="404"/>
      <c r="Z231" s="404"/>
      <c r="AA231" s="404"/>
    </row>
    <row r="232">
      <c r="A232" s="404"/>
      <c r="B232" s="419"/>
      <c r="C232" s="404"/>
      <c r="D232" s="404"/>
      <c r="E232" s="404"/>
      <c r="F232" s="404"/>
      <c r="G232" s="404"/>
      <c r="H232" s="404"/>
      <c r="I232" s="404"/>
      <c r="J232" s="404"/>
      <c r="K232" s="404"/>
      <c r="L232" s="404"/>
      <c r="M232" s="404"/>
      <c r="N232" s="404"/>
      <c r="O232" s="404"/>
      <c r="P232" s="404"/>
      <c r="Q232" s="404"/>
      <c r="R232" s="404"/>
      <c r="S232" s="404"/>
      <c r="T232" s="404"/>
      <c r="U232" s="404"/>
      <c r="V232" s="404"/>
      <c r="W232" s="404"/>
      <c r="X232" s="404"/>
      <c r="Y232" s="404"/>
      <c r="Z232" s="404"/>
      <c r="AA232" s="404"/>
    </row>
    <row r="233">
      <c r="A233" s="404"/>
      <c r="B233" s="419"/>
      <c r="C233" s="404"/>
      <c r="D233" s="404"/>
      <c r="E233" s="404"/>
      <c r="F233" s="404"/>
      <c r="G233" s="404"/>
      <c r="H233" s="404"/>
      <c r="I233" s="404"/>
      <c r="J233" s="404"/>
      <c r="K233" s="404"/>
      <c r="L233" s="404"/>
      <c r="M233" s="404"/>
      <c r="N233" s="404"/>
      <c r="O233" s="404"/>
      <c r="P233" s="404"/>
      <c r="Q233" s="404"/>
      <c r="R233" s="404"/>
      <c r="S233" s="404"/>
      <c r="T233" s="404"/>
      <c r="U233" s="404"/>
      <c r="V233" s="404"/>
      <c r="W233" s="404"/>
      <c r="X233" s="404"/>
      <c r="Y233" s="404"/>
      <c r="Z233" s="404"/>
      <c r="AA233" s="404"/>
    </row>
    <row r="234">
      <c r="A234" s="404"/>
      <c r="B234" s="419"/>
      <c r="C234" s="404"/>
      <c r="D234" s="404"/>
      <c r="E234" s="404"/>
      <c r="F234" s="404"/>
      <c r="G234" s="404"/>
      <c r="H234" s="404"/>
      <c r="I234" s="404"/>
      <c r="J234" s="404"/>
      <c r="K234" s="404"/>
      <c r="L234" s="404"/>
      <c r="M234" s="404"/>
      <c r="N234" s="404"/>
      <c r="O234" s="404"/>
      <c r="P234" s="404"/>
      <c r="Q234" s="404"/>
      <c r="R234" s="404"/>
      <c r="S234" s="404"/>
      <c r="T234" s="404"/>
      <c r="U234" s="404"/>
      <c r="V234" s="404"/>
      <c r="W234" s="404"/>
      <c r="X234" s="404"/>
      <c r="Y234" s="404"/>
      <c r="Z234" s="404"/>
      <c r="AA234" s="404"/>
    </row>
    <row r="235">
      <c r="A235" s="404"/>
      <c r="B235" s="419"/>
      <c r="C235" s="404"/>
      <c r="D235" s="40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c r="AA235" s="404"/>
    </row>
    <row r="236">
      <c r="A236" s="404"/>
      <c r="B236" s="419"/>
      <c r="C236" s="404"/>
      <c r="D236" s="404"/>
      <c r="E236" s="404"/>
      <c r="F236" s="404"/>
      <c r="G236" s="404"/>
      <c r="H236" s="404"/>
      <c r="I236" s="404"/>
      <c r="J236" s="404"/>
      <c r="K236" s="404"/>
      <c r="L236" s="404"/>
      <c r="M236" s="404"/>
      <c r="N236" s="404"/>
      <c r="O236" s="404"/>
      <c r="P236" s="404"/>
      <c r="Q236" s="404"/>
      <c r="R236" s="404"/>
      <c r="S236" s="404"/>
      <c r="T236" s="404"/>
      <c r="U236" s="404"/>
      <c r="V236" s="404"/>
      <c r="W236" s="404"/>
      <c r="X236" s="404"/>
      <c r="Y236" s="404"/>
      <c r="Z236" s="404"/>
      <c r="AA236" s="404"/>
    </row>
    <row r="237">
      <c r="A237" s="404"/>
      <c r="B237" s="419"/>
      <c r="C237" s="404"/>
      <c r="D237" s="404"/>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c r="AA237" s="404"/>
    </row>
    <row r="238">
      <c r="A238" s="404"/>
      <c r="B238" s="419"/>
      <c r="C238" s="404"/>
      <c r="D238" s="404"/>
      <c r="E238" s="404"/>
      <c r="F238" s="404"/>
      <c r="G238" s="404"/>
      <c r="H238" s="404"/>
      <c r="I238" s="404"/>
      <c r="J238" s="404"/>
      <c r="K238" s="404"/>
      <c r="L238" s="404"/>
      <c r="M238" s="404"/>
      <c r="N238" s="404"/>
      <c r="O238" s="404"/>
      <c r="P238" s="404"/>
      <c r="Q238" s="404"/>
      <c r="R238" s="404"/>
      <c r="S238" s="404"/>
      <c r="T238" s="404"/>
      <c r="U238" s="404"/>
      <c r="V238" s="404"/>
      <c r="W238" s="404"/>
      <c r="X238" s="404"/>
      <c r="Y238" s="404"/>
      <c r="Z238" s="404"/>
      <c r="AA238" s="404"/>
    </row>
    <row r="239">
      <c r="A239" s="404"/>
      <c r="B239" s="419"/>
      <c r="C239" s="404"/>
      <c r="D239" s="404"/>
      <c r="E239" s="404"/>
      <c r="F239" s="404"/>
      <c r="G239" s="404"/>
      <c r="H239" s="404"/>
      <c r="I239" s="404"/>
      <c r="J239" s="404"/>
      <c r="K239" s="404"/>
      <c r="L239" s="404"/>
      <c r="M239" s="404"/>
      <c r="N239" s="404"/>
      <c r="O239" s="404"/>
      <c r="P239" s="404"/>
      <c r="Q239" s="404"/>
      <c r="R239" s="404"/>
      <c r="S239" s="404"/>
      <c r="T239" s="404"/>
      <c r="U239" s="404"/>
      <c r="V239" s="404"/>
      <c r="W239" s="404"/>
      <c r="X239" s="404"/>
      <c r="Y239" s="404"/>
      <c r="Z239" s="404"/>
      <c r="AA239" s="404"/>
    </row>
    <row r="240">
      <c r="A240" s="404"/>
      <c r="B240" s="419"/>
      <c r="C240" s="404"/>
      <c r="D240" s="404"/>
      <c r="E240" s="404"/>
      <c r="F240" s="404"/>
      <c r="G240" s="404"/>
      <c r="H240" s="404"/>
      <c r="I240" s="404"/>
      <c r="J240" s="404"/>
      <c r="K240" s="404"/>
      <c r="L240" s="404"/>
      <c r="M240" s="404"/>
      <c r="N240" s="404"/>
      <c r="O240" s="404"/>
      <c r="P240" s="404"/>
      <c r="Q240" s="404"/>
      <c r="R240" s="404"/>
      <c r="S240" s="404"/>
      <c r="T240" s="404"/>
      <c r="U240" s="404"/>
      <c r="V240" s="404"/>
      <c r="W240" s="404"/>
      <c r="X240" s="404"/>
      <c r="Y240" s="404"/>
      <c r="Z240" s="404"/>
      <c r="AA240" s="404"/>
    </row>
    <row r="241">
      <c r="A241" s="404"/>
      <c r="B241" s="419"/>
      <c r="C241" s="404"/>
      <c r="D241" s="404"/>
      <c r="E241" s="404"/>
      <c r="F241" s="404"/>
      <c r="G241" s="404"/>
      <c r="H241" s="404"/>
      <c r="I241" s="404"/>
      <c r="J241" s="404"/>
      <c r="K241" s="404"/>
      <c r="L241" s="404"/>
      <c r="M241" s="404"/>
      <c r="N241" s="404"/>
      <c r="O241" s="404"/>
      <c r="P241" s="404"/>
      <c r="Q241" s="404"/>
      <c r="R241" s="404"/>
      <c r="S241" s="404"/>
      <c r="T241" s="404"/>
      <c r="U241" s="404"/>
      <c r="V241" s="404"/>
      <c r="W241" s="404"/>
      <c r="X241" s="404"/>
      <c r="Y241" s="404"/>
      <c r="Z241" s="404"/>
      <c r="AA241" s="404"/>
    </row>
    <row r="242">
      <c r="A242" s="404"/>
      <c r="B242" s="419"/>
      <c r="C242" s="404"/>
      <c r="D242" s="404"/>
      <c r="E242" s="404"/>
      <c r="F242" s="404"/>
      <c r="G242" s="404"/>
      <c r="H242" s="404"/>
      <c r="I242" s="404"/>
      <c r="J242" s="404"/>
      <c r="K242" s="404"/>
      <c r="L242" s="404"/>
      <c r="M242" s="404"/>
      <c r="N242" s="404"/>
      <c r="O242" s="404"/>
      <c r="P242" s="404"/>
      <c r="Q242" s="404"/>
      <c r="R242" s="404"/>
      <c r="S242" s="404"/>
      <c r="T242" s="404"/>
      <c r="U242" s="404"/>
      <c r="V242" s="404"/>
      <c r="W242" s="404"/>
      <c r="X242" s="404"/>
      <c r="Y242" s="404"/>
      <c r="Z242" s="404"/>
      <c r="AA242" s="404"/>
    </row>
    <row r="243">
      <c r="A243" s="404"/>
      <c r="B243" s="419"/>
      <c r="C243" s="404"/>
      <c r="D243" s="404"/>
      <c r="E243" s="404"/>
      <c r="F243" s="404"/>
      <c r="G243" s="404"/>
      <c r="H243" s="404"/>
      <c r="I243" s="404"/>
      <c r="J243" s="404"/>
      <c r="K243" s="404"/>
      <c r="L243" s="404"/>
      <c r="M243" s="404"/>
      <c r="N243" s="404"/>
      <c r="O243" s="404"/>
      <c r="P243" s="404"/>
      <c r="Q243" s="404"/>
      <c r="R243" s="404"/>
      <c r="S243" s="404"/>
      <c r="T243" s="404"/>
      <c r="U243" s="404"/>
      <c r="V243" s="404"/>
      <c r="W243" s="404"/>
      <c r="X243" s="404"/>
      <c r="Y243" s="404"/>
      <c r="Z243" s="404"/>
      <c r="AA243" s="404"/>
    </row>
    <row r="244">
      <c r="A244" s="404"/>
      <c r="B244" s="419"/>
      <c r="C244" s="404"/>
      <c r="D244" s="404"/>
      <c r="E244" s="404"/>
      <c r="F244" s="404"/>
      <c r="G244" s="404"/>
      <c r="H244" s="404"/>
      <c r="I244" s="404"/>
      <c r="J244" s="404"/>
      <c r="K244" s="404"/>
      <c r="L244" s="404"/>
      <c r="M244" s="404"/>
      <c r="N244" s="404"/>
      <c r="O244" s="404"/>
      <c r="P244" s="404"/>
      <c r="Q244" s="404"/>
      <c r="R244" s="404"/>
      <c r="S244" s="404"/>
      <c r="T244" s="404"/>
      <c r="U244" s="404"/>
      <c r="V244" s="404"/>
      <c r="W244" s="404"/>
      <c r="X244" s="404"/>
      <c r="Y244" s="404"/>
      <c r="Z244" s="404"/>
      <c r="AA244" s="404"/>
    </row>
    <row r="245">
      <c r="A245" s="404"/>
      <c r="B245" s="419"/>
      <c r="C245" s="404"/>
      <c r="D245" s="404"/>
      <c r="E245" s="404"/>
      <c r="F245" s="404"/>
      <c r="G245" s="404"/>
      <c r="H245" s="404"/>
      <c r="I245" s="404"/>
      <c r="J245" s="404"/>
      <c r="K245" s="404"/>
      <c r="L245" s="404"/>
      <c r="M245" s="404"/>
      <c r="N245" s="404"/>
      <c r="O245" s="404"/>
      <c r="P245" s="404"/>
      <c r="Q245" s="404"/>
      <c r="R245" s="404"/>
      <c r="S245" s="404"/>
      <c r="T245" s="404"/>
      <c r="U245" s="404"/>
      <c r="V245" s="404"/>
      <c r="W245" s="404"/>
      <c r="X245" s="404"/>
      <c r="Y245" s="404"/>
      <c r="Z245" s="404"/>
      <c r="AA245" s="404"/>
    </row>
    <row r="246">
      <c r="A246" s="404"/>
      <c r="B246" s="419"/>
      <c r="C246" s="404"/>
      <c r="D246" s="404"/>
      <c r="E246" s="404"/>
      <c r="F246" s="404"/>
      <c r="G246" s="404"/>
      <c r="H246" s="404"/>
      <c r="I246" s="404"/>
      <c r="J246" s="404"/>
      <c r="K246" s="404"/>
      <c r="L246" s="404"/>
      <c r="M246" s="404"/>
      <c r="N246" s="404"/>
      <c r="O246" s="404"/>
      <c r="P246" s="404"/>
      <c r="Q246" s="404"/>
      <c r="R246" s="404"/>
      <c r="S246" s="404"/>
      <c r="T246" s="404"/>
      <c r="U246" s="404"/>
      <c r="V246" s="404"/>
      <c r="W246" s="404"/>
      <c r="X246" s="404"/>
      <c r="Y246" s="404"/>
      <c r="Z246" s="404"/>
      <c r="AA246" s="404"/>
    </row>
    <row r="247">
      <c r="A247" s="404"/>
      <c r="B247" s="419"/>
      <c r="C247" s="404"/>
      <c r="D247" s="404"/>
      <c r="E247" s="404"/>
      <c r="F247" s="404"/>
      <c r="G247" s="404"/>
      <c r="H247" s="404"/>
      <c r="I247" s="404"/>
      <c r="J247" s="404"/>
      <c r="K247" s="404"/>
      <c r="L247" s="404"/>
      <c r="M247" s="404"/>
      <c r="N247" s="404"/>
      <c r="O247" s="404"/>
      <c r="P247" s="404"/>
      <c r="Q247" s="404"/>
      <c r="R247" s="404"/>
      <c r="S247" s="404"/>
      <c r="T247" s="404"/>
      <c r="U247" s="404"/>
      <c r="V247" s="404"/>
      <c r="W247" s="404"/>
      <c r="X247" s="404"/>
      <c r="Y247" s="404"/>
      <c r="Z247" s="404"/>
      <c r="AA247" s="404"/>
    </row>
    <row r="248">
      <c r="A248" s="404"/>
      <c r="B248" s="419"/>
      <c r="C248" s="404"/>
      <c r="D248" s="404"/>
      <c r="E248" s="404"/>
      <c r="F248" s="404"/>
      <c r="G248" s="404"/>
      <c r="H248" s="404"/>
      <c r="I248" s="404"/>
      <c r="J248" s="404"/>
      <c r="K248" s="404"/>
      <c r="L248" s="404"/>
      <c r="M248" s="404"/>
      <c r="N248" s="404"/>
      <c r="O248" s="404"/>
      <c r="P248" s="404"/>
      <c r="Q248" s="404"/>
      <c r="R248" s="404"/>
      <c r="S248" s="404"/>
      <c r="T248" s="404"/>
      <c r="U248" s="404"/>
      <c r="V248" s="404"/>
      <c r="W248" s="404"/>
      <c r="X248" s="404"/>
      <c r="Y248" s="404"/>
      <c r="Z248" s="404"/>
      <c r="AA248" s="404"/>
    </row>
    <row r="249">
      <c r="A249" s="404"/>
      <c r="B249" s="419"/>
      <c r="C249" s="404"/>
      <c r="D249" s="404"/>
      <c r="E249" s="404"/>
      <c r="F249" s="404"/>
      <c r="G249" s="404"/>
      <c r="H249" s="404"/>
      <c r="I249" s="404"/>
      <c r="J249" s="404"/>
      <c r="K249" s="404"/>
      <c r="L249" s="404"/>
      <c r="M249" s="404"/>
      <c r="N249" s="404"/>
      <c r="O249" s="404"/>
      <c r="P249" s="404"/>
      <c r="Q249" s="404"/>
      <c r="R249" s="404"/>
      <c r="S249" s="404"/>
      <c r="T249" s="404"/>
      <c r="U249" s="404"/>
      <c r="V249" s="404"/>
      <c r="W249" s="404"/>
      <c r="X249" s="404"/>
      <c r="Y249" s="404"/>
      <c r="Z249" s="404"/>
      <c r="AA249" s="404"/>
    </row>
    <row r="250">
      <c r="A250" s="404"/>
      <c r="B250" s="419"/>
      <c r="C250" s="404"/>
      <c r="D250" s="404"/>
      <c r="E250" s="404"/>
      <c r="F250" s="404"/>
      <c r="G250" s="404"/>
      <c r="H250" s="404"/>
      <c r="I250" s="404"/>
      <c r="J250" s="404"/>
      <c r="K250" s="404"/>
      <c r="L250" s="404"/>
      <c r="M250" s="404"/>
      <c r="N250" s="404"/>
      <c r="O250" s="404"/>
      <c r="P250" s="404"/>
      <c r="Q250" s="404"/>
      <c r="R250" s="404"/>
      <c r="S250" s="404"/>
      <c r="T250" s="404"/>
      <c r="U250" s="404"/>
      <c r="V250" s="404"/>
      <c r="W250" s="404"/>
      <c r="X250" s="404"/>
      <c r="Y250" s="404"/>
      <c r="Z250" s="404"/>
      <c r="AA250" s="404"/>
    </row>
    <row r="251">
      <c r="A251" s="404"/>
      <c r="B251" s="419"/>
      <c r="C251" s="404"/>
      <c r="D251" s="404"/>
      <c r="E251" s="404"/>
      <c r="F251" s="404"/>
      <c r="G251" s="404"/>
      <c r="H251" s="404"/>
      <c r="I251" s="404"/>
      <c r="J251" s="404"/>
      <c r="K251" s="404"/>
      <c r="L251" s="404"/>
      <c r="M251" s="404"/>
      <c r="N251" s="404"/>
      <c r="O251" s="404"/>
      <c r="P251" s="404"/>
      <c r="Q251" s="404"/>
      <c r="R251" s="404"/>
      <c r="S251" s="404"/>
      <c r="T251" s="404"/>
      <c r="U251" s="404"/>
      <c r="V251" s="404"/>
      <c r="W251" s="404"/>
      <c r="X251" s="404"/>
      <c r="Y251" s="404"/>
      <c r="Z251" s="404"/>
      <c r="AA251" s="404"/>
    </row>
    <row r="252">
      <c r="A252" s="404"/>
      <c r="B252" s="419"/>
      <c r="C252" s="404"/>
      <c r="D252" s="404"/>
      <c r="E252" s="404"/>
      <c r="F252" s="404"/>
      <c r="G252" s="404"/>
      <c r="H252" s="404"/>
      <c r="I252" s="404"/>
      <c r="J252" s="404"/>
      <c r="K252" s="404"/>
      <c r="L252" s="404"/>
      <c r="M252" s="404"/>
      <c r="N252" s="404"/>
      <c r="O252" s="404"/>
      <c r="P252" s="404"/>
      <c r="Q252" s="404"/>
      <c r="R252" s="404"/>
      <c r="S252" s="404"/>
      <c r="T252" s="404"/>
      <c r="U252" s="404"/>
      <c r="V252" s="404"/>
      <c r="W252" s="404"/>
      <c r="X252" s="404"/>
      <c r="Y252" s="404"/>
      <c r="Z252" s="404"/>
      <c r="AA252" s="404"/>
    </row>
    <row r="253">
      <c r="A253" s="404"/>
      <c r="B253" s="419"/>
      <c r="C253" s="404"/>
      <c r="D253" s="404"/>
      <c r="E253" s="404"/>
      <c r="F253" s="404"/>
      <c r="G253" s="404"/>
      <c r="H253" s="404"/>
      <c r="I253" s="404"/>
      <c r="J253" s="404"/>
      <c r="K253" s="404"/>
      <c r="L253" s="404"/>
      <c r="M253" s="404"/>
      <c r="N253" s="404"/>
      <c r="O253" s="404"/>
      <c r="P253" s="404"/>
      <c r="Q253" s="404"/>
      <c r="R253" s="404"/>
      <c r="S253" s="404"/>
      <c r="T253" s="404"/>
      <c r="U253" s="404"/>
      <c r="V253" s="404"/>
      <c r="W253" s="404"/>
      <c r="X253" s="404"/>
      <c r="Y253" s="404"/>
      <c r="Z253" s="404"/>
      <c r="AA253" s="404"/>
    </row>
    <row r="254">
      <c r="A254" s="404"/>
      <c r="B254" s="419"/>
      <c r="C254" s="404"/>
      <c r="D254" s="404"/>
      <c r="E254" s="404"/>
      <c r="F254" s="404"/>
      <c r="G254" s="404"/>
      <c r="H254" s="404"/>
      <c r="I254" s="404"/>
      <c r="J254" s="404"/>
      <c r="K254" s="404"/>
      <c r="L254" s="404"/>
      <c r="M254" s="404"/>
      <c r="N254" s="404"/>
      <c r="O254" s="404"/>
      <c r="P254" s="404"/>
      <c r="Q254" s="404"/>
      <c r="R254" s="404"/>
      <c r="S254" s="404"/>
      <c r="T254" s="404"/>
      <c r="U254" s="404"/>
      <c r="V254" s="404"/>
      <c r="W254" s="404"/>
      <c r="X254" s="404"/>
      <c r="Y254" s="404"/>
      <c r="Z254" s="404"/>
      <c r="AA254" s="404"/>
    </row>
    <row r="255">
      <c r="A255" s="404"/>
      <c r="B255" s="419"/>
      <c r="C255" s="404"/>
      <c r="D255" s="404"/>
      <c r="E255" s="404"/>
      <c r="F255" s="404"/>
      <c r="G255" s="404"/>
      <c r="H255" s="404"/>
      <c r="I255" s="404"/>
      <c r="J255" s="404"/>
      <c r="K255" s="404"/>
      <c r="L255" s="404"/>
      <c r="M255" s="404"/>
      <c r="N255" s="404"/>
      <c r="O255" s="404"/>
      <c r="P255" s="404"/>
      <c r="Q255" s="404"/>
      <c r="R255" s="404"/>
      <c r="S255" s="404"/>
      <c r="T255" s="404"/>
      <c r="U255" s="404"/>
      <c r="V255" s="404"/>
      <c r="W255" s="404"/>
      <c r="X255" s="404"/>
      <c r="Y255" s="404"/>
      <c r="Z255" s="404"/>
      <c r="AA255" s="404"/>
    </row>
    <row r="256">
      <c r="A256" s="404"/>
      <c r="B256" s="419"/>
      <c r="C256" s="404"/>
      <c r="D256" s="404"/>
      <c r="E256" s="404"/>
      <c r="F256" s="404"/>
      <c r="G256" s="404"/>
      <c r="H256" s="404"/>
      <c r="I256" s="404"/>
      <c r="J256" s="404"/>
      <c r="K256" s="404"/>
      <c r="L256" s="404"/>
      <c r="M256" s="404"/>
      <c r="N256" s="404"/>
      <c r="O256" s="404"/>
      <c r="P256" s="404"/>
      <c r="Q256" s="404"/>
      <c r="R256" s="404"/>
      <c r="S256" s="404"/>
      <c r="T256" s="404"/>
      <c r="U256" s="404"/>
      <c r="V256" s="404"/>
      <c r="W256" s="404"/>
      <c r="X256" s="404"/>
      <c r="Y256" s="404"/>
      <c r="Z256" s="404"/>
      <c r="AA256" s="404"/>
    </row>
    <row r="257">
      <c r="A257" s="404"/>
      <c r="B257" s="419"/>
      <c r="C257" s="404"/>
      <c r="D257" s="404"/>
      <c r="E257" s="404"/>
      <c r="F257" s="404"/>
      <c r="G257" s="404"/>
      <c r="H257" s="404"/>
      <c r="I257" s="404"/>
      <c r="J257" s="404"/>
      <c r="K257" s="404"/>
      <c r="L257" s="404"/>
      <c r="M257" s="404"/>
      <c r="N257" s="404"/>
      <c r="O257" s="404"/>
      <c r="P257" s="404"/>
      <c r="Q257" s="404"/>
      <c r="R257" s="404"/>
      <c r="S257" s="404"/>
      <c r="T257" s="404"/>
      <c r="U257" s="404"/>
      <c r="V257" s="404"/>
      <c r="W257" s="404"/>
      <c r="X257" s="404"/>
      <c r="Y257" s="404"/>
      <c r="Z257" s="404"/>
      <c r="AA257" s="404"/>
    </row>
    <row r="258">
      <c r="A258" s="404"/>
      <c r="B258" s="419"/>
      <c r="C258" s="404"/>
      <c r="D258" s="404"/>
      <c r="E258" s="404"/>
      <c r="F258" s="404"/>
      <c r="G258" s="404"/>
      <c r="H258" s="404"/>
      <c r="I258" s="404"/>
      <c r="J258" s="404"/>
      <c r="K258" s="404"/>
      <c r="L258" s="404"/>
      <c r="M258" s="404"/>
      <c r="N258" s="404"/>
      <c r="O258" s="404"/>
      <c r="P258" s="404"/>
      <c r="Q258" s="404"/>
      <c r="R258" s="404"/>
      <c r="S258" s="404"/>
      <c r="T258" s="404"/>
      <c r="U258" s="404"/>
      <c r="V258" s="404"/>
      <c r="W258" s="404"/>
      <c r="X258" s="404"/>
      <c r="Y258" s="404"/>
      <c r="Z258" s="404"/>
      <c r="AA258" s="404"/>
    </row>
    <row r="259">
      <c r="A259" s="404"/>
      <c r="B259" s="419"/>
      <c r="C259" s="404"/>
      <c r="D259" s="404"/>
      <c r="E259" s="404"/>
      <c r="F259" s="404"/>
      <c r="G259" s="404"/>
      <c r="H259" s="404"/>
      <c r="I259" s="404"/>
      <c r="J259" s="404"/>
      <c r="K259" s="404"/>
      <c r="L259" s="404"/>
      <c r="M259" s="404"/>
      <c r="N259" s="404"/>
      <c r="O259" s="404"/>
      <c r="P259" s="404"/>
      <c r="Q259" s="404"/>
      <c r="R259" s="404"/>
      <c r="S259" s="404"/>
      <c r="T259" s="404"/>
      <c r="U259" s="404"/>
      <c r="V259" s="404"/>
      <c r="W259" s="404"/>
      <c r="X259" s="404"/>
      <c r="Y259" s="404"/>
      <c r="Z259" s="404"/>
      <c r="AA259" s="404"/>
    </row>
    <row r="260">
      <c r="A260" s="404"/>
      <c r="B260" s="419"/>
      <c r="C260" s="404"/>
      <c r="D260" s="404"/>
      <c r="E260" s="404"/>
      <c r="F260" s="404"/>
      <c r="G260" s="404"/>
      <c r="H260" s="404"/>
      <c r="I260" s="404"/>
      <c r="J260" s="404"/>
      <c r="K260" s="404"/>
      <c r="L260" s="404"/>
      <c r="M260" s="404"/>
      <c r="N260" s="404"/>
      <c r="O260" s="404"/>
      <c r="P260" s="404"/>
      <c r="Q260" s="404"/>
      <c r="R260" s="404"/>
      <c r="S260" s="404"/>
      <c r="T260" s="404"/>
      <c r="U260" s="404"/>
      <c r="V260" s="404"/>
      <c r="W260" s="404"/>
      <c r="X260" s="404"/>
      <c r="Y260" s="404"/>
      <c r="Z260" s="404"/>
      <c r="AA260" s="404"/>
    </row>
    <row r="261">
      <c r="A261" s="404"/>
      <c r="B261" s="419"/>
      <c r="C261" s="404"/>
      <c r="D261" s="404"/>
      <c r="E261" s="404"/>
      <c r="F261" s="404"/>
      <c r="G261" s="404"/>
      <c r="H261" s="404"/>
      <c r="I261" s="404"/>
      <c r="J261" s="404"/>
      <c r="K261" s="404"/>
      <c r="L261" s="404"/>
      <c r="M261" s="404"/>
      <c r="N261" s="404"/>
      <c r="O261" s="404"/>
      <c r="P261" s="404"/>
      <c r="Q261" s="404"/>
      <c r="R261" s="404"/>
      <c r="S261" s="404"/>
      <c r="T261" s="404"/>
      <c r="U261" s="404"/>
      <c r="V261" s="404"/>
      <c r="W261" s="404"/>
      <c r="X261" s="404"/>
      <c r="Y261" s="404"/>
      <c r="Z261" s="404"/>
      <c r="AA261" s="404"/>
    </row>
    <row r="262">
      <c r="A262" s="404"/>
      <c r="B262" s="419"/>
      <c r="C262" s="404"/>
      <c r="D262" s="404"/>
      <c r="E262" s="404"/>
      <c r="F262" s="404"/>
      <c r="G262" s="404"/>
      <c r="H262" s="404"/>
      <c r="I262" s="404"/>
      <c r="J262" s="404"/>
      <c r="K262" s="404"/>
      <c r="L262" s="404"/>
      <c r="M262" s="404"/>
      <c r="N262" s="404"/>
      <c r="O262" s="404"/>
      <c r="P262" s="404"/>
      <c r="Q262" s="404"/>
      <c r="R262" s="404"/>
      <c r="S262" s="404"/>
      <c r="T262" s="404"/>
      <c r="U262" s="404"/>
      <c r="V262" s="404"/>
      <c r="W262" s="404"/>
      <c r="X262" s="404"/>
      <c r="Y262" s="404"/>
      <c r="Z262" s="404"/>
      <c r="AA262" s="404"/>
    </row>
    <row r="263">
      <c r="A263" s="404"/>
      <c r="B263" s="419"/>
      <c r="C263" s="404"/>
      <c r="D263" s="404"/>
      <c r="E263" s="404"/>
      <c r="F263" s="404"/>
      <c r="G263" s="404"/>
      <c r="H263" s="404"/>
      <c r="I263" s="404"/>
      <c r="J263" s="404"/>
      <c r="K263" s="404"/>
      <c r="L263" s="404"/>
      <c r="M263" s="404"/>
      <c r="N263" s="404"/>
      <c r="O263" s="404"/>
      <c r="P263" s="404"/>
      <c r="Q263" s="404"/>
      <c r="R263" s="404"/>
      <c r="S263" s="404"/>
      <c r="T263" s="404"/>
      <c r="U263" s="404"/>
      <c r="V263" s="404"/>
      <c r="W263" s="404"/>
      <c r="X263" s="404"/>
      <c r="Y263" s="404"/>
      <c r="Z263" s="404"/>
      <c r="AA263" s="404"/>
    </row>
    <row r="264">
      <c r="A264" s="404"/>
      <c r="B264" s="419"/>
      <c r="C264" s="404"/>
      <c r="D264" s="404"/>
      <c r="E264" s="404"/>
      <c r="F264" s="404"/>
      <c r="G264" s="404"/>
      <c r="H264" s="404"/>
      <c r="I264" s="404"/>
      <c r="J264" s="404"/>
      <c r="K264" s="404"/>
      <c r="L264" s="404"/>
      <c r="M264" s="404"/>
      <c r="N264" s="404"/>
      <c r="O264" s="404"/>
      <c r="P264" s="404"/>
      <c r="Q264" s="404"/>
      <c r="R264" s="404"/>
      <c r="S264" s="404"/>
      <c r="T264" s="404"/>
      <c r="U264" s="404"/>
      <c r="V264" s="404"/>
      <c r="W264" s="404"/>
      <c r="X264" s="404"/>
      <c r="Y264" s="404"/>
      <c r="Z264" s="404"/>
      <c r="AA264" s="404"/>
    </row>
    <row r="265">
      <c r="A265" s="404"/>
      <c r="B265" s="419"/>
      <c r="C265" s="404"/>
      <c r="D265" s="404"/>
      <c r="E265" s="404"/>
      <c r="F265" s="404"/>
      <c r="G265" s="404"/>
      <c r="H265" s="404"/>
      <c r="I265" s="404"/>
      <c r="J265" s="404"/>
      <c r="K265" s="404"/>
      <c r="L265" s="404"/>
      <c r="M265" s="404"/>
      <c r="N265" s="404"/>
      <c r="O265" s="404"/>
      <c r="P265" s="404"/>
      <c r="Q265" s="404"/>
      <c r="R265" s="404"/>
      <c r="S265" s="404"/>
      <c r="T265" s="404"/>
      <c r="U265" s="404"/>
      <c r="V265" s="404"/>
      <c r="W265" s="404"/>
      <c r="X265" s="404"/>
      <c r="Y265" s="404"/>
      <c r="Z265" s="404"/>
      <c r="AA265" s="404"/>
    </row>
    <row r="266">
      <c r="A266" s="404"/>
      <c r="B266" s="419"/>
      <c r="C266" s="404"/>
      <c r="D266" s="404"/>
      <c r="E266" s="404"/>
      <c r="F266" s="404"/>
      <c r="G266" s="404"/>
      <c r="H266" s="404"/>
      <c r="I266" s="404"/>
      <c r="J266" s="404"/>
      <c r="K266" s="404"/>
      <c r="L266" s="404"/>
      <c r="M266" s="404"/>
      <c r="N266" s="404"/>
      <c r="O266" s="404"/>
      <c r="P266" s="404"/>
      <c r="Q266" s="404"/>
      <c r="R266" s="404"/>
      <c r="S266" s="404"/>
      <c r="T266" s="404"/>
      <c r="U266" s="404"/>
      <c r="V266" s="404"/>
      <c r="W266" s="404"/>
      <c r="X266" s="404"/>
      <c r="Y266" s="404"/>
      <c r="Z266" s="404"/>
      <c r="AA266" s="404"/>
    </row>
    <row r="267">
      <c r="A267" s="404"/>
      <c r="B267" s="419"/>
      <c r="C267" s="404"/>
      <c r="D267" s="404"/>
      <c r="E267" s="404"/>
      <c r="F267" s="404"/>
      <c r="G267" s="404"/>
      <c r="H267" s="404"/>
      <c r="I267" s="404"/>
      <c r="J267" s="404"/>
      <c r="K267" s="404"/>
      <c r="L267" s="404"/>
      <c r="M267" s="404"/>
      <c r="N267" s="404"/>
      <c r="O267" s="404"/>
      <c r="P267" s="404"/>
      <c r="Q267" s="404"/>
      <c r="R267" s="404"/>
      <c r="S267" s="404"/>
      <c r="T267" s="404"/>
      <c r="U267" s="404"/>
      <c r="V267" s="404"/>
      <c r="W267" s="404"/>
      <c r="X267" s="404"/>
      <c r="Y267" s="404"/>
      <c r="Z267" s="404"/>
      <c r="AA267" s="404"/>
    </row>
    <row r="268">
      <c r="A268" s="404"/>
      <c r="B268" s="419"/>
      <c r="C268" s="404"/>
      <c r="D268" s="404"/>
      <c r="E268" s="404"/>
      <c r="F268" s="404"/>
      <c r="G268" s="404"/>
      <c r="H268" s="404"/>
      <c r="I268" s="404"/>
      <c r="J268" s="404"/>
      <c r="K268" s="404"/>
      <c r="L268" s="404"/>
      <c r="M268" s="404"/>
      <c r="N268" s="404"/>
      <c r="O268" s="404"/>
      <c r="P268" s="404"/>
      <c r="Q268" s="404"/>
      <c r="R268" s="404"/>
      <c r="S268" s="404"/>
      <c r="T268" s="404"/>
      <c r="U268" s="404"/>
      <c r="V268" s="404"/>
      <c r="W268" s="404"/>
      <c r="X268" s="404"/>
      <c r="Y268" s="404"/>
      <c r="Z268" s="404"/>
      <c r="AA268" s="404"/>
    </row>
    <row r="269">
      <c r="A269" s="404"/>
      <c r="B269" s="419"/>
      <c r="C269" s="404"/>
      <c r="D269" s="404"/>
      <c r="E269" s="404"/>
      <c r="F269" s="404"/>
      <c r="G269" s="404"/>
      <c r="H269" s="404"/>
      <c r="I269" s="404"/>
      <c r="J269" s="404"/>
      <c r="K269" s="404"/>
      <c r="L269" s="404"/>
      <c r="M269" s="404"/>
      <c r="N269" s="404"/>
      <c r="O269" s="404"/>
      <c r="P269" s="404"/>
      <c r="Q269" s="404"/>
      <c r="R269" s="404"/>
      <c r="S269" s="404"/>
      <c r="T269" s="404"/>
      <c r="U269" s="404"/>
      <c r="V269" s="404"/>
      <c r="W269" s="404"/>
      <c r="X269" s="404"/>
      <c r="Y269" s="404"/>
      <c r="Z269" s="404"/>
      <c r="AA269" s="404"/>
    </row>
    <row r="270">
      <c r="A270" s="404"/>
      <c r="B270" s="419"/>
      <c r="C270" s="404"/>
      <c r="D270" s="404"/>
      <c r="E270" s="404"/>
      <c r="F270" s="404"/>
      <c r="G270" s="404"/>
      <c r="H270" s="404"/>
      <c r="I270" s="404"/>
      <c r="J270" s="404"/>
      <c r="K270" s="404"/>
      <c r="L270" s="404"/>
      <c r="M270" s="404"/>
      <c r="N270" s="404"/>
      <c r="O270" s="404"/>
      <c r="P270" s="404"/>
      <c r="Q270" s="404"/>
      <c r="R270" s="404"/>
      <c r="S270" s="404"/>
      <c r="T270" s="404"/>
      <c r="U270" s="404"/>
      <c r="V270" s="404"/>
      <c r="W270" s="404"/>
      <c r="X270" s="404"/>
      <c r="Y270" s="404"/>
      <c r="Z270" s="404"/>
      <c r="AA270" s="404"/>
    </row>
    <row r="271">
      <c r="A271" s="404"/>
      <c r="B271" s="419"/>
      <c r="C271" s="404"/>
      <c r="D271" s="404"/>
      <c r="E271" s="404"/>
      <c r="F271" s="404"/>
      <c r="G271" s="404"/>
      <c r="H271" s="404"/>
      <c r="I271" s="404"/>
      <c r="J271" s="404"/>
      <c r="K271" s="404"/>
      <c r="L271" s="404"/>
      <c r="M271" s="404"/>
      <c r="N271" s="404"/>
      <c r="O271" s="404"/>
      <c r="P271" s="404"/>
      <c r="Q271" s="404"/>
      <c r="R271" s="404"/>
      <c r="S271" s="404"/>
      <c r="T271" s="404"/>
      <c r="U271" s="404"/>
      <c r="V271" s="404"/>
      <c r="W271" s="404"/>
      <c r="X271" s="404"/>
      <c r="Y271" s="404"/>
      <c r="Z271" s="404"/>
      <c r="AA271" s="404"/>
    </row>
    <row r="272">
      <c r="A272" s="404"/>
      <c r="B272" s="419"/>
      <c r="C272" s="404"/>
      <c r="D272" s="404"/>
      <c r="E272" s="404"/>
      <c r="F272" s="404"/>
      <c r="G272" s="404"/>
      <c r="H272" s="404"/>
      <c r="I272" s="404"/>
      <c r="J272" s="404"/>
      <c r="K272" s="404"/>
      <c r="L272" s="404"/>
      <c r="M272" s="404"/>
      <c r="N272" s="404"/>
      <c r="O272" s="404"/>
      <c r="P272" s="404"/>
      <c r="Q272" s="404"/>
      <c r="R272" s="404"/>
      <c r="S272" s="404"/>
      <c r="T272" s="404"/>
      <c r="U272" s="404"/>
      <c r="V272" s="404"/>
      <c r="W272" s="404"/>
      <c r="X272" s="404"/>
      <c r="Y272" s="404"/>
      <c r="Z272" s="404"/>
      <c r="AA272" s="404"/>
    </row>
    <row r="273">
      <c r="A273" s="404"/>
      <c r="B273" s="419"/>
      <c r="C273" s="404"/>
      <c r="D273" s="404"/>
      <c r="E273" s="404"/>
      <c r="F273" s="404"/>
      <c r="G273" s="404"/>
      <c r="H273" s="404"/>
      <c r="I273" s="404"/>
      <c r="J273" s="404"/>
      <c r="K273" s="404"/>
      <c r="L273" s="404"/>
      <c r="M273" s="404"/>
      <c r="N273" s="404"/>
      <c r="O273" s="404"/>
      <c r="P273" s="404"/>
      <c r="Q273" s="404"/>
      <c r="R273" s="404"/>
      <c r="S273" s="404"/>
      <c r="T273" s="404"/>
      <c r="U273" s="404"/>
      <c r="V273" s="404"/>
      <c r="W273" s="404"/>
      <c r="X273" s="404"/>
      <c r="Y273" s="404"/>
      <c r="Z273" s="404"/>
      <c r="AA273" s="404"/>
    </row>
    <row r="274">
      <c r="A274" s="404"/>
      <c r="B274" s="419"/>
      <c r="C274" s="404"/>
      <c r="D274" s="404"/>
      <c r="E274" s="404"/>
      <c r="F274" s="404"/>
      <c r="G274" s="404"/>
      <c r="H274" s="404"/>
      <c r="I274" s="404"/>
      <c r="J274" s="404"/>
      <c r="K274" s="404"/>
      <c r="L274" s="404"/>
      <c r="M274" s="404"/>
      <c r="N274" s="404"/>
      <c r="O274" s="404"/>
      <c r="P274" s="404"/>
      <c r="Q274" s="404"/>
      <c r="R274" s="404"/>
      <c r="S274" s="404"/>
      <c r="T274" s="404"/>
      <c r="U274" s="404"/>
      <c r="V274" s="404"/>
      <c r="W274" s="404"/>
      <c r="X274" s="404"/>
      <c r="Y274" s="404"/>
      <c r="Z274" s="404"/>
      <c r="AA274" s="404"/>
    </row>
    <row r="275">
      <c r="A275" s="404"/>
      <c r="B275" s="419"/>
      <c r="C275" s="404"/>
      <c r="D275" s="404"/>
      <c r="E275" s="404"/>
      <c r="F275" s="404"/>
      <c r="G275" s="404"/>
      <c r="H275" s="404"/>
      <c r="I275" s="404"/>
      <c r="J275" s="404"/>
      <c r="K275" s="404"/>
      <c r="L275" s="404"/>
      <c r="M275" s="404"/>
      <c r="N275" s="404"/>
      <c r="O275" s="404"/>
      <c r="P275" s="404"/>
      <c r="Q275" s="404"/>
      <c r="R275" s="404"/>
      <c r="S275" s="404"/>
      <c r="T275" s="404"/>
      <c r="U275" s="404"/>
      <c r="V275" s="404"/>
      <c r="W275" s="404"/>
      <c r="X275" s="404"/>
      <c r="Y275" s="404"/>
      <c r="Z275" s="404"/>
      <c r="AA275" s="404"/>
    </row>
    <row r="276">
      <c r="A276" s="404"/>
      <c r="B276" s="419"/>
      <c r="C276" s="404"/>
      <c r="D276" s="404"/>
      <c r="E276" s="404"/>
      <c r="F276" s="404"/>
      <c r="G276" s="404"/>
      <c r="H276" s="404"/>
      <c r="I276" s="404"/>
      <c r="J276" s="404"/>
      <c r="K276" s="404"/>
      <c r="L276" s="404"/>
      <c r="M276" s="404"/>
      <c r="N276" s="404"/>
      <c r="O276" s="404"/>
      <c r="P276" s="404"/>
      <c r="Q276" s="404"/>
      <c r="R276" s="404"/>
      <c r="S276" s="404"/>
      <c r="T276" s="404"/>
      <c r="U276" s="404"/>
      <c r="V276" s="404"/>
      <c r="W276" s="404"/>
      <c r="X276" s="404"/>
      <c r="Y276" s="404"/>
      <c r="Z276" s="404"/>
      <c r="AA276" s="404"/>
    </row>
    <row r="277">
      <c r="A277" s="404"/>
      <c r="B277" s="419"/>
      <c r="C277" s="404"/>
      <c r="D277" s="404"/>
      <c r="E277" s="404"/>
      <c r="F277" s="404"/>
      <c r="G277" s="404"/>
      <c r="H277" s="404"/>
      <c r="I277" s="404"/>
      <c r="J277" s="404"/>
      <c r="K277" s="404"/>
      <c r="L277" s="404"/>
      <c r="M277" s="404"/>
      <c r="N277" s="404"/>
      <c r="O277" s="404"/>
      <c r="P277" s="404"/>
      <c r="Q277" s="404"/>
      <c r="R277" s="404"/>
      <c r="S277" s="404"/>
      <c r="T277" s="404"/>
      <c r="U277" s="404"/>
      <c r="V277" s="404"/>
      <c r="W277" s="404"/>
      <c r="X277" s="404"/>
      <c r="Y277" s="404"/>
      <c r="Z277" s="404"/>
      <c r="AA277" s="404"/>
    </row>
    <row r="278">
      <c r="A278" s="404"/>
      <c r="B278" s="419"/>
      <c r="C278" s="404"/>
      <c r="D278" s="404"/>
      <c r="E278" s="404"/>
      <c r="F278" s="404"/>
      <c r="G278" s="404"/>
      <c r="H278" s="404"/>
      <c r="I278" s="404"/>
      <c r="J278" s="404"/>
      <c r="K278" s="404"/>
      <c r="L278" s="404"/>
      <c r="M278" s="404"/>
      <c r="N278" s="404"/>
      <c r="O278" s="404"/>
      <c r="P278" s="404"/>
      <c r="Q278" s="404"/>
      <c r="R278" s="404"/>
      <c r="S278" s="404"/>
      <c r="T278" s="404"/>
      <c r="U278" s="404"/>
      <c r="V278" s="404"/>
      <c r="W278" s="404"/>
      <c r="X278" s="404"/>
      <c r="Y278" s="404"/>
      <c r="Z278" s="404"/>
      <c r="AA278" s="404"/>
    </row>
    <row r="279">
      <c r="A279" s="404"/>
      <c r="B279" s="419"/>
      <c r="C279" s="404"/>
      <c r="D279" s="404"/>
      <c r="E279" s="404"/>
      <c r="F279" s="404"/>
      <c r="G279" s="404"/>
      <c r="H279" s="404"/>
      <c r="I279" s="404"/>
      <c r="J279" s="404"/>
      <c r="K279" s="404"/>
      <c r="L279" s="404"/>
      <c r="M279" s="404"/>
      <c r="N279" s="404"/>
      <c r="O279" s="404"/>
      <c r="P279" s="404"/>
      <c r="Q279" s="404"/>
      <c r="R279" s="404"/>
      <c r="S279" s="404"/>
      <c r="T279" s="404"/>
      <c r="U279" s="404"/>
      <c r="V279" s="404"/>
      <c r="W279" s="404"/>
      <c r="X279" s="404"/>
      <c r="Y279" s="404"/>
      <c r="Z279" s="404"/>
      <c r="AA279" s="404"/>
    </row>
    <row r="280">
      <c r="A280" s="404"/>
      <c r="B280" s="419"/>
      <c r="C280" s="404"/>
      <c r="D280" s="404"/>
      <c r="E280" s="404"/>
      <c r="F280" s="404"/>
      <c r="G280" s="404"/>
      <c r="H280" s="404"/>
      <c r="I280" s="404"/>
      <c r="J280" s="404"/>
      <c r="K280" s="404"/>
      <c r="L280" s="404"/>
      <c r="M280" s="404"/>
      <c r="N280" s="404"/>
      <c r="O280" s="404"/>
      <c r="P280" s="404"/>
      <c r="Q280" s="404"/>
      <c r="R280" s="404"/>
      <c r="S280" s="404"/>
      <c r="T280" s="404"/>
      <c r="U280" s="404"/>
      <c r="V280" s="404"/>
      <c r="W280" s="404"/>
      <c r="X280" s="404"/>
      <c r="Y280" s="404"/>
      <c r="Z280" s="404"/>
      <c r="AA280" s="404"/>
    </row>
    <row r="281">
      <c r="A281" s="404"/>
      <c r="B281" s="419"/>
      <c r="C281" s="404"/>
      <c r="D281" s="404"/>
      <c r="E281" s="404"/>
      <c r="F281" s="404"/>
      <c r="G281" s="404"/>
      <c r="H281" s="404"/>
      <c r="I281" s="404"/>
      <c r="J281" s="404"/>
      <c r="K281" s="404"/>
      <c r="L281" s="404"/>
      <c r="M281" s="404"/>
      <c r="N281" s="404"/>
      <c r="O281" s="404"/>
      <c r="P281" s="404"/>
      <c r="Q281" s="404"/>
      <c r="R281" s="404"/>
      <c r="S281" s="404"/>
      <c r="T281" s="404"/>
      <c r="U281" s="404"/>
      <c r="V281" s="404"/>
      <c r="W281" s="404"/>
      <c r="X281" s="404"/>
      <c r="Y281" s="404"/>
      <c r="Z281" s="404"/>
      <c r="AA281" s="404"/>
    </row>
    <row r="282">
      <c r="A282" s="404"/>
      <c r="B282" s="419"/>
      <c r="C282" s="404"/>
      <c r="D282" s="404"/>
      <c r="E282" s="404"/>
      <c r="F282" s="404"/>
      <c r="G282" s="404"/>
      <c r="H282" s="404"/>
      <c r="I282" s="404"/>
      <c r="J282" s="404"/>
      <c r="K282" s="404"/>
      <c r="L282" s="404"/>
      <c r="M282" s="404"/>
      <c r="N282" s="404"/>
      <c r="O282" s="404"/>
      <c r="P282" s="404"/>
      <c r="Q282" s="404"/>
      <c r="R282" s="404"/>
      <c r="S282" s="404"/>
      <c r="T282" s="404"/>
      <c r="U282" s="404"/>
      <c r="V282" s="404"/>
      <c r="W282" s="404"/>
      <c r="X282" s="404"/>
      <c r="Y282" s="404"/>
      <c r="Z282" s="404"/>
      <c r="AA282" s="404"/>
    </row>
    <row r="283">
      <c r="A283" s="404"/>
      <c r="B283" s="419"/>
      <c r="C283" s="404"/>
      <c r="D283" s="404"/>
      <c r="E283" s="404"/>
      <c r="F283" s="404"/>
      <c r="G283" s="404"/>
      <c r="H283" s="404"/>
      <c r="I283" s="404"/>
      <c r="J283" s="404"/>
      <c r="K283" s="404"/>
      <c r="L283" s="404"/>
      <c r="M283" s="404"/>
      <c r="N283" s="404"/>
      <c r="O283" s="404"/>
      <c r="P283" s="404"/>
      <c r="Q283" s="404"/>
      <c r="R283" s="404"/>
      <c r="S283" s="404"/>
      <c r="T283" s="404"/>
      <c r="U283" s="404"/>
      <c r="V283" s="404"/>
      <c r="W283" s="404"/>
      <c r="X283" s="404"/>
      <c r="Y283" s="404"/>
      <c r="Z283" s="404"/>
      <c r="AA283" s="404"/>
    </row>
    <row r="284">
      <c r="A284" s="404"/>
      <c r="B284" s="419"/>
      <c r="C284" s="404"/>
      <c r="D284" s="404"/>
      <c r="E284" s="404"/>
      <c r="F284" s="404"/>
      <c r="G284" s="404"/>
      <c r="H284" s="404"/>
      <c r="I284" s="404"/>
      <c r="J284" s="404"/>
      <c r="K284" s="404"/>
      <c r="L284" s="404"/>
      <c r="M284" s="404"/>
      <c r="N284" s="404"/>
      <c r="O284" s="404"/>
      <c r="P284" s="404"/>
      <c r="Q284" s="404"/>
      <c r="R284" s="404"/>
      <c r="S284" s="404"/>
      <c r="T284" s="404"/>
      <c r="U284" s="404"/>
      <c r="V284" s="404"/>
      <c r="W284" s="404"/>
      <c r="X284" s="404"/>
      <c r="Y284" s="404"/>
      <c r="Z284" s="404"/>
      <c r="AA284" s="404"/>
    </row>
    <row r="285">
      <c r="A285" s="404"/>
      <c r="B285" s="419"/>
      <c r="C285" s="404"/>
      <c r="D285" s="404"/>
      <c r="E285" s="404"/>
      <c r="F285" s="404"/>
      <c r="G285" s="404"/>
      <c r="H285" s="404"/>
      <c r="I285" s="404"/>
      <c r="J285" s="404"/>
      <c r="K285" s="404"/>
      <c r="L285" s="404"/>
      <c r="M285" s="404"/>
      <c r="N285" s="404"/>
      <c r="O285" s="404"/>
      <c r="P285" s="404"/>
      <c r="Q285" s="404"/>
      <c r="R285" s="404"/>
      <c r="S285" s="404"/>
      <c r="T285" s="404"/>
      <c r="U285" s="404"/>
      <c r="V285" s="404"/>
      <c r="W285" s="404"/>
      <c r="X285" s="404"/>
      <c r="Y285" s="404"/>
      <c r="Z285" s="404"/>
      <c r="AA285" s="404"/>
    </row>
    <row r="286">
      <c r="A286" s="404"/>
      <c r="B286" s="419"/>
      <c r="C286" s="404"/>
      <c r="D286" s="404"/>
      <c r="E286" s="404"/>
      <c r="F286" s="404"/>
      <c r="G286" s="404"/>
      <c r="H286" s="404"/>
      <c r="I286" s="404"/>
      <c r="J286" s="404"/>
      <c r="K286" s="404"/>
      <c r="L286" s="404"/>
      <c r="M286" s="404"/>
      <c r="N286" s="404"/>
      <c r="O286" s="404"/>
      <c r="P286" s="404"/>
      <c r="Q286" s="404"/>
      <c r="R286" s="404"/>
      <c r="S286" s="404"/>
      <c r="T286" s="404"/>
      <c r="U286" s="404"/>
      <c r="V286" s="404"/>
      <c r="W286" s="404"/>
      <c r="X286" s="404"/>
      <c r="Y286" s="404"/>
      <c r="Z286" s="404"/>
      <c r="AA286" s="404"/>
    </row>
    <row r="287">
      <c r="A287" s="404"/>
      <c r="B287" s="419"/>
      <c r="C287" s="404"/>
      <c r="D287" s="404"/>
      <c r="E287" s="404"/>
      <c r="F287" s="404"/>
      <c r="G287" s="404"/>
      <c r="H287" s="404"/>
      <c r="I287" s="404"/>
      <c r="J287" s="404"/>
      <c r="K287" s="404"/>
      <c r="L287" s="404"/>
      <c r="M287" s="404"/>
      <c r="N287" s="404"/>
      <c r="O287" s="404"/>
      <c r="P287" s="404"/>
      <c r="Q287" s="404"/>
      <c r="R287" s="404"/>
      <c r="S287" s="404"/>
      <c r="T287" s="404"/>
      <c r="U287" s="404"/>
      <c r="V287" s="404"/>
      <c r="W287" s="404"/>
      <c r="X287" s="404"/>
      <c r="Y287" s="404"/>
      <c r="Z287" s="404"/>
      <c r="AA287" s="404"/>
    </row>
    <row r="288">
      <c r="A288" s="404"/>
      <c r="B288" s="419"/>
      <c r="C288" s="404"/>
      <c r="D288" s="404"/>
      <c r="E288" s="404"/>
      <c r="F288" s="404"/>
      <c r="G288" s="404"/>
      <c r="H288" s="404"/>
      <c r="I288" s="404"/>
      <c r="J288" s="404"/>
      <c r="K288" s="404"/>
      <c r="L288" s="404"/>
      <c r="M288" s="404"/>
      <c r="N288" s="404"/>
      <c r="O288" s="404"/>
      <c r="P288" s="404"/>
      <c r="Q288" s="404"/>
      <c r="R288" s="404"/>
      <c r="S288" s="404"/>
      <c r="T288" s="404"/>
      <c r="U288" s="404"/>
      <c r="V288" s="404"/>
      <c r="W288" s="404"/>
      <c r="X288" s="404"/>
      <c r="Y288" s="404"/>
      <c r="Z288" s="404"/>
      <c r="AA288" s="404"/>
    </row>
    <row r="289">
      <c r="A289" s="404"/>
      <c r="B289" s="419"/>
      <c r="C289" s="404"/>
      <c r="D289" s="404"/>
      <c r="E289" s="404"/>
      <c r="F289" s="404"/>
      <c r="G289" s="404"/>
      <c r="H289" s="404"/>
      <c r="I289" s="404"/>
      <c r="J289" s="404"/>
      <c r="K289" s="404"/>
      <c r="L289" s="404"/>
      <c r="M289" s="404"/>
      <c r="N289" s="404"/>
      <c r="O289" s="404"/>
      <c r="P289" s="404"/>
      <c r="Q289" s="404"/>
      <c r="R289" s="404"/>
      <c r="S289" s="404"/>
      <c r="T289" s="404"/>
      <c r="U289" s="404"/>
      <c r="V289" s="404"/>
      <c r="W289" s="404"/>
      <c r="X289" s="404"/>
      <c r="Y289" s="404"/>
      <c r="Z289" s="404"/>
      <c r="AA289" s="404"/>
    </row>
    <row r="290">
      <c r="A290" s="404"/>
      <c r="B290" s="419"/>
      <c r="C290" s="404"/>
      <c r="D290" s="404"/>
      <c r="E290" s="404"/>
      <c r="F290" s="404"/>
      <c r="G290" s="404"/>
      <c r="H290" s="404"/>
      <c r="I290" s="404"/>
      <c r="J290" s="404"/>
      <c r="K290" s="404"/>
      <c r="L290" s="404"/>
      <c r="M290" s="404"/>
      <c r="N290" s="404"/>
      <c r="O290" s="404"/>
      <c r="P290" s="404"/>
      <c r="Q290" s="404"/>
      <c r="R290" s="404"/>
      <c r="S290" s="404"/>
      <c r="T290" s="404"/>
      <c r="U290" s="404"/>
      <c r="V290" s="404"/>
      <c r="W290" s="404"/>
      <c r="X290" s="404"/>
      <c r="Y290" s="404"/>
      <c r="Z290" s="404"/>
      <c r="AA290" s="404"/>
    </row>
    <row r="291">
      <c r="A291" s="404"/>
      <c r="B291" s="419"/>
      <c r="C291" s="404"/>
      <c r="D291" s="404"/>
      <c r="E291" s="404"/>
      <c r="F291" s="404"/>
      <c r="G291" s="404"/>
      <c r="H291" s="404"/>
      <c r="I291" s="404"/>
      <c r="J291" s="404"/>
      <c r="K291" s="404"/>
      <c r="L291" s="404"/>
      <c r="M291" s="404"/>
      <c r="N291" s="404"/>
      <c r="O291" s="404"/>
      <c r="P291" s="404"/>
      <c r="Q291" s="404"/>
      <c r="R291" s="404"/>
      <c r="S291" s="404"/>
      <c r="T291" s="404"/>
      <c r="U291" s="404"/>
      <c r="V291" s="404"/>
      <c r="W291" s="404"/>
      <c r="X291" s="404"/>
      <c r="Y291" s="404"/>
      <c r="Z291" s="404"/>
      <c r="AA291" s="404"/>
    </row>
    <row r="292">
      <c r="A292" s="404"/>
      <c r="B292" s="419"/>
      <c r="C292" s="404"/>
      <c r="D292" s="404"/>
      <c r="E292" s="404"/>
      <c r="F292" s="404"/>
      <c r="G292" s="404"/>
      <c r="H292" s="404"/>
      <c r="I292" s="404"/>
      <c r="J292" s="404"/>
      <c r="K292" s="404"/>
      <c r="L292" s="404"/>
      <c r="M292" s="404"/>
      <c r="N292" s="404"/>
      <c r="O292" s="404"/>
      <c r="P292" s="404"/>
      <c r="Q292" s="404"/>
      <c r="R292" s="404"/>
      <c r="S292" s="404"/>
      <c r="T292" s="404"/>
      <c r="U292" s="404"/>
      <c r="V292" s="404"/>
      <c r="W292" s="404"/>
      <c r="X292" s="404"/>
      <c r="Y292" s="404"/>
      <c r="Z292" s="404"/>
      <c r="AA292" s="404"/>
    </row>
    <row r="293">
      <c r="A293" s="404"/>
      <c r="B293" s="419"/>
      <c r="C293" s="404"/>
      <c r="D293" s="404"/>
      <c r="E293" s="404"/>
      <c r="F293" s="404"/>
      <c r="G293" s="404"/>
      <c r="H293" s="404"/>
      <c r="I293" s="404"/>
      <c r="J293" s="404"/>
      <c r="K293" s="404"/>
      <c r="L293" s="404"/>
      <c r="M293" s="404"/>
      <c r="N293" s="404"/>
      <c r="O293" s="404"/>
      <c r="P293" s="404"/>
      <c r="Q293" s="404"/>
      <c r="R293" s="404"/>
      <c r="S293" s="404"/>
      <c r="T293" s="404"/>
      <c r="U293" s="404"/>
      <c r="V293" s="404"/>
      <c r="W293" s="404"/>
      <c r="X293" s="404"/>
      <c r="Y293" s="404"/>
      <c r="Z293" s="404"/>
      <c r="AA293" s="404"/>
    </row>
    <row r="294">
      <c r="A294" s="404"/>
      <c r="B294" s="419"/>
      <c r="C294" s="404"/>
      <c r="D294" s="404"/>
      <c r="E294" s="404"/>
      <c r="F294" s="404"/>
      <c r="G294" s="404"/>
      <c r="H294" s="404"/>
      <c r="I294" s="404"/>
      <c r="J294" s="404"/>
      <c r="K294" s="404"/>
      <c r="L294" s="404"/>
      <c r="M294" s="404"/>
      <c r="N294" s="404"/>
      <c r="O294" s="404"/>
      <c r="P294" s="404"/>
      <c r="Q294" s="404"/>
      <c r="R294" s="404"/>
      <c r="S294" s="404"/>
      <c r="T294" s="404"/>
      <c r="U294" s="404"/>
      <c r="V294" s="404"/>
      <c r="W294" s="404"/>
      <c r="X294" s="404"/>
      <c r="Y294" s="404"/>
      <c r="Z294" s="404"/>
      <c r="AA294" s="404"/>
    </row>
    <row r="295">
      <c r="A295" s="404"/>
      <c r="B295" s="419"/>
      <c r="C295" s="404"/>
      <c r="D295" s="404"/>
      <c r="E295" s="404"/>
      <c r="F295" s="404"/>
      <c r="G295" s="404"/>
      <c r="H295" s="404"/>
      <c r="I295" s="404"/>
      <c r="J295" s="404"/>
      <c r="K295" s="404"/>
      <c r="L295" s="404"/>
      <c r="M295" s="404"/>
      <c r="N295" s="404"/>
      <c r="O295" s="404"/>
      <c r="P295" s="404"/>
      <c r="Q295" s="404"/>
      <c r="R295" s="404"/>
      <c r="S295" s="404"/>
      <c r="T295" s="404"/>
      <c r="U295" s="404"/>
      <c r="V295" s="404"/>
      <c r="W295" s="404"/>
      <c r="X295" s="404"/>
      <c r="Y295" s="404"/>
      <c r="Z295" s="404"/>
      <c r="AA295" s="404"/>
    </row>
    <row r="296">
      <c r="A296" s="404"/>
      <c r="B296" s="419"/>
      <c r="C296" s="404"/>
      <c r="D296" s="404"/>
      <c r="E296" s="404"/>
      <c r="F296" s="404"/>
      <c r="G296" s="404"/>
      <c r="H296" s="404"/>
      <c r="I296" s="404"/>
      <c r="J296" s="404"/>
      <c r="K296" s="404"/>
      <c r="L296" s="404"/>
      <c r="M296" s="404"/>
      <c r="N296" s="404"/>
      <c r="O296" s="404"/>
      <c r="P296" s="404"/>
      <c r="Q296" s="404"/>
      <c r="R296" s="404"/>
      <c r="S296" s="404"/>
      <c r="T296" s="404"/>
      <c r="U296" s="404"/>
      <c r="V296" s="404"/>
      <c r="W296" s="404"/>
      <c r="X296" s="404"/>
      <c r="Y296" s="404"/>
      <c r="Z296" s="404"/>
      <c r="AA296" s="404"/>
    </row>
    <row r="297">
      <c r="A297" s="404"/>
      <c r="B297" s="419"/>
      <c r="C297" s="404"/>
      <c r="D297" s="404"/>
      <c r="E297" s="404"/>
      <c r="F297" s="404"/>
      <c r="G297" s="404"/>
      <c r="H297" s="404"/>
      <c r="I297" s="404"/>
      <c r="J297" s="404"/>
      <c r="K297" s="404"/>
      <c r="L297" s="404"/>
      <c r="M297" s="404"/>
      <c r="N297" s="404"/>
      <c r="O297" s="404"/>
      <c r="P297" s="404"/>
      <c r="Q297" s="404"/>
      <c r="R297" s="404"/>
      <c r="S297" s="404"/>
      <c r="T297" s="404"/>
      <c r="U297" s="404"/>
      <c r="V297" s="404"/>
      <c r="W297" s="404"/>
      <c r="X297" s="404"/>
      <c r="Y297" s="404"/>
      <c r="Z297" s="404"/>
      <c r="AA297" s="404"/>
    </row>
    <row r="298">
      <c r="A298" s="404"/>
      <c r="B298" s="419"/>
      <c r="C298" s="404"/>
      <c r="D298" s="404"/>
      <c r="E298" s="404"/>
      <c r="F298" s="404"/>
      <c r="G298" s="404"/>
      <c r="H298" s="404"/>
      <c r="I298" s="404"/>
      <c r="J298" s="404"/>
      <c r="K298" s="404"/>
      <c r="L298" s="404"/>
      <c r="M298" s="404"/>
      <c r="N298" s="404"/>
      <c r="O298" s="404"/>
      <c r="P298" s="404"/>
      <c r="Q298" s="404"/>
      <c r="R298" s="404"/>
      <c r="S298" s="404"/>
      <c r="T298" s="404"/>
      <c r="U298" s="404"/>
      <c r="V298" s="404"/>
      <c r="W298" s="404"/>
      <c r="X298" s="404"/>
      <c r="Y298" s="404"/>
      <c r="Z298" s="404"/>
      <c r="AA298" s="404"/>
    </row>
    <row r="299">
      <c r="A299" s="404"/>
      <c r="B299" s="419"/>
      <c r="C299" s="404"/>
      <c r="D299" s="404"/>
      <c r="E299" s="404"/>
      <c r="F299" s="404"/>
      <c r="G299" s="404"/>
      <c r="H299" s="404"/>
      <c r="I299" s="404"/>
      <c r="J299" s="404"/>
      <c r="K299" s="404"/>
      <c r="L299" s="404"/>
      <c r="M299" s="404"/>
      <c r="N299" s="404"/>
      <c r="O299" s="404"/>
      <c r="P299" s="404"/>
      <c r="Q299" s="404"/>
      <c r="R299" s="404"/>
      <c r="S299" s="404"/>
      <c r="T299" s="404"/>
      <c r="U299" s="404"/>
      <c r="V299" s="404"/>
      <c r="W299" s="404"/>
      <c r="X299" s="404"/>
      <c r="Y299" s="404"/>
      <c r="Z299" s="404"/>
      <c r="AA299" s="404"/>
    </row>
    <row r="300">
      <c r="A300" s="404"/>
      <c r="B300" s="419"/>
      <c r="C300" s="404"/>
      <c r="D300" s="404"/>
      <c r="E300" s="404"/>
      <c r="F300" s="404"/>
      <c r="G300" s="404"/>
      <c r="H300" s="404"/>
      <c r="I300" s="404"/>
      <c r="J300" s="404"/>
      <c r="K300" s="404"/>
      <c r="L300" s="404"/>
      <c r="M300" s="404"/>
      <c r="N300" s="404"/>
      <c r="O300" s="404"/>
      <c r="P300" s="404"/>
      <c r="Q300" s="404"/>
      <c r="R300" s="404"/>
      <c r="S300" s="404"/>
      <c r="T300" s="404"/>
      <c r="U300" s="404"/>
      <c r="V300" s="404"/>
      <c r="W300" s="404"/>
      <c r="X300" s="404"/>
      <c r="Y300" s="404"/>
      <c r="Z300" s="404"/>
      <c r="AA300" s="404"/>
    </row>
    <row r="301">
      <c r="A301" s="404"/>
      <c r="B301" s="419"/>
      <c r="C301" s="404"/>
      <c r="D301" s="404"/>
      <c r="E301" s="404"/>
      <c r="F301" s="404"/>
      <c r="G301" s="404"/>
      <c r="H301" s="404"/>
      <c r="I301" s="404"/>
      <c r="J301" s="404"/>
      <c r="K301" s="404"/>
      <c r="L301" s="404"/>
      <c r="M301" s="404"/>
      <c r="N301" s="404"/>
      <c r="O301" s="404"/>
      <c r="P301" s="404"/>
      <c r="Q301" s="404"/>
      <c r="R301" s="404"/>
      <c r="S301" s="404"/>
      <c r="T301" s="404"/>
      <c r="U301" s="404"/>
      <c r="V301" s="404"/>
      <c r="W301" s="404"/>
      <c r="X301" s="404"/>
      <c r="Y301" s="404"/>
      <c r="Z301" s="404"/>
      <c r="AA301" s="404"/>
    </row>
    <row r="302">
      <c r="A302" s="404"/>
      <c r="B302" s="419"/>
      <c r="C302" s="404"/>
      <c r="D302" s="404"/>
      <c r="E302" s="404"/>
      <c r="F302" s="404"/>
      <c r="G302" s="404"/>
      <c r="H302" s="404"/>
      <c r="I302" s="404"/>
      <c r="J302" s="404"/>
      <c r="K302" s="404"/>
      <c r="L302" s="404"/>
      <c r="M302" s="404"/>
      <c r="N302" s="404"/>
      <c r="O302" s="404"/>
      <c r="P302" s="404"/>
      <c r="Q302" s="404"/>
      <c r="R302" s="404"/>
      <c r="S302" s="404"/>
      <c r="T302" s="404"/>
      <c r="U302" s="404"/>
      <c r="V302" s="404"/>
      <c r="W302" s="404"/>
      <c r="X302" s="404"/>
      <c r="Y302" s="404"/>
      <c r="Z302" s="404"/>
      <c r="AA302" s="404"/>
    </row>
    <row r="303">
      <c r="A303" s="404"/>
      <c r="B303" s="419"/>
      <c r="C303" s="404"/>
      <c r="D303" s="404"/>
      <c r="E303" s="404"/>
      <c r="F303" s="404"/>
      <c r="G303" s="404"/>
      <c r="H303" s="404"/>
      <c r="I303" s="404"/>
      <c r="J303" s="404"/>
      <c r="K303" s="404"/>
      <c r="L303" s="404"/>
      <c r="M303" s="404"/>
      <c r="N303" s="404"/>
      <c r="O303" s="404"/>
      <c r="P303" s="404"/>
      <c r="Q303" s="404"/>
      <c r="R303" s="404"/>
      <c r="S303" s="404"/>
      <c r="T303" s="404"/>
      <c r="U303" s="404"/>
      <c r="V303" s="404"/>
      <c r="W303" s="404"/>
      <c r="X303" s="404"/>
      <c r="Y303" s="404"/>
      <c r="Z303" s="404"/>
      <c r="AA303" s="404"/>
    </row>
    <row r="304">
      <c r="A304" s="404"/>
      <c r="B304" s="419"/>
      <c r="C304" s="404"/>
      <c r="D304" s="404"/>
      <c r="E304" s="404"/>
      <c r="F304" s="404"/>
      <c r="G304" s="404"/>
      <c r="H304" s="404"/>
      <c r="I304" s="404"/>
      <c r="J304" s="404"/>
      <c r="K304" s="404"/>
      <c r="L304" s="404"/>
      <c r="M304" s="404"/>
      <c r="N304" s="404"/>
      <c r="O304" s="404"/>
      <c r="P304" s="404"/>
      <c r="Q304" s="404"/>
      <c r="R304" s="404"/>
      <c r="S304" s="404"/>
      <c r="T304" s="404"/>
      <c r="U304" s="404"/>
      <c r="V304" s="404"/>
      <c r="W304" s="404"/>
      <c r="X304" s="404"/>
      <c r="Y304" s="404"/>
      <c r="Z304" s="404"/>
      <c r="AA304" s="404"/>
    </row>
    <row r="305">
      <c r="A305" s="404"/>
      <c r="B305" s="419"/>
      <c r="C305" s="404"/>
      <c r="D305" s="404"/>
      <c r="E305" s="404"/>
      <c r="F305" s="404"/>
      <c r="G305" s="404"/>
      <c r="H305" s="404"/>
      <c r="I305" s="404"/>
      <c r="J305" s="404"/>
      <c r="K305" s="404"/>
      <c r="L305" s="404"/>
      <c r="M305" s="404"/>
      <c r="N305" s="404"/>
      <c r="O305" s="404"/>
      <c r="P305" s="404"/>
      <c r="Q305" s="404"/>
      <c r="R305" s="404"/>
      <c r="S305" s="404"/>
      <c r="T305" s="404"/>
      <c r="U305" s="404"/>
      <c r="V305" s="404"/>
      <c r="W305" s="404"/>
      <c r="X305" s="404"/>
      <c r="Y305" s="404"/>
      <c r="Z305" s="404"/>
      <c r="AA305" s="404"/>
    </row>
    <row r="306">
      <c r="A306" s="404"/>
      <c r="B306" s="419"/>
      <c r="C306" s="404"/>
      <c r="D306" s="404"/>
      <c r="E306" s="404"/>
      <c r="F306" s="404"/>
      <c r="G306" s="404"/>
      <c r="H306" s="404"/>
      <c r="I306" s="404"/>
      <c r="J306" s="404"/>
      <c r="K306" s="404"/>
      <c r="L306" s="404"/>
      <c r="M306" s="404"/>
      <c r="N306" s="404"/>
      <c r="O306" s="404"/>
      <c r="P306" s="404"/>
      <c r="Q306" s="404"/>
      <c r="R306" s="404"/>
      <c r="S306" s="404"/>
      <c r="T306" s="404"/>
      <c r="U306" s="404"/>
      <c r="V306" s="404"/>
      <c r="W306" s="404"/>
      <c r="X306" s="404"/>
      <c r="Y306" s="404"/>
      <c r="Z306" s="404"/>
      <c r="AA306" s="404"/>
    </row>
    <row r="307">
      <c r="A307" s="404"/>
      <c r="B307" s="419"/>
      <c r="C307" s="404"/>
      <c r="D307" s="404"/>
      <c r="E307" s="404"/>
      <c r="F307" s="404"/>
      <c r="G307" s="404"/>
      <c r="H307" s="404"/>
      <c r="I307" s="404"/>
      <c r="J307" s="404"/>
      <c r="K307" s="404"/>
      <c r="L307" s="404"/>
      <c r="M307" s="404"/>
      <c r="N307" s="404"/>
      <c r="O307" s="404"/>
      <c r="P307" s="404"/>
      <c r="Q307" s="404"/>
      <c r="R307" s="404"/>
      <c r="S307" s="404"/>
      <c r="T307" s="404"/>
      <c r="U307" s="404"/>
      <c r="V307" s="404"/>
      <c r="W307" s="404"/>
      <c r="X307" s="404"/>
      <c r="Y307" s="404"/>
      <c r="Z307" s="404"/>
      <c r="AA307" s="404"/>
    </row>
    <row r="308">
      <c r="A308" s="404"/>
      <c r="B308" s="419"/>
      <c r="C308" s="404"/>
      <c r="D308" s="404"/>
      <c r="E308" s="404"/>
      <c r="F308" s="404"/>
      <c r="G308" s="404"/>
      <c r="H308" s="404"/>
      <c r="I308" s="404"/>
      <c r="J308" s="404"/>
      <c r="K308" s="404"/>
      <c r="L308" s="404"/>
      <c r="M308" s="404"/>
      <c r="N308" s="404"/>
      <c r="O308" s="404"/>
      <c r="P308" s="404"/>
      <c r="Q308" s="404"/>
      <c r="R308" s="404"/>
      <c r="S308" s="404"/>
      <c r="T308" s="404"/>
      <c r="U308" s="404"/>
      <c r="V308" s="404"/>
      <c r="W308" s="404"/>
      <c r="X308" s="404"/>
      <c r="Y308" s="404"/>
      <c r="Z308" s="404"/>
      <c r="AA308" s="404"/>
    </row>
    <row r="309">
      <c r="A309" s="404"/>
      <c r="B309" s="419"/>
      <c r="C309" s="404"/>
      <c r="D309" s="404"/>
      <c r="E309" s="404"/>
      <c r="F309" s="404"/>
      <c r="G309" s="404"/>
      <c r="H309" s="404"/>
      <c r="I309" s="404"/>
      <c r="J309" s="404"/>
      <c r="K309" s="404"/>
      <c r="L309" s="404"/>
      <c r="M309" s="404"/>
      <c r="N309" s="404"/>
      <c r="O309" s="404"/>
      <c r="P309" s="404"/>
      <c r="Q309" s="404"/>
      <c r="R309" s="404"/>
      <c r="S309" s="404"/>
      <c r="T309" s="404"/>
      <c r="U309" s="404"/>
      <c r="V309" s="404"/>
      <c r="W309" s="404"/>
      <c r="X309" s="404"/>
      <c r="Y309" s="404"/>
      <c r="Z309" s="404"/>
      <c r="AA309" s="404"/>
    </row>
    <row r="310">
      <c r="A310" s="404"/>
      <c r="B310" s="419"/>
      <c r="C310" s="404"/>
      <c r="D310" s="404"/>
      <c r="E310" s="404"/>
      <c r="F310" s="404"/>
      <c r="G310" s="404"/>
      <c r="H310" s="404"/>
      <c r="I310" s="404"/>
      <c r="J310" s="404"/>
      <c r="K310" s="404"/>
      <c r="L310" s="404"/>
      <c r="M310" s="404"/>
      <c r="N310" s="404"/>
      <c r="O310" s="404"/>
      <c r="P310" s="404"/>
      <c r="Q310" s="404"/>
      <c r="R310" s="404"/>
      <c r="S310" s="404"/>
      <c r="T310" s="404"/>
      <c r="U310" s="404"/>
      <c r="V310" s="404"/>
      <c r="W310" s="404"/>
      <c r="X310" s="404"/>
      <c r="Y310" s="404"/>
      <c r="Z310" s="404"/>
      <c r="AA310" s="404"/>
    </row>
    <row r="311">
      <c r="A311" s="404"/>
      <c r="B311" s="419"/>
      <c r="C311" s="404"/>
      <c r="D311" s="404"/>
      <c r="E311" s="404"/>
      <c r="F311" s="404"/>
      <c r="G311" s="404"/>
      <c r="H311" s="404"/>
      <c r="I311" s="404"/>
      <c r="J311" s="404"/>
      <c r="K311" s="404"/>
      <c r="L311" s="404"/>
      <c r="M311" s="404"/>
      <c r="N311" s="404"/>
      <c r="O311" s="404"/>
      <c r="P311" s="404"/>
      <c r="Q311" s="404"/>
      <c r="R311" s="404"/>
      <c r="S311" s="404"/>
      <c r="T311" s="404"/>
      <c r="U311" s="404"/>
      <c r="V311" s="404"/>
      <c r="W311" s="404"/>
      <c r="X311" s="404"/>
      <c r="Y311" s="404"/>
      <c r="Z311" s="404"/>
      <c r="AA311" s="404"/>
    </row>
    <row r="312">
      <c r="A312" s="404"/>
      <c r="B312" s="419"/>
      <c r="C312" s="404"/>
      <c r="D312" s="404"/>
      <c r="E312" s="404"/>
      <c r="F312" s="404"/>
      <c r="G312" s="404"/>
      <c r="H312" s="404"/>
      <c r="I312" s="404"/>
      <c r="J312" s="404"/>
      <c r="K312" s="404"/>
      <c r="L312" s="404"/>
      <c r="M312" s="404"/>
      <c r="N312" s="404"/>
      <c r="O312" s="404"/>
      <c r="P312" s="404"/>
      <c r="Q312" s="404"/>
      <c r="R312" s="404"/>
      <c r="S312" s="404"/>
      <c r="T312" s="404"/>
      <c r="U312" s="404"/>
      <c r="V312" s="404"/>
      <c r="W312" s="404"/>
      <c r="X312" s="404"/>
      <c r="Y312" s="404"/>
      <c r="Z312" s="404"/>
      <c r="AA312" s="404"/>
    </row>
    <row r="313">
      <c r="A313" s="404"/>
      <c r="B313" s="419"/>
      <c r="C313" s="404"/>
      <c r="D313" s="404"/>
      <c r="E313" s="404"/>
      <c r="F313" s="404"/>
      <c r="G313" s="404"/>
      <c r="H313" s="404"/>
      <c r="I313" s="404"/>
      <c r="J313" s="404"/>
      <c r="K313" s="404"/>
      <c r="L313" s="404"/>
      <c r="M313" s="404"/>
      <c r="N313" s="404"/>
      <c r="O313" s="404"/>
      <c r="P313" s="404"/>
      <c r="Q313" s="404"/>
      <c r="R313" s="404"/>
      <c r="S313" s="404"/>
      <c r="T313" s="404"/>
      <c r="U313" s="404"/>
      <c r="V313" s="404"/>
      <c r="W313" s="404"/>
      <c r="X313" s="404"/>
      <c r="Y313" s="404"/>
      <c r="Z313" s="404"/>
      <c r="AA313" s="404"/>
    </row>
    <row r="314">
      <c r="A314" s="404"/>
      <c r="B314" s="419"/>
      <c r="C314" s="404"/>
      <c r="D314" s="404"/>
      <c r="E314" s="404"/>
      <c r="F314" s="404"/>
      <c r="G314" s="404"/>
      <c r="H314" s="404"/>
      <c r="I314" s="404"/>
      <c r="J314" s="404"/>
      <c r="K314" s="404"/>
      <c r="L314" s="404"/>
      <c r="M314" s="404"/>
      <c r="N314" s="404"/>
      <c r="O314" s="404"/>
      <c r="P314" s="404"/>
      <c r="Q314" s="404"/>
      <c r="R314" s="404"/>
      <c r="S314" s="404"/>
      <c r="T314" s="404"/>
      <c r="U314" s="404"/>
      <c r="V314" s="404"/>
      <c r="W314" s="404"/>
      <c r="X314" s="404"/>
      <c r="Y314" s="404"/>
      <c r="Z314" s="404"/>
      <c r="AA314" s="404"/>
    </row>
    <row r="315">
      <c r="A315" s="404"/>
      <c r="B315" s="419"/>
      <c r="C315" s="404"/>
      <c r="D315" s="404"/>
      <c r="E315" s="404"/>
      <c r="F315" s="404"/>
      <c r="G315" s="404"/>
      <c r="H315" s="404"/>
      <c r="I315" s="404"/>
      <c r="J315" s="404"/>
      <c r="K315" s="404"/>
      <c r="L315" s="404"/>
      <c r="M315" s="404"/>
      <c r="N315" s="404"/>
      <c r="O315" s="404"/>
      <c r="P315" s="404"/>
      <c r="Q315" s="404"/>
      <c r="R315" s="404"/>
      <c r="S315" s="404"/>
      <c r="T315" s="404"/>
      <c r="U315" s="404"/>
      <c r="V315" s="404"/>
      <c r="W315" s="404"/>
      <c r="X315" s="404"/>
      <c r="Y315" s="404"/>
      <c r="Z315" s="404"/>
      <c r="AA315" s="404"/>
    </row>
    <row r="316">
      <c r="A316" s="404"/>
      <c r="B316" s="419"/>
      <c r="C316" s="404"/>
      <c r="D316" s="404"/>
      <c r="E316" s="404"/>
      <c r="F316" s="404"/>
      <c r="G316" s="404"/>
      <c r="H316" s="404"/>
      <c r="I316" s="404"/>
      <c r="J316" s="404"/>
      <c r="K316" s="404"/>
      <c r="L316" s="404"/>
      <c r="M316" s="404"/>
      <c r="N316" s="404"/>
      <c r="O316" s="404"/>
      <c r="P316" s="404"/>
      <c r="Q316" s="404"/>
      <c r="R316" s="404"/>
      <c r="S316" s="404"/>
      <c r="T316" s="404"/>
      <c r="U316" s="404"/>
      <c r="V316" s="404"/>
      <c r="W316" s="404"/>
      <c r="X316" s="404"/>
      <c r="Y316" s="404"/>
      <c r="Z316" s="404"/>
      <c r="AA316" s="404"/>
    </row>
    <row r="317">
      <c r="A317" s="404"/>
      <c r="B317" s="419"/>
      <c r="C317" s="404"/>
      <c r="D317" s="404"/>
      <c r="E317" s="404"/>
      <c r="F317" s="404"/>
      <c r="G317" s="404"/>
      <c r="H317" s="404"/>
      <c r="I317" s="404"/>
      <c r="J317" s="404"/>
      <c r="K317" s="404"/>
      <c r="L317" s="404"/>
      <c r="M317" s="404"/>
      <c r="N317" s="404"/>
      <c r="O317" s="404"/>
      <c r="P317" s="404"/>
      <c r="Q317" s="404"/>
      <c r="R317" s="404"/>
      <c r="S317" s="404"/>
      <c r="T317" s="404"/>
      <c r="U317" s="404"/>
      <c r="V317" s="404"/>
      <c r="W317" s="404"/>
      <c r="X317" s="404"/>
      <c r="Y317" s="404"/>
      <c r="Z317" s="404"/>
      <c r="AA317" s="404"/>
    </row>
    <row r="318">
      <c r="A318" s="404"/>
      <c r="B318" s="419"/>
      <c r="C318" s="404"/>
      <c r="D318" s="404"/>
      <c r="E318" s="404"/>
      <c r="F318" s="404"/>
      <c r="G318" s="404"/>
      <c r="H318" s="404"/>
      <c r="I318" s="404"/>
      <c r="J318" s="404"/>
      <c r="K318" s="404"/>
      <c r="L318" s="404"/>
      <c r="M318" s="404"/>
      <c r="N318" s="404"/>
      <c r="O318" s="404"/>
      <c r="P318" s="404"/>
      <c r="Q318" s="404"/>
      <c r="R318" s="404"/>
      <c r="S318" s="404"/>
      <c r="T318" s="404"/>
      <c r="U318" s="404"/>
      <c r="V318" s="404"/>
      <c r="W318" s="404"/>
      <c r="X318" s="404"/>
      <c r="Y318" s="404"/>
      <c r="Z318" s="404"/>
      <c r="AA318" s="404"/>
    </row>
    <row r="319">
      <c r="A319" s="404"/>
      <c r="B319" s="419"/>
      <c r="C319" s="404"/>
      <c r="D319" s="404"/>
      <c r="E319" s="404"/>
      <c r="F319" s="404"/>
      <c r="G319" s="404"/>
      <c r="H319" s="404"/>
      <c r="I319" s="404"/>
      <c r="J319" s="404"/>
      <c r="K319" s="404"/>
      <c r="L319" s="404"/>
      <c r="M319" s="404"/>
      <c r="N319" s="404"/>
      <c r="O319" s="404"/>
      <c r="P319" s="404"/>
      <c r="Q319" s="404"/>
      <c r="R319" s="404"/>
      <c r="S319" s="404"/>
      <c r="T319" s="404"/>
      <c r="U319" s="404"/>
      <c r="V319" s="404"/>
      <c r="W319" s="404"/>
      <c r="X319" s="404"/>
      <c r="Y319" s="404"/>
      <c r="Z319" s="404"/>
      <c r="AA319" s="404"/>
    </row>
    <row r="320">
      <c r="A320" s="404"/>
      <c r="B320" s="419"/>
      <c r="C320" s="404"/>
      <c r="D320" s="404"/>
      <c r="E320" s="404"/>
      <c r="F320" s="404"/>
      <c r="G320" s="404"/>
      <c r="H320" s="404"/>
      <c r="I320" s="404"/>
      <c r="J320" s="404"/>
      <c r="K320" s="404"/>
      <c r="L320" s="404"/>
      <c r="M320" s="404"/>
      <c r="N320" s="404"/>
      <c r="O320" s="404"/>
      <c r="P320" s="404"/>
      <c r="Q320" s="404"/>
      <c r="R320" s="404"/>
      <c r="S320" s="404"/>
      <c r="T320" s="404"/>
      <c r="U320" s="404"/>
      <c r="V320" s="404"/>
      <c r="W320" s="404"/>
      <c r="X320" s="404"/>
      <c r="Y320" s="404"/>
      <c r="Z320" s="404"/>
      <c r="AA320" s="404"/>
    </row>
    <row r="321">
      <c r="A321" s="404"/>
      <c r="B321" s="419"/>
      <c r="C321" s="404"/>
      <c r="D321" s="404"/>
      <c r="E321" s="404"/>
      <c r="F321" s="404"/>
      <c r="G321" s="404"/>
      <c r="H321" s="404"/>
      <c r="I321" s="404"/>
      <c r="J321" s="404"/>
      <c r="K321" s="404"/>
      <c r="L321" s="404"/>
      <c r="M321" s="404"/>
      <c r="N321" s="404"/>
      <c r="O321" s="404"/>
      <c r="P321" s="404"/>
      <c r="Q321" s="404"/>
      <c r="R321" s="404"/>
      <c r="S321" s="404"/>
      <c r="T321" s="404"/>
      <c r="U321" s="404"/>
      <c r="V321" s="404"/>
      <c r="W321" s="404"/>
      <c r="X321" s="404"/>
      <c r="Y321" s="404"/>
      <c r="Z321" s="404"/>
      <c r="AA321" s="404"/>
    </row>
    <row r="322">
      <c r="A322" s="404"/>
      <c r="B322" s="419"/>
      <c r="C322" s="404"/>
      <c r="D322" s="404"/>
      <c r="E322" s="404"/>
      <c r="F322" s="404"/>
      <c r="G322" s="404"/>
      <c r="H322" s="404"/>
      <c r="I322" s="404"/>
      <c r="J322" s="404"/>
      <c r="K322" s="404"/>
      <c r="L322" s="404"/>
      <c r="M322" s="404"/>
      <c r="N322" s="404"/>
      <c r="O322" s="404"/>
      <c r="P322" s="404"/>
      <c r="Q322" s="404"/>
      <c r="R322" s="404"/>
      <c r="S322" s="404"/>
      <c r="T322" s="404"/>
      <c r="U322" s="404"/>
      <c r="V322" s="404"/>
      <c r="W322" s="404"/>
      <c r="X322" s="404"/>
      <c r="Y322" s="404"/>
      <c r="Z322" s="404"/>
      <c r="AA322" s="404"/>
    </row>
    <row r="323">
      <c r="A323" s="404"/>
      <c r="B323" s="419"/>
      <c r="C323" s="404"/>
      <c r="D323" s="404"/>
      <c r="E323" s="404"/>
      <c r="F323" s="404"/>
      <c r="G323" s="404"/>
      <c r="H323" s="404"/>
      <c r="I323" s="404"/>
      <c r="J323" s="404"/>
      <c r="K323" s="404"/>
      <c r="L323" s="404"/>
      <c r="M323" s="404"/>
      <c r="N323" s="404"/>
      <c r="O323" s="404"/>
      <c r="P323" s="404"/>
      <c r="Q323" s="404"/>
      <c r="R323" s="404"/>
      <c r="S323" s="404"/>
      <c r="T323" s="404"/>
      <c r="U323" s="404"/>
      <c r="V323" s="404"/>
      <c r="W323" s="404"/>
      <c r="X323" s="404"/>
      <c r="Y323" s="404"/>
      <c r="Z323" s="404"/>
      <c r="AA323" s="404"/>
    </row>
    <row r="324">
      <c r="A324" s="404"/>
      <c r="B324" s="419"/>
      <c r="C324" s="404"/>
      <c r="D324" s="404"/>
      <c r="E324" s="404"/>
      <c r="F324" s="404"/>
      <c r="G324" s="404"/>
      <c r="H324" s="404"/>
      <c r="I324" s="404"/>
      <c r="J324" s="404"/>
      <c r="K324" s="404"/>
      <c r="L324" s="404"/>
      <c r="M324" s="404"/>
      <c r="N324" s="404"/>
      <c r="O324" s="404"/>
      <c r="P324" s="404"/>
      <c r="Q324" s="404"/>
      <c r="R324" s="404"/>
      <c r="S324" s="404"/>
      <c r="T324" s="404"/>
      <c r="U324" s="404"/>
      <c r="V324" s="404"/>
      <c r="W324" s="404"/>
      <c r="X324" s="404"/>
      <c r="Y324" s="404"/>
      <c r="Z324" s="404"/>
      <c r="AA324" s="404"/>
    </row>
    <row r="325">
      <c r="A325" s="404"/>
      <c r="B325" s="419"/>
      <c r="C325" s="404"/>
      <c r="D325" s="404"/>
      <c r="E325" s="404"/>
      <c r="F325" s="404"/>
      <c r="G325" s="404"/>
      <c r="H325" s="404"/>
      <c r="I325" s="404"/>
      <c r="J325" s="404"/>
      <c r="K325" s="404"/>
      <c r="L325" s="404"/>
      <c r="M325" s="404"/>
      <c r="N325" s="404"/>
      <c r="O325" s="404"/>
      <c r="P325" s="404"/>
      <c r="Q325" s="404"/>
      <c r="R325" s="404"/>
      <c r="S325" s="404"/>
      <c r="T325" s="404"/>
      <c r="U325" s="404"/>
      <c r="V325" s="404"/>
      <c r="W325" s="404"/>
      <c r="X325" s="404"/>
      <c r="Y325" s="404"/>
      <c r="Z325" s="404"/>
      <c r="AA325" s="404"/>
    </row>
    <row r="326">
      <c r="A326" s="404"/>
      <c r="B326" s="419"/>
      <c r="C326" s="404"/>
      <c r="D326" s="404"/>
      <c r="E326" s="404"/>
      <c r="F326" s="404"/>
      <c r="G326" s="404"/>
      <c r="H326" s="404"/>
      <c r="I326" s="404"/>
      <c r="J326" s="404"/>
      <c r="K326" s="404"/>
      <c r="L326" s="404"/>
      <c r="M326" s="404"/>
      <c r="N326" s="404"/>
      <c r="O326" s="404"/>
      <c r="P326" s="404"/>
      <c r="Q326" s="404"/>
      <c r="R326" s="404"/>
      <c r="S326" s="404"/>
      <c r="T326" s="404"/>
      <c r="U326" s="404"/>
      <c r="V326" s="404"/>
      <c r="W326" s="404"/>
      <c r="X326" s="404"/>
      <c r="Y326" s="404"/>
      <c r="Z326" s="404"/>
      <c r="AA326" s="404"/>
    </row>
    <row r="327">
      <c r="A327" s="404"/>
      <c r="B327" s="419"/>
      <c r="C327" s="404"/>
      <c r="D327" s="404"/>
      <c r="E327" s="404"/>
      <c r="F327" s="404"/>
      <c r="G327" s="404"/>
      <c r="H327" s="404"/>
      <c r="I327" s="404"/>
      <c r="J327" s="404"/>
      <c r="K327" s="404"/>
      <c r="L327" s="404"/>
      <c r="M327" s="404"/>
      <c r="N327" s="404"/>
      <c r="O327" s="404"/>
      <c r="P327" s="404"/>
      <c r="Q327" s="404"/>
      <c r="R327" s="404"/>
      <c r="S327" s="404"/>
      <c r="T327" s="404"/>
      <c r="U327" s="404"/>
      <c r="V327" s="404"/>
      <c r="W327" s="404"/>
      <c r="X327" s="404"/>
      <c r="Y327" s="404"/>
      <c r="Z327" s="404"/>
      <c r="AA327" s="404"/>
    </row>
    <row r="328">
      <c r="A328" s="404"/>
      <c r="B328" s="419"/>
      <c r="C328" s="404"/>
      <c r="D328" s="404"/>
      <c r="E328" s="404"/>
      <c r="F328" s="404"/>
      <c r="G328" s="404"/>
      <c r="H328" s="404"/>
      <c r="I328" s="404"/>
      <c r="J328" s="404"/>
      <c r="K328" s="404"/>
      <c r="L328" s="404"/>
      <c r="M328" s="404"/>
      <c r="N328" s="404"/>
      <c r="O328" s="404"/>
      <c r="P328" s="404"/>
      <c r="Q328" s="404"/>
      <c r="R328" s="404"/>
      <c r="S328" s="404"/>
      <c r="T328" s="404"/>
      <c r="U328" s="404"/>
      <c r="V328" s="404"/>
      <c r="W328" s="404"/>
      <c r="X328" s="404"/>
      <c r="Y328" s="404"/>
      <c r="Z328" s="404"/>
      <c r="AA328" s="404"/>
    </row>
    <row r="329">
      <c r="A329" s="404"/>
      <c r="B329" s="419"/>
      <c r="C329" s="404"/>
      <c r="D329" s="404"/>
      <c r="E329" s="404"/>
      <c r="F329" s="404"/>
      <c r="G329" s="404"/>
      <c r="H329" s="404"/>
      <c r="I329" s="404"/>
      <c r="J329" s="404"/>
      <c r="K329" s="404"/>
      <c r="L329" s="404"/>
      <c r="M329" s="404"/>
      <c r="N329" s="404"/>
      <c r="O329" s="404"/>
      <c r="P329" s="404"/>
      <c r="Q329" s="404"/>
      <c r="R329" s="404"/>
      <c r="S329" s="404"/>
      <c r="T329" s="404"/>
      <c r="U329" s="404"/>
      <c r="V329" s="404"/>
      <c r="W329" s="404"/>
      <c r="X329" s="404"/>
      <c r="Y329" s="404"/>
      <c r="Z329" s="404"/>
      <c r="AA329" s="404"/>
    </row>
    <row r="330">
      <c r="A330" s="404"/>
      <c r="B330" s="419"/>
      <c r="C330" s="404"/>
      <c r="D330" s="404"/>
      <c r="E330" s="404"/>
      <c r="F330" s="404"/>
      <c r="G330" s="404"/>
      <c r="H330" s="404"/>
      <c r="I330" s="404"/>
      <c r="J330" s="404"/>
      <c r="K330" s="404"/>
      <c r="L330" s="404"/>
      <c r="M330" s="404"/>
      <c r="N330" s="404"/>
      <c r="O330" s="404"/>
      <c r="P330" s="404"/>
      <c r="Q330" s="404"/>
      <c r="R330" s="404"/>
      <c r="S330" s="404"/>
      <c r="T330" s="404"/>
      <c r="U330" s="404"/>
      <c r="V330" s="404"/>
      <c r="W330" s="404"/>
      <c r="X330" s="404"/>
      <c r="Y330" s="404"/>
      <c r="Z330" s="404"/>
      <c r="AA330" s="404"/>
    </row>
    <row r="331">
      <c r="A331" s="404"/>
      <c r="B331" s="419"/>
      <c r="C331" s="404"/>
      <c r="D331" s="404"/>
      <c r="E331" s="404"/>
      <c r="F331" s="404"/>
      <c r="G331" s="404"/>
      <c r="H331" s="404"/>
      <c r="I331" s="404"/>
      <c r="J331" s="404"/>
      <c r="K331" s="404"/>
      <c r="L331" s="404"/>
      <c r="M331" s="404"/>
      <c r="N331" s="404"/>
      <c r="O331" s="404"/>
      <c r="P331" s="404"/>
      <c r="Q331" s="404"/>
      <c r="R331" s="404"/>
      <c r="S331" s="404"/>
      <c r="T331" s="404"/>
      <c r="U331" s="404"/>
      <c r="V331" s="404"/>
      <c r="W331" s="404"/>
      <c r="X331" s="404"/>
      <c r="Y331" s="404"/>
      <c r="Z331" s="404"/>
      <c r="AA331" s="404"/>
    </row>
    <row r="332">
      <c r="A332" s="404"/>
      <c r="B332" s="419"/>
      <c r="C332" s="404"/>
      <c r="D332" s="40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c r="AA332" s="404"/>
    </row>
    <row r="333">
      <c r="A333" s="404"/>
      <c r="B333" s="419"/>
      <c r="C333" s="404"/>
      <c r="D333" s="404"/>
      <c r="E333" s="404"/>
      <c r="F333" s="404"/>
      <c r="G333" s="404"/>
      <c r="H333" s="404"/>
      <c r="I333" s="404"/>
      <c r="J333" s="404"/>
      <c r="K333" s="404"/>
      <c r="L333" s="404"/>
      <c r="M333" s="404"/>
      <c r="N333" s="404"/>
      <c r="O333" s="404"/>
      <c r="P333" s="404"/>
      <c r="Q333" s="404"/>
      <c r="R333" s="404"/>
      <c r="S333" s="404"/>
      <c r="T333" s="404"/>
      <c r="U333" s="404"/>
      <c r="V333" s="404"/>
      <c r="W333" s="404"/>
      <c r="X333" s="404"/>
      <c r="Y333" s="404"/>
      <c r="Z333" s="404"/>
      <c r="AA333" s="404"/>
    </row>
    <row r="334">
      <c r="A334" s="404"/>
      <c r="B334" s="419"/>
      <c r="C334" s="404"/>
      <c r="D334" s="404"/>
      <c r="E334" s="404"/>
      <c r="F334" s="404"/>
      <c r="G334" s="404"/>
      <c r="H334" s="404"/>
      <c r="I334" s="404"/>
      <c r="J334" s="404"/>
      <c r="K334" s="404"/>
      <c r="L334" s="404"/>
      <c r="M334" s="404"/>
      <c r="N334" s="404"/>
      <c r="O334" s="404"/>
      <c r="P334" s="404"/>
      <c r="Q334" s="404"/>
      <c r="R334" s="404"/>
      <c r="S334" s="404"/>
      <c r="T334" s="404"/>
      <c r="U334" s="404"/>
      <c r="V334" s="404"/>
      <c r="W334" s="404"/>
      <c r="X334" s="404"/>
      <c r="Y334" s="404"/>
      <c r="Z334" s="404"/>
      <c r="AA334" s="404"/>
    </row>
    <row r="335">
      <c r="A335" s="404"/>
      <c r="B335" s="419"/>
      <c r="C335" s="404"/>
      <c r="D335" s="404"/>
      <c r="E335" s="404"/>
      <c r="F335" s="404"/>
      <c r="G335" s="404"/>
      <c r="H335" s="404"/>
      <c r="I335" s="404"/>
      <c r="J335" s="404"/>
      <c r="K335" s="404"/>
      <c r="L335" s="404"/>
      <c r="M335" s="404"/>
      <c r="N335" s="404"/>
      <c r="O335" s="404"/>
      <c r="P335" s="404"/>
      <c r="Q335" s="404"/>
      <c r="R335" s="404"/>
      <c r="S335" s="404"/>
      <c r="T335" s="404"/>
      <c r="U335" s="404"/>
      <c r="V335" s="404"/>
      <c r="W335" s="404"/>
      <c r="X335" s="404"/>
      <c r="Y335" s="404"/>
      <c r="Z335" s="404"/>
      <c r="AA335" s="404"/>
    </row>
    <row r="336">
      <c r="A336" s="404"/>
      <c r="B336" s="419"/>
      <c r="C336" s="404"/>
      <c r="D336" s="404"/>
      <c r="E336" s="404"/>
      <c r="F336" s="404"/>
      <c r="G336" s="404"/>
      <c r="H336" s="404"/>
      <c r="I336" s="404"/>
      <c r="J336" s="404"/>
      <c r="K336" s="404"/>
      <c r="L336" s="404"/>
      <c r="M336" s="404"/>
      <c r="N336" s="404"/>
      <c r="O336" s="404"/>
      <c r="P336" s="404"/>
      <c r="Q336" s="404"/>
      <c r="R336" s="404"/>
      <c r="S336" s="404"/>
      <c r="T336" s="404"/>
      <c r="U336" s="404"/>
      <c r="V336" s="404"/>
      <c r="W336" s="404"/>
      <c r="X336" s="404"/>
      <c r="Y336" s="404"/>
      <c r="Z336" s="404"/>
      <c r="AA336" s="404"/>
    </row>
    <row r="337">
      <c r="A337" s="404"/>
      <c r="B337" s="419"/>
      <c r="C337" s="404"/>
      <c r="D337" s="404"/>
      <c r="E337" s="404"/>
      <c r="F337" s="404"/>
      <c r="G337" s="404"/>
      <c r="H337" s="404"/>
      <c r="I337" s="404"/>
      <c r="J337" s="404"/>
      <c r="K337" s="404"/>
      <c r="L337" s="404"/>
      <c r="M337" s="404"/>
      <c r="N337" s="404"/>
      <c r="O337" s="404"/>
      <c r="P337" s="404"/>
      <c r="Q337" s="404"/>
      <c r="R337" s="404"/>
      <c r="S337" s="404"/>
      <c r="T337" s="404"/>
      <c r="U337" s="404"/>
      <c r="V337" s="404"/>
      <c r="W337" s="404"/>
      <c r="X337" s="404"/>
      <c r="Y337" s="404"/>
      <c r="Z337" s="404"/>
      <c r="AA337" s="404"/>
    </row>
    <row r="338">
      <c r="A338" s="404"/>
      <c r="B338" s="419"/>
      <c r="C338" s="404"/>
      <c r="D338" s="404"/>
      <c r="E338" s="404"/>
      <c r="F338" s="404"/>
      <c r="G338" s="404"/>
      <c r="H338" s="404"/>
      <c r="I338" s="404"/>
      <c r="J338" s="404"/>
      <c r="K338" s="404"/>
      <c r="L338" s="404"/>
      <c r="M338" s="404"/>
      <c r="N338" s="404"/>
      <c r="O338" s="404"/>
      <c r="P338" s="404"/>
      <c r="Q338" s="404"/>
      <c r="R338" s="404"/>
      <c r="S338" s="404"/>
      <c r="T338" s="404"/>
      <c r="U338" s="404"/>
      <c r="V338" s="404"/>
      <c r="W338" s="404"/>
      <c r="X338" s="404"/>
      <c r="Y338" s="404"/>
      <c r="Z338" s="404"/>
      <c r="AA338" s="404"/>
    </row>
    <row r="339">
      <c r="A339" s="404"/>
      <c r="B339" s="419"/>
      <c r="C339" s="404"/>
      <c r="D339" s="404"/>
      <c r="E339" s="404"/>
      <c r="F339" s="404"/>
      <c r="G339" s="404"/>
      <c r="H339" s="404"/>
      <c r="I339" s="404"/>
      <c r="J339" s="404"/>
      <c r="K339" s="404"/>
      <c r="L339" s="404"/>
      <c r="M339" s="404"/>
      <c r="N339" s="404"/>
      <c r="O339" s="404"/>
      <c r="P339" s="404"/>
      <c r="Q339" s="404"/>
      <c r="R339" s="404"/>
      <c r="S339" s="404"/>
      <c r="T339" s="404"/>
      <c r="U339" s="404"/>
      <c r="V339" s="404"/>
      <c r="W339" s="404"/>
      <c r="X339" s="404"/>
      <c r="Y339" s="404"/>
      <c r="Z339" s="404"/>
      <c r="AA339" s="404"/>
    </row>
    <row r="340">
      <c r="A340" s="404"/>
      <c r="B340" s="419"/>
      <c r="C340" s="404"/>
      <c r="D340" s="404"/>
      <c r="E340" s="404"/>
      <c r="F340" s="404"/>
      <c r="G340" s="404"/>
      <c r="H340" s="404"/>
      <c r="I340" s="404"/>
      <c r="J340" s="404"/>
      <c r="K340" s="404"/>
      <c r="L340" s="404"/>
      <c r="M340" s="404"/>
      <c r="N340" s="404"/>
      <c r="O340" s="404"/>
      <c r="P340" s="404"/>
      <c r="Q340" s="404"/>
      <c r="R340" s="404"/>
      <c r="S340" s="404"/>
      <c r="T340" s="404"/>
      <c r="U340" s="404"/>
      <c r="V340" s="404"/>
      <c r="W340" s="404"/>
      <c r="X340" s="404"/>
      <c r="Y340" s="404"/>
      <c r="Z340" s="404"/>
      <c r="AA340" s="404"/>
    </row>
    <row r="341">
      <c r="A341" s="404"/>
      <c r="B341" s="419"/>
      <c r="C341" s="404"/>
      <c r="D341" s="404"/>
      <c r="E341" s="404"/>
      <c r="F341" s="404"/>
      <c r="G341" s="404"/>
      <c r="H341" s="404"/>
      <c r="I341" s="404"/>
      <c r="J341" s="404"/>
      <c r="K341" s="404"/>
      <c r="L341" s="404"/>
      <c r="M341" s="404"/>
      <c r="N341" s="404"/>
      <c r="O341" s="404"/>
      <c r="P341" s="404"/>
      <c r="Q341" s="404"/>
      <c r="R341" s="404"/>
      <c r="S341" s="404"/>
      <c r="T341" s="404"/>
      <c r="U341" s="404"/>
      <c r="V341" s="404"/>
      <c r="W341" s="404"/>
      <c r="X341" s="404"/>
      <c r="Y341" s="404"/>
      <c r="Z341" s="404"/>
      <c r="AA341" s="404"/>
    </row>
    <row r="342">
      <c r="A342" s="404"/>
      <c r="B342" s="419"/>
      <c r="C342" s="404"/>
      <c r="D342" s="404"/>
      <c r="E342" s="404"/>
      <c r="F342" s="404"/>
      <c r="G342" s="404"/>
      <c r="H342" s="404"/>
      <c r="I342" s="404"/>
      <c r="J342" s="404"/>
      <c r="K342" s="404"/>
      <c r="L342" s="404"/>
      <c r="M342" s="404"/>
      <c r="N342" s="404"/>
      <c r="O342" s="404"/>
      <c r="P342" s="404"/>
      <c r="Q342" s="404"/>
      <c r="R342" s="404"/>
      <c r="S342" s="404"/>
      <c r="T342" s="404"/>
      <c r="U342" s="404"/>
      <c r="V342" s="404"/>
      <c r="W342" s="404"/>
      <c r="X342" s="404"/>
      <c r="Y342" s="404"/>
      <c r="Z342" s="404"/>
      <c r="AA342" s="404"/>
    </row>
    <row r="343">
      <c r="A343" s="404"/>
      <c r="B343" s="419"/>
      <c r="C343" s="404"/>
      <c r="D343" s="404"/>
      <c r="E343" s="404"/>
      <c r="F343" s="404"/>
      <c r="G343" s="404"/>
      <c r="H343" s="404"/>
      <c r="I343" s="404"/>
      <c r="J343" s="404"/>
      <c r="K343" s="404"/>
      <c r="L343" s="404"/>
      <c r="M343" s="404"/>
      <c r="N343" s="404"/>
      <c r="O343" s="404"/>
      <c r="P343" s="404"/>
      <c r="Q343" s="404"/>
      <c r="R343" s="404"/>
      <c r="S343" s="404"/>
      <c r="T343" s="404"/>
      <c r="U343" s="404"/>
      <c r="V343" s="404"/>
      <c r="W343" s="404"/>
      <c r="X343" s="404"/>
      <c r="Y343" s="404"/>
      <c r="Z343" s="404"/>
      <c r="AA343" s="404"/>
    </row>
    <row r="344">
      <c r="A344" s="404"/>
      <c r="B344" s="419"/>
      <c r="C344" s="404"/>
      <c r="D344" s="404"/>
      <c r="E344" s="404"/>
      <c r="F344" s="404"/>
      <c r="G344" s="404"/>
      <c r="H344" s="404"/>
      <c r="I344" s="404"/>
      <c r="J344" s="404"/>
      <c r="K344" s="404"/>
      <c r="L344" s="404"/>
      <c r="M344" s="404"/>
      <c r="N344" s="404"/>
      <c r="O344" s="404"/>
      <c r="P344" s="404"/>
      <c r="Q344" s="404"/>
      <c r="R344" s="404"/>
      <c r="S344" s="404"/>
      <c r="T344" s="404"/>
      <c r="U344" s="404"/>
      <c r="V344" s="404"/>
      <c r="W344" s="404"/>
      <c r="X344" s="404"/>
      <c r="Y344" s="404"/>
      <c r="Z344" s="404"/>
      <c r="AA344" s="404"/>
    </row>
    <row r="345">
      <c r="A345" s="404"/>
      <c r="B345" s="419"/>
      <c r="C345" s="404"/>
      <c r="D345" s="404"/>
      <c r="E345" s="404"/>
      <c r="F345" s="404"/>
      <c r="G345" s="404"/>
      <c r="H345" s="404"/>
      <c r="I345" s="404"/>
      <c r="J345" s="404"/>
      <c r="K345" s="404"/>
      <c r="L345" s="404"/>
      <c r="M345" s="404"/>
      <c r="N345" s="404"/>
      <c r="O345" s="404"/>
      <c r="P345" s="404"/>
      <c r="Q345" s="404"/>
      <c r="R345" s="404"/>
      <c r="S345" s="404"/>
      <c r="T345" s="404"/>
      <c r="U345" s="404"/>
      <c r="V345" s="404"/>
      <c r="W345" s="404"/>
      <c r="X345" s="404"/>
      <c r="Y345" s="404"/>
      <c r="Z345" s="404"/>
      <c r="AA345" s="404"/>
    </row>
    <row r="346">
      <c r="A346" s="404"/>
      <c r="B346" s="419"/>
      <c r="C346" s="404"/>
      <c r="D346" s="404"/>
      <c r="E346" s="404"/>
      <c r="F346" s="404"/>
      <c r="G346" s="404"/>
      <c r="H346" s="404"/>
      <c r="I346" s="404"/>
      <c r="J346" s="404"/>
      <c r="K346" s="404"/>
      <c r="L346" s="404"/>
      <c r="M346" s="404"/>
      <c r="N346" s="404"/>
      <c r="O346" s="404"/>
      <c r="P346" s="404"/>
      <c r="Q346" s="404"/>
      <c r="R346" s="404"/>
      <c r="S346" s="404"/>
      <c r="T346" s="404"/>
      <c r="U346" s="404"/>
      <c r="V346" s="404"/>
      <c r="W346" s="404"/>
      <c r="X346" s="404"/>
      <c r="Y346" s="404"/>
      <c r="Z346" s="404"/>
      <c r="AA346" s="404"/>
    </row>
    <row r="347">
      <c r="A347" s="404"/>
      <c r="B347" s="419"/>
      <c r="C347" s="404"/>
      <c r="D347" s="404"/>
      <c r="E347" s="404"/>
      <c r="F347" s="404"/>
      <c r="G347" s="404"/>
      <c r="H347" s="404"/>
      <c r="I347" s="404"/>
      <c r="J347" s="404"/>
      <c r="K347" s="404"/>
      <c r="L347" s="404"/>
      <c r="M347" s="404"/>
      <c r="N347" s="404"/>
      <c r="O347" s="404"/>
      <c r="P347" s="404"/>
      <c r="Q347" s="404"/>
      <c r="R347" s="404"/>
      <c r="S347" s="404"/>
      <c r="T347" s="404"/>
      <c r="U347" s="404"/>
      <c r="V347" s="404"/>
      <c r="W347" s="404"/>
      <c r="X347" s="404"/>
      <c r="Y347" s="404"/>
      <c r="Z347" s="404"/>
      <c r="AA347" s="404"/>
    </row>
    <row r="348">
      <c r="A348" s="404"/>
      <c r="B348" s="419"/>
      <c r="C348" s="404"/>
      <c r="D348" s="404"/>
      <c r="E348" s="404"/>
      <c r="F348" s="404"/>
      <c r="G348" s="404"/>
      <c r="H348" s="404"/>
      <c r="I348" s="404"/>
      <c r="J348" s="404"/>
      <c r="K348" s="404"/>
      <c r="L348" s="404"/>
      <c r="M348" s="404"/>
      <c r="N348" s="404"/>
      <c r="O348" s="404"/>
      <c r="P348" s="404"/>
      <c r="Q348" s="404"/>
      <c r="R348" s="404"/>
      <c r="S348" s="404"/>
      <c r="T348" s="404"/>
      <c r="U348" s="404"/>
      <c r="V348" s="404"/>
      <c r="W348" s="404"/>
      <c r="X348" s="404"/>
      <c r="Y348" s="404"/>
      <c r="Z348" s="404"/>
      <c r="AA348" s="404"/>
    </row>
    <row r="349">
      <c r="A349" s="404"/>
      <c r="B349" s="419"/>
      <c r="C349" s="404"/>
      <c r="D349" s="404"/>
      <c r="E349" s="404"/>
      <c r="F349" s="404"/>
      <c r="G349" s="404"/>
      <c r="H349" s="404"/>
      <c r="I349" s="404"/>
      <c r="J349" s="404"/>
      <c r="K349" s="404"/>
      <c r="L349" s="404"/>
      <c r="M349" s="404"/>
      <c r="N349" s="404"/>
      <c r="O349" s="404"/>
      <c r="P349" s="404"/>
      <c r="Q349" s="404"/>
      <c r="R349" s="404"/>
      <c r="S349" s="404"/>
      <c r="T349" s="404"/>
      <c r="U349" s="404"/>
      <c r="V349" s="404"/>
      <c r="W349" s="404"/>
      <c r="X349" s="404"/>
      <c r="Y349" s="404"/>
      <c r="Z349" s="404"/>
      <c r="AA349" s="404"/>
    </row>
    <row r="350">
      <c r="A350" s="404"/>
      <c r="B350" s="419"/>
      <c r="C350" s="404"/>
      <c r="D350" s="404"/>
      <c r="E350" s="404"/>
      <c r="F350" s="404"/>
      <c r="G350" s="404"/>
      <c r="H350" s="404"/>
      <c r="I350" s="404"/>
      <c r="J350" s="404"/>
      <c r="K350" s="404"/>
      <c r="L350" s="404"/>
      <c r="M350" s="404"/>
      <c r="N350" s="404"/>
      <c r="O350" s="404"/>
      <c r="P350" s="404"/>
      <c r="Q350" s="404"/>
      <c r="R350" s="404"/>
      <c r="S350" s="404"/>
      <c r="T350" s="404"/>
      <c r="U350" s="404"/>
      <c r="V350" s="404"/>
      <c r="W350" s="404"/>
      <c r="X350" s="404"/>
      <c r="Y350" s="404"/>
      <c r="Z350" s="404"/>
      <c r="AA350" s="404"/>
    </row>
    <row r="351">
      <c r="A351" s="404"/>
      <c r="B351" s="419"/>
      <c r="C351" s="404"/>
      <c r="D351" s="404"/>
      <c r="E351" s="404"/>
      <c r="F351" s="404"/>
      <c r="G351" s="404"/>
      <c r="H351" s="404"/>
      <c r="I351" s="404"/>
      <c r="J351" s="404"/>
      <c r="K351" s="404"/>
      <c r="L351" s="404"/>
      <c r="M351" s="404"/>
      <c r="N351" s="404"/>
      <c r="O351" s="404"/>
      <c r="P351" s="404"/>
      <c r="Q351" s="404"/>
      <c r="R351" s="404"/>
      <c r="S351" s="404"/>
      <c r="T351" s="404"/>
      <c r="U351" s="404"/>
      <c r="V351" s="404"/>
      <c r="W351" s="404"/>
      <c r="X351" s="404"/>
      <c r="Y351" s="404"/>
      <c r="Z351" s="404"/>
      <c r="AA351" s="404"/>
    </row>
    <row r="352">
      <c r="A352" s="404"/>
      <c r="B352" s="419"/>
      <c r="C352" s="404"/>
      <c r="D352" s="404"/>
      <c r="E352" s="404"/>
      <c r="F352" s="404"/>
      <c r="G352" s="404"/>
      <c r="H352" s="404"/>
      <c r="I352" s="404"/>
      <c r="J352" s="404"/>
      <c r="K352" s="404"/>
      <c r="L352" s="404"/>
      <c r="M352" s="404"/>
      <c r="N352" s="404"/>
      <c r="O352" s="404"/>
      <c r="P352" s="404"/>
      <c r="Q352" s="404"/>
      <c r="R352" s="404"/>
      <c r="S352" s="404"/>
      <c r="T352" s="404"/>
      <c r="U352" s="404"/>
      <c r="V352" s="404"/>
      <c r="W352" s="404"/>
      <c r="X352" s="404"/>
      <c r="Y352" s="404"/>
      <c r="Z352" s="404"/>
      <c r="AA352" s="404"/>
    </row>
    <row r="353">
      <c r="A353" s="404"/>
      <c r="B353" s="419"/>
      <c r="C353" s="404"/>
      <c r="D353" s="404"/>
      <c r="E353" s="404"/>
      <c r="F353" s="404"/>
      <c r="G353" s="404"/>
      <c r="H353" s="404"/>
      <c r="I353" s="404"/>
      <c r="J353" s="404"/>
      <c r="K353" s="404"/>
      <c r="L353" s="404"/>
      <c r="M353" s="404"/>
      <c r="N353" s="404"/>
      <c r="O353" s="404"/>
      <c r="P353" s="404"/>
      <c r="Q353" s="404"/>
      <c r="R353" s="404"/>
      <c r="S353" s="404"/>
      <c r="T353" s="404"/>
      <c r="U353" s="404"/>
      <c r="V353" s="404"/>
      <c r="W353" s="404"/>
      <c r="X353" s="404"/>
      <c r="Y353" s="404"/>
      <c r="Z353" s="404"/>
      <c r="AA353" s="404"/>
    </row>
    <row r="354">
      <c r="A354" s="404"/>
      <c r="B354" s="419"/>
      <c r="C354" s="404"/>
      <c r="D354" s="404"/>
      <c r="E354" s="404"/>
      <c r="F354" s="404"/>
      <c r="G354" s="404"/>
      <c r="H354" s="404"/>
      <c r="I354" s="404"/>
      <c r="J354" s="404"/>
      <c r="K354" s="404"/>
      <c r="L354" s="404"/>
      <c r="M354" s="404"/>
      <c r="N354" s="404"/>
      <c r="O354" s="404"/>
      <c r="P354" s="404"/>
      <c r="Q354" s="404"/>
      <c r="R354" s="404"/>
      <c r="S354" s="404"/>
      <c r="T354" s="404"/>
      <c r="U354" s="404"/>
      <c r="V354" s="404"/>
      <c r="W354" s="404"/>
      <c r="X354" s="404"/>
      <c r="Y354" s="404"/>
      <c r="Z354" s="404"/>
      <c r="AA354" s="404"/>
    </row>
    <row r="355">
      <c r="A355" s="404"/>
      <c r="B355" s="419"/>
      <c r="C355" s="404"/>
      <c r="D355" s="404"/>
      <c r="E355" s="404"/>
      <c r="F355" s="404"/>
      <c r="G355" s="404"/>
      <c r="H355" s="404"/>
      <c r="I355" s="404"/>
      <c r="J355" s="404"/>
      <c r="K355" s="404"/>
      <c r="L355" s="404"/>
      <c r="M355" s="404"/>
      <c r="N355" s="404"/>
      <c r="O355" s="404"/>
      <c r="P355" s="404"/>
      <c r="Q355" s="404"/>
      <c r="R355" s="404"/>
      <c r="S355" s="404"/>
      <c r="T355" s="404"/>
      <c r="U355" s="404"/>
      <c r="V355" s="404"/>
      <c r="W355" s="404"/>
      <c r="X355" s="404"/>
      <c r="Y355" s="404"/>
      <c r="Z355" s="404"/>
      <c r="AA355" s="404"/>
    </row>
    <row r="356">
      <c r="A356" s="404"/>
      <c r="B356" s="419"/>
      <c r="C356" s="404"/>
      <c r="D356" s="404"/>
      <c r="E356" s="404"/>
      <c r="F356" s="404"/>
      <c r="G356" s="404"/>
      <c r="H356" s="404"/>
      <c r="I356" s="404"/>
      <c r="J356" s="404"/>
      <c r="K356" s="404"/>
      <c r="L356" s="404"/>
      <c r="M356" s="404"/>
      <c r="N356" s="404"/>
      <c r="O356" s="404"/>
      <c r="P356" s="404"/>
      <c r="Q356" s="404"/>
      <c r="R356" s="404"/>
      <c r="S356" s="404"/>
      <c r="T356" s="404"/>
      <c r="U356" s="404"/>
      <c r="V356" s="404"/>
      <c r="W356" s="404"/>
      <c r="X356" s="404"/>
      <c r="Y356" s="404"/>
      <c r="Z356" s="404"/>
      <c r="AA356" s="404"/>
    </row>
    <row r="357">
      <c r="A357" s="404"/>
      <c r="B357" s="419"/>
      <c r="C357" s="404"/>
      <c r="D357" s="404"/>
      <c r="E357" s="404"/>
      <c r="F357" s="404"/>
      <c r="G357" s="404"/>
      <c r="H357" s="404"/>
      <c r="I357" s="404"/>
      <c r="J357" s="404"/>
      <c r="K357" s="404"/>
      <c r="L357" s="404"/>
      <c r="M357" s="404"/>
      <c r="N357" s="404"/>
      <c r="O357" s="404"/>
      <c r="P357" s="404"/>
      <c r="Q357" s="404"/>
      <c r="R357" s="404"/>
      <c r="S357" s="404"/>
      <c r="T357" s="404"/>
      <c r="U357" s="404"/>
      <c r="V357" s="404"/>
      <c r="W357" s="404"/>
      <c r="X357" s="404"/>
      <c r="Y357" s="404"/>
      <c r="Z357" s="404"/>
      <c r="AA357" s="404"/>
    </row>
    <row r="358">
      <c r="A358" s="404"/>
      <c r="B358" s="419"/>
      <c r="C358" s="404"/>
      <c r="D358" s="404"/>
      <c r="E358" s="404"/>
      <c r="F358" s="404"/>
      <c r="G358" s="404"/>
      <c r="H358" s="404"/>
      <c r="I358" s="404"/>
      <c r="J358" s="404"/>
      <c r="K358" s="404"/>
      <c r="L358" s="404"/>
      <c r="M358" s="404"/>
      <c r="N358" s="404"/>
      <c r="O358" s="404"/>
      <c r="P358" s="404"/>
      <c r="Q358" s="404"/>
      <c r="R358" s="404"/>
      <c r="S358" s="404"/>
      <c r="T358" s="404"/>
      <c r="U358" s="404"/>
      <c r="V358" s="404"/>
      <c r="W358" s="404"/>
      <c r="X358" s="404"/>
      <c r="Y358" s="404"/>
      <c r="Z358" s="404"/>
      <c r="AA358" s="404"/>
    </row>
    <row r="359">
      <c r="A359" s="404"/>
      <c r="B359" s="419"/>
      <c r="C359" s="404"/>
      <c r="D359" s="404"/>
      <c r="E359" s="404"/>
      <c r="F359" s="404"/>
      <c r="G359" s="404"/>
      <c r="H359" s="404"/>
      <c r="I359" s="404"/>
      <c r="J359" s="404"/>
      <c r="K359" s="404"/>
      <c r="L359" s="404"/>
      <c r="M359" s="404"/>
      <c r="N359" s="404"/>
      <c r="O359" s="404"/>
      <c r="P359" s="404"/>
      <c r="Q359" s="404"/>
      <c r="R359" s="404"/>
      <c r="S359" s="404"/>
      <c r="T359" s="404"/>
      <c r="U359" s="404"/>
      <c r="V359" s="404"/>
      <c r="W359" s="404"/>
      <c r="X359" s="404"/>
      <c r="Y359" s="404"/>
      <c r="Z359" s="404"/>
      <c r="AA359" s="404"/>
    </row>
    <row r="360">
      <c r="A360" s="404"/>
      <c r="B360" s="419"/>
      <c r="C360" s="404"/>
      <c r="D360" s="404"/>
      <c r="E360" s="404"/>
      <c r="F360" s="404"/>
      <c r="G360" s="404"/>
      <c r="H360" s="404"/>
      <c r="I360" s="404"/>
      <c r="J360" s="404"/>
      <c r="K360" s="404"/>
      <c r="L360" s="404"/>
      <c r="M360" s="404"/>
      <c r="N360" s="404"/>
      <c r="O360" s="404"/>
      <c r="P360" s="404"/>
      <c r="Q360" s="404"/>
      <c r="R360" s="404"/>
      <c r="S360" s="404"/>
      <c r="T360" s="404"/>
      <c r="U360" s="404"/>
      <c r="V360" s="404"/>
      <c r="W360" s="404"/>
      <c r="X360" s="404"/>
      <c r="Y360" s="404"/>
      <c r="Z360" s="404"/>
      <c r="AA360" s="404"/>
    </row>
    <row r="361">
      <c r="A361" s="404"/>
      <c r="B361" s="419"/>
      <c r="C361" s="404"/>
      <c r="D361" s="404"/>
      <c r="E361" s="404"/>
      <c r="F361" s="404"/>
      <c r="G361" s="404"/>
      <c r="H361" s="404"/>
      <c r="I361" s="404"/>
      <c r="J361" s="404"/>
      <c r="K361" s="404"/>
      <c r="L361" s="404"/>
      <c r="M361" s="404"/>
      <c r="N361" s="404"/>
      <c r="O361" s="404"/>
      <c r="P361" s="404"/>
      <c r="Q361" s="404"/>
      <c r="R361" s="404"/>
      <c r="S361" s="404"/>
      <c r="T361" s="404"/>
      <c r="U361" s="404"/>
      <c r="V361" s="404"/>
      <c r="W361" s="404"/>
      <c r="X361" s="404"/>
      <c r="Y361" s="404"/>
      <c r="Z361" s="404"/>
      <c r="AA361" s="404"/>
    </row>
    <row r="362">
      <c r="A362" s="404"/>
      <c r="B362" s="419"/>
      <c r="C362" s="404"/>
      <c r="D362" s="404"/>
      <c r="E362" s="404"/>
      <c r="F362" s="404"/>
      <c r="G362" s="404"/>
      <c r="H362" s="404"/>
      <c r="I362" s="404"/>
      <c r="J362" s="404"/>
      <c r="K362" s="404"/>
      <c r="L362" s="404"/>
      <c r="M362" s="404"/>
      <c r="N362" s="404"/>
      <c r="O362" s="404"/>
      <c r="P362" s="404"/>
      <c r="Q362" s="404"/>
      <c r="R362" s="404"/>
      <c r="S362" s="404"/>
      <c r="T362" s="404"/>
      <c r="U362" s="404"/>
      <c r="V362" s="404"/>
      <c r="W362" s="404"/>
      <c r="X362" s="404"/>
      <c r="Y362" s="404"/>
      <c r="Z362" s="404"/>
      <c r="AA362" s="404"/>
    </row>
    <row r="363">
      <c r="A363" s="404"/>
      <c r="B363" s="419"/>
      <c r="C363" s="404"/>
      <c r="D363" s="404"/>
      <c r="E363" s="404"/>
      <c r="F363" s="404"/>
      <c r="G363" s="404"/>
      <c r="H363" s="404"/>
      <c r="I363" s="404"/>
      <c r="J363" s="404"/>
      <c r="K363" s="404"/>
      <c r="L363" s="404"/>
      <c r="M363" s="404"/>
      <c r="N363" s="404"/>
      <c r="O363" s="404"/>
      <c r="P363" s="404"/>
      <c r="Q363" s="404"/>
      <c r="R363" s="404"/>
      <c r="S363" s="404"/>
      <c r="T363" s="404"/>
      <c r="U363" s="404"/>
      <c r="V363" s="404"/>
      <c r="W363" s="404"/>
      <c r="X363" s="404"/>
      <c r="Y363" s="404"/>
      <c r="Z363" s="404"/>
      <c r="AA363" s="404"/>
    </row>
    <row r="364">
      <c r="A364" s="404"/>
      <c r="B364" s="419"/>
      <c r="C364" s="404"/>
      <c r="D364" s="404"/>
      <c r="E364" s="404"/>
      <c r="F364" s="404"/>
      <c r="G364" s="404"/>
      <c r="H364" s="404"/>
      <c r="I364" s="404"/>
      <c r="J364" s="404"/>
      <c r="K364" s="404"/>
      <c r="L364" s="404"/>
      <c r="M364" s="404"/>
      <c r="N364" s="404"/>
      <c r="O364" s="404"/>
      <c r="P364" s="404"/>
      <c r="Q364" s="404"/>
      <c r="R364" s="404"/>
      <c r="S364" s="404"/>
      <c r="T364" s="404"/>
      <c r="U364" s="404"/>
      <c r="V364" s="404"/>
      <c r="W364" s="404"/>
      <c r="X364" s="404"/>
      <c r="Y364" s="404"/>
      <c r="Z364" s="404"/>
      <c r="AA364" s="404"/>
    </row>
    <row r="365">
      <c r="A365" s="404"/>
      <c r="B365" s="419"/>
      <c r="C365" s="404"/>
      <c r="D365" s="404"/>
      <c r="E365" s="404"/>
      <c r="F365" s="404"/>
      <c r="G365" s="404"/>
      <c r="H365" s="404"/>
      <c r="I365" s="404"/>
      <c r="J365" s="404"/>
      <c r="K365" s="404"/>
      <c r="L365" s="404"/>
      <c r="M365" s="404"/>
      <c r="N365" s="404"/>
      <c r="O365" s="404"/>
      <c r="P365" s="404"/>
      <c r="Q365" s="404"/>
      <c r="R365" s="404"/>
      <c r="S365" s="404"/>
      <c r="T365" s="404"/>
      <c r="U365" s="404"/>
      <c r="V365" s="404"/>
      <c r="W365" s="404"/>
      <c r="X365" s="404"/>
      <c r="Y365" s="404"/>
      <c r="Z365" s="404"/>
      <c r="AA365" s="404"/>
    </row>
    <row r="366">
      <c r="A366" s="404"/>
      <c r="B366" s="419"/>
      <c r="C366" s="404"/>
      <c r="D366" s="404"/>
      <c r="E366" s="404"/>
      <c r="F366" s="404"/>
      <c r="G366" s="404"/>
      <c r="H366" s="404"/>
      <c r="I366" s="404"/>
      <c r="J366" s="404"/>
      <c r="K366" s="404"/>
      <c r="L366" s="404"/>
      <c r="M366" s="404"/>
      <c r="N366" s="404"/>
      <c r="O366" s="404"/>
      <c r="P366" s="404"/>
      <c r="Q366" s="404"/>
      <c r="R366" s="404"/>
      <c r="S366" s="404"/>
      <c r="T366" s="404"/>
      <c r="U366" s="404"/>
      <c r="V366" s="404"/>
      <c r="W366" s="404"/>
      <c r="X366" s="404"/>
      <c r="Y366" s="404"/>
      <c r="Z366" s="404"/>
      <c r="AA366" s="404"/>
    </row>
    <row r="367">
      <c r="A367" s="404"/>
      <c r="B367" s="419"/>
      <c r="C367" s="404"/>
      <c r="D367" s="404"/>
      <c r="E367" s="404"/>
      <c r="F367" s="404"/>
      <c r="G367" s="404"/>
      <c r="H367" s="404"/>
      <c r="I367" s="404"/>
      <c r="J367" s="404"/>
      <c r="K367" s="404"/>
      <c r="L367" s="404"/>
      <c r="M367" s="404"/>
      <c r="N367" s="404"/>
      <c r="O367" s="404"/>
      <c r="P367" s="404"/>
      <c r="Q367" s="404"/>
      <c r="R367" s="404"/>
      <c r="S367" s="404"/>
      <c r="T367" s="404"/>
      <c r="U367" s="404"/>
      <c r="V367" s="404"/>
      <c r="W367" s="404"/>
      <c r="X367" s="404"/>
      <c r="Y367" s="404"/>
      <c r="Z367" s="404"/>
      <c r="AA367" s="404"/>
    </row>
    <row r="368">
      <c r="A368" s="404"/>
      <c r="B368" s="419"/>
      <c r="C368" s="404"/>
      <c r="D368" s="404"/>
      <c r="E368" s="404"/>
      <c r="F368" s="404"/>
      <c r="G368" s="404"/>
      <c r="H368" s="404"/>
      <c r="I368" s="404"/>
      <c r="J368" s="404"/>
      <c r="K368" s="404"/>
      <c r="L368" s="404"/>
      <c r="M368" s="404"/>
      <c r="N368" s="404"/>
      <c r="O368" s="404"/>
      <c r="P368" s="404"/>
      <c r="Q368" s="404"/>
      <c r="R368" s="404"/>
      <c r="S368" s="404"/>
      <c r="T368" s="404"/>
      <c r="U368" s="404"/>
      <c r="V368" s="404"/>
      <c r="W368" s="404"/>
      <c r="X368" s="404"/>
      <c r="Y368" s="404"/>
      <c r="Z368" s="404"/>
      <c r="AA368" s="404"/>
    </row>
    <row r="369">
      <c r="A369" s="404"/>
      <c r="B369" s="419"/>
      <c r="C369" s="404"/>
      <c r="D369" s="404"/>
      <c r="E369" s="404"/>
      <c r="F369" s="404"/>
      <c r="G369" s="404"/>
      <c r="H369" s="404"/>
      <c r="I369" s="404"/>
      <c r="J369" s="404"/>
      <c r="K369" s="404"/>
      <c r="L369" s="404"/>
      <c r="M369" s="404"/>
      <c r="N369" s="404"/>
      <c r="O369" s="404"/>
      <c r="P369" s="404"/>
      <c r="Q369" s="404"/>
      <c r="R369" s="404"/>
      <c r="S369" s="404"/>
      <c r="T369" s="404"/>
      <c r="U369" s="404"/>
      <c r="V369" s="404"/>
      <c r="W369" s="404"/>
      <c r="X369" s="404"/>
      <c r="Y369" s="404"/>
      <c r="Z369" s="404"/>
      <c r="AA369" s="404"/>
    </row>
    <row r="370">
      <c r="A370" s="404"/>
      <c r="B370" s="419"/>
      <c r="C370" s="404"/>
      <c r="D370" s="404"/>
      <c r="E370" s="404"/>
      <c r="F370" s="404"/>
      <c r="G370" s="404"/>
      <c r="H370" s="404"/>
      <c r="I370" s="404"/>
      <c r="J370" s="404"/>
      <c r="K370" s="404"/>
      <c r="L370" s="404"/>
      <c r="M370" s="404"/>
      <c r="N370" s="404"/>
      <c r="O370" s="404"/>
      <c r="P370" s="404"/>
      <c r="Q370" s="404"/>
      <c r="R370" s="404"/>
      <c r="S370" s="404"/>
      <c r="T370" s="404"/>
      <c r="U370" s="404"/>
      <c r="V370" s="404"/>
      <c r="W370" s="404"/>
      <c r="X370" s="404"/>
      <c r="Y370" s="404"/>
      <c r="Z370" s="404"/>
      <c r="AA370" s="404"/>
    </row>
    <row r="371">
      <c r="A371" s="404"/>
      <c r="B371" s="419"/>
      <c r="C371" s="404"/>
      <c r="D371" s="404"/>
      <c r="E371" s="404"/>
      <c r="F371" s="404"/>
      <c r="G371" s="404"/>
      <c r="H371" s="404"/>
      <c r="I371" s="404"/>
      <c r="J371" s="404"/>
      <c r="K371" s="404"/>
      <c r="L371" s="404"/>
      <c r="M371" s="404"/>
      <c r="N371" s="404"/>
      <c r="O371" s="404"/>
      <c r="P371" s="404"/>
      <c r="Q371" s="404"/>
      <c r="R371" s="404"/>
      <c r="S371" s="404"/>
      <c r="T371" s="404"/>
      <c r="U371" s="404"/>
      <c r="V371" s="404"/>
      <c r="W371" s="404"/>
      <c r="X371" s="404"/>
      <c r="Y371" s="404"/>
      <c r="Z371" s="404"/>
      <c r="AA371" s="404"/>
    </row>
    <row r="372">
      <c r="A372" s="404"/>
      <c r="B372" s="419"/>
      <c r="C372" s="404"/>
      <c r="D372" s="404"/>
      <c r="E372" s="404"/>
      <c r="F372" s="404"/>
      <c r="G372" s="404"/>
      <c r="H372" s="404"/>
      <c r="I372" s="404"/>
      <c r="J372" s="404"/>
      <c r="K372" s="404"/>
      <c r="L372" s="404"/>
      <c r="M372" s="404"/>
      <c r="N372" s="404"/>
      <c r="O372" s="404"/>
      <c r="P372" s="404"/>
      <c r="Q372" s="404"/>
      <c r="R372" s="404"/>
      <c r="S372" s="404"/>
      <c r="T372" s="404"/>
      <c r="U372" s="404"/>
      <c r="V372" s="404"/>
      <c r="W372" s="404"/>
      <c r="X372" s="404"/>
      <c r="Y372" s="404"/>
      <c r="Z372" s="404"/>
      <c r="AA372" s="404"/>
    </row>
    <row r="373">
      <c r="A373" s="404"/>
      <c r="B373" s="419"/>
      <c r="C373" s="404"/>
      <c r="D373" s="404"/>
      <c r="E373" s="404"/>
      <c r="F373" s="404"/>
      <c r="G373" s="404"/>
      <c r="H373" s="404"/>
      <c r="I373" s="404"/>
      <c r="J373" s="404"/>
      <c r="K373" s="404"/>
      <c r="L373" s="404"/>
      <c r="M373" s="404"/>
      <c r="N373" s="404"/>
      <c r="O373" s="404"/>
      <c r="P373" s="404"/>
      <c r="Q373" s="404"/>
      <c r="R373" s="404"/>
      <c r="S373" s="404"/>
      <c r="T373" s="404"/>
      <c r="U373" s="404"/>
      <c r="V373" s="404"/>
      <c r="W373" s="404"/>
      <c r="X373" s="404"/>
      <c r="Y373" s="404"/>
      <c r="Z373" s="404"/>
      <c r="AA373" s="404"/>
    </row>
    <row r="374">
      <c r="A374" s="404"/>
      <c r="B374" s="419"/>
      <c r="C374" s="404"/>
      <c r="D374" s="404"/>
      <c r="E374" s="404"/>
      <c r="F374" s="404"/>
      <c r="G374" s="404"/>
      <c r="H374" s="404"/>
      <c r="I374" s="404"/>
      <c r="J374" s="404"/>
      <c r="K374" s="404"/>
      <c r="L374" s="404"/>
      <c r="M374" s="404"/>
      <c r="N374" s="404"/>
      <c r="O374" s="404"/>
      <c r="P374" s="404"/>
      <c r="Q374" s="404"/>
      <c r="R374" s="404"/>
      <c r="S374" s="404"/>
      <c r="T374" s="404"/>
      <c r="U374" s="404"/>
      <c r="V374" s="404"/>
      <c r="W374" s="404"/>
      <c r="X374" s="404"/>
      <c r="Y374" s="404"/>
      <c r="Z374" s="404"/>
      <c r="AA374" s="404"/>
    </row>
    <row r="375">
      <c r="A375" s="404"/>
      <c r="B375" s="419"/>
      <c r="C375" s="404"/>
      <c r="D375" s="404"/>
      <c r="E375" s="404"/>
      <c r="F375" s="404"/>
      <c r="G375" s="404"/>
      <c r="H375" s="404"/>
      <c r="I375" s="404"/>
      <c r="J375" s="404"/>
      <c r="K375" s="404"/>
      <c r="L375" s="404"/>
      <c r="M375" s="404"/>
      <c r="N375" s="404"/>
      <c r="O375" s="404"/>
      <c r="P375" s="404"/>
      <c r="Q375" s="404"/>
      <c r="R375" s="404"/>
      <c r="S375" s="404"/>
      <c r="T375" s="404"/>
      <c r="U375" s="404"/>
      <c r="V375" s="404"/>
      <c r="W375" s="404"/>
      <c r="X375" s="404"/>
      <c r="Y375" s="404"/>
      <c r="Z375" s="404"/>
      <c r="AA375" s="404"/>
    </row>
    <row r="376">
      <c r="A376" s="404"/>
      <c r="B376" s="419"/>
      <c r="C376" s="404"/>
      <c r="D376" s="404"/>
      <c r="E376" s="404"/>
      <c r="F376" s="404"/>
      <c r="G376" s="404"/>
      <c r="H376" s="404"/>
      <c r="I376" s="404"/>
      <c r="J376" s="404"/>
      <c r="K376" s="404"/>
      <c r="L376" s="404"/>
      <c r="M376" s="404"/>
      <c r="N376" s="404"/>
      <c r="O376" s="404"/>
      <c r="P376" s="404"/>
      <c r="Q376" s="404"/>
      <c r="R376" s="404"/>
      <c r="S376" s="404"/>
      <c r="T376" s="404"/>
      <c r="U376" s="404"/>
      <c r="V376" s="404"/>
      <c r="W376" s="404"/>
      <c r="X376" s="404"/>
      <c r="Y376" s="404"/>
      <c r="Z376" s="404"/>
      <c r="AA376" s="404"/>
    </row>
    <row r="377">
      <c r="A377" s="404"/>
      <c r="B377" s="419"/>
      <c r="C377" s="404"/>
      <c r="D377" s="404"/>
      <c r="E377" s="404"/>
      <c r="F377" s="404"/>
      <c r="G377" s="404"/>
      <c r="H377" s="404"/>
      <c r="I377" s="404"/>
      <c r="J377" s="404"/>
      <c r="K377" s="404"/>
      <c r="L377" s="404"/>
      <c r="M377" s="404"/>
      <c r="N377" s="404"/>
      <c r="O377" s="404"/>
      <c r="P377" s="404"/>
      <c r="Q377" s="404"/>
      <c r="R377" s="404"/>
      <c r="S377" s="404"/>
      <c r="T377" s="404"/>
      <c r="U377" s="404"/>
      <c r="V377" s="404"/>
      <c r="W377" s="404"/>
      <c r="X377" s="404"/>
      <c r="Y377" s="404"/>
      <c r="Z377" s="404"/>
      <c r="AA377" s="404"/>
    </row>
    <row r="378">
      <c r="A378" s="404"/>
      <c r="B378" s="419"/>
      <c r="C378" s="404"/>
      <c r="D378" s="404"/>
      <c r="E378" s="404"/>
      <c r="F378" s="404"/>
      <c r="G378" s="404"/>
      <c r="H378" s="404"/>
      <c r="I378" s="404"/>
      <c r="J378" s="404"/>
      <c r="K378" s="404"/>
      <c r="L378" s="404"/>
      <c r="M378" s="404"/>
      <c r="N378" s="404"/>
      <c r="O378" s="404"/>
      <c r="P378" s="404"/>
      <c r="Q378" s="404"/>
      <c r="R378" s="404"/>
      <c r="S378" s="404"/>
      <c r="T378" s="404"/>
      <c r="U378" s="404"/>
      <c r="V378" s="404"/>
      <c r="W378" s="404"/>
      <c r="X378" s="404"/>
      <c r="Y378" s="404"/>
      <c r="Z378" s="404"/>
      <c r="AA378" s="404"/>
    </row>
    <row r="379">
      <c r="A379" s="404"/>
      <c r="B379" s="419"/>
      <c r="C379" s="404"/>
      <c r="D379" s="404"/>
      <c r="E379" s="404"/>
      <c r="F379" s="404"/>
      <c r="G379" s="404"/>
      <c r="H379" s="404"/>
      <c r="I379" s="404"/>
      <c r="J379" s="404"/>
      <c r="K379" s="404"/>
      <c r="L379" s="404"/>
      <c r="M379" s="404"/>
      <c r="N379" s="404"/>
      <c r="O379" s="404"/>
      <c r="P379" s="404"/>
      <c r="Q379" s="404"/>
      <c r="R379" s="404"/>
      <c r="S379" s="404"/>
      <c r="T379" s="404"/>
      <c r="U379" s="404"/>
      <c r="V379" s="404"/>
      <c r="W379" s="404"/>
      <c r="X379" s="404"/>
      <c r="Y379" s="404"/>
      <c r="Z379" s="404"/>
      <c r="AA379" s="404"/>
    </row>
    <row r="380">
      <c r="A380" s="404"/>
      <c r="B380" s="419"/>
      <c r="C380" s="404"/>
      <c r="D380" s="404"/>
      <c r="E380" s="404"/>
      <c r="F380" s="404"/>
      <c r="G380" s="404"/>
      <c r="H380" s="404"/>
      <c r="I380" s="404"/>
      <c r="J380" s="404"/>
      <c r="K380" s="404"/>
      <c r="L380" s="404"/>
      <c r="M380" s="404"/>
      <c r="N380" s="404"/>
      <c r="O380" s="404"/>
      <c r="P380" s="404"/>
      <c r="Q380" s="404"/>
      <c r="R380" s="404"/>
      <c r="S380" s="404"/>
      <c r="T380" s="404"/>
      <c r="U380" s="404"/>
      <c r="V380" s="404"/>
      <c r="W380" s="404"/>
      <c r="X380" s="404"/>
      <c r="Y380" s="404"/>
      <c r="Z380" s="404"/>
      <c r="AA380" s="404"/>
    </row>
    <row r="381">
      <c r="A381" s="404"/>
      <c r="B381" s="419"/>
      <c r="C381" s="404"/>
      <c r="D381" s="404"/>
      <c r="E381" s="404"/>
      <c r="F381" s="404"/>
      <c r="G381" s="404"/>
      <c r="H381" s="404"/>
      <c r="I381" s="404"/>
      <c r="J381" s="404"/>
      <c r="K381" s="404"/>
      <c r="L381" s="404"/>
      <c r="M381" s="404"/>
      <c r="N381" s="404"/>
      <c r="O381" s="404"/>
      <c r="P381" s="404"/>
      <c r="Q381" s="404"/>
      <c r="R381" s="404"/>
      <c r="S381" s="404"/>
      <c r="T381" s="404"/>
      <c r="U381" s="404"/>
      <c r="V381" s="404"/>
      <c r="W381" s="404"/>
      <c r="X381" s="404"/>
      <c r="Y381" s="404"/>
      <c r="Z381" s="404"/>
      <c r="AA381" s="404"/>
    </row>
    <row r="382">
      <c r="A382" s="404"/>
      <c r="B382" s="419"/>
      <c r="C382" s="404"/>
      <c r="D382" s="404"/>
      <c r="E382" s="404"/>
      <c r="F382" s="404"/>
      <c r="G382" s="404"/>
      <c r="H382" s="404"/>
      <c r="I382" s="404"/>
      <c r="J382" s="404"/>
      <c r="K382" s="404"/>
      <c r="L382" s="404"/>
      <c r="M382" s="404"/>
      <c r="N382" s="404"/>
      <c r="O382" s="404"/>
      <c r="P382" s="404"/>
      <c r="Q382" s="404"/>
      <c r="R382" s="404"/>
      <c r="S382" s="404"/>
      <c r="T382" s="404"/>
      <c r="U382" s="404"/>
      <c r="V382" s="404"/>
      <c r="W382" s="404"/>
      <c r="X382" s="404"/>
      <c r="Y382" s="404"/>
      <c r="Z382" s="404"/>
      <c r="AA382" s="404"/>
    </row>
    <row r="383">
      <c r="A383" s="404"/>
      <c r="B383" s="419"/>
      <c r="C383" s="404"/>
      <c r="D383" s="404"/>
      <c r="E383" s="404"/>
      <c r="F383" s="404"/>
      <c r="G383" s="404"/>
      <c r="H383" s="404"/>
      <c r="I383" s="404"/>
      <c r="J383" s="404"/>
      <c r="K383" s="404"/>
      <c r="L383" s="404"/>
      <c r="M383" s="404"/>
      <c r="N383" s="404"/>
      <c r="O383" s="404"/>
      <c r="P383" s="404"/>
      <c r="Q383" s="404"/>
      <c r="R383" s="404"/>
      <c r="S383" s="404"/>
      <c r="T383" s="404"/>
      <c r="U383" s="404"/>
      <c r="V383" s="404"/>
      <c r="W383" s="404"/>
      <c r="X383" s="404"/>
      <c r="Y383" s="404"/>
      <c r="Z383" s="404"/>
      <c r="AA383" s="404"/>
    </row>
    <row r="384">
      <c r="A384" s="404"/>
      <c r="B384" s="419"/>
      <c r="C384" s="404"/>
      <c r="D384" s="404"/>
      <c r="E384" s="404"/>
      <c r="F384" s="404"/>
      <c r="G384" s="404"/>
      <c r="H384" s="404"/>
      <c r="I384" s="404"/>
      <c r="J384" s="404"/>
      <c r="K384" s="404"/>
      <c r="L384" s="404"/>
      <c r="M384" s="404"/>
      <c r="N384" s="404"/>
      <c r="O384" s="404"/>
      <c r="P384" s="404"/>
      <c r="Q384" s="404"/>
      <c r="R384" s="404"/>
      <c r="S384" s="404"/>
      <c r="T384" s="404"/>
      <c r="U384" s="404"/>
      <c r="V384" s="404"/>
      <c r="W384" s="404"/>
      <c r="X384" s="404"/>
      <c r="Y384" s="404"/>
      <c r="Z384" s="404"/>
      <c r="AA384" s="404"/>
    </row>
    <row r="385">
      <c r="A385" s="404"/>
      <c r="B385" s="419"/>
      <c r="C385" s="404"/>
      <c r="D385" s="404"/>
      <c r="E385" s="404"/>
      <c r="F385" s="404"/>
      <c r="G385" s="404"/>
      <c r="H385" s="404"/>
      <c r="I385" s="404"/>
      <c r="J385" s="404"/>
      <c r="K385" s="404"/>
      <c r="L385" s="404"/>
      <c r="M385" s="404"/>
      <c r="N385" s="404"/>
      <c r="O385" s="404"/>
      <c r="P385" s="404"/>
      <c r="Q385" s="404"/>
      <c r="R385" s="404"/>
      <c r="S385" s="404"/>
      <c r="T385" s="404"/>
      <c r="U385" s="404"/>
      <c r="V385" s="404"/>
      <c r="W385" s="404"/>
      <c r="X385" s="404"/>
      <c r="Y385" s="404"/>
      <c r="Z385" s="404"/>
      <c r="AA385" s="404"/>
    </row>
    <row r="386">
      <c r="A386" s="404"/>
      <c r="B386" s="419"/>
      <c r="C386" s="404"/>
      <c r="D386" s="404"/>
      <c r="E386" s="404"/>
      <c r="F386" s="404"/>
      <c r="G386" s="404"/>
      <c r="H386" s="404"/>
      <c r="I386" s="404"/>
      <c r="J386" s="404"/>
      <c r="K386" s="404"/>
      <c r="L386" s="404"/>
      <c r="M386" s="404"/>
      <c r="N386" s="404"/>
      <c r="O386" s="404"/>
      <c r="P386" s="404"/>
      <c r="Q386" s="404"/>
      <c r="R386" s="404"/>
      <c r="S386" s="404"/>
      <c r="T386" s="404"/>
      <c r="U386" s="404"/>
      <c r="V386" s="404"/>
      <c r="W386" s="404"/>
      <c r="X386" s="404"/>
      <c r="Y386" s="404"/>
      <c r="Z386" s="404"/>
      <c r="AA386" s="404"/>
    </row>
    <row r="387">
      <c r="A387" s="404"/>
      <c r="B387" s="419"/>
      <c r="C387" s="404"/>
      <c r="D387" s="404"/>
      <c r="E387" s="404"/>
      <c r="F387" s="404"/>
      <c r="G387" s="404"/>
      <c r="H387" s="404"/>
      <c r="I387" s="404"/>
      <c r="J387" s="404"/>
      <c r="K387" s="404"/>
      <c r="L387" s="404"/>
      <c r="M387" s="404"/>
      <c r="N387" s="404"/>
      <c r="O387" s="404"/>
      <c r="P387" s="404"/>
      <c r="Q387" s="404"/>
      <c r="R387" s="404"/>
      <c r="S387" s="404"/>
      <c r="T387" s="404"/>
      <c r="U387" s="404"/>
      <c r="V387" s="404"/>
      <c r="W387" s="404"/>
      <c r="X387" s="404"/>
      <c r="Y387" s="404"/>
      <c r="Z387" s="404"/>
      <c r="AA387" s="404"/>
    </row>
    <row r="388">
      <c r="A388" s="404"/>
      <c r="B388" s="419"/>
      <c r="C388" s="404"/>
      <c r="D388" s="404"/>
      <c r="E388" s="404"/>
      <c r="F388" s="404"/>
      <c r="G388" s="404"/>
      <c r="H388" s="404"/>
      <c r="I388" s="404"/>
      <c r="J388" s="404"/>
      <c r="K388" s="404"/>
      <c r="L388" s="404"/>
      <c r="M388" s="404"/>
      <c r="N388" s="404"/>
      <c r="O388" s="404"/>
      <c r="P388" s="404"/>
      <c r="Q388" s="404"/>
      <c r="R388" s="404"/>
      <c r="S388" s="404"/>
      <c r="T388" s="404"/>
      <c r="U388" s="404"/>
      <c r="V388" s="404"/>
      <c r="W388" s="404"/>
      <c r="X388" s="404"/>
      <c r="Y388" s="404"/>
      <c r="Z388" s="404"/>
      <c r="AA388" s="404"/>
    </row>
    <row r="389">
      <c r="A389" s="404"/>
      <c r="B389" s="419"/>
      <c r="C389" s="404"/>
      <c r="D389" s="404"/>
      <c r="E389" s="404"/>
      <c r="F389" s="404"/>
      <c r="G389" s="404"/>
      <c r="H389" s="404"/>
      <c r="I389" s="404"/>
      <c r="J389" s="404"/>
      <c r="K389" s="404"/>
      <c r="L389" s="404"/>
      <c r="M389" s="404"/>
      <c r="N389" s="404"/>
      <c r="O389" s="404"/>
      <c r="P389" s="404"/>
      <c r="Q389" s="404"/>
      <c r="R389" s="404"/>
      <c r="S389" s="404"/>
      <c r="T389" s="404"/>
      <c r="U389" s="404"/>
      <c r="V389" s="404"/>
      <c r="W389" s="404"/>
      <c r="X389" s="404"/>
      <c r="Y389" s="404"/>
      <c r="Z389" s="404"/>
      <c r="AA389" s="404"/>
    </row>
    <row r="390">
      <c r="A390" s="404"/>
      <c r="B390" s="419"/>
      <c r="C390" s="404"/>
      <c r="D390" s="404"/>
      <c r="E390" s="404"/>
      <c r="F390" s="404"/>
      <c r="G390" s="404"/>
      <c r="H390" s="404"/>
      <c r="I390" s="404"/>
      <c r="J390" s="404"/>
      <c r="K390" s="404"/>
      <c r="L390" s="404"/>
      <c r="M390" s="404"/>
      <c r="N390" s="404"/>
      <c r="O390" s="404"/>
      <c r="P390" s="404"/>
      <c r="Q390" s="404"/>
      <c r="R390" s="404"/>
      <c r="S390" s="404"/>
      <c r="T390" s="404"/>
      <c r="U390" s="404"/>
      <c r="V390" s="404"/>
      <c r="W390" s="404"/>
      <c r="X390" s="404"/>
      <c r="Y390" s="404"/>
      <c r="Z390" s="404"/>
      <c r="AA390" s="404"/>
    </row>
    <row r="391">
      <c r="A391" s="404"/>
      <c r="B391" s="419"/>
      <c r="C391" s="404"/>
      <c r="D391" s="404"/>
      <c r="E391" s="404"/>
      <c r="F391" s="404"/>
      <c r="G391" s="404"/>
      <c r="H391" s="404"/>
      <c r="I391" s="404"/>
      <c r="J391" s="404"/>
      <c r="K391" s="404"/>
      <c r="L391" s="404"/>
      <c r="M391" s="404"/>
      <c r="N391" s="404"/>
      <c r="O391" s="404"/>
      <c r="P391" s="404"/>
      <c r="Q391" s="404"/>
      <c r="R391" s="404"/>
      <c r="S391" s="404"/>
      <c r="T391" s="404"/>
      <c r="U391" s="404"/>
      <c r="V391" s="404"/>
      <c r="W391" s="404"/>
      <c r="X391" s="404"/>
      <c r="Y391" s="404"/>
      <c r="Z391" s="404"/>
      <c r="AA391" s="404"/>
    </row>
    <row r="392">
      <c r="A392" s="404"/>
      <c r="B392" s="419"/>
      <c r="C392" s="404"/>
      <c r="D392" s="404"/>
      <c r="E392" s="404"/>
      <c r="F392" s="404"/>
      <c r="G392" s="404"/>
      <c r="H392" s="404"/>
      <c r="I392" s="404"/>
      <c r="J392" s="404"/>
      <c r="K392" s="404"/>
      <c r="L392" s="404"/>
      <c r="M392" s="404"/>
      <c r="N392" s="404"/>
      <c r="O392" s="404"/>
      <c r="P392" s="404"/>
      <c r="Q392" s="404"/>
      <c r="R392" s="404"/>
      <c r="S392" s="404"/>
      <c r="T392" s="404"/>
      <c r="U392" s="404"/>
      <c r="V392" s="404"/>
      <c r="W392" s="404"/>
      <c r="X392" s="404"/>
      <c r="Y392" s="404"/>
      <c r="Z392" s="404"/>
      <c r="AA392" s="404"/>
    </row>
    <row r="393">
      <c r="A393" s="404"/>
      <c r="B393" s="419"/>
      <c r="C393" s="404"/>
      <c r="D393" s="404"/>
      <c r="E393" s="404"/>
      <c r="F393" s="404"/>
      <c r="G393" s="404"/>
      <c r="H393" s="404"/>
      <c r="I393" s="404"/>
      <c r="J393" s="404"/>
      <c r="K393" s="404"/>
      <c r="L393" s="404"/>
      <c r="M393" s="404"/>
      <c r="N393" s="404"/>
      <c r="O393" s="404"/>
      <c r="P393" s="404"/>
      <c r="Q393" s="404"/>
      <c r="R393" s="404"/>
      <c r="S393" s="404"/>
      <c r="T393" s="404"/>
      <c r="U393" s="404"/>
      <c r="V393" s="404"/>
      <c r="W393" s="404"/>
      <c r="X393" s="404"/>
      <c r="Y393" s="404"/>
      <c r="Z393" s="404"/>
      <c r="AA393" s="404"/>
    </row>
    <row r="394">
      <c r="A394" s="404"/>
      <c r="B394" s="419"/>
      <c r="C394" s="404"/>
      <c r="D394" s="404"/>
      <c r="E394" s="404"/>
      <c r="F394" s="404"/>
      <c r="G394" s="404"/>
      <c r="H394" s="404"/>
      <c r="I394" s="404"/>
      <c r="J394" s="404"/>
      <c r="K394" s="404"/>
      <c r="L394" s="404"/>
      <c r="M394" s="404"/>
      <c r="N394" s="404"/>
      <c r="O394" s="404"/>
      <c r="P394" s="404"/>
      <c r="Q394" s="404"/>
      <c r="R394" s="404"/>
      <c r="S394" s="404"/>
      <c r="T394" s="404"/>
      <c r="U394" s="404"/>
      <c r="V394" s="404"/>
      <c r="W394" s="404"/>
      <c r="X394" s="404"/>
      <c r="Y394" s="404"/>
      <c r="Z394" s="404"/>
      <c r="AA394" s="404"/>
    </row>
    <row r="395">
      <c r="A395" s="404"/>
      <c r="B395" s="419"/>
      <c r="C395" s="404"/>
      <c r="D395" s="404"/>
      <c r="E395" s="404"/>
      <c r="F395" s="404"/>
      <c r="G395" s="404"/>
      <c r="H395" s="404"/>
      <c r="I395" s="404"/>
      <c r="J395" s="404"/>
      <c r="K395" s="404"/>
      <c r="L395" s="404"/>
      <c r="M395" s="404"/>
      <c r="N395" s="404"/>
      <c r="O395" s="404"/>
      <c r="P395" s="404"/>
      <c r="Q395" s="404"/>
      <c r="R395" s="404"/>
      <c r="S395" s="404"/>
      <c r="T395" s="404"/>
      <c r="U395" s="404"/>
      <c r="V395" s="404"/>
      <c r="W395" s="404"/>
      <c r="X395" s="404"/>
      <c r="Y395" s="404"/>
      <c r="Z395" s="404"/>
      <c r="AA395" s="404"/>
    </row>
    <row r="396">
      <c r="A396" s="404"/>
      <c r="B396" s="419"/>
      <c r="C396" s="404"/>
      <c r="D396" s="404"/>
      <c r="E396" s="404"/>
      <c r="F396" s="404"/>
      <c r="G396" s="404"/>
      <c r="H396" s="404"/>
      <c r="I396" s="404"/>
      <c r="J396" s="404"/>
      <c r="K396" s="404"/>
      <c r="L396" s="404"/>
      <c r="M396" s="404"/>
      <c r="N396" s="404"/>
      <c r="O396" s="404"/>
      <c r="P396" s="404"/>
      <c r="Q396" s="404"/>
      <c r="R396" s="404"/>
      <c r="S396" s="404"/>
      <c r="T396" s="404"/>
      <c r="U396" s="404"/>
      <c r="V396" s="404"/>
      <c r="W396" s="404"/>
      <c r="X396" s="404"/>
      <c r="Y396" s="404"/>
      <c r="Z396" s="404"/>
      <c r="AA396" s="404"/>
    </row>
    <row r="397">
      <c r="A397" s="404"/>
      <c r="B397" s="419"/>
      <c r="C397" s="404"/>
      <c r="D397" s="404"/>
      <c r="E397" s="404"/>
      <c r="F397" s="404"/>
      <c r="G397" s="404"/>
      <c r="H397" s="404"/>
      <c r="I397" s="404"/>
      <c r="J397" s="404"/>
      <c r="K397" s="404"/>
      <c r="L397" s="404"/>
      <c r="M397" s="404"/>
      <c r="N397" s="404"/>
      <c r="O397" s="404"/>
      <c r="P397" s="404"/>
      <c r="Q397" s="404"/>
      <c r="R397" s="404"/>
      <c r="S397" s="404"/>
      <c r="T397" s="404"/>
      <c r="U397" s="404"/>
      <c r="V397" s="404"/>
      <c r="W397" s="404"/>
      <c r="X397" s="404"/>
      <c r="Y397" s="404"/>
      <c r="Z397" s="404"/>
      <c r="AA397" s="404"/>
    </row>
    <row r="398">
      <c r="A398" s="404"/>
      <c r="B398" s="419"/>
      <c r="C398" s="404"/>
      <c r="D398" s="404"/>
      <c r="E398" s="404"/>
      <c r="F398" s="404"/>
      <c r="G398" s="404"/>
      <c r="H398" s="404"/>
      <c r="I398" s="404"/>
      <c r="J398" s="404"/>
      <c r="K398" s="404"/>
      <c r="L398" s="404"/>
      <c r="M398" s="404"/>
      <c r="N398" s="404"/>
      <c r="O398" s="404"/>
      <c r="P398" s="404"/>
      <c r="Q398" s="404"/>
      <c r="R398" s="404"/>
      <c r="S398" s="404"/>
      <c r="T398" s="404"/>
      <c r="U398" s="404"/>
      <c r="V398" s="404"/>
      <c r="W398" s="404"/>
      <c r="X398" s="404"/>
      <c r="Y398" s="404"/>
      <c r="Z398" s="404"/>
      <c r="AA398" s="404"/>
    </row>
    <row r="399">
      <c r="A399" s="404"/>
      <c r="B399" s="419"/>
      <c r="C399" s="404"/>
      <c r="D399" s="404"/>
      <c r="E399" s="404"/>
      <c r="F399" s="404"/>
      <c r="G399" s="404"/>
      <c r="H399" s="404"/>
      <c r="I399" s="404"/>
      <c r="J399" s="404"/>
      <c r="K399" s="404"/>
      <c r="L399" s="404"/>
      <c r="M399" s="404"/>
      <c r="N399" s="404"/>
      <c r="O399" s="404"/>
      <c r="P399" s="404"/>
      <c r="Q399" s="404"/>
      <c r="R399" s="404"/>
      <c r="S399" s="404"/>
      <c r="T399" s="404"/>
      <c r="U399" s="404"/>
      <c r="V399" s="404"/>
      <c r="W399" s="404"/>
      <c r="X399" s="404"/>
      <c r="Y399" s="404"/>
      <c r="Z399" s="404"/>
      <c r="AA399" s="404"/>
    </row>
    <row r="400">
      <c r="A400" s="404"/>
      <c r="B400" s="419"/>
      <c r="C400" s="404"/>
      <c r="D400" s="404"/>
      <c r="E400" s="404"/>
      <c r="F400" s="404"/>
      <c r="G400" s="404"/>
      <c r="H400" s="404"/>
      <c r="I400" s="404"/>
      <c r="J400" s="404"/>
      <c r="K400" s="404"/>
      <c r="L400" s="404"/>
      <c r="M400" s="404"/>
      <c r="N400" s="404"/>
      <c r="O400" s="404"/>
      <c r="P400" s="404"/>
      <c r="Q400" s="404"/>
      <c r="R400" s="404"/>
      <c r="S400" s="404"/>
      <c r="T400" s="404"/>
      <c r="U400" s="404"/>
      <c r="V400" s="404"/>
      <c r="W400" s="404"/>
      <c r="X400" s="404"/>
      <c r="Y400" s="404"/>
      <c r="Z400" s="404"/>
      <c r="AA400" s="404"/>
    </row>
    <row r="401">
      <c r="A401" s="404"/>
      <c r="B401" s="419"/>
      <c r="C401" s="404"/>
      <c r="D401" s="404"/>
      <c r="E401" s="404"/>
      <c r="F401" s="404"/>
      <c r="G401" s="404"/>
      <c r="H401" s="404"/>
      <c r="I401" s="404"/>
      <c r="J401" s="404"/>
      <c r="K401" s="404"/>
      <c r="L401" s="404"/>
      <c r="M401" s="404"/>
      <c r="N401" s="404"/>
      <c r="O401" s="404"/>
      <c r="P401" s="404"/>
      <c r="Q401" s="404"/>
      <c r="R401" s="404"/>
      <c r="S401" s="404"/>
      <c r="T401" s="404"/>
      <c r="U401" s="404"/>
      <c r="V401" s="404"/>
      <c r="W401" s="404"/>
      <c r="X401" s="404"/>
      <c r="Y401" s="404"/>
      <c r="Z401" s="404"/>
      <c r="AA401" s="404"/>
    </row>
    <row r="402">
      <c r="A402" s="404"/>
      <c r="B402" s="419"/>
      <c r="C402" s="404"/>
      <c r="D402" s="404"/>
      <c r="E402" s="404"/>
      <c r="F402" s="404"/>
      <c r="G402" s="404"/>
      <c r="H402" s="404"/>
      <c r="I402" s="404"/>
      <c r="J402" s="404"/>
      <c r="K402" s="404"/>
      <c r="L402" s="404"/>
      <c r="M402" s="404"/>
      <c r="N402" s="404"/>
      <c r="O402" s="404"/>
      <c r="P402" s="404"/>
      <c r="Q402" s="404"/>
      <c r="R402" s="404"/>
      <c r="S402" s="404"/>
      <c r="T402" s="404"/>
      <c r="U402" s="404"/>
      <c r="V402" s="404"/>
      <c r="W402" s="404"/>
      <c r="X402" s="404"/>
      <c r="Y402" s="404"/>
      <c r="Z402" s="404"/>
      <c r="AA402" s="404"/>
    </row>
    <row r="403">
      <c r="A403" s="404"/>
      <c r="B403" s="419"/>
      <c r="C403" s="404"/>
      <c r="D403" s="404"/>
      <c r="E403" s="404"/>
      <c r="F403" s="404"/>
      <c r="G403" s="404"/>
      <c r="H403" s="404"/>
      <c r="I403" s="404"/>
      <c r="J403" s="404"/>
      <c r="K403" s="404"/>
      <c r="L403" s="404"/>
      <c r="M403" s="404"/>
      <c r="N403" s="404"/>
      <c r="O403" s="404"/>
      <c r="P403" s="404"/>
      <c r="Q403" s="404"/>
      <c r="R403" s="404"/>
      <c r="S403" s="404"/>
      <c r="T403" s="404"/>
      <c r="U403" s="404"/>
      <c r="V403" s="404"/>
      <c r="W403" s="404"/>
      <c r="X403" s="404"/>
      <c r="Y403" s="404"/>
      <c r="Z403" s="404"/>
      <c r="AA403" s="404"/>
    </row>
    <row r="404">
      <c r="A404" s="404"/>
      <c r="B404" s="419"/>
      <c r="C404" s="404"/>
      <c r="D404" s="404"/>
      <c r="E404" s="404"/>
      <c r="F404" s="404"/>
      <c r="G404" s="404"/>
      <c r="H404" s="404"/>
      <c r="I404" s="404"/>
      <c r="J404" s="404"/>
      <c r="K404" s="404"/>
      <c r="L404" s="404"/>
      <c r="M404" s="404"/>
      <c r="N404" s="404"/>
      <c r="O404" s="404"/>
      <c r="P404" s="404"/>
      <c r="Q404" s="404"/>
      <c r="R404" s="404"/>
      <c r="S404" s="404"/>
      <c r="T404" s="404"/>
      <c r="U404" s="404"/>
      <c r="V404" s="404"/>
      <c r="W404" s="404"/>
      <c r="X404" s="404"/>
      <c r="Y404" s="404"/>
      <c r="Z404" s="404"/>
      <c r="AA404" s="404"/>
    </row>
    <row r="405">
      <c r="A405" s="404"/>
      <c r="B405" s="419"/>
      <c r="C405" s="404"/>
      <c r="D405" s="404"/>
      <c r="E405" s="404"/>
      <c r="F405" s="404"/>
      <c r="G405" s="404"/>
      <c r="H405" s="404"/>
      <c r="I405" s="404"/>
      <c r="J405" s="404"/>
      <c r="K405" s="404"/>
      <c r="L405" s="404"/>
      <c r="M405" s="404"/>
      <c r="N405" s="404"/>
      <c r="O405" s="404"/>
      <c r="P405" s="404"/>
      <c r="Q405" s="404"/>
      <c r="R405" s="404"/>
      <c r="S405" s="404"/>
      <c r="T405" s="404"/>
      <c r="U405" s="404"/>
      <c r="V405" s="404"/>
      <c r="W405" s="404"/>
      <c r="X405" s="404"/>
      <c r="Y405" s="404"/>
      <c r="Z405" s="404"/>
      <c r="AA405" s="404"/>
    </row>
    <row r="406">
      <c r="A406" s="404"/>
      <c r="B406" s="419"/>
      <c r="C406" s="404"/>
      <c r="D406" s="404"/>
      <c r="E406" s="404"/>
      <c r="F406" s="404"/>
      <c r="G406" s="404"/>
      <c r="H406" s="404"/>
      <c r="I406" s="404"/>
      <c r="J406" s="404"/>
      <c r="K406" s="404"/>
      <c r="L406" s="404"/>
      <c r="M406" s="404"/>
      <c r="N406" s="404"/>
      <c r="O406" s="404"/>
      <c r="P406" s="404"/>
      <c r="Q406" s="404"/>
      <c r="R406" s="404"/>
      <c r="S406" s="404"/>
      <c r="T406" s="404"/>
      <c r="U406" s="404"/>
      <c r="V406" s="404"/>
      <c r="W406" s="404"/>
      <c r="X406" s="404"/>
      <c r="Y406" s="404"/>
      <c r="Z406" s="404"/>
      <c r="AA406" s="404"/>
    </row>
    <row r="407">
      <c r="A407" s="404"/>
      <c r="B407" s="419"/>
      <c r="C407" s="404"/>
      <c r="D407" s="404"/>
      <c r="E407" s="404"/>
      <c r="F407" s="404"/>
      <c r="G407" s="404"/>
      <c r="H407" s="404"/>
      <c r="I407" s="404"/>
      <c r="J407" s="404"/>
      <c r="K407" s="404"/>
      <c r="L407" s="404"/>
      <c r="M407" s="404"/>
      <c r="N407" s="404"/>
      <c r="O407" s="404"/>
      <c r="P407" s="404"/>
      <c r="Q407" s="404"/>
      <c r="R407" s="404"/>
      <c r="S407" s="404"/>
      <c r="T407" s="404"/>
      <c r="U407" s="404"/>
      <c r="V407" s="404"/>
      <c r="W407" s="404"/>
      <c r="X407" s="404"/>
      <c r="Y407" s="404"/>
      <c r="Z407" s="404"/>
      <c r="AA407" s="404"/>
    </row>
    <row r="408">
      <c r="A408" s="404"/>
      <c r="B408" s="419"/>
      <c r="C408" s="404"/>
      <c r="D408" s="404"/>
      <c r="E408" s="404"/>
      <c r="F408" s="404"/>
      <c r="G408" s="404"/>
      <c r="H408" s="404"/>
      <c r="I408" s="404"/>
      <c r="J408" s="404"/>
      <c r="K408" s="404"/>
      <c r="L408" s="404"/>
      <c r="M408" s="404"/>
      <c r="N408" s="404"/>
      <c r="O408" s="404"/>
      <c r="P408" s="404"/>
      <c r="Q408" s="404"/>
      <c r="R408" s="404"/>
      <c r="S408" s="404"/>
      <c r="T408" s="404"/>
      <c r="U408" s="404"/>
      <c r="V408" s="404"/>
      <c r="W408" s="404"/>
      <c r="X408" s="404"/>
      <c r="Y408" s="404"/>
      <c r="Z408" s="404"/>
      <c r="AA408" s="404"/>
    </row>
    <row r="409">
      <c r="A409" s="404"/>
      <c r="B409" s="419"/>
      <c r="C409" s="404"/>
      <c r="D409" s="404"/>
      <c r="E409" s="404"/>
      <c r="F409" s="404"/>
      <c r="G409" s="404"/>
      <c r="H409" s="404"/>
      <c r="I409" s="404"/>
      <c r="J409" s="404"/>
      <c r="K409" s="404"/>
      <c r="L409" s="404"/>
      <c r="M409" s="404"/>
      <c r="N409" s="404"/>
      <c r="O409" s="404"/>
      <c r="P409" s="404"/>
      <c r="Q409" s="404"/>
      <c r="R409" s="404"/>
      <c r="S409" s="404"/>
      <c r="T409" s="404"/>
      <c r="U409" s="404"/>
      <c r="V409" s="404"/>
      <c r="W409" s="404"/>
      <c r="X409" s="404"/>
      <c r="Y409" s="404"/>
      <c r="Z409" s="404"/>
      <c r="AA409" s="404"/>
    </row>
    <row r="410">
      <c r="A410" s="404"/>
      <c r="B410" s="419"/>
      <c r="C410" s="404"/>
      <c r="D410" s="404"/>
      <c r="E410" s="404"/>
      <c r="F410" s="404"/>
      <c r="G410" s="404"/>
      <c r="H410" s="404"/>
      <c r="I410" s="404"/>
      <c r="J410" s="404"/>
      <c r="K410" s="404"/>
      <c r="L410" s="404"/>
      <c r="M410" s="404"/>
      <c r="N410" s="404"/>
      <c r="O410" s="404"/>
      <c r="P410" s="404"/>
      <c r="Q410" s="404"/>
      <c r="R410" s="404"/>
      <c r="S410" s="404"/>
      <c r="T410" s="404"/>
      <c r="U410" s="404"/>
      <c r="V410" s="404"/>
      <c r="W410" s="404"/>
      <c r="X410" s="404"/>
      <c r="Y410" s="404"/>
      <c r="Z410" s="404"/>
      <c r="AA410" s="404"/>
    </row>
    <row r="411">
      <c r="A411" s="404"/>
      <c r="B411" s="419"/>
      <c r="C411" s="404"/>
      <c r="D411" s="404"/>
      <c r="E411" s="404"/>
      <c r="F411" s="404"/>
      <c r="G411" s="404"/>
      <c r="H411" s="404"/>
      <c r="I411" s="404"/>
      <c r="J411" s="404"/>
      <c r="K411" s="404"/>
      <c r="L411" s="404"/>
      <c r="M411" s="404"/>
      <c r="N411" s="404"/>
      <c r="O411" s="404"/>
      <c r="P411" s="404"/>
      <c r="Q411" s="404"/>
      <c r="R411" s="404"/>
      <c r="S411" s="404"/>
      <c r="T411" s="404"/>
      <c r="U411" s="404"/>
      <c r="V411" s="404"/>
      <c r="W411" s="404"/>
      <c r="X411" s="404"/>
      <c r="Y411" s="404"/>
      <c r="Z411" s="404"/>
      <c r="AA411" s="404"/>
    </row>
    <row r="412">
      <c r="A412" s="404"/>
      <c r="B412" s="419"/>
      <c r="C412" s="404"/>
      <c r="D412" s="404"/>
      <c r="E412" s="404"/>
      <c r="F412" s="404"/>
      <c r="G412" s="404"/>
      <c r="H412" s="404"/>
      <c r="I412" s="404"/>
      <c r="J412" s="404"/>
      <c r="K412" s="404"/>
      <c r="L412" s="404"/>
      <c r="M412" s="404"/>
      <c r="N412" s="404"/>
      <c r="O412" s="404"/>
      <c r="P412" s="404"/>
      <c r="Q412" s="404"/>
      <c r="R412" s="404"/>
      <c r="S412" s="404"/>
      <c r="T412" s="404"/>
      <c r="U412" s="404"/>
      <c r="V412" s="404"/>
      <c r="W412" s="404"/>
      <c r="X412" s="404"/>
      <c r="Y412" s="404"/>
      <c r="Z412" s="404"/>
      <c r="AA412" s="404"/>
    </row>
    <row r="413">
      <c r="A413" s="404"/>
      <c r="B413" s="419"/>
      <c r="C413" s="404"/>
      <c r="D413" s="404"/>
      <c r="E413" s="404"/>
      <c r="F413" s="404"/>
      <c r="G413" s="404"/>
      <c r="H413" s="404"/>
      <c r="I413" s="404"/>
      <c r="J413" s="404"/>
      <c r="K413" s="404"/>
      <c r="L413" s="404"/>
      <c r="M413" s="404"/>
      <c r="N413" s="404"/>
      <c r="O413" s="404"/>
      <c r="P413" s="404"/>
      <c r="Q413" s="404"/>
      <c r="R413" s="404"/>
      <c r="S413" s="404"/>
      <c r="T413" s="404"/>
      <c r="U413" s="404"/>
      <c r="V413" s="404"/>
      <c r="W413" s="404"/>
      <c r="X413" s="404"/>
      <c r="Y413" s="404"/>
      <c r="Z413" s="404"/>
      <c r="AA413" s="404"/>
    </row>
    <row r="414">
      <c r="A414" s="404"/>
      <c r="B414" s="419"/>
      <c r="C414" s="404"/>
      <c r="D414" s="404"/>
      <c r="E414" s="404"/>
      <c r="F414" s="404"/>
      <c r="G414" s="404"/>
      <c r="H414" s="404"/>
      <c r="I414" s="404"/>
      <c r="J414" s="404"/>
      <c r="K414" s="404"/>
      <c r="L414" s="404"/>
      <c r="M414" s="404"/>
      <c r="N414" s="404"/>
      <c r="O414" s="404"/>
      <c r="P414" s="404"/>
      <c r="Q414" s="404"/>
      <c r="R414" s="404"/>
      <c r="S414" s="404"/>
      <c r="T414" s="404"/>
      <c r="U414" s="404"/>
      <c r="V414" s="404"/>
      <c r="W414" s="404"/>
      <c r="X414" s="404"/>
      <c r="Y414" s="404"/>
      <c r="Z414" s="404"/>
      <c r="AA414" s="404"/>
    </row>
    <row r="415">
      <c r="A415" s="404"/>
      <c r="B415" s="419"/>
      <c r="C415" s="404"/>
      <c r="D415" s="404"/>
      <c r="E415" s="404"/>
      <c r="F415" s="404"/>
      <c r="G415" s="404"/>
      <c r="H415" s="404"/>
      <c r="I415" s="404"/>
      <c r="J415" s="404"/>
      <c r="K415" s="404"/>
      <c r="L415" s="404"/>
      <c r="M415" s="404"/>
      <c r="N415" s="404"/>
      <c r="O415" s="404"/>
      <c r="P415" s="404"/>
      <c r="Q415" s="404"/>
      <c r="R415" s="404"/>
      <c r="S415" s="404"/>
      <c r="T415" s="404"/>
      <c r="U415" s="404"/>
      <c r="V415" s="404"/>
      <c r="W415" s="404"/>
      <c r="X415" s="404"/>
      <c r="Y415" s="404"/>
      <c r="Z415" s="404"/>
      <c r="AA415" s="404"/>
    </row>
    <row r="416">
      <c r="A416" s="404"/>
      <c r="B416" s="419"/>
      <c r="C416" s="404"/>
      <c r="D416" s="404"/>
      <c r="E416" s="404"/>
      <c r="F416" s="404"/>
      <c r="G416" s="404"/>
      <c r="H416" s="404"/>
      <c r="I416" s="404"/>
      <c r="J416" s="404"/>
      <c r="K416" s="404"/>
      <c r="L416" s="404"/>
      <c r="M416" s="404"/>
      <c r="N416" s="404"/>
      <c r="O416" s="404"/>
      <c r="P416" s="404"/>
      <c r="Q416" s="404"/>
      <c r="R416" s="404"/>
      <c r="S416" s="404"/>
      <c r="T416" s="404"/>
      <c r="U416" s="404"/>
      <c r="V416" s="404"/>
      <c r="W416" s="404"/>
      <c r="X416" s="404"/>
      <c r="Y416" s="404"/>
      <c r="Z416" s="404"/>
      <c r="AA416" s="404"/>
    </row>
    <row r="417">
      <c r="A417" s="404"/>
      <c r="B417" s="419"/>
      <c r="C417" s="404"/>
      <c r="D417" s="404"/>
      <c r="E417" s="404"/>
      <c r="F417" s="404"/>
      <c r="G417" s="404"/>
      <c r="H417" s="404"/>
      <c r="I417" s="404"/>
      <c r="J417" s="404"/>
      <c r="K417" s="404"/>
      <c r="L417" s="404"/>
      <c r="M417" s="404"/>
      <c r="N417" s="404"/>
      <c r="O417" s="404"/>
      <c r="P417" s="404"/>
      <c r="Q417" s="404"/>
      <c r="R417" s="404"/>
      <c r="S417" s="404"/>
      <c r="T417" s="404"/>
      <c r="U417" s="404"/>
      <c r="V417" s="404"/>
      <c r="W417" s="404"/>
      <c r="X417" s="404"/>
      <c r="Y417" s="404"/>
      <c r="Z417" s="404"/>
      <c r="AA417" s="404"/>
    </row>
    <row r="418">
      <c r="A418" s="404"/>
      <c r="B418" s="419"/>
      <c r="C418" s="404"/>
      <c r="D418" s="404"/>
      <c r="E418" s="404"/>
      <c r="F418" s="404"/>
      <c r="G418" s="404"/>
      <c r="H418" s="404"/>
      <c r="I418" s="404"/>
      <c r="J418" s="404"/>
      <c r="K418" s="404"/>
      <c r="L418" s="404"/>
      <c r="M418" s="404"/>
      <c r="N418" s="404"/>
      <c r="O418" s="404"/>
      <c r="P418" s="404"/>
      <c r="Q418" s="404"/>
      <c r="R418" s="404"/>
      <c r="S418" s="404"/>
      <c r="T418" s="404"/>
      <c r="U418" s="404"/>
      <c r="V418" s="404"/>
      <c r="W418" s="404"/>
      <c r="X418" s="404"/>
      <c r="Y418" s="404"/>
      <c r="Z418" s="404"/>
      <c r="AA418" s="404"/>
    </row>
    <row r="419">
      <c r="A419" s="404"/>
      <c r="B419" s="419"/>
      <c r="C419" s="404"/>
      <c r="D419" s="404"/>
      <c r="E419" s="404"/>
      <c r="F419" s="404"/>
      <c r="G419" s="404"/>
      <c r="H419" s="404"/>
      <c r="I419" s="404"/>
      <c r="J419" s="404"/>
      <c r="K419" s="404"/>
      <c r="L419" s="404"/>
      <c r="M419" s="404"/>
      <c r="N419" s="404"/>
      <c r="O419" s="404"/>
      <c r="P419" s="404"/>
      <c r="Q419" s="404"/>
      <c r="R419" s="404"/>
      <c r="S419" s="404"/>
      <c r="T419" s="404"/>
      <c r="U419" s="404"/>
      <c r="V419" s="404"/>
      <c r="W419" s="404"/>
      <c r="X419" s="404"/>
      <c r="Y419" s="404"/>
      <c r="Z419" s="404"/>
      <c r="AA419" s="404"/>
    </row>
    <row r="420">
      <c r="A420" s="404"/>
      <c r="B420" s="419"/>
      <c r="C420" s="404"/>
      <c r="D420" s="404"/>
      <c r="E420" s="404"/>
      <c r="F420" s="404"/>
      <c r="G420" s="404"/>
      <c r="H420" s="404"/>
      <c r="I420" s="404"/>
      <c r="J420" s="404"/>
      <c r="K420" s="404"/>
      <c r="L420" s="404"/>
      <c r="M420" s="404"/>
      <c r="N420" s="404"/>
      <c r="O420" s="404"/>
      <c r="P420" s="404"/>
      <c r="Q420" s="404"/>
      <c r="R420" s="404"/>
      <c r="S420" s="404"/>
      <c r="T420" s="404"/>
      <c r="U420" s="404"/>
      <c r="V420" s="404"/>
      <c r="W420" s="404"/>
      <c r="X420" s="404"/>
      <c r="Y420" s="404"/>
      <c r="Z420" s="404"/>
      <c r="AA420" s="404"/>
    </row>
    <row r="421">
      <c r="A421" s="404"/>
      <c r="B421" s="419"/>
      <c r="C421" s="404"/>
      <c r="D421" s="404"/>
      <c r="E421" s="404"/>
      <c r="F421" s="404"/>
      <c r="G421" s="404"/>
      <c r="H421" s="404"/>
      <c r="I421" s="404"/>
      <c r="J421" s="404"/>
      <c r="K421" s="404"/>
      <c r="L421" s="404"/>
      <c r="M421" s="404"/>
      <c r="N421" s="404"/>
      <c r="O421" s="404"/>
      <c r="P421" s="404"/>
      <c r="Q421" s="404"/>
      <c r="R421" s="404"/>
      <c r="S421" s="404"/>
      <c r="T421" s="404"/>
      <c r="U421" s="404"/>
      <c r="V421" s="404"/>
      <c r="W421" s="404"/>
      <c r="X421" s="404"/>
      <c r="Y421" s="404"/>
      <c r="Z421" s="404"/>
      <c r="AA421" s="404"/>
    </row>
    <row r="422">
      <c r="A422" s="404"/>
      <c r="B422" s="419"/>
      <c r="C422" s="404"/>
      <c r="D422" s="404"/>
      <c r="E422" s="404"/>
      <c r="F422" s="404"/>
      <c r="G422" s="404"/>
      <c r="H422" s="404"/>
      <c r="I422" s="404"/>
      <c r="J422" s="404"/>
      <c r="K422" s="404"/>
      <c r="L422" s="404"/>
      <c r="M422" s="404"/>
      <c r="N422" s="404"/>
      <c r="O422" s="404"/>
      <c r="P422" s="404"/>
      <c r="Q422" s="404"/>
      <c r="R422" s="404"/>
      <c r="S422" s="404"/>
      <c r="T422" s="404"/>
      <c r="U422" s="404"/>
      <c r="V422" s="404"/>
      <c r="W422" s="404"/>
      <c r="X422" s="404"/>
      <c r="Y422" s="404"/>
      <c r="Z422" s="404"/>
      <c r="AA422" s="404"/>
    </row>
    <row r="423">
      <c r="A423" s="404"/>
      <c r="B423" s="419"/>
      <c r="C423" s="404"/>
      <c r="D423" s="404"/>
      <c r="E423" s="404"/>
      <c r="F423" s="404"/>
      <c r="G423" s="404"/>
      <c r="H423" s="404"/>
      <c r="I423" s="404"/>
      <c r="J423" s="404"/>
      <c r="K423" s="404"/>
      <c r="L423" s="404"/>
      <c r="M423" s="404"/>
      <c r="N423" s="404"/>
      <c r="O423" s="404"/>
      <c r="P423" s="404"/>
      <c r="Q423" s="404"/>
      <c r="R423" s="404"/>
      <c r="S423" s="404"/>
      <c r="T423" s="404"/>
      <c r="U423" s="404"/>
      <c r="V423" s="404"/>
      <c r="W423" s="404"/>
      <c r="X423" s="404"/>
      <c r="Y423" s="404"/>
      <c r="Z423" s="404"/>
      <c r="AA423" s="404"/>
    </row>
    <row r="424">
      <c r="A424" s="404"/>
      <c r="B424" s="419"/>
      <c r="C424" s="404"/>
      <c r="D424" s="404"/>
      <c r="E424" s="404"/>
      <c r="F424" s="404"/>
      <c r="G424" s="404"/>
      <c r="H424" s="404"/>
      <c r="I424" s="404"/>
      <c r="J424" s="404"/>
      <c r="K424" s="404"/>
      <c r="L424" s="404"/>
      <c r="M424" s="404"/>
      <c r="N424" s="404"/>
      <c r="O424" s="404"/>
      <c r="P424" s="404"/>
      <c r="Q424" s="404"/>
      <c r="R424" s="404"/>
      <c r="S424" s="404"/>
      <c r="T424" s="404"/>
      <c r="U424" s="404"/>
      <c r="V424" s="404"/>
      <c r="W424" s="404"/>
      <c r="X424" s="404"/>
      <c r="Y424" s="404"/>
      <c r="Z424" s="404"/>
      <c r="AA424" s="404"/>
    </row>
    <row r="425">
      <c r="A425" s="404"/>
      <c r="B425" s="419"/>
      <c r="C425" s="404"/>
      <c r="D425" s="404"/>
      <c r="E425" s="404"/>
      <c r="F425" s="404"/>
      <c r="G425" s="404"/>
      <c r="H425" s="404"/>
      <c r="I425" s="404"/>
      <c r="J425" s="404"/>
      <c r="K425" s="404"/>
      <c r="L425" s="404"/>
      <c r="M425" s="404"/>
      <c r="N425" s="404"/>
      <c r="O425" s="404"/>
      <c r="P425" s="404"/>
      <c r="Q425" s="404"/>
      <c r="R425" s="404"/>
      <c r="S425" s="404"/>
      <c r="T425" s="404"/>
      <c r="U425" s="404"/>
      <c r="V425" s="404"/>
      <c r="W425" s="404"/>
      <c r="X425" s="404"/>
      <c r="Y425" s="404"/>
      <c r="Z425" s="404"/>
      <c r="AA425" s="404"/>
    </row>
    <row r="426">
      <c r="A426" s="404"/>
      <c r="B426" s="419"/>
      <c r="C426" s="404"/>
      <c r="D426" s="404"/>
      <c r="E426" s="404"/>
      <c r="F426" s="404"/>
      <c r="G426" s="404"/>
      <c r="H426" s="404"/>
      <c r="I426" s="404"/>
      <c r="J426" s="404"/>
      <c r="K426" s="404"/>
      <c r="L426" s="404"/>
      <c r="M426" s="404"/>
      <c r="N426" s="404"/>
      <c r="O426" s="404"/>
      <c r="P426" s="404"/>
      <c r="Q426" s="404"/>
      <c r="R426" s="404"/>
      <c r="S426" s="404"/>
      <c r="T426" s="404"/>
      <c r="U426" s="404"/>
      <c r="V426" s="404"/>
      <c r="W426" s="404"/>
      <c r="X426" s="404"/>
      <c r="Y426" s="404"/>
      <c r="Z426" s="404"/>
      <c r="AA426" s="404"/>
    </row>
    <row r="427">
      <c r="A427" s="404"/>
      <c r="B427" s="419"/>
      <c r="C427" s="404"/>
      <c r="D427" s="404"/>
      <c r="E427" s="404"/>
      <c r="F427" s="404"/>
      <c r="G427" s="404"/>
      <c r="H427" s="404"/>
      <c r="I427" s="404"/>
      <c r="J427" s="404"/>
      <c r="K427" s="404"/>
      <c r="L427" s="404"/>
      <c r="M427" s="404"/>
      <c r="N427" s="404"/>
      <c r="O427" s="404"/>
      <c r="P427" s="404"/>
      <c r="Q427" s="404"/>
      <c r="R427" s="404"/>
      <c r="S427" s="404"/>
      <c r="T427" s="404"/>
      <c r="U427" s="404"/>
      <c r="V427" s="404"/>
      <c r="W427" s="404"/>
      <c r="X427" s="404"/>
      <c r="Y427" s="404"/>
      <c r="Z427" s="404"/>
      <c r="AA427" s="404"/>
    </row>
    <row r="428">
      <c r="A428" s="404"/>
      <c r="B428" s="419"/>
      <c r="C428" s="404"/>
      <c r="D428" s="404"/>
      <c r="E428" s="404"/>
      <c r="F428" s="404"/>
      <c r="G428" s="404"/>
      <c r="H428" s="404"/>
      <c r="I428" s="404"/>
      <c r="J428" s="404"/>
      <c r="K428" s="404"/>
      <c r="L428" s="404"/>
      <c r="M428" s="404"/>
      <c r="N428" s="404"/>
      <c r="O428" s="404"/>
      <c r="P428" s="404"/>
      <c r="Q428" s="404"/>
      <c r="R428" s="404"/>
      <c r="S428" s="404"/>
      <c r="T428" s="404"/>
      <c r="U428" s="404"/>
      <c r="V428" s="404"/>
      <c r="W428" s="404"/>
      <c r="X428" s="404"/>
      <c r="Y428" s="404"/>
      <c r="Z428" s="404"/>
      <c r="AA428" s="404"/>
    </row>
    <row r="429">
      <c r="A429" s="404"/>
      <c r="B429" s="419"/>
      <c r="C429" s="404"/>
      <c r="D429" s="404"/>
      <c r="E429" s="404"/>
      <c r="F429" s="404"/>
      <c r="G429" s="404"/>
      <c r="H429" s="404"/>
      <c r="I429" s="404"/>
      <c r="J429" s="404"/>
      <c r="K429" s="404"/>
      <c r="L429" s="404"/>
      <c r="M429" s="404"/>
      <c r="N429" s="404"/>
      <c r="O429" s="404"/>
      <c r="P429" s="404"/>
      <c r="Q429" s="404"/>
      <c r="R429" s="404"/>
      <c r="S429" s="404"/>
      <c r="T429" s="404"/>
      <c r="U429" s="404"/>
      <c r="V429" s="404"/>
      <c r="W429" s="404"/>
      <c r="X429" s="404"/>
      <c r="Y429" s="404"/>
      <c r="Z429" s="404"/>
      <c r="AA429" s="404"/>
    </row>
    <row r="430">
      <c r="A430" s="404"/>
      <c r="B430" s="419"/>
      <c r="C430" s="404"/>
      <c r="D430" s="404"/>
      <c r="E430" s="404"/>
      <c r="F430" s="404"/>
      <c r="G430" s="404"/>
      <c r="H430" s="404"/>
      <c r="I430" s="404"/>
      <c r="J430" s="404"/>
      <c r="K430" s="404"/>
      <c r="L430" s="404"/>
      <c r="M430" s="404"/>
      <c r="N430" s="404"/>
      <c r="O430" s="404"/>
      <c r="P430" s="404"/>
      <c r="Q430" s="404"/>
      <c r="R430" s="404"/>
      <c r="S430" s="404"/>
      <c r="T430" s="404"/>
      <c r="U430" s="404"/>
      <c r="V430" s="404"/>
      <c r="W430" s="404"/>
      <c r="X430" s="404"/>
      <c r="Y430" s="404"/>
      <c r="Z430" s="404"/>
      <c r="AA430" s="404"/>
    </row>
    <row r="431">
      <c r="A431" s="404"/>
      <c r="B431" s="419"/>
      <c r="C431" s="404"/>
      <c r="D431" s="404"/>
      <c r="E431" s="404"/>
      <c r="F431" s="404"/>
      <c r="G431" s="404"/>
      <c r="H431" s="404"/>
      <c r="I431" s="404"/>
      <c r="J431" s="404"/>
      <c r="K431" s="404"/>
      <c r="L431" s="404"/>
      <c r="M431" s="404"/>
      <c r="N431" s="404"/>
      <c r="O431" s="404"/>
      <c r="P431" s="404"/>
      <c r="Q431" s="404"/>
      <c r="R431" s="404"/>
      <c r="S431" s="404"/>
      <c r="T431" s="404"/>
      <c r="U431" s="404"/>
      <c r="V431" s="404"/>
      <c r="W431" s="404"/>
      <c r="X431" s="404"/>
      <c r="Y431" s="404"/>
      <c r="Z431" s="404"/>
      <c r="AA431" s="404"/>
    </row>
    <row r="432">
      <c r="A432" s="404"/>
      <c r="B432" s="419"/>
      <c r="C432" s="404"/>
      <c r="D432" s="404"/>
      <c r="E432" s="404"/>
      <c r="F432" s="404"/>
      <c r="G432" s="404"/>
      <c r="H432" s="404"/>
      <c r="I432" s="404"/>
      <c r="J432" s="404"/>
      <c r="K432" s="404"/>
      <c r="L432" s="404"/>
      <c r="M432" s="404"/>
      <c r="N432" s="404"/>
      <c r="O432" s="404"/>
      <c r="P432" s="404"/>
      <c r="Q432" s="404"/>
      <c r="R432" s="404"/>
      <c r="S432" s="404"/>
      <c r="T432" s="404"/>
      <c r="U432" s="404"/>
      <c r="V432" s="404"/>
      <c r="W432" s="404"/>
      <c r="X432" s="404"/>
      <c r="Y432" s="404"/>
      <c r="Z432" s="404"/>
      <c r="AA432" s="404"/>
    </row>
    <row r="433">
      <c r="A433" s="404"/>
      <c r="B433" s="419"/>
      <c r="C433" s="404"/>
      <c r="D433" s="404"/>
      <c r="E433" s="404"/>
      <c r="F433" s="404"/>
      <c r="G433" s="404"/>
      <c r="H433" s="404"/>
      <c r="I433" s="404"/>
      <c r="J433" s="404"/>
      <c r="K433" s="404"/>
      <c r="L433" s="404"/>
      <c r="M433" s="404"/>
      <c r="N433" s="404"/>
      <c r="O433" s="404"/>
      <c r="P433" s="404"/>
      <c r="Q433" s="404"/>
      <c r="R433" s="404"/>
      <c r="S433" s="404"/>
      <c r="T433" s="404"/>
      <c r="U433" s="404"/>
      <c r="V433" s="404"/>
      <c r="W433" s="404"/>
      <c r="X433" s="404"/>
      <c r="Y433" s="404"/>
      <c r="Z433" s="404"/>
      <c r="AA433" s="404"/>
    </row>
    <row r="434">
      <c r="A434" s="404"/>
      <c r="B434" s="419"/>
      <c r="C434" s="404"/>
      <c r="D434" s="404"/>
      <c r="E434" s="404"/>
      <c r="F434" s="404"/>
      <c r="G434" s="404"/>
      <c r="H434" s="404"/>
      <c r="I434" s="404"/>
      <c r="J434" s="404"/>
      <c r="K434" s="404"/>
      <c r="L434" s="404"/>
      <c r="M434" s="404"/>
      <c r="N434" s="404"/>
      <c r="O434" s="404"/>
      <c r="P434" s="404"/>
      <c r="Q434" s="404"/>
      <c r="R434" s="404"/>
      <c r="S434" s="404"/>
      <c r="T434" s="404"/>
      <c r="U434" s="404"/>
      <c r="V434" s="404"/>
      <c r="W434" s="404"/>
      <c r="X434" s="404"/>
      <c r="Y434" s="404"/>
      <c r="Z434" s="404"/>
      <c r="AA434" s="404"/>
    </row>
    <row r="435">
      <c r="A435" s="404"/>
      <c r="B435" s="419"/>
      <c r="C435" s="404"/>
      <c r="D435" s="404"/>
      <c r="E435" s="404"/>
      <c r="F435" s="404"/>
      <c r="G435" s="404"/>
      <c r="H435" s="404"/>
      <c r="I435" s="404"/>
      <c r="J435" s="404"/>
      <c r="K435" s="404"/>
      <c r="L435" s="404"/>
      <c r="M435" s="404"/>
      <c r="N435" s="404"/>
      <c r="O435" s="404"/>
      <c r="P435" s="404"/>
      <c r="Q435" s="404"/>
      <c r="R435" s="404"/>
      <c r="S435" s="404"/>
      <c r="T435" s="404"/>
      <c r="U435" s="404"/>
      <c r="V435" s="404"/>
      <c r="W435" s="404"/>
      <c r="X435" s="404"/>
      <c r="Y435" s="404"/>
      <c r="Z435" s="404"/>
      <c r="AA435" s="404"/>
    </row>
    <row r="436">
      <c r="A436" s="404"/>
      <c r="B436" s="419"/>
      <c r="C436" s="404"/>
      <c r="D436" s="404"/>
      <c r="E436" s="404"/>
      <c r="F436" s="404"/>
      <c r="G436" s="404"/>
      <c r="H436" s="404"/>
      <c r="I436" s="404"/>
      <c r="J436" s="404"/>
      <c r="K436" s="404"/>
      <c r="L436" s="404"/>
      <c r="M436" s="404"/>
      <c r="N436" s="404"/>
      <c r="O436" s="404"/>
      <c r="P436" s="404"/>
      <c r="Q436" s="404"/>
      <c r="R436" s="404"/>
      <c r="S436" s="404"/>
      <c r="T436" s="404"/>
      <c r="U436" s="404"/>
      <c r="V436" s="404"/>
      <c r="W436" s="404"/>
      <c r="X436" s="404"/>
      <c r="Y436" s="404"/>
      <c r="Z436" s="404"/>
      <c r="AA436" s="404"/>
    </row>
    <row r="437">
      <c r="A437" s="404"/>
      <c r="B437" s="419"/>
      <c r="C437" s="404"/>
      <c r="D437" s="404"/>
      <c r="E437" s="404"/>
      <c r="F437" s="404"/>
      <c r="G437" s="404"/>
      <c r="H437" s="404"/>
      <c r="I437" s="404"/>
      <c r="J437" s="404"/>
      <c r="K437" s="404"/>
      <c r="L437" s="404"/>
      <c r="M437" s="404"/>
      <c r="N437" s="404"/>
      <c r="O437" s="404"/>
      <c r="P437" s="404"/>
      <c r="Q437" s="404"/>
      <c r="R437" s="404"/>
      <c r="S437" s="404"/>
      <c r="T437" s="404"/>
      <c r="U437" s="404"/>
      <c r="V437" s="404"/>
      <c r="W437" s="404"/>
      <c r="X437" s="404"/>
      <c r="Y437" s="404"/>
      <c r="Z437" s="404"/>
      <c r="AA437" s="404"/>
    </row>
    <row r="438">
      <c r="A438" s="404"/>
      <c r="B438" s="419"/>
      <c r="C438" s="404"/>
      <c r="D438" s="404"/>
      <c r="E438" s="404"/>
      <c r="F438" s="404"/>
      <c r="G438" s="404"/>
      <c r="H438" s="404"/>
      <c r="I438" s="404"/>
      <c r="J438" s="404"/>
      <c r="K438" s="404"/>
      <c r="L438" s="404"/>
      <c r="M438" s="404"/>
      <c r="N438" s="404"/>
      <c r="O438" s="404"/>
      <c r="P438" s="404"/>
      <c r="Q438" s="404"/>
      <c r="R438" s="404"/>
      <c r="S438" s="404"/>
      <c r="T438" s="404"/>
      <c r="U438" s="404"/>
      <c r="V438" s="404"/>
      <c r="W438" s="404"/>
      <c r="X438" s="404"/>
      <c r="Y438" s="404"/>
      <c r="Z438" s="404"/>
      <c r="AA438" s="404"/>
    </row>
    <row r="439">
      <c r="A439" s="404"/>
      <c r="B439" s="419"/>
      <c r="C439" s="404"/>
      <c r="D439" s="404"/>
      <c r="E439" s="404"/>
      <c r="F439" s="404"/>
      <c r="G439" s="404"/>
      <c r="H439" s="404"/>
      <c r="I439" s="404"/>
      <c r="J439" s="404"/>
      <c r="K439" s="404"/>
      <c r="L439" s="404"/>
      <c r="M439" s="404"/>
      <c r="N439" s="404"/>
      <c r="O439" s="404"/>
      <c r="P439" s="404"/>
      <c r="Q439" s="404"/>
      <c r="R439" s="404"/>
      <c r="S439" s="404"/>
      <c r="T439" s="404"/>
      <c r="U439" s="404"/>
      <c r="V439" s="404"/>
      <c r="W439" s="404"/>
      <c r="X439" s="404"/>
      <c r="Y439" s="404"/>
      <c r="Z439" s="404"/>
      <c r="AA439" s="404"/>
    </row>
    <row r="440">
      <c r="A440" s="404"/>
      <c r="B440" s="419"/>
      <c r="C440" s="404"/>
      <c r="D440" s="404"/>
      <c r="E440" s="404"/>
      <c r="F440" s="404"/>
      <c r="G440" s="404"/>
      <c r="H440" s="404"/>
      <c r="I440" s="404"/>
      <c r="J440" s="404"/>
      <c r="K440" s="404"/>
      <c r="L440" s="404"/>
      <c r="M440" s="404"/>
      <c r="N440" s="404"/>
      <c r="O440" s="404"/>
      <c r="P440" s="404"/>
      <c r="Q440" s="404"/>
      <c r="R440" s="404"/>
      <c r="S440" s="404"/>
      <c r="T440" s="404"/>
      <c r="U440" s="404"/>
      <c r="V440" s="404"/>
      <c r="W440" s="404"/>
      <c r="X440" s="404"/>
      <c r="Y440" s="404"/>
      <c r="Z440" s="404"/>
      <c r="AA440" s="404"/>
    </row>
    <row r="441">
      <c r="A441" s="404"/>
      <c r="B441" s="419"/>
      <c r="C441" s="404"/>
      <c r="D441" s="404"/>
      <c r="E441" s="404"/>
      <c r="F441" s="404"/>
      <c r="G441" s="404"/>
      <c r="H441" s="404"/>
      <c r="I441" s="404"/>
      <c r="J441" s="404"/>
      <c r="K441" s="404"/>
      <c r="L441" s="404"/>
      <c r="M441" s="404"/>
      <c r="N441" s="404"/>
      <c r="O441" s="404"/>
      <c r="P441" s="404"/>
      <c r="Q441" s="404"/>
      <c r="R441" s="404"/>
      <c r="S441" s="404"/>
      <c r="T441" s="404"/>
      <c r="U441" s="404"/>
      <c r="V441" s="404"/>
      <c r="W441" s="404"/>
      <c r="X441" s="404"/>
      <c r="Y441" s="404"/>
      <c r="Z441" s="404"/>
      <c r="AA441" s="404"/>
    </row>
    <row r="442">
      <c r="A442" s="404"/>
      <c r="B442" s="419"/>
      <c r="C442" s="404"/>
      <c r="D442" s="404"/>
      <c r="E442" s="404"/>
      <c r="F442" s="404"/>
      <c r="G442" s="404"/>
      <c r="H442" s="404"/>
      <c r="I442" s="404"/>
      <c r="J442" s="404"/>
      <c r="K442" s="404"/>
      <c r="L442" s="404"/>
      <c r="M442" s="404"/>
      <c r="N442" s="404"/>
      <c r="O442" s="404"/>
      <c r="P442" s="404"/>
      <c r="Q442" s="404"/>
      <c r="R442" s="404"/>
      <c r="S442" s="404"/>
      <c r="T442" s="404"/>
      <c r="U442" s="404"/>
      <c r="V442" s="404"/>
      <c r="W442" s="404"/>
      <c r="X442" s="404"/>
      <c r="Y442" s="404"/>
      <c r="Z442" s="404"/>
      <c r="AA442" s="404"/>
    </row>
    <row r="443">
      <c r="A443" s="404"/>
      <c r="B443" s="419"/>
      <c r="C443" s="404"/>
      <c r="D443" s="404"/>
      <c r="E443" s="404"/>
      <c r="F443" s="404"/>
      <c r="G443" s="404"/>
      <c r="H443" s="404"/>
      <c r="I443" s="404"/>
      <c r="J443" s="404"/>
      <c r="K443" s="404"/>
      <c r="L443" s="404"/>
      <c r="M443" s="404"/>
      <c r="N443" s="404"/>
      <c r="O443" s="404"/>
      <c r="P443" s="404"/>
      <c r="Q443" s="404"/>
      <c r="R443" s="404"/>
      <c r="S443" s="404"/>
      <c r="T443" s="404"/>
      <c r="U443" s="404"/>
      <c r="V443" s="404"/>
      <c r="W443" s="404"/>
      <c r="X443" s="404"/>
      <c r="Y443" s="404"/>
      <c r="Z443" s="404"/>
      <c r="AA443" s="404"/>
    </row>
    <row r="444">
      <c r="A444" s="404"/>
      <c r="B444" s="419"/>
      <c r="C444" s="404"/>
      <c r="D444" s="404"/>
      <c r="E444" s="404"/>
      <c r="F444" s="404"/>
      <c r="G444" s="404"/>
      <c r="H444" s="404"/>
      <c r="I444" s="404"/>
      <c r="J444" s="404"/>
      <c r="K444" s="404"/>
      <c r="L444" s="404"/>
      <c r="M444" s="404"/>
      <c r="N444" s="404"/>
      <c r="O444" s="404"/>
      <c r="P444" s="404"/>
      <c r="Q444" s="404"/>
      <c r="R444" s="404"/>
      <c r="S444" s="404"/>
      <c r="T444" s="404"/>
      <c r="U444" s="404"/>
      <c r="V444" s="404"/>
      <c r="W444" s="404"/>
      <c r="X444" s="404"/>
      <c r="Y444" s="404"/>
      <c r="Z444" s="404"/>
      <c r="AA444" s="404"/>
    </row>
    <row r="445">
      <c r="A445" s="404"/>
      <c r="B445" s="419"/>
      <c r="C445" s="404"/>
      <c r="D445" s="404"/>
      <c r="E445" s="404"/>
      <c r="F445" s="404"/>
      <c r="G445" s="404"/>
      <c r="H445" s="404"/>
      <c r="I445" s="404"/>
      <c r="J445" s="404"/>
      <c r="K445" s="404"/>
      <c r="L445" s="404"/>
      <c r="M445" s="404"/>
      <c r="N445" s="404"/>
      <c r="O445" s="404"/>
      <c r="P445" s="404"/>
      <c r="Q445" s="404"/>
      <c r="R445" s="404"/>
      <c r="S445" s="404"/>
      <c r="T445" s="404"/>
      <c r="U445" s="404"/>
      <c r="V445" s="404"/>
      <c r="W445" s="404"/>
      <c r="X445" s="404"/>
      <c r="Y445" s="404"/>
      <c r="Z445" s="404"/>
      <c r="AA445" s="404"/>
    </row>
    <row r="446">
      <c r="A446" s="404"/>
      <c r="B446" s="419"/>
      <c r="C446" s="404"/>
      <c r="D446" s="404"/>
      <c r="E446" s="404"/>
      <c r="F446" s="404"/>
      <c r="G446" s="404"/>
      <c r="H446" s="404"/>
      <c r="I446" s="404"/>
      <c r="J446" s="404"/>
      <c r="K446" s="404"/>
      <c r="L446" s="404"/>
      <c r="M446" s="404"/>
      <c r="N446" s="404"/>
      <c r="O446" s="404"/>
      <c r="P446" s="404"/>
      <c r="Q446" s="404"/>
      <c r="R446" s="404"/>
      <c r="S446" s="404"/>
      <c r="T446" s="404"/>
      <c r="U446" s="404"/>
      <c r="V446" s="404"/>
      <c r="W446" s="404"/>
      <c r="X446" s="404"/>
      <c r="Y446" s="404"/>
      <c r="Z446" s="404"/>
      <c r="AA446" s="404"/>
    </row>
    <row r="447">
      <c r="A447" s="404"/>
      <c r="B447" s="419"/>
      <c r="C447" s="404"/>
      <c r="D447" s="404"/>
      <c r="E447" s="404"/>
      <c r="F447" s="404"/>
      <c r="G447" s="404"/>
      <c r="H447" s="404"/>
      <c r="I447" s="404"/>
      <c r="J447" s="404"/>
      <c r="K447" s="404"/>
      <c r="L447" s="404"/>
      <c r="M447" s="404"/>
      <c r="N447" s="404"/>
      <c r="O447" s="404"/>
      <c r="P447" s="404"/>
      <c r="Q447" s="404"/>
      <c r="R447" s="404"/>
      <c r="S447" s="404"/>
      <c r="T447" s="404"/>
      <c r="U447" s="404"/>
      <c r="V447" s="404"/>
      <c r="W447" s="404"/>
      <c r="X447" s="404"/>
      <c r="Y447" s="404"/>
      <c r="Z447" s="404"/>
      <c r="AA447" s="404"/>
    </row>
    <row r="448">
      <c r="A448" s="404"/>
      <c r="B448" s="419"/>
      <c r="C448" s="404"/>
      <c r="D448" s="404"/>
      <c r="E448" s="404"/>
      <c r="F448" s="404"/>
      <c r="G448" s="404"/>
      <c r="H448" s="404"/>
      <c r="I448" s="404"/>
      <c r="J448" s="404"/>
      <c r="K448" s="404"/>
      <c r="L448" s="404"/>
      <c r="M448" s="404"/>
      <c r="N448" s="404"/>
      <c r="O448" s="404"/>
      <c r="P448" s="404"/>
      <c r="Q448" s="404"/>
      <c r="R448" s="404"/>
      <c r="S448" s="404"/>
      <c r="T448" s="404"/>
      <c r="U448" s="404"/>
      <c r="V448" s="404"/>
      <c r="W448" s="404"/>
      <c r="X448" s="404"/>
      <c r="Y448" s="404"/>
      <c r="Z448" s="404"/>
      <c r="AA448" s="404"/>
    </row>
    <row r="449">
      <c r="A449" s="404"/>
      <c r="B449" s="419"/>
      <c r="C449" s="404"/>
      <c r="D449" s="404"/>
      <c r="E449" s="404"/>
      <c r="F449" s="404"/>
      <c r="G449" s="404"/>
      <c r="H449" s="404"/>
      <c r="I449" s="404"/>
      <c r="J449" s="404"/>
      <c r="K449" s="404"/>
      <c r="L449" s="404"/>
      <c r="M449" s="404"/>
      <c r="N449" s="404"/>
      <c r="O449" s="404"/>
      <c r="P449" s="404"/>
      <c r="Q449" s="404"/>
      <c r="R449" s="404"/>
      <c r="S449" s="404"/>
      <c r="T449" s="404"/>
      <c r="U449" s="404"/>
      <c r="V449" s="404"/>
      <c r="W449" s="404"/>
      <c r="X449" s="404"/>
      <c r="Y449" s="404"/>
      <c r="Z449" s="404"/>
      <c r="AA449" s="404"/>
    </row>
    <row r="450">
      <c r="A450" s="404"/>
      <c r="B450" s="419"/>
      <c r="C450" s="404"/>
      <c r="D450" s="404"/>
      <c r="E450" s="404"/>
      <c r="F450" s="404"/>
      <c r="G450" s="404"/>
      <c r="H450" s="404"/>
      <c r="I450" s="404"/>
      <c r="J450" s="404"/>
      <c r="K450" s="404"/>
      <c r="L450" s="404"/>
      <c r="M450" s="404"/>
      <c r="N450" s="404"/>
      <c r="O450" s="404"/>
      <c r="P450" s="404"/>
      <c r="Q450" s="404"/>
      <c r="R450" s="404"/>
      <c r="S450" s="404"/>
      <c r="T450" s="404"/>
      <c r="U450" s="404"/>
      <c r="V450" s="404"/>
      <c r="W450" s="404"/>
      <c r="X450" s="404"/>
      <c r="Y450" s="404"/>
      <c r="Z450" s="404"/>
      <c r="AA450" s="404"/>
    </row>
    <row r="451">
      <c r="A451" s="404"/>
      <c r="B451" s="419"/>
      <c r="C451" s="404"/>
      <c r="D451" s="404"/>
      <c r="E451" s="404"/>
      <c r="F451" s="404"/>
      <c r="G451" s="404"/>
      <c r="H451" s="404"/>
      <c r="I451" s="404"/>
      <c r="J451" s="404"/>
      <c r="K451" s="404"/>
      <c r="L451" s="404"/>
      <c r="M451" s="404"/>
      <c r="N451" s="404"/>
      <c r="O451" s="404"/>
      <c r="P451" s="404"/>
      <c r="Q451" s="404"/>
      <c r="R451" s="404"/>
      <c r="S451" s="404"/>
      <c r="T451" s="404"/>
      <c r="U451" s="404"/>
      <c r="V451" s="404"/>
      <c r="W451" s="404"/>
      <c r="X451" s="404"/>
      <c r="Y451" s="404"/>
      <c r="Z451" s="404"/>
      <c r="AA451" s="404"/>
    </row>
    <row r="452">
      <c r="A452" s="404"/>
      <c r="B452" s="419"/>
      <c r="C452" s="404"/>
      <c r="D452" s="404"/>
      <c r="E452" s="404"/>
      <c r="F452" s="404"/>
      <c r="G452" s="404"/>
      <c r="H452" s="404"/>
      <c r="I452" s="404"/>
      <c r="J452" s="404"/>
      <c r="K452" s="404"/>
      <c r="L452" s="404"/>
      <c r="M452" s="404"/>
      <c r="N452" s="404"/>
      <c r="O452" s="404"/>
      <c r="P452" s="404"/>
      <c r="Q452" s="404"/>
      <c r="R452" s="404"/>
      <c r="S452" s="404"/>
      <c r="T452" s="404"/>
      <c r="U452" s="404"/>
      <c r="V452" s="404"/>
      <c r="W452" s="404"/>
      <c r="X452" s="404"/>
      <c r="Y452" s="404"/>
      <c r="Z452" s="404"/>
      <c r="AA452" s="404"/>
    </row>
    <row r="453">
      <c r="A453" s="404"/>
      <c r="B453" s="419"/>
      <c r="C453" s="404"/>
      <c r="D453" s="404"/>
      <c r="E453" s="404"/>
      <c r="F453" s="404"/>
      <c r="G453" s="404"/>
      <c r="H453" s="404"/>
      <c r="I453" s="404"/>
      <c r="J453" s="404"/>
      <c r="K453" s="404"/>
      <c r="L453" s="404"/>
      <c r="M453" s="404"/>
      <c r="N453" s="404"/>
      <c r="O453" s="404"/>
      <c r="P453" s="404"/>
      <c r="Q453" s="404"/>
      <c r="R453" s="404"/>
      <c r="S453" s="404"/>
      <c r="T453" s="404"/>
      <c r="U453" s="404"/>
      <c r="V453" s="404"/>
      <c r="W453" s="404"/>
      <c r="X453" s="404"/>
      <c r="Y453" s="404"/>
      <c r="Z453" s="404"/>
      <c r="AA453" s="404"/>
    </row>
    <row r="454">
      <c r="A454" s="404"/>
      <c r="B454" s="419"/>
      <c r="C454" s="404"/>
      <c r="D454" s="404"/>
      <c r="E454" s="404"/>
      <c r="F454" s="404"/>
      <c r="G454" s="404"/>
      <c r="H454" s="404"/>
      <c r="I454" s="404"/>
      <c r="J454" s="404"/>
      <c r="K454" s="404"/>
      <c r="L454" s="404"/>
      <c r="M454" s="404"/>
      <c r="N454" s="404"/>
      <c r="O454" s="404"/>
      <c r="P454" s="404"/>
      <c r="Q454" s="404"/>
      <c r="R454" s="404"/>
      <c r="S454" s="404"/>
      <c r="T454" s="404"/>
      <c r="U454" s="404"/>
      <c r="V454" s="404"/>
      <c r="W454" s="404"/>
      <c r="X454" s="404"/>
      <c r="Y454" s="404"/>
      <c r="Z454" s="404"/>
      <c r="AA454" s="404"/>
    </row>
    <row r="455">
      <c r="A455" s="404"/>
      <c r="B455" s="419"/>
      <c r="C455" s="404"/>
      <c r="D455" s="404"/>
      <c r="E455" s="404"/>
      <c r="F455" s="404"/>
      <c r="G455" s="404"/>
      <c r="H455" s="404"/>
      <c r="I455" s="404"/>
      <c r="J455" s="404"/>
      <c r="K455" s="404"/>
      <c r="L455" s="404"/>
      <c r="M455" s="404"/>
      <c r="N455" s="404"/>
      <c r="O455" s="404"/>
      <c r="P455" s="404"/>
      <c r="Q455" s="404"/>
      <c r="R455" s="404"/>
      <c r="S455" s="404"/>
      <c r="T455" s="404"/>
      <c r="U455" s="404"/>
      <c r="V455" s="404"/>
      <c r="W455" s="404"/>
      <c r="X455" s="404"/>
      <c r="Y455" s="404"/>
      <c r="Z455" s="404"/>
      <c r="AA455" s="404"/>
    </row>
    <row r="456">
      <c r="A456" s="404"/>
      <c r="B456" s="419"/>
      <c r="C456" s="404"/>
      <c r="D456" s="404"/>
      <c r="E456" s="404"/>
      <c r="F456" s="404"/>
      <c r="G456" s="404"/>
      <c r="H456" s="404"/>
      <c r="I456" s="404"/>
      <c r="J456" s="404"/>
      <c r="K456" s="404"/>
      <c r="L456" s="404"/>
      <c r="M456" s="404"/>
      <c r="N456" s="404"/>
      <c r="O456" s="404"/>
      <c r="P456" s="404"/>
      <c r="Q456" s="404"/>
      <c r="R456" s="404"/>
      <c r="S456" s="404"/>
      <c r="T456" s="404"/>
      <c r="U456" s="404"/>
      <c r="V456" s="404"/>
      <c r="W456" s="404"/>
      <c r="X456" s="404"/>
      <c r="Y456" s="404"/>
      <c r="Z456" s="404"/>
      <c r="AA456" s="404"/>
    </row>
    <row r="457">
      <c r="A457" s="404"/>
      <c r="B457" s="419"/>
      <c r="C457" s="404"/>
      <c r="D457" s="404"/>
      <c r="E457" s="404"/>
      <c r="F457" s="404"/>
      <c r="G457" s="404"/>
      <c r="H457" s="404"/>
      <c r="I457" s="404"/>
      <c r="J457" s="404"/>
      <c r="K457" s="404"/>
      <c r="L457" s="404"/>
      <c r="M457" s="404"/>
      <c r="N457" s="404"/>
      <c r="O457" s="404"/>
      <c r="P457" s="404"/>
      <c r="Q457" s="404"/>
      <c r="R457" s="404"/>
      <c r="S457" s="404"/>
      <c r="T457" s="404"/>
      <c r="U457" s="404"/>
      <c r="V457" s="404"/>
      <c r="W457" s="404"/>
      <c r="X457" s="404"/>
      <c r="Y457" s="404"/>
      <c r="Z457" s="404"/>
      <c r="AA457" s="404"/>
    </row>
    <row r="458">
      <c r="A458" s="404"/>
      <c r="B458" s="419"/>
      <c r="C458" s="404"/>
      <c r="D458" s="404"/>
      <c r="E458" s="404"/>
      <c r="F458" s="404"/>
      <c r="G458" s="404"/>
      <c r="H458" s="404"/>
      <c r="I458" s="404"/>
      <c r="J458" s="404"/>
      <c r="K458" s="404"/>
      <c r="L458" s="404"/>
      <c r="M458" s="404"/>
      <c r="N458" s="404"/>
      <c r="O458" s="404"/>
      <c r="P458" s="404"/>
      <c r="Q458" s="404"/>
      <c r="R458" s="404"/>
      <c r="S458" s="404"/>
      <c r="T458" s="404"/>
      <c r="U458" s="404"/>
      <c r="V458" s="404"/>
      <c r="W458" s="404"/>
      <c r="X458" s="404"/>
      <c r="Y458" s="404"/>
      <c r="Z458" s="404"/>
      <c r="AA458" s="404"/>
    </row>
    <row r="459">
      <c r="A459" s="404"/>
      <c r="B459" s="419"/>
      <c r="C459" s="404"/>
      <c r="D459" s="404"/>
      <c r="E459" s="404"/>
      <c r="F459" s="404"/>
      <c r="G459" s="404"/>
      <c r="H459" s="404"/>
      <c r="I459" s="404"/>
      <c r="J459" s="404"/>
      <c r="K459" s="404"/>
      <c r="L459" s="404"/>
      <c r="M459" s="404"/>
      <c r="N459" s="404"/>
      <c r="O459" s="404"/>
      <c r="P459" s="404"/>
      <c r="Q459" s="404"/>
      <c r="R459" s="404"/>
      <c r="S459" s="404"/>
      <c r="T459" s="404"/>
      <c r="U459" s="404"/>
      <c r="V459" s="404"/>
      <c r="W459" s="404"/>
      <c r="X459" s="404"/>
      <c r="Y459" s="404"/>
      <c r="Z459" s="404"/>
      <c r="AA459" s="404"/>
    </row>
    <row r="460">
      <c r="A460" s="404"/>
      <c r="B460" s="419"/>
      <c r="C460" s="404"/>
      <c r="D460" s="404"/>
      <c r="E460" s="404"/>
      <c r="F460" s="404"/>
      <c r="G460" s="404"/>
      <c r="H460" s="404"/>
      <c r="I460" s="404"/>
      <c r="J460" s="404"/>
      <c r="K460" s="404"/>
      <c r="L460" s="404"/>
      <c r="M460" s="404"/>
      <c r="N460" s="404"/>
      <c r="O460" s="404"/>
      <c r="P460" s="404"/>
      <c r="Q460" s="404"/>
      <c r="R460" s="404"/>
      <c r="S460" s="404"/>
      <c r="T460" s="404"/>
      <c r="U460" s="404"/>
      <c r="V460" s="404"/>
      <c r="W460" s="404"/>
      <c r="X460" s="404"/>
      <c r="Y460" s="404"/>
      <c r="Z460" s="404"/>
      <c r="AA460" s="404"/>
    </row>
    <row r="461">
      <c r="A461" s="404"/>
      <c r="B461" s="419"/>
      <c r="C461" s="404"/>
      <c r="D461" s="404"/>
      <c r="E461" s="404"/>
      <c r="F461" s="404"/>
      <c r="G461" s="404"/>
      <c r="H461" s="404"/>
      <c r="I461" s="404"/>
      <c r="J461" s="404"/>
      <c r="K461" s="404"/>
      <c r="L461" s="404"/>
      <c r="M461" s="404"/>
      <c r="N461" s="404"/>
      <c r="O461" s="404"/>
      <c r="P461" s="404"/>
      <c r="Q461" s="404"/>
      <c r="R461" s="404"/>
      <c r="S461" s="404"/>
      <c r="T461" s="404"/>
      <c r="U461" s="404"/>
      <c r="V461" s="404"/>
      <c r="W461" s="404"/>
      <c r="X461" s="404"/>
      <c r="Y461" s="404"/>
      <c r="Z461" s="404"/>
      <c r="AA461" s="404"/>
    </row>
    <row r="462">
      <c r="A462" s="404"/>
      <c r="B462" s="419"/>
      <c r="C462" s="404"/>
      <c r="D462" s="404"/>
      <c r="E462" s="404"/>
      <c r="F462" s="404"/>
      <c r="G462" s="404"/>
      <c r="H462" s="404"/>
      <c r="I462" s="404"/>
      <c r="J462" s="404"/>
      <c r="K462" s="404"/>
      <c r="L462" s="404"/>
      <c r="M462" s="404"/>
      <c r="N462" s="404"/>
      <c r="O462" s="404"/>
      <c r="P462" s="404"/>
      <c r="Q462" s="404"/>
      <c r="R462" s="404"/>
      <c r="S462" s="404"/>
      <c r="T462" s="404"/>
      <c r="U462" s="404"/>
      <c r="V462" s="404"/>
      <c r="W462" s="404"/>
      <c r="X462" s="404"/>
      <c r="Y462" s="404"/>
      <c r="Z462" s="404"/>
      <c r="AA462" s="404"/>
    </row>
    <row r="463">
      <c r="A463" s="404"/>
      <c r="B463" s="419"/>
      <c r="C463" s="404"/>
      <c r="D463" s="404"/>
      <c r="E463" s="404"/>
      <c r="F463" s="404"/>
      <c r="G463" s="404"/>
      <c r="H463" s="404"/>
      <c r="I463" s="404"/>
      <c r="J463" s="404"/>
      <c r="K463" s="404"/>
      <c r="L463" s="404"/>
      <c r="M463" s="404"/>
      <c r="N463" s="404"/>
      <c r="O463" s="404"/>
      <c r="P463" s="404"/>
      <c r="Q463" s="404"/>
      <c r="R463" s="404"/>
      <c r="S463" s="404"/>
      <c r="T463" s="404"/>
      <c r="U463" s="404"/>
      <c r="V463" s="404"/>
      <c r="W463" s="404"/>
      <c r="X463" s="404"/>
      <c r="Y463" s="404"/>
      <c r="Z463" s="404"/>
      <c r="AA463" s="404"/>
    </row>
    <row r="464">
      <c r="A464" s="404"/>
      <c r="B464" s="419"/>
      <c r="C464" s="404"/>
      <c r="D464" s="404"/>
      <c r="E464" s="404"/>
      <c r="F464" s="404"/>
      <c r="G464" s="404"/>
      <c r="H464" s="404"/>
      <c r="I464" s="404"/>
      <c r="J464" s="404"/>
      <c r="K464" s="404"/>
      <c r="L464" s="404"/>
      <c r="M464" s="404"/>
      <c r="N464" s="404"/>
      <c r="O464" s="404"/>
      <c r="P464" s="404"/>
      <c r="Q464" s="404"/>
      <c r="R464" s="404"/>
      <c r="S464" s="404"/>
      <c r="T464" s="404"/>
      <c r="U464" s="404"/>
      <c r="V464" s="404"/>
      <c r="W464" s="404"/>
      <c r="X464" s="404"/>
      <c r="Y464" s="404"/>
      <c r="Z464" s="404"/>
      <c r="AA464" s="404"/>
    </row>
    <row r="465">
      <c r="A465" s="404"/>
      <c r="B465" s="419"/>
      <c r="C465" s="404"/>
      <c r="D465" s="404"/>
      <c r="E465" s="404"/>
      <c r="F465" s="404"/>
      <c r="G465" s="404"/>
      <c r="H465" s="404"/>
      <c r="I465" s="404"/>
      <c r="J465" s="404"/>
      <c r="K465" s="404"/>
      <c r="L465" s="404"/>
      <c r="M465" s="404"/>
      <c r="N465" s="404"/>
      <c r="O465" s="404"/>
      <c r="P465" s="404"/>
      <c r="Q465" s="404"/>
      <c r="R465" s="404"/>
      <c r="S465" s="404"/>
      <c r="T465" s="404"/>
      <c r="U465" s="404"/>
      <c r="V465" s="404"/>
      <c r="W465" s="404"/>
      <c r="X465" s="404"/>
      <c r="Y465" s="404"/>
      <c r="Z465" s="404"/>
      <c r="AA465" s="404"/>
    </row>
    <row r="466">
      <c r="A466" s="404"/>
      <c r="B466" s="419"/>
      <c r="C466" s="404"/>
      <c r="D466" s="404"/>
      <c r="E466" s="404"/>
      <c r="F466" s="404"/>
      <c r="G466" s="404"/>
      <c r="H466" s="404"/>
      <c r="I466" s="404"/>
      <c r="J466" s="404"/>
      <c r="K466" s="404"/>
      <c r="L466" s="404"/>
      <c r="M466" s="404"/>
      <c r="N466" s="404"/>
      <c r="O466" s="404"/>
      <c r="P466" s="404"/>
      <c r="Q466" s="404"/>
      <c r="R466" s="404"/>
      <c r="S466" s="404"/>
      <c r="T466" s="404"/>
      <c r="U466" s="404"/>
      <c r="V466" s="404"/>
      <c r="W466" s="404"/>
      <c r="X466" s="404"/>
      <c r="Y466" s="404"/>
      <c r="Z466" s="404"/>
      <c r="AA466" s="404"/>
    </row>
    <row r="467">
      <c r="A467" s="404"/>
      <c r="B467" s="419"/>
      <c r="C467" s="404"/>
      <c r="D467" s="404"/>
      <c r="E467" s="404"/>
      <c r="F467" s="404"/>
      <c r="G467" s="404"/>
      <c r="H467" s="404"/>
      <c r="I467" s="404"/>
      <c r="J467" s="404"/>
      <c r="K467" s="404"/>
      <c r="L467" s="404"/>
      <c r="M467" s="404"/>
      <c r="N467" s="404"/>
      <c r="O467" s="404"/>
      <c r="P467" s="404"/>
      <c r="Q467" s="404"/>
      <c r="R467" s="404"/>
      <c r="S467" s="404"/>
      <c r="T467" s="404"/>
      <c r="U467" s="404"/>
      <c r="V467" s="404"/>
      <c r="W467" s="404"/>
      <c r="X467" s="404"/>
      <c r="Y467" s="404"/>
      <c r="Z467" s="404"/>
      <c r="AA467" s="404"/>
    </row>
    <row r="468">
      <c r="A468" s="404"/>
      <c r="B468" s="419"/>
      <c r="C468" s="404"/>
      <c r="D468" s="404"/>
      <c r="E468" s="404"/>
      <c r="F468" s="404"/>
      <c r="G468" s="404"/>
      <c r="H468" s="404"/>
      <c r="I468" s="404"/>
      <c r="J468" s="404"/>
      <c r="K468" s="404"/>
      <c r="L468" s="404"/>
      <c r="M468" s="404"/>
      <c r="N468" s="404"/>
      <c r="O468" s="404"/>
      <c r="P468" s="404"/>
      <c r="Q468" s="404"/>
      <c r="R468" s="404"/>
      <c r="S468" s="404"/>
      <c r="T468" s="404"/>
      <c r="U468" s="404"/>
      <c r="V468" s="404"/>
      <c r="W468" s="404"/>
      <c r="X468" s="404"/>
      <c r="Y468" s="404"/>
      <c r="Z468" s="404"/>
      <c r="AA468" s="404"/>
    </row>
    <row r="469">
      <c r="A469" s="404"/>
      <c r="B469" s="419"/>
      <c r="C469" s="404"/>
      <c r="D469" s="404"/>
      <c r="E469" s="404"/>
      <c r="F469" s="404"/>
      <c r="G469" s="404"/>
      <c r="H469" s="404"/>
      <c r="I469" s="404"/>
      <c r="J469" s="404"/>
      <c r="K469" s="404"/>
      <c r="L469" s="404"/>
      <c r="M469" s="404"/>
      <c r="N469" s="404"/>
      <c r="O469" s="404"/>
      <c r="P469" s="404"/>
      <c r="Q469" s="404"/>
      <c r="R469" s="404"/>
      <c r="S469" s="404"/>
      <c r="T469" s="404"/>
      <c r="U469" s="404"/>
      <c r="V469" s="404"/>
      <c r="W469" s="404"/>
      <c r="X469" s="404"/>
      <c r="Y469" s="404"/>
      <c r="Z469" s="404"/>
      <c r="AA469" s="404"/>
    </row>
    <row r="470">
      <c r="A470" s="404"/>
      <c r="B470" s="419"/>
      <c r="C470" s="404"/>
      <c r="D470" s="404"/>
      <c r="E470" s="404"/>
      <c r="F470" s="404"/>
      <c r="G470" s="404"/>
      <c r="H470" s="404"/>
      <c r="I470" s="404"/>
      <c r="J470" s="404"/>
      <c r="K470" s="404"/>
      <c r="L470" s="404"/>
      <c r="M470" s="404"/>
      <c r="N470" s="404"/>
      <c r="O470" s="404"/>
      <c r="P470" s="404"/>
      <c r="Q470" s="404"/>
      <c r="R470" s="404"/>
      <c r="S470" s="404"/>
      <c r="T470" s="404"/>
      <c r="U470" s="404"/>
      <c r="V470" s="404"/>
      <c r="W470" s="404"/>
      <c r="X470" s="404"/>
      <c r="Y470" s="404"/>
      <c r="Z470" s="404"/>
      <c r="AA470" s="404"/>
    </row>
    <row r="471">
      <c r="A471" s="404"/>
      <c r="B471" s="419"/>
      <c r="C471" s="404"/>
      <c r="D471" s="404"/>
      <c r="E471" s="404"/>
      <c r="F471" s="404"/>
      <c r="G471" s="404"/>
      <c r="H471" s="404"/>
      <c r="I471" s="404"/>
      <c r="J471" s="404"/>
      <c r="K471" s="404"/>
      <c r="L471" s="404"/>
      <c r="M471" s="404"/>
      <c r="N471" s="404"/>
      <c r="O471" s="404"/>
      <c r="P471" s="404"/>
      <c r="Q471" s="404"/>
      <c r="R471" s="404"/>
      <c r="S471" s="404"/>
      <c r="T471" s="404"/>
      <c r="U471" s="404"/>
      <c r="V471" s="404"/>
      <c r="W471" s="404"/>
      <c r="X471" s="404"/>
      <c r="Y471" s="404"/>
      <c r="Z471" s="404"/>
      <c r="AA471" s="404"/>
    </row>
    <row r="472">
      <c r="A472" s="404"/>
      <c r="B472" s="419"/>
      <c r="C472" s="404"/>
      <c r="D472" s="404"/>
      <c r="E472" s="404"/>
      <c r="F472" s="404"/>
      <c r="G472" s="404"/>
      <c r="H472" s="404"/>
      <c r="I472" s="404"/>
      <c r="J472" s="404"/>
      <c r="K472" s="404"/>
      <c r="L472" s="404"/>
      <c r="M472" s="404"/>
      <c r="N472" s="404"/>
      <c r="O472" s="404"/>
      <c r="P472" s="404"/>
      <c r="Q472" s="404"/>
      <c r="R472" s="404"/>
      <c r="S472" s="404"/>
      <c r="T472" s="404"/>
      <c r="U472" s="404"/>
      <c r="V472" s="404"/>
      <c r="W472" s="404"/>
      <c r="X472" s="404"/>
      <c r="Y472" s="404"/>
      <c r="Z472" s="404"/>
      <c r="AA472" s="404"/>
    </row>
    <row r="473">
      <c r="A473" s="404"/>
      <c r="B473" s="419"/>
      <c r="C473" s="404"/>
      <c r="D473" s="404"/>
      <c r="E473" s="404"/>
      <c r="F473" s="404"/>
      <c r="G473" s="404"/>
      <c r="H473" s="404"/>
      <c r="I473" s="404"/>
      <c r="J473" s="404"/>
      <c r="K473" s="404"/>
      <c r="L473" s="404"/>
      <c r="M473" s="404"/>
      <c r="N473" s="404"/>
      <c r="O473" s="404"/>
      <c r="P473" s="404"/>
      <c r="Q473" s="404"/>
      <c r="R473" s="404"/>
      <c r="S473" s="404"/>
      <c r="T473" s="404"/>
      <c r="U473" s="404"/>
      <c r="V473" s="404"/>
      <c r="W473" s="404"/>
      <c r="X473" s="404"/>
      <c r="Y473" s="404"/>
      <c r="Z473" s="404"/>
      <c r="AA473" s="404"/>
    </row>
    <row r="474">
      <c r="A474" s="404"/>
      <c r="B474" s="419"/>
      <c r="C474" s="404"/>
      <c r="D474" s="404"/>
      <c r="E474" s="404"/>
      <c r="F474" s="404"/>
      <c r="G474" s="404"/>
      <c r="H474" s="404"/>
      <c r="I474" s="404"/>
      <c r="J474" s="404"/>
      <c r="K474" s="404"/>
      <c r="L474" s="404"/>
      <c r="M474" s="404"/>
      <c r="N474" s="404"/>
      <c r="O474" s="404"/>
      <c r="P474" s="404"/>
      <c r="Q474" s="404"/>
      <c r="R474" s="404"/>
      <c r="S474" s="404"/>
      <c r="T474" s="404"/>
      <c r="U474" s="404"/>
      <c r="V474" s="404"/>
      <c r="W474" s="404"/>
      <c r="X474" s="404"/>
      <c r="Y474" s="404"/>
      <c r="Z474" s="404"/>
      <c r="AA474" s="404"/>
    </row>
    <row r="475">
      <c r="A475" s="404"/>
      <c r="B475" s="419"/>
      <c r="C475" s="404"/>
      <c r="D475" s="404"/>
      <c r="E475" s="404"/>
      <c r="F475" s="404"/>
      <c r="G475" s="404"/>
      <c r="H475" s="404"/>
      <c r="I475" s="404"/>
      <c r="J475" s="404"/>
      <c r="K475" s="404"/>
      <c r="L475" s="404"/>
      <c r="M475" s="404"/>
      <c r="N475" s="404"/>
      <c r="O475" s="404"/>
      <c r="P475" s="404"/>
      <c r="Q475" s="404"/>
      <c r="R475" s="404"/>
      <c r="S475" s="404"/>
      <c r="T475" s="404"/>
      <c r="U475" s="404"/>
      <c r="V475" s="404"/>
      <c r="W475" s="404"/>
      <c r="X475" s="404"/>
      <c r="Y475" s="404"/>
      <c r="Z475" s="404"/>
      <c r="AA475" s="404"/>
    </row>
    <row r="476">
      <c r="A476" s="404"/>
      <c r="B476" s="419"/>
      <c r="C476" s="404"/>
      <c r="D476" s="404"/>
      <c r="E476" s="404"/>
      <c r="F476" s="404"/>
      <c r="G476" s="404"/>
      <c r="H476" s="404"/>
      <c r="I476" s="404"/>
      <c r="J476" s="404"/>
      <c r="K476" s="404"/>
      <c r="L476" s="404"/>
      <c r="M476" s="404"/>
      <c r="N476" s="404"/>
      <c r="O476" s="404"/>
      <c r="P476" s="404"/>
      <c r="Q476" s="404"/>
      <c r="R476" s="404"/>
      <c r="S476" s="404"/>
      <c r="T476" s="404"/>
      <c r="U476" s="404"/>
      <c r="V476" s="404"/>
      <c r="W476" s="404"/>
      <c r="X476" s="404"/>
      <c r="Y476" s="404"/>
      <c r="Z476" s="404"/>
      <c r="AA476" s="404"/>
    </row>
    <row r="477">
      <c r="A477" s="404"/>
      <c r="B477" s="419"/>
      <c r="C477" s="404"/>
      <c r="D477" s="404"/>
      <c r="E477" s="404"/>
      <c r="F477" s="404"/>
      <c r="G477" s="404"/>
      <c r="H477" s="404"/>
      <c r="I477" s="404"/>
      <c r="J477" s="404"/>
      <c r="K477" s="404"/>
      <c r="L477" s="404"/>
      <c r="M477" s="404"/>
      <c r="N477" s="404"/>
      <c r="O477" s="404"/>
      <c r="P477" s="404"/>
      <c r="Q477" s="404"/>
      <c r="R477" s="404"/>
      <c r="S477" s="404"/>
      <c r="T477" s="404"/>
      <c r="U477" s="404"/>
      <c r="V477" s="404"/>
      <c r="W477" s="404"/>
      <c r="X477" s="404"/>
      <c r="Y477" s="404"/>
      <c r="Z477" s="404"/>
      <c r="AA477" s="404"/>
    </row>
    <row r="478">
      <c r="A478" s="404"/>
      <c r="B478" s="419"/>
      <c r="C478" s="404"/>
      <c r="D478" s="404"/>
      <c r="E478" s="404"/>
      <c r="F478" s="404"/>
      <c r="G478" s="404"/>
      <c r="H478" s="404"/>
      <c r="I478" s="404"/>
      <c r="J478" s="404"/>
      <c r="K478" s="404"/>
      <c r="L478" s="404"/>
      <c r="M478" s="404"/>
      <c r="N478" s="404"/>
      <c r="O478" s="404"/>
      <c r="P478" s="404"/>
      <c r="Q478" s="404"/>
      <c r="R478" s="404"/>
      <c r="S478" s="404"/>
      <c r="T478" s="404"/>
      <c r="U478" s="404"/>
      <c r="V478" s="404"/>
      <c r="W478" s="404"/>
      <c r="X478" s="404"/>
      <c r="Y478" s="404"/>
      <c r="Z478" s="404"/>
      <c r="AA478" s="404"/>
    </row>
    <row r="479">
      <c r="A479" s="404"/>
      <c r="B479" s="419"/>
      <c r="C479" s="404"/>
      <c r="D479" s="404"/>
      <c r="E479" s="404"/>
      <c r="F479" s="404"/>
      <c r="G479" s="404"/>
      <c r="H479" s="404"/>
      <c r="I479" s="404"/>
      <c r="J479" s="404"/>
      <c r="K479" s="404"/>
      <c r="L479" s="404"/>
      <c r="M479" s="404"/>
      <c r="N479" s="404"/>
      <c r="O479" s="404"/>
      <c r="P479" s="404"/>
      <c r="Q479" s="404"/>
      <c r="R479" s="404"/>
      <c r="S479" s="404"/>
      <c r="T479" s="404"/>
      <c r="U479" s="404"/>
      <c r="V479" s="404"/>
      <c r="W479" s="404"/>
      <c r="X479" s="404"/>
      <c r="Y479" s="404"/>
      <c r="Z479" s="404"/>
      <c r="AA479" s="404"/>
    </row>
    <row r="480">
      <c r="A480" s="404"/>
      <c r="B480" s="419"/>
      <c r="C480" s="404"/>
      <c r="D480" s="404"/>
      <c r="E480" s="404"/>
      <c r="F480" s="404"/>
      <c r="G480" s="404"/>
      <c r="H480" s="404"/>
      <c r="I480" s="404"/>
      <c r="J480" s="404"/>
      <c r="K480" s="404"/>
      <c r="L480" s="404"/>
      <c r="M480" s="404"/>
      <c r="N480" s="404"/>
      <c r="O480" s="404"/>
      <c r="P480" s="404"/>
      <c r="Q480" s="404"/>
      <c r="R480" s="404"/>
      <c r="S480" s="404"/>
      <c r="T480" s="404"/>
      <c r="U480" s="404"/>
      <c r="V480" s="404"/>
      <c r="W480" s="404"/>
      <c r="X480" s="404"/>
      <c r="Y480" s="404"/>
      <c r="Z480" s="404"/>
      <c r="AA480" s="404"/>
    </row>
    <row r="481">
      <c r="A481" s="404"/>
      <c r="B481" s="419"/>
      <c r="C481" s="404"/>
      <c r="D481" s="404"/>
      <c r="E481" s="404"/>
      <c r="F481" s="404"/>
      <c r="G481" s="404"/>
      <c r="H481" s="404"/>
      <c r="I481" s="404"/>
      <c r="J481" s="404"/>
      <c r="K481" s="404"/>
      <c r="L481" s="404"/>
      <c r="M481" s="404"/>
      <c r="N481" s="404"/>
      <c r="O481" s="404"/>
      <c r="P481" s="404"/>
      <c r="Q481" s="404"/>
      <c r="R481" s="404"/>
      <c r="S481" s="404"/>
      <c r="T481" s="404"/>
      <c r="U481" s="404"/>
      <c r="V481" s="404"/>
      <c r="W481" s="404"/>
      <c r="X481" s="404"/>
      <c r="Y481" s="404"/>
      <c r="Z481" s="404"/>
      <c r="AA481" s="404"/>
    </row>
    <row r="482">
      <c r="A482" s="404"/>
      <c r="B482" s="419"/>
      <c r="C482" s="404"/>
      <c r="D482" s="404"/>
      <c r="E482" s="404"/>
      <c r="F482" s="404"/>
      <c r="G482" s="404"/>
      <c r="H482" s="404"/>
      <c r="I482" s="404"/>
      <c r="J482" s="404"/>
      <c r="K482" s="404"/>
      <c r="L482" s="404"/>
      <c r="M482" s="404"/>
      <c r="N482" s="404"/>
      <c r="O482" s="404"/>
      <c r="P482" s="404"/>
      <c r="Q482" s="404"/>
      <c r="R482" s="404"/>
      <c r="S482" s="404"/>
      <c r="T482" s="404"/>
      <c r="U482" s="404"/>
      <c r="V482" s="404"/>
      <c r="W482" s="404"/>
      <c r="X482" s="404"/>
      <c r="Y482" s="404"/>
      <c r="Z482" s="404"/>
      <c r="AA482" s="404"/>
    </row>
    <row r="483">
      <c r="A483" s="404"/>
      <c r="B483" s="419"/>
      <c r="C483" s="404"/>
      <c r="D483" s="404"/>
      <c r="E483" s="404"/>
      <c r="F483" s="404"/>
      <c r="G483" s="404"/>
      <c r="H483" s="404"/>
      <c r="I483" s="404"/>
      <c r="J483" s="404"/>
      <c r="K483" s="404"/>
      <c r="L483" s="404"/>
      <c r="M483" s="404"/>
      <c r="N483" s="404"/>
      <c r="O483" s="404"/>
      <c r="P483" s="404"/>
      <c r="Q483" s="404"/>
      <c r="R483" s="404"/>
      <c r="S483" s="404"/>
      <c r="T483" s="404"/>
      <c r="U483" s="404"/>
      <c r="V483" s="404"/>
      <c r="W483" s="404"/>
      <c r="X483" s="404"/>
      <c r="Y483" s="404"/>
      <c r="Z483" s="404"/>
      <c r="AA483" s="404"/>
    </row>
    <row r="484">
      <c r="A484" s="404"/>
      <c r="B484" s="419"/>
      <c r="C484" s="404"/>
      <c r="D484" s="404"/>
      <c r="E484" s="404"/>
      <c r="F484" s="404"/>
      <c r="G484" s="404"/>
      <c r="H484" s="404"/>
      <c r="I484" s="404"/>
      <c r="J484" s="404"/>
      <c r="K484" s="404"/>
      <c r="L484" s="404"/>
      <c r="M484" s="404"/>
      <c r="N484" s="404"/>
      <c r="O484" s="404"/>
      <c r="P484" s="404"/>
      <c r="Q484" s="404"/>
      <c r="R484" s="404"/>
      <c r="S484" s="404"/>
      <c r="T484" s="404"/>
      <c r="U484" s="404"/>
      <c r="V484" s="404"/>
      <c r="W484" s="404"/>
      <c r="X484" s="404"/>
      <c r="Y484" s="404"/>
      <c r="Z484" s="404"/>
      <c r="AA484" s="404"/>
    </row>
    <row r="485">
      <c r="A485" s="404"/>
      <c r="B485" s="419"/>
      <c r="C485" s="404"/>
      <c r="D485" s="404"/>
      <c r="E485" s="404"/>
      <c r="F485" s="404"/>
      <c r="G485" s="404"/>
      <c r="H485" s="404"/>
      <c r="I485" s="404"/>
      <c r="J485" s="404"/>
      <c r="K485" s="404"/>
      <c r="L485" s="404"/>
      <c r="M485" s="404"/>
      <c r="N485" s="404"/>
      <c r="O485" s="404"/>
      <c r="P485" s="404"/>
      <c r="Q485" s="404"/>
      <c r="R485" s="404"/>
      <c r="S485" s="404"/>
      <c r="T485" s="404"/>
      <c r="U485" s="404"/>
      <c r="V485" s="404"/>
      <c r="W485" s="404"/>
      <c r="X485" s="404"/>
      <c r="Y485" s="404"/>
      <c r="Z485" s="404"/>
      <c r="AA485" s="404"/>
    </row>
    <row r="486">
      <c r="A486" s="404"/>
      <c r="B486" s="419"/>
      <c r="C486" s="404"/>
      <c r="D486" s="404"/>
      <c r="E486" s="404"/>
      <c r="F486" s="404"/>
      <c r="G486" s="404"/>
      <c r="H486" s="404"/>
      <c r="I486" s="404"/>
      <c r="J486" s="404"/>
      <c r="K486" s="404"/>
      <c r="L486" s="404"/>
      <c r="M486" s="404"/>
      <c r="N486" s="404"/>
      <c r="O486" s="404"/>
      <c r="P486" s="404"/>
      <c r="Q486" s="404"/>
      <c r="R486" s="404"/>
      <c r="S486" s="404"/>
      <c r="T486" s="404"/>
      <c r="U486" s="404"/>
      <c r="V486" s="404"/>
      <c r="W486" s="404"/>
      <c r="X486" s="404"/>
      <c r="Y486" s="404"/>
      <c r="Z486" s="404"/>
      <c r="AA486" s="404"/>
    </row>
    <row r="487">
      <c r="A487" s="404"/>
      <c r="B487" s="419"/>
      <c r="C487" s="404"/>
      <c r="D487" s="404"/>
      <c r="E487" s="404"/>
      <c r="F487" s="404"/>
      <c r="G487" s="404"/>
      <c r="H487" s="404"/>
      <c r="I487" s="404"/>
      <c r="J487" s="404"/>
      <c r="K487" s="404"/>
      <c r="L487" s="404"/>
      <c r="M487" s="404"/>
      <c r="N487" s="404"/>
      <c r="O487" s="404"/>
      <c r="P487" s="404"/>
      <c r="Q487" s="404"/>
      <c r="R487" s="404"/>
      <c r="S487" s="404"/>
      <c r="T487" s="404"/>
      <c r="U487" s="404"/>
      <c r="V487" s="404"/>
      <c r="W487" s="404"/>
      <c r="X487" s="404"/>
      <c r="Y487" s="404"/>
      <c r="Z487" s="404"/>
      <c r="AA487" s="404"/>
    </row>
    <row r="488">
      <c r="A488" s="404"/>
      <c r="B488" s="419"/>
      <c r="C488" s="404"/>
      <c r="D488" s="404"/>
      <c r="E488" s="404"/>
      <c r="F488" s="404"/>
      <c r="G488" s="404"/>
      <c r="H488" s="404"/>
      <c r="I488" s="404"/>
      <c r="J488" s="404"/>
      <c r="K488" s="404"/>
      <c r="L488" s="404"/>
      <c r="M488" s="404"/>
      <c r="N488" s="404"/>
      <c r="O488" s="404"/>
      <c r="P488" s="404"/>
      <c r="Q488" s="404"/>
      <c r="R488" s="404"/>
      <c r="S488" s="404"/>
      <c r="T488" s="404"/>
      <c r="U488" s="404"/>
      <c r="V488" s="404"/>
      <c r="W488" s="404"/>
      <c r="X488" s="404"/>
      <c r="Y488" s="404"/>
      <c r="Z488" s="404"/>
      <c r="AA488" s="404"/>
    </row>
    <row r="489">
      <c r="A489" s="404"/>
      <c r="B489" s="419"/>
      <c r="C489" s="404"/>
      <c r="D489" s="404"/>
      <c r="E489" s="404"/>
      <c r="F489" s="404"/>
      <c r="G489" s="404"/>
      <c r="H489" s="404"/>
      <c r="I489" s="404"/>
      <c r="J489" s="404"/>
      <c r="K489" s="404"/>
      <c r="L489" s="404"/>
      <c r="M489" s="404"/>
      <c r="N489" s="404"/>
      <c r="O489" s="404"/>
      <c r="P489" s="404"/>
      <c r="Q489" s="404"/>
      <c r="R489" s="404"/>
      <c r="S489" s="404"/>
      <c r="T489" s="404"/>
      <c r="U489" s="404"/>
      <c r="V489" s="404"/>
      <c r="W489" s="404"/>
      <c r="X489" s="404"/>
      <c r="Y489" s="404"/>
      <c r="Z489" s="404"/>
      <c r="AA489" s="404"/>
    </row>
    <row r="490">
      <c r="A490" s="404"/>
      <c r="B490" s="419"/>
      <c r="C490" s="404"/>
      <c r="D490" s="404"/>
      <c r="E490" s="404"/>
      <c r="F490" s="404"/>
      <c r="G490" s="404"/>
      <c r="H490" s="404"/>
      <c r="I490" s="404"/>
      <c r="J490" s="404"/>
      <c r="K490" s="404"/>
      <c r="L490" s="404"/>
      <c r="M490" s="404"/>
      <c r="N490" s="404"/>
      <c r="O490" s="404"/>
      <c r="P490" s="404"/>
      <c r="Q490" s="404"/>
      <c r="R490" s="404"/>
      <c r="S490" s="404"/>
      <c r="T490" s="404"/>
      <c r="U490" s="404"/>
      <c r="V490" s="404"/>
      <c r="W490" s="404"/>
      <c r="X490" s="404"/>
      <c r="Y490" s="404"/>
      <c r="Z490" s="404"/>
      <c r="AA490" s="404"/>
    </row>
    <row r="491">
      <c r="A491" s="404"/>
      <c r="B491" s="419"/>
      <c r="C491" s="404"/>
      <c r="D491" s="404"/>
      <c r="E491" s="404"/>
      <c r="F491" s="404"/>
      <c r="G491" s="404"/>
      <c r="H491" s="404"/>
      <c r="I491" s="404"/>
      <c r="J491" s="404"/>
      <c r="K491" s="404"/>
      <c r="L491" s="404"/>
      <c r="M491" s="404"/>
      <c r="N491" s="404"/>
      <c r="O491" s="404"/>
      <c r="P491" s="404"/>
      <c r="Q491" s="404"/>
      <c r="R491" s="404"/>
      <c r="S491" s="404"/>
      <c r="T491" s="404"/>
      <c r="U491" s="404"/>
      <c r="V491" s="404"/>
      <c r="W491" s="404"/>
      <c r="X491" s="404"/>
      <c r="Y491" s="404"/>
      <c r="Z491" s="404"/>
      <c r="AA491" s="404"/>
    </row>
    <row r="492">
      <c r="A492" s="404"/>
      <c r="B492" s="419"/>
      <c r="C492" s="404"/>
      <c r="D492" s="404"/>
      <c r="E492" s="404"/>
      <c r="F492" s="404"/>
      <c r="G492" s="404"/>
      <c r="H492" s="404"/>
      <c r="I492" s="404"/>
      <c r="J492" s="404"/>
      <c r="K492" s="404"/>
      <c r="L492" s="404"/>
      <c r="M492" s="404"/>
      <c r="N492" s="404"/>
      <c r="O492" s="404"/>
      <c r="P492" s="404"/>
      <c r="Q492" s="404"/>
      <c r="R492" s="404"/>
      <c r="S492" s="404"/>
      <c r="T492" s="404"/>
      <c r="U492" s="404"/>
      <c r="V492" s="404"/>
      <c r="W492" s="404"/>
      <c r="X492" s="404"/>
      <c r="Y492" s="404"/>
      <c r="Z492" s="404"/>
      <c r="AA492" s="404"/>
    </row>
    <row r="493">
      <c r="A493" s="404"/>
      <c r="B493" s="419"/>
      <c r="C493" s="404"/>
      <c r="D493" s="404"/>
      <c r="E493" s="404"/>
      <c r="F493" s="404"/>
      <c r="G493" s="404"/>
      <c r="H493" s="404"/>
      <c r="I493" s="404"/>
      <c r="J493" s="404"/>
      <c r="K493" s="404"/>
      <c r="L493" s="404"/>
      <c r="M493" s="404"/>
      <c r="N493" s="404"/>
      <c r="O493" s="404"/>
      <c r="P493" s="404"/>
      <c r="Q493" s="404"/>
      <c r="R493" s="404"/>
      <c r="S493" s="404"/>
      <c r="T493" s="404"/>
      <c r="U493" s="404"/>
      <c r="V493" s="404"/>
      <c r="W493" s="404"/>
      <c r="X493" s="404"/>
      <c r="Y493" s="404"/>
      <c r="Z493" s="404"/>
      <c r="AA493" s="404"/>
    </row>
    <row r="494">
      <c r="A494" s="404"/>
      <c r="B494" s="419"/>
      <c r="C494" s="404"/>
      <c r="D494" s="404"/>
      <c r="E494" s="404"/>
      <c r="F494" s="404"/>
      <c r="G494" s="404"/>
      <c r="H494" s="404"/>
      <c r="I494" s="404"/>
      <c r="J494" s="404"/>
      <c r="K494" s="404"/>
      <c r="L494" s="404"/>
      <c r="M494" s="404"/>
      <c r="N494" s="404"/>
      <c r="O494" s="404"/>
      <c r="P494" s="404"/>
      <c r="Q494" s="404"/>
      <c r="R494" s="404"/>
      <c r="S494" s="404"/>
      <c r="T494" s="404"/>
      <c r="U494" s="404"/>
      <c r="V494" s="404"/>
      <c r="W494" s="404"/>
      <c r="X494" s="404"/>
      <c r="Y494" s="404"/>
      <c r="Z494" s="404"/>
      <c r="AA494" s="404"/>
    </row>
    <row r="495">
      <c r="A495" s="404"/>
      <c r="B495" s="419"/>
      <c r="C495" s="404"/>
      <c r="D495" s="404"/>
      <c r="E495" s="404"/>
      <c r="F495" s="404"/>
      <c r="G495" s="404"/>
      <c r="H495" s="404"/>
      <c r="I495" s="404"/>
      <c r="J495" s="404"/>
      <c r="K495" s="404"/>
      <c r="L495" s="404"/>
      <c r="M495" s="404"/>
      <c r="N495" s="404"/>
      <c r="O495" s="404"/>
      <c r="P495" s="404"/>
      <c r="Q495" s="404"/>
      <c r="R495" s="404"/>
      <c r="S495" s="404"/>
      <c r="T495" s="404"/>
      <c r="U495" s="404"/>
      <c r="V495" s="404"/>
      <c r="W495" s="404"/>
      <c r="X495" s="404"/>
      <c r="Y495" s="404"/>
      <c r="Z495" s="404"/>
      <c r="AA495" s="404"/>
    </row>
    <row r="496">
      <c r="A496" s="404"/>
      <c r="B496" s="419"/>
      <c r="C496" s="404"/>
      <c r="D496" s="404"/>
      <c r="E496" s="404"/>
      <c r="F496" s="404"/>
      <c r="G496" s="404"/>
      <c r="H496" s="404"/>
      <c r="I496" s="404"/>
      <c r="J496" s="404"/>
      <c r="K496" s="404"/>
      <c r="L496" s="404"/>
      <c r="M496" s="404"/>
      <c r="N496" s="404"/>
      <c r="O496" s="404"/>
      <c r="P496" s="404"/>
      <c r="Q496" s="404"/>
      <c r="R496" s="404"/>
      <c r="S496" s="404"/>
      <c r="T496" s="404"/>
      <c r="U496" s="404"/>
      <c r="V496" s="404"/>
      <c r="W496" s="404"/>
      <c r="X496" s="404"/>
      <c r="Y496" s="404"/>
      <c r="Z496" s="404"/>
      <c r="AA496" s="404"/>
    </row>
    <row r="497">
      <c r="A497" s="404"/>
      <c r="B497" s="419"/>
      <c r="C497" s="404"/>
      <c r="D497" s="404"/>
      <c r="E497" s="404"/>
      <c r="F497" s="404"/>
      <c r="G497" s="404"/>
      <c r="H497" s="404"/>
      <c r="I497" s="404"/>
      <c r="J497" s="404"/>
      <c r="K497" s="404"/>
      <c r="L497" s="404"/>
      <c r="M497" s="404"/>
      <c r="N497" s="404"/>
      <c r="O497" s="404"/>
      <c r="P497" s="404"/>
      <c r="Q497" s="404"/>
      <c r="R497" s="404"/>
      <c r="S497" s="404"/>
      <c r="T497" s="404"/>
      <c r="U497" s="404"/>
      <c r="V497" s="404"/>
      <c r="W497" s="404"/>
      <c r="X497" s="404"/>
      <c r="Y497" s="404"/>
      <c r="Z497" s="404"/>
      <c r="AA497" s="404"/>
    </row>
    <row r="498">
      <c r="A498" s="404"/>
      <c r="B498" s="419"/>
      <c r="C498" s="404"/>
      <c r="D498" s="404"/>
      <c r="E498" s="404"/>
      <c r="F498" s="404"/>
      <c r="G498" s="404"/>
      <c r="H498" s="404"/>
      <c r="I498" s="404"/>
      <c r="J498" s="404"/>
      <c r="K498" s="404"/>
      <c r="L498" s="404"/>
      <c r="M498" s="404"/>
      <c r="N498" s="404"/>
      <c r="O498" s="404"/>
      <c r="P498" s="404"/>
      <c r="Q498" s="404"/>
      <c r="R498" s="404"/>
      <c r="S498" s="404"/>
      <c r="T498" s="404"/>
      <c r="U498" s="404"/>
      <c r="V498" s="404"/>
      <c r="W498" s="404"/>
      <c r="X498" s="404"/>
      <c r="Y498" s="404"/>
      <c r="Z498" s="404"/>
      <c r="AA498" s="404"/>
    </row>
    <row r="499">
      <c r="A499" s="404"/>
      <c r="B499" s="419"/>
      <c r="C499" s="404"/>
      <c r="D499" s="404"/>
      <c r="E499" s="404"/>
      <c r="F499" s="404"/>
      <c r="G499" s="404"/>
      <c r="H499" s="404"/>
      <c r="I499" s="404"/>
      <c r="J499" s="404"/>
      <c r="K499" s="404"/>
      <c r="L499" s="404"/>
      <c r="M499" s="404"/>
      <c r="N499" s="404"/>
      <c r="O499" s="404"/>
      <c r="P499" s="404"/>
      <c r="Q499" s="404"/>
      <c r="R499" s="404"/>
      <c r="S499" s="404"/>
      <c r="T499" s="404"/>
      <c r="U499" s="404"/>
      <c r="V499" s="404"/>
      <c r="W499" s="404"/>
      <c r="X499" s="404"/>
      <c r="Y499" s="404"/>
      <c r="Z499" s="404"/>
      <c r="AA499" s="404"/>
    </row>
    <row r="500">
      <c r="A500" s="404"/>
      <c r="B500" s="419"/>
      <c r="C500" s="404"/>
      <c r="D500" s="404"/>
      <c r="E500" s="404"/>
      <c r="F500" s="404"/>
      <c r="G500" s="404"/>
      <c r="H500" s="404"/>
      <c r="I500" s="404"/>
      <c r="J500" s="404"/>
      <c r="K500" s="404"/>
      <c r="L500" s="404"/>
      <c r="M500" s="404"/>
      <c r="N500" s="404"/>
      <c r="O500" s="404"/>
      <c r="P500" s="404"/>
      <c r="Q500" s="404"/>
      <c r="R500" s="404"/>
      <c r="S500" s="404"/>
      <c r="T500" s="404"/>
      <c r="U500" s="404"/>
      <c r="V500" s="404"/>
      <c r="W500" s="404"/>
      <c r="X500" s="404"/>
      <c r="Y500" s="404"/>
      <c r="Z500" s="404"/>
      <c r="AA500" s="404"/>
    </row>
    <row r="501">
      <c r="A501" s="404"/>
      <c r="B501" s="419"/>
      <c r="C501" s="404"/>
      <c r="D501" s="404"/>
      <c r="E501" s="404"/>
      <c r="F501" s="404"/>
      <c r="G501" s="404"/>
      <c r="H501" s="404"/>
      <c r="I501" s="404"/>
      <c r="J501" s="404"/>
      <c r="K501" s="404"/>
      <c r="L501" s="404"/>
      <c r="M501" s="404"/>
      <c r="N501" s="404"/>
      <c r="O501" s="404"/>
      <c r="P501" s="404"/>
      <c r="Q501" s="404"/>
      <c r="R501" s="404"/>
      <c r="S501" s="404"/>
      <c r="T501" s="404"/>
      <c r="U501" s="404"/>
      <c r="V501" s="404"/>
      <c r="W501" s="404"/>
      <c r="X501" s="404"/>
      <c r="Y501" s="404"/>
      <c r="Z501" s="404"/>
      <c r="AA501" s="404"/>
    </row>
    <row r="502">
      <c r="A502" s="404"/>
      <c r="B502" s="419"/>
      <c r="C502" s="404"/>
      <c r="D502" s="404"/>
      <c r="E502" s="404"/>
      <c r="F502" s="404"/>
      <c r="G502" s="404"/>
      <c r="H502" s="404"/>
      <c r="I502" s="404"/>
      <c r="J502" s="404"/>
      <c r="K502" s="404"/>
      <c r="L502" s="404"/>
      <c r="M502" s="404"/>
      <c r="N502" s="404"/>
      <c r="O502" s="404"/>
      <c r="P502" s="404"/>
      <c r="Q502" s="404"/>
      <c r="R502" s="404"/>
      <c r="S502" s="404"/>
      <c r="T502" s="404"/>
      <c r="U502" s="404"/>
      <c r="V502" s="404"/>
      <c r="W502" s="404"/>
      <c r="X502" s="404"/>
      <c r="Y502" s="404"/>
      <c r="Z502" s="404"/>
      <c r="AA502" s="404"/>
    </row>
    <row r="503">
      <c r="A503" s="404"/>
      <c r="B503" s="419"/>
      <c r="C503" s="404"/>
      <c r="D503" s="404"/>
      <c r="E503" s="404"/>
      <c r="F503" s="404"/>
      <c r="G503" s="404"/>
      <c r="H503" s="404"/>
      <c r="I503" s="404"/>
      <c r="J503" s="404"/>
      <c r="K503" s="404"/>
      <c r="L503" s="404"/>
      <c r="M503" s="404"/>
      <c r="N503" s="404"/>
      <c r="O503" s="404"/>
      <c r="P503" s="404"/>
      <c r="Q503" s="404"/>
      <c r="R503" s="404"/>
      <c r="S503" s="404"/>
      <c r="T503" s="404"/>
      <c r="U503" s="404"/>
      <c r="V503" s="404"/>
      <c r="W503" s="404"/>
      <c r="X503" s="404"/>
      <c r="Y503" s="404"/>
      <c r="Z503" s="404"/>
      <c r="AA503" s="404"/>
    </row>
    <row r="504">
      <c r="A504" s="404"/>
      <c r="B504" s="419"/>
      <c r="C504" s="404"/>
      <c r="D504" s="404"/>
      <c r="E504" s="404"/>
      <c r="F504" s="404"/>
      <c r="G504" s="404"/>
      <c r="H504" s="404"/>
      <c r="I504" s="404"/>
      <c r="J504" s="404"/>
      <c r="K504" s="404"/>
      <c r="L504" s="404"/>
      <c r="M504" s="404"/>
      <c r="N504" s="404"/>
      <c r="O504" s="404"/>
      <c r="P504" s="404"/>
      <c r="Q504" s="404"/>
      <c r="R504" s="404"/>
      <c r="S504" s="404"/>
      <c r="T504" s="404"/>
      <c r="U504" s="404"/>
      <c r="V504" s="404"/>
      <c r="W504" s="404"/>
      <c r="X504" s="404"/>
      <c r="Y504" s="404"/>
      <c r="Z504" s="404"/>
      <c r="AA504" s="404"/>
    </row>
    <row r="505">
      <c r="A505" s="404"/>
      <c r="B505" s="419"/>
      <c r="C505" s="404"/>
      <c r="D505" s="404"/>
      <c r="E505" s="404"/>
      <c r="F505" s="404"/>
      <c r="G505" s="404"/>
      <c r="H505" s="404"/>
      <c r="I505" s="404"/>
      <c r="J505" s="404"/>
      <c r="K505" s="404"/>
      <c r="L505" s="404"/>
      <c r="M505" s="404"/>
      <c r="N505" s="404"/>
      <c r="O505" s="404"/>
      <c r="P505" s="404"/>
      <c r="Q505" s="404"/>
      <c r="R505" s="404"/>
      <c r="S505" s="404"/>
      <c r="T505" s="404"/>
      <c r="U505" s="404"/>
      <c r="V505" s="404"/>
      <c r="W505" s="404"/>
      <c r="X505" s="404"/>
      <c r="Y505" s="404"/>
      <c r="Z505" s="404"/>
      <c r="AA505" s="404"/>
    </row>
    <row r="506">
      <c r="A506" s="404"/>
      <c r="B506" s="419"/>
      <c r="C506" s="404"/>
      <c r="D506" s="404"/>
      <c r="E506" s="404"/>
      <c r="F506" s="404"/>
      <c r="G506" s="404"/>
      <c r="H506" s="404"/>
      <c r="I506" s="404"/>
      <c r="J506" s="404"/>
      <c r="K506" s="404"/>
      <c r="L506" s="404"/>
      <c r="M506" s="404"/>
      <c r="N506" s="404"/>
      <c r="O506" s="404"/>
      <c r="P506" s="404"/>
      <c r="Q506" s="404"/>
      <c r="R506" s="404"/>
      <c r="S506" s="404"/>
      <c r="T506" s="404"/>
      <c r="U506" s="404"/>
      <c r="V506" s="404"/>
      <c r="W506" s="404"/>
      <c r="X506" s="404"/>
      <c r="Y506" s="404"/>
      <c r="Z506" s="404"/>
      <c r="AA506" s="404"/>
    </row>
    <row r="507">
      <c r="A507" s="404"/>
      <c r="B507" s="419"/>
      <c r="C507" s="404"/>
      <c r="D507" s="404"/>
      <c r="E507" s="404"/>
      <c r="F507" s="404"/>
      <c r="G507" s="404"/>
      <c r="H507" s="404"/>
      <c r="I507" s="404"/>
      <c r="J507" s="404"/>
      <c r="K507" s="404"/>
      <c r="L507" s="404"/>
      <c r="M507" s="404"/>
      <c r="N507" s="404"/>
      <c r="O507" s="404"/>
      <c r="P507" s="404"/>
      <c r="Q507" s="404"/>
      <c r="R507" s="404"/>
      <c r="S507" s="404"/>
      <c r="T507" s="404"/>
      <c r="U507" s="404"/>
      <c r="V507" s="404"/>
      <c r="W507" s="404"/>
      <c r="X507" s="404"/>
      <c r="Y507" s="404"/>
      <c r="Z507" s="404"/>
      <c r="AA507" s="404"/>
    </row>
    <row r="508">
      <c r="A508" s="404"/>
      <c r="B508" s="419"/>
      <c r="C508" s="404"/>
      <c r="D508" s="404"/>
      <c r="E508" s="404"/>
      <c r="F508" s="404"/>
      <c r="G508" s="404"/>
      <c r="H508" s="404"/>
      <c r="I508" s="404"/>
      <c r="J508" s="404"/>
      <c r="K508" s="404"/>
      <c r="L508" s="404"/>
      <c r="M508" s="404"/>
      <c r="N508" s="404"/>
      <c r="O508" s="404"/>
      <c r="P508" s="404"/>
      <c r="Q508" s="404"/>
      <c r="R508" s="404"/>
      <c r="S508" s="404"/>
      <c r="T508" s="404"/>
      <c r="U508" s="404"/>
      <c r="V508" s="404"/>
      <c r="W508" s="404"/>
      <c r="X508" s="404"/>
      <c r="Y508" s="404"/>
      <c r="Z508" s="404"/>
      <c r="AA508" s="404"/>
    </row>
    <row r="509">
      <c r="A509" s="404"/>
      <c r="B509" s="419"/>
      <c r="C509" s="404"/>
      <c r="D509" s="404"/>
      <c r="E509" s="404"/>
      <c r="F509" s="404"/>
      <c r="G509" s="404"/>
      <c r="H509" s="404"/>
      <c r="I509" s="404"/>
      <c r="J509" s="404"/>
      <c r="K509" s="404"/>
      <c r="L509" s="404"/>
      <c r="M509" s="404"/>
      <c r="N509" s="404"/>
      <c r="O509" s="404"/>
      <c r="P509" s="404"/>
      <c r="Q509" s="404"/>
      <c r="R509" s="404"/>
      <c r="S509" s="404"/>
      <c r="T509" s="404"/>
      <c r="U509" s="404"/>
      <c r="V509" s="404"/>
      <c r="W509" s="404"/>
      <c r="X509" s="404"/>
      <c r="Y509" s="404"/>
      <c r="Z509" s="404"/>
      <c r="AA509" s="404"/>
    </row>
    <row r="510">
      <c r="A510" s="404"/>
      <c r="B510" s="419"/>
      <c r="C510" s="404"/>
      <c r="D510" s="404"/>
      <c r="E510" s="404"/>
      <c r="F510" s="404"/>
      <c r="G510" s="404"/>
      <c r="H510" s="404"/>
      <c r="I510" s="404"/>
      <c r="J510" s="404"/>
      <c r="K510" s="404"/>
      <c r="L510" s="404"/>
      <c r="M510" s="404"/>
      <c r="N510" s="404"/>
      <c r="O510" s="404"/>
      <c r="P510" s="404"/>
      <c r="Q510" s="404"/>
      <c r="R510" s="404"/>
      <c r="S510" s="404"/>
      <c r="T510" s="404"/>
      <c r="U510" s="404"/>
      <c r="V510" s="404"/>
      <c r="W510" s="404"/>
      <c r="X510" s="404"/>
      <c r="Y510" s="404"/>
      <c r="Z510" s="404"/>
      <c r="AA510" s="404"/>
    </row>
    <row r="511">
      <c r="A511" s="404"/>
      <c r="B511" s="419"/>
      <c r="C511" s="404"/>
      <c r="D511" s="404"/>
      <c r="E511" s="404"/>
      <c r="F511" s="404"/>
      <c r="G511" s="404"/>
      <c r="H511" s="404"/>
      <c r="I511" s="404"/>
      <c r="J511" s="404"/>
      <c r="K511" s="404"/>
      <c r="L511" s="404"/>
      <c r="M511" s="404"/>
      <c r="N511" s="404"/>
      <c r="O511" s="404"/>
      <c r="P511" s="404"/>
      <c r="Q511" s="404"/>
      <c r="R511" s="404"/>
      <c r="S511" s="404"/>
      <c r="T511" s="404"/>
      <c r="U511" s="404"/>
      <c r="V511" s="404"/>
      <c r="W511" s="404"/>
      <c r="X511" s="404"/>
      <c r="Y511" s="404"/>
      <c r="Z511" s="404"/>
      <c r="AA511" s="404"/>
    </row>
    <row r="512">
      <c r="A512" s="404"/>
      <c r="B512" s="419"/>
      <c r="C512" s="404"/>
      <c r="D512" s="404"/>
      <c r="E512" s="404"/>
      <c r="F512" s="404"/>
      <c r="G512" s="404"/>
      <c r="H512" s="404"/>
      <c r="I512" s="404"/>
      <c r="J512" s="404"/>
      <c r="K512" s="404"/>
      <c r="L512" s="404"/>
      <c r="M512" s="404"/>
      <c r="N512" s="404"/>
      <c r="O512" s="404"/>
      <c r="P512" s="404"/>
      <c r="Q512" s="404"/>
      <c r="R512" s="404"/>
      <c r="S512" s="404"/>
      <c r="T512" s="404"/>
      <c r="U512" s="404"/>
      <c r="V512" s="404"/>
      <c r="W512" s="404"/>
      <c r="X512" s="404"/>
      <c r="Y512" s="404"/>
      <c r="Z512" s="404"/>
      <c r="AA512" s="404"/>
    </row>
    <row r="513">
      <c r="A513" s="404"/>
      <c r="B513" s="419"/>
      <c r="C513" s="404"/>
      <c r="D513" s="404"/>
      <c r="E513" s="404"/>
      <c r="F513" s="404"/>
      <c r="G513" s="404"/>
      <c r="H513" s="404"/>
      <c r="I513" s="404"/>
      <c r="J513" s="404"/>
      <c r="K513" s="404"/>
      <c r="L513" s="404"/>
      <c r="M513" s="404"/>
      <c r="N513" s="404"/>
      <c r="O513" s="404"/>
      <c r="P513" s="404"/>
      <c r="Q513" s="404"/>
      <c r="R513" s="404"/>
      <c r="S513" s="404"/>
      <c r="T513" s="404"/>
      <c r="U513" s="404"/>
      <c r="V513" s="404"/>
      <c r="W513" s="404"/>
      <c r="X513" s="404"/>
      <c r="Y513" s="404"/>
      <c r="Z513" s="404"/>
      <c r="AA513" s="404"/>
    </row>
    <row r="514">
      <c r="A514" s="404"/>
      <c r="B514" s="419"/>
      <c r="C514" s="404"/>
      <c r="D514" s="404"/>
      <c r="E514" s="404"/>
      <c r="F514" s="404"/>
      <c r="G514" s="404"/>
      <c r="H514" s="404"/>
      <c r="I514" s="404"/>
      <c r="J514" s="404"/>
      <c r="K514" s="404"/>
      <c r="L514" s="404"/>
      <c r="M514" s="404"/>
      <c r="N514" s="404"/>
      <c r="O514" s="404"/>
      <c r="P514" s="404"/>
      <c r="Q514" s="404"/>
      <c r="R514" s="404"/>
      <c r="S514" s="404"/>
      <c r="T514" s="404"/>
      <c r="U514" s="404"/>
      <c r="V514" s="404"/>
      <c r="W514" s="404"/>
      <c r="X514" s="404"/>
      <c r="Y514" s="404"/>
      <c r="Z514" s="404"/>
      <c r="AA514" s="404"/>
    </row>
    <row r="515">
      <c r="A515" s="404"/>
      <c r="B515" s="419"/>
      <c r="C515" s="404"/>
      <c r="D515" s="404"/>
      <c r="E515" s="404"/>
      <c r="F515" s="404"/>
      <c r="G515" s="404"/>
      <c r="H515" s="404"/>
      <c r="I515" s="404"/>
      <c r="J515" s="404"/>
      <c r="K515" s="404"/>
      <c r="L515" s="404"/>
      <c r="M515" s="404"/>
      <c r="N515" s="404"/>
      <c r="O515" s="404"/>
      <c r="P515" s="404"/>
      <c r="Q515" s="404"/>
      <c r="R515" s="404"/>
      <c r="S515" s="404"/>
      <c r="T515" s="404"/>
      <c r="U515" s="404"/>
      <c r="V515" s="404"/>
      <c r="W515" s="404"/>
      <c r="X515" s="404"/>
      <c r="Y515" s="404"/>
      <c r="Z515" s="404"/>
      <c r="AA515" s="404"/>
    </row>
    <row r="516">
      <c r="A516" s="404"/>
      <c r="B516" s="419"/>
      <c r="C516" s="404"/>
      <c r="D516" s="404"/>
      <c r="E516" s="404"/>
      <c r="F516" s="404"/>
      <c r="G516" s="404"/>
      <c r="H516" s="404"/>
      <c r="I516" s="404"/>
      <c r="J516" s="404"/>
      <c r="K516" s="404"/>
      <c r="L516" s="404"/>
      <c r="M516" s="404"/>
      <c r="N516" s="404"/>
      <c r="O516" s="404"/>
      <c r="P516" s="404"/>
      <c r="Q516" s="404"/>
      <c r="R516" s="404"/>
      <c r="S516" s="404"/>
      <c r="T516" s="404"/>
      <c r="U516" s="404"/>
      <c r="V516" s="404"/>
      <c r="W516" s="404"/>
      <c r="X516" s="404"/>
      <c r="Y516" s="404"/>
      <c r="Z516" s="404"/>
      <c r="AA516" s="404"/>
    </row>
    <row r="517">
      <c r="A517" s="404"/>
      <c r="B517" s="419"/>
      <c r="C517" s="404"/>
      <c r="D517" s="404"/>
      <c r="E517" s="404"/>
      <c r="F517" s="404"/>
      <c r="G517" s="404"/>
      <c r="H517" s="404"/>
      <c r="I517" s="404"/>
      <c r="J517" s="404"/>
      <c r="K517" s="404"/>
      <c r="L517" s="404"/>
      <c r="M517" s="404"/>
      <c r="N517" s="404"/>
      <c r="O517" s="404"/>
      <c r="P517" s="404"/>
      <c r="Q517" s="404"/>
      <c r="R517" s="404"/>
      <c r="S517" s="404"/>
      <c r="T517" s="404"/>
      <c r="U517" s="404"/>
      <c r="V517" s="404"/>
      <c r="W517" s="404"/>
      <c r="X517" s="404"/>
      <c r="Y517" s="404"/>
      <c r="Z517" s="404"/>
      <c r="AA517" s="404"/>
    </row>
    <row r="518">
      <c r="A518" s="404"/>
      <c r="B518" s="419"/>
      <c r="C518" s="404"/>
      <c r="D518" s="404"/>
      <c r="E518" s="404"/>
      <c r="F518" s="404"/>
      <c r="G518" s="404"/>
      <c r="H518" s="404"/>
      <c r="I518" s="404"/>
      <c r="J518" s="404"/>
      <c r="K518" s="404"/>
      <c r="L518" s="404"/>
      <c r="M518" s="404"/>
      <c r="N518" s="404"/>
      <c r="O518" s="404"/>
      <c r="P518" s="404"/>
      <c r="Q518" s="404"/>
      <c r="R518" s="404"/>
      <c r="S518" s="404"/>
      <c r="T518" s="404"/>
      <c r="U518" s="404"/>
      <c r="V518" s="404"/>
      <c r="W518" s="404"/>
      <c r="X518" s="404"/>
      <c r="Y518" s="404"/>
      <c r="Z518" s="404"/>
      <c r="AA518" s="404"/>
    </row>
    <row r="519">
      <c r="A519" s="404"/>
      <c r="B519" s="419"/>
      <c r="C519" s="404"/>
      <c r="D519" s="404"/>
      <c r="E519" s="404"/>
      <c r="F519" s="404"/>
      <c r="G519" s="404"/>
      <c r="H519" s="404"/>
      <c r="I519" s="404"/>
      <c r="J519" s="404"/>
      <c r="K519" s="404"/>
      <c r="L519" s="404"/>
      <c r="M519" s="404"/>
      <c r="N519" s="404"/>
      <c r="O519" s="404"/>
      <c r="P519" s="404"/>
      <c r="Q519" s="404"/>
      <c r="R519" s="404"/>
      <c r="S519" s="404"/>
      <c r="T519" s="404"/>
      <c r="U519" s="404"/>
      <c r="V519" s="404"/>
      <c r="W519" s="404"/>
      <c r="X519" s="404"/>
      <c r="Y519" s="404"/>
      <c r="Z519" s="404"/>
      <c r="AA519" s="404"/>
    </row>
    <row r="520">
      <c r="A520" s="404"/>
      <c r="B520" s="419"/>
      <c r="C520" s="404"/>
      <c r="D520" s="404"/>
      <c r="E520" s="404"/>
      <c r="F520" s="404"/>
      <c r="G520" s="404"/>
      <c r="H520" s="404"/>
      <c r="I520" s="404"/>
      <c r="J520" s="404"/>
      <c r="K520" s="404"/>
      <c r="L520" s="404"/>
      <c r="M520" s="404"/>
      <c r="N520" s="404"/>
      <c r="O520" s="404"/>
      <c r="P520" s="404"/>
      <c r="Q520" s="404"/>
      <c r="R520" s="404"/>
      <c r="S520" s="404"/>
      <c r="T520" s="404"/>
      <c r="U520" s="404"/>
      <c r="V520" s="404"/>
      <c r="W520" s="404"/>
      <c r="X520" s="404"/>
      <c r="Y520" s="404"/>
      <c r="Z520" s="404"/>
      <c r="AA520" s="404"/>
    </row>
    <row r="521">
      <c r="A521" s="404"/>
      <c r="B521" s="419"/>
      <c r="C521" s="404"/>
      <c r="D521" s="404"/>
      <c r="E521" s="404"/>
      <c r="F521" s="404"/>
      <c r="G521" s="404"/>
      <c r="H521" s="404"/>
      <c r="I521" s="404"/>
      <c r="J521" s="404"/>
      <c r="K521" s="404"/>
      <c r="L521" s="404"/>
      <c r="M521" s="404"/>
      <c r="N521" s="404"/>
      <c r="O521" s="404"/>
      <c r="P521" s="404"/>
      <c r="Q521" s="404"/>
      <c r="R521" s="404"/>
      <c r="S521" s="404"/>
      <c r="T521" s="404"/>
      <c r="U521" s="404"/>
      <c r="V521" s="404"/>
      <c r="W521" s="404"/>
      <c r="X521" s="404"/>
      <c r="Y521" s="404"/>
      <c r="Z521" s="404"/>
      <c r="AA521" s="404"/>
    </row>
    <row r="522">
      <c r="A522" s="404"/>
      <c r="B522" s="419"/>
      <c r="C522" s="404"/>
      <c r="D522" s="404"/>
      <c r="E522" s="404"/>
      <c r="F522" s="404"/>
      <c r="G522" s="404"/>
      <c r="H522" s="404"/>
      <c r="I522" s="404"/>
      <c r="J522" s="404"/>
      <c r="K522" s="404"/>
      <c r="L522" s="404"/>
      <c r="M522" s="404"/>
      <c r="N522" s="404"/>
      <c r="O522" s="404"/>
      <c r="P522" s="404"/>
      <c r="Q522" s="404"/>
      <c r="R522" s="404"/>
      <c r="S522" s="404"/>
      <c r="T522" s="404"/>
      <c r="U522" s="404"/>
      <c r="V522" s="404"/>
      <c r="W522" s="404"/>
      <c r="X522" s="404"/>
      <c r="Y522" s="404"/>
      <c r="Z522" s="404"/>
      <c r="AA522" s="404"/>
    </row>
    <row r="523">
      <c r="A523" s="404"/>
      <c r="B523" s="419"/>
      <c r="C523" s="404"/>
      <c r="D523" s="404"/>
      <c r="E523" s="404"/>
      <c r="F523" s="404"/>
      <c r="G523" s="404"/>
      <c r="H523" s="404"/>
      <c r="I523" s="404"/>
      <c r="J523" s="404"/>
      <c r="K523" s="404"/>
      <c r="L523" s="404"/>
      <c r="M523" s="404"/>
      <c r="N523" s="404"/>
      <c r="O523" s="404"/>
      <c r="P523" s="404"/>
      <c r="Q523" s="404"/>
      <c r="R523" s="404"/>
      <c r="S523" s="404"/>
      <c r="T523" s="404"/>
      <c r="U523" s="404"/>
      <c r="V523" s="404"/>
      <c r="W523" s="404"/>
      <c r="X523" s="404"/>
      <c r="Y523" s="404"/>
      <c r="Z523" s="404"/>
      <c r="AA523" s="404"/>
    </row>
    <row r="524">
      <c r="A524" s="404"/>
      <c r="B524" s="419"/>
      <c r="C524" s="404"/>
      <c r="D524" s="404"/>
      <c r="E524" s="404"/>
      <c r="F524" s="404"/>
      <c r="G524" s="404"/>
      <c r="H524" s="404"/>
      <c r="I524" s="404"/>
      <c r="J524" s="404"/>
      <c r="K524" s="404"/>
      <c r="L524" s="404"/>
      <c r="M524" s="404"/>
      <c r="N524" s="404"/>
      <c r="O524" s="404"/>
      <c r="P524" s="404"/>
      <c r="Q524" s="404"/>
      <c r="R524" s="404"/>
      <c r="S524" s="404"/>
      <c r="T524" s="404"/>
      <c r="U524" s="404"/>
      <c r="V524" s="404"/>
      <c r="W524" s="404"/>
      <c r="X524" s="404"/>
      <c r="Y524" s="404"/>
      <c r="Z524" s="404"/>
      <c r="AA524" s="404"/>
    </row>
    <row r="525">
      <c r="A525" s="404"/>
      <c r="B525" s="419"/>
      <c r="C525" s="404"/>
      <c r="D525" s="404"/>
      <c r="E525" s="404"/>
      <c r="F525" s="404"/>
      <c r="G525" s="404"/>
      <c r="H525" s="404"/>
      <c r="I525" s="404"/>
      <c r="J525" s="404"/>
      <c r="K525" s="404"/>
      <c r="L525" s="404"/>
      <c r="M525" s="404"/>
      <c r="N525" s="404"/>
      <c r="O525" s="404"/>
      <c r="P525" s="404"/>
      <c r="Q525" s="404"/>
      <c r="R525" s="404"/>
      <c r="S525" s="404"/>
      <c r="T525" s="404"/>
      <c r="U525" s="404"/>
      <c r="V525" s="404"/>
      <c r="W525" s="404"/>
      <c r="X525" s="404"/>
      <c r="Y525" s="404"/>
      <c r="Z525" s="404"/>
      <c r="AA525" s="404"/>
    </row>
    <row r="526">
      <c r="A526" s="404"/>
      <c r="B526" s="419"/>
      <c r="C526" s="404"/>
      <c r="D526" s="404"/>
      <c r="E526" s="404"/>
      <c r="F526" s="404"/>
      <c r="G526" s="404"/>
      <c r="H526" s="404"/>
      <c r="I526" s="404"/>
      <c r="J526" s="404"/>
      <c r="K526" s="404"/>
      <c r="L526" s="404"/>
      <c r="M526" s="404"/>
      <c r="N526" s="404"/>
      <c r="O526" s="404"/>
      <c r="P526" s="404"/>
      <c r="Q526" s="404"/>
      <c r="R526" s="404"/>
      <c r="S526" s="404"/>
      <c r="T526" s="404"/>
      <c r="U526" s="404"/>
      <c r="V526" s="404"/>
      <c r="W526" s="404"/>
      <c r="X526" s="404"/>
      <c r="Y526" s="404"/>
      <c r="Z526" s="404"/>
      <c r="AA526" s="404"/>
    </row>
    <row r="527">
      <c r="A527" s="404"/>
      <c r="B527" s="419"/>
      <c r="C527" s="404"/>
      <c r="D527" s="404"/>
      <c r="E527" s="404"/>
      <c r="F527" s="404"/>
      <c r="G527" s="404"/>
      <c r="H527" s="404"/>
      <c r="I527" s="404"/>
      <c r="J527" s="404"/>
      <c r="K527" s="404"/>
      <c r="L527" s="404"/>
      <c r="M527" s="404"/>
      <c r="N527" s="404"/>
      <c r="O527" s="404"/>
      <c r="P527" s="404"/>
      <c r="Q527" s="404"/>
      <c r="R527" s="404"/>
      <c r="S527" s="404"/>
      <c r="T527" s="404"/>
      <c r="U527" s="404"/>
      <c r="V527" s="404"/>
      <c r="W527" s="404"/>
      <c r="X527" s="404"/>
      <c r="Y527" s="404"/>
      <c r="Z527" s="404"/>
      <c r="AA527" s="404"/>
    </row>
    <row r="528">
      <c r="A528" s="404"/>
      <c r="B528" s="419"/>
      <c r="C528" s="404"/>
      <c r="D528" s="404"/>
      <c r="E528" s="404"/>
      <c r="F528" s="404"/>
      <c r="G528" s="404"/>
      <c r="H528" s="404"/>
      <c r="I528" s="404"/>
      <c r="J528" s="404"/>
      <c r="K528" s="404"/>
      <c r="L528" s="404"/>
      <c r="M528" s="404"/>
      <c r="N528" s="404"/>
      <c r="O528" s="404"/>
      <c r="P528" s="404"/>
      <c r="Q528" s="404"/>
      <c r="R528" s="404"/>
      <c r="S528" s="404"/>
      <c r="T528" s="404"/>
      <c r="U528" s="404"/>
      <c r="V528" s="404"/>
      <c r="W528" s="404"/>
      <c r="X528" s="404"/>
      <c r="Y528" s="404"/>
      <c r="Z528" s="404"/>
      <c r="AA528" s="404"/>
    </row>
    <row r="529">
      <c r="A529" s="404"/>
      <c r="B529" s="419"/>
      <c r="C529" s="404"/>
      <c r="D529" s="404"/>
      <c r="E529" s="404"/>
      <c r="F529" s="404"/>
      <c r="G529" s="404"/>
      <c r="H529" s="404"/>
      <c r="I529" s="404"/>
      <c r="J529" s="404"/>
      <c r="K529" s="404"/>
      <c r="L529" s="404"/>
      <c r="M529" s="404"/>
      <c r="N529" s="404"/>
      <c r="O529" s="404"/>
      <c r="P529" s="404"/>
      <c r="Q529" s="404"/>
      <c r="R529" s="404"/>
      <c r="S529" s="404"/>
      <c r="T529" s="404"/>
      <c r="U529" s="404"/>
      <c r="V529" s="404"/>
      <c r="W529" s="404"/>
      <c r="X529" s="404"/>
      <c r="Y529" s="404"/>
      <c r="Z529" s="404"/>
      <c r="AA529" s="404"/>
    </row>
    <row r="530">
      <c r="A530" s="404"/>
      <c r="B530" s="419"/>
      <c r="C530" s="404"/>
      <c r="D530" s="404"/>
      <c r="E530" s="404"/>
      <c r="F530" s="404"/>
      <c r="G530" s="404"/>
      <c r="H530" s="404"/>
      <c r="I530" s="404"/>
      <c r="J530" s="404"/>
      <c r="K530" s="404"/>
      <c r="L530" s="404"/>
      <c r="M530" s="404"/>
      <c r="N530" s="404"/>
      <c r="O530" s="404"/>
      <c r="P530" s="404"/>
      <c r="Q530" s="404"/>
      <c r="R530" s="404"/>
      <c r="S530" s="404"/>
      <c r="T530" s="404"/>
      <c r="U530" s="404"/>
      <c r="V530" s="404"/>
      <c r="W530" s="404"/>
      <c r="X530" s="404"/>
      <c r="Y530" s="404"/>
      <c r="Z530" s="404"/>
      <c r="AA530" s="404"/>
    </row>
    <row r="531">
      <c r="A531" s="404"/>
      <c r="B531" s="419"/>
      <c r="C531" s="404"/>
      <c r="D531" s="404"/>
      <c r="E531" s="404"/>
      <c r="F531" s="404"/>
      <c r="G531" s="404"/>
      <c r="H531" s="404"/>
      <c r="I531" s="404"/>
      <c r="J531" s="404"/>
      <c r="K531" s="404"/>
      <c r="L531" s="404"/>
      <c r="M531" s="404"/>
      <c r="N531" s="404"/>
      <c r="O531" s="404"/>
      <c r="P531" s="404"/>
      <c r="Q531" s="404"/>
      <c r="R531" s="404"/>
      <c r="S531" s="404"/>
      <c r="T531" s="404"/>
      <c r="U531" s="404"/>
      <c r="V531" s="404"/>
      <c r="W531" s="404"/>
      <c r="X531" s="404"/>
      <c r="Y531" s="404"/>
      <c r="Z531" s="404"/>
      <c r="AA531" s="404"/>
    </row>
    <row r="532">
      <c r="A532" s="404"/>
      <c r="B532" s="419"/>
      <c r="C532" s="404"/>
      <c r="D532" s="404"/>
      <c r="E532" s="404"/>
      <c r="F532" s="404"/>
      <c r="G532" s="404"/>
      <c r="H532" s="404"/>
      <c r="I532" s="404"/>
      <c r="J532" s="404"/>
      <c r="K532" s="404"/>
      <c r="L532" s="404"/>
      <c r="M532" s="404"/>
      <c r="N532" s="404"/>
      <c r="O532" s="404"/>
      <c r="P532" s="404"/>
      <c r="Q532" s="404"/>
      <c r="R532" s="404"/>
      <c r="S532" s="404"/>
      <c r="T532" s="404"/>
      <c r="U532" s="404"/>
      <c r="V532" s="404"/>
      <c r="W532" s="404"/>
      <c r="X532" s="404"/>
      <c r="Y532" s="404"/>
      <c r="Z532" s="404"/>
      <c r="AA532" s="404"/>
    </row>
    <row r="533">
      <c r="A533" s="404"/>
      <c r="B533" s="419"/>
      <c r="C533" s="404"/>
      <c r="D533" s="404"/>
      <c r="E533" s="404"/>
      <c r="F533" s="404"/>
      <c r="G533" s="404"/>
      <c r="H533" s="404"/>
      <c r="I533" s="404"/>
      <c r="J533" s="404"/>
      <c r="K533" s="404"/>
      <c r="L533" s="404"/>
      <c r="M533" s="404"/>
      <c r="N533" s="404"/>
      <c r="O533" s="404"/>
      <c r="P533" s="404"/>
      <c r="Q533" s="404"/>
      <c r="R533" s="404"/>
      <c r="S533" s="404"/>
      <c r="T533" s="404"/>
      <c r="U533" s="404"/>
      <c r="V533" s="404"/>
      <c r="W533" s="404"/>
      <c r="X533" s="404"/>
      <c r="Y533" s="404"/>
      <c r="Z533" s="404"/>
      <c r="AA533" s="404"/>
    </row>
    <row r="534">
      <c r="A534" s="404"/>
      <c r="B534" s="419"/>
      <c r="C534" s="404"/>
      <c r="D534" s="404"/>
      <c r="E534" s="404"/>
      <c r="F534" s="404"/>
      <c r="G534" s="404"/>
      <c r="H534" s="404"/>
      <c r="I534" s="404"/>
      <c r="J534" s="404"/>
      <c r="K534" s="404"/>
      <c r="L534" s="404"/>
      <c r="M534" s="404"/>
      <c r="N534" s="404"/>
      <c r="O534" s="404"/>
      <c r="P534" s="404"/>
      <c r="Q534" s="404"/>
      <c r="R534" s="404"/>
      <c r="S534" s="404"/>
      <c r="T534" s="404"/>
      <c r="U534" s="404"/>
      <c r="V534" s="404"/>
      <c r="W534" s="404"/>
      <c r="X534" s="404"/>
      <c r="Y534" s="404"/>
      <c r="Z534" s="404"/>
      <c r="AA534" s="404"/>
    </row>
    <row r="535">
      <c r="A535" s="404"/>
      <c r="B535" s="419"/>
      <c r="C535" s="404"/>
      <c r="D535" s="404"/>
      <c r="E535" s="404"/>
      <c r="F535" s="404"/>
      <c r="G535" s="404"/>
      <c r="H535" s="404"/>
      <c r="I535" s="404"/>
      <c r="J535" s="404"/>
      <c r="K535" s="404"/>
      <c r="L535" s="404"/>
      <c r="M535" s="404"/>
      <c r="N535" s="404"/>
      <c r="O535" s="404"/>
      <c r="P535" s="404"/>
      <c r="Q535" s="404"/>
      <c r="R535" s="404"/>
      <c r="S535" s="404"/>
      <c r="T535" s="404"/>
      <c r="U535" s="404"/>
      <c r="V535" s="404"/>
      <c r="W535" s="404"/>
      <c r="X535" s="404"/>
      <c r="Y535" s="404"/>
      <c r="Z535" s="404"/>
      <c r="AA535" s="404"/>
    </row>
    <row r="536">
      <c r="A536" s="404"/>
      <c r="B536" s="419"/>
      <c r="C536" s="404"/>
      <c r="D536" s="404"/>
      <c r="E536" s="404"/>
      <c r="F536" s="404"/>
      <c r="G536" s="404"/>
      <c r="H536" s="404"/>
      <c r="I536" s="404"/>
      <c r="J536" s="404"/>
      <c r="K536" s="404"/>
      <c r="L536" s="404"/>
      <c r="M536" s="404"/>
      <c r="N536" s="404"/>
      <c r="O536" s="404"/>
      <c r="P536" s="404"/>
      <c r="Q536" s="404"/>
      <c r="R536" s="404"/>
      <c r="S536" s="404"/>
      <c r="T536" s="404"/>
      <c r="U536" s="404"/>
      <c r="V536" s="404"/>
      <c r="W536" s="404"/>
      <c r="X536" s="404"/>
      <c r="Y536" s="404"/>
      <c r="Z536" s="404"/>
      <c r="AA536" s="404"/>
    </row>
    <row r="537">
      <c r="A537" s="404"/>
      <c r="B537" s="419"/>
      <c r="C537" s="404"/>
      <c r="D537" s="404"/>
      <c r="E537" s="404"/>
      <c r="F537" s="404"/>
      <c r="G537" s="404"/>
      <c r="H537" s="404"/>
      <c r="I537" s="404"/>
      <c r="J537" s="404"/>
      <c r="K537" s="404"/>
      <c r="L537" s="404"/>
      <c r="M537" s="404"/>
      <c r="N537" s="404"/>
      <c r="O537" s="404"/>
      <c r="P537" s="404"/>
      <c r="Q537" s="404"/>
      <c r="R537" s="404"/>
      <c r="S537" s="404"/>
      <c r="T537" s="404"/>
      <c r="U537" s="404"/>
      <c r="V537" s="404"/>
      <c r="W537" s="404"/>
      <c r="X537" s="404"/>
      <c r="Y537" s="404"/>
      <c r="Z537" s="404"/>
      <c r="AA537" s="404"/>
    </row>
    <row r="538">
      <c r="A538" s="404"/>
      <c r="B538" s="419"/>
      <c r="C538" s="404"/>
      <c r="D538" s="404"/>
      <c r="E538" s="404"/>
      <c r="F538" s="404"/>
      <c r="G538" s="404"/>
      <c r="H538" s="404"/>
      <c r="I538" s="404"/>
      <c r="J538" s="404"/>
      <c r="K538" s="404"/>
      <c r="L538" s="404"/>
      <c r="M538" s="404"/>
      <c r="N538" s="404"/>
      <c r="O538" s="404"/>
      <c r="P538" s="404"/>
      <c r="Q538" s="404"/>
      <c r="R538" s="404"/>
      <c r="S538" s="404"/>
      <c r="T538" s="404"/>
      <c r="U538" s="404"/>
      <c r="V538" s="404"/>
      <c r="W538" s="404"/>
      <c r="X538" s="404"/>
      <c r="Y538" s="404"/>
      <c r="Z538" s="404"/>
      <c r="AA538" s="404"/>
    </row>
    <row r="539">
      <c r="A539" s="404"/>
      <c r="B539" s="419"/>
      <c r="C539" s="404"/>
      <c r="D539" s="404"/>
      <c r="E539" s="404"/>
      <c r="F539" s="404"/>
      <c r="G539" s="404"/>
      <c r="H539" s="404"/>
      <c r="I539" s="404"/>
      <c r="J539" s="404"/>
      <c r="K539" s="404"/>
      <c r="L539" s="404"/>
      <c r="M539" s="404"/>
      <c r="N539" s="404"/>
      <c r="O539" s="404"/>
      <c r="P539" s="404"/>
      <c r="Q539" s="404"/>
      <c r="R539" s="404"/>
      <c r="S539" s="404"/>
      <c r="T539" s="404"/>
      <c r="U539" s="404"/>
      <c r="V539" s="404"/>
      <c r="W539" s="404"/>
      <c r="X539" s="404"/>
      <c r="Y539" s="404"/>
      <c r="Z539" s="404"/>
      <c r="AA539" s="404"/>
    </row>
    <row r="540">
      <c r="A540" s="404"/>
      <c r="B540" s="419"/>
      <c r="C540" s="404"/>
      <c r="D540" s="404"/>
      <c r="E540" s="404"/>
      <c r="F540" s="404"/>
      <c r="G540" s="404"/>
      <c r="H540" s="404"/>
      <c r="I540" s="404"/>
      <c r="J540" s="404"/>
      <c r="K540" s="404"/>
      <c r="L540" s="404"/>
      <c r="M540" s="404"/>
      <c r="N540" s="404"/>
      <c r="O540" s="404"/>
      <c r="P540" s="404"/>
      <c r="Q540" s="404"/>
      <c r="R540" s="404"/>
      <c r="S540" s="404"/>
      <c r="T540" s="404"/>
      <c r="U540" s="404"/>
      <c r="V540" s="404"/>
      <c r="W540" s="404"/>
      <c r="X540" s="404"/>
      <c r="Y540" s="404"/>
      <c r="Z540" s="404"/>
      <c r="AA540" s="404"/>
    </row>
    <row r="541">
      <c r="A541" s="404"/>
      <c r="B541" s="419"/>
      <c r="C541" s="404"/>
      <c r="D541" s="404"/>
      <c r="E541" s="404"/>
      <c r="F541" s="404"/>
      <c r="G541" s="404"/>
      <c r="H541" s="404"/>
      <c r="I541" s="404"/>
      <c r="J541" s="404"/>
      <c r="K541" s="404"/>
      <c r="L541" s="404"/>
      <c r="M541" s="404"/>
      <c r="N541" s="404"/>
      <c r="O541" s="404"/>
      <c r="P541" s="404"/>
      <c r="Q541" s="404"/>
      <c r="R541" s="404"/>
      <c r="S541" s="404"/>
      <c r="T541" s="404"/>
      <c r="U541" s="404"/>
      <c r="V541" s="404"/>
      <c r="W541" s="404"/>
      <c r="X541" s="404"/>
      <c r="Y541" s="404"/>
      <c r="Z541" s="404"/>
      <c r="AA541" s="404"/>
    </row>
    <row r="542">
      <c r="A542" s="404"/>
      <c r="B542" s="419"/>
      <c r="C542" s="404"/>
      <c r="D542" s="404"/>
      <c r="E542" s="404"/>
      <c r="F542" s="404"/>
      <c r="G542" s="404"/>
      <c r="H542" s="404"/>
      <c r="I542" s="404"/>
      <c r="J542" s="404"/>
      <c r="K542" s="404"/>
      <c r="L542" s="404"/>
      <c r="M542" s="404"/>
      <c r="N542" s="404"/>
      <c r="O542" s="404"/>
      <c r="P542" s="404"/>
      <c r="Q542" s="404"/>
      <c r="R542" s="404"/>
      <c r="S542" s="404"/>
      <c r="T542" s="404"/>
      <c r="U542" s="404"/>
      <c r="V542" s="404"/>
      <c r="W542" s="404"/>
      <c r="X542" s="404"/>
      <c r="Y542" s="404"/>
      <c r="Z542" s="404"/>
      <c r="AA542" s="404"/>
    </row>
    <row r="543">
      <c r="A543" s="404"/>
      <c r="B543" s="419"/>
      <c r="C543" s="404"/>
      <c r="D543" s="404"/>
      <c r="E543" s="404"/>
      <c r="F543" s="404"/>
      <c r="G543" s="404"/>
      <c r="H543" s="404"/>
      <c r="I543" s="404"/>
      <c r="J543" s="404"/>
      <c r="K543" s="404"/>
      <c r="L543" s="404"/>
      <c r="M543" s="404"/>
      <c r="N543" s="404"/>
      <c r="O543" s="404"/>
      <c r="P543" s="404"/>
      <c r="Q543" s="404"/>
      <c r="R543" s="404"/>
      <c r="S543" s="404"/>
      <c r="T543" s="404"/>
      <c r="U543" s="404"/>
      <c r="V543" s="404"/>
      <c r="W543" s="404"/>
      <c r="X543" s="404"/>
      <c r="Y543" s="404"/>
      <c r="Z543" s="404"/>
      <c r="AA543" s="404"/>
    </row>
    <row r="544">
      <c r="A544" s="404"/>
      <c r="B544" s="419"/>
      <c r="C544" s="404"/>
      <c r="D544" s="404"/>
      <c r="E544" s="404"/>
      <c r="F544" s="404"/>
      <c r="G544" s="404"/>
      <c r="H544" s="404"/>
      <c r="I544" s="404"/>
      <c r="J544" s="404"/>
      <c r="K544" s="404"/>
      <c r="L544" s="404"/>
      <c r="M544" s="404"/>
      <c r="N544" s="404"/>
      <c r="O544" s="404"/>
      <c r="P544" s="404"/>
      <c r="Q544" s="404"/>
      <c r="R544" s="404"/>
      <c r="S544" s="404"/>
      <c r="T544" s="404"/>
      <c r="U544" s="404"/>
      <c r="V544" s="404"/>
      <c r="W544" s="404"/>
      <c r="X544" s="404"/>
      <c r="Y544" s="404"/>
      <c r="Z544" s="404"/>
      <c r="AA544" s="404"/>
    </row>
    <row r="545">
      <c r="A545" s="404"/>
      <c r="B545" s="419"/>
      <c r="C545" s="404"/>
      <c r="D545" s="404"/>
      <c r="E545" s="404"/>
      <c r="F545" s="404"/>
      <c r="G545" s="404"/>
      <c r="H545" s="404"/>
      <c r="I545" s="404"/>
      <c r="J545" s="404"/>
      <c r="K545" s="404"/>
      <c r="L545" s="404"/>
      <c r="M545" s="404"/>
      <c r="N545" s="404"/>
      <c r="O545" s="404"/>
      <c r="P545" s="404"/>
      <c r="Q545" s="404"/>
      <c r="R545" s="404"/>
      <c r="S545" s="404"/>
      <c r="T545" s="404"/>
      <c r="U545" s="404"/>
      <c r="V545" s="404"/>
      <c r="W545" s="404"/>
      <c r="X545" s="404"/>
      <c r="Y545" s="404"/>
      <c r="Z545" s="404"/>
      <c r="AA545" s="404"/>
    </row>
    <row r="546">
      <c r="A546" s="404"/>
      <c r="B546" s="419"/>
      <c r="C546" s="404"/>
      <c r="D546" s="404"/>
      <c r="E546" s="404"/>
      <c r="F546" s="404"/>
      <c r="G546" s="404"/>
      <c r="H546" s="404"/>
      <c r="I546" s="404"/>
      <c r="J546" s="404"/>
      <c r="K546" s="404"/>
      <c r="L546" s="404"/>
      <c r="M546" s="404"/>
      <c r="N546" s="404"/>
      <c r="O546" s="404"/>
      <c r="P546" s="404"/>
      <c r="Q546" s="404"/>
      <c r="R546" s="404"/>
      <c r="S546" s="404"/>
      <c r="T546" s="404"/>
      <c r="U546" s="404"/>
      <c r="V546" s="404"/>
      <c r="W546" s="404"/>
      <c r="X546" s="404"/>
      <c r="Y546" s="404"/>
      <c r="Z546" s="404"/>
      <c r="AA546" s="404"/>
    </row>
    <row r="547">
      <c r="A547" s="404"/>
      <c r="B547" s="419"/>
      <c r="C547" s="404"/>
      <c r="D547" s="404"/>
      <c r="E547" s="404"/>
      <c r="F547" s="404"/>
      <c r="G547" s="404"/>
      <c r="H547" s="404"/>
      <c r="I547" s="404"/>
      <c r="J547" s="404"/>
      <c r="K547" s="404"/>
      <c r="L547" s="404"/>
      <c r="M547" s="404"/>
      <c r="N547" s="404"/>
      <c r="O547" s="404"/>
      <c r="P547" s="404"/>
      <c r="Q547" s="404"/>
      <c r="R547" s="404"/>
      <c r="S547" s="404"/>
      <c r="T547" s="404"/>
      <c r="U547" s="404"/>
      <c r="V547" s="404"/>
      <c r="W547" s="404"/>
      <c r="X547" s="404"/>
      <c r="Y547" s="404"/>
      <c r="Z547" s="404"/>
      <c r="AA547" s="404"/>
    </row>
    <row r="548">
      <c r="A548" s="404"/>
      <c r="B548" s="419"/>
      <c r="C548" s="404"/>
      <c r="D548" s="404"/>
      <c r="E548" s="404"/>
      <c r="F548" s="404"/>
      <c r="G548" s="404"/>
      <c r="H548" s="404"/>
      <c r="I548" s="404"/>
      <c r="J548" s="404"/>
      <c r="K548" s="404"/>
      <c r="L548" s="404"/>
      <c r="M548" s="404"/>
      <c r="N548" s="404"/>
      <c r="O548" s="404"/>
      <c r="P548" s="404"/>
      <c r="Q548" s="404"/>
      <c r="R548" s="404"/>
      <c r="S548" s="404"/>
      <c r="T548" s="404"/>
      <c r="U548" s="404"/>
      <c r="V548" s="404"/>
      <c r="W548" s="404"/>
      <c r="X548" s="404"/>
      <c r="Y548" s="404"/>
      <c r="Z548" s="404"/>
      <c r="AA548" s="404"/>
    </row>
    <row r="549">
      <c r="A549" s="404"/>
      <c r="B549" s="419"/>
      <c r="C549" s="404"/>
      <c r="D549" s="404"/>
      <c r="E549" s="404"/>
      <c r="F549" s="404"/>
      <c r="G549" s="404"/>
      <c r="H549" s="404"/>
      <c r="I549" s="404"/>
      <c r="J549" s="404"/>
      <c r="K549" s="404"/>
      <c r="L549" s="404"/>
      <c r="M549" s="404"/>
      <c r="N549" s="404"/>
      <c r="O549" s="404"/>
      <c r="P549" s="404"/>
      <c r="Q549" s="404"/>
      <c r="R549" s="404"/>
      <c r="S549" s="404"/>
      <c r="T549" s="404"/>
      <c r="U549" s="404"/>
      <c r="V549" s="404"/>
      <c r="W549" s="404"/>
      <c r="X549" s="404"/>
      <c r="Y549" s="404"/>
      <c r="Z549" s="404"/>
      <c r="AA549" s="404"/>
    </row>
    <row r="550">
      <c r="A550" s="404"/>
      <c r="B550" s="419"/>
      <c r="C550" s="404"/>
      <c r="D550" s="404"/>
      <c r="E550" s="404"/>
      <c r="F550" s="404"/>
      <c r="G550" s="404"/>
      <c r="H550" s="404"/>
      <c r="I550" s="404"/>
      <c r="J550" s="404"/>
      <c r="K550" s="404"/>
      <c r="L550" s="404"/>
      <c r="M550" s="404"/>
      <c r="N550" s="404"/>
      <c r="O550" s="404"/>
      <c r="P550" s="404"/>
      <c r="Q550" s="404"/>
      <c r="R550" s="404"/>
      <c r="S550" s="404"/>
      <c r="T550" s="404"/>
      <c r="U550" s="404"/>
      <c r="V550" s="404"/>
      <c r="W550" s="404"/>
      <c r="X550" s="404"/>
      <c r="Y550" s="404"/>
      <c r="Z550" s="404"/>
      <c r="AA550" s="404"/>
    </row>
    <row r="551">
      <c r="A551" s="404"/>
      <c r="B551" s="419"/>
      <c r="C551" s="404"/>
      <c r="D551" s="404"/>
      <c r="E551" s="404"/>
      <c r="F551" s="404"/>
      <c r="G551" s="404"/>
      <c r="H551" s="404"/>
      <c r="I551" s="404"/>
      <c r="J551" s="404"/>
      <c r="K551" s="404"/>
      <c r="L551" s="404"/>
      <c r="M551" s="404"/>
      <c r="N551" s="404"/>
      <c r="O551" s="404"/>
      <c r="P551" s="404"/>
      <c r="Q551" s="404"/>
      <c r="R551" s="404"/>
      <c r="S551" s="404"/>
      <c r="T551" s="404"/>
      <c r="U551" s="404"/>
      <c r="V551" s="404"/>
      <c r="W551" s="404"/>
      <c r="X551" s="404"/>
      <c r="Y551" s="404"/>
      <c r="Z551" s="404"/>
      <c r="AA551" s="404"/>
    </row>
    <row r="552">
      <c r="A552" s="404"/>
      <c r="B552" s="419"/>
      <c r="C552" s="404"/>
      <c r="D552" s="404"/>
      <c r="E552" s="404"/>
      <c r="F552" s="404"/>
      <c r="G552" s="404"/>
      <c r="H552" s="404"/>
      <c r="I552" s="404"/>
      <c r="J552" s="404"/>
      <c r="K552" s="404"/>
      <c r="L552" s="404"/>
      <c r="M552" s="404"/>
      <c r="N552" s="404"/>
      <c r="O552" s="404"/>
      <c r="P552" s="404"/>
      <c r="Q552" s="404"/>
      <c r="R552" s="404"/>
      <c r="S552" s="404"/>
      <c r="T552" s="404"/>
      <c r="U552" s="404"/>
      <c r="V552" s="404"/>
      <c r="W552" s="404"/>
      <c r="X552" s="404"/>
      <c r="Y552" s="404"/>
      <c r="Z552" s="404"/>
      <c r="AA552" s="404"/>
    </row>
    <row r="553">
      <c r="A553" s="404"/>
      <c r="B553" s="419"/>
      <c r="C553" s="404"/>
      <c r="D553" s="404"/>
      <c r="E553" s="404"/>
      <c r="F553" s="404"/>
      <c r="G553" s="404"/>
      <c r="H553" s="404"/>
      <c r="I553" s="404"/>
      <c r="J553" s="404"/>
      <c r="K553" s="404"/>
      <c r="L553" s="404"/>
      <c r="M553" s="404"/>
      <c r="N553" s="404"/>
      <c r="O553" s="404"/>
      <c r="P553" s="404"/>
      <c r="Q553" s="404"/>
      <c r="R553" s="404"/>
      <c r="S553" s="404"/>
      <c r="T553" s="404"/>
      <c r="U553" s="404"/>
      <c r="V553" s="404"/>
      <c r="W553" s="404"/>
      <c r="X553" s="404"/>
      <c r="Y553" s="404"/>
      <c r="Z553" s="404"/>
      <c r="AA553" s="404"/>
    </row>
    <row r="554">
      <c r="A554" s="404"/>
      <c r="B554" s="419"/>
      <c r="C554" s="404"/>
      <c r="D554" s="404"/>
      <c r="E554" s="404"/>
      <c r="F554" s="404"/>
      <c r="G554" s="404"/>
      <c r="H554" s="404"/>
      <c r="I554" s="404"/>
      <c r="J554" s="404"/>
      <c r="K554" s="404"/>
      <c r="L554" s="404"/>
      <c r="M554" s="404"/>
      <c r="N554" s="404"/>
      <c r="O554" s="404"/>
      <c r="P554" s="404"/>
      <c r="Q554" s="404"/>
      <c r="R554" s="404"/>
      <c r="S554" s="404"/>
      <c r="T554" s="404"/>
      <c r="U554" s="404"/>
      <c r="V554" s="404"/>
      <c r="W554" s="404"/>
      <c r="X554" s="404"/>
      <c r="Y554" s="404"/>
      <c r="Z554" s="404"/>
      <c r="AA554" s="404"/>
    </row>
    <row r="555">
      <c r="A555" s="404"/>
      <c r="B555" s="419"/>
      <c r="C555" s="404"/>
      <c r="D555" s="404"/>
      <c r="E555" s="404"/>
      <c r="F555" s="404"/>
      <c r="G555" s="404"/>
      <c r="H555" s="404"/>
      <c r="I555" s="404"/>
      <c r="J555" s="404"/>
      <c r="K555" s="404"/>
      <c r="L555" s="404"/>
      <c r="M555" s="404"/>
      <c r="N555" s="404"/>
      <c r="O555" s="404"/>
      <c r="P555" s="404"/>
      <c r="Q555" s="404"/>
      <c r="R555" s="404"/>
      <c r="S555" s="404"/>
      <c r="T555" s="404"/>
      <c r="U555" s="404"/>
      <c r="V555" s="404"/>
      <c r="W555" s="404"/>
      <c r="X555" s="404"/>
      <c r="Y555" s="404"/>
      <c r="Z555" s="404"/>
      <c r="AA555" s="404"/>
    </row>
    <row r="556">
      <c r="A556" s="404"/>
      <c r="B556" s="419"/>
      <c r="C556" s="404"/>
      <c r="D556" s="404"/>
      <c r="E556" s="404"/>
      <c r="F556" s="404"/>
      <c r="G556" s="404"/>
      <c r="H556" s="404"/>
      <c r="I556" s="404"/>
      <c r="J556" s="404"/>
      <c r="K556" s="404"/>
      <c r="L556" s="404"/>
      <c r="M556" s="404"/>
      <c r="N556" s="404"/>
      <c r="O556" s="404"/>
      <c r="P556" s="404"/>
      <c r="Q556" s="404"/>
      <c r="R556" s="404"/>
      <c r="S556" s="404"/>
      <c r="T556" s="404"/>
      <c r="U556" s="404"/>
      <c r="V556" s="404"/>
      <c r="W556" s="404"/>
      <c r="X556" s="404"/>
      <c r="Y556" s="404"/>
      <c r="Z556" s="404"/>
      <c r="AA556" s="404"/>
    </row>
    <row r="557">
      <c r="A557" s="404"/>
      <c r="B557" s="419"/>
      <c r="C557" s="404"/>
      <c r="D557" s="404"/>
      <c r="E557" s="404"/>
      <c r="F557" s="404"/>
      <c r="G557" s="404"/>
      <c r="H557" s="404"/>
      <c r="I557" s="404"/>
      <c r="J557" s="404"/>
      <c r="K557" s="404"/>
      <c r="L557" s="404"/>
      <c r="M557" s="404"/>
      <c r="N557" s="404"/>
      <c r="O557" s="404"/>
      <c r="P557" s="404"/>
      <c r="Q557" s="404"/>
      <c r="R557" s="404"/>
      <c r="S557" s="404"/>
      <c r="T557" s="404"/>
      <c r="U557" s="404"/>
      <c r="V557" s="404"/>
      <c r="W557" s="404"/>
      <c r="X557" s="404"/>
      <c r="Y557" s="404"/>
      <c r="Z557" s="404"/>
      <c r="AA557" s="404"/>
    </row>
    <row r="558">
      <c r="A558" s="404"/>
      <c r="B558" s="419"/>
      <c r="C558" s="404"/>
      <c r="D558" s="404"/>
      <c r="E558" s="404"/>
      <c r="F558" s="404"/>
      <c r="G558" s="404"/>
      <c r="H558" s="404"/>
      <c r="I558" s="404"/>
      <c r="J558" s="404"/>
      <c r="K558" s="404"/>
      <c r="L558" s="404"/>
      <c r="M558" s="404"/>
      <c r="N558" s="404"/>
      <c r="O558" s="404"/>
      <c r="P558" s="404"/>
      <c r="Q558" s="404"/>
      <c r="R558" s="404"/>
      <c r="S558" s="404"/>
      <c r="T558" s="404"/>
      <c r="U558" s="404"/>
      <c r="V558" s="404"/>
      <c r="W558" s="404"/>
      <c r="X558" s="404"/>
      <c r="Y558" s="404"/>
      <c r="Z558" s="404"/>
      <c r="AA558" s="404"/>
    </row>
    <row r="559">
      <c r="A559" s="404"/>
      <c r="B559" s="419"/>
      <c r="C559" s="404"/>
      <c r="D559" s="404"/>
      <c r="E559" s="404"/>
      <c r="F559" s="404"/>
      <c r="G559" s="404"/>
      <c r="H559" s="404"/>
      <c r="I559" s="404"/>
      <c r="J559" s="404"/>
      <c r="K559" s="404"/>
      <c r="L559" s="404"/>
      <c r="M559" s="404"/>
      <c r="N559" s="404"/>
      <c r="O559" s="404"/>
      <c r="P559" s="404"/>
      <c r="Q559" s="404"/>
      <c r="R559" s="404"/>
      <c r="S559" s="404"/>
      <c r="T559" s="404"/>
      <c r="U559" s="404"/>
      <c r="V559" s="404"/>
      <c r="W559" s="404"/>
      <c r="X559" s="404"/>
      <c r="Y559" s="404"/>
      <c r="Z559" s="404"/>
      <c r="AA559" s="404"/>
    </row>
    <row r="560">
      <c r="A560" s="404"/>
      <c r="B560" s="419"/>
      <c r="C560" s="404"/>
      <c r="D560" s="404"/>
      <c r="E560" s="404"/>
      <c r="F560" s="404"/>
      <c r="G560" s="404"/>
      <c r="H560" s="404"/>
      <c r="I560" s="404"/>
      <c r="J560" s="404"/>
      <c r="K560" s="404"/>
      <c r="L560" s="404"/>
      <c r="M560" s="404"/>
      <c r="N560" s="404"/>
      <c r="O560" s="404"/>
      <c r="P560" s="404"/>
      <c r="Q560" s="404"/>
      <c r="R560" s="404"/>
      <c r="S560" s="404"/>
      <c r="T560" s="404"/>
      <c r="U560" s="404"/>
      <c r="V560" s="404"/>
      <c r="W560" s="404"/>
      <c r="X560" s="404"/>
      <c r="Y560" s="404"/>
      <c r="Z560" s="404"/>
      <c r="AA560" s="404"/>
    </row>
    <row r="561">
      <c r="A561" s="404"/>
      <c r="B561" s="419"/>
      <c r="C561" s="404"/>
      <c r="D561" s="404"/>
      <c r="E561" s="404"/>
      <c r="F561" s="404"/>
      <c r="G561" s="404"/>
      <c r="H561" s="404"/>
      <c r="I561" s="404"/>
      <c r="J561" s="404"/>
      <c r="K561" s="404"/>
      <c r="L561" s="404"/>
      <c r="M561" s="404"/>
      <c r="N561" s="404"/>
      <c r="O561" s="404"/>
      <c r="P561" s="404"/>
      <c r="Q561" s="404"/>
      <c r="R561" s="404"/>
      <c r="S561" s="404"/>
      <c r="T561" s="404"/>
      <c r="U561" s="404"/>
      <c r="V561" s="404"/>
      <c r="W561" s="404"/>
      <c r="X561" s="404"/>
      <c r="Y561" s="404"/>
      <c r="Z561" s="404"/>
      <c r="AA561" s="404"/>
    </row>
    <row r="562">
      <c r="A562" s="404"/>
      <c r="B562" s="419"/>
      <c r="C562" s="404"/>
      <c r="D562" s="404"/>
      <c r="E562" s="404"/>
      <c r="F562" s="404"/>
      <c r="G562" s="404"/>
      <c r="H562" s="404"/>
      <c r="I562" s="404"/>
      <c r="J562" s="404"/>
      <c r="K562" s="404"/>
      <c r="L562" s="404"/>
      <c r="M562" s="404"/>
      <c r="N562" s="404"/>
      <c r="O562" s="404"/>
      <c r="P562" s="404"/>
      <c r="Q562" s="404"/>
      <c r="R562" s="404"/>
      <c r="S562" s="404"/>
      <c r="T562" s="404"/>
      <c r="U562" s="404"/>
      <c r="V562" s="404"/>
      <c r="W562" s="404"/>
      <c r="X562" s="404"/>
      <c r="Y562" s="404"/>
      <c r="Z562" s="404"/>
      <c r="AA562" s="404"/>
    </row>
    <row r="563">
      <c r="A563" s="404"/>
      <c r="B563" s="419"/>
      <c r="C563" s="404"/>
      <c r="D563" s="404"/>
      <c r="E563" s="404"/>
      <c r="F563" s="404"/>
      <c r="G563" s="404"/>
      <c r="H563" s="404"/>
      <c r="I563" s="404"/>
      <c r="J563" s="404"/>
      <c r="K563" s="404"/>
      <c r="L563" s="404"/>
      <c r="M563" s="404"/>
      <c r="N563" s="404"/>
      <c r="O563" s="404"/>
      <c r="P563" s="404"/>
      <c r="Q563" s="404"/>
      <c r="R563" s="404"/>
      <c r="S563" s="404"/>
      <c r="T563" s="404"/>
      <c r="U563" s="404"/>
      <c r="V563" s="404"/>
      <c r="W563" s="404"/>
      <c r="X563" s="404"/>
      <c r="Y563" s="404"/>
      <c r="Z563" s="404"/>
      <c r="AA563" s="404"/>
    </row>
    <row r="564">
      <c r="A564" s="404"/>
      <c r="B564" s="419"/>
      <c r="C564" s="404"/>
      <c r="D564" s="404"/>
      <c r="E564" s="404"/>
      <c r="F564" s="404"/>
      <c r="G564" s="404"/>
      <c r="H564" s="404"/>
      <c r="I564" s="404"/>
      <c r="J564" s="404"/>
      <c r="K564" s="404"/>
      <c r="L564" s="404"/>
      <c r="M564" s="404"/>
      <c r="N564" s="404"/>
      <c r="O564" s="404"/>
      <c r="P564" s="404"/>
      <c r="Q564" s="404"/>
      <c r="R564" s="404"/>
      <c r="S564" s="404"/>
      <c r="T564" s="404"/>
      <c r="U564" s="404"/>
      <c r="V564" s="404"/>
      <c r="W564" s="404"/>
      <c r="X564" s="404"/>
      <c r="Y564" s="404"/>
      <c r="Z564" s="404"/>
      <c r="AA564" s="404"/>
    </row>
    <row r="565">
      <c r="A565" s="404"/>
      <c r="B565" s="419"/>
      <c r="C565" s="404"/>
      <c r="D565" s="404"/>
      <c r="E565" s="404"/>
      <c r="F565" s="404"/>
      <c r="G565" s="404"/>
      <c r="H565" s="404"/>
      <c r="I565" s="404"/>
      <c r="J565" s="404"/>
      <c r="K565" s="404"/>
      <c r="L565" s="404"/>
      <c r="M565" s="404"/>
      <c r="N565" s="404"/>
      <c r="O565" s="404"/>
      <c r="P565" s="404"/>
      <c r="Q565" s="404"/>
      <c r="R565" s="404"/>
      <c r="S565" s="404"/>
      <c r="T565" s="404"/>
      <c r="U565" s="404"/>
      <c r="V565" s="404"/>
      <c r="W565" s="404"/>
      <c r="X565" s="404"/>
      <c r="Y565" s="404"/>
      <c r="Z565" s="404"/>
      <c r="AA565" s="404"/>
    </row>
    <row r="566">
      <c r="A566" s="404"/>
      <c r="B566" s="419"/>
      <c r="C566" s="404"/>
      <c r="D566" s="404"/>
      <c r="E566" s="404"/>
      <c r="F566" s="404"/>
      <c r="G566" s="404"/>
      <c r="H566" s="404"/>
      <c r="I566" s="404"/>
      <c r="J566" s="404"/>
      <c r="K566" s="404"/>
      <c r="L566" s="404"/>
      <c r="M566" s="404"/>
      <c r="N566" s="404"/>
      <c r="O566" s="404"/>
      <c r="P566" s="404"/>
      <c r="Q566" s="404"/>
      <c r="R566" s="404"/>
      <c r="S566" s="404"/>
      <c r="T566" s="404"/>
      <c r="U566" s="404"/>
      <c r="V566" s="404"/>
      <c r="W566" s="404"/>
      <c r="X566" s="404"/>
      <c r="Y566" s="404"/>
      <c r="Z566" s="404"/>
      <c r="AA566" s="404"/>
    </row>
    <row r="567">
      <c r="A567" s="404"/>
      <c r="B567" s="419"/>
      <c r="C567" s="404"/>
      <c r="D567" s="404"/>
      <c r="E567" s="404"/>
      <c r="F567" s="404"/>
      <c r="G567" s="404"/>
      <c r="H567" s="404"/>
      <c r="I567" s="404"/>
      <c r="J567" s="404"/>
      <c r="K567" s="404"/>
      <c r="L567" s="404"/>
      <c r="M567" s="404"/>
      <c r="N567" s="404"/>
      <c r="O567" s="404"/>
      <c r="P567" s="404"/>
      <c r="Q567" s="404"/>
      <c r="R567" s="404"/>
      <c r="S567" s="404"/>
      <c r="T567" s="404"/>
      <c r="U567" s="404"/>
      <c r="V567" s="404"/>
      <c r="W567" s="404"/>
      <c r="X567" s="404"/>
      <c r="Y567" s="404"/>
      <c r="Z567" s="404"/>
      <c r="AA567" s="404"/>
    </row>
    <row r="568">
      <c r="A568" s="404"/>
      <c r="B568" s="419"/>
      <c r="C568" s="404"/>
      <c r="D568" s="404"/>
      <c r="E568" s="404"/>
      <c r="F568" s="404"/>
      <c r="G568" s="404"/>
      <c r="H568" s="404"/>
      <c r="I568" s="404"/>
      <c r="J568" s="404"/>
      <c r="K568" s="404"/>
      <c r="L568" s="404"/>
      <c r="M568" s="404"/>
      <c r="N568" s="404"/>
      <c r="O568" s="404"/>
      <c r="P568" s="404"/>
      <c r="Q568" s="404"/>
      <c r="R568" s="404"/>
      <c r="S568" s="404"/>
      <c r="T568" s="404"/>
      <c r="U568" s="404"/>
      <c r="V568" s="404"/>
      <c r="W568" s="404"/>
      <c r="X568" s="404"/>
      <c r="Y568" s="404"/>
      <c r="Z568" s="404"/>
      <c r="AA568" s="404"/>
    </row>
    <row r="569">
      <c r="A569" s="404"/>
      <c r="B569" s="419"/>
      <c r="C569" s="404"/>
      <c r="D569" s="404"/>
      <c r="E569" s="404"/>
      <c r="F569" s="404"/>
      <c r="G569" s="404"/>
      <c r="H569" s="404"/>
      <c r="I569" s="404"/>
      <c r="J569" s="404"/>
      <c r="K569" s="404"/>
      <c r="L569" s="404"/>
      <c r="M569" s="404"/>
      <c r="N569" s="404"/>
      <c r="O569" s="404"/>
      <c r="P569" s="404"/>
      <c r="Q569" s="404"/>
      <c r="R569" s="404"/>
      <c r="S569" s="404"/>
      <c r="T569" s="404"/>
      <c r="U569" s="404"/>
      <c r="V569" s="404"/>
      <c r="W569" s="404"/>
      <c r="X569" s="404"/>
      <c r="Y569" s="404"/>
      <c r="Z569" s="404"/>
      <c r="AA569" s="404"/>
    </row>
    <row r="570">
      <c r="A570" s="404"/>
      <c r="B570" s="419"/>
      <c r="C570" s="404"/>
      <c r="D570" s="404"/>
      <c r="E570" s="404"/>
      <c r="F570" s="404"/>
      <c r="G570" s="404"/>
      <c r="H570" s="404"/>
      <c r="I570" s="404"/>
      <c r="J570" s="404"/>
      <c r="K570" s="404"/>
      <c r="L570" s="404"/>
      <c r="M570" s="404"/>
      <c r="N570" s="404"/>
      <c r="O570" s="404"/>
      <c r="P570" s="404"/>
      <c r="Q570" s="404"/>
      <c r="R570" s="404"/>
      <c r="S570" s="404"/>
      <c r="T570" s="404"/>
      <c r="U570" s="404"/>
      <c r="V570" s="404"/>
      <c r="W570" s="404"/>
      <c r="X570" s="404"/>
      <c r="Y570" s="404"/>
      <c r="Z570" s="404"/>
      <c r="AA570" s="404"/>
    </row>
    <row r="571">
      <c r="A571" s="404"/>
      <c r="B571" s="419"/>
      <c r="C571" s="404"/>
      <c r="D571" s="404"/>
      <c r="E571" s="404"/>
      <c r="F571" s="404"/>
      <c r="G571" s="404"/>
      <c r="H571" s="404"/>
      <c r="I571" s="404"/>
      <c r="J571" s="404"/>
      <c r="K571" s="404"/>
      <c r="L571" s="404"/>
      <c r="M571" s="404"/>
      <c r="N571" s="404"/>
      <c r="O571" s="404"/>
      <c r="P571" s="404"/>
      <c r="Q571" s="404"/>
      <c r="R571" s="404"/>
      <c r="S571" s="404"/>
      <c r="T571" s="404"/>
      <c r="U571" s="404"/>
      <c r="V571" s="404"/>
      <c r="W571" s="404"/>
      <c r="X571" s="404"/>
      <c r="Y571" s="404"/>
      <c r="Z571" s="404"/>
      <c r="AA571" s="404"/>
    </row>
    <row r="572">
      <c r="A572" s="404"/>
      <c r="B572" s="419"/>
      <c r="C572" s="404"/>
      <c r="D572" s="404"/>
      <c r="E572" s="404"/>
      <c r="F572" s="404"/>
      <c r="G572" s="404"/>
      <c r="H572" s="404"/>
      <c r="I572" s="404"/>
      <c r="J572" s="404"/>
      <c r="K572" s="404"/>
      <c r="L572" s="404"/>
      <c r="M572" s="404"/>
      <c r="N572" s="404"/>
      <c r="O572" s="404"/>
      <c r="P572" s="404"/>
      <c r="Q572" s="404"/>
      <c r="R572" s="404"/>
      <c r="S572" s="404"/>
      <c r="T572" s="404"/>
      <c r="U572" s="404"/>
      <c r="V572" s="404"/>
      <c r="W572" s="404"/>
      <c r="X572" s="404"/>
      <c r="Y572" s="404"/>
      <c r="Z572" s="404"/>
      <c r="AA572" s="404"/>
    </row>
    <row r="573">
      <c r="A573" s="404"/>
      <c r="B573" s="419"/>
      <c r="C573" s="404"/>
      <c r="D573" s="404"/>
      <c r="E573" s="404"/>
      <c r="F573" s="404"/>
      <c r="G573" s="404"/>
      <c r="H573" s="404"/>
      <c r="I573" s="404"/>
      <c r="J573" s="404"/>
      <c r="K573" s="404"/>
      <c r="L573" s="404"/>
      <c r="M573" s="404"/>
      <c r="N573" s="404"/>
      <c r="O573" s="404"/>
      <c r="P573" s="404"/>
      <c r="Q573" s="404"/>
      <c r="R573" s="404"/>
      <c r="S573" s="404"/>
      <c r="T573" s="404"/>
      <c r="U573" s="404"/>
      <c r="V573" s="404"/>
      <c r="W573" s="404"/>
      <c r="X573" s="404"/>
      <c r="Y573" s="404"/>
      <c r="Z573" s="404"/>
      <c r="AA573" s="404"/>
    </row>
    <row r="574">
      <c r="A574" s="404"/>
      <c r="B574" s="419"/>
      <c r="C574" s="404"/>
      <c r="D574" s="404"/>
      <c r="E574" s="404"/>
      <c r="F574" s="404"/>
      <c r="G574" s="404"/>
      <c r="H574" s="404"/>
      <c r="I574" s="404"/>
      <c r="J574" s="404"/>
      <c r="K574" s="404"/>
      <c r="L574" s="404"/>
      <c r="M574" s="404"/>
      <c r="N574" s="404"/>
      <c r="O574" s="404"/>
      <c r="P574" s="404"/>
      <c r="Q574" s="404"/>
      <c r="R574" s="404"/>
      <c r="S574" s="404"/>
      <c r="T574" s="404"/>
      <c r="U574" s="404"/>
      <c r="V574" s="404"/>
      <c r="W574" s="404"/>
      <c r="X574" s="404"/>
      <c r="Y574" s="404"/>
      <c r="Z574" s="404"/>
      <c r="AA574" s="404"/>
    </row>
    <row r="575">
      <c r="A575" s="404"/>
      <c r="B575" s="419"/>
      <c r="C575" s="404"/>
      <c r="D575" s="404"/>
      <c r="E575" s="404"/>
      <c r="F575" s="404"/>
      <c r="G575" s="404"/>
      <c r="H575" s="404"/>
      <c r="I575" s="404"/>
      <c r="J575" s="404"/>
      <c r="K575" s="404"/>
      <c r="L575" s="404"/>
      <c r="M575" s="404"/>
      <c r="N575" s="404"/>
      <c r="O575" s="404"/>
      <c r="P575" s="404"/>
      <c r="Q575" s="404"/>
      <c r="R575" s="404"/>
      <c r="S575" s="404"/>
      <c r="T575" s="404"/>
      <c r="U575" s="404"/>
      <c r="V575" s="404"/>
      <c r="W575" s="404"/>
      <c r="X575" s="404"/>
      <c r="Y575" s="404"/>
      <c r="Z575" s="404"/>
      <c r="AA575" s="404"/>
    </row>
    <row r="576">
      <c r="A576" s="404"/>
      <c r="B576" s="419"/>
      <c r="C576" s="404"/>
      <c r="D576" s="404"/>
      <c r="E576" s="404"/>
      <c r="F576" s="404"/>
      <c r="G576" s="404"/>
      <c r="H576" s="404"/>
      <c r="I576" s="404"/>
      <c r="J576" s="404"/>
      <c r="K576" s="404"/>
      <c r="L576" s="404"/>
      <c r="M576" s="404"/>
      <c r="N576" s="404"/>
      <c r="O576" s="404"/>
      <c r="P576" s="404"/>
      <c r="Q576" s="404"/>
      <c r="R576" s="404"/>
      <c r="S576" s="404"/>
      <c r="T576" s="404"/>
      <c r="U576" s="404"/>
      <c r="V576" s="404"/>
      <c r="W576" s="404"/>
      <c r="X576" s="404"/>
      <c r="Y576" s="404"/>
      <c r="Z576" s="404"/>
      <c r="AA576" s="404"/>
    </row>
    <row r="577">
      <c r="A577" s="404"/>
      <c r="B577" s="419"/>
      <c r="C577" s="404"/>
      <c r="D577" s="404"/>
      <c r="E577" s="404"/>
      <c r="F577" s="404"/>
      <c r="G577" s="404"/>
      <c r="H577" s="404"/>
      <c r="I577" s="404"/>
      <c r="J577" s="404"/>
      <c r="K577" s="404"/>
      <c r="L577" s="404"/>
      <c r="M577" s="404"/>
      <c r="N577" s="404"/>
      <c r="O577" s="404"/>
      <c r="P577" s="404"/>
      <c r="Q577" s="404"/>
      <c r="R577" s="404"/>
      <c r="S577" s="404"/>
      <c r="T577" s="404"/>
      <c r="U577" s="404"/>
      <c r="V577" s="404"/>
      <c r="W577" s="404"/>
      <c r="X577" s="404"/>
      <c r="Y577" s="404"/>
      <c r="Z577" s="404"/>
      <c r="AA577" s="404"/>
    </row>
    <row r="578">
      <c r="A578" s="404"/>
      <c r="B578" s="419"/>
      <c r="C578" s="404"/>
      <c r="D578" s="404"/>
      <c r="E578" s="404"/>
      <c r="F578" s="404"/>
      <c r="G578" s="404"/>
      <c r="H578" s="404"/>
      <c r="I578" s="404"/>
      <c r="J578" s="404"/>
      <c r="K578" s="404"/>
      <c r="L578" s="404"/>
      <c r="M578" s="404"/>
      <c r="N578" s="404"/>
      <c r="O578" s="404"/>
      <c r="P578" s="404"/>
      <c r="Q578" s="404"/>
      <c r="R578" s="404"/>
      <c r="S578" s="404"/>
      <c r="T578" s="404"/>
      <c r="U578" s="404"/>
      <c r="V578" s="404"/>
      <c r="W578" s="404"/>
      <c r="X578" s="404"/>
      <c r="Y578" s="404"/>
      <c r="Z578" s="404"/>
      <c r="AA578" s="404"/>
    </row>
    <row r="579">
      <c r="A579" s="404"/>
      <c r="B579" s="419"/>
      <c r="C579" s="404"/>
      <c r="D579" s="404"/>
      <c r="E579" s="404"/>
      <c r="F579" s="404"/>
      <c r="G579" s="404"/>
      <c r="H579" s="404"/>
      <c r="I579" s="404"/>
      <c r="J579" s="404"/>
      <c r="K579" s="404"/>
      <c r="L579" s="404"/>
      <c r="M579" s="404"/>
      <c r="N579" s="404"/>
      <c r="O579" s="404"/>
      <c r="P579" s="404"/>
      <c r="Q579" s="404"/>
      <c r="R579" s="404"/>
      <c r="S579" s="404"/>
      <c r="T579" s="404"/>
      <c r="U579" s="404"/>
      <c r="V579" s="404"/>
      <c r="W579" s="404"/>
      <c r="X579" s="404"/>
      <c r="Y579" s="404"/>
      <c r="Z579" s="404"/>
      <c r="AA579" s="404"/>
    </row>
    <row r="580">
      <c r="A580" s="404"/>
      <c r="B580" s="419"/>
      <c r="C580" s="404"/>
      <c r="D580" s="404"/>
      <c r="E580" s="404"/>
      <c r="F580" s="404"/>
      <c r="G580" s="404"/>
      <c r="H580" s="404"/>
      <c r="I580" s="404"/>
      <c r="J580" s="404"/>
      <c r="K580" s="404"/>
      <c r="L580" s="404"/>
      <c r="M580" s="404"/>
      <c r="N580" s="404"/>
      <c r="O580" s="404"/>
      <c r="P580" s="404"/>
      <c r="Q580" s="404"/>
      <c r="R580" s="404"/>
      <c r="S580" s="404"/>
      <c r="T580" s="404"/>
      <c r="U580" s="404"/>
      <c r="V580" s="404"/>
      <c r="W580" s="404"/>
      <c r="X580" s="404"/>
      <c r="Y580" s="404"/>
      <c r="Z580" s="404"/>
      <c r="AA580" s="404"/>
    </row>
    <row r="581">
      <c r="A581" s="404"/>
      <c r="B581" s="419"/>
      <c r="C581" s="404"/>
      <c r="D581" s="404"/>
      <c r="E581" s="404"/>
      <c r="F581" s="404"/>
      <c r="G581" s="404"/>
      <c r="H581" s="404"/>
      <c r="I581" s="404"/>
      <c r="J581" s="404"/>
      <c r="K581" s="404"/>
      <c r="L581" s="404"/>
      <c r="M581" s="404"/>
      <c r="N581" s="404"/>
      <c r="O581" s="404"/>
      <c r="P581" s="404"/>
      <c r="Q581" s="404"/>
      <c r="R581" s="404"/>
      <c r="S581" s="404"/>
      <c r="T581" s="404"/>
      <c r="U581" s="404"/>
      <c r="V581" s="404"/>
      <c r="W581" s="404"/>
      <c r="X581" s="404"/>
      <c r="Y581" s="404"/>
      <c r="Z581" s="404"/>
      <c r="AA581" s="404"/>
    </row>
    <row r="582">
      <c r="A582" s="404"/>
      <c r="B582" s="419"/>
      <c r="C582" s="404"/>
      <c r="D582" s="404"/>
      <c r="E582" s="404"/>
      <c r="F582" s="404"/>
      <c r="G582" s="404"/>
      <c r="H582" s="404"/>
      <c r="I582" s="404"/>
      <c r="J582" s="404"/>
      <c r="K582" s="404"/>
      <c r="L582" s="404"/>
      <c r="M582" s="404"/>
      <c r="N582" s="404"/>
      <c r="O582" s="404"/>
      <c r="P582" s="404"/>
      <c r="Q582" s="404"/>
      <c r="R582" s="404"/>
      <c r="S582" s="404"/>
      <c r="T582" s="404"/>
      <c r="U582" s="404"/>
      <c r="V582" s="404"/>
      <c r="W582" s="404"/>
      <c r="X582" s="404"/>
      <c r="Y582" s="404"/>
      <c r="Z582" s="404"/>
      <c r="AA582" s="404"/>
    </row>
    <row r="583">
      <c r="A583" s="404"/>
      <c r="B583" s="419"/>
      <c r="C583" s="404"/>
      <c r="D583" s="404"/>
      <c r="E583" s="404"/>
      <c r="F583" s="404"/>
      <c r="G583" s="404"/>
      <c r="H583" s="404"/>
      <c r="I583" s="404"/>
      <c r="J583" s="404"/>
      <c r="K583" s="404"/>
      <c r="L583" s="404"/>
      <c r="M583" s="404"/>
      <c r="N583" s="404"/>
      <c r="O583" s="404"/>
      <c r="P583" s="404"/>
      <c r="Q583" s="404"/>
      <c r="R583" s="404"/>
      <c r="S583" s="404"/>
      <c r="T583" s="404"/>
      <c r="U583" s="404"/>
      <c r="V583" s="404"/>
      <c r="W583" s="404"/>
      <c r="X583" s="404"/>
      <c r="Y583" s="404"/>
      <c r="Z583" s="404"/>
      <c r="AA583" s="404"/>
    </row>
    <row r="584">
      <c r="A584" s="404"/>
      <c r="B584" s="419"/>
      <c r="C584" s="404"/>
      <c r="D584" s="404"/>
      <c r="E584" s="404"/>
      <c r="F584" s="404"/>
      <c r="G584" s="404"/>
      <c r="H584" s="404"/>
      <c r="I584" s="404"/>
      <c r="J584" s="404"/>
      <c r="K584" s="404"/>
      <c r="L584" s="404"/>
      <c r="M584" s="404"/>
      <c r="N584" s="404"/>
      <c r="O584" s="404"/>
      <c r="P584" s="404"/>
      <c r="Q584" s="404"/>
      <c r="R584" s="404"/>
      <c r="S584" s="404"/>
      <c r="T584" s="404"/>
      <c r="U584" s="404"/>
      <c r="V584" s="404"/>
      <c r="W584" s="404"/>
      <c r="X584" s="404"/>
      <c r="Y584" s="404"/>
      <c r="Z584" s="404"/>
      <c r="AA584" s="404"/>
    </row>
    <row r="585">
      <c r="A585" s="404"/>
      <c r="B585" s="419"/>
      <c r="C585" s="404"/>
      <c r="D585" s="404"/>
      <c r="E585" s="404"/>
      <c r="F585" s="404"/>
      <c r="G585" s="404"/>
      <c r="H585" s="404"/>
      <c r="I585" s="404"/>
      <c r="J585" s="404"/>
      <c r="K585" s="404"/>
      <c r="L585" s="404"/>
      <c r="M585" s="404"/>
      <c r="N585" s="404"/>
      <c r="O585" s="404"/>
      <c r="P585" s="404"/>
      <c r="Q585" s="404"/>
      <c r="R585" s="404"/>
      <c r="S585" s="404"/>
      <c r="T585" s="404"/>
      <c r="U585" s="404"/>
      <c r="V585" s="404"/>
      <c r="W585" s="404"/>
      <c r="X585" s="404"/>
      <c r="Y585" s="404"/>
      <c r="Z585" s="404"/>
      <c r="AA585" s="404"/>
    </row>
    <row r="586">
      <c r="A586" s="404"/>
      <c r="B586" s="419"/>
      <c r="C586" s="404"/>
      <c r="D586" s="404"/>
      <c r="E586" s="404"/>
      <c r="F586" s="404"/>
      <c r="G586" s="404"/>
      <c r="H586" s="404"/>
      <c r="I586" s="404"/>
      <c r="J586" s="404"/>
      <c r="K586" s="404"/>
      <c r="L586" s="404"/>
      <c r="M586" s="404"/>
      <c r="N586" s="404"/>
      <c r="O586" s="404"/>
      <c r="P586" s="404"/>
      <c r="Q586" s="404"/>
      <c r="R586" s="404"/>
      <c r="S586" s="404"/>
      <c r="T586" s="404"/>
      <c r="U586" s="404"/>
      <c r="V586" s="404"/>
      <c r="W586" s="404"/>
      <c r="X586" s="404"/>
      <c r="Y586" s="404"/>
      <c r="Z586" s="404"/>
      <c r="AA586" s="404"/>
    </row>
    <row r="587">
      <c r="A587" s="404"/>
      <c r="B587" s="419"/>
      <c r="C587" s="404"/>
      <c r="D587" s="404"/>
      <c r="E587" s="404"/>
      <c r="F587" s="404"/>
      <c r="G587" s="404"/>
      <c r="H587" s="404"/>
      <c r="I587" s="404"/>
      <c r="J587" s="404"/>
      <c r="K587" s="404"/>
      <c r="L587" s="404"/>
      <c r="M587" s="404"/>
      <c r="N587" s="404"/>
      <c r="O587" s="404"/>
      <c r="P587" s="404"/>
      <c r="Q587" s="404"/>
      <c r="R587" s="404"/>
      <c r="S587" s="404"/>
      <c r="T587" s="404"/>
      <c r="U587" s="404"/>
      <c r="V587" s="404"/>
      <c r="W587" s="404"/>
      <c r="X587" s="404"/>
      <c r="Y587" s="404"/>
      <c r="Z587" s="404"/>
      <c r="AA587" s="404"/>
    </row>
    <row r="588">
      <c r="A588" s="404"/>
      <c r="B588" s="419"/>
      <c r="C588" s="404"/>
      <c r="D588" s="404"/>
      <c r="E588" s="404"/>
      <c r="F588" s="404"/>
      <c r="G588" s="404"/>
      <c r="H588" s="404"/>
      <c r="I588" s="404"/>
      <c r="J588" s="404"/>
      <c r="K588" s="404"/>
      <c r="L588" s="404"/>
      <c r="M588" s="404"/>
      <c r="N588" s="404"/>
      <c r="O588" s="404"/>
      <c r="P588" s="404"/>
      <c r="Q588" s="404"/>
      <c r="R588" s="404"/>
      <c r="S588" s="404"/>
      <c r="T588" s="404"/>
      <c r="U588" s="404"/>
      <c r="V588" s="404"/>
      <c r="W588" s="404"/>
      <c r="X588" s="404"/>
      <c r="Y588" s="404"/>
      <c r="Z588" s="404"/>
      <c r="AA588" s="404"/>
    </row>
    <row r="589">
      <c r="A589" s="404"/>
      <c r="B589" s="419"/>
      <c r="C589" s="404"/>
      <c r="D589" s="404"/>
      <c r="E589" s="404"/>
      <c r="F589" s="404"/>
      <c r="G589" s="404"/>
      <c r="H589" s="404"/>
      <c r="I589" s="404"/>
      <c r="J589" s="404"/>
      <c r="K589" s="404"/>
      <c r="L589" s="404"/>
      <c r="M589" s="404"/>
      <c r="N589" s="404"/>
      <c r="O589" s="404"/>
      <c r="P589" s="404"/>
      <c r="Q589" s="404"/>
      <c r="R589" s="404"/>
      <c r="S589" s="404"/>
      <c r="T589" s="404"/>
      <c r="U589" s="404"/>
      <c r="V589" s="404"/>
      <c r="W589" s="404"/>
      <c r="X589" s="404"/>
      <c r="Y589" s="404"/>
      <c r="Z589" s="404"/>
      <c r="AA589" s="404"/>
    </row>
    <row r="590">
      <c r="A590" s="404"/>
      <c r="B590" s="419"/>
      <c r="C590" s="404"/>
      <c r="D590" s="404"/>
      <c r="E590" s="404"/>
      <c r="F590" s="404"/>
      <c r="G590" s="404"/>
      <c r="H590" s="404"/>
      <c r="I590" s="404"/>
      <c r="J590" s="404"/>
      <c r="K590" s="404"/>
      <c r="L590" s="404"/>
      <c r="M590" s="404"/>
      <c r="N590" s="404"/>
      <c r="O590" s="404"/>
      <c r="P590" s="404"/>
      <c r="Q590" s="404"/>
      <c r="R590" s="404"/>
      <c r="S590" s="404"/>
      <c r="T590" s="404"/>
      <c r="U590" s="404"/>
      <c r="V590" s="404"/>
      <c r="W590" s="404"/>
      <c r="X590" s="404"/>
      <c r="Y590" s="404"/>
      <c r="Z590" s="404"/>
      <c r="AA590" s="404"/>
    </row>
    <row r="591">
      <c r="A591" s="404"/>
      <c r="B591" s="419"/>
      <c r="C591" s="404"/>
      <c r="D591" s="404"/>
      <c r="E591" s="404"/>
      <c r="F591" s="404"/>
      <c r="G591" s="404"/>
      <c r="H591" s="404"/>
      <c r="I591" s="404"/>
      <c r="J591" s="404"/>
      <c r="K591" s="404"/>
      <c r="L591" s="404"/>
      <c r="M591" s="404"/>
      <c r="N591" s="404"/>
      <c r="O591" s="404"/>
      <c r="P591" s="404"/>
      <c r="Q591" s="404"/>
      <c r="R591" s="404"/>
      <c r="S591" s="404"/>
      <c r="T591" s="404"/>
      <c r="U591" s="404"/>
      <c r="V591" s="404"/>
      <c r="W591" s="404"/>
      <c r="X591" s="404"/>
      <c r="Y591" s="404"/>
      <c r="Z591" s="404"/>
      <c r="AA591" s="404"/>
    </row>
    <row r="592">
      <c r="A592" s="404"/>
      <c r="B592" s="419"/>
      <c r="C592" s="404"/>
      <c r="D592" s="404"/>
      <c r="E592" s="404"/>
      <c r="F592" s="404"/>
      <c r="G592" s="404"/>
      <c r="H592" s="404"/>
      <c r="I592" s="404"/>
      <c r="J592" s="404"/>
      <c r="K592" s="404"/>
      <c r="L592" s="404"/>
      <c r="M592" s="404"/>
      <c r="N592" s="404"/>
      <c r="O592" s="404"/>
      <c r="P592" s="404"/>
      <c r="Q592" s="404"/>
      <c r="R592" s="404"/>
      <c r="S592" s="404"/>
      <c r="T592" s="404"/>
      <c r="U592" s="404"/>
      <c r="V592" s="404"/>
      <c r="W592" s="404"/>
      <c r="X592" s="404"/>
      <c r="Y592" s="404"/>
      <c r="Z592" s="404"/>
      <c r="AA592" s="404"/>
    </row>
    <row r="593">
      <c r="A593" s="404"/>
      <c r="B593" s="419"/>
      <c r="C593" s="404"/>
      <c r="D593" s="404"/>
      <c r="E593" s="404"/>
      <c r="F593" s="404"/>
      <c r="G593" s="404"/>
      <c r="H593" s="404"/>
      <c r="I593" s="404"/>
      <c r="J593" s="404"/>
      <c r="K593" s="404"/>
      <c r="L593" s="404"/>
      <c r="M593" s="404"/>
      <c r="N593" s="404"/>
      <c r="O593" s="404"/>
      <c r="P593" s="404"/>
      <c r="Q593" s="404"/>
      <c r="R593" s="404"/>
      <c r="S593" s="404"/>
      <c r="T593" s="404"/>
      <c r="U593" s="404"/>
      <c r="V593" s="404"/>
      <c r="W593" s="404"/>
      <c r="X593" s="404"/>
      <c r="Y593" s="404"/>
      <c r="Z593" s="404"/>
      <c r="AA593" s="404"/>
    </row>
    <row r="594">
      <c r="A594" s="404"/>
      <c r="B594" s="419"/>
      <c r="C594" s="404"/>
      <c r="D594" s="404"/>
      <c r="E594" s="404"/>
      <c r="F594" s="404"/>
      <c r="G594" s="404"/>
      <c r="H594" s="404"/>
      <c r="I594" s="404"/>
      <c r="J594" s="404"/>
      <c r="K594" s="404"/>
      <c r="L594" s="404"/>
      <c r="M594" s="404"/>
      <c r="N594" s="404"/>
      <c r="O594" s="404"/>
      <c r="P594" s="404"/>
      <c r="Q594" s="404"/>
      <c r="R594" s="404"/>
      <c r="S594" s="404"/>
      <c r="T594" s="404"/>
      <c r="U594" s="404"/>
      <c r="V594" s="404"/>
      <c r="W594" s="404"/>
      <c r="X594" s="404"/>
      <c r="Y594" s="404"/>
      <c r="Z594" s="404"/>
      <c r="AA594" s="404"/>
    </row>
    <row r="595">
      <c r="A595" s="404"/>
      <c r="B595" s="419"/>
      <c r="C595" s="404"/>
      <c r="D595" s="404"/>
      <c r="E595" s="404"/>
      <c r="F595" s="404"/>
      <c r="G595" s="404"/>
      <c r="H595" s="404"/>
      <c r="I595" s="404"/>
      <c r="J595" s="404"/>
      <c r="K595" s="404"/>
      <c r="L595" s="404"/>
      <c r="M595" s="404"/>
      <c r="N595" s="404"/>
      <c r="O595" s="404"/>
      <c r="P595" s="404"/>
      <c r="Q595" s="404"/>
      <c r="R595" s="404"/>
      <c r="S595" s="404"/>
      <c r="T595" s="404"/>
      <c r="U595" s="404"/>
      <c r="V595" s="404"/>
      <c r="W595" s="404"/>
      <c r="X595" s="404"/>
      <c r="Y595" s="404"/>
      <c r="Z595" s="404"/>
      <c r="AA595" s="404"/>
    </row>
    <row r="596">
      <c r="A596" s="404"/>
      <c r="B596" s="419"/>
      <c r="C596" s="404"/>
      <c r="D596" s="404"/>
      <c r="E596" s="404"/>
      <c r="F596" s="404"/>
      <c r="G596" s="404"/>
      <c r="H596" s="404"/>
      <c r="I596" s="404"/>
      <c r="J596" s="404"/>
      <c r="K596" s="404"/>
      <c r="L596" s="404"/>
      <c r="M596" s="404"/>
      <c r="N596" s="404"/>
      <c r="O596" s="404"/>
      <c r="P596" s="404"/>
      <c r="Q596" s="404"/>
      <c r="R596" s="404"/>
      <c r="S596" s="404"/>
      <c r="T596" s="404"/>
      <c r="U596" s="404"/>
      <c r="V596" s="404"/>
      <c r="W596" s="404"/>
      <c r="X596" s="404"/>
      <c r="Y596" s="404"/>
      <c r="Z596" s="404"/>
      <c r="AA596" s="404"/>
    </row>
    <row r="597">
      <c r="A597" s="404"/>
      <c r="B597" s="419"/>
      <c r="C597" s="404"/>
      <c r="D597" s="404"/>
      <c r="E597" s="404"/>
      <c r="F597" s="404"/>
      <c r="G597" s="404"/>
      <c r="H597" s="404"/>
      <c r="I597" s="404"/>
      <c r="J597" s="404"/>
      <c r="K597" s="404"/>
      <c r="L597" s="404"/>
      <c r="M597" s="404"/>
      <c r="N597" s="404"/>
      <c r="O597" s="404"/>
      <c r="P597" s="404"/>
      <c r="Q597" s="404"/>
      <c r="R597" s="404"/>
      <c r="S597" s="404"/>
      <c r="T597" s="404"/>
      <c r="U597" s="404"/>
      <c r="V597" s="404"/>
      <c r="W597" s="404"/>
      <c r="X597" s="404"/>
      <c r="Y597" s="404"/>
      <c r="Z597" s="404"/>
      <c r="AA597" s="404"/>
    </row>
    <row r="598">
      <c r="A598" s="404"/>
      <c r="B598" s="419"/>
      <c r="C598" s="404"/>
      <c r="D598" s="404"/>
      <c r="E598" s="404"/>
      <c r="F598" s="404"/>
      <c r="G598" s="404"/>
      <c r="H598" s="404"/>
      <c r="I598" s="404"/>
      <c r="J598" s="404"/>
      <c r="K598" s="404"/>
      <c r="L598" s="404"/>
      <c r="M598" s="404"/>
      <c r="N598" s="404"/>
      <c r="O598" s="404"/>
      <c r="P598" s="404"/>
      <c r="Q598" s="404"/>
      <c r="R598" s="404"/>
      <c r="S598" s="404"/>
      <c r="T598" s="404"/>
      <c r="U598" s="404"/>
      <c r="V598" s="404"/>
      <c r="W598" s="404"/>
      <c r="X598" s="404"/>
      <c r="Y598" s="404"/>
      <c r="Z598" s="404"/>
      <c r="AA598" s="404"/>
    </row>
    <row r="599">
      <c r="A599" s="404"/>
      <c r="B599" s="419"/>
      <c r="C599" s="404"/>
      <c r="D599" s="404"/>
      <c r="E599" s="404"/>
      <c r="F599" s="404"/>
      <c r="G599" s="404"/>
      <c r="H599" s="404"/>
      <c r="I599" s="404"/>
      <c r="J599" s="404"/>
      <c r="K599" s="404"/>
      <c r="L599" s="404"/>
      <c r="M599" s="404"/>
      <c r="N599" s="404"/>
      <c r="O599" s="404"/>
      <c r="P599" s="404"/>
      <c r="Q599" s="404"/>
      <c r="R599" s="404"/>
      <c r="S599" s="404"/>
      <c r="T599" s="404"/>
      <c r="U599" s="404"/>
      <c r="V599" s="404"/>
      <c r="W599" s="404"/>
      <c r="X599" s="404"/>
      <c r="Y599" s="404"/>
      <c r="Z599" s="404"/>
      <c r="AA599" s="404"/>
    </row>
    <row r="600">
      <c r="A600" s="404"/>
      <c r="B600" s="419"/>
      <c r="C600" s="404"/>
      <c r="D600" s="404"/>
      <c r="E600" s="404"/>
      <c r="F600" s="404"/>
      <c r="G600" s="404"/>
      <c r="H600" s="404"/>
      <c r="I600" s="404"/>
      <c r="J600" s="404"/>
      <c r="K600" s="404"/>
      <c r="L600" s="404"/>
      <c r="M600" s="404"/>
      <c r="N600" s="404"/>
      <c r="O600" s="404"/>
      <c r="P600" s="404"/>
      <c r="Q600" s="404"/>
      <c r="R600" s="404"/>
      <c r="S600" s="404"/>
      <c r="T600" s="404"/>
      <c r="U600" s="404"/>
      <c r="V600" s="404"/>
      <c r="W600" s="404"/>
      <c r="X600" s="404"/>
      <c r="Y600" s="404"/>
      <c r="Z600" s="404"/>
      <c r="AA600" s="404"/>
    </row>
    <row r="601">
      <c r="A601" s="404"/>
      <c r="B601" s="419"/>
      <c r="C601" s="404"/>
      <c r="D601" s="404"/>
      <c r="E601" s="404"/>
      <c r="F601" s="404"/>
      <c r="G601" s="404"/>
      <c r="H601" s="404"/>
      <c r="I601" s="404"/>
      <c r="J601" s="404"/>
      <c r="K601" s="404"/>
      <c r="L601" s="404"/>
      <c r="M601" s="404"/>
      <c r="N601" s="404"/>
      <c r="O601" s="404"/>
      <c r="P601" s="404"/>
      <c r="Q601" s="404"/>
      <c r="R601" s="404"/>
      <c r="S601" s="404"/>
      <c r="T601" s="404"/>
      <c r="U601" s="404"/>
      <c r="V601" s="404"/>
      <c r="W601" s="404"/>
      <c r="X601" s="404"/>
      <c r="Y601" s="404"/>
      <c r="Z601" s="404"/>
      <c r="AA601" s="404"/>
    </row>
    <row r="602">
      <c r="A602" s="404"/>
      <c r="B602" s="419"/>
      <c r="C602" s="404"/>
      <c r="D602" s="404"/>
      <c r="E602" s="404"/>
      <c r="F602" s="404"/>
      <c r="G602" s="404"/>
      <c r="H602" s="404"/>
      <c r="I602" s="404"/>
      <c r="J602" s="404"/>
      <c r="K602" s="404"/>
      <c r="L602" s="404"/>
      <c r="M602" s="404"/>
      <c r="N602" s="404"/>
      <c r="O602" s="404"/>
      <c r="P602" s="404"/>
      <c r="Q602" s="404"/>
      <c r="R602" s="404"/>
      <c r="S602" s="404"/>
      <c r="T602" s="404"/>
      <c r="U602" s="404"/>
      <c r="V602" s="404"/>
      <c r="W602" s="404"/>
      <c r="X602" s="404"/>
      <c r="Y602" s="404"/>
      <c r="Z602" s="404"/>
      <c r="AA602" s="404"/>
    </row>
    <row r="603">
      <c r="A603" s="404"/>
      <c r="B603" s="419"/>
      <c r="C603" s="404"/>
      <c r="D603" s="404"/>
      <c r="E603" s="404"/>
      <c r="F603" s="404"/>
      <c r="G603" s="404"/>
      <c r="H603" s="404"/>
      <c r="I603" s="404"/>
      <c r="J603" s="404"/>
      <c r="K603" s="404"/>
      <c r="L603" s="404"/>
      <c r="M603" s="404"/>
      <c r="N603" s="404"/>
      <c r="O603" s="404"/>
      <c r="P603" s="404"/>
      <c r="Q603" s="404"/>
      <c r="R603" s="404"/>
      <c r="S603" s="404"/>
      <c r="T603" s="404"/>
      <c r="U603" s="404"/>
      <c r="V603" s="404"/>
      <c r="W603" s="404"/>
      <c r="X603" s="404"/>
      <c r="Y603" s="404"/>
      <c r="Z603" s="404"/>
      <c r="AA603" s="404"/>
    </row>
    <row r="604">
      <c r="A604" s="404"/>
      <c r="B604" s="419"/>
      <c r="C604" s="404"/>
      <c r="D604" s="404"/>
      <c r="E604" s="404"/>
      <c r="F604" s="404"/>
      <c r="G604" s="404"/>
      <c r="H604" s="404"/>
      <c r="I604" s="404"/>
      <c r="J604" s="404"/>
      <c r="K604" s="404"/>
      <c r="L604" s="404"/>
      <c r="M604" s="404"/>
      <c r="N604" s="404"/>
      <c r="O604" s="404"/>
      <c r="P604" s="404"/>
      <c r="Q604" s="404"/>
      <c r="R604" s="404"/>
      <c r="S604" s="404"/>
      <c r="T604" s="404"/>
      <c r="U604" s="404"/>
      <c r="V604" s="404"/>
      <c r="W604" s="404"/>
      <c r="X604" s="404"/>
      <c r="Y604" s="404"/>
      <c r="Z604" s="404"/>
      <c r="AA604" s="404"/>
    </row>
    <row r="605">
      <c r="A605" s="404"/>
      <c r="B605" s="419"/>
      <c r="C605" s="404"/>
      <c r="D605" s="404"/>
      <c r="E605" s="404"/>
      <c r="F605" s="404"/>
      <c r="G605" s="404"/>
      <c r="H605" s="404"/>
      <c r="I605" s="404"/>
      <c r="J605" s="404"/>
      <c r="K605" s="404"/>
      <c r="L605" s="404"/>
      <c r="M605" s="404"/>
      <c r="N605" s="404"/>
      <c r="O605" s="404"/>
      <c r="P605" s="404"/>
      <c r="Q605" s="404"/>
      <c r="R605" s="404"/>
      <c r="S605" s="404"/>
      <c r="T605" s="404"/>
      <c r="U605" s="404"/>
      <c r="V605" s="404"/>
      <c r="W605" s="404"/>
      <c r="X605" s="404"/>
      <c r="Y605" s="404"/>
      <c r="Z605" s="404"/>
      <c r="AA605" s="404"/>
    </row>
    <row r="606">
      <c r="A606" s="404"/>
      <c r="B606" s="419"/>
      <c r="C606" s="404"/>
      <c r="D606" s="404"/>
      <c r="E606" s="404"/>
      <c r="F606" s="404"/>
      <c r="G606" s="404"/>
      <c r="H606" s="404"/>
      <c r="I606" s="404"/>
      <c r="J606" s="404"/>
      <c r="K606" s="404"/>
      <c r="L606" s="404"/>
      <c r="M606" s="404"/>
      <c r="N606" s="404"/>
      <c r="O606" s="404"/>
      <c r="P606" s="404"/>
      <c r="Q606" s="404"/>
      <c r="R606" s="404"/>
      <c r="S606" s="404"/>
      <c r="T606" s="404"/>
      <c r="U606" s="404"/>
      <c r="V606" s="404"/>
      <c r="W606" s="404"/>
      <c r="X606" s="404"/>
      <c r="Y606" s="404"/>
      <c r="Z606" s="404"/>
      <c r="AA606" s="404"/>
    </row>
    <row r="607">
      <c r="A607" s="404"/>
      <c r="B607" s="419"/>
      <c r="C607" s="404"/>
      <c r="D607" s="404"/>
      <c r="E607" s="404"/>
      <c r="F607" s="404"/>
      <c r="G607" s="404"/>
      <c r="H607" s="404"/>
      <c r="I607" s="404"/>
      <c r="J607" s="404"/>
      <c r="K607" s="404"/>
      <c r="L607" s="404"/>
      <c r="M607" s="404"/>
      <c r="N607" s="404"/>
      <c r="O607" s="404"/>
      <c r="P607" s="404"/>
      <c r="Q607" s="404"/>
      <c r="R607" s="404"/>
      <c r="S607" s="404"/>
      <c r="T607" s="404"/>
      <c r="U607" s="404"/>
      <c r="V607" s="404"/>
      <c r="W607" s="404"/>
      <c r="X607" s="404"/>
      <c r="Y607" s="404"/>
      <c r="Z607" s="404"/>
      <c r="AA607" s="404"/>
    </row>
    <row r="608">
      <c r="A608" s="404"/>
      <c r="B608" s="419"/>
      <c r="C608" s="404"/>
      <c r="D608" s="404"/>
      <c r="E608" s="404"/>
      <c r="F608" s="404"/>
      <c r="G608" s="404"/>
      <c r="H608" s="404"/>
      <c r="I608" s="404"/>
      <c r="J608" s="404"/>
      <c r="K608" s="404"/>
      <c r="L608" s="404"/>
      <c r="M608" s="404"/>
      <c r="N608" s="404"/>
      <c r="O608" s="404"/>
      <c r="P608" s="404"/>
      <c r="Q608" s="404"/>
      <c r="R608" s="404"/>
      <c r="S608" s="404"/>
      <c r="T608" s="404"/>
      <c r="U608" s="404"/>
      <c r="V608" s="404"/>
      <c r="W608" s="404"/>
      <c r="X608" s="404"/>
      <c r="Y608" s="404"/>
      <c r="Z608" s="404"/>
      <c r="AA608" s="404"/>
    </row>
    <row r="609">
      <c r="A609" s="404"/>
      <c r="B609" s="419"/>
      <c r="C609" s="404"/>
      <c r="D609" s="404"/>
      <c r="E609" s="404"/>
      <c r="F609" s="404"/>
      <c r="G609" s="404"/>
      <c r="H609" s="404"/>
      <c r="I609" s="404"/>
      <c r="J609" s="404"/>
      <c r="K609" s="404"/>
      <c r="L609" s="404"/>
      <c r="M609" s="404"/>
      <c r="N609" s="404"/>
      <c r="O609" s="404"/>
      <c r="P609" s="404"/>
      <c r="Q609" s="404"/>
      <c r="R609" s="404"/>
      <c r="S609" s="404"/>
      <c r="T609" s="404"/>
      <c r="U609" s="404"/>
      <c r="V609" s="404"/>
      <c r="W609" s="404"/>
      <c r="X609" s="404"/>
      <c r="Y609" s="404"/>
      <c r="Z609" s="404"/>
      <c r="AA609" s="404"/>
    </row>
    <row r="610">
      <c r="A610" s="404"/>
      <c r="B610" s="419"/>
      <c r="C610" s="404"/>
      <c r="D610" s="404"/>
      <c r="E610" s="404"/>
      <c r="F610" s="404"/>
      <c r="G610" s="404"/>
      <c r="H610" s="404"/>
      <c r="I610" s="404"/>
      <c r="J610" s="404"/>
      <c r="K610" s="404"/>
      <c r="L610" s="404"/>
      <c r="M610" s="404"/>
      <c r="N610" s="404"/>
      <c r="O610" s="404"/>
      <c r="P610" s="404"/>
      <c r="Q610" s="404"/>
      <c r="R610" s="404"/>
      <c r="S610" s="404"/>
      <c r="T610" s="404"/>
      <c r="U610" s="404"/>
      <c r="V610" s="404"/>
      <c r="W610" s="404"/>
      <c r="X610" s="404"/>
      <c r="Y610" s="404"/>
      <c r="Z610" s="404"/>
      <c r="AA610" s="404"/>
    </row>
    <row r="611">
      <c r="A611" s="404"/>
      <c r="B611" s="419"/>
      <c r="C611" s="404"/>
      <c r="D611" s="404"/>
      <c r="E611" s="404"/>
      <c r="F611" s="404"/>
      <c r="G611" s="404"/>
      <c r="H611" s="404"/>
      <c r="I611" s="404"/>
      <c r="J611" s="404"/>
      <c r="K611" s="404"/>
      <c r="L611" s="404"/>
      <c r="M611" s="404"/>
      <c r="N611" s="404"/>
      <c r="O611" s="404"/>
      <c r="P611" s="404"/>
      <c r="Q611" s="404"/>
      <c r="R611" s="404"/>
      <c r="S611" s="404"/>
      <c r="T611" s="404"/>
      <c r="U611" s="404"/>
      <c r="V611" s="404"/>
      <c r="W611" s="404"/>
      <c r="X611" s="404"/>
      <c r="Y611" s="404"/>
      <c r="Z611" s="404"/>
      <c r="AA611" s="404"/>
    </row>
    <row r="612">
      <c r="A612" s="404"/>
      <c r="B612" s="419"/>
      <c r="C612" s="404"/>
      <c r="D612" s="404"/>
      <c r="E612" s="404"/>
      <c r="F612" s="404"/>
      <c r="G612" s="404"/>
      <c r="H612" s="404"/>
      <c r="I612" s="404"/>
      <c r="J612" s="404"/>
      <c r="K612" s="404"/>
      <c r="L612" s="404"/>
      <c r="M612" s="404"/>
      <c r="N612" s="404"/>
      <c r="O612" s="404"/>
      <c r="P612" s="404"/>
      <c r="Q612" s="404"/>
      <c r="R612" s="404"/>
      <c r="S612" s="404"/>
      <c r="T612" s="404"/>
      <c r="U612" s="404"/>
      <c r="V612" s="404"/>
      <c r="W612" s="404"/>
      <c r="X612" s="404"/>
      <c r="Y612" s="404"/>
      <c r="Z612" s="404"/>
      <c r="AA612" s="404"/>
    </row>
    <row r="613">
      <c r="A613" s="404"/>
      <c r="B613" s="419"/>
      <c r="C613" s="404"/>
      <c r="D613" s="404"/>
      <c r="E613" s="404"/>
      <c r="F613" s="404"/>
      <c r="G613" s="404"/>
      <c r="H613" s="404"/>
      <c r="I613" s="404"/>
      <c r="J613" s="404"/>
      <c r="K613" s="404"/>
      <c r="L613" s="404"/>
      <c r="M613" s="404"/>
      <c r="N613" s="404"/>
      <c r="O613" s="404"/>
      <c r="P613" s="404"/>
      <c r="Q613" s="404"/>
      <c r="R613" s="404"/>
      <c r="S613" s="404"/>
      <c r="T613" s="404"/>
      <c r="U613" s="404"/>
      <c r="V613" s="404"/>
      <c r="W613" s="404"/>
      <c r="X613" s="404"/>
      <c r="Y613" s="404"/>
      <c r="Z613" s="404"/>
      <c r="AA613" s="404"/>
    </row>
    <row r="614">
      <c r="A614" s="404"/>
      <c r="B614" s="419"/>
      <c r="C614" s="404"/>
      <c r="D614" s="404"/>
      <c r="E614" s="404"/>
      <c r="F614" s="404"/>
      <c r="G614" s="404"/>
      <c r="H614" s="404"/>
      <c r="I614" s="404"/>
      <c r="J614" s="404"/>
      <c r="K614" s="404"/>
      <c r="L614" s="404"/>
      <c r="M614" s="404"/>
      <c r="N614" s="404"/>
      <c r="O614" s="404"/>
      <c r="P614" s="404"/>
      <c r="Q614" s="404"/>
      <c r="R614" s="404"/>
      <c r="S614" s="404"/>
      <c r="T614" s="404"/>
      <c r="U614" s="404"/>
      <c r="V614" s="404"/>
      <c r="W614" s="404"/>
      <c r="X614" s="404"/>
      <c r="Y614" s="404"/>
      <c r="Z614" s="404"/>
      <c r="AA614" s="404"/>
    </row>
    <row r="615">
      <c r="A615" s="404"/>
      <c r="B615" s="419"/>
      <c r="C615" s="404"/>
      <c r="D615" s="404"/>
      <c r="E615" s="404"/>
      <c r="F615" s="404"/>
      <c r="G615" s="404"/>
      <c r="H615" s="404"/>
      <c r="I615" s="404"/>
      <c r="J615" s="404"/>
      <c r="K615" s="404"/>
      <c r="L615" s="404"/>
      <c r="M615" s="404"/>
      <c r="N615" s="404"/>
      <c r="O615" s="404"/>
      <c r="P615" s="404"/>
      <c r="Q615" s="404"/>
      <c r="R615" s="404"/>
      <c r="S615" s="404"/>
      <c r="T615" s="404"/>
      <c r="U615" s="404"/>
      <c r="V615" s="404"/>
      <c r="W615" s="404"/>
      <c r="X615" s="404"/>
      <c r="Y615" s="404"/>
      <c r="Z615" s="404"/>
      <c r="AA615" s="404"/>
    </row>
    <row r="616">
      <c r="A616" s="404"/>
      <c r="B616" s="419"/>
      <c r="C616" s="404"/>
      <c r="D616" s="404"/>
      <c r="E616" s="404"/>
      <c r="F616" s="404"/>
      <c r="G616" s="404"/>
      <c r="H616" s="404"/>
      <c r="I616" s="404"/>
      <c r="J616" s="404"/>
      <c r="K616" s="404"/>
      <c r="L616" s="404"/>
      <c r="M616" s="404"/>
      <c r="N616" s="404"/>
      <c r="O616" s="404"/>
      <c r="P616" s="404"/>
      <c r="Q616" s="404"/>
      <c r="R616" s="404"/>
      <c r="S616" s="404"/>
      <c r="T616" s="404"/>
      <c r="U616" s="404"/>
      <c r="V616" s="404"/>
      <c r="W616" s="404"/>
      <c r="X616" s="404"/>
      <c r="Y616" s="404"/>
      <c r="Z616" s="404"/>
      <c r="AA616" s="404"/>
    </row>
    <row r="617">
      <c r="A617" s="404"/>
      <c r="B617" s="419"/>
      <c r="C617" s="404"/>
      <c r="D617" s="404"/>
      <c r="E617" s="404"/>
      <c r="F617" s="404"/>
      <c r="G617" s="404"/>
      <c r="H617" s="404"/>
      <c r="I617" s="404"/>
      <c r="J617" s="404"/>
      <c r="K617" s="404"/>
      <c r="L617" s="404"/>
      <c r="M617" s="404"/>
      <c r="N617" s="404"/>
      <c r="O617" s="404"/>
      <c r="P617" s="404"/>
      <c r="Q617" s="404"/>
      <c r="R617" s="404"/>
      <c r="S617" s="404"/>
      <c r="T617" s="404"/>
      <c r="U617" s="404"/>
      <c r="V617" s="404"/>
      <c r="W617" s="404"/>
      <c r="X617" s="404"/>
      <c r="Y617" s="404"/>
      <c r="Z617" s="404"/>
      <c r="AA617" s="404"/>
    </row>
    <row r="618">
      <c r="A618" s="404"/>
      <c r="B618" s="419"/>
      <c r="C618" s="404"/>
      <c r="D618" s="404"/>
      <c r="E618" s="404"/>
      <c r="F618" s="404"/>
      <c r="G618" s="404"/>
      <c r="H618" s="404"/>
      <c r="I618" s="404"/>
      <c r="J618" s="404"/>
      <c r="K618" s="404"/>
      <c r="L618" s="404"/>
      <c r="M618" s="404"/>
      <c r="N618" s="404"/>
      <c r="O618" s="404"/>
      <c r="P618" s="404"/>
      <c r="Q618" s="404"/>
      <c r="R618" s="404"/>
      <c r="S618" s="404"/>
      <c r="T618" s="404"/>
      <c r="U618" s="404"/>
      <c r="V618" s="404"/>
      <c r="W618" s="404"/>
      <c r="X618" s="404"/>
      <c r="Y618" s="404"/>
      <c r="Z618" s="404"/>
      <c r="AA618" s="404"/>
    </row>
    <row r="619">
      <c r="A619" s="404"/>
      <c r="B619" s="419"/>
      <c r="C619" s="404"/>
      <c r="D619" s="404"/>
      <c r="E619" s="404"/>
      <c r="F619" s="404"/>
      <c r="G619" s="404"/>
      <c r="H619" s="404"/>
      <c r="I619" s="404"/>
      <c r="J619" s="404"/>
      <c r="K619" s="404"/>
      <c r="L619" s="404"/>
      <c r="M619" s="404"/>
      <c r="N619" s="404"/>
      <c r="O619" s="404"/>
      <c r="P619" s="404"/>
      <c r="Q619" s="404"/>
      <c r="R619" s="404"/>
      <c r="S619" s="404"/>
      <c r="T619" s="404"/>
      <c r="U619" s="404"/>
      <c r="V619" s="404"/>
      <c r="W619" s="404"/>
      <c r="X619" s="404"/>
      <c r="Y619" s="404"/>
      <c r="Z619" s="404"/>
      <c r="AA619" s="404"/>
    </row>
    <row r="620">
      <c r="A620" s="404"/>
      <c r="B620" s="419"/>
      <c r="C620" s="404"/>
      <c r="D620" s="404"/>
      <c r="E620" s="404"/>
      <c r="F620" s="404"/>
      <c r="G620" s="404"/>
      <c r="H620" s="404"/>
      <c r="I620" s="404"/>
      <c r="J620" s="404"/>
      <c r="K620" s="404"/>
      <c r="L620" s="404"/>
      <c r="M620" s="404"/>
      <c r="N620" s="404"/>
      <c r="O620" s="404"/>
      <c r="P620" s="404"/>
      <c r="Q620" s="404"/>
      <c r="R620" s="404"/>
      <c r="S620" s="404"/>
      <c r="T620" s="404"/>
      <c r="U620" s="404"/>
      <c r="V620" s="404"/>
      <c r="W620" s="404"/>
      <c r="X620" s="404"/>
      <c r="Y620" s="404"/>
      <c r="Z620" s="404"/>
      <c r="AA620" s="404"/>
    </row>
    <row r="621">
      <c r="A621" s="404"/>
      <c r="B621" s="419"/>
      <c r="C621" s="404"/>
      <c r="D621" s="404"/>
      <c r="E621" s="404"/>
      <c r="F621" s="404"/>
      <c r="G621" s="404"/>
      <c r="H621" s="404"/>
      <c r="I621" s="404"/>
      <c r="J621" s="404"/>
      <c r="K621" s="404"/>
      <c r="L621" s="404"/>
      <c r="M621" s="404"/>
      <c r="N621" s="404"/>
      <c r="O621" s="404"/>
      <c r="P621" s="404"/>
      <c r="Q621" s="404"/>
      <c r="R621" s="404"/>
      <c r="S621" s="404"/>
      <c r="T621" s="404"/>
      <c r="U621" s="404"/>
      <c r="V621" s="404"/>
      <c r="W621" s="404"/>
      <c r="X621" s="404"/>
      <c r="Y621" s="404"/>
      <c r="Z621" s="404"/>
      <c r="AA621" s="404"/>
    </row>
    <row r="622">
      <c r="A622" s="404"/>
      <c r="B622" s="419"/>
      <c r="C622" s="404"/>
      <c r="D622" s="404"/>
      <c r="E622" s="404"/>
      <c r="F622" s="404"/>
      <c r="G622" s="404"/>
      <c r="H622" s="404"/>
      <c r="I622" s="404"/>
      <c r="J622" s="404"/>
      <c r="K622" s="404"/>
      <c r="L622" s="404"/>
      <c r="M622" s="404"/>
      <c r="N622" s="404"/>
      <c r="O622" s="404"/>
      <c r="P622" s="404"/>
      <c r="Q622" s="404"/>
      <c r="R622" s="404"/>
      <c r="S622" s="404"/>
      <c r="T622" s="404"/>
      <c r="U622" s="404"/>
      <c r="V622" s="404"/>
      <c r="W622" s="404"/>
      <c r="X622" s="404"/>
      <c r="Y622" s="404"/>
      <c r="Z622" s="404"/>
      <c r="AA622" s="404"/>
    </row>
    <row r="623">
      <c r="A623" s="404"/>
      <c r="B623" s="419"/>
      <c r="C623" s="404"/>
      <c r="D623" s="404"/>
      <c r="E623" s="404"/>
      <c r="F623" s="404"/>
      <c r="G623" s="404"/>
      <c r="H623" s="404"/>
      <c r="I623" s="404"/>
      <c r="J623" s="404"/>
      <c r="K623" s="404"/>
      <c r="L623" s="404"/>
      <c r="M623" s="404"/>
      <c r="N623" s="404"/>
      <c r="O623" s="404"/>
      <c r="P623" s="404"/>
      <c r="Q623" s="404"/>
      <c r="R623" s="404"/>
      <c r="S623" s="404"/>
      <c r="T623" s="404"/>
      <c r="U623" s="404"/>
      <c r="V623" s="404"/>
      <c r="W623" s="404"/>
      <c r="X623" s="404"/>
      <c r="Y623" s="404"/>
      <c r="Z623" s="404"/>
      <c r="AA623" s="404"/>
    </row>
    <row r="624">
      <c r="A624" s="404"/>
      <c r="B624" s="419"/>
      <c r="C624" s="404"/>
      <c r="D624" s="404"/>
      <c r="E624" s="404"/>
      <c r="F624" s="404"/>
      <c r="G624" s="404"/>
      <c r="H624" s="404"/>
      <c r="I624" s="404"/>
      <c r="J624" s="404"/>
      <c r="K624" s="404"/>
      <c r="L624" s="404"/>
      <c r="M624" s="404"/>
      <c r="N624" s="404"/>
      <c r="O624" s="404"/>
      <c r="P624" s="404"/>
      <c r="Q624" s="404"/>
      <c r="R624" s="404"/>
      <c r="S624" s="404"/>
      <c r="T624" s="404"/>
      <c r="U624" s="404"/>
      <c r="V624" s="404"/>
      <c r="W624" s="404"/>
      <c r="X624" s="404"/>
      <c r="Y624" s="404"/>
      <c r="Z624" s="404"/>
      <c r="AA624" s="404"/>
    </row>
    <row r="625">
      <c r="A625" s="404"/>
      <c r="B625" s="419"/>
      <c r="C625" s="404"/>
      <c r="D625" s="404"/>
      <c r="E625" s="404"/>
      <c r="F625" s="404"/>
      <c r="G625" s="404"/>
      <c r="H625" s="404"/>
      <c r="I625" s="404"/>
      <c r="J625" s="404"/>
      <c r="K625" s="404"/>
      <c r="L625" s="404"/>
      <c r="M625" s="404"/>
      <c r="N625" s="404"/>
      <c r="O625" s="404"/>
      <c r="P625" s="404"/>
      <c r="Q625" s="404"/>
      <c r="R625" s="404"/>
      <c r="S625" s="404"/>
      <c r="T625" s="404"/>
      <c r="U625" s="404"/>
      <c r="V625" s="404"/>
      <c r="W625" s="404"/>
      <c r="X625" s="404"/>
      <c r="Y625" s="404"/>
      <c r="Z625" s="404"/>
      <c r="AA625" s="404"/>
    </row>
    <row r="626">
      <c r="A626" s="404"/>
      <c r="B626" s="419"/>
      <c r="C626" s="404"/>
      <c r="D626" s="404"/>
      <c r="E626" s="404"/>
      <c r="F626" s="404"/>
      <c r="G626" s="404"/>
      <c r="H626" s="404"/>
      <c r="I626" s="404"/>
      <c r="J626" s="404"/>
      <c r="K626" s="404"/>
      <c r="L626" s="404"/>
      <c r="M626" s="404"/>
      <c r="N626" s="404"/>
      <c r="O626" s="404"/>
      <c r="P626" s="404"/>
      <c r="Q626" s="404"/>
      <c r="R626" s="404"/>
      <c r="S626" s="404"/>
      <c r="T626" s="404"/>
      <c r="U626" s="404"/>
      <c r="V626" s="404"/>
      <c r="W626" s="404"/>
      <c r="X626" s="404"/>
      <c r="Y626" s="404"/>
      <c r="Z626" s="404"/>
      <c r="AA626" s="404"/>
    </row>
    <row r="627">
      <c r="A627" s="404"/>
      <c r="B627" s="419"/>
      <c r="C627" s="404"/>
      <c r="D627" s="404"/>
      <c r="E627" s="404"/>
      <c r="F627" s="404"/>
      <c r="G627" s="404"/>
      <c r="H627" s="404"/>
      <c r="I627" s="404"/>
      <c r="J627" s="404"/>
      <c r="K627" s="404"/>
      <c r="L627" s="404"/>
      <c r="M627" s="404"/>
      <c r="N627" s="404"/>
      <c r="O627" s="404"/>
      <c r="P627" s="404"/>
      <c r="Q627" s="404"/>
      <c r="R627" s="404"/>
      <c r="S627" s="404"/>
      <c r="T627" s="404"/>
      <c r="U627" s="404"/>
      <c r="V627" s="404"/>
      <c r="W627" s="404"/>
      <c r="X627" s="404"/>
      <c r="Y627" s="404"/>
      <c r="Z627" s="404"/>
      <c r="AA627" s="404"/>
    </row>
    <row r="628">
      <c r="A628" s="404"/>
      <c r="B628" s="419"/>
      <c r="C628" s="404"/>
      <c r="D628" s="404"/>
      <c r="E628" s="404"/>
      <c r="F628" s="404"/>
      <c r="G628" s="404"/>
      <c r="H628" s="404"/>
      <c r="I628" s="404"/>
      <c r="J628" s="404"/>
      <c r="K628" s="404"/>
      <c r="L628" s="404"/>
      <c r="M628" s="404"/>
      <c r="N628" s="404"/>
      <c r="O628" s="404"/>
      <c r="P628" s="404"/>
      <c r="Q628" s="404"/>
      <c r="R628" s="404"/>
      <c r="S628" s="404"/>
      <c r="T628" s="404"/>
      <c r="U628" s="404"/>
      <c r="V628" s="404"/>
      <c r="W628" s="404"/>
      <c r="X628" s="404"/>
      <c r="Y628" s="404"/>
      <c r="Z628" s="404"/>
      <c r="AA628" s="404"/>
    </row>
    <row r="629">
      <c r="A629" s="404"/>
      <c r="B629" s="419"/>
      <c r="C629" s="404"/>
      <c r="D629" s="404"/>
      <c r="E629" s="404"/>
      <c r="F629" s="404"/>
      <c r="G629" s="404"/>
      <c r="H629" s="404"/>
      <c r="I629" s="404"/>
      <c r="J629" s="404"/>
      <c r="K629" s="404"/>
      <c r="L629" s="404"/>
      <c r="M629" s="404"/>
      <c r="N629" s="404"/>
      <c r="O629" s="404"/>
      <c r="P629" s="404"/>
      <c r="Q629" s="404"/>
      <c r="R629" s="404"/>
      <c r="S629" s="404"/>
      <c r="T629" s="404"/>
      <c r="U629" s="404"/>
      <c r="V629" s="404"/>
      <c r="W629" s="404"/>
      <c r="X629" s="404"/>
      <c r="Y629" s="404"/>
      <c r="Z629" s="404"/>
      <c r="AA629" s="404"/>
    </row>
    <row r="630">
      <c r="A630" s="404"/>
      <c r="B630" s="419"/>
      <c r="C630" s="404"/>
      <c r="D630" s="404"/>
      <c r="E630" s="404"/>
      <c r="F630" s="404"/>
      <c r="G630" s="404"/>
      <c r="H630" s="404"/>
      <c r="I630" s="404"/>
      <c r="J630" s="404"/>
      <c r="K630" s="404"/>
      <c r="L630" s="404"/>
      <c r="M630" s="404"/>
      <c r="N630" s="404"/>
      <c r="O630" s="404"/>
      <c r="P630" s="404"/>
      <c r="Q630" s="404"/>
      <c r="R630" s="404"/>
      <c r="S630" s="404"/>
      <c r="T630" s="404"/>
      <c r="U630" s="404"/>
      <c r="V630" s="404"/>
      <c r="W630" s="404"/>
      <c r="X630" s="404"/>
      <c r="Y630" s="404"/>
      <c r="Z630" s="404"/>
      <c r="AA630" s="404"/>
    </row>
    <row r="631">
      <c r="A631" s="404"/>
      <c r="B631" s="419"/>
      <c r="C631" s="404"/>
      <c r="D631" s="404"/>
      <c r="E631" s="404"/>
      <c r="F631" s="404"/>
      <c r="G631" s="404"/>
      <c r="H631" s="404"/>
      <c r="I631" s="404"/>
      <c r="J631" s="404"/>
      <c r="K631" s="404"/>
      <c r="L631" s="404"/>
      <c r="M631" s="404"/>
      <c r="N631" s="404"/>
      <c r="O631" s="404"/>
      <c r="P631" s="404"/>
      <c r="Q631" s="404"/>
      <c r="R631" s="404"/>
      <c r="S631" s="404"/>
      <c r="T631" s="404"/>
      <c r="U631" s="404"/>
      <c r="V631" s="404"/>
      <c r="W631" s="404"/>
      <c r="X631" s="404"/>
      <c r="Y631" s="404"/>
      <c r="Z631" s="404"/>
      <c r="AA631" s="404"/>
    </row>
    <row r="632">
      <c r="A632" s="404"/>
      <c r="B632" s="419"/>
      <c r="C632" s="404"/>
      <c r="D632" s="404"/>
      <c r="E632" s="404"/>
      <c r="F632" s="404"/>
      <c r="G632" s="404"/>
      <c r="H632" s="404"/>
      <c r="I632" s="404"/>
      <c r="J632" s="404"/>
      <c r="K632" s="404"/>
      <c r="L632" s="404"/>
      <c r="M632" s="404"/>
      <c r="N632" s="404"/>
      <c r="O632" s="404"/>
      <c r="P632" s="404"/>
      <c r="Q632" s="404"/>
      <c r="R632" s="404"/>
      <c r="S632" s="404"/>
      <c r="T632" s="404"/>
      <c r="U632" s="404"/>
      <c r="V632" s="404"/>
      <c r="W632" s="404"/>
      <c r="X632" s="404"/>
      <c r="Y632" s="404"/>
      <c r="Z632" s="404"/>
      <c r="AA632" s="404"/>
    </row>
    <row r="633">
      <c r="A633" s="404"/>
      <c r="B633" s="419"/>
      <c r="C633" s="404"/>
      <c r="D633" s="404"/>
      <c r="E633" s="404"/>
      <c r="F633" s="404"/>
      <c r="G633" s="404"/>
      <c r="H633" s="404"/>
      <c r="I633" s="404"/>
      <c r="J633" s="404"/>
      <c r="K633" s="404"/>
      <c r="L633" s="404"/>
      <c r="M633" s="404"/>
      <c r="N633" s="404"/>
      <c r="O633" s="404"/>
      <c r="P633" s="404"/>
      <c r="Q633" s="404"/>
      <c r="R633" s="404"/>
      <c r="S633" s="404"/>
      <c r="T633" s="404"/>
      <c r="U633" s="404"/>
      <c r="V633" s="404"/>
      <c r="W633" s="404"/>
      <c r="X633" s="404"/>
      <c r="Y633" s="404"/>
      <c r="Z633" s="404"/>
      <c r="AA633" s="404"/>
    </row>
    <row r="634">
      <c r="A634" s="404"/>
      <c r="B634" s="419"/>
      <c r="C634" s="404"/>
      <c r="D634" s="404"/>
      <c r="E634" s="404"/>
      <c r="F634" s="404"/>
      <c r="G634" s="404"/>
      <c r="H634" s="404"/>
      <c r="I634" s="404"/>
      <c r="J634" s="404"/>
      <c r="K634" s="404"/>
      <c r="L634" s="404"/>
      <c r="M634" s="404"/>
      <c r="N634" s="404"/>
      <c r="O634" s="404"/>
      <c r="P634" s="404"/>
      <c r="Q634" s="404"/>
      <c r="R634" s="404"/>
      <c r="S634" s="404"/>
      <c r="T634" s="404"/>
      <c r="U634" s="404"/>
      <c r="V634" s="404"/>
      <c r="W634" s="404"/>
      <c r="X634" s="404"/>
      <c r="Y634" s="404"/>
      <c r="Z634" s="404"/>
      <c r="AA634" s="404"/>
    </row>
    <row r="635">
      <c r="A635" s="404"/>
      <c r="B635" s="419"/>
      <c r="C635" s="404"/>
      <c r="D635" s="404"/>
      <c r="E635" s="404"/>
      <c r="F635" s="404"/>
      <c r="G635" s="404"/>
      <c r="H635" s="404"/>
      <c r="I635" s="404"/>
      <c r="J635" s="404"/>
      <c r="K635" s="404"/>
      <c r="L635" s="404"/>
      <c r="M635" s="404"/>
      <c r="N635" s="404"/>
      <c r="O635" s="404"/>
      <c r="P635" s="404"/>
      <c r="Q635" s="404"/>
      <c r="R635" s="404"/>
      <c r="S635" s="404"/>
      <c r="T635" s="404"/>
      <c r="U635" s="404"/>
      <c r="V635" s="404"/>
      <c r="W635" s="404"/>
      <c r="X635" s="404"/>
      <c r="Y635" s="404"/>
      <c r="Z635" s="404"/>
      <c r="AA635" s="404"/>
    </row>
    <row r="636">
      <c r="A636" s="404"/>
      <c r="B636" s="419"/>
      <c r="C636" s="404"/>
      <c r="D636" s="404"/>
      <c r="E636" s="404"/>
      <c r="F636" s="404"/>
      <c r="G636" s="404"/>
      <c r="H636" s="404"/>
      <c r="I636" s="404"/>
      <c r="J636" s="404"/>
      <c r="K636" s="404"/>
      <c r="L636" s="404"/>
      <c r="M636" s="404"/>
      <c r="N636" s="404"/>
      <c r="O636" s="404"/>
      <c r="P636" s="404"/>
      <c r="Q636" s="404"/>
      <c r="R636" s="404"/>
      <c r="S636" s="404"/>
      <c r="T636" s="404"/>
      <c r="U636" s="404"/>
      <c r="V636" s="404"/>
      <c r="W636" s="404"/>
      <c r="X636" s="404"/>
      <c r="Y636" s="404"/>
      <c r="Z636" s="404"/>
      <c r="AA636" s="404"/>
    </row>
    <row r="637">
      <c r="A637" s="404"/>
      <c r="B637" s="419"/>
      <c r="C637" s="404"/>
      <c r="D637" s="404"/>
      <c r="E637" s="404"/>
      <c r="F637" s="404"/>
      <c r="G637" s="404"/>
      <c r="H637" s="404"/>
      <c r="I637" s="404"/>
      <c r="J637" s="404"/>
      <c r="K637" s="404"/>
      <c r="L637" s="404"/>
      <c r="M637" s="404"/>
      <c r="N637" s="404"/>
      <c r="O637" s="404"/>
      <c r="P637" s="404"/>
      <c r="Q637" s="404"/>
      <c r="R637" s="404"/>
      <c r="S637" s="404"/>
      <c r="T637" s="404"/>
      <c r="U637" s="404"/>
      <c r="V637" s="404"/>
      <c r="W637" s="404"/>
      <c r="X637" s="404"/>
      <c r="Y637" s="404"/>
      <c r="Z637" s="404"/>
      <c r="AA637" s="404"/>
    </row>
    <row r="638">
      <c r="A638" s="404"/>
      <c r="B638" s="419"/>
      <c r="C638" s="404"/>
      <c r="D638" s="404"/>
      <c r="E638" s="404"/>
      <c r="F638" s="404"/>
      <c r="G638" s="404"/>
      <c r="H638" s="404"/>
      <c r="I638" s="404"/>
      <c r="J638" s="404"/>
      <c r="K638" s="404"/>
      <c r="L638" s="404"/>
      <c r="M638" s="404"/>
      <c r="N638" s="404"/>
      <c r="O638" s="404"/>
      <c r="P638" s="404"/>
      <c r="Q638" s="404"/>
      <c r="R638" s="404"/>
      <c r="S638" s="404"/>
      <c r="T638" s="404"/>
      <c r="U638" s="404"/>
      <c r="V638" s="404"/>
      <c r="W638" s="404"/>
      <c r="X638" s="404"/>
      <c r="Y638" s="404"/>
      <c r="Z638" s="404"/>
      <c r="AA638" s="404"/>
    </row>
    <row r="639">
      <c r="A639" s="404"/>
      <c r="B639" s="419"/>
      <c r="C639" s="404"/>
      <c r="D639" s="404"/>
      <c r="E639" s="404"/>
      <c r="F639" s="404"/>
      <c r="G639" s="404"/>
      <c r="H639" s="404"/>
      <c r="I639" s="404"/>
      <c r="J639" s="404"/>
      <c r="K639" s="404"/>
      <c r="L639" s="404"/>
      <c r="M639" s="404"/>
      <c r="N639" s="404"/>
      <c r="O639" s="404"/>
      <c r="P639" s="404"/>
      <c r="Q639" s="404"/>
      <c r="R639" s="404"/>
      <c r="S639" s="404"/>
      <c r="T639" s="404"/>
      <c r="U639" s="404"/>
      <c r="V639" s="404"/>
      <c r="W639" s="404"/>
      <c r="X639" s="404"/>
      <c r="Y639" s="404"/>
      <c r="Z639" s="404"/>
      <c r="AA639" s="404"/>
    </row>
    <row r="640">
      <c r="A640" s="404"/>
      <c r="B640" s="419"/>
      <c r="C640" s="404"/>
      <c r="D640" s="404"/>
      <c r="E640" s="404"/>
      <c r="F640" s="404"/>
      <c r="G640" s="404"/>
      <c r="H640" s="404"/>
      <c r="I640" s="404"/>
      <c r="J640" s="404"/>
      <c r="K640" s="404"/>
      <c r="L640" s="404"/>
      <c r="M640" s="404"/>
      <c r="N640" s="404"/>
      <c r="O640" s="404"/>
      <c r="P640" s="404"/>
      <c r="Q640" s="404"/>
      <c r="R640" s="404"/>
      <c r="S640" s="404"/>
      <c r="T640" s="404"/>
      <c r="U640" s="404"/>
      <c r="V640" s="404"/>
      <c r="W640" s="404"/>
      <c r="X640" s="404"/>
      <c r="Y640" s="404"/>
      <c r="Z640" s="404"/>
      <c r="AA640" s="404"/>
    </row>
    <row r="641">
      <c r="A641" s="404"/>
      <c r="B641" s="419"/>
      <c r="C641" s="404"/>
      <c r="D641" s="404"/>
      <c r="E641" s="404"/>
      <c r="F641" s="404"/>
      <c r="G641" s="404"/>
      <c r="H641" s="404"/>
      <c r="I641" s="404"/>
      <c r="J641" s="404"/>
      <c r="K641" s="404"/>
      <c r="L641" s="404"/>
      <c r="M641" s="404"/>
      <c r="N641" s="404"/>
      <c r="O641" s="404"/>
      <c r="P641" s="404"/>
      <c r="Q641" s="404"/>
      <c r="R641" s="404"/>
      <c r="S641" s="404"/>
      <c r="T641" s="404"/>
      <c r="U641" s="404"/>
      <c r="V641" s="404"/>
      <c r="W641" s="404"/>
      <c r="X641" s="404"/>
      <c r="Y641" s="404"/>
      <c r="Z641" s="404"/>
      <c r="AA641" s="404"/>
    </row>
    <row r="642">
      <c r="A642" s="404"/>
      <c r="B642" s="419"/>
      <c r="C642" s="404"/>
      <c r="D642" s="404"/>
      <c r="E642" s="404"/>
      <c r="F642" s="404"/>
      <c r="G642" s="404"/>
      <c r="H642" s="404"/>
      <c r="I642" s="404"/>
      <c r="J642" s="404"/>
      <c r="K642" s="404"/>
      <c r="L642" s="404"/>
      <c r="M642" s="404"/>
      <c r="N642" s="404"/>
      <c r="O642" s="404"/>
      <c r="P642" s="404"/>
      <c r="Q642" s="404"/>
      <c r="R642" s="404"/>
      <c r="S642" s="404"/>
      <c r="T642" s="404"/>
      <c r="U642" s="404"/>
      <c r="V642" s="404"/>
      <c r="W642" s="404"/>
      <c r="X642" s="404"/>
      <c r="Y642" s="404"/>
      <c r="Z642" s="404"/>
      <c r="AA642" s="404"/>
    </row>
    <row r="643">
      <c r="A643" s="404"/>
      <c r="B643" s="419"/>
      <c r="C643" s="404"/>
      <c r="D643" s="404"/>
      <c r="E643" s="404"/>
      <c r="F643" s="404"/>
      <c r="G643" s="404"/>
      <c r="H643" s="404"/>
      <c r="I643" s="404"/>
      <c r="J643" s="404"/>
      <c r="K643" s="404"/>
      <c r="L643" s="404"/>
      <c r="M643" s="404"/>
      <c r="N643" s="404"/>
      <c r="O643" s="404"/>
      <c r="P643" s="404"/>
      <c r="Q643" s="404"/>
      <c r="R643" s="404"/>
      <c r="S643" s="404"/>
      <c r="T643" s="404"/>
      <c r="U643" s="404"/>
      <c r="V643" s="404"/>
      <c r="W643" s="404"/>
      <c r="X643" s="404"/>
      <c r="Y643" s="404"/>
      <c r="Z643" s="404"/>
      <c r="AA643" s="404"/>
    </row>
    <row r="644">
      <c r="A644" s="404"/>
      <c r="B644" s="419"/>
      <c r="C644" s="404"/>
      <c r="D644" s="404"/>
      <c r="E644" s="404"/>
      <c r="F644" s="404"/>
      <c r="G644" s="404"/>
      <c r="H644" s="404"/>
      <c r="I644" s="404"/>
      <c r="J644" s="404"/>
      <c r="K644" s="404"/>
      <c r="L644" s="404"/>
      <c r="M644" s="404"/>
      <c r="N644" s="404"/>
      <c r="O644" s="404"/>
      <c r="P644" s="404"/>
      <c r="Q644" s="404"/>
      <c r="R644" s="404"/>
      <c r="S644" s="404"/>
      <c r="T644" s="404"/>
      <c r="U644" s="404"/>
      <c r="V644" s="404"/>
      <c r="W644" s="404"/>
      <c r="X644" s="404"/>
      <c r="Y644" s="404"/>
      <c r="Z644" s="404"/>
      <c r="AA644" s="404"/>
    </row>
    <row r="645">
      <c r="A645" s="404"/>
      <c r="B645" s="419"/>
      <c r="C645" s="404"/>
      <c r="D645" s="404"/>
      <c r="E645" s="404"/>
      <c r="F645" s="404"/>
      <c r="G645" s="404"/>
      <c r="H645" s="404"/>
      <c r="I645" s="404"/>
      <c r="J645" s="404"/>
      <c r="K645" s="404"/>
      <c r="L645" s="404"/>
      <c r="M645" s="404"/>
      <c r="N645" s="404"/>
      <c r="O645" s="404"/>
      <c r="P645" s="404"/>
      <c r="Q645" s="404"/>
      <c r="R645" s="404"/>
      <c r="S645" s="404"/>
      <c r="T645" s="404"/>
      <c r="U645" s="404"/>
      <c r="V645" s="404"/>
      <c r="W645" s="404"/>
      <c r="X645" s="404"/>
      <c r="Y645" s="404"/>
      <c r="Z645" s="404"/>
      <c r="AA645" s="404"/>
    </row>
    <row r="646">
      <c r="A646" s="404"/>
      <c r="B646" s="419"/>
      <c r="C646" s="404"/>
      <c r="D646" s="404"/>
      <c r="E646" s="404"/>
      <c r="F646" s="404"/>
      <c r="G646" s="404"/>
      <c r="H646" s="404"/>
      <c r="I646" s="404"/>
      <c r="J646" s="404"/>
      <c r="K646" s="404"/>
      <c r="L646" s="404"/>
      <c r="M646" s="404"/>
      <c r="N646" s="404"/>
      <c r="O646" s="404"/>
      <c r="P646" s="404"/>
      <c r="Q646" s="404"/>
      <c r="R646" s="404"/>
      <c r="S646" s="404"/>
      <c r="T646" s="404"/>
      <c r="U646" s="404"/>
      <c r="V646" s="404"/>
      <c r="W646" s="404"/>
      <c r="X646" s="404"/>
      <c r="Y646" s="404"/>
      <c r="Z646" s="404"/>
      <c r="AA646" s="404"/>
    </row>
    <row r="647">
      <c r="A647" s="404"/>
      <c r="B647" s="419"/>
      <c r="C647" s="404"/>
      <c r="D647" s="404"/>
      <c r="E647" s="404"/>
      <c r="F647" s="404"/>
      <c r="G647" s="404"/>
      <c r="H647" s="404"/>
      <c r="I647" s="404"/>
      <c r="J647" s="404"/>
      <c r="K647" s="404"/>
      <c r="L647" s="404"/>
      <c r="M647" s="404"/>
      <c r="N647" s="404"/>
      <c r="O647" s="404"/>
      <c r="P647" s="404"/>
      <c r="Q647" s="404"/>
      <c r="R647" s="404"/>
      <c r="S647" s="404"/>
      <c r="T647" s="404"/>
      <c r="U647" s="404"/>
      <c r="V647" s="404"/>
      <c r="W647" s="404"/>
      <c r="X647" s="404"/>
      <c r="Y647" s="404"/>
      <c r="Z647" s="404"/>
      <c r="AA647" s="404"/>
    </row>
    <row r="648">
      <c r="A648" s="404"/>
      <c r="B648" s="419"/>
      <c r="C648" s="404"/>
      <c r="D648" s="404"/>
      <c r="E648" s="404"/>
      <c r="F648" s="404"/>
      <c r="G648" s="404"/>
      <c r="H648" s="404"/>
      <c r="I648" s="404"/>
      <c r="J648" s="404"/>
      <c r="K648" s="404"/>
      <c r="L648" s="404"/>
      <c r="M648" s="404"/>
      <c r="N648" s="404"/>
      <c r="O648" s="404"/>
      <c r="P648" s="404"/>
      <c r="Q648" s="404"/>
      <c r="R648" s="404"/>
      <c r="S648" s="404"/>
      <c r="T648" s="404"/>
      <c r="U648" s="404"/>
      <c r="V648" s="404"/>
      <c r="W648" s="404"/>
      <c r="X648" s="404"/>
      <c r="Y648" s="404"/>
      <c r="Z648" s="404"/>
      <c r="AA648" s="404"/>
    </row>
    <row r="649">
      <c r="A649" s="404"/>
      <c r="B649" s="419"/>
      <c r="C649" s="404"/>
      <c r="D649" s="404"/>
      <c r="E649" s="404"/>
      <c r="F649" s="404"/>
      <c r="G649" s="404"/>
      <c r="H649" s="404"/>
      <c r="I649" s="404"/>
      <c r="J649" s="404"/>
      <c r="K649" s="404"/>
      <c r="L649" s="404"/>
      <c r="M649" s="404"/>
      <c r="N649" s="404"/>
      <c r="O649" s="404"/>
      <c r="P649" s="404"/>
      <c r="Q649" s="404"/>
      <c r="R649" s="404"/>
      <c r="S649" s="404"/>
      <c r="T649" s="404"/>
      <c r="U649" s="404"/>
      <c r="V649" s="404"/>
      <c r="W649" s="404"/>
      <c r="X649" s="404"/>
      <c r="Y649" s="404"/>
      <c r="Z649" s="404"/>
      <c r="AA649" s="404"/>
    </row>
    <row r="650">
      <c r="A650" s="404"/>
      <c r="B650" s="419"/>
      <c r="C650" s="404"/>
      <c r="D650" s="404"/>
      <c r="E650" s="404"/>
      <c r="F650" s="404"/>
      <c r="G650" s="404"/>
      <c r="H650" s="404"/>
      <c r="I650" s="404"/>
      <c r="J650" s="404"/>
      <c r="K650" s="404"/>
      <c r="L650" s="404"/>
      <c r="M650" s="404"/>
      <c r="N650" s="404"/>
      <c r="O650" s="404"/>
      <c r="P650" s="404"/>
      <c r="Q650" s="404"/>
      <c r="R650" s="404"/>
      <c r="S650" s="404"/>
      <c r="T650" s="404"/>
      <c r="U650" s="404"/>
      <c r="V650" s="404"/>
      <c r="W650" s="404"/>
      <c r="X650" s="404"/>
      <c r="Y650" s="404"/>
      <c r="Z650" s="404"/>
      <c r="AA650" s="404"/>
    </row>
    <row r="651">
      <c r="A651" s="404"/>
      <c r="B651" s="419"/>
      <c r="C651" s="404"/>
      <c r="D651" s="404"/>
      <c r="E651" s="404"/>
      <c r="F651" s="404"/>
      <c r="G651" s="404"/>
      <c r="H651" s="404"/>
      <c r="I651" s="404"/>
      <c r="J651" s="404"/>
      <c r="K651" s="404"/>
      <c r="L651" s="404"/>
      <c r="M651" s="404"/>
      <c r="N651" s="404"/>
      <c r="O651" s="404"/>
      <c r="P651" s="404"/>
      <c r="Q651" s="404"/>
      <c r="R651" s="404"/>
      <c r="S651" s="404"/>
      <c r="T651" s="404"/>
      <c r="U651" s="404"/>
      <c r="V651" s="404"/>
      <c r="W651" s="404"/>
      <c r="X651" s="404"/>
      <c r="Y651" s="404"/>
      <c r="Z651" s="404"/>
      <c r="AA651" s="404"/>
    </row>
    <row r="652">
      <c r="A652" s="404"/>
      <c r="B652" s="419"/>
      <c r="C652" s="404"/>
      <c r="D652" s="404"/>
      <c r="E652" s="404"/>
      <c r="F652" s="404"/>
      <c r="G652" s="404"/>
      <c r="H652" s="404"/>
      <c r="I652" s="404"/>
      <c r="J652" s="404"/>
      <c r="K652" s="404"/>
      <c r="L652" s="404"/>
      <c r="M652" s="404"/>
      <c r="N652" s="404"/>
      <c r="O652" s="404"/>
      <c r="P652" s="404"/>
      <c r="Q652" s="404"/>
      <c r="R652" s="404"/>
      <c r="S652" s="404"/>
      <c r="T652" s="404"/>
      <c r="U652" s="404"/>
      <c r="V652" s="404"/>
      <c r="W652" s="404"/>
      <c r="X652" s="404"/>
      <c r="Y652" s="404"/>
      <c r="Z652" s="404"/>
      <c r="AA652" s="404"/>
    </row>
    <row r="653">
      <c r="A653" s="404"/>
      <c r="B653" s="419"/>
      <c r="C653" s="404"/>
      <c r="D653" s="404"/>
      <c r="E653" s="404"/>
      <c r="F653" s="404"/>
      <c r="G653" s="404"/>
      <c r="H653" s="404"/>
      <c r="I653" s="404"/>
      <c r="J653" s="404"/>
      <c r="K653" s="404"/>
      <c r="L653" s="404"/>
      <c r="M653" s="404"/>
      <c r="N653" s="404"/>
      <c r="O653" s="404"/>
      <c r="P653" s="404"/>
      <c r="Q653" s="404"/>
      <c r="R653" s="404"/>
      <c r="S653" s="404"/>
      <c r="T653" s="404"/>
      <c r="U653" s="404"/>
      <c r="V653" s="404"/>
      <c r="W653" s="404"/>
      <c r="X653" s="404"/>
      <c r="Y653" s="404"/>
      <c r="Z653" s="404"/>
      <c r="AA653" s="404"/>
    </row>
    <row r="654">
      <c r="A654" s="404"/>
      <c r="B654" s="419"/>
      <c r="C654" s="404"/>
      <c r="D654" s="404"/>
      <c r="E654" s="404"/>
      <c r="F654" s="404"/>
      <c r="G654" s="404"/>
      <c r="H654" s="404"/>
      <c r="I654" s="404"/>
      <c r="J654" s="404"/>
      <c r="K654" s="404"/>
      <c r="L654" s="404"/>
      <c r="M654" s="404"/>
      <c r="N654" s="404"/>
      <c r="O654" s="404"/>
      <c r="P654" s="404"/>
      <c r="Q654" s="404"/>
      <c r="R654" s="404"/>
      <c r="S654" s="404"/>
      <c r="T654" s="404"/>
      <c r="U654" s="404"/>
      <c r="V654" s="404"/>
      <c r="W654" s="404"/>
      <c r="X654" s="404"/>
      <c r="Y654" s="404"/>
      <c r="Z654" s="404"/>
      <c r="AA654" s="404"/>
    </row>
    <row r="655">
      <c r="A655" s="404"/>
      <c r="B655" s="419"/>
      <c r="C655" s="404"/>
      <c r="D655" s="404"/>
      <c r="E655" s="404"/>
      <c r="F655" s="404"/>
      <c r="G655" s="404"/>
      <c r="H655" s="404"/>
      <c r="I655" s="404"/>
      <c r="J655" s="404"/>
      <c r="K655" s="404"/>
      <c r="L655" s="404"/>
      <c r="M655" s="404"/>
      <c r="N655" s="404"/>
      <c r="O655" s="404"/>
      <c r="P655" s="404"/>
      <c r="Q655" s="404"/>
      <c r="R655" s="404"/>
      <c r="S655" s="404"/>
      <c r="T655" s="404"/>
      <c r="U655" s="404"/>
      <c r="V655" s="404"/>
      <c r="W655" s="404"/>
      <c r="X655" s="404"/>
      <c r="Y655" s="404"/>
      <c r="Z655" s="404"/>
      <c r="AA655" s="404"/>
    </row>
    <row r="656">
      <c r="A656" s="404"/>
      <c r="B656" s="419"/>
      <c r="C656" s="404"/>
      <c r="D656" s="404"/>
      <c r="E656" s="404"/>
      <c r="F656" s="404"/>
      <c r="G656" s="404"/>
      <c r="H656" s="404"/>
      <c r="I656" s="404"/>
      <c r="J656" s="404"/>
      <c r="K656" s="404"/>
      <c r="L656" s="404"/>
      <c r="M656" s="404"/>
      <c r="N656" s="404"/>
      <c r="O656" s="404"/>
      <c r="P656" s="404"/>
      <c r="Q656" s="404"/>
      <c r="R656" s="404"/>
      <c r="S656" s="404"/>
      <c r="T656" s="404"/>
      <c r="U656" s="404"/>
      <c r="V656" s="404"/>
      <c r="W656" s="404"/>
      <c r="X656" s="404"/>
      <c r="Y656" s="404"/>
      <c r="Z656" s="404"/>
      <c r="AA656" s="404"/>
    </row>
    <row r="657">
      <c r="A657" s="404"/>
      <c r="B657" s="419"/>
      <c r="C657" s="404"/>
      <c r="D657" s="404"/>
      <c r="E657" s="404"/>
      <c r="F657" s="404"/>
      <c r="G657" s="404"/>
      <c r="H657" s="404"/>
      <c r="I657" s="404"/>
      <c r="J657" s="404"/>
      <c r="K657" s="404"/>
      <c r="L657" s="404"/>
      <c r="M657" s="404"/>
      <c r="N657" s="404"/>
      <c r="O657" s="404"/>
      <c r="P657" s="404"/>
      <c r="Q657" s="404"/>
      <c r="R657" s="404"/>
      <c r="S657" s="404"/>
      <c r="T657" s="404"/>
      <c r="U657" s="404"/>
      <c r="V657" s="404"/>
      <c r="W657" s="404"/>
      <c r="X657" s="404"/>
      <c r="Y657" s="404"/>
      <c r="Z657" s="404"/>
      <c r="AA657" s="404"/>
    </row>
    <row r="658">
      <c r="A658" s="404"/>
      <c r="B658" s="419"/>
      <c r="C658" s="404"/>
      <c r="D658" s="404"/>
      <c r="E658" s="404"/>
      <c r="F658" s="404"/>
      <c r="G658" s="404"/>
      <c r="H658" s="404"/>
      <c r="I658" s="404"/>
      <c r="J658" s="404"/>
      <c r="K658" s="404"/>
      <c r="L658" s="404"/>
      <c r="M658" s="404"/>
      <c r="N658" s="404"/>
      <c r="O658" s="404"/>
      <c r="P658" s="404"/>
      <c r="Q658" s="404"/>
      <c r="R658" s="404"/>
      <c r="S658" s="404"/>
      <c r="T658" s="404"/>
      <c r="U658" s="404"/>
      <c r="V658" s="404"/>
      <c r="W658" s="404"/>
      <c r="X658" s="404"/>
      <c r="Y658" s="404"/>
      <c r="Z658" s="404"/>
      <c r="AA658" s="404"/>
    </row>
    <row r="659">
      <c r="A659" s="404"/>
      <c r="B659" s="419"/>
      <c r="C659" s="404"/>
      <c r="D659" s="404"/>
      <c r="E659" s="404"/>
      <c r="F659" s="404"/>
      <c r="G659" s="404"/>
      <c r="H659" s="404"/>
      <c r="I659" s="404"/>
      <c r="J659" s="404"/>
      <c r="K659" s="404"/>
      <c r="L659" s="404"/>
      <c r="M659" s="404"/>
      <c r="N659" s="404"/>
      <c r="O659" s="404"/>
      <c r="P659" s="404"/>
      <c r="Q659" s="404"/>
      <c r="R659" s="404"/>
      <c r="S659" s="404"/>
      <c r="T659" s="404"/>
      <c r="U659" s="404"/>
      <c r="V659" s="404"/>
      <c r="W659" s="404"/>
      <c r="X659" s="404"/>
      <c r="Y659" s="404"/>
      <c r="Z659" s="404"/>
      <c r="AA659" s="404"/>
    </row>
    <row r="660">
      <c r="A660" s="404"/>
      <c r="B660" s="419"/>
      <c r="C660" s="404"/>
      <c r="D660" s="404"/>
      <c r="E660" s="404"/>
      <c r="F660" s="404"/>
      <c r="G660" s="404"/>
      <c r="H660" s="404"/>
      <c r="I660" s="404"/>
      <c r="J660" s="404"/>
      <c r="K660" s="404"/>
      <c r="L660" s="404"/>
      <c r="M660" s="404"/>
      <c r="N660" s="404"/>
      <c r="O660" s="404"/>
      <c r="P660" s="404"/>
      <c r="Q660" s="404"/>
      <c r="R660" s="404"/>
      <c r="S660" s="404"/>
      <c r="T660" s="404"/>
      <c r="U660" s="404"/>
      <c r="V660" s="404"/>
      <c r="W660" s="404"/>
      <c r="X660" s="404"/>
      <c r="Y660" s="404"/>
      <c r="Z660" s="404"/>
      <c r="AA660" s="404"/>
    </row>
    <row r="661">
      <c r="A661" s="404"/>
      <c r="B661" s="419"/>
      <c r="C661" s="404"/>
      <c r="D661" s="404"/>
      <c r="E661" s="404"/>
      <c r="F661" s="404"/>
      <c r="G661" s="404"/>
      <c r="H661" s="404"/>
      <c r="I661" s="404"/>
      <c r="J661" s="404"/>
      <c r="K661" s="404"/>
      <c r="L661" s="404"/>
      <c r="M661" s="404"/>
      <c r="N661" s="404"/>
      <c r="O661" s="404"/>
      <c r="P661" s="404"/>
      <c r="Q661" s="404"/>
      <c r="R661" s="404"/>
      <c r="S661" s="404"/>
      <c r="T661" s="404"/>
      <c r="U661" s="404"/>
      <c r="V661" s="404"/>
      <c r="W661" s="404"/>
      <c r="X661" s="404"/>
      <c r="Y661" s="404"/>
      <c r="Z661" s="404"/>
      <c r="AA661" s="404"/>
    </row>
    <row r="662">
      <c r="A662" s="404"/>
      <c r="B662" s="419"/>
      <c r="C662" s="404"/>
      <c r="D662" s="404"/>
      <c r="E662" s="404"/>
      <c r="F662" s="404"/>
      <c r="G662" s="404"/>
      <c r="H662" s="404"/>
      <c r="I662" s="404"/>
      <c r="J662" s="404"/>
      <c r="K662" s="404"/>
      <c r="L662" s="404"/>
      <c r="M662" s="404"/>
      <c r="N662" s="404"/>
      <c r="O662" s="404"/>
      <c r="P662" s="404"/>
      <c r="Q662" s="404"/>
      <c r="R662" s="404"/>
      <c r="S662" s="404"/>
      <c r="T662" s="404"/>
      <c r="U662" s="404"/>
      <c r="V662" s="404"/>
      <c r="W662" s="404"/>
      <c r="X662" s="404"/>
      <c r="Y662" s="404"/>
      <c r="Z662" s="404"/>
      <c r="AA662" s="404"/>
    </row>
    <row r="663">
      <c r="A663" s="404"/>
      <c r="B663" s="419"/>
      <c r="C663" s="404"/>
      <c r="D663" s="404"/>
      <c r="E663" s="404"/>
      <c r="F663" s="404"/>
      <c r="G663" s="404"/>
      <c r="H663" s="404"/>
      <c r="I663" s="404"/>
      <c r="J663" s="404"/>
      <c r="K663" s="404"/>
      <c r="L663" s="404"/>
      <c r="M663" s="404"/>
      <c r="N663" s="404"/>
      <c r="O663" s="404"/>
      <c r="P663" s="404"/>
      <c r="Q663" s="404"/>
      <c r="R663" s="404"/>
      <c r="S663" s="404"/>
      <c r="T663" s="404"/>
      <c r="U663" s="404"/>
      <c r="V663" s="404"/>
      <c r="W663" s="404"/>
      <c r="X663" s="404"/>
      <c r="Y663" s="404"/>
      <c r="Z663" s="404"/>
      <c r="AA663" s="404"/>
    </row>
    <row r="664">
      <c r="A664" s="404"/>
      <c r="B664" s="419"/>
      <c r="C664" s="404"/>
      <c r="D664" s="404"/>
      <c r="E664" s="404"/>
      <c r="F664" s="404"/>
      <c r="G664" s="404"/>
      <c r="H664" s="404"/>
      <c r="I664" s="404"/>
      <c r="J664" s="404"/>
      <c r="K664" s="404"/>
      <c r="L664" s="404"/>
      <c r="M664" s="404"/>
      <c r="N664" s="404"/>
      <c r="O664" s="404"/>
      <c r="P664" s="404"/>
      <c r="Q664" s="404"/>
      <c r="R664" s="404"/>
      <c r="S664" s="404"/>
      <c r="T664" s="404"/>
      <c r="U664" s="404"/>
      <c r="V664" s="404"/>
      <c r="W664" s="404"/>
      <c r="X664" s="404"/>
      <c r="Y664" s="404"/>
      <c r="Z664" s="404"/>
      <c r="AA664" s="404"/>
    </row>
    <row r="665">
      <c r="A665" s="404"/>
      <c r="B665" s="419"/>
      <c r="C665" s="404"/>
      <c r="D665" s="404"/>
      <c r="E665" s="404"/>
      <c r="F665" s="404"/>
      <c r="G665" s="404"/>
      <c r="H665" s="404"/>
      <c r="I665" s="404"/>
      <c r="J665" s="404"/>
      <c r="K665" s="404"/>
      <c r="L665" s="404"/>
      <c r="M665" s="404"/>
      <c r="N665" s="404"/>
      <c r="O665" s="404"/>
      <c r="P665" s="404"/>
      <c r="Q665" s="404"/>
      <c r="R665" s="404"/>
      <c r="S665" s="404"/>
      <c r="T665" s="404"/>
      <c r="U665" s="404"/>
      <c r="V665" s="404"/>
      <c r="W665" s="404"/>
      <c r="X665" s="404"/>
      <c r="Y665" s="404"/>
      <c r="Z665" s="404"/>
      <c r="AA665" s="404"/>
    </row>
    <row r="666">
      <c r="A666" s="404"/>
      <c r="B666" s="419"/>
      <c r="C666" s="404"/>
      <c r="D666" s="404"/>
      <c r="E666" s="404"/>
      <c r="F666" s="404"/>
      <c r="G666" s="404"/>
      <c r="H666" s="404"/>
      <c r="I666" s="404"/>
      <c r="J666" s="404"/>
      <c r="K666" s="404"/>
      <c r="L666" s="404"/>
      <c r="M666" s="404"/>
      <c r="N666" s="404"/>
      <c r="O666" s="404"/>
      <c r="P666" s="404"/>
      <c r="Q666" s="404"/>
      <c r="R666" s="404"/>
      <c r="S666" s="404"/>
      <c r="T666" s="404"/>
      <c r="U666" s="404"/>
      <c r="V666" s="404"/>
      <c r="W666" s="404"/>
      <c r="X666" s="404"/>
      <c r="Y666" s="404"/>
      <c r="Z666" s="404"/>
      <c r="AA666" s="404"/>
    </row>
    <row r="667">
      <c r="A667" s="404"/>
      <c r="B667" s="419"/>
      <c r="C667" s="404"/>
      <c r="D667" s="404"/>
      <c r="E667" s="404"/>
      <c r="F667" s="404"/>
      <c r="G667" s="404"/>
      <c r="H667" s="404"/>
      <c r="I667" s="404"/>
      <c r="J667" s="404"/>
      <c r="K667" s="404"/>
      <c r="L667" s="404"/>
      <c r="M667" s="404"/>
      <c r="N667" s="404"/>
      <c r="O667" s="404"/>
      <c r="P667" s="404"/>
      <c r="Q667" s="404"/>
      <c r="R667" s="404"/>
      <c r="S667" s="404"/>
      <c r="T667" s="404"/>
      <c r="U667" s="404"/>
      <c r="V667" s="404"/>
      <c r="W667" s="404"/>
      <c r="X667" s="404"/>
      <c r="Y667" s="404"/>
      <c r="Z667" s="404"/>
      <c r="AA667" s="404"/>
    </row>
    <row r="668">
      <c r="A668" s="404"/>
      <c r="B668" s="419"/>
      <c r="C668" s="404"/>
      <c r="D668" s="404"/>
      <c r="E668" s="404"/>
      <c r="F668" s="404"/>
      <c r="G668" s="404"/>
      <c r="H668" s="404"/>
      <c r="I668" s="404"/>
      <c r="J668" s="404"/>
      <c r="K668" s="404"/>
      <c r="L668" s="404"/>
      <c r="M668" s="404"/>
      <c r="N668" s="404"/>
      <c r="O668" s="404"/>
      <c r="P668" s="404"/>
      <c r="Q668" s="404"/>
      <c r="R668" s="404"/>
      <c r="S668" s="404"/>
      <c r="T668" s="404"/>
      <c r="U668" s="404"/>
      <c r="V668" s="404"/>
      <c r="W668" s="404"/>
      <c r="X668" s="404"/>
      <c r="Y668" s="404"/>
      <c r="Z668" s="404"/>
      <c r="AA668" s="404"/>
    </row>
    <row r="669">
      <c r="A669" s="404"/>
      <c r="B669" s="419"/>
      <c r="C669" s="404"/>
      <c r="D669" s="404"/>
      <c r="E669" s="404"/>
      <c r="F669" s="404"/>
      <c r="G669" s="404"/>
      <c r="H669" s="404"/>
      <c r="I669" s="404"/>
      <c r="J669" s="404"/>
      <c r="K669" s="404"/>
      <c r="L669" s="404"/>
      <c r="M669" s="404"/>
      <c r="N669" s="404"/>
      <c r="O669" s="404"/>
      <c r="P669" s="404"/>
      <c r="Q669" s="404"/>
      <c r="R669" s="404"/>
      <c r="S669" s="404"/>
      <c r="T669" s="404"/>
      <c r="U669" s="404"/>
      <c r="V669" s="404"/>
      <c r="W669" s="404"/>
      <c r="X669" s="404"/>
      <c r="Y669" s="404"/>
      <c r="Z669" s="404"/>
      <c r="AA669" s="404"/>
    </row>
    <row r="670">
      <c r="A670" s="404"/>
      <c r="B670" s="419"/>
      <c r="C670" s="404"/>
      <c r="D670" s="404"/>
      <c r="E670" s="404"/>
      <c r="F670" s="404"/>
      <c r="G670" s="404"/>
      <c r="H670" s="404"/>
      <c r="I670" s="404"/>
      <c r="J670" s="404"/>
      <c r="K670" s="404"/>
      <c r="L670" s="404"/>
      <c r="M670" s="404"/>
      <c r="N670" s="404"/>
      <c r="O670" s="404"/>
      <c r="P670" s="404"/>
      <c r="Q670" s="404"/>
      <c r="R670" s="404"/>
      <c r="S670" s="404"/>
      <c r="T670" s="404"/>
      <c r="U670" s="404"/>
      <c r="V670" s="404"/>
      <c r="W670" s="404"/>
      <c r="X670" s="404"/>
      <c r="Y670" s="404"/>
      <c r="Z670" s="404"/>
      <c r="AA670" s="404"/>
    </row>
    <row r="671">
      <c r="A671" s="404"/>
      <c r="B671" s="419"/>
      <c r="C671" s="404"/>
      <c r="D671" s="404"/>
      <c r="E671" s="404"/>
      <c r="F671" s="404"/>
      <c r="G671" s="404"/>
      <c r="H671" s="404"/>
      <c r="I671" s="404"/>
      <c r="J671" s="404"/>
      <c r="K671" s="404"/>
      <c r="L671" s="404"/>
      <c r="M671" s="404"/>
      <c r="N671" s="404"/>
      <c r="O671" s="404"/>
      <c r="P671" s="404"/>
      <c r="Q671" s="404"/>
      <c r="R671" s="404"/>
      <c r="S671" s="404"/>
      <c r="T671" s="404"/>
      <c r="U671" s="404"/>
      <c r="V671" s="404"/>
      <c r="W671" s="404"/>
      <c r="X671" s="404"/>
      <c r="Y671" s="404"/>
      <c r="Z671" s="404"/>
      <c r="AA671" s="404"/>
    </row>
    <row r="672">
      <c r="A672" s="404"/>
      <c r="B672" s="419"/>
      <c r="C672" s="404"/>
      <c r="D672" s="404"/>
      <c r="E672" s="404"/>
      <c r="F672" s="404"/>
      <c r="G672" s="404"/>
      <c r="H672" s="404"/>
      <c r="I672" s="404"/>
      <c r="J672" s="404"/>
      <c r="K672" s="404"/>
      <c r="L672" s="404"/>
      <c r="M672" s="404"/>
      <c r="N672" s="404"/>
      <c r="O672" s="404"/>
      <c r="P672" s="404"/>
      <c r="Q672" s="404"/>
      <c r="R672" s="404"/>
      <c r="S672" s="404"/>
      <c r="T672" s="404"/>
      <c r="U672" s="404"/>
      <c r="V672" s="404"/>
      <c r="W672" s="404"/>
      <c r="X672" s="404"/>
      <c r="Y672" s="404"/>
      <c r="Z672" s="404"/>
      <c r="AA672" s="404"/>
    </row>
    <row r="673">
      <c r="A673" s="404"/>
      <c r="B673" s="419"/>
      <c r="C673" s="404"/>
      <c r="D673" s="404"/>
      <c r="E673" s="404"/>
      <c r="F673" s="404"/>
      <c r="G673" s="404"/>
      <c r="H673" s="404"/>
      <c r="I673" s="404"/>
      <c r="J673" s="404"/>
      <c r="K673" s="404"/>
      <c r="L673" s="404"/>
      <c r="M673" s="404"/>
      <c r="N673" s="404"/>
      <c r="O673" s="404"/>
      <c r="P673" s="404"/>
      <c r="Q673" s="404"/>
      <c r="R673" s="404"/>
      <c r="S673" s="404"/>
      <c r="T673" s="404"/>
      <c r="U673" s="404"/>
      <c r="V673" s="404"/>
      <c r="W673" s="404"/>
      <c r="X673" s="404"/>
      <c r="Y673" s="404"/>
      <c r="Z673" s="404"/>
      <c r="AA673" s="404"/>
    </row>
    <row r="674">
      <c r="A674" s="404"/>
      <c r="B674" s="419"/>
      <c r="C674" s="404"/>
      <c r="D674" s="404"/>
      <c r="E674" s="404"/>
      <c r="F674" s="404"/>
      <c r="G674" s="404"/>
      <c r="H674" s="404"/>
      <c r="I674" s="404"/>
      <c r="J674" s="404"/>
      <c r="K674" s="404"/>
      <c r="L674" s="404"/>
      <c r="M674" s="404"/>
      <c r="N674" s="404"/>
      <c r="O674" s="404"/>
      <c r="P674" s="404"/>
      <c r="Q674" s="404"/>
      <c r="R674" s="404"/>
      <c r="S674" s="404"/>
      <c r="T674" s="404"/>
      <c r="U674" s="404"/>
      <c r="V674" s="404"/>
      <c r="W674" s="404"/>
      <c r="X674" s="404"/>
      <c r="Y674" s="404"/>
      <c r="Z674" s="404"/>
      <c r="AA674" s="404"/>
    </row>
    <row r="675">
      <c r="A675" s="404"/>
      <c r="B675" s="419"/>
      <c r="C675" s="404"/>
      <c r="D675" s="404"/>
      <c r="E675" s="404"/>
      <c r="F675" s="404"/>
      <c r="G675" s="404"/>
      <c r="H675" s="404"/>
      <c r="I675" s="404"/>
      <c r="J675" s="404"/>
      <c r="K675" s="404"/>
      <c r="L675" s="404"/>
      <c r="M675" s="404"/>
      <c r="N675" s="404"/>
      <c r="O675" s="404"/>
      <c r="P675" s="404"/>
      <c r="Q675" s="404"/>
      <c r="R675" s="404"/>
      <c r="S675" s="404"/>
      <c r="T675" s="404"/>
      <c r="U675" s="404"/>
      <c r="V675" s="404"/>
      <c r="W675" s="404"/>
      <c r="X675" s="404"/>
      <c r="Y675" s="404"/>
      <c r="Z675" s="404"/>
      <c r="AA675" s="404"/>
    </row>
    <row r="676">
      <c r="A676" s="404"/>
      <c r="B676" s="419"/>
      <c r="C676" s="404"/>
      <c r="D676" s="404"/>
      <c r="E676" s="404"/>
      <c r="F676" s="404"/>
      <c r="G676" s="404"/>
      <c r="H676" s="404"/>
      <c r="I676" s="404"/>
      <c r="J676" s="404"/>
      <c r="K676" s="404"/>
      <c r="L676" s="404"/>
      <c r="M676" s="404"/>
      <c r="N676" s="404"/>
      <c r="O676" s="404"/>
      <c r="P676" s="404"/>
      <c r="Q676" s="404"/>
      <c r="R676" s="404"/>
      <c r="S676" s="404"/>
      <c r="T676" s="404"/>
      <c r="U676" s="404"/>
      <c r="V676" s="404"/>
      <c r="W676" s="404"/>
      <c r="X676" s="404"/>
      <c r="Y676" s="404"/>
      <c r="Z676" s="404"/>
      <c r="AA676" s="404"/>
    </row>
    <row r="677">
      <c r="A677" s="404"/>
      <c r="B677" s="419"/>
      <c r="C677" s="404"/>
      <c r="D677" s="404"/>
      <c r="E677" s="404"/>
      <c r="F677" s="404"/>
      <c r="G677" s="404"/>
      <c r="H677" s="404"/>
      <c r="I677" s="404"/>
      <c r="J677" s="404"/>
      <c r="K677" s="404"/>
      <c r="L677" s="404"/>
      <c r="M677" s="404"/>
      <c r="N677" s="404"/>
      <c r="O677" s="404"/>
      <c r="P677" s="404"/>
      <c r="Q677" s="404"/>
      <c r="R677" s="404"/>
      <c r="S677" s="404"/>
      <c r="T677" s="404"/>
      <c r="U677" s="404"/>
      <c r="V677" s="404"/>
      <c r="W677" s="404"/>
      <c r="X677" s="404"/>
      <c r="Y677" s="404"/>
      <c r="Z677" s="404"/>
      <c r="AA677" s="404"/>
    </row>
    <row r="678">
      <c r="A678" s="404"/>
      <c r="B678" s="419"/>
      <c r="C678" s="404"/>
      <c r="D678" s="404"/>
      <c r="E678" s="404"/>
      <c r="F678" s="404"/>
      <c r="G678" s="404"/>
      <c r="H678" s="404"/>
      <c r="I678" s="404"/>
      <c r="J678" s="404"/>
      <c r="K678" s="404"/>
      <c r="L678" s="404"/>
      <c r="M678" s="404"/>
      <c r="N678" s="404"/>
      <c r="O678" s="404"/>
      <c r="P678" s="404"/>
      <c r="Q678" s="404"/>
      <c r="R678" s="404"/>
      <c r="S678" s="404"/>
      <c r="T678" s="404"/>
      <c r="U678" s="404"/>
      <c r="V678" s="404"/>
      <c r="W678" s="404"/>
      <c r="X678" s="404"/>
      <c r="Y678" s="404"/>
      <c r="Z678" s="404"/>
      <c r="AA678" s="404"/>
    </row>
    <row r="679">
      <c r="A679" s="404"/>
      <c r="B679" s="419"/>
      <c r="C679" s="404"/>
      <c r="D679" s="404"/>
      <c r="E679" s="404"/>
      <c r="F679" s="404"/>
      <c r="G679" s="404"/>
      <c r="H679" s="404"/>
      <c r="I679" s="404"/>
      <c r="J679" s="404"/>
      <c r="K679" s="404"/>
      <c r="L679" s="404"/>
      <c r="M679" s="404"/>
      <c r="N679" s="404"/>
      <c r="O679" s="404"/>
      <c r="P679" s="404"/>
      <c r="Q679" s="404"/>
      <c r="R679" s="404"/>
      <c r="S679" s="404"/>
      <c r="T679" s="404"/>
      <c r="U679" s="404"/>
      <c r="V679" s="404"/>
      <c r="W679" s="404"/>
      <c r="X679" s="404"/>
      <c r="Y679" s="404"/>
      <c r="Z679" s="404"/>
      <c r="AA679" s="404"/>
    </row>
    <row r="680">
      <c r="A680" s="404"/>
      <c r="B680" s="419"/>
      <c r="C680" s="404"/>
      <c r="D680" s="404"/>
      <c r="E680" s="404"/>
      <c r="F680" s="404"/>
      <c r="G680" s="404"/>
      <c r="H680" s="404"/>
      <c r="I680" s="404"/>
      <c r="J680" s="404"/>
      <c r="K680" s="404"/>
      <c r="L680" s="404"/>
      <c r="M680" s="404"/>
      <c r="N680" s="404"/>
      <c r="O680" s="404"/>
      <c r="P680" s="404"/>
      <c r="Q680" s="404"/>
      <c r="R680" s="404"/>
      <c r="S680" s="404"/>
      <c r="T680" s="404"/>
      <c r="U680" s="404"/>
      <c r="V680" s="404"/>
      <c r="W680" s="404"/>
      <c r="X680" s="404"/>
      <c r="Y680" s="404"/>
      <c r="Z680" s="404"/>
      <c r="AA680" s="404"/>
    </row>
    <row r="681">
      <c r="A681" s="404"/>
      <c r="B681" s="419"/>
      <c r="C681" s="404"/>
      <c r="D681" s="404"/>
      <c r="E681" s="404"/>
      <c r="F681" s="404"/>
      <c r="G681" s="404"/>
      <c r="H681" s="404"/>
      <c r="I681" s="404"/>
      <c r="J681" s="404"/>
      <c r="K681" s="404"/>
      <c r="L681" s="404"/>
      <c r="M681" s="404"/>
      <c r="N681" s="404"/>
      <c r="O681" s="404"/>
      <c r="P681" s="404"/>
      <c r="Q681" s="404"/>
      <c r="R681" s="404"/>
      <c r="S681" s="404"/>
      <c r="T681" s="404"/>
      <c r="U681" s="404"/>
      <c r="V681" s="404"/>
      <c r="W681" s="404"/>
      <c r="X681" s="404"/>
      <c r="Y681" s="404"/>
      <c r="Z681" s="404"/>
      <c r="AA681" s="404"/>
    </row>
    <row r="682">
      <c r="A682" s="404"/>
      <c r="B682" s="419"/>
      <c r="C682" s="404"/>
      <c r="D682" s="404"/>
      <c r="E682" s="404"/>
      <c r="F682" s="404"/>
      <c r="G682" s="404"/>
      <c r="H682" s="404"/>
      <c r="I682" s="404"/>
      <c r="J682" s="404"/>
      <c r="K682" s="404"/>
      <c r="L682" s="404"/>
      <c r="M682" s="404"/>
      <c r="N682" s="404"/>
      <c r="O682" s="404"/>
      <c r="P682" s="404"/>
      <c r="Q682" s="404"/>
      <c r="R682" s="404"/>
      <c r="S682" s="404"/>
      <c r="T682" s="404"/>
      <c r="U682" s="404"/>
      <c r="V682" s="404"/>
      <c r="W682" s="404"/>
      <c r="X682" s="404"/>
      <c r="Y682" s="404"/>
      <c r="Z682" s="404"/>
      <c r="AA682" s="404"/>
    </row>
    <row r="683">
      <c r="A683" s="404"/>
      <c r="B683" s="419"/>
      <c r="C683" s="404"/>
      <c r="D683" s="404"/>
      <c r="E683" s="404"/>
      <c r="F683" s="404"/>
      <c r="G683" s="404"/>
      <c r="H683" s="404"/>
      <c r="I683" s="404"/>
      <c r="J683" s="404"/>
      <c r="K683" s="404"/>
      <c r="L683" s="404"/>
      <c r="M683" s="404"/>
      <c r="N683" s="404"/>
      <c r="O683" s="404"/>
      <c r="P683" s="404"/>
      <c r="Q683" s="404"/>
      <c r="R683" s="404"/>
      <c r="S683" s="404"/>
      <c r="T683" s="404"/>
      <c r="U683" s="404"/>
      <c r="V683" s="404"/>
      <c r="W683" s="404"/>
      <c r="X683" s="404"/>
      <c r="Y683" s="404"/>
      <c r="Z683" s="404"/>
      <c r="AA683" s="404"/>
    </row>
    <row r="684">
      <c r="A684" s="404"/>
      <c r="B684" s="419"/>
      <c r="C684" s="404"/>
      <c r="D684" s="404"/>
      <c r="E684" s="404"/>
      <c r="F684" s="404"/>
      <c r="G684" s="404"/>
      <c r="H684" s="404"/>
      <c r="I684" s="404"/>
      <c r="J684" s="404"/>
      <c r="K684" s="404"/>
      <c r="L684" s="404"/>
      <c r="M684" s="404"/>
      <c r="N684" s="404"/>
      <c r="O684" s="404"/>
      <c r="P684" s="404"/>
      <c r="Q684" s="404"/>
      <c r="R684" s="404"/>
      <c r="S684" s="404"/>
      <c r="T684" s="404"/>
      <c r="U684" s="404"/>
      <c r="V684" s="404"/>
      <c r="W684" s="404"/>
      <c r="X684" s="404"/>
      <c r="Y684" s="404"/>
      <c r="Z684" s="404"/>
      <c r="AA684" s="404"/>
    </row>
    <row r="685">
      <c r="A685" s="404"/>
      <c r="B685" s="419"/>
      <c r="C685" s="404"/>
      <c r="D685" s="404"/>
      <c r="E685" s="404"/>
      <c r="F685" s="404"/>
      <c r="G685" s="404"/>
      <c r="H685" s="404"/>
      <c r="I685" s="404"/>
      <c r="J685" s="404"/>
      <c r="K685" s="404"/>
      <c r="L685" s="404"/>
      <c r="M685" s="404"/>
      <c r="N685" s="404"/>
      <c r="O685" s="404"/>
      <c r="P685" s="404"/>
      <c r="Q685" s="404"/>
      <c r="R685" s="404"/>
      <c r="S685" s="404"/>
      <c r="T685" s="404"/>
      <c r="U685" s="404"/>
      <c r="V685" s="404"/>
      <c r="W685" s="404"/>
      <c r="X685" s="404"/>
      <c r="Y685" s="404"/>
      <c r="Z685" s="404"/>
      <c r="AA685" s="404"/>
    </row>
    <row r="686">
      <c r="A686" s="404"/>
      <c r="B686" s="419"/>
      <c r="C686" s="404"/>
      <c r="D686" s="404"/>
      <c r="E686" s="404"/>
      <c r="F686" s="404"/>
      <c r="G686" s="404"/>
      <c r="H686" s="404"/>
      <c r="I686" s="404"/>
      <c r="J686" s="404"/>
      <c r="K686" s="404"/>
      <c r="L686" s="404"/>
      <c r="M686" s="404"/>
      <c r="N686" s="404"/>
      <c r="O686" s="404"/>
      <c r="P686" s="404"/>
      <c r="Q686" s="404"/>
      <c r="R686" s="404"/>
      <c r="S686" s="404"/>
      <c r="T686" s="404"/>
      <c r="U686" s="404"/>
      <c r="V686" s="404"/>
      <c r="W686" s="404"/>
      <c r="X686" s="404"/>
      <c r="Y686" s="404"/>
      <c r="Z686" s="404"/>
      <c r="AA686" s="404"/>
    </row>
    <row r="687">
      <c r="A687" s="404"/>
      <c r="B687" s="419"/>
      <c r="C687" s="404"/>
      <c r="D687" s="404"/>
      <c r="E687" s="404"/>
      <c r="F687" s="404"/>
      <c r="G687" s="404"/>
      <c r="H687" s="404"/>
      <c r="I687" s="404"/>
      <c r="J687" s="404"/>
      <c r="K687" s="404"/>
      <c r="L687" s="404"/>
      <c r="M687" s="404"/>
      <c r="N687" s="404"/>
      <c r="O687" s="404"/>
      <c r="P687" s="404"/>
      <c r="Q687" s="404"/>
      <c r="R687" s="404"/>
      <c r="S687" s="404"/>
      <c r="T687" s="404"/>
      <c r="U687" s="404"/>
      <c r="V687" s="404"/>
      <c r="W687" s="404"/>
      <c r="X687" s="404"/>
      <c r="Y687" s="404"/>
      <c r="Z687" s="404"/>
      <c r="AA687" s="404"/>
    </row>
    <row r="688">
      <c r="A688" s="404"/>
      <c r="B688" s="419"/>
      <c r="C688" s="404"/>
      <c r="D688" s="404"/>
      <c r="E688" s="404"/>
      <c r="F688" s="404"/>
      <c r="G688" s="404"/>
      <c r="H688" s="404"/>
      <c r="I688" s="404"/>
      <c r="J688" s="404"/>
      <c r="K688" s="404"/>
      <c r="L688" s="404"/>
      <c r="M688" s="404"/>
      <c r="N688" s="404"/>
      <c r="O688" s="404"/>
      <c r="P688" s="404"/>
      <c r="Q688" s="404"/>
      <c r="R688" s="404"/>
      <c r="S688" s="404"/>
      <c r="T688" s="404"/>
      <c r="U688" s="404"/>
      <c r="V688" s="404"/>
      <c r="W688" s="404"/>
      <c r="X688" s="404"/>
      <c r="Y688" s="404"/>
      <c r="Z688" s="404"/>
      <c r="AA688" s="404"/>
    </row>
    <row r="689">
      <c r="A689" s="404"/>
      <c r="B689" s="419"/>
      <c r="C689" s="404"/>
      <c r="D689" s="404"/>
      <c r="E689" s="404"/>
      <c r="F689" s="404"/>
      <c r="G689" s="404"/>
      <c r="H689" s="404"/>
      <c r="I689" s="404"/>
      <c r="J689" s="404"/>
      <c r="K689" s="404"/>
      <c r="L689" s="404"/>
      <c r="M689" s="404"/>
      <c r="N689" s="404"/>
      <c r="O689" s="404"/>
      <c r="P689" s="404"/>
      <c r="Q689" s="404"/>
      <c r="R689" s="404"/>
      <c r="S689" s="404"/>
      <c r="T689" s="404"/>
      <c r="U689" s="404"/>
      <c r="V689" s="404"/>
      <c r="W689" s="404"/>
      <c r="X689" s="404"/>
      <c r="Y689" s="404"/>
      <c r="Z689" s="404"/>
      <c r="AA689" s="404"/>
    </row>
    <row r="690">
      <c r="A690" s="404"/>
      <c r="B690" s="419"/>
      <c r="C690" s="404"/>
      <c r="D690" s="404"/>
      <c r="E690" s="404"/>
      <c r="F690" s="404"/>
      <c r="G690" s="404"/>
      <c r="H690" s="404"/>
      <c r="I690" s="404"/>
      <c r="J690" s="404"/>
      <c r="K690" s="404"/>
      <c r="L690" s="404"/>
      <c r="M690" s="404"/>
      <c r="N690" s="404"/>
      <c r="O690" s="404"/>
      <c r="P690" s="404"/>
      <c r="Q690" s="404"/>
      <c r="R690" s="404"/>
      <c r="S690" s="404"/>
      <c r="T690" s="404"/>
      <c r="U690" s="404"/>
      <c r="V690" s="404"/>
      <c r="W690" s="404"/>
      <c r="X690" s="404"/>
      <c r="Y690" s="404"/>
      <c r="Z690" s="404"/>
      <c r="AA690" s="404"/>
    </row>
    <row r="691">
      <c r="A691" s="404"/>
      <c r="B691" s="419"/>
      <c r="C691" s="404"/>
      <c r="D691" s="404"/>
      <c r="E691" s="404"/>
      <c r="F691" s="404"/>
      <c r="G691" s="404"/>
      <c r="H691" s="404"/>
      <c r="I691" s="404"/>
      <c r="J691" s="404"/>
      <c r="K691" s="404"/>
      <c r="L691" s="404"/>
      <c r="M691" s="404"/>
      <c r="N691" s="404"/>
      <c r="O691" s="404"/>
      <c r="P691" s="404"/>
      <c r="Q691" s="404"/>
      <c r="R691" s="404"/>
      <c r="S691" s="404"/>
      <c r="T691" s="404"/>
      <c r="U691" s="404"/>
      <c r="V691" s="404"/>
      <c r="W691" s="404"/>
      <c r="X691" s="404"/>
      <c r="Y691" s="404"/>
      <c r="Z691" s="404"/>
      <c r="AA691" s="404"/>
    </row>
    <row r="692">
      <c r="A692" s="404"/>
      <c r="B692" s="419"/>
      <c r="C692" s="404"/>
      <c r="D692" s="404"/>
      <c r="E692" s="404"/>
      <c r="F692" s="404"/>
      <c r="G692" s="404"/>
      <c r="H692" s="404"/>
      <c r="I692" s="404"/>
      <c r="J692" s="404"/>
      <c r="K692" s="404"/>
      <c r="L692" s="404"/>
      <c r="M692" s="404"/>
      <c r="N692" s="404"/>
      <c r="O692" s="404"/>
      <c r="P692" s="404"/>
      <c r="Q692" s="404"/>
      <c r="R692" s="404"/>
      <c r="S692" s="404"/>
      <c r="T692" s="404"/>
      <c r="U692" s="404"/>
      <c r="V692" s="404"/>
      <c r="W692" s="404"/>
      <c r="X692" s="404"/>
      <c r="Y692" s="404"/>
      <c r="Z692" s="404"/>
      <c r="AA692" s="404"/>
    </row>
    <row r="693">
      <c r="A693" s="404"/>
      <c r="B693" s="419"/>
      <c r="C693" s="404"/>
      <c r="D693" s="404"/>
      <c r="E693" s="404"/>
      <c r="F693" s="404"/>
      <c r="G693" s="404"/>
      <c r="H693" s="404"/>
      <c r="I693" s="404"/>
      <c r="J693" s="404"/>
      <c r="K693" s="404"/>
      <c r="L693" s="404"/>
      <c r="M693" s="404"/>
      <c r="N693" s="404"/>
      <c r="O693" s="404"/>
      <c r="P693" s="404"/>
      <c r="Q693" s="404"/>
      <c r="R693" s="404"/>
      <c r="S693" s="404"/>
      <c r="T693" s="404"/>
      <c r="U693" s="404"/>
      <c r="V693" s="404"/>
      <c r="W693" s="404"/>
      <c r="X693" s="404"/>
      <c r="Y693" s="404"/>
      <c r="Z693" s="404"/>
      <c r="AA693" s="404"/>
    </row>
    <row r="694">
      <c r="A694" s="404"/>
      <c r="B694" s="419"/>
      <c r="C694" s="404"/>
      <c r="D694" s="404"/>
      <c r="E694" s="404"/>
      <c r="F694" s="404"/>
      <c r="G694" s="404"/>
      <c r="H694" s="404"/>
      <c r="I694" s="404"/>
      <c r="J694" s="404"/>
      <c r="K694" s="404"/>
      <c r="L694" s="404"/>
      <c r="M694" s="404"/>
      <c r="N694" s="404"/>
      <c r="O694" s="404"/>
      <c r="P694" s="404"/>
      <c r="Q694" s="404"/>
      <c r="R694" s="404"/>
      <c r="S694" s="404"/>
      <c r="T694" s="404"/>
      <c r="U694" s="404"/>
      <c r="V694" s="404"/>
      <c r="W694" s="404"/>
      <c r="X694" s="404"/>
      <c r="Y694" s="404"/>
      <c r="Z694" s="404"/>
      <c r="AA694" s="404"/>
    </row>
    <row r="695">
      <c r="A695" s="404"/>
      <c r="B695" s="419"/>
      <c r="C695" s="404"/>
      <c r="D695" s="404"/>
      <c r="E695" s="404"/>
      <c r="F695" s="404"/>
      <c r="G695" s="404"/>
      <c r="H695" s="404"/>
      <c r="I695" s="404"/>
      <c r="J695" s="404"/>
      <c r="K695" s="404"/>
      <c r="L695" s="404"/>
      <c r="M695" s="404"/>
      <c r="N695" s="404"/>
      <c r="O695" s="404"/>
      <c r="P695" s="404"/>
      <c r="Q695" s="404"/>
      <c r="R695" s="404"/>
      <c r="S695" s="404"/>
      <c r="T695" s="404"/>
      <c r="U695" s="404"/>
      <c r="V695" s="404"/>
      <c r="W695" s="404"/>
      <c r="X695" s="404"/>
      <c r="Y695" s="404"/>
      <c r="Z695" s="404"/>
      <c r="AA695" s="404"/>
    </row>
    <row r="696">
      <c r="A696" s="404"/>
      <c r="B696" s="419"/>
      <c r="C696" s="404"/>
      <c r="D696" s="404"/>
      <c r="E696" s="404"/>
      <c r="F696" s="404"/>
      <c r="G696" s="404"/>
      <c r="H696" s="404"/>
      <c r="I696" s="404"/>
      <c r="J696" s="404"/>
      <c r="K696" s="404"/>
      <c r="L696" s="404"/>
      <c r="M696" s="404"/>
      <c r="N696" s="404"/>
      <c r="O696" s="404"/>
      <c r="P696" s="404"/>
      <c r="Q696" s="404"/>
      <c r="R696" s="404"/>
      <c r="S696" s="404"/>
      <c r="T696" s="404"/>
      <c r="U696" s="404"/>
      <c r="V696" s="404"/>
      <c r="W696" s="404"/>
      <c r="X696" s="404"/>
      <c r="Y696" s="404"/>
      <c r="Z696" s="404"/>
      <c r="AA696" s="404"/>
    </row>
    <row r="697">
      <c r="A697" s="404"/>
      <c r="B697" s="419"/>
      <c r="C697" s="404"/>
      <c r="D697" s="404"/>
      <c r="E697" s="404"/>
      <c r="F697" s="404"/>
      <c r="G697" s="404"/>
      <c r="H697" s="404"/>
      <c r="I697" s="404"/>
      <c r="J697" s="404"/>
      <c r="K697" s="404"/>
      <c r="L697" s="404"/>
      <c r="M697" s="404"/>
      <c r="N697" s="404"/>
      <c r="O697" s="404"/>
      <c r="P697" s="404"/>
      <c r="Q697" s="404"/>
      <c r="R697" s="404"/>
      <c r="S697" s="404"/>
      <c r="T697" s="404"/>
      <c r="U697" s="404"/>
      <c r="V697" s="404"/>
      <c r="W697" s="404"/>
      <c r="X697" s="404"/>
      <c r="Y697" s="404"/>
      <c r="Z697" s="404"/>
      <c r="AA697" s="404"/>
    </row>
    <row r="698">
      <c r="A698" s="404"/>
      <c r="B698" s="419"/>
      <c r="C698" s="404"/>
      <c r="D698" s="404"/>
      <c r="E698" s="404"/>
      <c r="F698" s="404"/>
      <c r="G698" s="404"/>
      <c r="H698" s="404"/>
      <c r="I698" s="404"/>
      <c r="J698" s="404"/>
      <c r="K698" s="404"/>
      <c r="L698" s="404"/>
      <c r="M698" s="404"/>
      <c r="N698" s="404"/>
      <c r="O698" s="404"/>
      <c r="P698" s="404"/>
      <c r="Q698" s="404"/>
      <c r="R698" s="404"/>
      <c r="S698" s="404"/>
      <c r="T698" s="404"/>
      <c r="U698" s="404"/>
      <c r="V698" s="404"/>
      <c r="W698" s="404"/>
      <c r="X698" s="404"/>
      <c r="Y698" s="404"/>
      <c r="Z698" s="404"/>
      <c r="AA698" s="404"/>
    </row>
    <row r="699">
      <c r="A699" s="404"/>
      <c r="B699" s="419"/>
      <c r="C699" s="404"/>
      <c r="D699" s="404"/>
      <c r="E699" s="404"/>
      <c r="F699" s="404"/>
      <c r="G699" s="404"/>
      <c r="H699" s="404"/>
      <c r="I699" s="404"/>
      <c r="J699" s="404"/>
      <c r="K699" s="404"/>
      <c r="L699" s="404"/>
      <c r="M699" s="404"/>
      <c r="N699" s="404"/>
      <c r="O699" s="404"/>
      <c r="P699" s="404"/>
      <c r="Q699" s="404"/>
      <c r="R699" s="404"/>
      <c r="S699" s="404"/>
      <c r="T699" s="404"/>
      <c r="U699" s="404"/>
      <c r="V699" s="404"/>
      <c r="W699" s="404"/>
      <c r="X699" s="404"/>
      <c r="Y699" s="404"/>
      <c r="Z699" s="404"/>
      <c r="AA699" s="404"/>
    </row>
    <row r="700">
      <c r="A700" s="404"/>
      <c r="B700" s="419"/>
      <c r="C700" s="404"/>
      <c r="D700" s="404"/>
      <c r="E700" s="404"/>
      <c r="F700" s="404"/>
      <c r="G700" s="404"/>
      <c r="H700" s="404"/>
      <c r="I700" s="404"/>
      <c r="J700" s="404"/>
      <c r="K700" s="404"/>
      <c r="L700" s="404"/>
      <c r="M700" s="404"/>
      <c r="N700" s="404"/>
      <c r="O700" s="404"/>
      <c r="P700" s="404"/>
      <c r="Q700" s="404"/>
      <c r="R700" s="404"/>
      <c r="S700" s="404"/>
      <c r="T700" s="404"/>
      <c r="U700" s="404"/>
      <c r="V700" s="404"/>
      <c r="W700" s="404"/>
      <c r="X700" s="404"/>
      <c r="Y700" s="404"/>
      <c r="Z700" s="404"/>
      <c r="AA700" s="404"/>
    </row>
    <row r="701">
      <c r="A701" s="404"/>
      <c r="B701" s="419"/>
      <c r="C701" s="404"/>
      <c r="D701" s="404"/>
      <c r="E701" s="404"/>
      <c r="F701" s="404"/>
      <c r="G701" s="404"/>
      <c r="H701" s="404"/>
      <c r="I701" s="404"/>
      <c r="J701" s="404"/>
      <c r="K701" s="404"/>
      <c r="L701" s="404"/>
      <c r="M701" s="404"/>
      <c r="N701" s="404"/>
      <c r="O701" s="404"/>
      <c r="P701" s="404"/>
      <c r="Q701" s="404"/>
      <c r="R701" s="404"/>
      <c r="S701" s="404"/>
      <c r="T701" s="404"/>
      <c r="U701" s="404"/>
      <c r="V701" s="404"/>
      <c r="W701" s="404"/>
      <c r="X701" s="404"/>
      <c r="Y701" s="404"/>
      <c r="Z701" s="404"/>
      <c r="AA701" s="404"/>
    </row>
    <row r="702">
      <c r="A702" s="404"/>
      <c r="B702" s="419"/>
      <c r="C702" s="404"/>
      <c r="D702" s="404"/>
      <c r="E702" s="404"/>
      <c r="F702" s="404"/>
      <c r="G702" s="404"/>
      <c r="H702" s="404"/>
      <c r="I702" s="404"/>
      <c r="J702" s="404"/>
      <c r="K702" s="404"/>
      <c r="L702" s="404"/>
      <c r="M702" s="404"/>
      <c r="N702" s="404"/>
      <c r="O702" s="404"/>
      <c r="P702" s="404"/>
      <c r="Q702" s="404"/>
      <c r="R702" s="404"/>
      <c r="S702" s="404"/>
      <c r="T702" s="404"/>
      <c r="U702" s="404"/>
      <c r="V702" s="404"/>
      <c r="W702" s="404"/>
      <c r="X702" s="404"/>
      <c r="Y702" s="404"/>
      <c r="Z702" s="404"/>
      <c r="AA702" s="404"/>
    </row>
    <row r="703">
      <c r="A703" s="404"/>
      <c r="B703" s="419"/>
      <c r="C703" s="404"/>
      <c r="D703" s="404"/>
      <c r="E703" s="404"/>
      <c r="F703" s="404"/>
      <c r="G703" s="404"/>
      <c r="H703" s="404"/>
      <c r="I703" s="404"/>
      <c r="J703" s="404"/>
      <c r="K703" s="404"/>
      <c r="L703" s="404"/>
      <c r="M703" s="404"/>
      <c r="N703" s="404"/>
      <c r="O703" s="404"/>
      <c r="P703" s="404"/>
      <c r="Q703" s="404"/>
      <c r="R703" s="404"/>
      <c r="S703" s="404"/>
      <c r="T703" s="404"/>
      <c r="U703" s="404"/>
      <c r="V703" s="404"/>
      <c r="W703" s="404"/>
      <c r="X703" s="404"/>
      <c r="Y703" s="404"/>
      <c r="Z703" s="404"/>
      <c r="AA703" s="404"/>
    </row>
    <row r="704">
      <c r="A704" s="404"/>
      <c r="B704" s="419"/>
      <c r="C704" s="404"/>
      <c r="D704" s="404"/>
      <c r="E704" s="404"/>
      <c r="F704" s="404"/>
      <c r="G704" s="404"/>
      <c r="H704" s="404"/>
      <c r="I704" s="404"/>
      <c r="J704" s="404"/>
      <c r="K704" s="404"/>
      <c r="L704" s="404"/>
      <c r="M704" s="404"/>
      <c r="N704" s="404"/>
      <c r="O704" s="404"/>
      <c r="P704" s="404"/>
      <c r="Q704" s="404"/>
      <c r="R704" s="404"/>
      <c r="S704" s="404"/>
      <c r="T704" s="404"/>
      <c r="U704" s="404"/>
      <c r="V704" s="404"/>
      <c r="W704" s="404"/>
      <c r="X704" s="404"/>
      <c r="Y704" s="404"/>
      <c r="Z704" s="404"/>
      <c r="AA704" s="404"/>
    </row>
    <row r="705">
      <c r="A705" s="404"/>
      <c r="B705" s="419"/>
      <c r="C705" s="404"/>
      <c r="D705" s="404"/>
      <c r="E705" s="404"/>
      <c r="F705" s="404"/>
      <c r="G705" s="404"/>
      <c r="H705" s="404"/>
      <c r="I705" s="404"/>
      <c r="J705" s="404"/>
      <c r="K705" s="404"/>
      <c r="L705" s="404"/>
      <c r="M705" s="404"/>
      <c r="N705" s="404"/>
      <c r="O705" s="404"/>
      <c r="P705" s="404"/>
      <c r="Q705" s="404"/>
      <c r="R705" s="404"/>
      <c r="S705" s="404"/>
      <c r="T705" s="404"/>
      <c r="U705" s="404"/>
      <c r="V705" s="404"/>
      <c r="W705" s="404"/>
      <c r="X705" s="404"/>
      <c r="Y705" s="404"/>
      <c r="Z705" s="404"/>
      <c r="AA705" s="404"/>
    </row>
    <row r="706">
      <c r="A706" s="404"/>
      <c r="B706" s="419"/>
      <c r="C706" s="404"/>
      <c r="D706" s="404"/>
      <c r="E706" s="404"/>
      <c r="F706" s="404"/>
      <c r="G706" s="404"/>
      <c r="H706" s="404"/>
      <c r="I706" s="404"/>
      <c r="J706" s="404"/>
      <c r="K706" s="404"/>
      <c r="L706" s="404"/>
      <c r="M706" s="404"/>
      <c r="N706" s="404"/>
      <c r="O706" s="404"/>
      <c r="P706" s="404"/>
      <c r="Q706" s="404"/>
      <c r="R706" s="404"/>
      <c r="S706" s="404"/>
      <c r="T706" s="404"/>
      <c r="U706" s="404"/>
      <c r="V706" s="404"/>
      <c r="W706" s="404"/>
      <c r="X706" s="404"/>
      <c r="Y706" s="404"/>
      <c r="Z706" s="404"/>
      <c r="AA706" s="404"/>
    </row>
    <row r="707">
      <c r="A707" s="404"/>
      <c r="B707" s="419"/>
      <c r="C707" s="404"/>
      <c r="D707" s="404"/>
      <c r="E707" s="404"/>
      <c r="F707" s="404"/>
      <c r="G707" s="404"/>
      <c r="H707" s="404"/>
      <c r="I707" s="404"/>
      <c r="J707" s="404"/>
      <c r="K707" s="404"/>
      <c r="L707" s="404"/>
      <c r="M707" s="404"/>
      <c r="N707" s="404"/>
      <c r="O707" s="404"/>
      <c r="P707" s="404"/>
      <c r="Q707" s="404"/>
      <c r="R707" s="404"/>
      <c r="S707" s="404"/>
      <c r="T707" s="404"/>
      <c r="U707" s="404"/>
      <c r="V707" s="404"/>
      <c r="W707" s="404"/>
      <c r="X707" s="404"/>
      <c r="Y707" s="404"/>
      <c r="Z707" s="404"/>
      <c r="AA707" s="404"/>
    </row>
    <row r="708">
      <c r="A708" s="404"/>
      <c r="B708" s="419"/>
      <c r="C708" s="404"/>
      <c r="D708" s="404"/>
      <c r="E708" s="404"/>
      <c r="F708" s="404"/>
      <c r="G708" s="404"/>
      <c r="H708" s="404"/>
      <c r="I708" s="404"/>
      <c r="J708" s="404"/>
      <c r="K708" s="404"/>
      <c r="L708" s="404"/>
      <c r="M708" s="404"/>
      <c r="N708" s="404"/>
      <c r="O708" s="404"/>
      <c r="P708" s="404"/>
      <c r="Q708" s="404"/>
      <c r="R708" s="404"/>
      <c r="S708" s="404"/>
      <c r="T708" s="404"/>
      <c r="U708" s="404"/>
      <c r="V708" s="404"/>
      <c r="W708" s="404"/>
      <c r="X708" s="404"/>
      <c r="Y708" s="404"/>
      <c r="Z708" s="404"/>
      <c r="AA708" s="404"/>
    </row>
    <row r="709">
      <c r="A709" s="404"/>
      <c r="B709" s="419"/>
      <c r="C709" s="404"/>
      <c r="D709" s="404"/>
      <c r="E709" s="404"/>
      <c r="F709" s="404"/>
      <c r="G709" s="404"/>
      <c r="H709" s="404"/>
      <c r="I709" s="404"/>
      <c r="J709" s="404"/>
      <c r="K709" s="404"/>
      <c r="L709" s="404"/>
      <c r="M709" s="404"/>
      <c r="N709" s="404"/>
      <c r="O709" s="404"/>
      <c r="P709" s="404"/>
      <c r="Q709" s="404"/>
      <c r="R709" s="404"/>
      <c r="S709" s="404"/>
      <c r="T709" s="404"/>
      <c r="U709" s="404"/>
      <c r="V709" s="404"/>
      <c r="W709" s="404"/>
      <c r="X709" s="404"/>
      <c r="Y709" s="404"/>
      <c r="Z709" s="404"/>
      <c r="AA709" s="404"/>
    </row>
    <row r="710">
      <c r="A710" s="404"/>
      <c r="B710" s="419"/>
      <c r="C710" s="404"/>
      <c r="D710" s="404"/>
      <c r="E710" s="404"/>
      <c r="F710" s="404"/>
      <c r="G710" s="404"/>
      <c r="H710" s="404"/>
      <c r="I710" s="404"/>
      <c r="J710" s="404"/>
      <c r="K710" s="404"/>
      <c r="L710" s="404"/>
      <c r="M710" s="404"/>
      <c r="N710" s="404"/>
      <c r="O710" s="404"/>
      <c r="P710" s="404"/>
      <c r="Q710" s="404"/>
      <c r="R710" s="404"/>
      <c r="S710" s="404"/>
      <c r="T710" s="404"/>
      <c r="U710" s="404"/>
      <c r="V710" s="404"/>
      <c r="W710" s="404"/>
      <c r="X710" s="404"/>
      <c r="Y710" s="404"/>
      <c r="Z710" s="404"/>
      <c r="AA710" s="404"/>
    </row>
    <row r="711">
      <c r="A711" s="404"/>
      <c r="B711" s="419"/>
      <c r="C711" s="404"/>
      <c r="D711" s="404"/>
      <c r="E711" s="404"/>
      <c r="F711" s="404"/>
      <c r="G711" s="404"/>
      <c r="H711" s="404"/>
      <c r="I711" s="404"/>
      <c r="J711" s="404"/>
      <c r="K711" s="404"/>
      <c r="L711" s="404"/>
      <c r="M711" s="404"/>
      <c r="N711" s="404"/>
      <c r="O711" s="404"/>
      <c r="P711" s="404"/>
      <c r="Q711" s="404"/>
      <c r="R711" s="404"/>
      <c r="S711" s="404"/>
      <c r="T711" s="404"/>
      <c r="U711" s="404"/>
      <c r="V711" s="404"/>
      <c r="W711" s="404"/>
      <c r="X711" s="404"/>
      <c r="Y711" s="404"/>
      <c r="Z711" s="404"/>
      <c r="AA711" s="404"/>
    </row>
    <row r="712">
      <c r="A712" s="404"/>
      <c r="B712" s="419"/>
      <c r="C712" s="404"/>
      <c r="D712" s="404"/>
      <c r="E712" s="404"/>
      <c r="F712" s="404"/>
      <c r="G712" s="404"/>
      <c r="H712" s="404"/>
      <c r="I712" s="404"/>
      <c r="J712" s="404"/>
      <c r="K712" s="404"/>
      <c r="L712" s="404"/>
      <c r="M712" s="404"/>
      <c r="N712" s="404"/>
      <c r="O712" s="404"/>
      <c r="P712" s="404"/>
      <c r="Q712" s="404"/>
      <c r="R712" s="404"/>
      <c r="S712" s="404"/>
      <c r="T712" s="404"/>
      <c r="U712" s="404"/>
      <c r="V712" s="404"/>
      <c r="W712" s="404"/>
      <c r="X712" s="404"/>
      <c r="Y712" s="404"/>
      <c r="Z712" s="404"/>
      <c r="AA712" s="404"/>
    </row>
    <row r="713">
      <c r="A713" s="404"/>
      <c r="B713" s="419"/>
      <c r="C713" s="404"/>
      <c r="D713" s="404"/>
      <c r="E713" s="404"/>
      <c r="F713" s="404"/>
      <c r="G713" s="404"/>
      <c r="H713" s="404"/>
      <c r="I713" s="404"/>
      <c r="J713" s="404"/>
      <c r="K713" s="404"/>
      <c r="L713" s="404"/>
      <c r="M713" s="404"/>
      <c r="N713" s="404"/>
      <c r="O713" s="404"/>
      <c r="P713" s="404"/>
      <c r="Q713" s="404"/>
      <c r="R713" s="404"/>
      <c r="S713" s="404"/>
      <c r="T713" s="404"/>
      <c r="U713" s="404"/>
      <c r="V713" s="404"/>
      <c r="W713" s="404"/>
      <c r="X713" s="404"/>
      <c r="Y713" s="404"/>
      <c r="Z713" s="404"/>
      <c r="AA713" s="404"/>
    </row>
    <row r="714">
      <c r="A714" s="404"/>
      <c r="B714" s="419"/>
      <c r="C714" s="404"/>
      <c r="D714" s="404"/>
      <c r="E714" s="404"/>
      <c r="F714" s="404"/>
      <c r="G714" s="404"/>
      <c r="H714" s="404"/>
      <c r="I714" s="404"/>
      <c r="J714" s="404"/>
      <c r="K714" s="404"/>
      <c r="L714" s="404"/>
      <c r="M714" s="404"/>
      <c r="N714" s="404"/>
      <c r="O714" s="404"/>
      <c r="P714" s="404"/>
      <c r="Q714" s="404"/>
      <c r="R714" s="404"/>
      <c r="S714" s="404"/>
      <c r="T714" s="404"/>
      <c r="U714" s="404"/>
      <c r="V714" s="404"/>
      <c r="W714" s="404"/>
      <c r="X714" s="404"/>
      <c r="Y714" s="404"/>
      <c r="Z714" s="404"/>
      <c r="AA714" s="404"/>
    </row>
    <row r="715">
      <c r="A715" s="404"/>
      <c r="B715" s="419"/>
      <c r="C715" s="404"/>
      <c r="D715" s="404"/>
      <c r="E715" s="404"/>
      <c r="F715" s="404"/>
      <c r="G715" s="404"/>
      <c r="H715" s="404"/>
      <c r="I715" s="404"/>
      <c r="J715" s="404"/>
      <c r="K715" s="404"/>
      <c r="L715" s="404"/>
      <c r="M715" s="404"/>
      <c r="N715" s="404"/>
      <c r="O715" s="404"/>
      <c r="P715" s="404"/>
      <c r="Q715" s="404"/>
      <c r="R715" s="404"/>
      <c r="S715" s="404"/>
      <c r="T715" s="404"/>
      <c r="U715" s="404"/>
      <c r="V715" s="404"/>
      <c r="W715" s="404"/>
      <c r="X715" s="404"/>
      <c r="Y715" s="404"/>
      <c r="Z715" s="404"/>
      <c r="AA715" s="404"/>
    </row>
    <row r="716">
      <c r="A716" s="404"/>
      <c r="B716" s="419"/>
      <c r="C716" s="404"/>
      <c r="D716" s="404"/>
      <c r="E716" s="404"/>
      <c r="F716" s="404"/>
      <c r="G716" s="404"/>
      <c r="H716" s="404"/>
      <c r="I716" s="404"/>
      <c r="J716" s="404"/>
      <c r="K716" s="404"/>
      <c r="L716" s="404"/>
      <c r="M716" s="404"/>
      <c r="N716" s="404"/>
      <c r="O716" s="404"/>
      <c r="P716" s="404"/>
      <c r="Q716" s="404"/>
      <c r="R716" s="404"/>
      <c r="S716" s="404"/>
      <c r="T716" s="404"/>
      <c r="U716" s="404"/>
      <c r="V716" s="404"/>
      <c r="W716" s="404"/>
      <c r="X716" s="404"/>
      <c r="Y716" s="404"/>
      <c r="Z716" s="404"/>
      <c r="AA716" s="404"/>
    </row>
    <row r="717">
      <c r="A717" s="404"/>
      <c r="B717" s="419"/>
      <c r="C717" s="404"/>
      <c r="D717" s="404"/>
      <c r="E717" s="404"/>
      <c r="F717" s="404"/>
      <c r="G717" s="404"/>
      <c r="H717" s="404"/>
      <c r="I717" s="404"/>
      <c r="J717" s="404"/>
      <c r="K717" s="404"/>
      <c r="L717" s="404"/>
      <c r="M717" s="404"/>
      <c r="N717" s="404"/>
      <c r="O717" s="404"/>
      <c r="P717" s="404"/>
      <c r="Q717" s="404"/>
      <c r="R717" s="404"/>
      <c r="S717" s="404"/>
      <c r="T717" s="404"/>
      <c r="U717" s="404"/>
      <c r="V717" s="404"/>
      <c r="W717" s="404"/>
      <c r="X717" s="404"/>
      <c r="Y717" s="404"/>
      <c r="Z717" s="404"/>
      <c r="AA717" s="404"/>
    </row>
    <row r="718">
      <c r="A718" s="404"/>
      <c r="B718" s="419"/>
      <c r="C718" s="404"/>
      <c r="D718" s="404"/>
      <c r="E718" s="404"/>
      <c r="F718" s="404"/>
      <c r="G718" s="404"/>
      <c r="H718" s="404"/>
      <c r="I718" s="404"/>
      <c r="J718" s="404"/>
      <c r="K718" s="404"/>
      <c r="L718" s="404"/>
      <c r="M718" s="404"/>
      <c r="N718" s="404"/>
      <c r="O718" s="404"/>
      <c r="P718" s="404"/>
      <c r="Q718" s="404"/>
      <c r="R718" s="404"/>
      <c r="S718" s="404"/>
      <c r="T718" s="404"/>
      <c r="U718" s="404"/>
      <c r="V718" s="404"/>
      <c r="W718" s="404"/>
      <c r="X718" s="404"/>
      <c r="Y718" s="404"/>
      <c r="Z718" s="404"/>
      <c r="AA718" s="404"/>
    </row>
    <row r="719">
      <c r="A719" s="404"/>
      <c r="B719" s="419"/>
      <c r="C719" s="404"/>
      <c r="D719" s="404"/>
      <c r="E719" s="404"/>
      <c r="F719" s="404"/>
      <c r="G719" s="404"/>
      <c r="H719" s="404"/>
      <c r="I719" s="404"/>
      <c r="J719" s="404"/>
      <c r="K719" s="404"/>
      <c r="L719" s="404"/>
      <c r="M719" s="404"/>
      <c r="N719" s="404"/>
      <c r="O719" s="404"/>
      <c r="P719" s="404"/>
      <c r="Q719" s="404"/>
      <c r="R719" s="404"/>
      <c r="S719" s="404"/>
      <c r="T719" s="404"/>
      <c r="U719" s="404"/>
      <c r="V719" s="404"/>
      <c r="W719" s="404"/>
      <c r="X719" s="404"/>
      <c r="Y719" s="404"/>
      <c r="Z719" s="404"/>
      <c r="AA719" s="404"/>
    </row>
    <row r="720">
      <c r="A720" s="404"/>
      <c r="B720" s="419"/>
      <c r="C720" s="404"/>
      <c r="D720" s="404"/>
      <c r="E720" s="404"/>
      <c r="F720" s="404"/>
      <c r="G720" s="404"/>
      <c r="H720" s="404"/>
      <c r="I720" s="404"/>
      <c r="J720" s="404"/>
      <c r="K720" s="404"/>
      <c r="L720" s="404"/>
      <c r="M720" s="404"/>
      <c r="N720" s="404"/>
      <c r="O720" s="404"/>
      <c r="P720" s="404"/>
      <c r="Q720" s="404"/>
      <c r="R720" s="404"/>
      <c r="S720" s="404"/>
      <c r="T720" s="404"/>
      <c r="U720" s="404"/>
      <c r="V720" s="404"/>
      <c r="W720" s="404"/>
      <c r="X720" s="404"/>
      <c r="Y720" s="404"/>
      <c r="Z720" s="404"/>
      <c r="AA720" s="404"/>
    </row>
    <row r="721">
      <c r="A721" s="404"/>
      <c r="B721" s="419"/>
      <c r="C721" s="404"/>
      <c r="D721" s="404"/>
      <c r="E721" s="404"/>
      <c r="F721" s="404"/>
      <c r="G721" s="404"/>
      <c r="H721" s="404"/>
      <c r="I721" s="404"/>
      <c r="J721" s="404"/>
      <c r="K721" s="404"/>
      <c r="L721" s="404"/>
      <c r="M721" s="404"/>
      <c r="N721" s="404"/>
      <c r="O721" s="404"/>
      <c r="P721" s="404"/>
      <c r="Q721" s="404"/>
      <c r="R721" s="404"/>
      <c r="S721" s="404"/>
      <c r="T721" s="404"/>
      <c r="U721" s="404"/>
      <c r="V721" s="404"/>
      <c r="W721" s="404"/>
      <c r="X721" s="404"/>
      <c r="Y721" s="404"/>
      <c r="Z721" s="404"/>
      <c r="AA721" s="404"/>
    </row>
    <row r="722">
      <c r="A722" s="404"/>
      <c r="B722" s="419"/>
      <c r="C722" s="404"/>
      <c r="D722" s="404"/>
      <c r="E722" s="404"/>
      <c r="F722" s="404"/>
      <c r="G722" s="404"/>
      <c r="H722" s="404"/>
      <c r="I722" s="404"/>
      <c r="J722" s="404"/>
      <c r="K722" s="404"/>
      <c r="L722" s="404"/>
      <c r="M722" s="404"/>
      <c r="N722" s="404"/>
      <c r="O722" s="404"/>
      <c r="P722" s="404"/>
      <c r="Q722" s="404"/>
      <c r="R722" s="404"/>
      <c r="S722" s="404"/>
      <c r="T722" s="404"/>
      <c r="U722" s="404"/>
      <c r="V722" s="404"/>
      <c r="W722" s="404"/>
      <c r="X722" s="404"/>
      <c r="Y722" s="404"/>
      <c r="Z722" s="404"/>
      <c r="AA722" s="404"/>
    </row>
    <row r="723">
      <c r="A723" s="404"/>
      <c r="B723" s="419"/>
      <c r="C723" s="404"/>
      <c r="D723" s="404"/>
      <c r="E723" s="404"/>
      <c r="F723" s="404"/>
      <c r="G723" s="404"/>
      <c r="H723" s="404"/>
      <c r="I723" s="404"/>
      <c r="J723" s="404"/>
      <c r="K723" s="404"/>
      <c r="L723" s="404"/>
      <c r="M723" s="404"/>
      <c r="N723" s="404"/>
      <c r="O723" s="404"/>
      <c r="P723" s="404"/>
      <c r="Q723" s="404"/>
      <c r="R723" s="404"/>
      <c r="S723" s="404"/>
      <c r="T723" s="404"/>
      <c r="U723" s="404"/>
      <c r="V723" s="404"/>
      <c r="W723" s="404"/>
      <c r="X723" s="404"/>
      <c r="Y723" s="404"/>
      <c r="Z723" s="404"/>
      <c r="AA723" s="404"/>
    </row>
    <row r="724">
      <c r="A724" s="404"/>
      <c r="B724" s="419"/>
      <c r="C724" s="404"/>
      <c r="D724" s="404"/>
      <c r="E724" s="404"/>
      <c r="F724" s="404"/>
      <c r="G724" s="404"/>
      <c r="H724" s="404"/>
      <c r="I724" s="404"/>
      <c r="J724" s="404"/>
      <c r="K724" s="404"/>
      <c r="L724" s="404"/>
      <c r="M724" s="404"/>
      <c r="N724" s="404"/>
      <c r="O724" s="404"/>
      <c r="P724" s="404"/>
      <c r="Q724" s="404"/>
      <c r="R724" s="404"/>
      <c r="S724" s="404"/>
      <c r="T724" s="404"/>
      <c r="U724" s="404"/>
      <c r="V724" s="404"/>
      <c r="W724" s="404"/>
      <c r="X724" s="404"/>
      <c r="Y724" s="404"/>
      <c r="Z724" s="404"/>
      <c r="AA724" s="404"/>
    </row>
    <row r="725">
      <c r="A725" s="404"/>
      <c r="B725" s="419"/>
      <c r="C725" s="404"/>
      <c r="D725" s="404"/>
      <c r="E725" s="404"/>
      <c r="F725" s="404"/>
      <c r="G725" s="404"/>
      <c r="H725" s="404"/>
      <c r="I725" s="404"/>
      <c r="J725" s="404"/>
      <c r="K725" s="404"/>
      <c r="L725" s="404"/>
      <c r="M725" s="404"/>
      <c r="N725" s="404"/>
      <c r="O725" s="404"/>
      <c r="P725" s="404"/>
      <c r="Q725" s="404"/>
      <c r="R725" s="404"/>
      <c r="S725" s="404"/>
      <c r="T725" s="404"/>
      <c r="U725" s="404"/>
      <c r="V725" s="404"/>
      <c r="W725" s="404"/>
      <c r="X725" s="404"/>
      <c r="Y725" s="404"/>
      <c r="Z725" s="404"/>
      <c r="AA725" s="404"/>
    </row>
    <row r="726">
      <c r="A726" s="404"/>
      <c r="B726" s="419"/>
      <c r="C726" s="404"/>
      <c r="D726" s="404"/>
      <c r="E726" s="404"/>
      <c r="F726" s="404"/>
      <c r="G726" s="404"/>
      <c r="H726" s="404"/>
      <c r="I726" s="404"/>
      <c r="J726" s="404"/>
      <c r="K726" s="404"/>
      <c r="L726" s="404"/>
      <c r="M726" s="404"/>
      <c r="N726" s="404"/>
      <c r="O726" s="404"/>
      <c r="P726" s="404"/>
      <c r="Q726" s="404"/>
      <c r="R726" s="404"/>
      <c r="S726" s="404"/>
      <c r="T726" s="404"/>
      <c r="U726" s="404"/>
      <c r="V726" s="404"/>
      <c r="W726" s="404"/>
      <c r="X726" s="404"/>
      <c r="Y726" s="404"/>
      <c r="Z726" s="404"/>
      <c r="AA726" s="404"/>
    </row>
    <row r="727">
      <c r="A727" s="404"/>
      <c r="B727" s="419"/>
      <c r="C727" s="404"/>
      <c r="D727" s="404"/>
      <c r="E727" s="404"/>
      <c r="F727" s="404"/>
      <c r="G727" s="404"/>
      <c r="H727" s="404"/>
      <c r="I727" s="404"/>
      <c r="J727" s="404"/>
      <c r="K727" s="404"/>
      <c r="L727" s="404"/>
      <c r="M727" s="404"/>
      <c r="N727" s="404"/>
      <c r="O727" s="404"/>
      <c r="P727" s="404"/>
      <c r="Q727" s="404"/>
      <c r="R727" s="404"/>
      <c r="S727" s="404"/>
      <c r="T727" s="404"/>
      <c r="U727" s="404"/>
      <c r="V727" s="404"/>
      <c r="W727" s="404"/>
      <c r="X727" s="404"/>
      <c r="Y727" s="404"/>
      <c r="Z727" s="404"/>
      <c r="AA727" s="404"/>
    </row>
    <row r="728">
      <c r="A728" s="404"/>
      <c r="B728" s="419"/>
      <c r="C728" s="404"/>
      <c r="D728" s="404"/>
      <c r="E728" s="404"/>
      <c r="F728" s="404"/>
      <c r="G728" s="404"/>
      <c r="H728" s="404"/>
      <c r="I728" s="404"/>
      <c r="J728" s="404"/>
      <c r="K728" s="404"/>
      <c r="L728" s="404"/>
      <c r="M728" s="404"/>
      <c r="N728" s="404"/>
      <c r="O728" s="404"/>
      <c r="P728" s="404"/>
      <c r="Q728" s="404"/>
      <c r="R728" s="404"/>
      <c r="S728" s="404"/>
      <c r="T728" s="404"/>
      <c r="U728" s="404"/>
      <c r="V728" s="404"/>
      <c r="W728" s="404"/>
      <c r="X728" s="404"/>
      <c r="Y728" s="404"/>
      <c r="Z728" s="404"/>
      <c r="AA728" s="404"/>
    </row>
    <row r="729">
      <c r="A729" s="404"/>
      <c r="B729" s="419"/>
      <c r="C729" s="404"/>
      <c r="D729" s="404"/>
      <c r="E729" s="404"/>
      <c r="F729" s="404"/>
      <c r="G729" s="404"/>
      <c r="H729" s="404"/>
      <c r="I729" s="404"/>
      <c r="J729" s="404"/>
      <c r="K729" s="404"/>
      <c r="L729" s="404"/>
      <c r="M729" s="404"/>
      <c r="N729" s="404"/>
      <c r="O729" s="404"/>
      <c r="P729" s="404"/>
      <c r="Q729" s="404"/>
      <c r="R729" s="404"/>
      <c r="S729" s="404"/>
      <c r="T729" s="404"/>
      <c r="U729" s="404"/>
      <c r="V729" s="404"/>
      <c r="W729" s="404"/>
      <c r="X729" s="404"/>
      <c r="Y729" s="404"/>
      <c r="Z729" s="404"/>
      <c r="AA729" s="404"/>
    </row>
    <row r="730">
      <c r="A730" s="404"/>
      <c r="B730" s="419"/>
      <c r="C730" s="404"/>
      <c r="D730" s="404"/>
      <c r="E730" s="404"/>
      <c r="F730" s="404"/>
      <c r="G730" s="404"/>
      <c r="H730" s="404"/>
      <c r="I730" s="404"/>
      <c r="J730" s="404"/>
      <c r="K730" s="404"/>
      <c r="L730" s="404"/>
      <c r="M730" s="404"/>
      <c r="N730" s="404"/>
      <c r="O730" s="404"/>
      <c r="P730" s="404"/>
      <c r="Q730" s="404"/>
      <c r="R730" s="404"/>
      <c r="S730" s="404"/>
      <c r="T730" s="404"/>
      <c r="U730" s="404"/>
      <c r="V730" s="404"/>
      <c r="W730" s="404"/>
      <c r="X730" s="404"/>
      <c r="Y730" s="404"/>
      <c r="Z730" s="404"/>
      <c r="AA730" s="404"/>
    </row>
    <row r="731">
      <c r="A731" s="404"/>
      <c r="B731" s="419"/>
      <c r="C731" s="404"/>
      <c r="D731" s="404"/>
      <c r="E731" s="404"/>
      <c r="F731" s="404"/>
      <c r="G731" s="404"/>
      <c r="H731" s="404"/>
      <c r="I731" s="404"/>
      <c r="J731" s="404"/>
      <c r="K731" s="404"/>
      <c r="L731" s="404"/>
      <c r="M731" s="404"/>
      <c r="N731" s="404"/>
      <c r="O731" s="404"/>
      <c r="P731" s="404"/>
      <c r="Q731" s="404"/>
      <c r="R731" s="404"/>
      <c r="S731" s="404"/>
      <c r="T731" s="404"/>
      <c r="U731" s="404"/>
      <c r="V731" s="404"/>
      <c r="W731" s="404"/>
      <c r="X731" s="404"/>
      <c r="Y731" s="404"/>
      <c r="Z731" s="404"/>
      <c r="AA731" s="404"/>
    </row>
    <row r="732">
      <c r="A732" s="404"/>
      <c r="B732" s="419"/>
      <c r="C732" s="404"/>
      <c r="D732" s="404"/>
      <c r="E732" s="404"/>
      <c r="F732" s="404"/>
      <c r="G732" s="404"/>
      <c r="H732" s="404"/>
      <c r="I732" s="404"/>
      <c r="J732" s="404"/>
      <c r="K732" s="404"/>
      <c r="L732" s="404"/>
      <c r="M732" s="404"/>
      <c r="N732" s="404"/>
      <c r="O732" s="404"/>
      <c r="P732" s="404"/>
      <c r="Q732" s="404"/>
      <c r="R732" s="404"/>
      <c r="S732" s="404"/>
      <c r="T732" s="404"/>
      <c r="U732" s="404"/>
      <c r="V732" s="404"/>
      <c r="W732" s="404"/>
      <c r="X732" s="404"/>
      <c r="Y732" s="404"/>
      <c r="Z732" s="404"/>
      <c r="AA732" s="404"/>
    </row>
    <row r="733">
      <c r="A733" s="404"/>
      <c r="B733" s="419"/>
      <c r="C733" s="404"/>
      <c r="D733" s="404"/>
      <c r="E733" s="404"/>
      <c r="F733" s="404"/>
      <c r="G733" s="404"/>
      <c r="H733" s="404"/>
      <c r="I733" s="404"/>
      <c r="J733" s="404"/>
      <c r="K733" s="404"/>
      <c r="L733" s="404"/>
      <c r="M733" s="404"/>
      <c r="N733" s="404"/>
      <c r="O733" s="404"/>
      <c r="P733" s="404"/>
      <c r="Q733" s="404"/>
      <c r="R733" s="404"/>
      <c r="S733" s="404"/>
      <c r="T733" s="404"/>
      <c r="U733" s="404"/>
      <c r="V733" s="404"/>
      <c r="W733" s="404"/>
      <c r="X733" s="404"/>
      <c r="Y733" s="404"/>
      <c r="Z733" s="404"/>
      <c r="AA733" s="404"/>
    </row>
    <row r="734">
      <c r="A734" s="404"/>
      <c r="B734" s="419"/>
      <c r="C734" s="404"/>
      <c r="D734" s="404"/>
      <c r="E734" s="404"/>
      <c r="F734" s="404"/>
      <c r="G734" s="404"/>
      <c r="H734" s="404"/>
      <c r="I734" s="404"/>
      <c r="J734" s="404"/>
      <c r="K734" s="404"/>
      <c r="L734" s="404"/>
      <c r="M734" s="404"/>
      <c r="N734" s="404"/>
      <c r="O734" s="404"/>
      <c r="P734" s="404"/>
      <c r="Q734" s="404"/>
      <c r="R734" s="404"/>
      <c r="S734" s="404"/>
      <c r="T734" s="404"/>
      <c r="U734" s="404"/>
      <c r="V734" s="404"/>
      <c r="W734" s="404"/>
      <c r="X734" s="404"/>
      <c r="Y734" s="404"/>
      <c r="Z734" s="404"/>
      <c r="AA734" s="404"/>
    </row>
    <row r="735">
      <c r="A735" s="404"/>
      <c r="B735" s="419"/>
      <c r="C735" s="404"/>
      <c r="D735" s="404"/>
      <c r="E735" s="404"/>
      <c r="F735" s="404"/>
      <c r="G735" s="404"/>
      <c r="H735" s="404"/>
      <c r="I735" s="404"/>
      <c r="J735" s="404"/>
      <c r="K735" s="404"/>
      <c r="L735" s="404"/>
      <c r="M735" s="404"/>
      <c r="N735" s="404"/>
      <c r="O735" s="404"/>
      <c r="P735" s="404"/>
      <c r="Q735" s="404"/>
      <c r="R735" s="404"/>
      <c r="S735" s="404"/>
      <c r="T735" s="404"/>
      <c r="U735" s="404"/>
      <c r="V735" s="404"/>
      <c r="W735" s="404"/>
      <c r="X735" s="404"/>
      <c r="Y735" s="404"/>
      <c r="Z735" s="404"/>
      <c r="AA735" s="404"/>
    </row>
    <row r="736">
      <c r="A736" s="404"/>
      <c r="B736" s="419"/>
      <c r="C736" s="404"/>
      <c r="D736" s="404"/>
      <c r="E736" s="404"/>
      <c r="F736" s="404"/>
      <c r="G736" s="404"/>
      <c r="H736" s="404"/>
      <c r="I736" s="404"/>
      <c r="J736" s="404"/>
      <c r="K736" s="404"/>
      <c r="L736" s="404"/>
      <c r="M736" s="404"/>
      <c r="N736" s="404"/>
      <c r="O736" s="404"/>
      <c r="P736" s="404"/>
      <c r="Q736" s="404"/>
      <c r="R736" s="404"/>
      <c r="S736" s="404"/>
      <c r="T736" s="404"/>
      <c r="U736" s="404"/>
      <c r="V736" s="404"/>
      <c r="W736" s="404"/>
      <c r="X736" s="404"/>
      <c r="Y736" s="404"/>
      <c r="Z736" s="404"/>
      <c r="AA736" s="404"/>
    </row>
    <row r="737">
      <c r="A737" s="404"/>
      <c r="B737" s="419"/>
      <c r="C737" s="404"/>
      <c r="D737" s="404"/>
      <c r="E737" s="404"/>
      <c r="F737" s="404"/>
      <c r="G737" s="404"/>
      <c r="H737" s="404"/>
      <c r="I737" s="404"/>
      <c r="J737" s="404"/>
      <c r="K737" s="404"/>
      <c r="L737" s="404"/>
      <c r="M737" s="404"/>
      <c r="N737" s="404"/>
      <c r="O737" s="404"/>
      <c r="P737" s="404"/>
      <c r="Q737" s="404"/>
      <c r="R737" s="404"/>
      <c r="S737" s="404"/>
      <c r="T737" s="404"/>
      <c r="U737" s="404"/>
      <c r="V737" s="404"/>
      <c r="W737" s="404"/>
      <c r="X737" s="404"/>
      <c r="Y737" s="404"/>
      <c r="Z737" s="404"/>
      <c r="AA737" s="404"/>
    </row>
    <row r="738">
      <c r="A738" s="404"/>
      <c r="B738" s="419"/>
      <c r="C738" s="404"/>
      <c r="D738" s="404"/>
      <c r="E738" s="404"/>
      <c r="F738" s="404"/>
      <c r="G738" s="404"/>
      <c r="H738" s="404"/>
      <c r="I738" s="404"/>
      <c r="J738" s="404"/>
      <c r="K738" s="404"/>
      <c r="L738" s="404"/>
      <c r="M738" s="404"/>
      <c r="N738" s="404"/>
      <c r="O738" s="404"/>
      <c r="P738" s="404"/>
      <c r="Q738" s="404"/>
      <c r="R738" s="404"/>
      <c r="S738" s="404"/>
      <c r="T738" s="404"/>
      <c r="U738" s="404"/>
      <c r="V738" s="404"/>
      <c r="W738" s="404"/>
      <c r="X738" s="404"/>
      <c r="Y738" s="404"/>
      <c r="Z738" s="404"/>
      <c r="AA738" s="404"/>
    </row>
    <row r="739">
      <c r="A739" s="404"/>
      <c r="B739" s="419"/>
      <c r="C739" s="404"/>
      <c r="D739" s="404"/>
      <c r="E739" s="404"/>
      <c r="F739" s="404"/>
      <c r="G739" s="404"/>
      <c r="H739" s="404"/>
      <c r="I739" s="404"/>
      <c r="J739" s="404"/>
      <c r="K739" s="404"/>
      <c r="L739" s="404"/>
      <c r="M739" s="404"/>
      <c r="N739" s="404"/>
      <c r="O739" s="404"/>
      <c r="P739" s="404"/>
      <c r="Q739" s="404"/>
      <c r="R739" s="404"/>
      <c r="S739" s="404"/>
      <c r="T739" s="404"/>
      <c r="U739" s="404"/>
      <c r="V739" s="404"/>
      <c r="W739" s="404"/>
      <c r="X739" s="404"/>
      <c r="Y739" s="404"/>
      <c r="Z739" s="404"/>
      <c r="AA739" s="404"/>
    </row>
    <row r="740">
      <c r="A740" s="404"/>
      <c r="B740" s="419"/>
      <c r="C740" s="404"/>
      <c r="D740" s="404"/>
      <c r="E740" s="404"/>
      <c r="F740" s="404"/>
      <c r="G740" s="404"/>
      <c r="H740" s="404"/>
      <c r="I740" s="404"/>
      <c r="J740" s="404"/>
      <c r="K740" s="404"/>
      <c r="L740" s="404"/>
      <c r="M740" s="404"/>
      <c r="N740" s="404"/>
      <c r="O740" s="404"/>
      <c r="P740" s="404"/>
      <c r="Q740" s="404"/>
      <c r="R740" s="404"/>
      <c r="S740" s="404"/>
      <c r="T740" s="404"/>
      <c r="U740" s="404"/>
      <c r="V740" s="404"/>
      <c r="W740" s="404"/>
      <c r="X740" s="404"/>
      <c r="Y740" s="404"/>
      <c r="Z740" s="404"/>
      <c r="AA740" s="404"/>
    </row>
    <row r="741">
      <c r="A741" s="404"/>
      <c r="B741" s="419"/>
      <c r="C741" s="404"/>
      <c r="D741" s="404"/>
      <c r="E741" s="404"/>
      <c r="F741" s="404"/>
      <c r="G741" s="404"/>
      <c r="H741" s="404"/>
      <c r="I741" s="404"/>
      <c r="J741" s="404"/>
      <c r="K741" s="404"/>
      <c r="L741" s="404"/>
      <c r="M741" s="404"/>
      <c r="N741" s="404"/>
      <c r="O741" s="404"/>
      <c r="P741" s="404"/>
      <c r="Q741" s="404"/>
      <c r="R741" s="404"/>
      <c r="S741" s="404"/>
      <c r="T741" s="404"/>
      <c r="U741" s="404"/>
      <c r="V741" s="404"/>
      <c r="W741" s="404"/>
      <c r="X741" s="404"/>
      <c r="Y741" s="404"/>
      <c r="Z741" s="404"/>
      <c r="AA741" s="404"/>
    </row>
    <row r="742">
      <c r="A742" s="404"/>
      <c r="B742" s="419"/>
      <c r="C742" s="404"/>
      <c r="D742" s="404"/>
      <c r="E742" s="404"/>
      <c r="F742" s="404"/>
      <c r="G742" s="404"/>
      <c r="H742" s="404"/>
      <c r="I742" s="404"/>
      <c r="J742" s="404"/>
      <c r="K742" s="404"/>
      <c r="L742" s="404"/>
      <c r="M742" s="404"/>
      <c r="N742" s="404"/>
      <c r="O742" s="404"/>
      <c r="P742" s="404"/>
      <c r="Q742" s="404"/>
      <c r="R742" s="404"/>
      <c r="S742" s="404"/>
      <c r="T742" s="404"/>
      <c r="U742" s="404"/>
      <c r="V742" s="404"/>
      <c r="W742" s="404"/>
      <c r="X742" s="404"/>
      <c r="Y742" s="404"/>
      <c r="Z742" s="404"/>
      <c r="AA742" s="404"/>
    </row>
    <row r="743">
      <c r="A743" s="404"/>
      <c r="B743" s="419"/>
      <c r="C743" s="404"/>
      <c r="D743" s="404"/>
      <c r="E743" s="404"/>
      <c r="F743" s="404"/>
      <c r="G743" s="404"/>
      <c r="H743" s="404"/>
      <c r="I743" s="404"/>
      <c r="J743" s="404"/>
      <c r="K743" s="404"/>
      <c r="L743" s="404"/>
      <c r="M743" s="404"/>
      <c r="N743" s="404"/>
      <c r="O743" s="404"/>
      <c r="P743" s="404"/>
      <c r="Q743" s="404"/>
      <c r="R743" s="404"/>
      <c r="S743" s="404"/>
      <c r="T743" s="404"/>
      <c r="U743" s="404"/>
      <c r="V743" s="404"/>
      <c r="W743" s="404"/>
      <c r="X743" s="404"/>
      <c r="Y743" s="404"/>
      <c r="Z743" s="404"/>
      <c r="AA743" s="404"/>
    </row>
    <row r="744">
      <c r="A744" s="404"/>
      <c r="B744" s="419"/>
      <c r="C744" s="404"/>
      <c r="D744" s="404"/>
      <c r="E744" s="404"/>
      <c r="F744" s="404"/>
      <c r="G744" s="404"/>
      <c r="H744" s="404"/>
      <c r="I744" s="404"/>
      <c r="J744" s="404"/>
      <c r="K744" s="404"/>
      <c r="L744" s="404"/>
      <c r="M744" s="404"/>
      <c r="N744" s="404"/>
      <c r="O744" s="404"/>
      <c r="P744" s="404"/>
      <c r="Q744" s="404"/>
      <c r="R744" s="404"/>
      <c r="S744" s="404"/>
      <c r="T744" s="404"/>
      <c r="U744" s="404"/>
      <c r="V744" s="404"/>
      <c r="W744" s="404"/>
      <c r="X744" s="404"/>
      <c r="Y744" s="404"/>
      <c r="Z744" s="404"/>
      <c r="AA744" s="404"/>
    </row>
    <row r="745">
      <c r="A745" s="404"/>
      <c r="B745" s="419"/>
      <c r="C745" s="404"/>
      <c r="D745" s="404"/>
      <c r="E745" s="404"/>
      <c r="F745" s="404"/>
      <c r="G745" s="404"/>
      <c r="H745" s="404"/>
      <c r="I745" s="404"/>
      <c r="J745" s="404"/>
      <c r="K745" s="404"/>
      <c r="L745" s="404"/>
      <c r="M745" s="404"/>
      <c r="N745" s="404"/>
      <c r="O745" s="404"/>
      <c r="P745" s="404"/>
      <c r="Q745" s="404"/>
      <c r="R745" s="404"/>
      <c r="S745" s="404"/>
      <c r="T745" s="404"/>
      <c r="U745" s="404"/>
      <c r="V745" s="404"/>
      <c r="W745" s="404"/>
      <c r="X745" s="404"/>
      <c r="Y745" s="404"/>
      <c r="Z745" s="404"/>
      <c r="AA745" s="404"/>
    </row>
    <row r="746">
      <c r="A746" s="404"/>
      <c r="B746" s="419"/>
      <c r="C746" s="404"/>
      <c r="D746" s="404"/>
      <c r="E746" s="404"/>
      <c r="F746" s="404"/>
      <c r="G746" s="404"/>
      <c r="H746" s="404"/>
      <c r="I746" s="404"/>
      <c r="J746" s="404"/>
      <c r="K746" s="404"/>
      <c r="L746" s="404"/>
      <c r="M746" s="404"/>
      <c r="N746" s="404"/>
      <c r="O746" s="404"/>
      <c r="P746" s="404"/>
      <c r="Q746" s="404"/>
      <c r="R746" s="404"/>
      <c r="S746" s="404"/>
      <c r="T746" s="404"/>
      <c r="U746" s="404"/>
      <c r="V746" s="404"/>
      <c r="W746" s="404"/>
      <c r="X746" s="404"/>
      <c r="Y746" s="404"/>
      <c r="Z746" s="404"/>
      <c r="AA746" s="404"/>
    </row>
    <row r="747">
      <c r="A747" s="404"/>
      <c r="B747" s="419"/>
      <c r="C747" s="404"/>
      <c r="D747" s="404"/>
      <c r="E747" s="404"/>
      <c r="F747" s="404"/>
      <c r="G747" s="404"/>
      <c r="H747" s="404"/>
      <c r="I747" s="404"/>
      <c r="J747" s="404"/>
      <c r="K747" s="404"/>
      <c r="L747" s="404"/>
      <c r="M747" s="404"/>
      <c r="N747" s="404"/>
      <c r="O747" s="404"/>
      <c r="P747" s="404"/>
      <c r="Q747" s="404"/>
      <c r="R747" s="404"/>
      <c r="S747" s="404"/>
      <c r="T747" s="404"/>
      <c r="U747" s="404"/>
      <c r="V747" s="404"/>
      <c r="W747" s="404"/>
      <c r="X747" s="404"/>
      <c r="Y747" s="404"/>
      <c r="Z747" s="404"/>
      <c r="AA747" s="404"/>
    </row>
    <row r="748">
      <c r="A748" s="404"/>
      <c r="B748" s="419"/>
      <c r="C748" s="404"/>
      <c r="D748" s="404"/>
      <c r="E748" s="404"/>
      <c r="F748" s="404"/>
      <c r="G748" s="404"/>
      <c r="H748" s="404"/>
      <c r="I748" s="404"/>
      <c r="J748" s="404"/>
      <c r="K748" s="404"/>
      <c r="L748" s="404"/>
      <c r="M748" s="404"/>
      <c r="N748" s="404"/>
      <c r="O748" s="404"/>
      <c r="P748" s="404"/>
      <c r="Q748" s="404"/>
      <c r="R748" s="404"/>
      <c r="S748" s="404"/>
      <c r="T748" s="404"/>
      <c r="U748" s="404"/>
      <c r="V748" s="404"/>
      <c r="W748" s="404"/>
      <c r="X748" s="404"/>
      <c r="Y748" s="404"/>
      <c r="Z748" s="404"/>
      <c r="AA748" s="404"/>
    </row>
    <row r="749">
      <c r="A749" s="404"/>
      <c r="B749" s="419"/>
      <c r="C749" s="404"/>
      <c r="D749" s="404"/>
      <c r="E749" s="404"/>
      <c r="F749" s="404"/>
      <c r="G749" s="404"/>
      <c r="H749" s="404"/>
      <c r="I749" s="404"/>
      <c r="J749" s="404"/>
      <c r="K749" s="404"/>
      <c r="L749" s="404"/>
      <c r="M749" s="404"/>
      <c r="N749" s="404"/>
      <c r="O749" s="404"/>
      <c r="P749" s="404"/>
      <c r="Q749" s="404"/>
      <c r="R749" s="404"/>
      <c r="S749" s="404"/>
      <c r="T749" s="404"/>
      <c r="U749" s="404"/>
      <c r="V749" s="404"/>
      <c r="W749" s="404"/>
      <c r="X749" s="404"/>
      <c r="Y749" s="404"/>
      <c r="Z749" s="404"/>
      <c r="AA749" s="404"/>
    </row>
    <row r="750">
      <c r="A750" s="404"/>
      <c r="B750" s="419"/>
      <c r="C750" s="404"/>
      <c r="D750" s="404"/>
      <c r="E750" s="404"/>
      <c r="F750" s="404"/>
      <c r="G750" s="404"/>
      <c r="H750" s="404"/>
      <c r="I750" s="404"/>
      <c r="J750" s="404"/>
      <c r="K750" s="404"/>
      <c r="L750" s="404"/>
      <c r="M750" s="404"/>
      <c r="N750" s="404"/>
      <c r="O750" s="404"/>
      <c r="P750" s="404"/>
      <c r="Q750" s="404"/>
      <c r="R750" s="404"/>
      <c r="S750" s="404"/>
      <c r="T750" s="404"/>
      <c r="U750" s="404"/>
      <c r="V750" s="404"/>
      <c r="W750" s="404"/>
      <c r="X750" s="404"/>
      <c r="Y750" s="404"/>
      <c r="Z750" s="404"/>
      <c r="AA750" s="404"/>
    </row>
    <row r="751">
      <c r="A751" s="404"/>
      <c r="B751" s="419"/>
      <c r="C751" s="404"/>
      <c r="D751" s="404"/>
      <c r="E751" s="404"/>
      <c r="F751" s="404"/>
      <c r="G751" s="404"/>
      <c r="H751" s="404"/>
      <c r="I751" s="404"/>
      <c r="J751" s="404"/>
      <c r="K751" s="404"/>
      <c r="L751" s="404"/>
      <c r="M751" s="404"/>
      <c r="N751" s="404"/>
      <c r="O751" s="404"/>
      <c r="P751" s="404"/>
      <c r="Q751" s="404"/>
      <c r="R751" s="404"/>
      <c r="S751" s="404"/>
      <c r="T751" s="404"/>
      <c r="U751" s="404"/>
      <c r="V751" s="404"/>
      <c r="W751" s="404"/>
      <c r="X751" s="404"/>
      <c r="Y751" s="404"/>
      <c r="Z751" s="404"/>
      <c r="AA751" s="404"/>
    </row>
    <row r="752">
      <c r="A752" s="404"/>
      <c r="B752" s="419"/>
      <c r="C752" s="404"/>
      <c r="D752" s="404"/>
      <c r="E752" s="404"/>
      <c r="F752" s="404"/>
      <c r="G752" s="404"/>
      <c r="H752" s="404"/>
      <c r="I752" s="404"/>
      <c r="J752" s="404"/>
      <c r="K752" s="404"/>
      <c r="L752" s="404"/>
      <c r="M752" s="404"/>
      <c r="N752" s="404"/>
      <c r="O752" s="404"/>
      <c r="P752" s="404"/>
      <c r="Q752" s="404"/>
      <c r="R752" s="404"/>
      <c r="S752" s="404"/>
      <c r="T752" s="404"/>
      <c r="U752" s="404"/>
      <c r="V752" s="404"/>
      <c r="W752" s="404"/>
      <c r="X752" s="404"/>
      <c r="Y752" s="404"/>
      <c r="Z752" s="404"/>
      <c r="AA752" s="404"/>
    </row>
    <row r="753">
      <c r="A753" s="404"/>
      <c r="B753" s="419"/>
      <c r="C753" s="404"/>
      <c r="D753" s="404"/>
      <c r="E753" s="404"/>
      <c r="F753" s="404"/>
      <c r="G753" s="404"/>
      <c r="H753" s="404"/>
      <c r="I753" s="404"/>
      <c r="J753" s="404"/>
      <c r="K753" s="404"/>
      <c r="L753" s="404"/>
      <c r="M753" s="404"/>
      <c r="N753" s="404"/>
      <c r="O753" s="404"/>
      <c r="P753" s="404"/>
      <c r="Q753" s="404"/>
      <c r="R753" s="404"/>
      <c r="S753" s="404"/>
      <c r="T753" s="404"/>
      <c r="U753" s="404"/>
      <c r="V753" s="404"/>
      <c r="W753" s="404"/>
      <c r="X753" s="404"/>
      <c r="Y753" s="404"/>
      <c r="Z753" s="404"/>
      <c r="AA753" s="404"/>
    </row>
    <row r="754">
      <c r="A754" s="404"/>
      <c r="B754" s="419"/>
      <c r="C754" s="404"/>
      <c r="D754" s="404"/>
      <c r="E754" s="404"/>
      <c r="F754" s="404"/>
      <c r="G754" s="404"/>
      <c r="H754" s="404"/>
      <c r="I754" s="404"/>
      <c r="J754" s="404"/>
      <c r="K754" s="404"/>
      <c r="L754" s="404"/>
      <c r="M754" s="404"/>
      <c r="N754" s="404"/>
      <c r="O754" s="404"/>
      <c r="P754" s="404"/>
      <c r="Q754" s="404"/>
      <c r="R754" s="404"/>
      <c r="S754" s="404"/>
      <c r="T754" s="404"/>
      <c r="U754" s="404"/>
      <c r="V754" s="404"/>
      <c r="W754" s="404"/>
      <c r="X754" s="404"/>
      <c r="Y754" s="404"/>
      <c r="Z754" s="404"/>
      <c r="AA754" s="404"/>
    </row>
    <row r="755">
      <c r="A755" s="404"/>
      <c r="B755" s="419"/>
      <c r="C755" s="404"/>
      <c r="D755" s="404"/>
      <c r="E755" s="404"/>
      <c r="F755" s="404"/>
      <c r="G755" s="404"/>
      <c r="H755" s="404"/>
      <c r="I755" s="404"/>
      <c r="J755" s="404"/>
      <c r="K755" s="404"/>
      <c r="L755" s="404"/>
      <c r="M755" s="404"/>
      <c r="N755" s="404"/>
      <c r="O755" s="404"/>
      <c r="P755" s="404"/>
      <c r="Q755" s="404"/>
      <c r="R755" s="404"/>
      <c r="S755" s="404"/>
      <c r="T755" s="404"/>
      <c r="U755" s="404"/>
      <c r="V755" s="404"/>
      <c r="W755" s="404"/>
      <c r="X755" s="404"/>
      <c r="Y755" s="404"/>
      <c r="Z755" s="404"/>
      <c r="AA755" s="404"/>
    </row>
    <row r="756">
      <c r="A756" s="404"/>
      <c r="B756" s="419"/>
      <c r="C756" s="404"/>
      <c r="D756" s="404"/>
      <c r="E756" s="404"/>
      <c r="F756" s="404"/>
      <c r="G756" s="404"/>
      <c r="H756" s="404"/>
      <c r="I756" s="404"/>
      <c r="J756" s="404"/>
      <c r="K756" s="404"/>
      <c r="L756" s="404"/>
      <c r="M756" s="404"/>
      <c r="N756" s="404"/>
      <c r="O756" s="404"/>
      <c r="P756" s="404"/>
      <c r="Q756" s="404"/>
      <c r="R756" s="404"/>
      <c r="S756" s="404"/>
      <c r="T756" s="404"/>
      <c r="U756" s="404"/>
      <c r="V756" s="404"/>
      <c r="W756" s="404"/>
      <c r="X756" s="404"/>
      <c r="Y756" s="404"/>
      <c r="Z756" s="404"/>
      <c r="AA756" s="404"/>
    </row>
    <row r="757">
      <c r="A757" s="404"/>
      <c r="B757" s="419"/>
      <c r="C757" s="404"/>
      <c r="D757" s="404"/>
      <c r="E757" s="404"/>
      <c r="F757" s="404"/>
      <c r="G757" s="404"/>
      <c r="H757" s="404"/>
      <c r="I757" s="404"/>
      <c r="J757" s="404"/>
      <c r="K757" s="404"/>
      <c r="L757" s="404"/>
      <c r="M757" s="404"/>
      <c r="N757" s="404"/>
      <c r="O757" s="404"/>
      <c r="P757" s="404"/>
      <c r="Q757" s="404"/>
      <c r="R757" s="404"/>
      <c r="S757" s="404"/>
      <c r="T757" s="404"/>
      <c r="U757" s="404"/>
      <c r="V757" s="404"/>
      <c r="W757" s="404"/>
      <c r="X757" s="404"/>
      <c r="Y757" s="404"/>
      <c r="Z757" s="404"/>
      <c r="AA757" s="404"/>
    </row>
    <row r="758">
      <c r="A758" s="404"/>
      <c r="B758" s="419"/>
      <c r="C758" s="404"/>
      <c r="D758" s="404"/>
      <c r="E758" s="404"/>
      <c r="F758" s="404"/>
      <c r="G758" s="404"/>
      <c r="H758" s="404"/>
      <c r="I758" s="404"/>
      <c r="J758" s="404"/>
      <c r="K758" s="404"/>
      <c r="L758" s="404"/>
      <c r="M758" s="404"/>
      <c r="N758" s="404"/>
      <c r="O758" s="404"/>
      <c r="P758" s="404"/>
      <c r="Q758" s="404"/>
      <c r="R758" s="404"/>
      <c r="S758" s="404"/>
      <c r="T758" s="404"/>
      <c r="U758" s="404"/>
      <c r="V758" s="404"/>
      <c r="W758" s="404"/>
      <c r="X758" s="404"/>
      <c r="Y758" s="404"/>
      <c r="Z758" s="404"/>
      <c r="AA758" s="404"/>
    </row>
    <row r="759">
      <c r="A759" s="404"/>
      <c r="B759" s="419"/>
      <c r="C759" s="404"/>
      <c r="D759" s="404"/>
      <c r="E759" s="404"/>
      <c r="F759" s="404"/>
      <c r="G759" s="404"/>
      <c r="H759" s="404"/>
      <c r="I759" s="404"/>
      <c r="J759" s="404"/>
      <c r="K759" s="404"/>
      <c r="L759" s="404"/>
      <c r="M759" s="404"/>
      <c r="N759" s="404"/>
      <c r="O759" s="404"/>
      <c r="P759" s="404"/>
      <c r="Q759" s="404"/>
      <c r="R759" s="404"/>
      <c r="S759" s="404"/>
      <c r="T759" s="404"/>
      <c r="U759" s="404"/>
      <c r="V759" s="404"/>
      <c r="W759" s="404"/>
      <c r="X759" s="404"/>
      <c r="Y759" s="404"/>
      <c r="Z759" s="404"/>
      <c r="AA759" s="404"/>
    </row>
    <row r="760">
      <c r="A760" s="404"/>
      <c r="B760" s="419"/>
      <c r="C760" s="404"/>
      <c r="D760" s="404"/>
      <c r="E760" s="404"/>
      <c r="F760" s="404"/>
      <c r="G760" s="404"/>
      <c r="H760" s="404"/>
      <c r="I760" s="404"/>
      <c r="J760" s="404"/>
      <c r="K760" s="404"/>
      <c r="L760" s="404"/>
      <c r="M760" s="404"/>
      <c r="N760" s="404"/>
      <c r="O760" s="404"/>
      <c r="P760" s="404"/>
      <c r="Q760" s="404"/>
      <c r="R760" s="404"/>
      <c r="S760" s="404"/>
      <c r="T760" s="404"/>
      <c r="U760" s="404"/>
      <c r="V760" s="404"/>
      <c r="W760" s="404"/>
      <c r="X760" s="404"/>
      <c r="Y760" s="404"/>
      <c r="Z760" s="404"/>
      <c r="AA760" s="404"/>
    </row>
    <row r="761">
      <c r="A761" s="404"/>
      <c r="B761" s="419"/>
      <c r="C761" s="404"/>
      <c r="D761" s="404"/>
      <c r="E761" s="404"/>
      <c r="F761" s="404"/>
      <c r="G761" s="404"/>
      <c r="H761" s="404"/>
      <c r="I761" s="404"/>
      <c r="J761" s="404"/>
      <c r="K761" s="404"/>
      <c r="L761" s="404"/>
      <c r="M761" s="404"/>
      <c r="N761" s="404"/>
      <c r="O761" s="404"/>
      <c r="P761" s="404"/>
      <c r="Q761" s="404"/>
      <c r="R761" s="404"/>
      <c r="S761" s="404"/>
      <c r="T761" s="404"/>
      <c r="U761" s="404"/>
      <c r="V761" s="404"/>
      <c r="W761" s="404"/>
      <c r="X761" s="404"/>
      <c r="Y761" s="404"/>
      <c r="Z761" s="404"/>
      <c r="AA761" s="404"/>
    </row>
    <row r="762">
      <c r="A762" s="404"/>
      <c r="B762" s="419"/>
      <c r="C762" s="404"/>
      <c r="D762" s="404"/>
      <c r="E762" s="404"/>
      <c r="F762" s="404"/>
      <c r="G762" s="404"/>
      <c r="H762" s="404"/>
      <c r="I762" s="404"/>
      <c r="J762" s="404"/>
      <c r="K762" s="404"/>
      <c r="L762" s="404"/>
      <c r="M762" s="404"/>
      <c r="N762" s="404"/>
      <c r="O762" s="404"/>
      <c r="P762" s="404"/>
      <c r="Q762" s="404"/>
      <c r="R762" s="404"/>
      <c r="S762" s="404"/>
      <c r="T762" s="404"/>
      <c r="U762" s="404"/>
      <c r="V762" s="404"/>
      <c r="W762" s="404"/>
      <c r="X762" s="404"/>
      <c r="Y762" s="404"/>
      <c r="Z762" s="404"/>
      <c r="AA762" s="404"/>
    </row>
    <row r="763">
      <c r="A763" s="404"/>
      <c r="B763" s="419"/>
      <c r="C763" s="404"/>
      <c r="D763" s="404"/>
      <c r="E763" s="404"/>
      <c r="F763" s="404"/>
      <c r="G763" s="404"/>
      <c r="H763" s="404"/>
      <c r="I763" s="404"/>
      <c r="J763" s="404"/>
      <c r="K763" s="404"/>
      <c r="L763" s="404"/>
      <c r="M763" s="404"/>
      <c r="N763" s="404"/>
      <c r="O763" s="404"/>
      <c r="P763" s="404"/>
      <c r="Q763" s="404"/>
      <c r="R763" s="404"/>
      <c r="S763" s="404"/>
      <c r="T763" s="404"/>
      <c r="U763" s="404"/>
      <c r="V763" s="404"/>
      <c r="W763" s="404"/>
      <c r="X763" s="404"/>
      <c r="Y763" s="404"/>
      <c r="Z763" s="404"/>
      <c r="AA763" s="404"/>
    </row>
    <row r="764">
      <c r="A764" s="404"/>
      <c r="B764" s="419"/>
      <c r="C764" s="404"/>
      <c r="D764" s="404"/>
      <c r="E764" s="404"/>
      <c r="F764" s="404"/>
      <c r="G764" s="404"/>
      <c r="H764" s="404"/>
      <c r="I764" s="404"/>
      <c r="J764" s="404"/>
      <c r="K764" s="404"/>
      <c r="L764" s="404"/>
      <c r="M764" s="404"/>
      <c r="N764" s="404"/>
      <c r="O764" s="404"/>
      <c r="P764" s="404"/>
      <c r="Q764" s="404"/>
      <c r="R764" s="404"/>
      <c r="S764" s="404"/>
      <c r="T764" s="404"/>
      <c r="U764" s="404"/>
      <c r="V764" s="404"/>
      <c r="W764" s="404"/>
      <c r="X764" s="404"/>
      <c r="Y764" s="404"/>
      <c r="Z764" s="404"/>
      <c r="AA764" s="404"/>
    </row>
    <row r="765">
      <c r="A765" s="404"/>
      <c r="B765" s="419"/>
      <c r="C765" s="404"/>
      <c r="D765" s="404"/>
      <c r="E765" s="404"/>
      <c r="F765" s="404"/>
      <c r="G765" s="404"/>
      <c r="H765" s="404"/>
      <c r="I765" s="404"/>
      <c r="J765" s="404"/>
      <c r="K765" s="404"/>
      <c r="L765" s="404"/>
      <c r="M765" s="404"/>
      <c r="N765" s="404"/>
      <c r="O765" s="404"/>
      <c r="P765" s="404"/>
      <c r="Q765" s="404"/>
      <c r="R765" s="404"/>
      <c r="S765" s="404"/>
      <c r="T765" s="404"/>
      <c r="U765" s="404"/>
      <c r="V765" s="404"/>
      <c r="W765" s="404"/>
      <c r="X765" s="404"/>
      <c r="Y765" s="404"/>
      <c r="Z765" s="404"/>
      <c r="AA765" s="404"/>
    </row>
    <row r="766">
      <c r="A766" s="404"/>
      <c r="B766" s="419"/>
      <c r="C766" s="404"/>
      <c r="D766" s="404"/>
      <c r="E766" s="404"/>
      <c r="F766" s="404"/>
      <c r="G766" s="404"/>
      <c r="H766" s="404"/>
      <c r="I766" s="404"/>
      <c r="J766" s="404"/>
      <c r="K766" s="404"/>
      <c r="L766" s="404"/>
      <c r="M766" s="404"/>
      <c r="N766" s="404"/>
      <c r="O766" s="404"/>
      <c r="P766" s="404"/>
      <c r="Q766" s="404"/>
      <c r="R766" s="404"/>
      <c r="S766" s="404"/>
      <c r="T766" s="404"/>
      <c r="U766" s="404"/>
      <c r="V766" s="404"/>
      <c r="W766" s="404"/>
      <c r="X766" s="404"/>
      <c r="Y766" s="404"/>
      <c r="Z766" s="404"/>
      <c r="AA766" s="404"/>
    </row>
    <row r="767">
      <c r="A767" s="404"/>
      <c r="B767" s="419"/>
      <c r="C767" s="404"/>
      <c r="D767" s="404"/>
      <c r="E767" s="404"/>
      <c r="F767" s="404"/>
      <c r="G767" s="404"/>
      <c r="H767" s="404"/>
      <c r="I767" s="404"/>
      <c r="J767" s="404"/>
      <c r="K767" s="404"/>
      <c r="L767" s="404"/>
      <c r="M767" s="404"/>
      <c r="N767" s="404"/>
      <c r="O767" s="404"/>
      <c r="P767" s="404"/>
      <c r="Q767" s="404"/>
      <c r="R767" s="404"/>
      <c r="S767" s="404"/>
      <c r="T767" s="404"/>
      <c r="U767" s="404"/>
      <c r="V767" s="404"/>
      <c r="W767" s="404"/>
      <c r="X767" s="404"/>
      <c r="Y767" s="404"/>
      <c r="Z767" s="404"/>
      <c r="AA767" s="404"/>
    </row>
    <row r="768">
      <c r="A768" s="404"/>
      <c r="B768" s="419"/>
      <c r="C768" s="404"/>
      <c r="D768" s="404"/>
      <c r="E768" s="404"/>
      <c r="F768" s="404"/>
      <c r="G768" s="404"/>
      <c r="H768" s="404"/>
      <c r="I768" s="404"/>
      <c r="J768" s="404"/>
      <c r="K768" s="404"/>
      <c r="L768" s="404"/>
      <c r="M768" s="404"/>
      <c r="N768" s="404"/>
      <c r="O768" s="404"/>
      <c r="P768" s="404"/>
      <c r="Q768" s="404"/>
      <c r="R768" s="404"/>
      <c r="S768" s="404"/>
      <c r="T768" s="404"/>
      <c r="U768" s="404"/>
      <c r="V768" s="404"/>
      <c r="W768" s="404"/>
      <c r="X768" s="404"/>
      <c r="Y768" s="404"/>
      <c r="Z768" s="404"/>
      <c r="AA768" s="404"/>
    </row>
    <row r="769">
      <c r="A769" s="404"/>
      <c r="B769" s="419"/>
      <c r="C769" s="404"/>
      <c r="D769" s="404"/>
      <c r="E769" s="404"/>
      <c r="F769" s="404"/>
      <c r="G769" s="404"/>
      <c r="H769" s="404"/>
      <c r="I769" s="404"/>
      <c r="J769" s="404"/>
      <c r="K769" s="404"/>
      <c r="L769" s="404"/>
      <c r="M769" s="404"/>
      <c r="N769" s="404"/>
      <c r="O769" s="404"/>
      <c r="P769" s="404"/>
      <c r="Q769" s="404"/>
      <c r="R769" s="404"/>
      <c r="S769" s="404"/>
      <c r="T769" s="404"/>
      <c r="U769" s="404"/>
      <c r="V769" s="404"/>
      <c r="W769" s="404"/>
      <c r="X769" s="404"/>
      <c r="Y769" s="404"/>
      <c r="Z769" s="404"/>
      <c r="AA769" s="404"/>
    </row>
    <row r="770">
      <c r="A770" s="404"/>
      <c r="B770" s="419"/>
      <c r="C770" s="404"/>
      <c r="D770" s="404"/>
      <c r="E770" s="404"/>
      <c r="F770" s="404"/>
      <c r="G770" s="404"/>
      <c r="H770" s="404"/>
      <c r="I770" s="404"/>
      <c r="J770" s="404"/>
      <c r="K770" s="404"/>
      <c r="L770" s="404"/>
      <c r="M770" s="404"/>
      <c r="N770" s="404"/>
      <c r="O770" s="404"/>
      <c r="P770" s="404"/>
      <c r="Q770" s="404"/>
      <c r="R770" s="404"/>
      <c r="S770" s="404"/>
      <c r="T770" s="404"/>
      <c r="U770" s="404"/>
      <c r="V770" s="404"/>
      <c r="W770" s="404"/>
      <c r="X770" s="404"/>
      <c r="Y770" s="404"/>
      <c r="Z770" s="404"/>
      <c r="AA770" s="404"/>
    </row>
    <row r="771">
      <c r="A771" s="404"/>
      <c r="B771" s="419"/>
      <c r="C771" s="404"/>
      <c r="D771" s="404"/>
      <c r="E771" s="404"/>
      <c r="F771" s="404"/>
      <c r="G771" s="404"/>
      <c r="H771" s="404"/>
      <c r="I771" s="404"/>
      <c r="J771" s="404"/>
      <c r="K771" s="404"/>
      <c r="L771" s="404"/>
      <c r="M771" s="404"/>
      <c r="N771" s="404"/>
      <c r="O771" s="404"/>
      <c r="P771" s="404"/>
      <c r="Q771" s="404"/>
      <c r="R771" s="404"/>
      <c r="S771" s="404"/>
      <c r="T771" s="404"/>
      <c r="U771" s="404"/>
      <c r="V771" s="404"/>
      <c r="W771" s="404"/>
      <c r="X771" s="404"/>
      <c r="Y771" s="404"/>
      <c r="Z771" s="404"/>
      <c r="AA771" s="404"/>
    </row>
    <row r="772">
      <c r="A772" s="404"/>
      <c r="B772" s="419"/>
      <c r="C772" s="404"/>
      <c r="D772" s="404"/>
      <c r="E772" s="404"/>
      <c r="F772" s="404"/>
      <c r="G772" s="404"/>
      <c r="H772" s="404"/>
      <c r="I772" s="404"/>
      <c r="J772" s="404"/>
      <c r="K772" s="404"/>
      <c r="L772" s="404"/>
      <c r="M772" s="404"/>
      <c r="N772" s="404"/>
      <c r="O772" s="404"/>
      <c r="P772" s="404"/>
      <c r="Q772" s="404"/>
      <c r="R772" s="404"/>
      <c r="S772" s="404"/>
      <c r="T772" s="404"/>
      <c r="U772" s="404"/>
      <c r="V772" s="404"/>
      <c r="W772" s="404"/>
      <c r="X772" s="404"/>
      <c r="Y772" s="404"/>
      <c r="Z772" s="404"/>
      <c r="AA772" s="404"/>
    </row>
    <row r="773">
      <c r="A773" s="404"/>
      <c r="B773" s="419"/>
      <c r="C773" s="404"/>
      <c r="D773" s="404"/>
      <c r="E773" s="404"/>
      <c r="F773" s="404"/>
      <c r="G773" s="404"/>
      <c r="H773" s="404"/>
      <c r="I773" s="404"/>
      <c r="J773" s="404"/>
      <c r="K773" s="404"/>
      <c r="L773" s="404"/>
      <c r="M773" s="404"/>
      <c r="N773" s="404"/>
      <c r="O773" s="404"/>
      <c r="P773" s="404"/>
      <c r="Q773" s="404"/>
      <c r="R773" s="404"/>
      <c r="S773" s="404"/>
      <c r="T773" s="404"/>
      <c r="U773" s="404"/>
      <c r="V773" s="404"/>
      <c r="W773" s="404"/>
      <c r="X773" s="404"/>
      <c r="Y773" s="404"/>
      <c r="Z773" s="404"/>
      <c r="AA773" s="404"/>
    </row>
    <row r="774">
      <c r="A774" s="404"/>
      <c r="B774" s="419"/>
      <c r="C774" s="404"/>
      <c r="D774" s="404"/>
      <c r="E774" s="404"/>
      <c r="F774" s="404"/>
      <c r="G774" s="404"/>
      <c r="H774" s="404"/>
      <c r="I774" s="404"/>
      <c r="J774" s="404"/>
      <c r="K774" s="404"/>
      <c r="L774" s="404"/>
      <c r="M774" s="404"/>
      <c r="N774" s="404"/>
      <c r="O774" s="404"/>
      <c r="P774" s="404"/>
      <c r="Q774" s="404"/>
      <c r="R774" s="404"/>
      <c r="S774" s="404"/>
      <c r="T774" s="404"/>
      <c r="U774" s="404"/>
      <c r="V774" s="404"/>
      <c r="W774" s="404"/>
      <c r="X774" s="404"/>
      <c r="Y774" s="404"/>
      <c r="Z774" s="404"/>
      <c r="AA774" s="404"/>
    </row>
    <row r="775">
      <c r="A775" s="404"/>
      <c r="B775" s="419"/>
      <c r="C775" s="404"/>
      <c r="D775" s="404"/>
      <c r="E775" s="404"/>
      <c r="F775" s="404"/>
      <c r="G775" s="404"/>
      <c r="H775" s="404"/>
      <c r="I775" s="404"/>
      <c r="J775" s="404"/>
      <c r="K775" s="404"/>
      <c r="L775" s="404"/>
      <c r="M775" s="404"/>
      <c r="N775" s="404"/>
      <c r="O775" s="404"/>
      <c r="P775" s="404"/>
      <c r="Q775" s="404"/>
      <c r="R775" s="404"/>
      <c r="S775" s="404"/>
      <c r="T775" s="404"/>
      <c r="U775" s="404"/>
      <c r="V775" s="404"/>
      <c r="W775" s="404"/>
      <c r="X775" s="404"/>
      <c r="Y775" s="404"/>
      <c r="Z775" s="404"/>
      <c r="AA775" s="404"/>
    </row>
    <row r="776">
      <c r="A776" s="404"/>
      <c r="B776" s="419"/>
      <c r="C776" s="404"/>
      <c r="D776" s="404"/>
      <c r="E776" s="404"/>
      <c r="F776" s="404"/>
      <c r="G776" s="404"/>
      <c r="H776" s="404"/>
      <c r="I776" s="404"/>
      <c r="J776" s="404"/>
      <c r="K776" s="404"/>
      <c r="L776" s="404"/>
      <c r="M776" s="404"/>
      <c r="N776" s="404"/>
      <c r="O776" s="404"/>
      <c r="P776" s="404"/>
      <c r="Q776" s="404"/>
      <c r="R776" s="404"/>
      <c r="S776" s="404"/>
      <c r="T776" s="404"/>
      <c r="U776" s="404"/>
      <c r="V776" s="404"/>
      <c r="W776" s="404"/>
      <c r="X776" s="404"/>
      <c r="Y776" s="404"/>
      <c r="Z776" s="404"/>
      <c r="AA776" s="404"/>
    </row>
    <row r="777">
      <c r="A777" s="404"/>
      <c r="B777" s="419"/>
      <c r="C777" s="404"/>
      <c r="D777" s="404"/>
      <c r="E777" s="404"/>
      <c r="F777" s="404"/>
      <c r="G777" s="404"/>
      <c r="H777" s="404"/>
      <c r="I777" s="404"/>
      <c r="J777" s="404"/>
      <c r="K777" s="404"/>
      <c r="L777" s="404"/>
      <c r="M777" s="404"/>
      <c r="N777" s="404"/>
      <c r="O777" s="404"/>
      <c r="P777" s="404"/>
      <c r="Q777" s="404"/>
      <c r="R777" s="404"/>
      <c r="S777" s="404"/>
      <c r="T777" s="404"/>
      <c r="U777" s="404"/>
      <c r="V777" s="404"/>
      <c r="W777" s="404"/>
      <c r="X777" s="404"/>
      <c r="Y777" s="404"/>
      <c r="Z777" s="404"/>
      <c r="AA777" s="404"/>
    </row>
    <row r="778">
      <c r="A778" s="404"/>
      <c r="B778" s="419"/>
      <c r="C778" s="404"/>
      <c r="D778" s="404"/>
      <c r="E778" s="404"/>
      <c r="F778" s="404"/>
      <c r="G778" s="404"/>
      <c r="H778" s="404"/>
      <c r="I778" s="404"/>
      <c r="J778" s="404"/>
      <c r="K778" s="404"/>
      <c r="L778" s="404"/>
      <c r="M778" s="404"/>
      <c r="N778" s="404"/>
      <c r="O778" s="404"/>
      <c r="P778" s="404"/>
      <c r="Q778" s="404"/>
      <c r="R778" s="404"/>
      <c r="S778" s="404"/>
      <c r="T778" s="404"/>
      <c r="U778" s="404"/>
      <c r="V778" s="404"/>
      <c r="W778" s="404"/>
      <c r="X778" s="404"/>
      <c r="Y778" s="404"/>
      <c r="Z778" s="404"/>
      <c r="AA778" s="404"/>
    </row>
    <row r="779">
      <c r="A779" s="404"/>
      <c r="B779" s="419"/>
      <c r="C779" s="404"/>
      <c r="D779" s="404"/>
      <c r="E779" s="404"/>
      <c r="F779" s="404"/>
      <c r="G779" s="404"/>
      <c r="H779" s="404"/>
      <c r="I779" s="404"/>
      <c r="J779" s="404"/>
      <c r="K779" s="404"/>
      <c r="L779" s="404"/>
      <c r="M779" s="404"/>
      <c r="N779" s="404"/>
      <c r="O779" s="404"/>
      <c r="P779" s="404"/>
      <c r="Q779" s="404"/>
      <c r="R779" s="404"/>
      <c r="S779" s="404"/>
      <c r="T779" s="404"/>
      <c r="U779" s="404"/>
      <c r="V779" s="404"/>
      <c r="W779" s="404"/>
      <c r="X779" s="404"/>
      <c r="Y779" s="404"/>
      <c r="Z779" s="404"/>
      <c r="AA779" s="404"/>
    </row>
    <row r="780">
      <c r="A780" s="404"/>
      <c r="B780" s="419"/>
      <c r="C780" s="404"/>
      <c r="D780" s="404"/>
      <c r="E780" s="404"/>
      <c r="F780" s="404"/>
      <c r="G780" s="404"/>
      <c r="H780" s="404"/>
      <c r="I780" s="404"/>
      <c r="J780" s="404"/>
      <c r="K780" s="404"/>
      <c r="L780" s="404"/>
      <c r="M780" s="404"/>
      <c r="N780" s="404"/>
      <c r="O780" s="404"/>
      <c r="P780" s="404"/>
      <c r="Q780" s="404"/>
      <c r="R780" s="404"/>
      <c r="S780" s="404"/>
      <c r="T780" s="404"/>
      <c r="U780" s="404"/>
      <c r="V780" s="404"/>
      <c r="W780" s="404"/>
      <c r="X780" s="404"/>
      <c r="Y780" s="404"/>
      <c r="Z780" s="404"/>
      <c r="AA780" s="404"/>
    </row>
    <row r="781">
      <c r="A781" s="404"/>
      <c r="B781" s="419"/>
      <c r="C781" s="404"/>
      <c r="D781" s="404"/>
      <c r="E781" s="404"/>
      <c r="F781" s="404"/>
      <c r="G781" s="404"/>
      <c r="H781" s="404"/>
      <c r="I781" s="404"/>
      <c r="J781" s="404"/>
      <c r="K781" s="404"/>
      <c r="L781" s="404"/>
      <c r="M781" s="404"/>
      <c r="N781" s="404"/>
      <c r="O781" s="404"/>
      <c r="P781" s="404"/>
      <c r="Q781" s="404"/>
      <c r="R781" s="404"/>
      <c r="S781" s="404"/>
      <c r="T781" s="404"/>
      <c r="U781" s="404"/>
      <c r="V781" s="404"/>
      <c r="W781" s="404"/>
      <c r="X781" s="404"/>
      <c r="Y781" s="404"/>
      <c r="Z781" s="404"/>
      <c r="AA781" s="404"/>
    </row>
    <row r="782">
      <c r="A782" s="404"/>
      <c r="B782" s="419"/>
      <c r="C782" s="404"/>
      <c r="D782" s="404"/>
      <c r="E782" s="404"/>
      <c r="F782" s="404"/>
      <c r="G782" s="404"/>
      <c r="H782" s="404"/>
      <c r="I782" s="404"/>
      <c r="J782" s="404"/>
      <c r="K782" s="404"/>
      <c r="L782" s="404"/>
      <c r="M782" s="404"/>
      <c r="N782" s="404"/>
      <c r="O782" s="404"/>
      <c r="P782" s="404"/>
      <c r="Q782" s="404"/>
      <c r="R782" s="404"/>
      <c r="S782" s="404"/>
      <c r="T782" s="404"/>
      <c r="U782" s="404"/>
      <c r="V782" s="404"/>
      <c r="W782" s="404"/>
      <c r="X782" s="404"/>
      <c r="Y782" s="404"/>
      <c r="Z782" s="404"/>
      <c r="AA782" s="404"/>
    </row>
    <row r="783">
      <c r="A783" s="404"/>
      <c r="B783" s="419"/>
      <c r="C783" s="404"/>
      <c r="D783" s="404"/>
      <c r="E783" s="404"/>
      <c r="F783" s="404"/>
      <c r="G783" s="404"/>
      <c r="H783" s="404"/>
      <c r="I783" s="404"/>
      <c r="J783" s="404"/>
      <c r="K783" s="404"/>
      <c r="L783" s="404"/>
      <c r="M783" s="404"/>
      <c r="N783" s="404"/>
      <c r="O783" s="404"/>
      <c r="P783" s="404"/>
      <c r="Q783" s="404"/>
      <c r="R783" s="404"/>
      <c r="S783" s="404"/>
      <c r="T783" s="404"/>
      <c r="U783" s="404"/>
      <c r="V783" s="404"/>
      <c r="W783" s="404"/>
      <c r="X783" s="404"/>
      <c r="Y783" s="404"/>
      <c r="Z783" s="404"/>
      <c r="AA783" s="404"/>
    </row>
    <row r="784">
      <c r="A784" s="404"/>
      <c r="B784" s="419"/>
      <c r="C784" s="404"/>
      <c r="D784" s="404"/>
      <c r="E784" s="404"/>
      <c r="F784" s="404"/>
      <c r="G784" s="404"/>
      <c r="H784" s="404"/>
      <c r="I784" s="404"/>
      <c r="J784" s="404"/>
      <c r="K784" s="404"/>
      <c r="L784" s="404"/>
      <c r="M784" s="404"/>
      <c r="N784" s="404"/>
      <c r="O784" s="404"/>
      <c r="P784" s="404"/>
      <c r="Q784" s="404"/>
      <c r="R784" s="404"/>
      <c r="S784" s="404"/>
      <c r="T784" s="404"/>
      <c r="U784" s="404"/>
      <c r="V784" s="404"/>
      <c r="W784" s="404"/>
      <c r="X784" s="404"/>
      <c r="Y784" s="404"/>
      <c r="Z784" s="404"/>
      <c r="AA784" s="404"/>
    </row>
    <row r="785">
      <c r="A785" s="404"/>
      <c r="B785" s="419"/>
      <c r="C785" s="404"/>
      <c r="D785" s="404"/>
      <c r="E785" s="404"/>
      <c r="F785" s="404"/>
      <c r="G785" s="404"/>
      <c r="H785" s="404"/>
      <c r="I785" s="404"/>
      <c r="J785" s="404"/>
      <c r="K785" s="404"/>
      <c r="L785" s="404"/>
      <c r="M785" s="404"/>
      <c r="N785" s="404"/>
      <c r="O785" s="404"/>
      <c r="P785" s="404"/>
      <c r="Q785" s="404"/>
      <c r="R785" s="404"/>
      <c r="S785" s="404"/>
      <c r="T785" s="404"/>
      <c r="U785" s="404"/>
      <c r="V785" s="404"/>
      <c r="W785" s="404"/>
      <c r="X785" s="404"/>
      <c r="Y785" s="404"/>
      <c r="Z785" s="404"/>
      <c r="AA785" s="404"/>
    </row>
    <row r="786">
      <c r="A786" s="404"/>
      <c r="B786" s="419"/>
      <c r="C786" s="404"/>
      <c r="D786" s="404"/>
      <c r="E786" s="404"/>
      <c r="F786" s="404"/>
      <c r="G786" s="404"/>
      <c r="H786" s="404"/>
      <c r="I786" s="404"/>
      <c r="J786" s="404"/>
      <c r="K786" s="404"/>
      <c r="L786" s="404"/>
      <c r="M786" s="404"/>
      <c r="N786" s="404"/>
      <c r="O786" s="404"/>
      <c r="P786" s="404"/>
      <c r="Q786" s="404"/>
      <c r="R786" s="404"/>
      <c r="S786" s="404"/>
      <c r="T786" s="404"/>
      <c r="U786" s="404"/>
      <c r="V786" s="404"/>
      <c r="W786" s="404"/>
      <c r="X786" s="404"/>
      <c r="Y786" s="404"/>
      <c r="Z786" s="404"/>
      <c r="AA786" s="404"/>
    </row>
    <row r="787">
      <c r="A787" s="404"/>
      <c r="B787" s="419"/>
      <c r="C787" s="404"/>
      <c r="D787" s="404"/>
      <c r="E787" s="404"/>
      <c r="F787" s="404"/>
      <c r="G787" s="404"/>
      <c r="H787" s="404"/>
      <c r="I787" s="404"/>
      <c r="J787" s="404"/>
      <c r="K787" s="404"/>
      <c r="L787" s="404"/>
      <c r="M787" s="404"/>
      <c r="N787" s="404"/>
      <c r="O787" s="404"/>
      <c r="P787" s="404"/>
      <c r="Q787" s="404"/>
      <c r="R787" s="404"/>
      <c r="S787" s="404"/>
      <c r="T787" s="404"/>
      <c r="U787" s="404"/>
      <c r="V787" s="404"/>
      <c r="W787" s="404"/>
      <c r="X787" s="404"/>
      <c r="Y787" s="404"/>
      <c r="Z787" s="404"/>
      <c r="AA787" s="404"/>
    </row>
    <row r="788">
      <c r="A788" s="404"/>
      <c r="B788" s="419"/>
      <c r="C788" s="404"/>
      <c r="D788" s="404"/>
      <c r="E788" s="404"/>
      <c r="F788" s="404"/>
      <c r="G788" s="404"/>
      <c r="H788" s="404"/>
      <c r="I788" s="404"/>
      <c r="J788" s="404"/>
      <c r="K788" s="404"/>
      <c r="L788" s="404"/>
      <c r="M788" s="404"/>
      <c r="N788" s="404"/>
      <c r="O788" s="404"/>
      <c r="P788" s="404"/>
      <c r="Q788" s="404"/>
      <c r="R788" s="404"/>
      <c r="S788" s="404"/>
      <c r="T788" s="404"/>
      <c r="U788" s="404"/>
      <c r="V788" s="404"/>
      <c r="W788" s="404"/>
      <c r="X788" s="404"/>
      <c r="Y788" s="404"/>
      <c r="Z788" s="404"/>
      <c r="AA788" s="404"/>
    </row>
    <row r="789">
      <c r="A789" s="404"/>
      <c r="B789" s="419"/>
      <c r="C789" s="404"/>
      <c r="D789" s="404"/>
      <c r="E789" s="404"/>
      <c r="F789" s="404"/>
      <c r="G789" s="404"/>
      <c r="H789" s="404"/>
      <c r="I789" s="404"/>
      <c r="J789" s="404"/>
      <c r="K789" s="404"/>
      <c r="L789" s="404"/>
      <c r="M789" s="404"/>
      <c r="N789" s="404"/>
      <c r="O789" s="404"/>
      <c r="P789" s="404"/>
      <c r="Q789" s="404"/>
      <c r="R789" s="404"/>
      <c r="S789" s="404"/>
      <c r="T789" s="404"/>
      <c r="U789" s="404"/>
      <c r="V789" s="404"/>
      <c r="W789" s="404"/>
      <c r="X789" s="404"/>
      <c r="Y789" s="404"/>
      <c r="Z789" s="404"/>
      <c r="AA789" s="404"/>
    </row>
    <row r="790">
      <c r="A790" s="404"/>
      <c r="B790" s="419"/>
      <c r="C790" s="404"/>
      <c r="D790" s="404"/>
      <c r="E790" s="404"/>
      <c r="F790" s="404"/>
      <c r="G790" s="404"/>
      <c r="H790" s="404"/>
      <c r="I790" s="404"/>
      <c r="J790" s="404"/>
      <c r="K790" s="404"/>
      <c r="L790" s="404"/>
      <c r="M790" s="404"/>
      <c r="N790" s="404"/>
      <c r="O790" s="404"/>
      <c r="P790" s="404"/>
      <c r="Q790" s="404"/>
      <c r="R790" s="404"/>
      <c r="S790" s="404"/>
      <c r="T790" s="404"/>
      <c r="U790" s="404"/>
      <c r="V790" s="404"/>
      <c r="W790" s="404"/>
      <c r="X790" s="404"/>
      <c r="Y790" s="404"/>
      <c r="Z790" s="404"/>
      <c r="AA790" s="404"/>
    </row>
    <row r="791">
      <c r="A791" s="404"/>
      <c r="B791" s="419"/>
      <c r="C791" s="404"/>
      <c r="D791" s="404"/>
      <c r="E791" s="404"/>
      <c r="F791" s="404"/>
      <c r="G791" s="404"/>
      <c r="H791" s="404"/>
      <c r="I791" s="404"/>
      <c r="J791" s="404"/>
      <c r="K791" s="404"/>
      <c r="L791" s="404"/>
      <c r="M791" s="404"/>
      <c r="N791" s="404"/>
      <c r="O791" s="404"/>
      <c r="P791" s="404"/>
      <c r="Q791" s="404"/>
      <c r="R791" s="404"/>
      <c r="S791" s="404"/>
      <c r="T791" s="404"/>
      <c r="U791" s="404"/>
      <c r="V791" s="404"/>
      <c r="W791" s="404"/>
      <c r="X791" s="404"/>
      <c r="Y791" s="404"/>
      <c r="Z791" s="404"/>
      <c r="AA791" s="404"/>
    </row>
    <row r="792">
      <c r="A792" s="404"/>
      <c r="B792" s="419"/>
      <c r="C792" s="404"/>
      <c r="D792" s="404"/>
      <c r="E792" s="404"/>
      <c r="F792" s="404"/>
      <c r="G792" s="404"/>
      <c r="H792" s="404"/>
      <c r="I792" s="404"/>
      <c r="J792" s="404"/>
      <c r="K792" s="404"/>
      <c r="L792" s="404"/>
      <c r="M792" s="404"/>
      <c r="N792" s="404"/>
      <c r="O792" s="404"/>
      <c r="P792" s="404"/>
      <c r="Q792" s="404"/>
      <c r="R792" s="404"/>
      <c r="S792" s="404"/>
      <c r="T792" s="404"/>
      <c r="U792" s="404"/>
      <c r="V792" s="404"/>
      <c r="W792" s="404"/>
      <c r="X792" s="404"/>
      <c r="Y792" s="404"/>
      <c r="Z792" s="404"/>
      <c r="AA792" s="404"/>
    </row>
    <row r="793">
      <c r="A793" s="404"/>
      <c r="B793" s="419"/>
      <c r="C793" s="404"/>
      <c r="D793" s="404"/>
      <c r="E793" s="404"/>
      <c r="F793" s="404"/>
      <c r="G793" s="404"/>
      <c r="H793" s="404"/>
      <c r="I793" s="404"/>
      <c r="J793" s="404"/>
      <c r="K793" s="404"/>
      <c r="L793" s="404"/>
      <c r="M793" s="404"/>
      <c r="N793" s="404"/>
      <c r="O793" s="404"/>
      <c r="P793" s="404"/>
      <c r="Q793" s="404"/>
      <c r="R793" s="404"/>
      <c r="S793" s="404"/>
      <c r="T793" s="404"/>
      <c r="U793" s="404"/>
      <c r="V793" s="404"/>
      <c r="W793" s="404"/>
      <c r="X793" s="404"/>
      <c r="Y793" s="404"/>
      <c r="Z793" s="404"/>
      <c r="AA793" s="404"/>
    </row>
    <row r="794">
      <c r="A794" s="404"/>
      <c r="B794" s="419"/>
      <c r="C794" s="404"/>
      <c r="D794" s="404"/>
      <c r="E794" s="404"/>
      <c r="F794" s="404"/>
      <c r="G794" s="404"/>
      <c r="H794" s="404"/>
      <c r="I794" s="404"/>
      <c r="J794" s="404"/>
      <c r="K794" s="404"/>
      <c r="L794" s="404"/>
      <c r="M794" s="404"/>
      <c r="N794" s="404"/>
      <c r="O794" s="404"/>
      <c r="P794" s="404"/>
      <c r="Q794" s="404"/>
      <c r="R794" s="404"/>
      <c r="S794" s="404"/>
      <c r="T794" s="404"/>
      <c r="U794" s="404"/>
      <c r="V794" s="404"/>
      <c r="W794" s="404"/>
      <c r="X794" s="404"/>
      <c r="Y794" s="404"/>
      <c r="Z794" s="404"/>
      <c r="AA794" s="404"/>
    </row>
    <row r="795">
      <c r="A795" s="404"/>
      <c r="B795" s="419"/>
      <c r="C795" s="404"/>
      <c r="D795" s="404"/>
      <c r="E795" s="404"/>
      <c r="F795" s="404"/>
      <c r="G795" s="404"/>
      <c r="H795" s="404"/>
      <c r="I795" s="404"/>
      <c r="J795" s="404"/>
      <c r="K795" s="404"/>
      <c r="L795" s="404"/>
      <c r="M795" s="404"/>
      <c r="N795" s="404"/>
      <c r="O795" s="404"/>
      <c r="P795" s="404"/>
      <c r="Q795" s="404"/>
      <c r="R795" s="404"/>
      <c r="S795" s="404"/>
      <c r="T795" s="404"/>
      <c r="U795" s="404"/>
      <c r="V795" s="404"/>
      <c r="W795" s="404"/>
      <c r="X795" s="404"/>
      <c r="Y795" s="404"/>
      <c r="Z795" s="404"/>
      <c r="AA795" s="404"/>
    </row>
    <row r="796">
      <c r="A796" s="404"/>
      <c r="B796" s="419"/>
      <c r="C796" s="404"/>
      <c r="D796" s="404"/>
      <c r="E796" s="404"/>
      <c r="F796" s="404"/>
      <c r="G796" s="404"/>
      <c r="H796" s="404"/>
      <c r="I796" s="404"/>
      <c r="J796" s="404"/>
      <c r="K796" s="404"/>
      <c r="L796" s="404"/>
      <c r="M796" s="404"/>
      <c r="N796" s="404"/>
      <c r="O796" s="404"/>
      <c r="P796" s="404"/>
      <c r="Q796" s="404"/>
      <c r="R796" s="404"/>
      <c r="S796" s="404"/>
      <c r="T796" s="404"/>
      <c r="U796" s="404"/>
      <c r="V796" s="404"/>
      <c r="W796" s="404"/>
      <c r="X796" s="404"/>
      <c r="Y796" s="404"/>
      <c r="Z796" s="404"/>
      <c r="AA796" s="404"/>
    </row>
    <row r="797">
      <c r="A797" s="404"/>
      <c r="B797" s="419"/>
      <c r="C797" s="404"/>
      <c r="D797" s="404"/>
      <c r="E797" s="404"/>
      <c r="F797" s="404"/>
      <c r="G797" s="404"/>
      <c r="H797" s="404"/>
      <c r="I797" s="404"/>
      <c r="J797" s="404"/>
      <c r="K797" s="404"/>
      <c r="L797" s="404"/>
      <c r="M797" s="404"/>
      <c r="N797" s="404"/>
      <c r="O797" s="404"/>
      <c r="P797" s="404"/>
      <c r="Q797" s="404"/>
      <c r="R797" s="404"/>
      <c r="S797" s="404"/>
      <c r="T797" s="404"/>
      <c r="U797" s="404"/>
      <c r="V797" s="404"/>
      <c r="W797" s="404"/>
      <c r="X797" s="404"/>
      <c r="Y797" s="404"/>
      <c r="Z797" s="404"/>
      <c r="AA797" s="404"/>
    </row>
    <row r="798">
      <c r="A798" s="404"/>
      <c r="B798" s="419"/>
      <c r="C798" s="404"/>
      <c r="D798" s="404"/>
      <c r="E798" s="404"/>
      <c r="F798" s="404"/>
      <c r="G798" s="404"/>
      <c r="H798" s="404"/>
      <c r="I798" s="404"/>
      <c r="J798" s="404"/>
      <c r="K798" s="404"/>
      <c r="L798" s="404"/>
      <c r="M798" s="404"/>
      <c r="N798" s="404"/>
      <c r="O798" s="404"/>
      <c r="P798" s="404"/>
      <c r="Q798" s="404"/>
      <c r="R798" s="404"/>
      <c r="S798" s="404"/>
      <c r="T798" s="404"/>
      <c r="U798" s="404"/>
      <c r="V798" s="404"/>
      <c r="W798" s="404"/>
      <c r="X798" s="404"/>
      <c r="Y798" s="404"/>
      <c r="Z798" s="404"/>
      <c r="AA798" s="404"/>
    </row>
    <row r="799">
      <c r="A799" s="404"/>
      <c r="B799" s="419"/>
      <c r="C799" s="404"/>
      <c r="D799" s="404"/>
      <c r="E799" s="404"/>
      <c r="F799" s="404"/>
      <c r="G799" s="404"/>
      <c r="H799" s="404"/>
      <c r="I799" s="404"/>
      <c r="J799" s="404"/>
      <c r="K799" s="404"/>
      <c r="L799" s="404"/>
      <c r="M799" s="404"/>
      <c r="N799" s="404"/>
      <c r="O799" s="404"/>
      <c r="P799" s="404"/>
      <c r="Q799" s="404"/>
      <c r="R799" s="404"/>
      <c r="S799" s="404"/>
      <c r="T799" s="404"/>
      <c r="U799" s="404"/>
      <c r="V799" s="404"/>
      <c r="W799" s="404"/>
      <c r="X799" s="404"/>
      <c r="Y799" s="404"/>
      <c r="Z799" s="404"/>
      <c r="AA799" s="404"/>
    </row>
    <row r="800">
      <c r="A800" s="404"/>
      <c r="B800" s="419"/>
      <c r="C800" s="404"/>
      <c r="D800" s="404"/>
      <c r="E800" s="404"/>
      <c r="F800" s="404"/>
      <c r="G800" s="404"/>
      <c r="H800" s="404"/>
      <c r="I800" s="404"/>
      <c r="J800" s="404"/>
      <c r="K800" s="404"/>
      <c r="L800" s="404"/>
      <c r="M800" s="404"/>
      <c r="N800" s="404"/>
      <c r="O800" s="404"/>
      <c r="P800" s="404"/>
      <c r="Q800" s="404"/>
      <c r="R800" s="404"/>
      <c r="S800" s="404"/>
      <c r="T800" s="404"/>
      <c r="U800" s="404"/>
      <c r="V800" s="404"/>
      <c r="W800" s="404"/>
      <c r="X800" s="404"/>
      <c r="Y800" s="404"/>
      <c r="Z800" s="404"/>
      <c r="AA800" s="404"/>
    </row>
    <row r="801">
      <c r="A801" s="404"/>
      <c r="B801" s="419"/>
      <c r="C801" s="404"/>
      <c r="D801" s="404"/>
      <c r="E801" s="404"/>
      <c r="F801" s="404"/>
      <c r="G801" s="404"/>
      <c r="H801" s="404"/>
      <c r="I801" s="404"/>
      <c r="J801" s="404"/>
      <c r="K801" s="404"/>
      <c r="L801" s="404"/>
      <c r="M801" s="404"/>
      <c r="N801" s="404"/>
      <c r="O801" s="404"/>
      <c r="P801" s="404"/>
      <c r="Q801" s="404"/>
      <c r="R801" s="404"/>
      <c r="S801" s="404"/>
      <c r="T801" s="404"/>
      <c r="U801" s="404"/>
      <c r="V801" s="404"/>
      <c r="W801" s="404"/>
      <c r="X801" s="404"/>
      <c r="Y801" s="404"/>
      <c r="Z801" s="404"/>
      <c r="AA801" s="404"/>
    </row>
    <row r="802">
      <c r="A802" s="404"/>
      <c r="B802" s="419"/>
      <c r="C802" s="404"/>
      <c r="D802" s="404"/>
      <c r="E802" s="404"/>
      <c r="F802" s="404"/>
      <c r="G802" s="404"/>
      <c r="H802" s="404"/>
      <c r="I802" s="404"/>
      <c r="J802" s="404"/>
      <c r="K802" s="404"/>
      <c r="L802" s="404"/>
      <c r="M802" s="404"/>
      <c r="N802" s="404"/>
      <c r="O802" s="404"/>
      <c r="P802" s="404"/>
      <c r="Q802" s="404"/>
      <c r="R802" s="404"/>
      <c r="S802" s="404"/>
      <c r="T802" s="404"/>
      <c r="U802" s="404"/>
      <c r="V802" s="404"/>
      <c r="W802" s="404"/>
      <c r="X802" s="404"/>
      <c r="Y802" s="404"/>
      <c r="Z802" s="404"/>
      <c r="AA802" s="404"/>
    </row>
    <row r="803">
      <c r="A803" s="404"/>
      <c r="B803" s="419"/>
      <c r="C803" s="404"/>
      <c r="D803" s="404"/>
      <c r="E803" s="404"/>
      <c r="F803" s="404"/>
      <c r="G803" s="404"/>
      <c r="H803" s="404"/>
      <c r="I803" s="404"/>
      <c r="J803" s="404"/>
      <c r="K803" s="404"/>
      <c r="L803" s="404"/>
      <c r="M803" s="404"/>
      <c r="N803" s="404"/>
      <c r="O803" s="404"/>
      <c r="P803" s="404"/>
      <c r="Q803" s="404"/>
      <c r="R803" s="404"/>
      <c r="S803" s="404"/>
      <c r="T803" s="404"/>
      <c r="U803" s="404"/>
      <c r="V803" s="404"/>
      <c r="W803" s="404"/>
      <c r="X803" s="404"/>
      <c r="Y803" s="404"/>
      <c r="Z803" s="404"/>
      <c r="AA803" s="404"/>
    </row>
    <row r="804">
      <c r="A804" s="404"/>
      <c r="B804" s="419"/>
      <c r="C804" s="404"/>
      <c r="D804" s="404"/>
      <c r="E804" s="404"/>
      <c r="F804" s="404"/>
      <c r="G804" s="404"/>
      <c r="H804" s="404"/>
      <c r="I804" s="404"/>
      <c r="J804" s="404"/>
      <c r="K804" s="404"/>
      <c r="L804" s="404"/>
      <c r="M804" s="404"/>
      <c r="N804" s="404"/>
      <c r="O804" s="404"/>
      <c r="P804" s="404"/>
      <c r="Q804" s="404"/>
      <c r="R804" s="404"/>
      <c r="S804" s="404"/>
      <c r="T804" s="404"/>
      <c r="U804" s="404"/>
      <c r="V804" s="404"/>
      <c r="W804" s="404"/>
      <c r="X804" s="404"/>
      <c r="Y804" s="404"/>
      <c r="Z804" s="404"/>
      <c r="AA804" s="404"/>
    </row>
    <row r="805">
      <c r="A805" s="404"/>
      <c r="B805" s="419"/>
      <c r="C805" s="404"/>
      <c r="D805" s="404"/>
      <c r="E805" s="404"/>
      <c r="F805" s="404"/>
      <c r="G805" s="404"/>
      <c r="H805" s="404"/>
      <c r="I805" s="404"/>
      <c r="J805" s="404"/>
      <c r="K805" s="404"/>
      <c r="L805" s="404"/>
      <c r="M805" s="404"/>
      <c r="N805" s="404"/>
      <c r="O805" s="404"/>
      <c r="P805" s="404"/>
      <c r="Q805" s="404"/>
      <c r="R805" s="404"/>
      <c r="S805" s="404"/>
      <c r="T805" s="404"/>
      <c r="U805" s="404"/>
      <c r="V805" s="404"/>
      <c r="W805" s="404"/>
      <c r="X805" s="404"/>
      <c r="Y805" s="404"/>
      <c r="Z805" s="404"/>
      <c r="AA805" s="404"/>
    </row>
    <row r="806">
      <c r="A806" s="404"/>
      <c r="B806" s="419"/>
      <c r="C806" s="404"/>
      <c r="D806" s="404"/>
      <c r="E806" s="404"/>
      <c r="F806" s="404"/>
      <c r="G806" s="404"/>
      <c r="H806" s="404"/>
      <c r="I806" s="404"/>
      <c r="J806" s="404"/>
      <c r="K806" s="404"/>
      <c r="L806" s="404"/>
      <c r="M806" s="404"/>
      <c r="N806" s="404"/>
      <c r="O806" s="404"/>
      <c r="P806" s="404"/>
      <c r="Q806" s="404"/>
      <c r="R806" s="404"/>
      <c r="S806" s="404"/>
      <c r="T806" s="404"/>
      <c r="U806" s="404"/>
      <c r="V806" s="404"/>
      <c r="W806" s="404"/>
      <c r="X806" s="404"/>
      <c r="Y806" s="404"/>
      <c r="Z806" s="404"/>
      <c r="AA806" s="404"/>
    </row>
    <row r="807">
      <c r="A807" s="404"/>
      <c r="B807" s="419"/>
      <c r="C807" s="404"/>
      <c r="D807" s="404"/>
      <c r="E807" s="404"/>
      <c r="F807" s="404"/>
      <c r="G807" s="404"/>
      <c r="H807" s="404"/>
      <c r="I807" s="404"/>
      <c r="J807" s="404"/>
      <c r="K807" s="404"/>
      <c r="L807" s="404"/>
      <c r="M807" s="404"/>
      <c r="N807" s="404"/>
      <c r="O807" s="404"/>
      <c r="P807" s="404"/>
      <c r="Q807" s="404"/>
      <c r="R807" s="404"/>
      <c r="S807" s="404"/>
      <c r="T807" s="404"/>
      <c r="U807" s="404"/>
      <c r="V807" s="404"/>
      <c r="W807" s="404"/>
      <c r="X807" s="404"/>
      <c r="Y807" s="404"/>
      <c r="Z807" s="404"/>
      <c r="AA807" s="404"/>
    </row>
    <row r="808">
      <c r="A808" s="404"/>
      <c r="B808" s="419"/>
      <c r="C808" s="404"/>
      <c r="D808" s="404"/>
      <c r="E808" s="404"/>
      <c r="F808" s="404"/>
      <c r="G808" s="404"/>
      <c r="H808" s="404"/>
      <c r="I808" s="404"/>
      <c r="J808" s="404"/>
      <c r="K808" s="404"/>
      <c r="L808" s="404"/>
      <c r="M808" s="404"/>
      <c r="N808" s="404"/>
      <c r="O808" s="404"/>
      <c r="P808" s="404"/>
      <c r="Q808" s="404"/>
      <c r="R808" s="404"/>
      <c r="S808" s="404"/>
      <c r="T808" s="404"/>
      <c r="U808" s="404"/>
      <c r="V808" s="404"/>
      <c r="W808" s="404"/>
      <c r="X808" s="404"/>
      <c r="Y808" s="404"/>
      <c r="Z808" s="404"/>
      <c r="AA808" s="404"/>
    </row>
    <row r="809">
      <c r="A809" s="404"/>
      <c r="B809" s="419"/>
      <c r="C809" s="404"/>
      <c r="D809" s="404"/>
      <c r="E809" s="404"/>
      <c r="F809" s="404"/>
      <c r="G809" s="404"/>
      <c r="H809" s="404"/>
      <c r="I809" s="404"/>
      <c r="J809" s="404"/>
      <c r="K809" s="404"/>
      <c r="L809" s="404"/>
      <c r="M809" s="404"/>
      <c r="N809" s="404"/>
      <c r="O809" s="404"/>
      <c r="P809" s="404"/>
      <c r="Q809" s="404"/>
      <c r="R809" s="404"/>
      <c r="S809" s="404"/>
      <c r="T809" s="404"/>
      <c r="U809" s="404"/>
      <c r="V809" s="404"/>
      <c r="W809" s="404"/>
      <c r="X809" s="404"/>
      <c r="Y809" s="404"/>
      <c r="Z809" s="404"/>
      <c r="AA809" s="404"/>
    </row>
    <row r="810">
      <c r="A810" s="404"/>
      <c r="B810" s="419"/>
      <c r="C810" s="404"/>
      <c r="D810" s="404"/>
      <c r="E810" s="404"/>
      <c r="F810" s="404"/>
      <c r="G810" s="404"/>
      <c r="H810" s="404"/>
      <c r="I810" s="404"/>
      <c r="J810" s="404"/>
      <c r="K810" s="404"/>
      <c r="L810" s="404"/>
      <c r="M810" s="404"/>
      <c r="N810" s="404"/>
      <c r="O810" s="404"/>
      <c r="P810" s="404"/>
      <c r="Q810" s="404"/>
      <c r="R810" s="404"/>
      <c r="S810" s="404"/>
      <c r="T810" s="404"/>
      <c r="U810" s="404"/>
      <c r="V810" s="404"/>
      <c r="W810" s="404"/>
      <c r="X810" s="404"/>
      <c r="Y810" s="404"/>
      <c r="Z810" s="404"/>
      <c r="AA810" s="404"/>
    </row>
    <row r="811">
      <c r="A811" s="404"/>
      <c r="B811" s="419"/>
      <c r="C811" s="404"/>
      <c r="D811" s="404"/>
      <c r="E811" s="404"/>
      <c r="F811" s="404"/>
      <c r="G811" s="404"/>
      <c r="H811" s="404"/>
      <c r="I811" s="404"/>
      <c r="J811" s="404"/>
      <c r="K811" s="404"/>
      <c r="L811" s="404"/>
      <c r="M811" s="404"/>
      <c r="N811" s="404"/>
      <c r="O811" s="404"/>
      <c r="P811" s="404"/>
      <c r="Q811" s="404"/>
      <c r="R811" s="404"/>
      <c r="S811" s="404"/>
      <c r="T811" s="404"/>
      <c r="U811" s="404"/>
      <c r="V811" s="404"/>
      <c r="W811" s="404"/>
      <c r="X811" s="404"/>
      <c r="Y811" s="404"/>
      <c r="Z811" s="404"/>
      <c r="AA811" s="404"/>
    </row>
    <row r="812">
      <c r="A812" s="404"/>
      <c r="B812" s="419"/>
      <c r="C812" s="404"/>
      <c r="D812" s="404"/>
      <c r="E812" s="404"/>
      <c r="F812" s="404"/>
      <c r="G812" s="404"/>
      <c r="H812" s="404"/>
      <c r="I812" s="404"/>
      <c r="J812" s="404"/>
      <c r="K812" s="404"/>
      <c r="L812" s="404"/>
      <c r="M812" s="404"/>
      <c r="N812" s="404"/>
      <c r="O812" s="404"/>
      <c r="P812" s="404"/>
      <c r="Q812" s="404"/>
      <c r="R812" s="404"/>
      <c r="S812" s="404"/>
      <c r="T812" s="404"/>
      <c r="U812" s="404"/>
      <c r="V812" s="404"/>
      <c r="W812" s="404"/>
      <c r="X812" s="404"/>
      <c r="Y812" s="404"/>
      <c r="Z812" s="404"/>
      <c r="AA812" s="404"/>
    </row>
    <row r="813">
      <c r="A813" s="404"/>
      <c r="B813" s="419"/>
      <c r="C813" s="404"/>
      <c r="D813" s="404"/>
      <c r="E813" s="404"/>
      <c r="F813" s="404"/>
      <c r="G813" s="404"/>
      <c r="H813" s="404"/>
      <c r="I813" s="404"/>
      <c r="J813" s="404"/>
      <c r="K813" s="404"/>
      <c r="L813" s="404"/>
      <c r="M813" s="404"/>
      <c r="N813" s="404"/>
      <c r="O813" s="404"/>
      <c r="P813" s="404"/>
      <c r="Q813" s="404"/>
      <c r="R813" s="404"/>
      <c r="S813" s="404"/>
      <c r="T813" s="404"/>
      <c r="U813" s="404"/>
      <c r="V813" s="404"/>
      <c r="W813" s="404"/>
      <c r="X813" s="404"/>
      <c r="Y813" s="404"/>
      <c r="Z813" s="404"/>
      <c r="AA813" s="404"/>
    </row>
    <row r="814">
      <c r="A814" s="404"/>
      <c r="B814" s="419"/>
      <c r="C814" s="404"/>
      <c r="D814" s="404"/>
      <c r="E814" s="404"/>
      <c r="F814" s="404"/>
      <c r="G814" s="404"/>
      <c r="H814" s="404"/>
      <c r="I814" s="404"/>
      <c r="J814" s="404"/>
      <c r="K814" s="404"/>
      <c r="L814" s="404"/>
      <c r="M814" s="404"/>
      <c r="N814" s="404"/>
      <c r="O814" s="404"/>
      <c r="P814" s="404"/>
      <c r="Q814" s="404"/>
      <c r="R814" s="404"/>
      <c r="S814" s="404"/>
      <c r="T814" s="404"/>
      <c r="U814" s="404"/>
      <c r="V814" s="404"/>
      <c r="W814" s="404"/>
      <c r="X814" s="404"/>
      <c r="Y814" s="404"/>
      <c r="Z814" s="404"/>
      <c r="AA814" s="404"/>
    </row>
    <row r="815">
      <c r="A815" s="404"/>
      <c r="B815" s="419"/>
      <c r="C815" s="404"/>
      <c r="D815" s="404"/>
      <c r="E815" s="404"/>
      <c r="F815" s="404"/>
      <c r="G815" s="404"/>
      <c r="H815" s="404"/>
      <c r="I815" s="404"/>
      <c r="J815" s="404"/>
      <c r="K815" s="404"/>
      <c r="L815" s="404"/>
      <c r="M815" s="404"/>
      <c r="N815" s="404"/>
      <c r="O815" s="404"/>
      <c r="P815" s="404"/>
      <c r="Q815" s="404"/>
      <c r="R815" s="404"/>
      <c r="S815" s="404"/>
      <c r="T815" s="404"/>
      <c r="U815" s="404"/>
      <c r="V815" s="404"/>
      <c r="W815" s="404"/>
      <c r="X815" s="404"/>
      <c r="Y815" s="404"/>
      <c r="Z815" s="404"/>
      <c r="AA815" s="404"/>
    </row>
    <row r="816">
      <c r="A816" s="404"/>
      <c r="B816" s="419"/>
      <c r="C816" s="404"/>
      <c r="D816" s="404"/>
      <c r="E816" s="404"/>
      <c r="F816" s="404"/>
      <c r="G816" s="404"/>
      <c r="H816" s="404"/>
      <c r="I816" s="404"/>
      <c r="J816" s="404"/>
      <c r="K816" s="404"/>
      <c r="L816" s="404"/>
      <c r="M816" s="404"/>
      <c r="N816" s="404"/>
      <c r="O816" s="404"/>
      <c r="P816" s="404"/>
      <c r="Q816" s="404"/>
      <c r="R816" s="404"/>
      <c r="S816" s="404"/>
      <c r="T816" s="404"/>
      <c r="U816" s="404"/>
      <c r="V816" s="404"/>
      <c r="W816" s="404"/>
      <c r="X816" s="404"/>
      <c r="Y816" s="404"/>
      <c r="Z816" s="404"/>
      <c r="AA816" s="404"/>
    </row>
    <row r="817">
      <c r="A817" s="404"/>
      <c r="B817" s="419"/>
      <c r="C817" s="404"/>
      <c r="D817" s="404"/>
      <c r="E817" s="404"/>
      <c r="F817" s="404"/>
      <c r="G817" s="404"/>
      <c r="H817" s="404"/>
      <c r="I817" s="404"/>
      <c r="J817" s="404"/>
      <c r="K817" s="404"/>
      <c r="L817" s="404"/>
      <c r="M817" s="404"/>
      <c r="N817" s="404"/>
      <c r="O817" s="404"/>
      <c r="P817" s="404"/>
      <c r="Q817" s="404"/>
      <c r="R817" s="404"/>
      <c r="S817" s="404"/>
      <c r="T817" s="404"/>
      <c r="U817" s="404"/>
      <c r="V817" s="404"/>
      <c r="W817" s="404"/>
      <c r="X817" s="404"/>
      <c r="Y817" s="404"/>
      <c r="Z817" s="404"/>
      <c r="AA817" s="404"/>
    </row>
    <row r="818">
      <c r="A818" s="404"/>
      <c r="B818" s="419"/>
      <c r="C818" s="404"/>
      <c r="D818" s="404"/>
      <c r="E818" s="404"/>
      <c r="F818" s="404"/>
      <c r="G818" s="404"/>
      <c r="H818" s="404"/>
      <c r="I818" s="404"/>
      <c r="J818" s="404"/>
      <c r="K818" s="404"/>
      <c r="L818" s="404"/>
      <c r="M818" s="404"/>
      <c r="N818" s="404"/>
      <c r="O818" s="404"/>
      <c r="P818" s="404"/>
      <c r="Q818" s="404"/>
      <c r="R818" s="404"/>
      <c r="S818" s="404"/>
      <c r="T818" s="404"/>
      <c r="U818" s="404"/>
      <c r="V818" s="404"/>
      <c r="W818" s="404"/>
      <c r="X818" s="404"/>
      <c r="Y818" s="404"/>
      <c r="Z818" s="404"/>
      <c r="AA818" s="404"/>
    </row>
    <row r="819">
      <c r="A819" s="404"/>
      <c r="B819" s="419"/>
      <c r="C819" s="404"/>
      <c r="D819" s="404"/>
      <c r="E819" s="404"/>
      <c r="F819" s="404"/>
      <c r="G819" s="404"/>
      <c r="H819" s="404"/>
      <c r="I819" s="404"/>
      <c r="J819" s="404"/>
      <c r="K819" s="404"/>
      <c r="L819" s="404"/>
      <c r="M819" s="404"/>
      <c r="N819" s="404"/>
      <c r="O819" s="404"/>
      <c r="P819" s="404"/>
      <c r="Q819" s="404"/>
      <c r="R819" s="404"/>
      <c r="S819" s="404"/>
      <c r="T819" s="404"/>
      <c r="U819" s="404"/>
      <c r="V819" s="404"/>
      <c r="W819" s="404"/>
      <c r="X819" s="404"/>
      <c r="Y819" s="404"/>
      <c r="Z819" s="404"/>
      <c r="AA819" s="404"/>
    </row>
    <row r="820">
      <c r="A820" s="404"/>
      <c r="B820" s="419"/>
      <c r="C820" s="404"/>
      <c r="D820" s="404"/>
      <c r="E820" s="404"/>
      <c r="F820" s="404"/>
      <c r="G820" s="404"/>
      <c r="H820" s="404"/>
      <c r="I820" s="404"/>
      <c r="J820" s="404"/>
      <c r="K820" s="404"/>
      <c r="L820" s="404"/>
      <c r="M820" s="404"/>
      <c r="N820" s="404"/>
      <c r="O820" s="404"/>
      <c r="P820" s="404"/>
      <c r="Q820" s="404"/>
      <c r="R820" s="404"/>
      <c r="S820" s="404"/>
      <c r="T820" s="404"/>
      <c r="U820" s="404"/>
      <c r="V820" s="404"/>
      <c r="W820" s="404"/>
      <c r="X820" s="404"/>
      <c r="Y820" s="404"/>
      <c r="Z820" s="404"/>
      <c r="AA820" s="404"/>
    </row>
    <row r="821">
      <c r="A821" s="404"/>
      <c r="B821" s="419"/>
      <c r="C821" s="404"/>
      <c r="D821" s="404"/>
      <c r="E821" s="404"/>
      <c r="F821" s="404"/>
      <c r="G821" s="404"/>
      <c r="H821" s="404"/>
      <c r="I821" s="404"/>
      <c r="J821" s="404"/>
      <c r="K821" s="404"/>
      <c r="L821" s="404"/>
      <c r="M821" s="404"/>
      <c r="N821" s="404"/>
      <c r="O821" s="404"/>
      <c r="P821" s="404"/>
      <c r="Q821" s="404"/>
      <c r="R821" s="404"/>
      <c r="S821" s="404"/>
      <c r="T821" s="404"/>
      <c r="U821" s="404"/>
      <c r="V821" s="404"/>
      <c r="W821" s="404"/>
      <c r="X821" s="404"/>
      <c r="Y821" s="404"/>
      <c r="Z821" s="404"/>
      <c r="AA821" s="404"/>
    </row>
    <row r="822">
      <c r="A822" s="404"/>
      <c r="B822" s="419"/>
      <c r="C822" s="404"/>
      <c r="D822" s="404"/>
      <c r="E822" s="404"/>
      <c r="F822" s="404"/>
      <c r="G822" s="404"/>
      <c r="H822" s="404"/>
      <c r="I822" s="404"/>
      <c r="J822" s="404"/>
      <c r="K822" s="404"/>
      <c r="L822" s="404"/>
      <c r="M822" s="404"/>
      <c r="N822" s="404"/>
      <c r="O822" s="404"/>
      <c r="P822" s="404"/>
      <c r="Q822" s="404"/>
      <c r="R822" s="404"/>
      <c r="S822" s="404"/>
      <c r="T822" s="404"/>
      <c r="U822" s="404"/>
      <c r="V822" s="404"/>
      <c r="W822" s="404"/>
      <c r="X822" s="404"/>
      <c r="Y822" s="404"/>
      <c r="Z822" s="404"/>
      <c r="AA822" s="404"/>
    </row>
    <row r="823">
      <c r="A823" s="404"/>
      <c r="B823" s="419"/>
      <c r="C823" s="404"/>
      <c r="D823" s="404"/>
      <c r="E823" s="404"/>
      <c r="F823" s="404"/>
      <c r="G823" s="404"/>
      <c r="H823" s="404"/>
      <c r="I823" s="404"/>
      <c r="J823" s="404"/>
      <c r="K823" s="404"/>
      <c r="L823" s="404"/>
      <c r="M823" s="404"/>
      <c r="N823" s="404"/>
      <c r="O823" s="404"/>
      <c r="P823" s="404"/>
      <c r="Q823" s="404"/>
      <c r="R823" s="404"/>
      <c r="S823" s="404"/>
      <c r="T823" s="404"/>
      <c r="U823" s="404"/>
      <c r="V823" s="404"/>
      <c r="W823" s="404"/>
      <c r="X823" s="404"/>
      <c r="Y823" s="404"/>
      <c r="Z823" s="404"/>
      <c r="AA823" s="404"/>
    </row>
    <row r="824">
      <c r="A824" s="404"/>
      <c r="B824" s="419"/>
      <c r="C824" s="404"/>
      <c r="D824" s="404"/>
      <c r="E824" s="404"/>
      <c r="F824" s="404"/>
      <c r="G824" s="404"/>
      <c r="H824" s="404"/>
      <c r="I824" s="404"/>
      <c r="J824" s="404"/>
      <c r="K824" s="404"/>
      <c r="L824" s="404"/>
      <c r="M824" s="404"/>
      <c r="N824" s="404"/>
      <c r="O824" s="404"/>
      <c r="P824" s="404"/>
      <c r="Q824" s="404"/>
      <c r="R824" s="404"/>
      <c r="S824" s="404"/>
      <c r="T824" s="404"/>
      <c r="U824" s="404"/>
      <c r="V824" s="404"/>
      <c r="W824" s="404"/>
      <c r="X824" s="404"/>
      <c r="Y824" s="404"/>
      <c r="Z824" s="404"/>
      <c r="AA824" s="404"/>
    </row>
    <row r="825">
      <c r="A825" s="404"/>
      <c r="B825" s="419"/>
      <c r="C825" s="404"/>
      <c r="D825" s="404"/>
      <c r="E825" s="404"/>
      <c r="F825" s="404"/>
      <c r="G825" s="404"/>
      <c r="H825" s="404"/>
      <c r="I825" s="404"/>
      <c r="J825" s="404"/>
      <c r="K825" s="404"/>
      <c r="L825" s="404"/>
      <c r="M825" s="404"/>
      <c r="N825" s="404"/>
      <c r="O825" s="404"/>
      <c r="P825" s="404"/>
      <c r="Q825" s="404"/>
      <c r="R825" s="404"/>
      <c r="S825" s="404"/>
      <c r="T825" s="404"/>
      <c r="U825" s="404"/>
      <c r="V825" s="404"/>
      <c r="W825" s="404"/>
      <c r="X825" s="404"/>
      <c r="Y825" s="404"/>
      <c r="Z825" s="404"/>
      <c r="AA825" s="404"/>
    </row>
    <row r="826">
      <c r="A826" s="404"/>
      <c r="B826" s="419"/>
      <c r="C826" s="404"/>
      <c r="D826" s="404"/>
      <c r="E826" s="404"/>
      <c r="F826" s="404"/>
      <c r="G826" s="404"/>
      <c r="H826" s="404"/>
      <c r="I826" s="404"/>
      <c r="J826" s="404"/>
      <c r="K826" s="404"/>
      <c r="L826" s="404"/>
      <c r="M826" s="404"/>
      <c r="N826" s="404"/>
      <c r="O826" s="404"/>
      <c r="P826" s="404"/>
      <c r="Q826" s="404"/>
      <c r="R826" s="404"/>
      <c r="S826" s="404"/>
      <c r="T826" s="404"/>
      <c r="U826" s="404"/>
      <c r="V826" s="404"/>
      <c r="W826" s="404"/>
      <c r="X826" s="404"/>
      <c r="Y826" s="404"/>
      <c r="Z826" s="404"/>
      <c r="AA826" s="404"/>
    </row>
    <row r="827">
      <c r="A827" s="404"/>
      <c r="B827" s="419"/>
      <c r="C827" s="404"/>
      <c r="D827" s="404"/>
      <c r="E827" s="404"/>
      <c r="F827" s="404"/>
      <c r="G827" s="404"/>
      <c r="H827" s="404"/>
      <c r="I827" s="404"/>
      <c r="J827" s="404"/>
      <c r="K827" s="404"/>
      <c r="L827" s="404"/>
      <c r="M827" s="404"/>
      <c r="N827" s="404"/>
      <c r="O827" s="404"/>
      <c r="P827" s="404"/>
      <c r="Q827" s="404"/>
      <c r="R827" s="404"/>
      <c r="S827" s="404"/>
      <c r="T827" s="404"/>
      <c r="U827" s="404"/>
      <c r="V827" s="404"/>
      <c r="W827" s="404"/>
      <c r="X827" s="404"/>
      <c r="Y827" s="404"/>
      <c r="Z827" s="404"/>
      <c r="AA827" s="404"/>
    </row>
    <row r="828">
      <c r="A828" s="404"/>
      <c r="B828" s="419"/>
      <c r="C828" s="404"/>
      <c r="D828" s="404"/>
      <c r="E828" s="404"/>
      <c r="F828" s="404"/>
      <c r="G828" s="404"/>
      <c r="H828" s="404"/>
      <c r="I828" s="404"/>
      <c r="J828" s="404"/>
      <c r="K828" s="404"/>
      <c r="L828" s="404"/>
      <c r="M828" s="404"/>
      <c r="N828" s="404"/>
      <c r="O828" s="404"/>
      <c r="P828" s="404"/>
      <c r="Q828" s="404"/>
      <c r="R828" s="404"/>
      <c r="S828" s="404"/>
      <c r="T828" s="404"/>
      <c r="U828" s="404"/>
      <c r="V828" s="404"/>
      <c r="W828" s="404"/>
      <c r="X828" s="404"/>
      <c r="Y828" s="404"/>
      <c r="Z828" s="404"/>
      <c r="AA828" s="404"/>
    </row>
    <row r="829">
      <c r="A829" s="404"/>
      <c r="B829" s="419"/>
      <c r="C829" s="404"/>
      <c r="D829" s="404"/>
      <c r="E829" s="404"/>
      <c r="F829" s="404"/>
      <c r="G829" s="404"/>
      <c r="H829" s="404"/>
      <c r="I829" s="404"/>
      <c r="J829" s="404"/>
      <c r="K829" s="404"/>
      <c r="L829" s="404"/>
      <c r="M829" s="404"/>
      <c r="N829" s="404"/>
      <c r="O829" s="404"/>
      <c r="P829" s="404"/>
      <c r="Q829" s="404"/>
      <c r="R829" s="404"/>
      <c r="S829" s="404"/>
      <c r="T829" s="404"/>
      <c r="U829" s="404"/>
      <c r="V829" s="404"/>
      <c r="W829" s="404"/>
      <c r="X829" s="404"/>
      <c r="Y829" s="404"/>
      <c r="Z829" s="404"/>
      <c r="AA829" s="404"/>
    </row>
    <row r="830">
      <c r="A830" s="404"/>
      <c r="B830" s="419"/>
      <c r="C830" s="404"/>
      <c r="D830" s="404"/>
      <c r="E830" s="404"/>
      <c r="F830" s="404"/>
      <c r="G830" s="404"/>
      <c r="H830" s="404"/>
      <c r="I830" s="404"/>
      <c r="J830" s="404"/>
      <c r="K830" s="404"/>
      <c r="L830" s="404"/>
      <c r="M830" s="404"/>
      <c r="N830" s="404"/>
      <c r="O830" s="404"/>
      <c r="P830" s="404"/>
      <c r="Q830" s="404"/>
      <c r="R830" s="404"/>
      <c r="S830" s="404"/>
      <c r="T830" s="404"/>
      <c r="U830" s="404"/>
      <c r="V830" s="404"/>
      <c r="W830" s="404"/>
      <c r="X830" s="404"/>
      <c r="Y830" s="404"/>
      <c r="Z830" s="404"/>
      <c r="AA830" s="404"/>
    </row>
    <row r="831">
      <c r="A831" s="404"/>
      <c r="B831" s="419"/>
      <c r="C831" s="404"/>
      <c r="D831" s="404"/>
      <c r="E831" s="404"/>
      <c r="F831" s="404"/>
      <c r="G831" s="404"/>
      <c r="H831" s="404"/>
      <c r="I831" s="404"/>
      <c r="J831" s="404"/>
      <c r="K831" s="404"/>
      <c r="L831" s="404"/>
      <c r="M831" s="404"/>
      <c r="N831" s="404"/>
      <c r="O831" s="404"/>
      <c r="P831" s="404"/>
      <c r="Q831" s="404"/>
      <c r="R831" s="404"/>
      <c r="S831" s="404"/>
      <c r="T831" s="404"/>
      <c r="U831" s="404"/>
      <c r="V831" s="404"/>
      <c r="W831" s="404"/>
      <c r="X831" s="404"/>
      <c r="Y831" s="404"/>
      <c r="Z831" s="404"/>
      <c r="AA831" s="404"/>
    </row>
    <row r="832">
      <c r="A832" s="404"/>
      <c r="B832" s="419"/>
      <c r="C832" s="404"/>
      <c r="D832" s="404"/>
      <c r="E832" s="404"/>
      <c r="F832" s="404"/>
      <c r="G832" s="404"/>
      <c r="H832" s="404"/>
      <c r="I832" s="404"/>
      <c r="J832" s="404"/>
      <c r="K832" s="404"/>
      <c r="L832" s="404"/>
      <c r="M832" s="404"/>
      <c r="N832" s="404"/>
      <c r="O832" s="404"/>
      <c r="P832" s="404"/>
      <c r="Q832" s="404"/>
      <c r="R832" s="404"/>
      <c r="S832" s="404"/>
      <c r="T832" s="404"/>
      <c r="U832" s="404"/>
      <c r="V832" s="404"/>
      <c r="W832" s="404"/>
      <c r="X832" s="404"/>
      <c r="Y832" s="404"/>
      <c r="Z832" s="404"/>
      <c r="AA832" s="404"/>
    </row>
    <row r="833">
      <c r="A833" s="404"/>
      <c r="B833" s="419"/>
      <c r="C833" s="404"/>
      <c r="D833" s="404"/>
      <c r="E833" s="404"/>
      <c r="F833" s="404"/>
      <c r="G833" s="404"/>
      <c r="H833" s="404"/>
      <c r="I833" s="404"/>
      <c r="J833" s="404"/>
      <c r="K833" s="404"/>
      <c r="L833" s="404"/>
      <c r="M833" s="404"/>
      <c r="N833" s="404"/>
      <c r="O833" s="404"/>
      <c r="P833" s="404"/>
      <c r="Q833" s="404"/>
      <c r="R833" s="404"/>
      <c r="S833" s="404"/>
      <c r="T833" s="404"/>
      <c r="U833" s="404"/>
      <c r="V833" s="404"/>
      <c r="W833" s="404"/>
      <c r="X833" s="404"/>
      <c r="Y833" s="404"/>
      <c r="Z833" s="404"/>
      <c r="AA833" s="404"/>
    </row>
    <row r="834">
      <c r="A834" s="404"/>
      <c r="B834" s="419"/>
      <c r="C834" s="404"/>
      <c r="D834" s="404"/>
      <c r="E834" s="404"/>
      <c r="F834" s="404"/>
      <c r="G834" s="404"/>
      <c r="H834" s="404"/>
      <c r="I834" s="404"/>
      <c r="J834" s="404"/>
      <c r="K834" s="404"/>
      <c r="L834" s="404"/>
      <c r="M834" s="404"/>
      <c r="N834" s="404"/>
      <c r="O834" s="404"/>
      <c r="P834" s="404"/>
      <c r="Q834" s="404"/>
      <c r="R834" s="404"/>
      <c r="S834" s="404"/>
      <c r="T834" s="404"/>
      <c r="U834" s="404"/>
      <c r="V834" s="404"/>
      <c r="W834" s="404"/>
      <c r="X834" s="404"/>
      <c r="Y834" s="404"/>
      <c r="Z834" s="404"/>
      <c r="AA834" s="404"/>
    </row>
    <row r="835">
      <c r="A835" s="404"/>
      <c r="B835" s="419"/>
      <c r="C835" s="404"/>
      <c r="D835" s="404"/>
      <c r="E835" s="404"/>
      <c r="F835" s="404"/>
      <c r="G835" s="404"/>
      <c r="H835" s="404"/>
      <c r="I835" s="404"/>
      <c r="J835" s="404"/>
      <c r="K835" s="404"/>
      <c r="L835" s="404"/>
      <c r="M835" s="404"/>
      <c r="N835" s="404"/>
      <c r="O835" s="404"/>
      <c r="P835" s="404"/>
      <c r="Q835" s="404"/>
      <c r="R835" s="404"/>
      <c r="S835" s="404"/>
      <c r="T835" s="404"/>
      <c r="U835" s="404"/>
      <c r="V835" s="404"/>
      <c r="W835" s="404"/>
      <c r="X835" s="404"/>
      <c r="Y835" s="404"/>
      <c r="Z835" s="404"/>
      <c r="AA835" s="404"/>
    </row>
    <row r="836">
      <c r="A836" s="404"/>
      <c r="B836" s="419"/>
      <c r="C836" s="404"/>
      <c r="D836" s="404"/>
      <c r="E836" s="404"/>
      <c r="F836" s="404"/>
      <c r="G836" s="404"/>
      <c r="H836" s="404"/>
      <c r="I836" s="404"/>
      <c r="J836" s="404"/>
      <c r="K836" s="404"/>
      <c r="L836" s="404"/>
      <c r="M836" s="404"/>
      <c r="N836" s="404"/>
      <c r="O836" s="404"/>
      <c r="P836" s="404"/>
      <c r="Q836" s="404"/>
      <c r="R836" s="404"/>
      <c r="S836" s="404"/>
      <c r="T836" s="404"/>
      <c r="U836" s="404"/>
      <c r="V836" s="404"/>
      <c r="W836" s="404"/>
      <c r="X836" s="404"/>
      <c r="Y836" s="404"/>
      <c r="Z836" s="404"/>
      <c r="AA836" s="404"/>
    </row>
    <row r="837">
      <c r="A837" s="404"/>
      <c r="B837" s="419"/>
      <c r="C837" s="404"/>
      <c r="D837" s="404"/>
      <c r="E837" s="404"/>
      <c r="F837" s="404"/>
      <c r="G837" s="404"/>
      <c r="H837" s="404"/>
      <c r="I837" s="404"/>
      <c r="J837" s="404"/>
      <c r="K837" s="404"/>
      <c r="L837" s="404"/>
      <c r="M837" s="404"/>
      <c r="N837" s="404"/>
      <c r="O837" s="404"/>
      <c r="P837" s="404"/>
      <c r="Q837" s="404"/>
      <c r="R837" s="404"/>
      <c r="S837" s="404"/>
      <c r="T837" s="404"/>
      <c r="U837" s="404"/>
      <c r="V837" s="404"/>
      <c r="W837" s="404"/>
      <c r="X837" s="404"/>
      <c r="Y837" s="404"/>
      <c r="Z837" s="404"/>
      <c r="AA837" s="404"/>
    </row>
    <row r="838">
      <c r="A838" s="404"/>
      <c r="B838" s="419"/>
      <c r="C838" s="404"/>
      <c r="D838" s="404"/>
      <c r="E838" s="404"/>
      <c r="F838" s="404"/>
      <c r="G838" s="404"/>
      <c r="H838" s="404"/>
      <c r="I838" s="404"/>
      <c r="J838" s="404"/>
      <c r="K838" s="404"/>
      <c r="L838" s="404"/>
      <c r="M838" s="404"/>
      <c r="N838" s="404"/>
      <c r="O838" s="404"/>
      <c r="P838" s="404"/>
      <c r="Q838" s="404"/>
      <c r="R838" s="404"/>
      <c r="S838" s="404"/>
      <c r="T838" s="404"/>
      <c r="U838" s="404"/>
      <c r="V838" s="404"/>
      <c r="W838" s="404"/>
      <c r="X838" s="404"/>
      <c r="Y838" s="404"/>
      <c r="Z838" s="404"/>
      <c r="AA838" s="404"/>
    </row>
    <row r="839">
      <c r="A839" s="404"/>
      <c r="B839" s="419"/>
      <c r="C839" s="404"/>
      <c r="D839" s="404"/>
      <c r="E839" s="404"/>
      <c r="F839" s="404"/>
      <c r="G839" s="404"/>
      <c r="H839" s="404"/>
      <c r="I839" s="404"/>
      <c r="J839" s="404"/>
      <c r="K839" s="404"/>
      <c r="L839" s="404"/>
      <c r="M839" s="404"/>
      <c r="N839" s="404"/>
      <c r="O839" s="404"/>
      <c r="P839" s="404"/>
      <c r="Q839" s="404"/>
      <c r="R839" s="404"/>
      <c r="S839" s="404"/>
      <c r="T839" s="404"/>
      <c r="U839" s="404"/>
      <c r="V839" s="404"/>
      <c r="W839" s="404"/>
      <c r="X839" s="404"/>
      <c r="Y839" s="404"/>
      <c r="Z839" s="404"/>
      <c r="AA839" s="404"/>
    </row>
    <row r="840">
      <c r="A840" s="404"/>
      <c r="B840" s="419"/>
      <c r="C840" s="404"/>
      <c r="D840" s="404"/>
      <c r="E840" s="404"/>
      <c r="F840" s="404"/>
      <c r="G840" s="404"/>
      <c r="H840" s="404"/>
      <c r="I840" s="404"/>
      <c r="J840" s="404"/>
      <c r="K840" s="404"/>
      <c r="L840" s="404"/>
      <c r="M840" s="404"/>
      <c r="N840" s="404"/>
      <c r="O840" s="404"/>
      <c r="P840" s="404"/>
      <c r="Q840" s="404"/>
      <c r="R840" s="404"/>
      <c r="S840" s="404"/>
      <c r="T840" s="404"/>
      <c r="U840" s="404"/>
      <c r="V840" s="404"/>
      <c r="W840" s="404"/>
      <c r="X840" s="404"/>
      <c r="Y840" s="404"/>
      <c r="Z840" s="404"/>
      <c r="AA840" s="404"/>
    </row>
    <row r="841">
      <c r="A841" s="404"/>
      <c r="B841" s="419"/>
      <c r="C841" s="404"/>
      <c r="D841" s="404"/>
      <c r="E841" s="404"/>
      <c r="F841" s="404"/>
      <c r="G841" s="404"/>
      <c r="H841" s="404"/>
      <c r="I841" s="404"/>
      <c r="J841" s="404"/>
      <c r="K841" s="404"/>
      <c r="L841" s="404"/>
      <c r="M841" s="404"/>
      <c r="N841" s="404"/>
      <c r="O841" s="404"/>
      <c r="P841" s="404"/>
      <c r="Q841" s="404"/>
      <c r="R841" s="404"/>
      <c r="S841" s="404"/>
      <c r="T841" s="404"/>
      <c r="U841" s="404"/>
      <c r="V841" s="404"/>
      <c r="W841" s="404"/>
      <c r="X841" s="404"/>
      <c r="Y841" s="404"/>
      <c r="Z841" s="404"/>
      <c r="AA841" s="404"/>
    </row>
    <row r="842">
      <c r="A842" s="404"/>
      <c r="B842" s="419"/>
      <c r="C842" s="404"/>
      <c r="D842" s="404"/>
      <c r="E842" s="404"/>
      <c r="F842" s="404"/>
      <c r="G842" s="404"/>
      <c r="H842" s="404"/>
      <c r="I842" s="404"/>
      <c r="J842" s="404"/>
      <c r="K842" s="404"/>
      <c r="L842" s="404"/>
      <c r="M842" s="404"/>
      <c r="N842" s="404"/>
      <c r="O842" s="404"/>
      <c r="P842" s="404"/>
      <c r="Q842" s="404"/>
      <c r="R842" s="404"/>
      <c r="S842" s="404"/>
      <c r="T842" s="404"/>
      <c r="U842" s="404"/>
      <c r="V842" s="404"/>
      <c r="W842" s="404"/>
      <c r="X842" s="404"/>
      <c r="Y842" s="404"/>
      <c r="Z842" s="404"/>
      <c r="AA842" s="404"/>
    </row>
    <row r="843">
      <c r="A843" s="404"/>
      <c r="B843" s="419"/>
      <c r="C843" s="404"/>
      <c r="D843" s="404"/>
      <c r="E843" s="404"/>
      <c r="F843" s="404"/>
      <c r="G843" s="404"/>
      <c r="H843" s="404"/>
      <c r="I843" s="404"/>
      <c r="J843" s="404"/>
      <c r="K843" s="404"/>
      <c r="L843" s="404"/>
      <c r="M843" s="404"/>
      <c r="N843" s="404"/>
      <c r="O843" s="404"/>
      <c r="P843" s="404"/>
      <c r="Q843" s="404"/>
      <c r="R843" s="404"/>
      <c r="S843" s="404"/>
      <c r="T843" s="404"/>
      <c r="U843" s="404"/>
      <c r="V843" s="404"/>
      <c r="W843" s="404"/>
      <c r="X843" s="404"/>
      <c r="Y843" s="404"/>
      <c r="Z843" s="404"/>
      <c r="AA843" s="404"/>
    </row>
    <row r="844">
      <c r="A844" s="404"/>
      <c r="B844" s="419"/>
      <c r="C844" s="404"/>
      <c r="D844" s="404"/>
      <c r="E844" s="404"/>
      <c r="F844" s="404"/>
      <c r="G844" s="404"/>
      <c r="H844" s="404"/>
      <c r="I844" s="404"/>
      <c r="J844" s="404"/>
      <c r="K844" s="404"/>
      <c r="L844" s="404"/>
      <c r="M844" s="404"/>
      <c r="N844" s="404"/>
      <c r="O844" s="404"/>
      <c r="P844" s="404"/>
      <c r="Q844" s="404"/>
      <c r="R844" s="404"/>
      <c r="S844" s="404"/>
      <c r="T844" s="404"/>
      <c r="U844" s="404"/>
      <c r="V844" s="404"/>
      <c r="W844" s="404"/>
      <c r="X844" s="404"/>
      <c r="Y844" s="404"/>
      <c r="Z844" s="404"/>
      <c r="AA844" s="404"/>
    </row>
    <row r="845">
      <c r="A845" s="404"/>
      <c r="B845" s="419"/>
      <c r="C845" s="404"/>
      <c r="D845" s="404"/>
      <c r="E845" s="404"/>
      <c r="F845" s="404"/>
      <c r="G845" s="404"/>
      <c r="H845" s="404"/>
      <c r="I845" s="404"/>
      <c r="J845" s="404"/>
      <c r="K845" s="404"/>
      <c r="L845" s="404"/>
      <c r="M845" s="404"/>
      <c r="N845" s="404"/>
      <c r="O845" s="404"/>
      <c r="P845" s="404"/>
      <c r="Q845" s="404"/>
      <c r="R845" s="404"/>
      <c r="S845" s="404"/>
      <c r="T845" s="404"/>
      <c r="U845" s="404"/>
      <c r="V845" s="404"/>
      <c r="W845" s="404"/>
      <c r="X845" s="404"/>
      <c r="Y845" s="404"/>
      <c r="Z845" s="404"/>
      <c r="AA845" s="404"/>
    </row>
    <row r="846">
      <c r="A846" s="404"/>
      <c r="B846" s="419"/>
      <c r="C846" s="404"/>
      <c r="D846" s="404"/>
      <c r="E846" s="404"/>
      <c r="F846" s="404"/>
      <c r="G846" s="404"/>
      <c r="H846" s="404"/>
      <c r="I846" s="404"/>
      <c r="J846" s="404"/>
      <c r="K846" s="404"/>
      <c r="L846" s="404"/>
      <c r="M846" s="404"/>
      <c r="N846" s="404"/>
      <c r="O846" s="404"/>
      <c r="P846" s="404"/>
      <c r="Q846" s="404"/>
      <c r="R846" s="404"/>
      <c r="S846" s="404"/>
      <c r="T846" s="404"/>
      <c r="U846" s="404"/>
      <c r="V846" s="404"/>
      <c r="W846" s="404"/>
      <c r="X846" s="404"/>
      <c r="Y846" s="404"/>
      <c r="Z846" s="404"/>
      <c r="AA846" s="404"/>
    </row>
    <row r="847">
      <c r="A847" s="404"/>
      <c r="B847" s="419"/>
      <c r="C847" s="404"/>
      <c r="D847" s="404"/>
      <c r="E847" s="404"/>
      <c r="F847" s="404"/>
      <c r="G847" s="404"/>
      <c r="H847" s="404"/>
      <c r="I847" s="404"/>
      <c r="J847" s="404"/>
      <c r="K847" s="404"/>
      <c r="L847" s="404"/>
      <c r="M847" s="404"/>
      <c r="N847" s="404"/>
      <c r="O847" s="404"/>
      <c r="P847" s="404"/>
      <c r="Q847" s="404"/>
      <c r="R847" s="404"/>
      <c r="S847" s="404"/>
      <c r="T847" s="404"/>
      <c r="U847" s="404"/>
      <c r="V847" s="404"/>
      <c r="W847" s="404"/>
      <c r="X847" s="404"/>
      <c r="Y847" s="404"/>
      <c r="Z847" s="404"/>
      <c r="AA847" s="404"/>
    </row>
    <row r="848">
      <c r="A848" s="404"/>
      <c r="B848" s="419"/>
      <c r="C848" s="404"/>
      <c r="D848" s="404"/>
      <c r="E848" s="404"/>
      <c r="F848" s="404"/>
      <c r="G848" s="404"/>
      <c r="H848" s="404"/>
      <c r="I848" s="404"/>
      <c r="J848" s="404"/>
      <c r="K848" s="404"/>
      <c r="L848" s="404"/>
      <c r="M848" s="404"/>
      <c r="N848" s="404"/>
      <c r="O848" s="404"/>
      <c r="P848" s="404"/>
      <c r="Q848" s="404"/>
      <c r="R848" s="404"/>
      <c r="S848" s="404"/>
      <c r="T848" s="404"/>
      <c r="U848" s="404"/>
      <c r="V848" s="404"/>
      <c r="W848" s="404"/>
      <c r="X848" s="404"/>
      <c r="Y848" s="404"/>
      <c r="Z848" s="404"/>
      <c r="AA848" s="404"/>
    </row>
    <row r="849">
      <c r="A849" s="404"/>
      <c r="B849" s="419"/>
      <c r="C849" s="404"/>
      <c r="D849" s="404"/>
      <c r="E849" s="404"/>
      <c r="F849" s="404"/>
      <c r="G849" s="404"/>
      <c r="H849" s="404"/>
      <c r="I849" s="404"/>
      <c r="J849" s="404"/>
      <c r="K849" s="404"/>
      <c r="L849" s="404"/>
      <c r="M849" s="404"/>
      <c r="N849" s="404"/>
      <c r="O849" s="404"/>
      <c r="P849" s="404"/>
      <c r="Q849" s="404"/>
      <c r="R849" s="404"/>
      <c r="S849" s="404"/>
      <c r="T849" s="404"/>
      <c r="U849" s="404"/>
      <c r="V849" s="404"/>
      <c r="W849" s="404"/>
      <c r="X849" s="404"/>
      <c r="Y849" s="404"/>
      <c r="Z849" s="404"/>
      <c r="AA849" s="404"/>
    </row>
    <row r="850">
      <c r="A850" s="404"/>
      <c r="B850" s="419"/>
      <c r="C850" s="404"/>
      <c r="D850" s="404"/>
      <c r="E850" s="404"/>
      <c r="F850" s="404"/>
      <c r="G850" s="404"/>
      <c r="H850" s="404"/>
      <c r="I850" s="404"/>
      <c r="J850" s="404"/>
      <c r="K850" s="404"/>
      <c r="L850" s="404"/>
      <c r="M850" s="404"/>
      <c r="N850" s="404"/>
      <c r="O850" s="404"/>
      <c r="P850" s="404"/>
      <c r="Q850" s="404"/>
      <c r="R850" s="404"/>
      <c r="S850" s="404"/>
      <c r="T850" s="404"/>
      <c r="U850" s="404"/>
      <c r="V850" s="404"/>
      <c r="W850" s="404"/>
      <c r="X850" s="404"/>
      <c r="Y850" s="404"/>
      <c r="Z850" s="404"/>
      <c r="AA850" s="404"/>
    </row>
    <row r="851">
      <c r="A851" s="404"/>
      <c r="B851" s="419"/>
      <c r="C851" s="404"/>
      <c r="D851" s="404"/>
      <c r="E851" s="404"/>
      <c r="F851" s="404"/>
      <c r="G851" s="404"/>
      <c r="H851" s="404"/>
      <c r="I851" s="404"/>
      <c r="J851" s="404"/>
      <c r="K851" s="404"/>
      <c r="L851" s="404"/>
      <c r="M851" s="404"/>
      <c r="N851" s="404"/>
      <c r="O851" s="404"/>
      <c r="P851" s="404"/>
      <c r="Q851" s="404"/>
      <c r="R851" s="404"/>
      <c r="S851" s="404"/>
      <c r="T851" s="404"/>
      <c r="U851" s="404"/>
      <c r="V851" s="404"/>
      <c r="W851" s="404"/>
      <c r="X851" s="404"/>
      <c r="Y851" s="404"/>
      <c r="Z851" s="404"/>
      <c r="AA851" s="404"/>
    </row>
    <row r="852">
      <c r="A852" s="404"/>
      <c r="B852" s="419"/>
      <c r="C852" s="404"/>
      <c r="D852" s="404"/>
      <c r="E852" s="404"/>
      <c r="F852" s="404"/>
      <c r="G852" s="404"/>
      <c r="H852" s="404"/>
      <c r="I852" s="404"/>
      <c r="J852" s="404"/>
      <c r="K852" s="404"/>
      <c r="L852" s="404"/>
      <c r="M852" s="404"/>
      <c r="N852" s="404"/>
      <c r="O852" s="404"/>
      <c r="P852" s="404"/>
      <c r="Q852" s="404"/>
      <c r="R852" s="404"/>
      <c r="S852" s="404"/>
      <c r="T852" s="404"/>
      <c r="U852" s="404"/>
      <c r="V852" s="404"/>
      <c r="W852" s="404"/>
      <c r="X852" s="404"/>
      <c r="Y852" s="404"/>
      <c r="Z852" s="404"/>
      <c r="AA852" s="404"/>
    </row>
    <row r="853">
      <c r="A853" s="404"/>
      <c r="B853" s="419"/>
      <c r="C853" s="404"/>
      <c r="D853" s="404"/>
      <c r="E853" s="404"/>
      <c r="F853" s="404"/>
      <c r="G853" s="404"/>
      <c r="H853" s="404"/>
      <c r="I853" s="404"/>
      <c r="J853" s="404"/>
      <c r="K853" s="404"/>
      <c r="L853" s="404"/>
      <c r="M853" s="404"/>
      <c r="N853" s="404"/>
      <c r="O853" s="404"/>
      <c r="P853" s="404"/>
      <c r="Q853" s="404"/>
      <c r="R853" s="404"/>
      <c r="S853" s="404"/>
      <c r="T853" s="404"/>
      <c r="U853" s="404"/>
      <c r="V853" s="404"/>
      <c r="W853" s="404"/>
      <c r="X853" s="404"/>
      <c r="Y853" s="404"/>
      <c r="Z853" s="404"/>
      <c r="AA853" s="404"/>
    </row>
    <row r="854">
      <c r="A854" s="404"/>
      <c r="B854" s="419"/>
      <c r="C854" s="404"/>
      <c r="D854" s="404"/>
      <c r="E854" s="404"/>
      <c r="F854" s="404"/>
      <c r="G854" s="404"/>
      <c r="H854" s="404"/>
      <c r="I854" s="404"/>
      <c r="J854" s="404"/>
      <c r="K854" s="404"/>
      <c r="L854" s="404"/>
      <c r="M854" s="404"/>
      <c r="N854" s="404"/>
      <c r="O854" s="404"/>
      <c r="P854" s="404"/>
      <c r="Q854" s="404"/>
      <c r="R854" s="404"/>
      <c r="S854" s="404"/>
      <c r="T854" s="404"/>
      <c r="U854" s="404"/>
      <c r="V854" s="404"/>
      <c r="W854" s="404"/>
      <c r="X854" s="404"/>
      <c r="Y854" s="404"/>
      <c r="Z854" s="404"/>
      <c r="AA854" s="404"/>
    </row>
    <row r="855">
      <c r="A855" s="404"/>
      <c r="B855" s="419"/>
      <c r="C855" s="404"/>
      <c r="D855" s="404"/>
      <c r="E855" s="404"/>
      <c r="F855" s="404"/>
      <c r="G855" s="404"/>
      <c r="H855" s="404"/>
      <c r="I855" s="404"/>
      <c r="J855" s="404"/>
      <c r="K855" s="404"/>
      <c r="L855" s="404"/>
      <c r="M855" s="404"/>
      <c r="N855" s="404"/>
      <c r="O855" s="404"/>
      <c r="P855" s="404"/>
      <c r="Q855" s="404"/>
      <c r="R855" s="404"/>
      <c r="S855" s="404"/>
      <c r="T855" s="404"/>
      <c r="U855" s="404"/>
      <c r="V855" s="404"/>
      <c r="W855" s="404"/>
      <c r="X855" s="404"/>
      <c r="Y855" s="404"/>
      <c r="Z855" s="404"/>
      <c r="AA855" s="404"/>
    </row>
    <row r="856">
      <c r="A856" s="404"/>
      <c r="B856" s="419"/>
      <c r="C856" s="404"/>
      <c r="D856" s="404"/>
      <c r="E856" s="404"/>
      <c r="F856" s="404"/>
      <c r="G856" s="404"/>
      <c r="H856" s="404"/>
      <c r="I856" s="404"/>
      <c r="J856" s="404"/>
      <c r="K856" s="404"/>
      <c r="L856" s="404"/>
      <c r="M856" s="404"/>
      <c r="N856" s="404"/>
      <c r="O856" s="404"/>
      <c r="P856" s="404"/>
      <c r="Q856" s="404"/>
      <c r="R856" s="404"/>
      <c r="S856" s="404"/>
      <c r="T856" s="404"/>
      <c r="U856" s="404"/>
      <c r="V856" s="404"/>
      <c r="W856" s="404"/>
      <c r="X856" s="404"/>
      <c r="Y856" s="404"/>
      <c r="Z856" s="404"/>
      <c r="AA856" s="404"/>
    </row>
    <row r="857">
      <c r="A857" s="404"/>
      <c r="B857" s="419"/>
      <c r="C857" s="404"/>
      <c r="D857" s="404"/>
      <c r="E857" s="404"/>
      <c r="F857" s="404"/>
      <c r="G857" s="404"/>
      <c r="H857" s="404"/>
      <c r="I857" s="404"/>
      <c r="J857" s="404"/>
      <c r="K857" s="404"/>
      <c r="L857" s="404"/>
      <c r="M857" s="404"/>
      <c r="N857" s="404"/>
      <c r="O857" s="404"/>
      <c r="P857" s="404"/>
      <c r="Q857" s="404"/>
      <c r="R857" s="404"/>
      <c r="S857" s="404"/>
      <c r="T857" s="404"/>
      <c r="U857" s="404"/>
      <c r="V857" s="404"/>
      <c r="W857" s="404"/>
      <c r="X857" s="404"/>
      <c r="Y857" s="404"/>
      <c r="Z857" s="404"/>
      <c r="AA857" s="404"/>
    </row>
    <row r="858">
      <c r="A858" s="404"/>
      <c r="B858" s="419"/>
      <c r="C858" s="404"/>
      <c r="D858" s="404"/>
      <c r="E858" s="404"/>
      <c r="F858" s="404"/>
      <c r="G858" s="404"/>
      <c r="H858" s="404"/>
      <c r="I858" s="404"/>
      <c r="J858" s="404"/>
      <c r="K858" s="404"/>
      <c r="L858" s="404"/>
      <c r="M858" s="404"/>
      <c r="N858" s="404"/>
      <c r="O858" s="404"/>
      <c r="P858" s="404"/>
      <c r="Q858" s="404"/>
      <c r="R858" s="404"/>
      <c r="S858" s="404"/>
      <c r="T858" s="404"/>
      <c r="U858" s="404"/>
      <c r="V858" s="404"/>
      <c r="W858" s="404"/>
      <c r="X858" s="404"/>
      <c r="Y858" s="404"/>
      <c r="Z858" s="404"/>
      <c r="AA858" s="404"/>
    </row>
    <row r="859">
      <c r="A859" s="404"/>
      <c r="B859" s="419"/>
      <c r="C859" s="404"/>
      <c r="D859" s="404"/>
      <c r="E859" s="404"/>
      <c r="F859" s="404"/>
      <c r="G859" s="404"/>
      <c r="H859" s="404"/>
      <c r="I859" s="404"/>
      <c r="J859" s="404"/>
      <c r="K859" s="404"/>
      <c r="L859" s="404"/>
      <c r="M859" s="404"/>
      <c r="N859" s="404"/>
      <c r="O859" s="404"/>
      <c r="P859" s="404"/>
      <c r="Q859" s="404"/>
      <c r="R859" s="404"/>
      <c r="S859" s="404"/>
      <c r="T859" s="404"/>
      <c r="U859" s="404"/>
      <c r="V859" s="404"/>
      <c r="W859" s="404"/>
      <c r="X859" s="404"/>
      <c r="Y859" s="404"/>
      <c r="Z859" s="404"/>
      <c r="AA859" s="404"/>
    </row>
    <row r="860">
      <c r="A860" s="404"/>
      <c r="B860" s="419"/>
      <c r="C860" s="404"/>
      <c r="D860" s="404"/>
      <c r="E860" s="404"/>
      <c r="F860" s="404"/>
      <c r="G860" s="404"/>
      <c r="H860" s="404"/>
      <c r="I860" s="404"/>
      <c r="J860" s="404"/>
      <c r="K860" s="404"/>
      <c r="L860" s="404"/>
      <c r="M860" s="404"/>
      <c r="N860" s="404"/>
      <c r="O860" s="404"/>
      <c r="P860" s="404"/>
      <c r="Q860" s="404"/>
      <c r="R860" s="404"/>
      <c r="S860" s="404"/>
      <c r="T860" s="404"/>
      <c r="U860" s="404"/>
      <c r="V860" s="404"/>
      <c r="W860" s="404"/>
      <c r="X860" s="404"/>
      <c r="Y860" s="404"/>
      <c r="Z860" s="404"/>
      <c r="AA860" s="404"/>
    </row>
    <row r="861">
      <c r="A861" s="404"/>
      <c r="B861" s="419"/>
      <c r="C861" s="404"/>
      <c r="D861" s="404"/>
      <c r="E861" s="404"/>
      <c r="F861" s="404"/>
      <c r="G861" s="404"/>
      <c r="H861" s="404"/>
      <c r="I861" s="404"/>
      <c r="J861" s="404"/>
      <c r="K861" s="404"/>
      <c r="L861" s="404"/>
      <c r="M861" s="404"/>
      <c r="N861" s="404"/>
      <c r="O861" s="404"/>
      <c r="P861" s="404"/>
      <c r="Q861" s="404"/>
      <c r="R861" s="404"/>
      <c r="S861" s="404"/>
      <c r="T861" s="404"/>
      <c r="U861" s="404"/>
      <c r="V861" s="404"/>
      <c r="W861" s="404"/>
      <c r="X861" s="404"/>
      <c r="Y861" s="404"/>
      <c r="Z861" s="404"/>
      <c r="AA861" s="404"/>
    </row>
    <row r="862">
      <c r="A862" s="404"/>
      <c r="B862" s="419"/>
      <c r="C862" s="404"/>
      <c r="D862" s="404"/>
      <c r="E862" s="404"/>
      <c r="F862" s="404"/>
      <c r="G862" s="404"/>
      <c r="H862" s="404"/>
      <c r="I862" s="404"/>
      <c r="J862" s="404"/>
      <c r="K862" s="404"/>
      <c r="L862" s="404"/>
      <c r="M862" s="404"/>
      <c r="N862" s="404"/>
      <c r="O862" s="404"/>
      <c r="P862" s="404"/>
      <c r="Q862" s="404"/>
      <c r="R862" s="404"/>
      <c r="S862" s="404"/>
      <c r="T862" s="404"/>
      <c r="U862" s="404"/>
      <c r="V862" s="404"/>
      <c r="W862" s="404"/>
      <c r="X862" s="404"/>
      <c r="Y862" s="404"/>
      <c r="Z862" s="404"/>
      <c r="AA862" s="404"/>
    </row>
    <row r="863">
      <c r="A863" s="404"/>
      <c r="B863" s="419"/>
      <c r="C863" s="404"/>
      <c r="D863" s="404"/>
      <c r="E863" s="404"/>
      <c r="F863" s="404"/>
      <c r="G863" s="404"/>
      <c r="H863" s="404"/>
      <c r="I863" s="404"/>
      <c r="J863" s="404"/>
      <c r="K863" s="404"/>
      <c r="L863" s="404"/>
      <c r="M863" s="404"/>
      <c r="N863" s="404"/>
      <c r="O863" s="404"/>
      <c r="P863" s="404"/>
      <c r="Q863" s="404"/>
      <c r="R863" s="404"/>
      <c r="S863" s="404"/>
      <c r="T863" s="404"/>
      <c r="U863" s="404"/>
      <c r="V863" s="404"/>
      <c r="W863" s="404"/>
      <c r="X863" s="404"/>
      <c r="Y863" s="404"/>
      <c r="Z863" s="404"/>
      <c r="AA863" s="404"/>
    </row>
    <row r="864">
      <c r="A864" s="404"/>
      <c r="B864" s="419"/>
      <c r="C864" s="404"/>
      <c r="D864" s="404"/>
      <c r="E864" s="404"/>
      <c r="F864" s="404"/>
      <c r="G864" s="404"/>
      <c r="H864" s="404"/>
      <c r="I864" s="404"/>
      <c r="J864" s="404"/>
      <c r="K864" s="404"/>
      <c r="L864" s="404"/>
      <c r="M864" s="404"/>
      <c r="N864" s="404"/>
      <c r="O864" s="404"/>
      <c r="P864" s="404"/>
      <c r="Q864" s="404"/>
      <c r="R864" s="404"/>
      <c r="S864" s="404"/>
      <c r="T864" s="404"/>
      <c r="U864" s="404"/>
      <c r="V864" s="404"/>
      <c r="W864" s="404"/>
      <c r="X864" s="404"/>
      <c r="Y864" s="404"/>
      <c r="Z864" s="404"/>
      <c r="AA864" s="404"/>
    </row>
    <row r="865">
      <c r="A865" s="404"/>
      <c r="B865" s="419"/>
      <c r="C865" s="404"/>
      <c r="D865" s="404"/>
      <c r="E865" s="404"/>
      <c r="F865" s="404"/>
      <c r="G865" s="404"/>
      <c r="H865" s="404"/>
      <c r="I865" s="404"/>
      <c r="J865" s="404"/>
      <c r="K865" s="404"/>
      <c r="L865" s="404"/>
      <c r="M865" s="404"/>
      <c r="N865" s="404"/>
      <c r="O865" s="404"/>
      <c r="P865" s="404"/>
      <c r="Q865" s="404"/>
      <c r="R865" s="404"/>
      <c r="S865" s="404"/>
      <c r="T865" s="404"/>
      <c r="U865" s="404"/>
      <c r="V865" s="404"/>
      <c r="W865" s="404"/>
      <c r="X865" s="404"/>
      <c r="Y865" s="404"/>
      <c r="Z865" s="404"/>
      <c r="AA865" s="404"/>
    </row>
    <row r="866">
      <c r="A866" s="404"/>
      <c r="B866" s="419"/>
      <c r="C866" s="404"/>
      <c r="D866" s="404"/>
      <c r="E866" s="404"/>
      <c r="F866" s="404"/>
      <c r="G866" s="404"/>
      <c r="H866" s="404"/>
      <c r="I866" s="404"/>
      <c r="J866" s="404"/>
      <c r="K866" s="404"/>
      <c r="L866" s="404"/>
      <c r="M866" s="404"/>
      <c r="N866" s="404"/>
      <c r="O866" s="404"/>
      <c r="P866" s="404"/>
      <c r="Q866" s="404"/>
      <c r="R866" s="404"/>
      <c r="S866" s="404"/>
      <c r="T866" s="404"/>
      <c r="U866" s="404"/>
      <c r="V866" s="404"/>
      <c r="W866" s="404"/>
      <c r="X866" s="404"/>
      <c r="Y866" s="404"/>
      <c r="Z866" s="404"/>
      <c r="AA866" s="404"/>
    </row>
    <row r="867">
      <c r="A867" s="404"/>
      <c r="B867" s="419"/>
      <c r="C867" s="404"/>
      <c r="D867" s="404"/>
      <c r="E867" s="404"/>
      <c r="F867" s="404"/>
      <c r="G867" s="404"/>
      <c r="H867" s="404"/>
      <c r="I867" s="404"/>
      <c r="J867" s="404"/>
      <c r="K867" s="404"/>
      <c r="L867" s="404"/>
      <c r="M867" s="404"/>
      <c r="N867" s="404"/>
      <c r="O867" s="404"/>
      <c r="P867" s="404"/>
      <c r="Q867" s="404"/>
      <c r="R867" s="404"/>
      <c r="S867" s="404"/>
      <c r="T867" s="404"/>
      <c r="U867" s="404"/>
      <c r="V867" s="404"/>
      <c r="W867" s="404"/>
      <c r="X867" s="404"/>
      <c r="Y867" s="404"/>
      <c r="Z867" s="404"/>
      <c r="AA867" s="404"/>
    </row>
    <row r="868">
      <c r="A868" s="404"/>
      <c r="B868" s="419"/>
      <c r="C868" s="404"/>
      <c r="D868" s="404"/>
      <c r="E868" s="404"/>
      <c r="F868" s="404"/>
      <c r="G868" s="404"/>
      <c r="H868" s="404"/>
      <c r="I868" s="404"/>
      <c r="J868" s="404"/>
      <c r="K868" s="404"/>
      <c r="L868" s="404"/>
      <c r="M868" s="404"/>
      <c r="N868" s="404"/>
      <c r="O868" s="404"/>
      <c r="P868" s="404"/>
      <c r="Q868" s="404"/>
      <c r="R868" s="404"/>
      <c r="S868" s="404"/>
      <c r="T868" s="404"/>
      <c r="U868" s="404"/>
      <c r="V868" s="404"/>
      <c r="W868" s="404"/>
      <c r="X868" s="404"/>
      <c r="Y868" s="404"/>
      <c r="Z868" s="404"/>
      <c r="AA868" s="404"/>
    </row>
    <row r="869">
      <c r="A869" s="404"/>
      <c r="B869" s="419"/>
      <c r="C869" s="404"/>
      <c r="D869" s="404"/>
      <c r="E869" s="404"/>
      <c r="F869" s="404"/>
      <c r="G869" s="404"/>
      <c r="H869" s="404"/>
      <c r="I869" s="404"/>
      <c r="J869" s="404"/>
      <c r="K869" s="404"/>
      <c r="L869" s="404"/>
      <c r="M869" s="404"/>
      <c r="N869" s="404"/>
      <c r="O869" s="404"/>
      <c r="P869" s="404"/>
      <c r="Q869" s="404"/>
      <c r="R869" s="404"/>
      <c r="S869" s="404"/>
      <c r="T869" s="404"/>
      <c r="U869" s="404"/>
      <c r="V869" s="404"/>
      <c r="W869" s="404"/>
      <c r="X869" s="404"/>
      <c r="Y869" s="404"/>
      <c r="Z869" s="404"/>
      <c r="AA869" s="404"/>
    </row>
    <row r="870">
      <c r="A870" s="404"/>
      <c r="B870" s="419"/>
      <c r="C870" s="404"/>
      <c r="D870" s="404"/>
      <c r="E870" s="404"/>
      <c r="F870" s="404"/>
      <c r="G870" s="404"/>
      <c r="H870" s="404"/>
      <c r="I870" s="404"/>
      <c r="J870" s="404"/>
      <c r="K870" s="404"/>
      <c r="L870" s="404"/>
      <c r="M870" s="404"/>
      <c r="N870" s="404"/>
      <c r="O870" s="404"/>
      <c r="P870" s="404"/>
      <c r="Q870" s="404"/>
      <c r="R870" s="404"/>
      <c r="S870" s="404"/>
      <c r="T870" s="404"/>
      <c r="U870" s="404"/>
      <c r="V870" s="404"/>
      <c r="W870" s="404"/>
      <c r="X870" s="404"/>
      <c r="Y870" s="404"/>
      <c r="Z870" s="404"/>
      <c r="AA870" s="404"/>
    </row>
    <row r="871">
      <c r="A871" s="404"/>
      <c r="B871" s="419"/>
      <c r="C871" s="404"/>
      <c r="D871" s="404"/>
      <c r="E871" s="404"/>
      <c r="F871" s="404"/>
      <c r="G871" s="404"/>
      <c r="H871" s="404"/>
      <c r="I871" s="404"/>
      <c r="J871" s="404"/>
      <c r="K871" s="404"/>
      <c r="L871" s="404"/>
      <c r="M871" s="404"/>
      <c r="N871" s="404"/>
      <c r="O871" s="404"/>
      <c r="P871" s="404"/>
      <c r="Q871" s="404"/>
      <c r="R871" s="404"/>
      <c r="S871" s="404"/>
      <c r="T871" s="404"/>
      <c r="U871" s="404"/>
      <c r="V871" s="404"/>
      <c r="W871" s="404"/>
      <c r="X871" s="404"/>
      <c r="Y871" s="404"/>
      <c r="Z871" s="404"/>
      <c r="AA871" s="404"/>
    </row>
    <row r="872">
      <c r="A872" s="404"/>
      <c r="B872" s="419"/>
      <c r="C872" s="404"/>
      <c r="D872" s="404"/>
      <c r="E872" s="404"/>
      <c r="F872" s="404"/>
      <c r="G872" s="404"/>
      <c r="H872" s="404"/>
      <c r="I872" s="404"/>
      <c r="J872" s="404"/>
      <c r="K872" s="404"/>
      <c r="L872" s="404"/>
      <c r="M872" s="404"/>
      <c r="N872" s="404"/>
      <c r="O872" s="404"/>
      <c r="P872" s="404"/>
      <c r="Q872" s="404"/>
      <c r="R872" s="404"/>
      <c r="S872" s="404"/>
      <c r="T872" s="404"/>
      <c r="U872" s="404"/>
      <c r="V872" s="404"/>
      <c r="W872" s="404"/>
      <c r="X872" s="404"/>
      <c r="Y872" s="404"/>
      <c r="Z872" s="404"/>
      <c r="AA872" s="404"/>
    </row>
    <row r="873">
      <c r="A873" s="404"/>
      <c r="B873" s="419"/>
      <c r="C873" s="404"/>
      <c r="D873" s="404"/>
      <c r="E873" s="404"/>
      <c r="F873" s="404"/>
      <c r="G873" s="404"/>
      <c r="H873" s="404"/>
      <c r="I873" s="404"/>
      <c r="J873" s="404"/>
      <c r="K873" s="404"/>
      <c r="L873" s="404"/>
      <c r="M873" s="404"/>
      <c r="N873" s="404"/>
      <c r="O873" s="404"/>
      <c r="P873" s="404"/>
      <c r="Q873" s="404"/>
      <c r="R873" s="404"/>
      <c r="S873" s="404"/>
      <c r="T873" s="404"/>
      <c r="U873" s="404"/>
      <c r="V873" s="404"/>
      <c r="W873" s="404"/>
      <c r="X873" s="404"/>
      <c r="Y873" s="404"/>
      <c r="Z873" s="404"/>
      <c r="AA873" s="404"/>
    </row>
    <row r="874">
      <c r="A874" s="404"/>
      <c r="B874" s="419"/>
      <c r="C874" s="404"/>
      <c r="D874" s="404"/>
      <c r="E874" s="404"/>
      <c r="F874" s="404"/>
      <c r="G874" s="404"/>
      <c r="H874" s="404"/>
      <c r="I874" s="404"/>
      <c r="J874" s="404"/>
      <c r="K874" s="404"/>
      <c r="L874" s="404"/>
      <c r="M874" s="404"/>
      <c r="N874" s="404"/>
      <c r="O874" s="404"/>
      <c r="P874" s="404"/>
      <c r="Q874" s="404"/>
      <c r="R874" s="404"/>
      <c r="S874" s="404"/>
      <c r="T874" s="404"/>
      <c r="U874" s="404"/>
      <c r="V874" s="404"/>
      <c r="W874" s="404"/>
      <c r="X874" s="404"/>
      <c r="Y874" s="404"/>
      <c r="Z874" s="404"/>
      <c r="AA874" s="404"/>
    </row>
    <row r="875">
      <c r="A875" s="404"/>
      <c r="B875" s="419"/>
      <c r="C875" s="404"/>
      <c r="D875" s="404"/>
      <c r="E875" s="404"/>
      <c r="F875" s="404"/>
      <c r="G875" s="404"/>
      <c r="H875" s="404"/>
      <c r="I875" s="404"/>
      <c r="J875" s="404"/>
      <c r="K875" s="404"/>
      <c r="L875" s="404"/>
      <c r="M875" s="404"/>
      <c r="N875" s="404"/>
      <c r="O875" s="404"/>
      <c r="P875" s="404"/>
      <c r="Q875" s="404"/>
      <c r="R875" s="404"/>
      <c r="S875" s="404"/>
      <c r="T875" s="404"/>
      <c r="U875" s="404"/>
      <c r="V875" s="404"/>
      <c r="W875" s="404"/>
      <c r="X875" s="404"/>
      <c r="Y875" s="404"/>
      <c r="Z875" s="404"/>
      <c r="AA875" s="404"/>
    </row>
    <row r="876">
      <c r="A876" s="404"/>
      <c r="B876" s="419"/>
      <c r="C876" s="404"/>
      <c r="D876" s="404"/>
      <c r="E876" s="404"/>
      <c r="F876" s="404"/>
      <c r="G876" s="404"/>
      <c r="H876" s="404"/>
      <c r="I876" s="404"/>
      <c r="J876" s="404"/>
      <c r="K876" s="404"/>
      <c r="L876" s="404"/>
      <c r="M876" s="404"/>
      <c r="N876" s="404"/>
      <c r="O876" s="404"/>
      <c r="P876" s="404"/>
      <c r="Q876" s="404"/>
      <c r="R876" s="404"/>
      <c r="S876" s="404"/>
      <c r="T876" s="404"/>
      <c r="U876" s="404"/>
      <c r="V876" s="404"/>
      <c r="W876" s="404"/>
      <c r="X876" s="404"/>
      <c r="Y876" s="404"/>
      <c r="Z876" s="404"/>
      <c r="AA876" s="404"/>
    </row>
    <row r="877">
      <c r="A877" s="404"/>
      <c r="B877" s="419"/>
      <c r="C877" s="404"/>
      <c r="D877" s="404"/>
      <c r="E877" s="404"/>
      <c r="F877" s="404"/>
      <c r="G877" s="404"/>
      <c r="H877" s="404"/>
      <c r="I877" s="404"/>
      <c r="J877" s="404"/>
      <c r="K877" s="404"/>
      <c r="L877" s="404"/>
      <c r="M877" s="404"/>
      <c r="N877" s="404"/>
      <c r="O877" s="404"/>
      <c r="P877" s="404"/>
      <c r="Q877" s="404"/>
      <c r="R877" s="404"/>
      <c r="S877" s="404"/>
      <c r="T877" s="404"/>
      <c r="U877" s="404"/>
      <c r="V877" s="404"/>
      <c r="W877" s="404"/>
      <c r="X877" s="404"/>
      <c r="Y877" s="404"/>
      <c r="Z877" s="404"/>
      <c r="AA877" s="404"/>
    </row>
    <row r="878">
      <c r="A878" s="404"/>
      <c r="B878" s="419"/>
      <c r="C878" s="404"/>
      <c r="D878" s="404"/>
      <c r="E878" s="404"/>
      <c r="F878" s="404"/>
      <c r="G878" s="404"/>
      <c r="H878" s="404"/>
      <c r="I878" s="404"/>
      <c r="J878" s="404"/>
      <c r="K878" s="404"/>
      <c r="L878" s="404"/>
      <c r="M878" s="404"/>
      <c r="N878" s="404"/>
      <c r="O878" s="404"/>
      <c r="P878" s="404"/>
      <c r="Q878" s="404"/>
      <c r="R878" s="404"/>
      <c r="S878" s="404"/>
      <c r="T878" s="404"/>
      <c r="U878" s="404"/>
      <c r="V878" s="404"/>
      <c r="W878" s="404"/>
      <c r="X878" s="404"/>
      <c r="Y878" s="404"/>
      <c r="Z878" s="404"/>
      <c r="AA878" s="404"/>
    </row>
    <row r="879">
      <c r="A879" s="404"/>
      <c r="B879" s="419"/>
      <c r="C879" s="404"/>
      <c r="D879" s="404"/>
      <c r="E879" s="404"/>
      <c r="F879" s="404"/>
      <c r="G879" s="404"/>
      <c r="H879" s="404"/>
      <c r="I879" s="404"/>
      <c r="J879" s="404"/>
      <c r="K879" s="404"/>
      <c r="L879" s="404"/>
      <c r="M879" s="404"/>
      <c r="N879" s="404"/>
      <c r="O879" s="404"/>
      <c r="P879" s="404"/>
      <c r="Q879" s="404"/>
      <c r="R879" s="404"/>
      <c r="S879" s="404"/>
      <c r="T879" s="404"/>
      <c r="U879" s="404"/>
      <c r="V879" s="404"/>
      <c r="W879" s="404"/>
      <c r="X879" s="404"/>
      <c r="Y879" s="404"/>
      <c r="Z879" s="404"/>
      <c r="AA879" s="404"/>
    </row>
    <row r="880">
      <c r="A880" s="404"/>
      <c r="B880" s="419"/>
      <c r="C880" s="404"/>
      <c r="D880" s="404"/>
      <c r="E880" s="404"/>
      <c r="F880" s="404"/>
      <c r="G880" s="404"/>
      <c r="H880" s="404"/>
      <c r="I880" s="404"/>
      <c r="J880" s="404"/>
      <c r="K880" s="404"/>
      <c r="L880" s="404"/>
      <c r="M880" s="404"/>
      <c r="N880" s="404"/>
      <c r="O880" s="404"/>
      <c r="P880" s="404"/>
      <c r="Q880" s="404"/>
      <c r="R880" s="404"/>
      <c r="S880" s="404"/>
      <c r="T880" s="404"/>
      <c r="U880" s="404"/>
      <c r="V880" s="404"/>
      <c r="W880" s="404"/>
      <c r="X880" s="404"/>
      <c r="Y880" s="404"/>
      <c r="Z880" s="404"/>
      <c r="AA880" s="404"/>
    </row>
    <row r="881">
      <c r="A881" s="404"/>
      <c r="B881" s="419"/>
      <c r="C881" s="404"/>
      <c r="D881" s="404"/>
      <c r="E881" s="404"/>
      <c r="F881" s="404"/>
      <c r="G881" s="404"/>
      <c r="H881" s="404"/>
      <c r="I881" s="404"/>
      <c r="J881" s="404"/>
      <c r="K881" s="404"/>
      <c r="L881" s="404"/>
      <c r="M881" s="404"/>
      <c r="N881" s="404"/>
      <c r="O881" s="404"/>
      <c r="P881" s="404"/>
      <c r="Q881" s="404"/>
      <c r="R881" s="404"/>
      <c r="S881" s="404"/>
      <c r="T881" s="404"/>
      <c r="U881" s="404"/>
      <c r="V881" s="404"/>
      <c r="W881" s="404"/>
      <c r="X881" s="404"/>
      <c r="Y881" s="404"/>
      <c r="Z881" s="404"/>
      <c r="AA881" s="404"/>
    </row>
    <row r="882">
      <c r="A882" s="404"/>
      <c r="B882" s="419"/>
      <c r="C882" s="404"/>
      <c r="D882" s="404"/>
      <c r="E882" s="404"/>
      <c r="F882" s="404"/>
      <c r="G882" s="404"/>
      <c r="H882" s="404"/>
      <c r="I882" s="404"/>
      <c r="J882" s="404"/>
      <c r="K882" s="404"/>
      <c r="L882" s="404"/>
      <c r="M882" s="404"/>
      <c r="N882" s="404"/>
      <c r="O882" s="404"/>
      <c r="P882" s="404"/>
      <c r="Q882" s="404"/>
      <c r="R882" s="404"/>
      <c r="S882" s="404"/>
      <c r="T882" s="404"/>
      <c r="U882" s="404"/>
      <c r="V882" s="404"/>
      <c r="W882" s="404"/>
      <c r="X882" s="404"/>
      <c r="Y882" s="404"/>
      <c r="Z882" s="404"/>
      <c r="AA882" s="404"/>
    </row>
    <row r="883">
      <c r="A883" s="404"/>
      <c r="B883" s="419"/>
      <c r="C883" s="404"/>
      <c r="D883" s="404"/>
      <c r="E883" s="404"/>
      <c r="F883" s="404"/>
      <c r="G883" s="404"/>
      <c r="H883" s="404"/>
      <c r="I883" s="404"/>
      <c r="J883" s="404"/>
      <c r="K883" s="404"/>
      <c r="L883" s="404"/>
      <c r="M883" s="404"/>
      <c r="N883" s="404"/>
      <c r="O883" s="404"/>
      <c r="P883" s="404"/>
      <c r="Q883" s="404"/>
      <c r="R883" s="404"/>
      <c r="S883" s="404"/>
      <c r="T883" s="404"/>
      <c r="U883" s="404"/>
      <c r="V883" s="404"/>
      <c r="W883" s="404"/>
      <c r="X883" s="404"/>
      <c r="Y883" s="404"/>
      <c r="Z883" s="404"/>
      <c r="AA883" s="404"/>
    </row>
    <row r="884">
      <c r="A884" s="404"/>
      <c r="B884" s="419"/>
      <c r="C884" s="404"/>
      <c r="D884" s="404"/>
      <c r="E884" s="404"/>
      <c r="F884" s="404"/>
      <c r="G884" s="404"/>
      <c r="H884" s="404"/>
      <c r="I884" s="404"/>
      <c r="J884" s="404"/>
      <c r="K884" s="404"/>
      <c r="L884" s="404"/>
      <c r="M884" s="404"/>
      <c r="N884" s="404"/>
      <c r="O884" s="404"/>
      <c r="P884" s="404"/>
      <c r="Q884" s="404"/>
      <c r="R884" s="404"/>
      <c r="S884" s="404"/>
      <c r="T884" s="404"/>
      <c r="U884" s="404"/>
      <c r="V884" s="404"/>
      <c r="W884" s="404"/>
      <c r="X884" s="404"/>
      <c r="Y884" s="404"/>
      <c r="Z884" s="404"/>
      <c r="AA884" s="404"/>
    </row>
    <row r="885">
      <c r="A885" s="404"/>
      <c r="B885" s="419"/>
      <c r="C885" s="404"/>
      <c r="D885" s="404"/>
      <c r="E885" s="404"/>
      <c r="F885" s="404"/>
      <c r="G885" s="404"/>
      <c r="H885" s="404"/>
      <c r="I885" s="404"/>
      <c r="J885" s="404"/>
      <c r="K885" s="404"/>
      <c r="L885" s="404"/>
      <c r="M885" s="404"/>
      <c r="N885" s="404"/>
      <c r="O885" s="404"/>
      <c r="P885" s="404"/>
      <c r="Q885" s="404"/>
      <c r="R885" s="404"/>
      <c r="S885" s="404"/>
      <c r="T885" s="404"/>
      <c r="U885" s="404"/>
      <c r="V885" s="404"/>
      <c r="W885" s="404"/>
      <c r="X885" s="404"/>
      <c r="Y885" s="404"/>
      <c r="Z885" s="404"/>
      <c r="AA885" s="404"/>
    </row>
    <row r="886">
      <c r="A886" s="404"/>
      <c r="B886" s="419"/>
      <c r="C886" s="404"/>
      <c r="D886" s="404"/>
      <c r="E886" s="404"/>
      <c r="F886" s="404"/>
      <c r="G886" s="404"/>
      <c r="H886" s="404"/>
      <c r="I886" s="404"/>
      <c r="J886" s="404"/>
      <c r="K886" s="404"/>
      <c r="L886" s="404"/>
      <c r="M886" s="404"/>
      <c r="N886" s="404"/>
      <c r="O886" s="404"/>
      <c r="P886" s="404"/>
      <c r="Q886" s="404"/>
      <c r="R886" s="404"/>
      <c r="S886" s="404"/>
      <c r="T886" s="404"/>
      <c r="U886" s="404"/>
      <c r="V886" s="404"/>
      <c r="W886" s="404"/>
      <c r="X886" s="404"/>
      <c r="Y886" s="404"/>
      <c r="Z886" s="404"/>
      <c r="AA886" s="404"/>
    </row>
    <row r="887">
      <c r="A887" s="404"/>
      <c r="B887" s="419"/>
      <c r="C887" s="404"/>
      <c r="D887" s="404"/>
      <c r="E887" s="404"/>
      <c r="F887" s="404"/>
      <c r="G887" s="404"/>
      <c r="H887" s="404"/>
      <c r="I887" s="404"/>
      <c r="J887" s="404"/>
      <c r="K887" s="404"/>
      <c r="L887" s="404"/>
      <c r="M887" s="404"/>
      <c r="N887" s="404"/>
      <c r="O887" s="404"/>
      <c r="P887" s="404"/>
      <c r="Q887" s="404"/>
      <c r="R887" s="404"/>
      <c r="S887" s="404"/>
      <c r="T887" s="404"/>
      <c r="U887" s="404"/>
      <c r="V887" s="404"/>
      <c r="W887" s="404"/>
      <c r="X887" s="404"/>
      <c r="Y887" s="404"/>
      <c r="Z887" s="404"/>
      <c r="AA887" s="404"/>
    </row>
    <row r="888">
      <c r="A888" s="404"/>
      <c r="B888" s="419"/>
      <c r="C888" s="404"/>
      <c r="D888" s="404"/>
      <c r="E888" s="404"/>
      <c r="F888" s="404"/>
      <c r="G888" s="404"/>
      <c r="H888" s="404"/>
      <c r="I888" s="404"/>
      <c r="J888" s="404"/>
      <c r="K888" s="404"/>
      <c r="L888" s="404"/>
      <c r="M888" s="404"/>
      <c r="N888" s="404"/>
      <c r="O888" s="404"/>
      <c r="P888" s="404"/>
      <c r="Q888" s="404"/>
      <c r="R888" s="404"/>
      <c r="S888" s="404"/>
      <c r="T888" s="404"/>
      <c r="U888" s="404"/>
      <c r="V888" s="404"/>
      <c r="W888" s="404"/>
      <c r="X888" s="404"/>
      <c r="Y888" s="404"/>
      <c r="Z888" s="404"/>
      <c r="AA888" s="404"/>
    </row>
    <row r="889">
      <c r="A889" s="404"/>
      <c r="B889" s="419"/>
      <c r="C889" s="404"/>
      <c r="D889" s="404"/>
      <c r="E889" s="404"/>
      <c r="F889" s="404"/>
      <c r="G889" s="404"/>
      <c r="H889" s="404"/>
      <c r="I889" s="404"/>
      <c r="J889" s="404"/>
      <c r="K889" s="404"/>
      <c r="L889" s="404"/>
      <c r="M889" s="404"/>
      <c r="N889" s="404"/>
      <c r="O889" s="404"/>
      <c r="P889" s="404"/>
      <c r="Q889" s="404"/>
      <c r="R889" s="404"/>
      <c r="S889" s="404"/>
      <c r="T889" s="404"/>
      <c r="U889" s="404"/>
      <c r="V889" s="404"/>
      <c r="W889" s="404"/>
      <c r="X889" s="404"/>
      <c r="Y889" s="404"/>
      <c r="Z889" s="404"/>
      <c r="AA889" s="404"/>
    </row>
    <row r="890">
      <c r="A890" s="404"/>
      <c r="B890" s="419"/>
      <c r="C890" s="404"/>
      <c r="D890" s="404"/>
      <c r="E890" s="404"/>
      <c r="F890" s="404"/>
      <c r="G890" s="404"/>
      <c r="H890" s="404"/>
      <c r="I890" s="404"/>
      <c r="J890" s="404"/>
      <c r="K890" s="404"/>
      <c r="L890" s="404"/>
      <c r="M890" s="404"/>
      <c r="N890" s="404"/>
      <c r="O890" s="404"/>
      <c r="P890" s="404"/>
      <c r="Q890" s="404"/>
      <c r="R890" s="404"/>
      <c r="S890" s="404"/>
      <c r="T890" s="404"/>
      <c r="U890" s="404"/>
      <c r="V890" s="404"/>
      <c r="W890" s="404"/>
      <c r="X890" s="404"/>
      <c r="Y890" s="404"/>
      <c r="Z890" s="404"/>
      <c r="AA890" s="404"/>
    </row>
    <row r="891">
      <c r="A891" s="404"/>
      <c r="B891" s="419"/>
      <c r="C891" s="404"/>
      <c r="D891" s="404"/>
      <c r="E891" s="404"/>
      <c r="F891" s="404"/>
      <c r="G891" s="404"/>
      <c r="H891" s="404"/>
      <c r="I891" s="404"/>
      <c r="J891" s="404"/>
      <c r="K891" s="404"/>
      <c r="L891" s="404"/>
      <c r="M891" s="404"/>
      <c r="N891" s="404"/>
      <c r="O891" s="404"/>
      <c r="P891" s="404"/>
      <c r="Q891" s="404"/>
      <c r="R891" s="404"/>
      <c r="S891" s="404"/>
      <c r="T891" s="404"/>
      <c r="U891" s="404"/>
      <c r="V891" s="404"/>
      <c r="W891" s="404"/>
      <c r="X891" s="404"/>
      <c r="Y891" s="404"/>
      <c r="Z891" s="404"/>
      <c r="AA891" s="404"/>
    </row>
    <row r="892">
      <c r="A892" s="404"/>
      <c r="B892" s="419"/>
      <c r="C892" s="404"/>
      <c r="D892" s="404"/>
      <c r="E892" s="404"/>
      <c r="F892" s="404"/>
      <c r="G892" s="404"/>
      <c r="H892" s="404"/>
      <c r="I892" s="404"/>
      <c r="J892" s="404"/>
      <c r="K892" s="404"/>
      <c r="L892" s="404"/>
      <c r="M892" s="404"/>
      <c r="N892" s="404"/>
      <c r="O892" s="404"/>
      <c r="P892" s="404"/>
      <c r="Q892" s="404"/>
      <c r="R892" s="404"/>
      <c r="S892" s="404"/>
      <c r="T892" s="404"/>
      <c r="U892" s="404"/>
      <c r="V892" s="404"/>
      <c r="W892" s="404"/>
      <c r="X892" s="404"/>
      <c r="Y892" s="404"/>
      <c r="Z892" s="404"/>
      <c r="AA892" s="404"/>
    </row>
    <row r="893">
      <c r="A893" s="404"/>
      <c r="B893" s="419"/>
      <c r="C893" s="404"/>
      <c r="D893" s="404"/>
      <c r="E893" s="404"/>
      <c r="F893" s="404"/>
      <c r="G893" s="404"/>
      <c r="H893" s="404"/>
      <c r="I893" s="404"/>
      <c r="J893" s="404"/>
      <c r="K893" s="404"/>
      <c r="L893" s="404"/>
      <c r="M893" s="404"/>
      <c r="N893" s="404"/>
      <c r="O893" s="404"/>
      <c r="P893" s="404"/>
      <c r="Q893" s="404"/>
      <c r="R893" s="404"/>
      <c r="S893" s="404"/>
      <c r="T893" s="404"/>
      <c r="U893" s="404"/>
      <c r="V893" s="404"/>
      <c r="W893" s="404"/>
      <c r="X893" s="404"/>
      <c r="Y893" s="404"/>
      <c r="Z893" s="404"/>
      <c r="AA893" s="404"/>
    </row>
    <row r="894">
      <c r="A894" s="404"/>
      <c r="B894" s="419"/>
      <c r="C894" s="404"/>
      <c r="D894" s="404"/>
      <c r="E894" s="404"/>
      <c r="F894" s="404"/>
      <c r="G894" s="404"/>
      <c r="H894" s="404"/>
      <c r="I894" s="404"/>
      <c r="J894" s="404"/>
      <c r="K894" s="404"/>
      <c r="L894" s="404"/>
      <c r="M894" s="404"/>
      <c r="N894" s="404"/>
      <c r="O894" s="404"/>
      <c r="P894" s="404"/>
      <c r="Q894" s="404"/>
      <c r="R894" s="404"/>
      <c r="S894" s="404"/>
      <c r="T894" s="404"/>
      <c r="U894" s="404"/>
      <c r="V894" s="404"/>
      <c r="W894" s="404"/>
      <c r="X894" s="404"/>
      <c r="Y894" s="404"/>
      <c r="Z894" s="404"/>
      <c r="AA894" s="404"/>
    </row>
    <row r="895">
      <c r="A895" s="404"/>
      <c r="B895" s="419"/>
      <c r="C895" s="404"/>
      <c r="D895" s="404"/>
      <c r="E895" s="404"/>
      <c r="F895" s="404"/>
      <c r="G895" s="404"/>
      <c r="H895" s="404"/>
      <c r="I895" s="404"/>
      <c r="J895" s="404"/>
      <c r="K895" s="404"/>
      <c r="L895" s="404"/>
      <c r="M895" s="404"/>
      <c r="N895" s="404"/>
      <c r="O895" s="404"/>
      <c r="P895" s="404"/>
      <c r="Q895" s="404"/>
      <c r="R895" s="404"/>
      <c r="S895" s="404"/>
      <c r="T895" s="404"/>
      <c r="U895" s="404"/>
      <c r="V895" s="404"/>
      <c r="W895" s="404"/>
      <c r="X895" s="404"/>
      <c r="Y895" s="404"/>
      <c r="Z895" s="404"/>
      <c r="AA895" s="404"/>
    </row>
    <row r="896">
      <c r="A896" s="404"/>
      <c r="B896" s="419"/>
      <c r="C896" s="404"/>
      <c r="D896" s="404"/>
      <c r="E896" s="404"/>
      <c r="F896" s="404"/>
      <c r="G896" s="404"/>
      <c r="H896" s="404"/>
      <c r="I896" s="404"/>
      <c r="J896" s="404"/>
      <c r="K896" s="404"/>
      <c r="L896" s="404"/>
      <c r="M896" s="404"/>
      <c r="N896" s="404"/>
      <c r="O896" s="404"/>
      <c r="P896" s="404"/>
      <c r="Q896" s="404"/>
      <c r="R896" s="404"/>
      <c r="S896" s="404"/>
      <c r="T896" s="404"/>
      <c r="U896" s="404"/>
      <c r="V896" s="404"/>
      <c r="W896" s="404"/>
      <c r="X896" s="404"/>
      <c r="Y896" s="404"/>
      <c r="Z896" s="404"/>
      <c r="AA896" s="404"/>
    </row>
    <row r="897">
      <c r="A897" s="404"/>
      <c r="B897" s="419"/>
      <c r="C897" s="404"/>
      <c r="D897" s="404"/>
      <c r="E897" s="404"/>
      <c r="F897" s="404"/>
      <c r="G897" s="404"/>
      <c r="H897" s="404"/>
      <c r="I897" s="404"/>
      <c r="J897" s="404"/>
      <c r="K897" s="404"/>
      <c r="L897" s="404"/>
      <c r="M897" s="404"/>
      <c r="N897" s="404"/>
      <c r="O897" s="404"/>
      <c r="P897" s="404"/>
      <c r="Q897" s="404"/>
      <c r="R897" s="404"/>
      <c r="S897" s="404"/>
      <c r="T897" s="404"/>
      <c r="U897" s="404"/>
      <c r="V897" s="404"/>
      <c r="W897" s="404"/>
      <c r="X897" s="404"/>
      <c r="Y897" s="404"/>
      <c r="Z897" s="404"/>
      <c r="AA897" s="404"/>
    </row>
    <row r="898">
      <c r="A898" s="404"/>
      <c r="B898" s="419"/>
      <c r="C898" s="404"/>
      <c r="D898" s="404"/>
      <c r="E898" s="404"/>
      <c r="F898" s="404"/>
      <c r="G898" s="404"/>
      <c r="H898" s="404"/>
      <c r="I898" s="404"/>
      <c r="J898" s="404"/>
      <c r="K898" s="404"/>
      <c r="L898" s="404"/>
      <c r="M898" s="404"/>
      <c r="N898" s="404"/>
      <c r="O898" s="404"/>
      <c r="P898" s="404"/>
      <c r="Q898" s="404"/>
      <c r="R898" s="404"/>
      <c r="S898" s="404"/>
      <c r="T898" s="404"/>
      <c r="U898" s="404"/>
      <c r="V898" s="404"/>
      <c r="W898" s="404"/>
      <c r="X898" s="404"/>
      <c r="Y898" s="404"/>
      <c r="Z898" s="404"/>
      <c r="AA898" s="404"/>
    </row>
    <row r="899">
      <c r="A899" s="404"/>
      <c r="B899" s="419"/>
      <c r="C899" s="404"/>
      <c r="D899" s="404"/>
      <c r="E899" s="404"/>
      <c r="F899" s="404"/>
      <c r="G899" s="404"/>
      <c r="H899" s="404"/>
      <c r="I899" s="404"/>
      <c r="J899" s="404"/>
      <c r="K899" s="404"/>
      <c r="L899" s="404"/>
      <c r="M899" s="404"/>
      <c r="N899" s="404"/>
      <c r="O899" s="404"/>
      <c r="P899" s="404"/>
      <c r="Q899" s="404"/>
      <c r="R899" s="404"/>
      <c r="S899" s="404"/>
      <c r="T899" s="404"/>
      <c r="U899" s="404"/>
      <c r="V899" s="404"/>
      <c r="W899" s="404"/>
      <c r="X899" s="404"/>
      <c r="Y899" s="404"/>
      <c r="Z899" s="404"/>
      <c r="AA899" s="404"/>
    </row>
    <row r="900">
      <c r="A900" s="404"/>
      <c r="B900" s="419"/>
      <c r="C900" s="404"/>
      <c r="D900" s="404"/>
      <c r="E900" s="404"/>
      <c r="F900" s="404"/>
      <c r="G900" s="404"/>
      <c r="H900" s="404"/>
      <c r="I900" s="404"/>
      <c r="J900" s="404"/>
      <c r="K900" s="404"/>
      <c r="L900" s="404"/>
      <c r="M900" s="404"/>
      <c r="N900" s="404"/>
      <c r="O900" s="404"/>
      <c r="P900" s="404"/>
      <c r="Q900" s="404"/>
      <c r="R900" s="404"/>
      <c r="S900" s="404"/>
      <c r="T900" s="404"/>
      <c r="U900" s="404"/>
      <c r="V900" s="404"/>
      <c r="W900" s="404"/>
      <c r="X900" s="404"/>
      <c r="Y900" s="404"/>
      <c r="Z900" s="404"/>
      <c r="AA900" s="404"/>
    </row>
    <row r="901">
      <c r="A901" s="404"/>
      <c r="B901" s="419"/>
      <c r="C901" s="404"/>
      <c r="D901" s="404"/>
      <c r="E901" s="404"/>
      <c r="F901" s="404"/>
      <c r="G901" s="404"/>
      <c r="H901" s="404"/>
      <c r="I901" s="404"/>
      <c r="J901" s="404"/>
      <c r="K901" s="404"/>
      <c r="L901" s="404"/>
      <c r="M901" s="404"/>
      <c r="N901" s="404"/>
      <c r="O901" s="404"/>
      <c r="P901" s="404"/>
      <c r="Q901" s="404"/>
      <c r="R901" s="404"/>
      <c r="S901" s="404"/>
      <c r="T901" s="404"/>
      <c r="U901" s="404"/>
      <c r="V901" s="404"/>
      <c r="W901" s="404"/>
      <c r="X901" s="404"/>
      <c r="Y901" s="404"/>
      <c r="Z901" s="404"/>
      <c r="AA901" s="404"/>
    </row>
    <row r="902">
      <c r="A902" s="404"/>
      <c r="B902" s="419"/>
      <c r="C902" s="404"/>
      <c r="D902" s="404"/>
      <c r="E902" s="404"/>
      <c r="F902" s="404"/>
      <c r="G902" s="404"/>
      <c r="H902" s="404"/>
      <c r="I902" s="404"/>
      <c r="J902" s="404"/>
      <c r="K902" s="404"/>
      <c r="L902" s="404"/>
      <c r="M902" s="404"/>
      <c r="N902" s="404"/>
      <c r="O902" s="404"/>
      <c r="P902" s="404"/>
      <c r="Q902" s="404"/>
      <c r="R902" s="404"/>
      <c r="S902" s="404"/>
      <c r="T902" s="404"/>
      <c r="U902" s="404"/>
      <c r="V902" s="404"/>
      <c r="W902" s="404"/>
      <c r="X902" s="404"/>
      <c r="Y902" s="404"/>
      <c r="Z902" s="404"/>
      <c r="AA902" s="404"/>
    </row>
    <row r="903">
      <c r="A903" s="404"/>
      <c r="B903" s="419"/>
      <c r="C903" s="404"/>
      <c r="D903" s="404"/>
      <c r="E903" s="404"/>
      <c r="F903" s="404"/>
      <c r="G903" s="404"/>
      <c r="H903" s="404"/>
      <c r="I903" s="404"/>
      <c r="J903" s="404"/>
      <c r="K903" s="404"/>
      <c r="L903" s="404"/>
      <c r="M903" s="404"/>
      <c r="N903" s="404"/>
      <c r="O903" s="404"/>
      <c r="P903" s="404"/>
      <c r="Q903" s="404"/>
      <c r="R903" s="404"/>
      <c r="S903" s="404"/>
      <c r="T903" s="404"/>
      <c r="U903" s="404"/>
      <c r="V903" s="404"/>
      <c r="W903" s="404"/>
      <c r="X903" s="404"/>
      <c r="Y903" s="404"/>
      <c r="Z903" s="404"/>
      <c r="AA903" s="404"/>
    </row>
    <row r="904">
      <c r="A904" s="404"/>
      <c r="B904" s="419"/>
      <c r="C904" s="404"/>
      <c r="D904" s="404"/>
      <c r="E904" s="404"/>
      <c r="F904" s="404"/>
      <c r="G904" s="404"/>
      <c r="H904" s="404"/>
      <c r="I904" s="404"/>
      <c r="J904" s="404"/>
      <c r="K904" s="404"/>
      <c r="L904" s="404"/>
      <c r="M904" s="404"/>
      <c r="N904" s="404"/>
      <c r="O904" s="404"/>
      <c r="P904" s="404"/>
      <c r="Q904" s="404"/>
      <c r="R904" s="404"/>
      <c r="S904" s="404"/>
      <c r="T904" s="404"/>
      <c r="U904" s="404"/>
      <c r="V904" s="404"/>
      <c r="W904" s="404"/>
      <c r="X904" s="404"/>
      <c r="Y904" s="404"/>
      <c r="Z904" s="404"/>
      <c r="AA904" s="404"/>
    </row>
    <row r="905">
      <c r="A905" s="404"/>
      <c r="B905" s="419"/>
      <c r="C905" s="404"/>
      <c r="D905" s="404"/>
      <c r="E905" s="404"/>
      <c r="F905" s="404"/>
      <c r="G905" s="404"/>
      <c r="H905" s="404"/>
      <c r="I905" s="404"/>
      <c r="J905" s="404"/>
      <c r="K905" s="404"/>
      <c r="L905" s="404"/>
      <c r="M905" s="404"/>
      <c r="N905" s="404"/>
      <c r="O905" s="404"/>
      <c r="P905" s="404"/>
      <c r="Q905" s="404"/>
      <c r="R905" s="404"/>
      <c r="S905" s="404"/>
      <c r="T905" s="404"/>
      <c r="U905" s="404"/>
      <c r="V905" s="404"/>
      <c r="W905" s="404"/>
      <c r="X905" s="404"/>
      <c r="Y905" s="404"/>
      <c r="Z905" s="404"/>
      <c r="AA905" s="404"/>
    </row>
    <row r="906">
      <c r="A906" s="404"/>
      <c r="B906" s="419"/>
      <c r="C906" s="404"/>
      <c r="D906" s="404"/>
      <c r="E906" s="404"/>
      <c r="F906" s="404"/>
      <c r="G906" s="404"/>
      <c r="H906" s="404"/>
      <c r="I906" s="404"/>
      <c r="J906" s="404"/>
      <c r="K906" s="404"/>
      <c r="L906" s="404"/>
      <c r="M906" s="404"/>
      <c r="N906" s="404"/>
      <c r="O906" s="404"/>
      <c r="P906" s="404"/>
      <c r="Q906" s="404"/>
      <c r="R906" s="404"/>
      <c r="S906" s="404"/>
      <c r="T906" s="404"/>
      <c r="U906" s="404"/>
      <c r="V906" s="404"/>
      <c r="W906" s="404"/>
      <c r="X906" s="404"/>
      <c r="Y906" s="404"/>
      <c r="Z906" s="404"/>
      <c r="AA906" s="404"/>
    </row>
    <row r="907">
      <c r="A907" s="404"/>
      <c r="B907" s="419"/>
      <c r="C907" s="404"/>
      <c r="D907" s="404"/>
      <c r="E907" s="404"/>
      <c r="F907" s="404"/>
      <c r="G907" s="404"/>
      <c r="H907" s="404"/>
      <c r="I907" s="404"/>
      <c r="J907" s="404"/>
      <c r="K907" s="404"/>
      <c r="L907" s="404"/>
      <c r="M907" s="404"/>
      <c r="N907" s="404"/>
      <c r="O907" s="404"/>
      <c r="P907" s="404"/>
      <c r="Q907" s="404"/>
      <c r="R907" s="404"/>
      <c r="S907" s="404"/>
      <c r="T907" s="404"/>
      <c r="U907" s="404"/>
      <c r="V907" s="404"/>
      <c r="W907" s="404"/>
      <c r="X907" s="404"/>
      <c r="Y907" s="404"/>
      <c r="Z907" s="404"/>
      <c r="AA907" s="404"/>
    </row>
    <row r="908">
      <c r="A908" s="404"/>
      <c r="B908" s="419"/>
      <c r="C908" s="404"/>
      <c r="D908" s="404"/>
      <c r="E908" s="404"/>
      <c r="F908" s="404"/>
      <c r="G908" s="404"/>
      <c r="H908" s="404"/>
      <c r="I908" s="404"/>
      <c r="J908" s="404"/>
      <c r="K908" s="404"/>
      <c r="L908" s="404"/>
      <c r="M908" s="404"/>
      <c r="N908" s="404"/>
      <c r="O908" s="404"/>
      <c r="P908" s="404"/>
      <c r="Q908" s="404"/>
      <c r="R908" s="404"/>
      <c r="S908" s="404"/>
      <c r="T908" s="404"/>
      <c r="U908" s="404"/>
      <c r="V908" s="404"/>
      <c r="W908" s="404"/>
      <c r="X908" s="404"/>
      <c r="Y908" s="404"/>
      <c r="Z908" s="404"/>
      <c r="AA908" s="404"/>
    </row>
    <row r="909">
      <c r="A909" s="404"/>
      <c r="B909" s="419"/>
      <c r="C909" s="404"/>
      <c r="D909" s="404"/>
      <c r="E909" s="404"/>
      <c r="F909" s="404"/>
      <c r="G909" s="404"/>
      <c r="H909" s="404"/>
      <c r="I909" s="404"/>
      <c r="J909" s="404"/>
      <c r="K909" s="404"/>
      <c r="L909" s="404"/>
      <c r="M909" s="404"/>
      <c r="N909" s="404"/>
      <c r="O909" s="404"/>
      <c r="P909" s="404"/>
      <c r="Q909" s="404"/>
      <c r="R909" s="404"/>
      <c r="S909" s="404"/>
      <c r="T909" s="404"/>
      <c r="U909" s="404"/>
      <c r="V909" s="404"/>
      <c r="W909" s="404"/>
      <c r="X909" s="404"/>
      <c r="Y909" s="404"/>
      <c r="Z909" s="404"/>
      <c r="AA909" s="404"/>
    </row>
    <row r="910">
      <c r="A910" s="404"/>
      <c r="B910" s="419"/>
      <c r="C910" s="404"/>
      <c r="D910" s="404"/>
      <c r="E910" s="404"/>
      <c r="F910" s="404"/>
      <c r="G910" s="404"/>
      <c r="H910" s="404"/>
      <c r="I910" s="404"/>
      <c r="J910" s="404"/>
      <c r="K910" s="404"/>
      <c r="L910" s="404"/>
      <c r="M910" s="404"/>
      <c r="N910" s="404"/>
      <c r="O910" s="404"/>
      <c r="P910" s="404"/>
      <c r="Q910" s="404"/>
      <c r="R910" s="404"/>
      <c r="S910" s="404"/>
      <c r="T910" s="404"/>
      <c r="U910" s="404"/>
      <c r="V910" s="404"/>
      <c r="W910" s="404"/>
      <c r="X910" s="404"/>
      <c r="Y910" s="404"/>
      <c r="Z910" s="404"/>
      <c r="AA910" s="404"/>
    </row>
    <row r="911">
      <c r="A911" s="404"/>
      <c r="B911" s="419"/>
      <c r="C911" s="404"/>
      <c r="D911" s="404"/>
      <c r="E911" s="404"/>
      <c r="F911" s="404"/>
      <c r="G911" s="404"/>
      <c r="H911" s="404"/>
      <c r="I911" s="404"/>
      <c r="J911" s="404"/>
      <c r="K911" s="404"/>
      <c r="L911" s="404"/>
      <c r="M911" s="404"/>
      <c r="N911" s="404"/>
      <c r="O911" s="404"/>
      <c r="P911" s="404"/>
      <c r="Q911" s="404"/>
      <c r="R911" s="404"/>
      <c r="S911" s="404"/>
      <c r="T911" s="404"/>
      <c r="U911" s="404"/>
      <c r="V911" s="404"/>
      <c r="W911" s="404"/>
      <c r="X911" s="404"/>
      <c r="Y911" s="404"/>
      <c r="Z911" s="404"/>
      <c r="AA911" s="404"/>
    </row>
    <row r="912">
      <c r="A912" s="404"/>
      <c r="B912" s="419"/>
      <c r="C912" s="404"/>
      <c r="D912" s="404"/>
      <c r="E912" s="404"/>
      <c r="F912" s="404"/>
      <c r="G912" s="404"/>
      <c r="H912" s="404"/>
      <c r="I912" s="404"/>
      <c r="J912" s="404"/>
      <c r="K912" s="404"/>
      <c r="L912" s="404"/>
      <c r="M912" s="404"/>
      <c r="N912" s="404"/>
      <c r="O912" s="404"/>
      <c r="P912" s="404"/>
      <c r="Q912" s="404"/>
      <c r="R912" s="404"/>
      <c r="S912" s="404"/>
      <c r="T912" s="404"/>
      <c r="U912" s="404"/>
      <c r="V912" s="404"/>
      <c r="W912" s="404"/>
      <c r="X912" s="404"/>
      <c r="Y912" s="404"/>
      <c r="Z912" s="404"/>
      <c r="AA912" s="404"/>
    </row>
    <row r="913">
      <c r="A913" s="404"/>
      <c r="B913" s="419"/>
      <c r="C913" s="404"/>
      <c r="D913" s="404"/>
      <c r="E913" s="404"/>
      <c r="F913" s="404"/>
      <c r="G913" s="404"/>
      <c r="H913" s="404"/>
      <c r="I913" s="404"/>
      <c r="J913" s="404"/>
      <c r="K913" s="404"/>
      <c r="L913" s="404"/>
      <c r="M913" s="404"/>
      <c r="N913" s="404"/>
      <c r="O913" s="404"/>
      <c r="P913" s="404"/>
      <c r="Q913" s="404"/>
      <c r="R913" s="404"/>
      <c r="S913" s="404"/>
      <c r="T913" s="404"/>
      <c r="U913" s="404"/>
      <c r="V913" s="404"/>
      <c r="W913" s="404"/>
      <c r="X913" s="404"/>
      <c r="Y913" s="404"/>
      <c r="Z913" s="404"/>
      <c r="AA913" s="404"/>
    </row>
    <row r="914">
      <c r="A914" s="404"/>
      <c r="B914" s="419"/>
      <c r="C914" s="404"/>
      <c r="D914" s="404"/>
      <c r="E914" s="404"/>
      <c r="F914" s="404"/>
      <c r="G914" s="404"/>
      <c r="H914" s="404"/>
      <c r="I914" s="404"/>
      <c r="J914" s="404"/>
      <c r="K914" s="404"/>
      <c r="L914" s="404"/>
      <c r="M914" s="404"/>
      <c r="N914" s="404"/>
      <c r="O914" s="404"/>
      <c r="P914" s="404"/>
      <c r="Q914" s="404"/>
      <c r="R914" s="404"/>
      <c r="S914" s="404"/>
      <c r="T914" s="404"/>
      <c r="U914" s="404"/>
      <c r="V914" s="404"/>
      <c r="W914" s="404"/>
      <c r="X914" s="404"/>
      <c r="Y914" s="404"/>
      <c r="Z914" s="404"/>
      <c r="AA914" s="404"/>
    </row>
    <row r="915">
      <c r="A915" s="404"/>
      <c r="B915" s="419"/>
      <c r="C915" s="404"/>
      <c r="D915" s="404"/>
      <c r="E915" s="404"/>
      <c r="F915" s="404"/>
      <c r="G915" s="404"/>
      <c r="H915" s="404"/>
      <c r="I915" s="404"/>
      <c r="J915" s="404"/>
      <c r="K915" s="404"/>
      <c r="L915" s="404"/>
      <c r="M915" s="404"/>
      <c r="N915" s="404"/>
      <c r="O915" s="404"/>
      <c r="P915" s="404"/>
      <c r="Q915" s="404"/>
      <c r="R915" s="404"/>
      <c r="S915" s="404"/>
      <c r="T915" s="404"/>
      <c r="U915" s="404"/>
      <c r="V915" s="404"/>
      <c r="W915" s="404"/>
      <c r="X915" s="404"/>
      <c r="Y915" s="404"/>
      <c r="Z915" s="404"/>
      <c r="AA915" s="404"/>
    </row>
    <row r="916">
      <c r="A916" s="404"/>
      <c r="B916" s="419"/>
      <c r="C916" s="404"/>
      <c r="D916" s="404"/>
      <c r="E916" s="404"/>
      <c r="F916" s="404"/>
      <c r="G916" s="404"/>
      <c r="H916" s="404"/>
      <c r="I916" s="404"/>
      <c r="J916" s="404"/>
      <c r="K916" s="404"/>
      <c r="L916" s="404"/>
      <c r="M916" s="404"/>
      <c r="N916" s="404"/>
      <c r="O916" s="404"/>
      <c r="P916" s="404"/>
      <c r="Q916" s="404"/>
      <c r="R916" s="404"/>
      <c r="S916" s="404"/>
      <c r="T916" s="404"/>
      <c r="U916" s="404"/>
      <c r="V916" s="404"/>
      <c r="W916" s="404"/>
      <c r="X916" s="404"/>
      <c r="Y916" s="404"/>
      <c r="Z916" s="404"/>
      <c r="AA916" s="404"/>
    </row>
    <row r="917">
      <c r="A917" s="404"/>
      <c r="B917" s="419"/>
      <c r="C917" s="404"/>
      <c r="D917" s="404"/>
      <c r="E917" s="404"/>
      <c r="F917" s="404"/>
      <c r="G917" s="404"/>
      <c r="H917" s="404"/>
      <c r="I917" s="404"/>
      <c r="J917" s="404"/>
      <c r="K917" s="404"/>
      <c r="L917" s="404"/>
      <c r="M917" s="404"/>
      <c r="N917" s="404"/>
      <c r="O917" s="404"/>
      <c r="P917" s="404"/>
      <c r="Q917" s="404"/>
      <c r="R917" s="404"/>
      <c r="S917" s="404"/>
      <c r="T917" s="404"/>
      <c r="U917" s="404"/>
      <c r="V917" s="404"/>
      <c r="W917" s="404"/>
      <c r="X917" s="404"/>
      <c r="Y917" s="404"/>
      <c r="Z917" s="404"/>
      <c r="AA917" s="404"/>
    </row>
    <row r="918">
      <c r="A918" s="404"/>
      <c r="B918" s="419"/>
      <c r="C918" s="404"/>
      <c r="D918" s="404"/>
      <c r="E918" s="404"/>
      <c r="F918" s="404"/>
      <c r="G918" s="404"/>
      <c r="H918" s="404"/>
      <c r="I918" s="404"/>
      <c r="J918" s="404"/>
      <c r="K918" s="404"/>
      <c r="L918" s="404"/>
      <c r="M918" s="404"/>
      <c r="N918" s="404"/>
      <c r="O918" s="404"/>
      <c r="P918" s="404"/>
      <c r="Q918" s="404"/>
      <c r="R918" s="404"/>
      <c r="S918" s="404"/>
      <c r="T918" s="404"/>
      <c r="U918" s="404"/>
      <c r="V918" s="404"/>
      <c r="W918" s="404"/>
      <c r="X918" s="404"/>
      <c r="Y918" s="404"/>
      <c r="Z918" s="404"/>
      <c r="AA918" s="404"/>
    </row>
    <row r="919">
      <c r="A919" s="404"/>
      <c r="B919" s="419"/>
      <c r="C919" s="404"/>
      <c r="D919" s="404"/>
      <c r="E919" s="404"/>
      <c r="F919" s="404"/>
      <c r="G919" s="404"/>
      <c r="H919" s="404"/>
      <c r="I919" s="404"/>
      <c r="J919" s="404"/>
      <c r="K919" s="404"/>
      <c r="L919" s="404"/>
      <c r="M919" s="404"/>
      <c r="N919" s="404"/>
      <c r="O919" s="404"/>
      <c r="P919" s="404"/>
      <c r="Q919" s="404"/>
      <c r="R919" s="404"/>
      <c r="S919" s="404"/>
      <c r="T919" s="404"/>
      <c r="U919" s="404"/>
      <c r="V919" s="404"/>
      <c r="W919" s="404"/>
      <c r="X919" s="404"/>
      <c r="Y919" s="404"/>
      <c r="Z919" s="404"/>
      <c r="AA919" s="404"/>
    </row>
    <row r="920">
      <c r="A920" s="404"/>
      <c r="B920" s="419"/>
      <c r="C920" s="404"/>
      <c r="D920" s="404"/>
      <c r="E920" s="404"/>
      <c r="F920" s="404"/>
      <c r="G920" s="404"/>
      <c r="H920" s="404"/>
      <c r="I920" s="404"/>
      <c r="J920" s="404"/>
      <c r="K920" s="404"/>
      <c r="L920" s="404"/>
      <c r="M920" s="404"/>
      <c r="N920" s="404"/>
      <c r="O920" s="404"/>
      <c r="P920" s="404"/>
      <c r="Q920" s="404"/>
      <c r="R920" s="404"/>
      <c r="S920" s="404"/>
      <c r="T920" s="404"/>
      <c r="U920" s="404"/>
      <c r="V920" s="404"/>
      <c r="W920" s="404"/>
      <c r="X920" s="404"/>
      <c r="Y920" s="404"/>
      <c r="Z920" s="404"/>
      <c r="AA920" s="404"/>
    </row>
    <row r="921">
      <c r="A921" s="404"/>
      <c r="B921" s="419"/>
      <c r="C921" s="404"/>
      <c r="D921" s="404"/>
      <c r="E921" s="404"/>
      <c r="F921" s="404"/>
      <c r="G921" s="404"/>
      <c r="H921" s="404"/>
      <c r="I921" s="404"/>
      <c r="J921" s="404"/>
      <c r="K921" s="404"/>
      <c r="L921" s="404"/>
      <c r="M921" s="404"/>
      <c r="N921" s="404"/>
      <c r="O921" s="404"/>
      <c r="P921" s="404"/>
      <c r="Q921" s="404"/>
      <c r="R921" s="404"/>
      <c r="S921" s="404"/>
      <c r="T921" s="404"/>
      <c r="U921" s="404"/>
      <c r="V921" s="404"/>
      <c r="W921" s="404"/>
      <c r="X921" s="404"/>
      <c r="Y921" s="404"/>
      <c r="Z921" s="404"/>
      <c r="AA921" s="404"/>
    </row>
    <row r="922">
      <c r="A922" s="404"/>
      <c r="B922" s="419"/>
      <c r="C922" s="404"/>
      <c r="D922" s="404"/>
      <c r="E922" s="404"/>
      <c r="F922" s="404"/>
      <c r="G922" s="404"/>
      <c r="H922" s="404"/>
      <c r="I922" s="404"/>
      <c r="J922" s="404"/>
      <c r="K922" s="404"/>
      <c r="L922" s="404"/>
      <c r="M922" s="404"/>
      <c r="N922" s="404"/>
      <c r="O922" s="404"/>
      <c r="P922" s="404"/>
      <c r="Q922" s="404"/>
      <c r="R922" s="404"/>
      <c r="S922" s="404"/>
      <c r="T922" s="404"/>
      <c r="U922" s="404"/>
      <c r="V922" s="404"/>
      <c r="W922" s="404"/>
      <c r="X922" s="404"/>
      <c r="Y922" s="404"/>
      <c r="Z922" s="404"/>
      <c r="AA922" s="404"/>
    </row>
    <row r="923">
      <c r="A923" s="404"/>
      <c r="B923" s="419"/>
      <c r="C923" s="404"/>
      <c r="D923" s="404"/>
      <c r="E923" s="404"/>
      <c r="F923" s="404"/>
      <c r="G923" s="404"/>
      <c r="H923" s="404"/>
      <c r="I923" s="404"/>
      <c r="J923" s="404"/>
      <c r="K923" s="404"/>
      <c r="L923" s="404"/>
      <c r="M923" s="404"/>
      <c r="N923" s="404"/>
      <c r="O923" s="404"/>
      <c r="P923" s="404"/>
      <c r="Q923" s="404"/>
      <c r="R923" s="404"/>
      <c r="S923" s="404"/>
      <c r="T923" s="404"/>
      <c r="U923" s="404"/>
      <c r="V923" s="404"/>
      <c r="W923" s="404"/>
      <c r="X923" s="404"/>
      <c r="Y923" s="404"/>
      <c r="Z923" s="404"/>
      <c r="AA923" s="404"/>
    </row>
    <row r="924">
      <c r="A924" s="404"/>
      <c r="B924" s="419"/>
      <c r="C924" s="404"/>
      <c r="D924" s="404"/>
      <c r="E924" s="404"/>
      <c r="F924" s="404"/>
      <c r="G924" s="404"/>
      <c r="H924" s="404"/>
      <c r="I924" s="404"/>
      <c r="J924" s="404"/>
      <c r="K924" s="404"/>
      <c r="L924" s="404"/>
      <c r="M924" s="404"/>
      <c r="N924" s="404"/>
      <c r="O924" s="404"/>
      <c r="P924" s="404"/>
      <c r="Q924" s="404"/>
      <c r="R924" s="404"/>
      <c r="S924" s="404"/>
      <c r="T924" s="404"/>
      <c r="U924" s="404"/>
      <c r="V924" s="404"/>
      <c r="W924" s="404"/>
      <c r="X924" s="404"/>
      <c r="Y924" s="404"/>
      <c r="Z924" s="404"/>
      <c r="AA924" s="404"/>
    </row>
    <row r="925">
      <c r="A925" s="404"/>
      <c r="B925" s="419"/>
      <c r="C925" s="404"/>
      <c r="D925" s="404"/>
      <c r="E925" s="404"/>
      <c r="F925" s="404"/>
      <c r="G925" s="404"/>
      <c r="H925" s="404"/>
      <c r="I925" s="404"/>
      <c r="J925" s="404"/>
      <c r="K925" s="404"/>
      <c r="L925" s="404"/>
      <c r="M925" s="404"/>
      <c r="N925" s="404"/>
      <c r="O925" s="404"/>
      <c r="P925" s="404"/>
      <c r="Q925" s="404"/>
      <c r="R925" s="404"/>
      <c r="S925" s="404"/>
      <c r="T925" s="404"/>
      <c r="U925" s="404"/>
      <c r="V925" s="404"/>
      <c r="W925" s="404"/>
      <c r="X925" s="404"/>
      <c r="Y925" s="404"/>
      <c r="Z925" s="404"/>
      <c r="AA925" s="404"/>
    </row>
    <row r="926">
      <c r="A926" s="404"/>
      <c r="B926" s="419"/>
      <c r="C926" s="404"/>
      <c r="D926" s="404"/>
      <c r="E926" s="404"/>
      <c r="F926" s="404"/>
      <c r="G926" s="404"/>
      <c r="H926" s="404"/>
      <c r="I926" s="404"/>
      <c r="J926" s="404"/>
      <c r="K926" s="404"/>
      <c r="L926" s="404"/>
      <c r="M926" s="404"/>
      <c r="N926" s="404"/>
      <c r="O926" s="404"/>
      <c r="P926" s="404"/>
      <c r="Q926" s="404"/>
      <c r="R926" s="404"/>
      <c r="S926" s="404"/>
      <c r="T926" s="404"/>
      <c r="U926" s="404"/>
      <c r="V926" s="404"/>
      <c r="W926" s="404"/>
      <c r="X926" s="404"/>
      <c r="Y926" s="404"/>
      <c r="Z926" s="404"/>
      <c r="AA926" s="404"/>
    </row>
    <row r="927">
      <c r="A927" s="404"/>
      <c r="B927" s="419"/>
      <c r="C927" s="404"/>
      <c r="D927" s="404"/>
      <c r="E927" s="404"/>
      <c r="F927" s="404"/>
      <c r="G927" s="404"/>
      <c r="H927" s="404"/>
      <c r="I927" s="404"/>
      <c r="J927" s="404"/>
      <c r="K927" s="404"/>
      <c r="L927" s="404"/>
      <c r="M927" s="404"/>
      <c r="N927" s="404"/>
      <c r="O927" s="404"/>
      <c r="P927" s="404"/>
      <c r="Q927" s="404"/>
      <c r="R927" s="404"/>
      <c r="S927" s="404"/>
      <c r="T927" s="404"/>
      <c r="U927" s="404"/>
      <c r="V927" s="404"/>
      <c r="W927" s="404"/>
      <c r="X927" s="404"/>
      <c r="Y927" s="404"/>
      <c r="Z927" s="404"/>
      <c r="AA927" s="404"/>
    </row>
    <row r="928">
      <c r="A928" s="404"/>
      <c r="B928" s="419"/>
      <c r="C928" s="404"/>
      <c r="D928" s="404"/>
      <c r="E928" s="404"/>
      <c r="F928" s="404"/>
      <c r="G928" s="404"/>
      <c r="H928" s="404"/>
      <c r="I928" s="404"/>
      <c r="J928" s="404"/>
      <c r="K928" s="404"/>
      <c r="L928" s="404"/>
      <c r="M928" s="404"/>
      <c r="N928" s="404"/>
      <c r="O928" s="404"/>
      <c r="P928" s="404"/>
      <c r="Q928" s="404"/>
      <c r="R928" s="404"/>
      <c r="S928" s="404"/>
      <c r="T928" s="404"/>
      <c r="U928" s="404"/>
      <c r="V928" s="404"/>
      <c r="W928" s="404"/>
      <c r="X928" s="404"/>
      <c r="Y928" s="404"/>
      <c r="Z928" s="404"/>
      <c r="AA928" s="404"/>
    </row>
    <row r="929">
      <c r="A929" s="404"/>
      <c r="B929" s="419"/>
      <c r="C929" s="404"/>
      <c r="D929" s="404"/>
      <c r="E929" s="404"/>
      <c r="F929" s="404"/>
      <c r="G929" s="404"/>
      <c r="H929" s="404"/>
      <c r="I929" s="404"/>
      <c r="J929" s="404"/>
      <c r="K929" s="404"/>
      <c r="L929" s="404"/>
      <c r="M929" s="404"/>
      <c r="N929" s="404"/>
      <c r="O929" s="404"/>
      <c r="P929" s="404"/>
      <c r="Q929" s="404"/>
      <c r="R929" s="404"/>
      <c r="S929" s="404"/>
      <c r="T929" s="404"/>
      <c r="U929" s="404"/>
      <c r="V929" s="404"/>
      <c r="W929" s="404"/>
      <c r="X929" s="404"/>
      <c r="Y929" s="404"/>
      <c r="Z929" s="404"/>
      <c r="AA929" s="404"/>
    </row>
    <row r="930">
      <c r="A930" s="404"/>
      <c r="B930" s="419"/>
      <c r="C930" s="404"/>
      <c r="D930" s="404"/>
      <c r="E930" s="404"/>
      <c r="F930" s="404"/>
      <c r="G930" s="404"/>
      <c r="H930" s="404"/>
      <c r="I930" s="404"/>
      <c r="J930" s="404"/>
      <c r="K930" s="404"/>
      <c r="L930" s="404"/>
      <c r="M930" s="404"/>
      <c r="N930" s="404"/>
      <c r="O930" s="404"/>
      <c r="P930" s="404"/>
      <c r="Q930" s="404"/>
      <c r="R930" s="404"/>
      <c r="S930" s="404"/>
      <c r="T930" s="404"/>
      <c r="U930" s="404"/>
      <c r="V930" s="404"/>
      <c r="W930" s="404"/>
      <c r="X930" s="404"/>
      <c r="Y930" s="404"/>
      <c r="Z930" s="404"/>
      <c r="AA930" s="404"/>
    </row>
    <row r="931">
      <c r="A931" s="404"/>
      <c r="B931" s="419"/>
      <c r="C931" s="404"/>
      <c r="D931" s="404"/>
      <c r="E931" s="404"/>
      <c r="F931" s="404"/>
      <c r="G931" s="404"/>
      <c r="H931" s="404"/>
      <c r="I931" s="404"/>
      <c r="J931" s="404"/>
      <c r="K931" s="404"/>
      <c r="L931" s="404"/>
      <c r="M931" s="404"/>
      <c r="N931" s="404"/>
      <c r="O931" s="404"/>
      <c r="P931" s="404"/>
      <c r="Q931" s="404"/>
      <c r="R931" s="404"/>
      <c r="S931" s="404"/>
      <c r="T931" s="404"/>
      <c r="U931" s="404"/>
      <c r="V931" s="404"/>
      <c r="W931" s="404"/>
      <c r="X931" s="404"/>
      <c r="Y931" s="404"/>
      <c r="Z931" s="404"/>
      <c r="AA931" s="404"/>
    </row>
    <row r="932">
      <c r="A932" s="404"/>
      <c r="B932" s="419"/>
      <c r="C932" s="404"/>
      <c r="D932" s="404"/>
      <c r="E932" s="404"/>
      <c r="F932" s="404"/>
      <c r="G932" s="404"/>
      <c r="H932" s="404"/>
      <c r="I932" s="404"/>
      <c r="J932" s="404"/>
      <c r="K932" s="404"/>
      <c r="L932" s="404"/>
      <c r="M932" s="404"/>
      <c r="N932" s="404"/>
      <c r="O932" s="404"/>
      <c r="P932" s="404"/>
      <c r="Q932" s="404"/>
      <c r="R932" s="404"/>
      <c r="S932" s="404"/>
      <c r="T932" s="404"/>
      <c r="U932" s="404"/>
      <c r="V932" s="404"/>
      <c r="W932" s="404"/>
      <c r="X932" s="404"/>
      <c r="Y932" s="404"/>
      <c r="Z932" s="404"/>
      <c r="AA932" s="404"/>
    </row>
    <row r="933">
      <c r="A933" s="404"/>
      <c r="B933" s="419"/>
      <c r="C933" s="404"/>
      <c r="D933" s="404"/>
      <c r="E933" s="404"/>
      <c r="F933" s="404"/>
      <c r="G933" s="404"/>
      <c r="H933" s="404"/>
      <c r="I933" s="404"/>
      <c r="J933" s="404"/>
      <c r="K933" s="404"/>
      <c r="L933" s="404"/>
      <c r="M933" s="404"/>
      <c r="N933" s="404"/>
      <c r="O933" s="404"/>
      <c r="P933" s="404"/>
      <c r="Q933" s="404"/>
      <c r="R933" s="404"/>
      <c r="S933" s="404"/>
      <c r="T933" s="404"/>
      <c r="U933" s="404"/>
      <c r="V933" s="404"/>
      <c r="W933" s="404"/>
      <c r="X933" s="404"/>
      <c r="Y933" s="404"/>
      <c r="Z933" s="404"/>
      <c r="AA933" s="404"/>
    </row>
    <row r="934">
      <c r="A934" s="404"/>
      <c r="B934" s="419"/>
      <c r="C934" s="404"/>
      <c r="D934" s="404"/>
      <c r="E934" s="404"/>
      <c r="F934" s="404"/>
      <c r="G934" s="404"/>
      <c r="H934" s="404"/>
      <c r="I934" s="404"/>
      <c r="J934" s="404"/>
      <c r="K934" s="404"/>
      <c r="L934" s="404"/>
      <c r="M934" s="404"/>
      <c r="N934" s="404"/>
      <c r="O934" s="404"/>
      <c r="P934" s="404"/>
      <c r="Q934" s="404"/>
      <c r="R934" s="404"/>
      <c r="S934" s="404"/>
      <c r="T934" s="404"/>
      <c r="U934" s="404"/>
      <c r="V934" s="404"/>
      <c r="W934" s="404"/>
      <c r="X934" s="404"/>
      <c r="Y934" s="404"/>
      <c r="Z934" s="404"/>
      <c r="AA934" s="404"/>
    </row>
    <row r="935">
      <c r="A935" s="404"/>
      <c r="B935" s="419"/>
      <c r="C935" s="404"/>
      <c r="D935" s="404"/>
      <c r="E935" s="404"/>
      <c r="F935" s="404"/>
      <c r="G935" s="404"/>
      <c r="H935" s="404"/>
      <c r="I935" s="404"/>
      <c r="J935" s="404"/>
      <c r="K935" s="404"/>
      <c r="L935" s="404"/>
      <c r="M935" s="404"/>
      <c r="N935" s="404"/>
      <c r="O935" s="404"/>
      <c r="P935" s="404"/>
      <c r="Q935" s="404"/>
      <c r="R935" s="404"/>
      <c r="S935" s="404"/>
      <c r="T935" s="404"/>
      <c r="U935" s="404"/>
      <c r="V935" s="404"/>
      <c r="W935" s="404"/>
      <c r="X935" s="404"/>
      <c r="Y935" s="404"/>
      <c r="Z935" s="404"/>
      <c r="AA935" s="404"/>
    </row>
    <row r="936">
      <c r="A936" s="404"/>
      <c r="B936" s="419"/>
      <c r="C936" s="404"/>
      <c r="D936" s="404"/>
      <c r="E936" s="404"/>
      <c r="F936" s="404"/>
      <c r="G936" s="404"/>
      <c r="H936" s="404"/>
      <c r="I936" s="404"/>
      <c r="J936" s="404"/>
      <c r="K936" s="404"/>
      <c r="L936" s="404"/>
      <c r="M936" s="404"/>
      <c r="N936" s="404"/>
      <c r="O936" s="404"/>
      <c r="P936" s="404"/>
      <c r="Q936" s="404"/>
      <c r="R936" s="404"/>
      <c r="S936" s="404"/>
      <c r="T936" s="404"/>
      <c r="U936" s="404"/>
      <c r="V936" s="404"/>
      <c r="W936" s="404"/>
      <c r="X936" s="404"/>
      <c r="Y936" s="404"/>
      <c r="Z936" s="404"/>
      <c r="AA936" s="404"/>
    </row>
    <row r="937">
      <c r="A937" s="404"/>
      <c r="B937" s="419"/>
      <c r="C937" s="404"/>
      <c r="D937" s="404"/>
      <c r="E937" s="404"/>
      <c r="F937" s="404"/>
      <c r="G937" s="404"/>
      <c r="H937" s="404"/>
      <c r="I937" s="404"/>
      <c r="J937" s="404"/>
      <c r="K937" s="404"/>
      <c r="L937" s="404"/>
      <c r="M937" s="404"/>
      <c r="N937" s="404"/>
      <c r="O937" s="404"/>
      <c r="P937" s="404"/>
      <c r="Q937" s="404"/>
      <c r="R937" s="404"/>
      <c r="S937" s="404"/>
      <c r="T937" s="404"/>
      <c r="U937" s="404"/>
      <c r="V937" s="404"/>
      <c r="W937" s="404"/>
      <c r="X937" s="404"/>
      <c r="Y937" s="404"/>
      <c r="Z937" s="404"/>
      <c r="AA937" s="404"/>
    </row>
    <row r="938">
      <c r="A938" s="404"/>
      <c r="B938" s="419"/>
      <c r="C938" s="404"/>
      <c r="D938" s="404"/>
      <c r="E938" s="404"/>
      <c r="F938" s="404"/>
      <c r="G938" s="404"/>
      <c r="H938" s="404"/>
      <c r="I938" s="404"/>
      <c r="J938" s="404"/>
      <c r="K938" s="404"/>
      <c r="L938" s="404"/>
      <c r="M938" s="404"/>
      <c r="N938" s="404"/>
      <c r="O938" s="404"/>
      <c r="P938" s="404"/>
      <c r="Q938" s="404"/>
      <c r="R938" s="404"/>
      <c r="S938" s="404"/>
      <c r="T938" s="404"/>
      <c r="U938" s="404"/>
      <c r="V938" s="404"/>
      <c r="W938" s="404"/>
      <c r="X938" s="404"/>
      <c r="Y938" s="404"/>
      <c r="Z938" s="404"/>
      <c r="AA938" s="404"/>
    </row>
    <row r="939">
      <c r="A939" s="404"/>
      <c r="B939" s="419"/>
      <c r="C939" s="404"/>
      <c r="D939" s="404"/>
      <c r="E939" s="404"/>
      <c r="F939" s="404"/>
      <c r="G939" s="404"/>
      <c r="H939" s="404"/>
      <c r="I939" s="404"/>
      <c r="J939" s="404"/>
      <c r="K939" s="404"/>
      <c r="L939" s="404"/>
      <c r="M939" s="404"/>
      <c r="N939" s="404"/>
      <c r="O939" s="404"/>
      <c r="P939" s="404"/>
      <c r="Q939" s="404"/>
      <c r="R939" s="404"/>
      <c r="S939" s="404"/>
      <c r="T939" s="404"/>
      <c r="U939" s="404"/>
      <c r="V939" s="404"/>
      <c r="W939" s="404"/>
      <c r="X939" s="404"/>
      <c r="Y939" s="404"/>
      <c r="Z939" s="404"/>
      <c r="AA939" s="404"/>
    </row>
    <row r="940">
      <c r="A940" s="404"/>
      <c r="B940" s="419"/>
      <c r="C940" s="404"/>
      <c r="D940" s="404"/>
      <c r="E940" s="404"/>
      <c r="F940" s="404"/>
      <c r="G940" s="404"/>
      <c r="H940" s="404"/>
      <c r="I940" s="404"/>
      <c r="J940" s="404"/>
      <c r="K940" s="404"/>
      <c r="L940" s="404"/>
      <c r="M940" s="404"/>
      <c r="N940" s="404"/>
      <c r="O940" s="404"/>
      <c r="P940" s="404"/>
      <c r="Q940" s="404"/>
      <c r="R940" s="404"/>
      <c r="S940" s="404"/>
      <c r="T940" s="404"/>
      <c r="U940" s="404"/>
      <c r="V940" s="404"/>
      <c r="W940" s="404"/>
      <c r="X940" s="404"/>
      <c r="Y940" s="404"/>
      <c r="Z940" s="404"/>
      <c r="AA940" s="404"/>
    </row>
    <row r="941">
      <c r="A941" s="404"/>
      <c r="B941" s="419"/>
      <c r="C941" s="404"/>
      <c r="D941" s="404"/>
      <c r="E941" s="404"/>
      <c r="F941" s="404"/>
      <c r="G941" s="404"/>
      <c r="H941" s="404"/>
      <c r="I941" s="404"/>
      <c r="J941" s="404"/>
      <c r="K941" s="404"/>
      <c r="L941" s="404"/>
      <c r="M941" s="404"/>
      <c r="N941" s="404"/>
      <c r="O941" s="404"/>
      <c r="P941" s="404"/>
      <c r="Q941" s="404"/>
      <c r="R941" s="404"/>
      <c r="S941" s="404"/>
      <c r="T941" s="404"/>
      <c r="U941" s="404"/>
      <c r="V941" s="404"/>
      <c r="W941" s="404"/>
      <c r="X941" s="404"/>
      <c r="Y941" s="404"/>
      <c r="Z941" s="404"/>
      <c r="AA941" s="404"/>
    </row>
    <row r="942">
      <c r="A942" s="404"/>
      <c r="B942" s="419"/>
      <c r="C942" s="404"/>
      <c r="D942" s="404"/>
      <c r="E942" s="404"/>
      <c r="F942" s="404"/>
      <c r="G942" s="404"/>
      <c r="H942" s="404"/>
      <c r="I942" s="404"/>
      <c r="J942" s="404"/>
      <c r="K942" s="404"/>
      <c r="L942" s="404"/>
      <c r="M942" s="404"/>
      <c r="N942" s="404"/>
      <c r="O942" s="404"/>
      <c r="P942" s="404"/>
      <c r="Q942" s="404"/>
      <c r="R942" s="404"/>
      <c r="S942" s="404"/>
      <c r="T942" s="404"/>
      <c r="U942" s="404"/>
      <c r="V942" s="404"/>
      <c r="W942" s="404"/>
      <c r="X942" s="404"/>
      <c r="Y942" s="404"/>
      <c r="Z942" s="404"/>
      <c r="AA942" s="404"/>
    </row>
    <row r="943">
      <c r="A943" s="404"/>
      <c r="B943" s="419"/>
      <c r="C943" s="404"/>
      <c r="D943" s="404"/>
      <c r="E943" s="404"/>
      <c r="F943" s="404"/>
      <c r="G943" s="404"/>
      <c r="H943" s="404"/>
      <c r="I943" s="404"/>
      <c r="J943" s="404"/>
      <c r="K943" s="404"/>
      <c r="L943" s="404"/>
      <c r="M943" s="404"/>
      <c r="N943" s="404"/>
      <c r="O943" s="404"/>
      <c r="P943" s="404"/>
      <c r="Q943" s="404"/>
      <c r="R943" s="404"/>
      <c r="S943" s="404"/>
      <c r="T943" s="404"/>
      <c r="U943" s="404"/>
      <c r="V943" s="404"/>
      <c r="W943" s="404"/>
      <c r="X943" s="404"/>
      <c r="Y943" s="404"/>
      <c r="Z943" s="404"/>
      <c r="AA943" s="404"/>
    </row>
    <row r="944">
      <c r="A944" s="404"/>
      <c r="B944" s="419"/>
      <c r="C944" s="404"/>
      <c r="D944" s="404"/>
      <c r="E944" s="404"/>
      <c r="F944" s="404"/>
      <c r="G944" s="404"/>
      <c r="H944" s="404"/>
      <c r="I944" s="404"/>
      <c r="J944" s="404"/>
      <c r="K944" s="404"/>
      <c r="L944" s="404"/>
      <c r="M944" s="404"/>
      <c r="N944" s="404"/>
      <c r="O944" s="404"/>
      <c r="P944" s="404"/>
      <c r="Q944" s="404"/>
      <c r="R944" s="404"/>
      <c r="S944" s="404"/>
      <c r="T944" s="404"/>
      <c r="U944" s="404"/>
      <c r="V944" s="404"/>
      <c r="W944" s="404"/>
      <c r="X944" s="404"/>
      <c r="Y944" s="404"/>
      <c r="Z944" s="404"/>
      <c r="AA944" s="404"/>
    </row>
    <row r="945">
      <c r="A945" s="404"/>
      <c r="B945" s="419"/>
      <c r="C945" s="404"/>
      <c r="D945" s="404"/>
      <c r="E945" s="404"/>
      <c r="F945" s="404"/>
      <c r="G945" s="404"/>
      <c r="H945" s="404"/>
      <c r="I945" s="404"/>
      <c r="J945" s="404"/>
      <c r="K945" s="404"/>
      <c r="L945" s="404"/>
      <c r="M945" s="404"/>
      <c r="N945" s="404"/>
      <c r="O945" s="404"/>
      <c r="P945" s="404"/>
      <c r="Q945" s="404"/>
      <c r="R945" s="404"/>
      <c r="S945" s="404"/>
      <c r="T945" s="404"/>
      <c r="U945" s="404"/>
      <c r="V945" s="404"/>
      <c r="W945" s="404"/>
      <c r="X945" s="404"/>
      <c r="Y945" s="404"/>
      <c r="Z945" s="404"/>
      <c r="AA945" s="404"/>
    </row>
    <row r="946">
      <c r="A946" s="404"/>
      <c r="B946" s="419"/>
      <c r="C946" s="404"/>
      <c r="D946" s="404"/>
      <c r="E946" s="404"/>
      <c r="F946" s="404"/>
      <c r="G946" s="404"/>
      <c r="H946" s="404"/>
      <c r="I946" s="404"/>
      <c r="J946" s="404"/>
      <c r="K946" s="404"/>
      <c r="L946" s="404"/>
      <c r="M946" s="404"/>
      <c r="N946" s="404"/>
      <c r="O946" s="404"/>
      <c r="P946" s="404"/>
      <c r="Q946" s="404"/>
      <c r="R946" s="404"/>
      <c r="S946" s="404"/>
      <c r="T946" s="404"/>
      <c r="U946" s="404"/>
      <c r="V946" s="404"/>
      <c r="W946" s="404"/>
      <c r="X946" s="404"/>
      <c r="Y946" s="404"/>
      <c r="Z946" s="404"/>
      <c r="AA946" s="404"/>
    </row>
    <row r="947">
      <c r="A947" s="404"/>
      <c r="B947" s="419"/>
      <c r="C947" s="404"/>
      <c r="D947" s="404"/>
      <c r="E947" s="404"/>
      <c r="F947" s="404"/>
      <c r="G947" s="404"/>
      <c r="H947" s="404"/>
      <c r="I947" s="404"/>
      <c r="J947" s="404"/>
      <c r="K947" s="404"/>
      <c r="L947" s="404"/>
      <c r="M947" s="404"/>
      <c r="N947" s="404"/>
      <c r="O947" s="404"/>
      <c r="P947" s="404"/>
      <c r="Q947" s="404"/>
      <c r="R947" s="404"/>
      <c r="S947" s="404"/>
      <c r="T947" s="404"/>
      <c r="U947" s="404"/>
      <c r="V947" s="404"/>
      <c r="W947" s="404"/>
      <c r="X947" s="404"/>
      <c r="Y947" s="404"/>
      <c r="Z947" s="404"/>
      <c r="AA947" s="404"/>
    </row>
    <row r="948">
      <c r="A948" s="404"/>
      <c r="B948" s="419"/>
      <c r="C948" s="404"/>
      <c r="D948" s="404"/>
      <c r="E948" s="404"/>
      <c r="F948" s="404"/>
      <c r="G948" s="404"/>
      <c r="H948" s="404"/>
      <c r="I948" s="404"/>
      <c r="J948" s="404"/>
      <c r="K948" s="404"/>
      <c r="L948" s="404"/>
      <c r="M948" s="404"/>
      <c r="N948" s="404"/>
      <c r="O948" s="404"/>
      <c r="P948" s="404"/>
      <c r="Q948" s="404"/>
      <c r="R948" s="404"/>
      <c r="S948" s="404"/>
      <c r="T948" s="404"/>
      <c r="U948" s="404"/>
      <c r="V948" s="404"/>
      <c r="W948" s="404"/>
      <c r="X948" s="404"/>
      <c r="Y948" s="404"/>
      <c r="Z948" s="404"/>
      <c r="AA948" s="404"/>
    </row>
    <row r="949">
      <c r="A949" s="404"/>
      <c r="B949" s="419"/>
      <c r="C949" s="404"/>
      <c r="D949" s="404"/>
      <c r="E949" s="404"/>
      <c r="F949" s="404"/>
      <c r="G949" s="404"/>
      <c r="H949" s="404"/>
      <c r="I949" s="404"/>
      <c r="J949" s="404"/>
      <c r="K949" s="404"/>
      <c r="L949" s="404"/>
      <c r="M949" s="404"/>
      <c r="N949" s="404"/>
      <c r="O949" s="404"/>
      <c r="P949" s="404"/>
      <c r="Q949" s="404"/>
      <c r="R949" s="404"/>
      <c r="S949" s="404"/>
      <c r="T949" s="404"/>
      <c r="U949" s="404"/>
      <c r="V949" s="404"/>
      <c r="W949" s="404"/>
      <c r="X949" s="404"/>
      <c r="Y949" s="404"/>
      <c r="Z949" s="404"/>
      <c r="AA949" s="404"/>
    </row>
    <row r="950">
      <c r="A950" s="404"/>
      <c r="B950" s="419"/>
      <c r="C950" s="404"/>
      <c r="D950" s="404"/>
      <c r="E950" s="404"/>
      <c r="F950" s="404"/>
      <c r="G950" s="404"/>
      <c r="H950" s="404"/>
      <c r="I950" s="404"/>
      <c r="J950" s="404"/>
      <c r="K950" s="404"/>
      <c r="L950" s="404"/>
      <c r="M950" s="404"/>
      <c r="N950" s="404"/>
      <c r="O950" s="404"/>
      <c r="P950" s="404"/>
      <c r="Q950" s="404"/>
      <c r="R950" s="404"/>
      <c r="S950" s="404"/>
      <c r="T950" s="404"/>
      <c r="U950" s="404"/>
      <c r="V950" s="404"/>
      <c r="W950" s="404"/>
      <c r="X950" s="404"/>
      <c r="Y950" s="404"/>
      <c r="Z950" s="404"/>
      <c r="AA950" s="404"/>
    </row>
    <row r="951">
      <c r="A951" s="404"/>
      <c r="B951" s="419"/>
      <c r="C951" s="404"/>
      <c r="D951" s="404"/>
      <c r="E951" s="404"/>
      <c r="F951" s="404"/>
      <c r="G951" s="404"/>
      <c r="H951" s="404"/>
      <c r="I951" s="404"/>
      <c r="J951" s="404"/>
      <c r="K951" s="404"/>
      <c r="L951" s="404"/>
      <c r="M951" s="404"/>
      <c r="N951" s="404"/>
      <c r="O951" s="404"/>
      <c r="P951" s="404"/>
      <c r="Q951" s="404"/>
      <c r="R951" s="404"/>
      <c r="S951" s="404"/>
      <c r="T951" s="404"/>
      <c r="U951" s="404"/>
      <c r="V951" s="404"/>
      <c r="W951" s="404"/>
      <c r="X951" s="404"/>
      <c r="Y951" s="404"/>
      <c r="Z951" s="404"/>
      <c r="AA951" s="404"/>
    </row>
    <row r="952">
      <c r="A952" s="404"/>
      <c r="B952" s="419"/>
      <c r="C952" s="404"/>
      <c r="D952" s="404"/>
      <c r="E952" s="404"/>
      <c r="F952" s="404"/>
      <c r="G952" s="404"/>
      <c r="H952" s="404"/>
      <c r="I952" s="404"/>
      <c r="J952" s="404"/>
      <c r="K952" s="404"/>
      <c r="L952" s="404"/>
      <c r="M952" s="404"/>
      <c r="N952" s="404"/>
      <c r="O952" s="404"/>
      <c r="P952" s="404"/>
      <c r="Q952" s="404"/>
      <c r="R952" s="404"/>
      <c r="S952" s="404"/>
      <c r="T952" s="404"/>
      <c r="U952" s="404"/>
      <c r="V952" s="404"/>
      <c r="W952" s="404"/>
      <c r="X952" s="404"/>
      <c r="Y952" s="404"/>
      <c r="Z952" s="404"/>
      <c r="AA952" s="404"/>
    </row>
    <row r="953">
      <c r="A953" s="404"/>
      <c r="B953" s="419"/>
      <c r="C953" s="404"/>
      <c r="D953" s="404"/>
      <c r="E953" s="404"/>
      <c r="F953" s="404"/>
      <c r="G953" s="404"/>
      <c r="H953" s="404"/>
      <c r="I953" s="404"/>
      <c r="J953" s="404"/>
      <c r="K953" s="404"/>
      <c r="L953" s="404"/>
      <c r="M953" s="404"/>
      <c r="N953" s="404"/>
      <c r="O953" s="404"/>
      <c r="P953" s="404"/>
      <c r="Q953" s="404"/>
      <c r="R953" s="404"/>
      <c r="S953" s="404"/>
      <c r="T953" s="404"/>
      <c r="U953" s="404"/>
      <c r="V953" s="404"/>
      <c r="W953" s="404"/>
      <c r="X953" s="404"/>
      <c r="Y953" s="404"/>
      <c r="Z953" s="404"/>
      <c r="AA953" s="404"/>
    </row>
    <row r="954">
      <c r="A954" s="404"/>
      <c r="B954" s="419"/>
      <c r="C954" s="404"/>
      <c r="D954" s="404"/>
      <c r="E954" s="404"/>
      <c r="F954" s="404"/>
      <c r="G954" s="404"/>
      <c r="H954" s="404"/>
      <c r="I954" s="404"/>
      <c r="J954" s="404"/>
      <c r="K954" s="404"/>
      <c r="L954" s="404"/>
      <c r="M954" s="404"/>
      <c r="N954" s="404"/>
      <c r="O954" s="404"/>
      <c r="P954" s="404"/>
      <c r="Q954" s="404"/>
      <c r="R954" s="404"/>
      <c r="S954" s="404"/>
      <c r="T954" s="404"/>
      <c r="U954" s="404"/>
      <c r="V954" s="404"/>
      <c r="W954" s="404"/>
      <c r="X954" s="404"/>
      <c r="Y954" s="404"/>
      <c r="Z954" s="404"/>
      <c r="AA954" s="404"/>
    </row>
    <row r="955">
      <c r="A955" s="404"/>
      <c r="B955" s="419"/>
      <c r="C955" s="404"/>
      <c r="D955" s="404"/>
      <c r="E955" s="404"/>
      <c r="F955" s="404"/>
      <c r="G955" s="404"/>
      <c r="H955" s="404"/>
      <c r="I955" s="404"/>
      <c r="J955" s="404"/>
      <c r="K955" s="404"/>
      <c r="L955" s="404"/>
      <c r="M955" s="404"/>
      <c r="N955" s="404"/>
      <c r="O955" s="404"/>
      <c r="P955" s="404"/>
      <c r="Q955" s="404"/>
      <c r="R955" s="404"/>
      <c r="S955" s="404"/>
      <c r="T955" s="404"/>
      <c r="U955" s="404"/>
      <c r="V955" s="404"/>
      <c r="W955" s="404"/>
      <c r="X955" s="404"/>
      <c r="Y955" s="404"/>
      <c r="Z955" s="404"/>
      <c r="AA955" s="404"/>
    </row>
    <row r="956">
      <c r="A956" s="404"/>
      <c r="B956" s="419"/>
      <c r="C956" s="404"/>
      <c r="D956" s="404"/>
      <c r="E956" s="404"/>
      <c r="F956" s="404"/>
      <c r="G956" s="404"/>
      <c r="H956" s="404"/>
      <c r="I956" s="404"/>
      <c r="J956" s="404"/>
      <c r="K956" s="404"/>
      <c r="L956" s="404"/>
      <c r="M956" s="404"/>
      <c r="N956" s="404"/>
      <c r="O956" s="404"/>
      <c r="P956" s="404"/>
      <c r="Q956" s="404"/>
      <c r="R956" s="404"/>
      <c r="S956" s="404"/>
      <c r="T956" s="404"/>
      <c r="U956" s="404"/>
      <c r="V956" s="404"/>
      <c r="W956" s="404"/>
      <c r="X956" s="404"/>
      <c r="Y956" s="404"/>
      <c r="Z956" s="404"/>
      <c r="AA956" s="404"/>
    </row>
    <row r="957">
      <c r="A957" s="404"/>
      <c r="B957" s="419"/>
      <c r="C957" s="404"/>
      <c r="D957" s="404"/>
      <c r="E957" s="404"/>
      <c r="F957" s="404"/>
      <c r="G957" s="404"/>
      <c r="H957" s="404"/>
      <c r="I957" s="404"/>
      <c r="J957" s="404"/>
      <c r="K957" s="404"/>
      <c r="L957" s="404"/>
      <c r="M957" s="404"/>
      <c r="N957" s="404"/>
      <c r="O957" s="404"/>
      <c r="P957" s="404"/>
      <c r="Q957" s="404"/>
      <c r="R957" s="404"/>
      <c r="S957" s="404"/>
      <c r="T957" s="404"/>
      <c r="U957" s="404"/>
      <c r="V957" s="404"/>
      <c r="W957" s="404"/>
      <c r="X957" s="404"/>
      <c r="Y957" s="404"/>
      <c r="Z957" s="404"/>
      <c r="AA957" s="404"/>
    </row>
    <row r="958">
      <c r="A958" s="404"/>
      <c r="B958" s="419"/>
      <c r="C958" s="404"/>
      <c r="D958" s="404"/>
      <c r="E958" s="404"/>
      <c r="F958" s="404"/>
      <c r="G958" s="404"/>
      <c r="H958" s="404"/>
      <c r="I958" s="404"/>
      <c r="J958" s="404"/>
      <c r="K958" s="404"/>
      <c r="L958" s="404"/>
      <c r="M958" s="404"/>
      <c r="N958" s="404"/>
      <c r="O958" s="404"/>
      <c r="P958" s="404"/>
      <c r="Q958" s="404"/>
      <c r="R958" s="404"/>
      <c r="S958" s="404"/>
      <c r="T958" s="404"/>
      <c r="U958" s="404"/>
      <c r="V958" s="404"/>
      <c r="W958" s="404"/>
      <c r="X958" s="404"/>
      <c r="Y958" s="404"/>
      <c r="Z958" s="404"/>
      <c r="AA958" s="404"/>
    </row>
    <row r="959">
      <c r="A959" s="404"/>
      <c r="B959" s="419"/>
      <c r="C959" s="404"/>
      <c r="D959" s="404"/>
      <c r="E959" s="404"/>
      <c r="F959" s="404"/>
      <c r="G959" s="404"/>
      <c r="H959" s="404"/>
      <c r="I959" s="404"/>
      <c r="J959" s="404"/>
      <c r="K959" s="404"/>
      <c r="L959" s="404"/>
      <c r="M959" s="404"/>
      <c r="N959" s="404"/>
      <c r="O959" s="404"/>
      <c r="P959" s="404"/>
      <c r="Q959" s="404"/>
      <c r="R959" s="404"/>
      <c r="S959" s="404"/>
      <c r="T959" s="404"/>
      <c r="U959" s="404"/>
      <c r="V959" s="404"/>
      <c r="W959" s="404"/>
      <c r="X959" s="404"/>
      <c r="Y959" s="404"/>
      <c r="Z959" s="404"/>
      <c r="AA959" s="404"/>
    </row>
    <row r="960">
      <c r="A960" s="404"/>
      <c r="B960" s="419"/>
      <c r="C960" s="404"/>
      <c r="D960" s="404"/>
      <c r="E960" s="404"/>
      <c r="F960" s="404"/>
      <c r="G960" s="404"/>
      <c r="H960" s="404"/>
      <c r="I960" s="404"/>
      <c r="J960" s="404"/>
      <c r="K960" s="404"/>
      <c r="L960" s="404"/>
      <c r="M960" s="404"/>
      <c r="N960" s="404"/>
      <c r="O960" s="404"/>
      <c r="P960" s="404"/>
      <c r="Q960" s="404"/>
      <c r="R960" s="404"/>
      <c r="S960" s="404"/>
      <c r="T960" s="404"/>
      <c r="U960" s="404"/>
      <c r="V960" s="404"/>
      <c r="W960" s="404"/>
      <c r="X960" s="404"/>
      <c r="Y960" s="404"/>
      <c r="Z960" s="404"/>
      <c r="AA960" s="404"/>
    </row>
    <row r="961">
      <c r="A961" s="404"/>
      <c r="B961" s="419"/>
      <c r="C961" s="404"/>
      <c r="D961" s="404"/>
      <c r="E961" s="404"/>
      <c r="F961" s="404"/>
      <c r="G961" s="404"/>
      <c r="H961" s="404"/>
      <c r="I961" s="404"/>
      <c r="J961" s="404"/>
      <c r="K961" s="404"/>
      <c r="L961" s="404"/>
      <c r="M961" s="404"/>
      <c r="N961" s="404"/>
      <c r="O961" s="404"/>
      <c r="P961" s="404"/>
      <c r="Q961" s="404"/>
      <c r="R961" s="404"/>
      <c r="S961" s="404"/>
      <c r="T961" s="404"/>
      <c r="U961" s="404"/>
      <c r="V961" s="404"/>
      <c r="W961" s="404"/>
      <c r="X961" s="404"/>
      <c r="Y961" s="404"/>
      <c r="Z961" s="404"/>
      <c r="AA961" s="404"/>
    </row>
    <row r="962">
      <c r="A962" s="404"/>
      <c r="B962" s="419"/>
      <c r="C962" s="404"/>
      <c r="D962" s="404"/>
      <c r="E962" s="404"/>
      <c r="F962" s="404"/>
      <c r="G962" s="404"/>
      <c r="H962" s="404"/>
      <c r="I962" s="404"/>
      <c r="J962" s="404"/>
      <c r="K962" s="404"/>
      <c r="L962" s="404"/>
      <c r="M962" s="404"/>
      <c r="N962" s="404"/>
      <c r="O962" s="404"/>
      <c r="P962" s="404"/>
      <c r="Q962" s="404"/>
      <c r="R962" s="404"/>
      <c r="S962" s="404"/>
      <c r="T962" s="404"/>
      <c r="U962" s="404"/>
      <c r="V962" s="404"/>
      <c r="W962" s="404"/>
      <c r="X962" s="404"/>
      <c r="Y962" s="404"/>
      <c r="Z962" s="404"/>
      <c r="AA962" s="404"/>
    </row>
    <row r="963">
      <c r="A963" s="404"/>
      <c r="B963" s="419"/>
      <c r="C963" s="404"/>
      <c r="D963" s="404"/>
      <c r="E963" s="404"/>
      <c r="F963" s="404"/>
      <c r="G963" s="404"/>
      <c r="H963" s="404"/>
      <c r="I963" s="404"/>
      <c r="J963" s="404"/>
      <c r="K963" s="404"/>
      <c r="L963" s="404"/>
      <c r="M963" s="404"/>
      <c r="N963" s="404"/>
      <c r="O963" s="404"/>
      <c r="P963" s="404"/>
      <c r="Q963" s="404"/>
      <c r="R963" s="404"/>
      <c r="S963" s="404"/>
      <c r="T963" s="404"/>
      <c r="U963" s="404"/>
      <c r="V963" s="404"/>
      <c r="W963" s="404"/>
      <c r="X963" s="404"/>
      <c r="Y963" s="404"/>
      <c r="Z963" s="404"/>
      <c r="AA963" s="404"/>
    </row>
    <row r="964">
      <c r="A964" s="404"/>
      <c r="B964" s="419"/>
      <c r="C964" s="404"/>
      <c r="D964" s="404"/>
      <c r="E964" s="404"/>
      <c r="F964" s="404"/>
      <c r="G964" s="404"/>
      <c r="H964" s="404"/>
      <c r="I964" s="404"/>
      <c r="J964" s="404"/>
      <c r="K964" s="404"/>
      <c r="L964" s="404"/>
      <c r="M964" s="404"/>
      <c r="N964" s="404"/>
      <c r="O964" s="404"/>
      <c r="P964" s="404"/>
      <c r="Q964" s="404"/>
      <c r="R964" s="404"/>
      <c r="S964" s="404"/>
      <c r="T964" s="404"/>
      <c r="U964" s="404"/>
      <c r="V964" s="404"/>
      <c r="W964" s="404"/>
      <c r="X964" s="404"/>
      <c r="Y964" s="404"/>
      <c r="Z964" s="404"/>
      <c r="AA964" s="404"/>
    </row>
    <row r="965">
      <c r="A965" s="404"/>
      <c r="B965" s="419"/>
      <c r="C965" s="404"/>
      <c r="D965" s="404"/>
      <c r="E965" s="404"/>
      <c r="F965" s="404"/>
      <c r="G965" s="404"/>
      <c r="H965" s="404"/>
      <c r="I965" s="404"/>
      <c r="J965" s="404"/>
      <c r="K965" s="404"/>
      <c r="L965" s="404"/>
      <c r="M965" s="404"/>
      <c r="N965" s="404"/>
      <c r="O965" s="404"/>
      <c r="P965" s="404"/>
      <c r="Q965" s="404"/>
      <c r="R965" s="404"/>
      <c r="S965" s="404"/>
      <c r="T965" s="404"/>
      <c r="U965" s="404"/>
      <c r="V965" s="404"/>
      <c r="W965" s="404"/>
      <c r="X965" s="404"/>
      <c r="Y965" s="404"/>
      <c r="Z965" s="404"/>
      <c r="AA965" s="404"/>
    </row>
    <row r="966">
      <c r="A966" s="404"/>
      <c r="B966" s="419"/>
      <c r="C966" s="404"/>
      <c r="D966" s="404"/>
      <c r="E966" s="404"/>
      <c r="F966" s="404"/>
      <c r="G966" s="404"/>
      <c r="H966" s="404"/>
      <c r="I966" s="404"/>
      <c r="J966" s="404"/>
      <c r="K966" s="404"/>
      <c r="L966" s="404"/>
      <c r="M966" s="404"/>
      <c r="N966" s="404"/>
      <c r="O966" s="404"/>
      <c r="P966" s="404"/>
      <c r="Q966" s="404"/>
      <c r="R966" s="404"/>
      <c r="S966" s="404"/>
      <c r="T966" s="404"/>
      <c r="U966" s="404"/>
      <c r="V966" s="404"/>
      <c r="W966" s="404"/>
      <c r="X966" s="404"/>
      <c r="Y966" s="404"/>
      <c r="Z966" s="404"/>
      <c r="AA966" s="404"/>
    </row>
    <row r="967">
      <c r="A967" s="404"/>
      <c r="B967" s="419"/>
      <c r="C967" s="404"/>
      <c r="D967" s="404"/>
      <c r="E967" s="404"/>
      <c r="F967" s="404"/>
      <c r="G967" s="404"/>
      <c r="H967" s="404"/>
      <c r="I967" s="404"/>
      <c r="J967" s="404"/>
      <c r="K967" s="404"/>
      <c r="L967" s="404"/>
      <c r="M967" s="404"/>
      <c r="N967" s="404"/>
      <c r="O967" s="404"/>
      <c r="P967" s="404"/>
      <c r="Q967" s="404"/>
      <c r="R967" s="404"/>
      <c r="S967" s="404"/>
      <c r="T967" s="404"/>
      <c r="U967" s="404"/>
      <c r="V967" s="404"/>
      <c r="W967" s="404"/>
      <c r="X967" s="404"/>
      <c r="Y967" s="404"/>
      <c r="Z967" s="404"/>
      <c r="AA967" s="404"/>
    </row>
    <row r="968">
      <c r="A968" s="404"/>
      <c r="B968" s="419"/>
      <c r="C968" s="404"/>
      <c r="D968" s="404"/>
      <c r="E968" s="404"/>
      <c r="F968" s="404"/>
      <c r="G968" s="404"/>
      <c r="H968" s="404"/>
      <c r="I968" s="404"/>
      <c r="J968" s="404"/>
      <c r="K968" s="404"/>
      <c r="L968" s="404"/>
      <c r="M968" s="404"/>
      <c r="N968" s="404"/>
      <c r="O968" s="404"/>
      <c r="P968" s="404"/>
      <c r="Q968" s="404"/>
      <c r="R968" s="404"/>
      <c r="S968" s="404"/>
      <c r="T968" s="404"/>
      <c r="U968" s="404"/>
      <c r="V968" s="404"/>
      <c r="W968" s="404"/>
      <c r="X968" s="404"/>
      <c r="Y968" s="404"/>
      <c r="Z968" s="404"/>
      <c r="AA968" s="404"/>
    </row>
    <row r="969">
      <c r="A969" s="404"/>
      <c r="B969" s="419"/>
      <c r="C969" s="404"/>
      <c r="D969" s="404"/>
      <c r="E969" s="404"/>
      <c r="F969" s="404"/>
      <c r="G969" s="404"/>
      <c r="H969" s="404"/>
      <c r="I969" s="404"/>
      <c r="J969" s="404"/>
      <c r="K969" s="404"/>
      <c r="L969" s="404"/>
      <c r="M969" s="404"/>
      <c r="N969" s="404"/>
      <c r="O969" s="404"/>
      <c r="P969" s="404"/>
      <c r="Q969" s="404"/>
      <c r="R969" s="404"/>
      <c r="S969" s="404"/>
      <c r="T969" s="404"/>
      <c r="U969" s="404"/>
      <c r="V969" s="404"/>
      <c r="W969" s="404"/>
      <c r="X969" s="404"/>
      <c r="Y969" s="404"/>
      <c r="Z969" s="404"/>
      <c r="AA969" s="404"/>
    </row>
    <row r="970">
      <c r="A970" s="404"/>
      <c r="B970" s="419"/>
      <c r="C970" s="404"/>
      <c r="D970" s="404"/>
      <c r="E970" s="404"/>
      <c r="F970" s="404"/>
      <c r="G970" s="404"/>
      <c r="H970" s="404"/>
      <c r="I970" s="404"/>
      <c r="J970" s="404"/>
      <c r="K970" s="404"/>
      <c r="L970" s="404"/>
      <c r="M970" s="404"/>
      <c r="N970" s="404"/>
      <c r="O970" s="404"/>
      <c r="P970" s="404"/>
      <c r="Q970" s="404"/>
      <c r="R970" s="404"/>
      <c r="S970" s="404"/>
      <c r="T970" s="404"/>
      <c r="U970" s="404"/>
      <c r="V970" s="404"/>
      <c r="W970" s="404"/>
      <c r="X970" s="404"/>
      <c r="Y970" s="404"/>
      <c r="Z970" s="404"/>
      <c r="AA970" s="404"/>
    </row>
    <row r="971">
      <c r="A971" s="404"/>
      <c r="B971" s="419"/>
      <c r="C971" s="404"/>
      <c r="D971" s="404"/>
      <c r="E971" s="404"/>
      <c r="F971" s="404"/>
      <c r="G971" s="404"/>
      <c r="H971" s="404"/>
      <c r="I971" s="404"/>
      <c r="J971" s="404"/>
      <c r="K971" s="404"/>
      <c r="L971" s="404"/>
      <c r="M971" s="404"/>
      <c r="N971" s="404"/>
      <c r="O971" s="404"/>
      <c r="P971" s="404"/>
      <c r="Q971" s="404"/>
      <c r="R971" s="404"/>
      <c r="S971" s="404"/>
      <c r="T971" s="404"/>
      <c r="U971" s="404"/>
      <c r="V971" s="404"/>
      <c r="W971" s="404"/>
      <c r="X971" s="404"/>
      <c r="Y971" s="404"/>
      <c r="Z971" s="404"/>
      <c r="AA971" s="404"/>
    </row>
    <row r="972">
      <c r="A972" s="404"/>
      <c r="B972" s="419"/>
      <c r="C972" s="404"/>
      <c r="D972" s="404"/>
      <c r="E972" s="404"/>
      <c r="F972" s="404"/>
      <c r="G972" s="404"/>
      <c r="H972" s="404"/>
      <c r="I972" s="404"/>
      <c r="J972" s="404"/>
      <c r="K972" s="404"/>
      <c r="L972" s="404"/>
      <c r="M972" s="404"/>
      <c r="N972" s="404"/>
      <c r="O972" s="404"/>
      <c r="P972" s="404"/>
      <c r="Q972" s="404"/>
      <c r="R972" s="404"/>
      <c r="S972" s="404"/>
      <c r="T972" s="404"/>
      <c r="U972" s="404"/>
      <c r="V972" s="404"/>
      <c r="W972" s="404"/>
      <c r="X972" s="404"/>
      <c r="Y972" s="404"/>
      <c r="Z972" s="404"/>
      <c r="AA972" s="404"/>
    </row>
    <row r="973">
      <c r="A973" s="404"/>
      <c r="B973" s="419"/>
      <c r="C973" s="404"/>
      <c r="D973" s="404"/>
      <c r="E973" s="404"/>
      <c r="F973" s="404"/>
      <c r="G973" s="404"/>
      <c r="H973" s="404"/>
      <c r="I973" s="404"/>
      <c r="J973" s="404"/>
      <c r="K973" s="404"/>
      <c r="L973" s="404"/>
      <c r="M973" s="404"/>
      <c r="N973" s="404"/>
      <c r="O973" s="404"/>
      <c r="P973" s="404"/>
      <c r="Q973" s="404"/>
      <c r="R973" s="404"/>
      <c r="S973" s="404"/>
      <c r="T973" s="404"/>
      <c r="U973" s="404"/>
      <c r="V973" s="404"/>
      <c r="W973" s="404"/>
      <c r="X973" s="404"/>
      <c r="Y973" s="404"/>
      <c r="Z973" s="404"/>
      <c r="AA973" s="404"/>
    </row>
    <row r="974">
      <c r="A974" s="404"/>
      <c r="B974" s="419"/>
      <c r="C974" s="404"/>
      <c r="D974" s="404"/>
      <c r="E974" s="404"/>
      <c r="F974" s="404"/>
      <c r="G974" s="404"/>
      <c r="H974" s="404"/>
      <c r="I974" s="404"/>
      <c r="J974" s="404"/>
      <c r="K974" s="404"/>
      <c r="L974" s="404"/>
      <c r="M974" s="404"/>
      <c r="N974" s="404"/>
      <c r="O974" s="404"/>
      <c r="P974" s="404"/>
      <c r="Q974" s="404"/>
      <c r="R974" s="404"/>
      <c r="S974" s="404"/>
      <c r="T974" s="404"/>
      <c r="U974" s="404"/>
      <c r="V974" s="404"/>
      <c r="W974" s="404"/>
      <c r="X974" s="404"/>
      <c r="Y974" s="404"/>
      <c r="Z974" s="404"/>
      <c r="AA974" s="404"/>
    </row>
    <row r="975">
      <c r="A975" s="404"/>
      <c r="B975" s="419"/>
      <c r="C975" s="404"/>
      <c r="D975" s="404"/>
      <c r="E975" s="404"/>
      <c r="F975" s="404"/>
      <c r="G975" s="404"/>
      <c r="H975" s="404"/>
      <c r="I975" s="404"/>
      <c r="J975" s="404"/>
      <c r="K975" s="404"/>
      <c r="L975" s="404"/>
      <c r="M975" s="404"/>
      <c r="N975" s="404"/>
      <c r="O975" s="404"/>
      <c r="P975" s="404"/>
      <c r="Q975" s="404"/>
      <c r="R975" s="404"/>
      <c r="S975" s="404"/>
      <c r="T975" s="404"/>
      <c r="U975" s="404"/>
      <c r="V975" s="404"/>
      <c r="W975" s="404"/>
      <c r="X975" s="404"/>
      <c r="Y975" s="404"/>
      <c r="Z975" s="404"/>
      <c r="AA975" s="404"/>
    </row>
    <row r="976">
      <c r="A976" s="404"/>
      <c r="B976" s="419"/>
      <c r="C976" s="404"/>
      <c r="D976" s="404"/>
      <c r="E976" s="404"/>
      <c r="F976" s="404"/>
      <c r="G976" s="404"/>
      <c r="H976" s="404"/>
      <c r="I976" s="404"/>
      <c r="J976" s="404"/>
      <c r="K976" s="404"/>
      <c r="L976" s="404"/>
      <c r="M976" s="404"/>
      <c r="N976" s="404"/>
      <c r="O976" s="404"/>
      <c r="P976" s="404"/>
      <c r="Q976" s="404"/>
      <c r="R976" s="404"/>
      <c r="S976" s="404"/>
      <c r="T976" s="404"/>
      <c r="U976" s="404"/>
      <c r="V976" s="404"/>
      <c r="W976" s="404"/>
      <c r="X976" s="404"/>
      <c r="Y976" s="404"/>
      <c r="Z976" s="404"/>
      <c r="AA976" s="404"/>
    </row>
    <row r="977">
      <c r="A977" s="404"/>
      <c r="B977" s="419"/>
      <c r="C977" s="404"/>
      <c r="D977" s="404"/>
      <c r="E977" s="404"/>
      <c r="F977" s="404"/>
      <c r="G977" s="404"/>
      <c r="H977" s="404"/>
      <c r="I977" s="404"/>
      <c r="J977" s="404"/>
      <c r="K977" s="404"/>
      <c r="L977" s="404"/>
      <c r="M977" s="404"/>
      <c r="N977" s="404"/>
      <c r="O977" s="404"/>
      <c r="P977" s="404"/>
      <c r="Q977" s="404"/>
      <c r="R977" s="404"/>
      <c r="S977" s="404"/>
      <c r="T977" s="404"/>
      <c r="U977" s="404"/>
      <c r="V977" s="404"/>
      <c r="W977" s="404"/>
      <c r="X977" s="404"/>
      <c r="Y977" s="404"/>
      <c r="Z977" s="404"/>
      <c r="AA977" s="404"/>
    </row>
    <row r="978">
      <c r="A978" s="404"/>
      <c r="B978" s="419"/>
      <c r="C978" s="404"/>
      <c r="D978" s="404"/>
      <c r="E978" s="404"/>
      <c r="F978" s="404"/>
      <c r="G978" s="404"/>
      <c r="H978" s="404"/>
      <c r="I978" s="404"/>
      <c r="J978" s="404"/>
      <c r="K978" s="404"/>
      <c r="L978" s="404"/>
      <c r="M978" s="404"/>
      <c r="N978" s="404"/>
      <c r="O978" s="404"/>
      <c r="P978" s="404"/>
      <c r="Q978" s="404"/>
      <c r="R978" s="404"/>
      <c r="S978" s="404"/>
      <c r="T978" s="404"/>
      <c r="U978" s="404"/>
      <c r="V978" s="404"/>
      <c r="W978" s="404"/>
      <c r="X978" s="404"/>
      <c r="Y978" s="404"/>
      <c r="Z978" s="404"/>
      <c r="AA978" s="404"/>
    </row>
    <row r="979">
      <c r="A979" s="404"/>
      <c r="B979" s="419"/>
      <c r="C979" s="404"/>
      <c r="D979" s="404"/>
      <c r="E979" s="404"/>
      <c r="F979" s="404"/>
      <c r="G979" s="404"/>
      <c r="H979" s="404"/>
      <c r="I979" s="404"/>
      <c r="J979" s="404"/>
      <c r="K979" s="404"/>
      <c r="L979" s="404"/>
      <c r="M979" s="404"/>
      <c r="N979" s="404"/>
      <c r="O979" s="404"/>
      <c r="P979" s="404"/>
      <c r="Q979" s="404"/>
      <c r="R979" s="404"/>
      <c r="S979" s="404"/>
      <c r="T979" s="404"/>
      <c r="U979" s="404"/>
      <c r="V979" s="404"/>
      <c r="W979" s="404"/>
      <c r="X979" s="404"/>
      <c r="Y979" s="404"/>
      <c r="Z979" s="404"/>
      <c r="AA979" s="404"/>
    </row>
    <row r="980">
      <c r="A980" s="404"/>
      <c r="B980" s="419"/>
      <c r="C980" s="404"/>
      <c r="D980" s="404"/>
      <c r="E980" s="404"/>
      <c r="F980" s="404"/>
      <c r="G980" s="404"/>
      <c r="H980" s="404"/>
      <c r="I980" s="404"/>
      <c r="J980" s="404"/>
      <c r="K980" s="404"/>
      <c r="L980" s="404"/>
      <c r="M980" s="404"/>
      <c r="N980" s="404"/>
      <c r="O980" s="404"/>
      <c r="P980" s="404"/>
      <c r="Q980" s="404"/>
      <c r="R980" s="404"/>
      <c r="S980" s="404"/>
      <c r="T980" s="404"/>
      <c r="U980" s="404"/>
      <c r="V980" s="404"/>
      <c r="W980" s="404"/>
      <c r="X980" s="404"/>
      <c r="Y980" s="404"/>
      <c r="Z980" s="404"/>
      <c r="AA980" s="404"/>
    </row>
    <row r="981">
      <c r="A981" s="404"/>
      <c r="B981" s="419"/>
      <c r="C981" s="404"/>
      <c r="D981" s="404"/>
      <c r="E981" s="404"/>
      <c r="F981" s="404"/>
      <c r="G981" s="404"/>
      <c r="H981" s="404"/>
      <c r="I981" s="404"/>
      <c r="J981" s="404"/>
      <c r="K981" s="404"/>
      <c r="L981" s="404"/>
      <c r="M981" s="404"/>
      <c r="N981" s="404"/>
      <c r="O981" s="404"/>
      <c r="P981" s="404"/>
      <c r="Q981" s="404"/>
      <c r="R981" s="404"/>
      <c r="S981" s="404"/>
      <c r="T981" s="404"/>
      <c r="U981" s="404"/>
      <c r="V981" s="404"/>
      <c r="W981" s="404"/>
      <c r="X981" s="404"/>
      <c r="Y981" s="404"/>
      <c r="Z981" s="404"/>
      <c r="AA981" s="404"/>
    </row>
    <row r="982">
      <c r="A982" s="404"/>
      <c r="B982" s="419"/>
      <c r="C982" s="404"/>
      <c r="D982" s="404"/>
      <c r="E982" s="404"/>
      <c r="F982" s="404"/>
      <c r="G982" s="404"/>
      <c r="H982" s="404"/>
      <c r="I982" s="404"/>
      <c r="J982" s="404"/>
      <c r="K982" s="404"/>
      <c r="L982" s="404"/>
      <c r="M982" s="404"/>
      <c r="N982" s="404"/>
      <c r="O982" s="404"/>
      <c r="P982" s="404"/>
      <c r="Q982" s="404"/>
      <c r="R982" s="404"/>
      <c r="S982" s="404"/>
      <c r="T982" s="404"/>
      <c r="U982" s="404"/>
      <c r="V982" s="404"/>
      <c r="W982" s="404"/>
      <c r="X982" s="404"/>
      <c r="Y982" s="404"/>
      <c r="Z982" s="404"/>
      <c r="AA982" s="404"/>
    </row>
    <row r="983">
      <c r="A983" s="404"/>
      <c r="B983" s="419"/>
      <c r="C983" s="404"/>
      <c r="D983" s="404"/>
      <c r="E983" s="404"/>
      <c r="F983" s="404"/>
      <c r="G983" s="404"/>
      <c r="H983" s="404"/>
      <c r="I983" s="404"/>
      <c r="J983" s="404"/>
      <c r="K983" s="404"/>
      <c r="L983" s="404"/>
      <c r="M983" s="404"/>
      <c r="N983" s="404"/>
      <c r="O983" s="404"/>
      <c r="P983" s="404"/>
      <c r="Q983" s="404"/>
      <c r="R983" s="404"/>
      <c r="S983" s="404"/>
      <c r="T983" s="404"/>
      <c r="U983" s="404"/>
      <c r="V983" s="404"/>
      <c r="W983" s="404"/>
      <c r="X983" s="404"/>
      <c r="Y983" s="404"/>
      <c r="Z983" s="404"/>
      <c r="AA983" s="404"/>
    </row>
    <row r="984">
      <c r="A984" s="404"/>
      <c r="B984" s="419"/>
      <c r="C984" s="404"/>
      <c r="D984" s="404"/>
      <c r="E984" s="404"/>
      <c r="F984" s="404"/>
      <c r="G984" s="404"/>
      <c r="H984" s="404"/>
      <c r="I984" s="404"/>
      <c r="J984" s="404"/>
      <c r="K984" s="404"/>
      <c r="L984" s="404"/>
      <c r="M984" s="404"/>
      <c r="N984" s="404"/>
      <c r="O984" s="404"/>
      <c r="P984" s="404"/>
      <c r="Q984" s="404"/>
      <c r="R984" s="404"/>
      <c r="S984" s="404"/>
      <c r="T984" s="404"/>
      <c r="U984" s="404"/>
      <c r="V984" s="404"/>
      <c r="W984" s="404"/>
      <c r="X984" s="404"/>
      <c r="Y984" s="404"/>
      <c r="Z984" s="404"/>
      <c r="AA984" s="404"/>
    </row>
    <row r="985">
      <c r="A985" s="404"/>
      <c r="B985" s="419"/>
      <c r="C985" s="404"/>
      <c r="D985" s="404"/>
      <c r="E985" s="404"/>
      <c r="F985" s="404"/>
      <c r="G985" s="404"/>
      <c r="H985" s="404"/>
      <c r="I985" s="404"/>
      <c r="J985" s="404"/>
      <c r="K985" s="404"/>
      <c r="L985" s="404"/>
      <c r="M985" s="404"/>
      <c r="N985" s="404"/>
      <c r="O985" s="404"/>
      <c r="P985" s="404"/>
      <c r="Q985" s="404"/>
      <c r="R985" s="404"/>
      <c r="S985" s="404"/>
      <c r="T985" s="404"/>
      <c r="U985" s="404"/>
      <c r="V985" s="404"/>
      <c r="W985" s="404"/>
      <c r="X985" s="404"/>
      <c r="Y985" s="404"/>
      <c r="Z985" s="404"/>
      <c r="AA985" s="404"/>
    </row>
    <row r="986">
      <c r="A986" s="404"/>
      <c r="B986" s="419"/>
      <c r="C986" s="404"/>
      <c r="D986" s="404"/>
      <c r="E986" s="404"/>
      <c r="F986" s="404"/>
      <c r="G986" s="404"/>
      <c r="H986" s="404"/>
      <c r="I986" s="404"/>
      <c r="J986" s="404"/>
      <c r="K986" s="404"/>
      <c r="L986" s="404"/>
      <c r="M986" s="404"/>
      <c r="N986" s="404"/>
      <c r="O986" s="404"/>
      <c r="P986" s="404"/>
      <c r="Q986" s="404"/>
      <c r="R986" s="404"/>
      <c r="S986" s="404"/>
      <c r="T986" s="404"/>
      <c r="U986" s="404"/>
      <c r="V986" s="404"/>
      <c r="W986" s="404"/>
      <c r="X986" s="404"/>
      <c r="Y986" s="404"/>
      <c r="Z986" s="404"/>
      <c r="AA986" s="404"/>
    </row>
    <row r="987">
      <c r="A987" s="404"/>
      <c r="B987" s="419"/>
      <c r="C987" s="404"/>
      <c r="D987" s="404"/>
      <c r="E987" s="404"/>
      <c r="F987" s="404"/>
      <c r="G987" s="404"/>
      <c r="H987" s="404"/>
      <c r="I987" s="404"/>
      <c r="J987" s="404"/>
      <c r="K987" s="404"/>
      <c r="L987" s="404"/>
      <c r="M987" s="404"/>
      <c r="N987" s="404"/>
      <c r="O987" s="404"/>
      <c r="P987" s="404"/>
      <c r="Q987" s="404"/>
      <c r="R987" s="404"/>
      <c r="S987" s="404"/>
      <c r="T987" s="404"/>
      <c r="U987" s="404"/>
      <c r="V987" s="404"/>
      <c r="W987" s="404"/>
      <c r="X987" s="404"/>
      <c r="Y987" s="404"/>
      <c r="Z987" s="404"/>
      <c r="AA987" s="404"/>
    </row>
    <row r="988">
      <c r="A988" s="404"/>
      <c r="B988" s="419"/>
      <c r="C988" s="404"/>
      <c r="D988" s="404"/>
      <c r="E988" s="404"/>
      <c r="F988" s="404"/>
      <c r="G988" s="404"/>
      <c r="H988" s="404"/>
      <c r="I988" s="404"/>
      <c r="J988" s="404"/>
      <c r="K988" s="404"/>
      <c r="L988" s="404"/>
      <c r="M988" s="404"/>
      <c r="N988" s="404"/>
      <c r="O988" s="404"/>
      <c r="P988" s="404"/>
      <c r="Q988" s="404"/>
      <c r="R988" s="404"/>
      <c r="S988" s="404"/>
      <c r="T988" s="404"/>
      <c r="U988" s="404"/>
      <c r="V988" s="404"/>
      <c r="W988" s="404"/>
      <c r="X988" s="404"/>
      <c r="Y988" s="404"/>
      <c r="Z988" s="404"/>
      <c r="AA988" s="404"/>
    </row>
    <row r="989">
      <c r="A989" s="404"/>
      <c r="B989" s="419"/>
      <c r="C989" s="404"/>
      <c r="D989" s="404"/>
      <c r="E989" s="404"/>
      <c r="F989" s="404"/>
      <c r="G989" s="404"/>
      <c r="H989" s="404"/>
      <c r="I989" s="404"/>
      <c r="J989" s="404"/>
      <c r="K989" s="404"/>
      <c r="L989" s="404"/>
      <c r="M989" s="404"/>
      <c r="N989" s="404"/>
      <c r="O989" s="404"/>
      <c r="P989" s="404"/>
      <c r="Q989" s="404"/>
      <c r="R989" s="404"/>
      <c r="S989" s="404"/>
      <c r="T989" s="404"/>
      <c r="U989" s="404"/>
      <c r="V989" s="404"/>
      <c r="W989" s="404"/>
      <c r="X989" s="404"/>
      <c r="Y989" s="404"/>
      <c r="Z989" s="404"/>
      <c r="AA989" s="404"/>
    </row>
    <row r="990">
      <c r="A990" s="404"/>
      <c r="B990" s="419"/>
      <c r="C990" s="404"/>
      <c r="D990" s="404"/>
      <c r="E990" s="404"/>
      <c r="F990" s="404"/>
      <c r="G990" s="404"/>
      <c r="H990" s="404"/>
      <c r="I990" s="404"/>
      <c r="J990" s="404"/>
      <c r="K990" s="404"/>
      <c r="L990" s="404"/>
      <c r="M990" s="404"/>
      <c r="N990" s="404"/>
      <c r="O990" s="404"/>
      <c r="P990" s="404"/>
      <c r="Q990" s="404"/>
      <c r="R990" s="404"/>
      <c r="S990" s="404"/>
      <c r="T990" s="404"/>
      <c r="U990" s="404"/>
      <c r="V990" s="404"/>
      <c r="W990" s="404"/>
      <c r="X990" s="404"/>
      <c r="Y990" s="404"/>
      <c r="Z990" s="404"/>
      <c r="AA990" s="404"/>
    </row>
    <row r="991">
      <c r="A991" s="404"/>
      <c r="B991" s="419"/>
      <c r="C991" s="404"/>
      <c r="D991" s="404"/>
      <c r="E991" s="404"/>
      <c r="F991" s="404"/>
      <c r="G991" s="404"/>
      <c r="H991" s="404"/>
      <c r="I991" s="404"/>
      <c r="J991" s="404"/>
      <c r="K991" s="404"/>
      <c r="L991" s="404"/>
      <c r="M991" s="404"/>
      <c r="N991" s="404"/>
      <c r="O991" s="404"/>
      <c r="P991" s="404"/>
      <c r="Q991" s="404"/>
      <c r="R991" s="404"/>
      <c r="S991" s="404"/>
      <c r="T991" s="404"/>
      <c r="U991" s="404"/>
      <c r="V991" s="404"/>
      <c r="W991" s="404"/>
      <c r="X991" s="404"/>
      <c r="Y991" s="404"/>
      <c r="Z991" s="404"/>
      <c r="AA991" s="404"/>
    </row>
    <row r="992">
      <c r="A992" s="404"/>
      <c r="B992" s="419"/>
      <c r="C992" s="404"/>
      <c r="D992" s="404"/>
      <c r="E992" s="404"/>
      <c r="F992" s="404"/>
      <c r="G992" s="404"/>
      <c r="H992" s="404"/>
      <c r="I992" s="404"/>
      <c r="J992" s="404"/>
      <c r="K992" s="404"/>
      <c r="L992" s="404"/>
      <c r="M992" s="404"/>
      <c r="N992" s="404"/>
      <c r="O992" s="404"/>
      <c r="P992" s="404"/>
      <c r="Q992" s="404"/>
      <c r="R992" s="404"/>
      <c r="S992" s="404"/>
      <c r="T992" s="404"/>
      <c r="U992" s="404"/>
      <c r="V992" s="404"/>
      <c r="W992" s="404"/>
      <c r="X992" s="404"/>
      <c r="Y992" s="404"/>
      <c r="Z992" s="404"/>
      <c r="AA992" s="404"/>
    </row>
    <row r="993">
      <c r="A993" s="404"/>
      <c r="B993" s="419"/>
      <c r="C993" s="404"/>
      <c r="D993" s="404"/>
      <c r="E993" s="404"/>
      <c r="F993" s="404"/>
      <c r="G993" s="404"/>
      <c r="H993" s="404"/>
      <c r="I993" s="404"/>
      <c r="J993" s="404"/>
      <c r="K993" s="404"/>
      <c r="L993" s="404"/>
      <c r="M993" s="404"/>
      <c r="N993" s="404"/>
      <c r="O993" s="404"/>
      <c r="P993" s="404"/>
      <c r="Q993" s="404"/>
      <c r="R993" s="404"/>
      <c r="S993" s="404"/>
      <c r="T993" s="404"/>
      <c r="U993" s="404"/>
      <c r="V993" s="404"/>
      <c r="W993" s="404"/>
      <c r="X993" s="404"/>
      <c r="Y993" s="404"/>
      <c r="Z993" s="404"/>
      <c r="AA993" s="404"/>
    </row>
    <row r="994">
      <c r="A994" s="404"/>
      <c r="B994" s="419"/>
      <c r="C994" s="404"/>
      <c r="D994" s="404"/>
      <c r="E994" s="404"/>
      <c r="F994" s="404"/>
      <c r="G994" s="404"/>
      <c r="H994" s="404"/>
      <c r="I994" s="404"/>
      <c r="J994" s="404"/>
      <c r="K994" s="404"/>
      <c r="L994" s="404"/>
      <c r="M994" s="404"/>
      <c r="N994" s="404"/>
      <c r="O994" s="404"/>
      <c r="P994" s="404"/>
      <c r="Q994" s="404"/>
      <c r="R994" s="404"/>
      <c r="S994" s="404"/>
      <c r="T994" s="404"/>
      <c r="U994" s="404"/>
      <c r="V994" s="404"/>
      <c r="W994" s="404"/>
      <c r="X994" s="404"/>
      <c r="Y994" s="404"/>
      <c r="Z994" s="404"/>
      <c r="AA994" s="404"/>
    </row>
    <row r="995">
      <c r="A995" s="404"/>
      <c r="B995" s="419"/>
      <c r="C995" s="404"/>
      <c r="D995" s="404"/>
      <c r="E995" s="404"/>
      <c r="F995" s="404"/>
      <c r="G995" s="404"/>
      <c r="H995" s="404"/>
      <c r="I995" s="404"/>
      <c r="J995" s="404"/>
      <c r="K995" s="404"/>
      <c r="L995" s="404"/>
      <c r="M995" s="404"/>
      <c r="N995" s="404"/>
      <c r="O995" s="404"/>
      <c r="P995" s="404"/>
      <c r="Q995" s="404"/>
      <c r="R995" s="404"/>
      <c r="S995" s="404"/>
      <c r="T995" s="404"/>
      <c r="U995" s="404"/>
      <c r="V995" s="404"/>
      <c r="W995" s="404"/>
      <c r="X995" s="404"/>
      <c r="Y995" s="404"/>
      <c r="Z995" s="404"/>
      <c r="AA995" s="404"/>
    </row>
    <row r="996">
      <c r="A996" s="404"/>
      <c r="B996" s="419"/>
      <c r="C996" s="404"/>
      <c r="D996" s="404"/>
      <c r="E996" s="404"/>
      <c r="F996" s="404"/>
      <c r="G996" s="404"/>
      <c r="H996" s="404"/>
      <c r="I996" s="404"/>
      <c r="J996" s="404"/>
      <c r="K996" s="404"/>
      <c r="L996" s="404"/>
      <c r="M996" s="404"/>
      <c r="N996" s="404"/>
      <c r="O996" s="404"/>
      <c r="P996" s="404"/>
      <c r="Q996" s="404"/>
      <c r="R996" s="404"/>
      <c r="S996" s="404"/>
      <c r="T996" s="404"/>
      <c r="U996" s="404"/>
      <c r="V996" s="404"/>
      <c r="W996" s="404"/>
      <c r="X996" s="404"/>
      <c r="Y996" s="404"/>
      <c r="Z996" s="404"/>
      <c r="AA996" s="404"/>
    </row>
    <row r="997">
      <c r="A997" s="404"/>
      <c r="B997" s="419"/>
      <c r="C997" s="404"/>
      <c r="D997" s="404"/>
      <c r="E997" s="404"/>
      <c r="F997" s="404"/>
      <c r="G997" s="404"/>
      <c r="H997" s="404"/>
      <c r="I997" s="404"/>
      <c r="J997" s="404"/>
      <c r="K997" s="404"/>
      <c r="L997" s="404"/>
      <c r="M997" s="404"/>
      <c r="N997" s="404"/>
      <c r="O997" s="404"/>
      <c r="P997" s="404"/>
      <c r="Q997" s="404"/>
      <c r="R997" s="404"/>
      <c r="S997" s="404"/>
      <c r="T997" s="404"/>
      <c r="U997" s="404"/>
      <c r="V997" s="404"/>
      <c r="W997" s="404"/>
      <c r="X997" s="404"/>
      <c r="Y997" s="404"/>
      <c r="Z997" s="404"/>
      <c r="AA997" s="404"/>
    </row>
    <row r="998">
      <c r="A998" s="404"/>
      <c r="B998" s="419"/>
      <c r="C998" s="404"/>
      <c r="D998" s="404"/>
      <c r="E998" s="404"/>
      <c r="F998" s="404"/>
      <c r="G998" s="404"/>
      <c r="H998" s="404"/>
      <c r="I998" s="404"/>
      <c r="J998" s="404"/>
      <c r="K998" s="404"/>
      <c r="L998" s="404"/>
      <c r="M998" s="404"/>
      <c r="N998" s="404"/>
      <c r="O998" s="404"/>
      <c r="P998" s="404"/>
      <c r="Q998" s="404"/>
      <c r="R998" s="404"/>
      <c r="S998" s="404"/>
      <c r="T998" s="404"/>
      <c r="U998" s="404"/>
      <c r="V998" s="404"/>
      <c r="W998" s="404"/>
      <c r="X998" s="404"/>
      <c r="Y998" s="404"/>
      <c r="Z998" s="404"/>
      <c r="AA998" s="404"/>
    </row>
    <row r="999">
      <c r="A999" s="404"/>
      <c r="B999" s="419"/>
      <c r="C999" s="404"/>
      <c r="D999" s="404"/>
      <c r="E999" s="404"/>
      <c r="F999" s="404"/>
      <c r="G999" s="404"/>
      <c r="H999" s="404"/>
      <c r="I999" s="404"/>
      <c r="J999" s="404"/>
      <c r="K999" s="404"/>
      <c r="L999" s="404"/>
      <c r="M999" s="404"/>
      <c r="N999" s="404"/>
      <c r="O999" s="404"/>
      <c r="P999" s="404"/>
      <c r="Q999" s="404"/>
      <c r="R999" s="404"/>
      <c r="S999" s="404"/>
      <c r="T999" s="404"/>
      <c r="U999" s="404"/>
      <c r="V999" s="404"/>
      <c r="W999" s="404"/>
      <c r="X999" s="404"/>
      <c r="Y999" s="404"/>
      <c r="Z999" s="404"/>
      <c r="AA999" s="404"/>
    </row>
    <row r="1000">
      <c r="A1000" s="404"/>
      <c r="B1000" s="419"/>
      <c r="C1000" s="404"/>
      <c r="D1000" s="404"/>
      <c r="E1000" s="404"/>
      <c r="F1000" s="404"/>
      <c r="G1000" s="404"/>
      <c r="H1000" s="404"/>
      <c r="I1000" s="404"/>
      <c r="J1000" s="404"/>
      <c r="K1000" s="404"/>
      <c r="L1000" s="404"/>
      <c r="M1000" s="404"/>
      <c r="N1000" s="404"/>
      <c r="O1000" s="404"/>
      <c r="P1000" s="404"/>
      <c r="Q1000" s="404"/>
      <c r="R1000" s="404"/>
      <c r="S1000" s="404"/>
      <c r="T1000" s="404"/>
      <c r="U1000" s="404"/>
      <c r="V1000" s="404"/>
      <c r="W1000" s="404"/>
      <c r="X1000" s="404"/>
      <c r="Y1000" s="404"/>
      <c r="Z1000" s="404"/>
      <c r="AA1000" s="404"/>
    </row>
  </sheetData>
  <mergeCells count="8">
    <mergeCell ref="A1:H2"/>
    <mergeCell ref="A3:B3"/>
    <mergeCell ref="C3:C4"/>
    <mergeCell ref="D3:D4"/>
    <mergeCell ref="E3:E4"/>
    <mergeCell ref="F3:F4"/>
    <mergeCell ref="G3:G4"/>
    <mergeCell ref="H3:H4"/>
  </mergeCells>
  <printOptions/>
  <pageMargins bottom="0.75" footer="0.0" header="0.0" left="0.7" right="0.7"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17.44"/>
    <col customWidth="1" min="2" max="2" width="12.78"/>
    <col customWidth="1" min="3" max="3" width="25.33"/>
    <col customWidth="1" min="7" max="7" width="33.44"/>
  </cols>
  <sheetData>
    <row r="1">
      <c r="A1" s="403" t="s">
        <v>1780</v>
      </c>
      <c r="B1" s="363"/>
      <c r="C1" s="363"/>
      <c r="D1" s="363"/>
      <c r="E1" s="363"/>
      <c r="F1" s="363"/>
      <c r="G1" s="363"/>
    </row>
    <row r="2">
      <c r="A2" s="369"/>
      <c r="B2" s="370"/>
      <c r="C2" s="370"/>
      <c r="D2" s="370"/>
      <c r="E2" s="370"/>
      <c r="F2" s="370"/>
      <c r="G2" s="370"/>
    </row>
    <row r="3">
      <c r="A3" s="405" t="s">
        <v>33</v>
      </c>
      <c r="B3" s="2"/>
      <c r="C3" s="420" t="s">
        <v>1731</v>
      </c>
      <c r="D3" s="406" t="s">
        <v>1732</v>
      </c>
      <c r="E3" s="421" t="s">
        <v>1733</v>
      </c>
      <c r="F3" s="421" t="s">
        <v>1734</v>
      </c>
      <c r="G3" s="420" t="s">
        <v>1781</v>
      </c>
    </row>
    <row r="4">
      <c r="A4" s="407" t="s">
        <v>1736</v>
      </c>
      <c r="B4" s="408" t="s">
        <v>1737</v>
      </c>
      <c r="C4" s="251"/>
      <c r="D4" s="251"/>
      <c r="E4" s="251"/>
      <c r="F4" s="251"/>
      <c r="G4" s="251"/>
    </row>
    <row r="5" ht="29.25" customHeight="1">
      <c r="A5" s="410" t="s">
        <v>112</v>
      </c>
      <c r="B5" s="411" t="s">
        <v>1782</v>
      </c>
      <c r="C5" s="413" t="s">
        <v>1783</v>
      </c>
      <c r="D5" s="410" t="s">
        <v>1784</v>
      </c>
      <c r="E5" s="422" t="s">
        <v>1785</v>
      </c>
      <c r="F5" s="410" t="s">
        <v>1786</v>
      </c>
      <c r="G5" s="423" t="s">
        <v>1787</v>
      </c>
    </row>
    <row r="6" ht="40.5" customHeight="1">
      <c r="A6" s="410" t="s">
        <v>112</v>
      </c>
      <c r="B6" s="411" t="s">
        <v>1782</v>
      </c>
      <c r="C6" s="413" t="s">
        <v>1788</v>
      </c>
      <c r="D6" s="410" t="s">
        <v>1789</v>
      </c>
      <c r="E6" s="422" t="s">
        <v>1790</v>
      </c>
      <c r="F6" s="410" t="s">
        <v>1786</v>
      </c>
      <c r="G6" s="423" t="s">
        <v>1791</v>
      </c>
    </row>
    <row r="7" ht="40.5" customHeight="1">
      <c r="A7" s="410" t="s">
        <v>112</v>
      </c>
      <c r="B7" s="411" t="s">
        <v>1792</v>
      </c>
      <c r="C7" s="413" t="s">
        <v>1793</v>
      </c>
      <c r="D7" s="410" t="s">
        <v>1794</v>
      </c>
      <c r="E7" s="410" t="s">
        <v>1795</v>
      </c>
      <c r="F7" s="410" t="s">
        <v>1795</v>
      </c>
      <c r="G7" s="423"/>
    </row>
    <row r="8" ht="21.0" customHeight="1">
      <c r="A8" s="410" t="s">
        <v>1660</v>
      </c>
      <c r="B8" s="411" t="s">
        <v>166</v>
      </c>
      <c r="C8" s="413" t="s">
        <v>1749</v>
      </c>
      <c r="D8" s="410" t="s">
        <v>1794</v>
      </c>
      <c r="E8" s="410" t="s">
        <v>1795</v>
      </c>
      <c r="F8" s="410" t="s">
        <v>1795</v>
      </c>
      <c r="G8" s="423" t="s">
        <v>1796</v>
      </c>
    </row>
    <row r="9" ht="34.5" customHeight="1">
      <c r="A9" s="410" t="s">
        <v>1660</v>
      </c>
      <c r="B9" s="411" t="s">
        <v>1797</v>
      </c>
      <c r="C9" s="413" t="s">
        <v>1798</v>
      </c>
      <c r="D9" s="410" t="s">
        <v>1789</v>
      </c>
      <c r="E9" s="422">
        <v>45727.0</v>
      </c>
      <c r="F9" s="422">
        <v>45849.0</v>
      </c>
      <c r="G9" s="423" t="s">
        <v>1799</v>
      </c>
    </row>
    <row r="10" ht="44.25" customHeight="1">
      <c r="A10" s="410" t="s">
        <v>1800</v>
      </c>
      <c r="B10" s="411" t="s">
        <v>1801</v>
      </c>
      <c r="C10" s="413" t="s">
        <v>1802</v>
      </c>
      <c r="D10" s="410" t="s">
        <v>1789</v>
      </c>
      <c r="E10" s="422">
        <v>45941.0</v>
      </c>
      <c r="F10" s="410" t="s">
        <v>1803</v>
      </c>
      <c r="G10" s="424"/>
    </row>
    <row r="11" ht="28.5" customHeight="1">
      <c r="A11" s="410" t="s">
        <v>1660</v>
      </c>
      <c r="B11" s="411" t="s">
        <v>1797</v>
      </c>
      <c r="C11" s="413" t="s">
        <v>1804</v>
      </c>
      <c r="D11" s="410" t="s">
        <v>1805</v>
      </c>
      <c r="E11" s="422">
        <v>45941.0</v>
      </c>
      <c r="F11" s="422">
        <v>46002.0</v>
      </c>
      <c r="G11" s="423" t="s">
        <v>1806</v>
      </c>
    </row>
    <row r="12" ht="34.5" customHeight="1">
      <c r="A12" s="410" t="s">
        <v>1660</v>
      </c>
      <c r="B12" s="411" t="s">
        <v>1807</v>
      </c>
      <c r="C12" s="413" t="s">
        <v>1808</v>
      </c>
      <c r="D12" s="410" t="s">
        <v>1809</v>
      </c>
      <c r="E12" s="416">
        <v>45941.0</v>
      </c>
      <c r="F12" s="416">
        <v>46003.0</v>
      </c>
      <c r="G12" s="423"/>
    </row>
    <row r="13" ht="29.25" customHeight="1">
      <c r="A13" s="410" t="s">
        <v>1800</v>
      </c>
      <c r="B13" s="411" t="s">
        <v>1801</v>
      </c>
      <c r="C13" s="413" t="s">
        <v>1766</v>
      </c>
      <c r="D13" s="410" t="s">
        <v>1789</v>
      </c>
      <c r="E13" s="410" t="s">
        <v>1810</v>
      </c>
      <c r="F13" s="410" t="s">
        <v>1811</v>
      </c>
      <c r="G13" s="424"/>
    </row>
    <row r="14" ht="29.25" customHeight="1">
      <c r="A14" s="410" t="s">
        <v>1660</v>
      </c>
      <c r="B14" s="410" t="s">
        <v>1812</v>
      </c>
      <c r="C14" s="413" t="s">
        <v>1770</v>
      </c>
      <c r="D14" s="410" t="s">
        <v>1789</v>
      </c>
      <c r="E14" s="410" t="s">
        <v>1813</v>
      </c>
      <c r="F14" s="410" t="s">
        <v>1814</v>
      </c>
      <c r="G14" s="424"/>
    </row>
    <row r="15" ht="33.75" customHeight="1">
      <c r="A15" s="410" t="s">
        <v>1660</v>
      </c>
      <c r="B15" s="411" t="s">
        <v>1797</v>
      </c>
      <c r="C15" s="413" t="s">
        <v>1804</v>
      </c>
      <c r="D15" s="410" t="s">
        <v>1805</v>
      </c>
      <c r="E15" s="422">
        <v>45669.0</v>
      </c>
      <c r="F15" s="422">
        <v>45728.0</v>
      </c>
      <c r="G15" s="423" t="s">
        <v>1815</v>
      </c>
    </row>
    <row r="16" ht="33.75" customHeight="1">
      <c r="A16" s="410" t="s">
        <v>1660</v>
      </c>
      <c r="B16" s="411" t="s">
        <v>1807</v>
      </c>
      <c r="C16" s="413" t="s">
        <v>1816</v>
      </c>
      <c r="D16" s="410" t="s">
        <v>1789</v>
      </c>
      <c r="E16" s="422">
        <v>45669.0</v>
      </c>
      <c r="F16" s="422">
        <v>45789.0</v>
      </c>
      <c r="G16" s="424"/>
    </row>
    <row r="17" ht="25.5" customHeight="1">
      <c r="A17" s="410" t="s">
        <v>1660</v>
      </c>
      <c r="B17" s="410" t="s">
        <v>1812</v>
      </c>
      <c r="C17" s="413" t="s">
        <v>1772</v>
      </c>
      <c r="D17" s="410" t="s">
        <v>1805</v>
      </c>
      <c r="E17" s="422">
        <v>45728.0</v>
      </c>
      <c r="F17" s="422">
        <v>45789.0</v>
      </c>
      <c r="G17" s="424"/>
    </row>
    <row r="18" ht="25.5" customHeight="1">
      <c r="A18" s="410" t="s">
        <v>1660</v>
      </c>
      <c r="B18" s="410" t="s">
        <v>166</v>
      </c>
      <c r="C18" s="425" t="s">
        <v>1774</v>
      </c>
      <c r="D18" s="410" t="s">
        <v>1817</v>
      </c>
      <c r="E18" s="416">
        <v>45881.0</v>
      </c>
      <c r="F18" s="416">
        <v>46003.0</v>
      </c>
      <c r="G18" s="423"/>
    </row>
    <row r="19" ht="25.5" customHeight="1">
      <c r="A19" s="410" t="s">
        <v>1660</v>
      </c>
      <c r="B19" s="410" t="s">
        <v>1812</v>
      </c>
      <c r="C19" s="425" t="s">
        <v>1778</v>
      </c>
      <c r="D19" s="410" t="s">
        <v>1794</v>
      </c>
      <c r="E19" s="410" t="s">
        <v>1818</v>
      </c>
      <c r="F19" s="410" t="s">
        <v>1818</v>
      </c>
      <c r="G19" s="423"/>
    </row>
    <row r="20">
      <c r="A20" s="409"/>
      <c r="B20" s="376"/>
      <c r="C20" s="426"/>
      <c r="D20" s="418"/>
      <c r="E20" s="427"/>
      <c r="F20" s="427"/>
      <c r="G20" s="428"/>
    </row>
    <row r="21">
      <c r="A21" s="409"/>
      <c r="B21" s="376"/>
      <c r="C21" s="376"/>
      <c r="D21" s="418"/>
      <c r="E21" s="427"/>
      <c r="F21" s="427"/>
      <c r="G21" s="428"/>
    </row>
    <row r="22">
      <c r="A22" s="409"/>
      <c r="B22" s="376"/>
      <c r="C22" s="376"/>
      <c r="D22" s="418"/>
      <c r="E22" s="427"/>
      <c r="F22" s="427"/>
      <c r="G22" s="428"/>
    </row>
    <row r="23">
      <c r="A23" s="409"/>
      <c r="B23" s="376"/>
      <c r="C23" s="376"/>
      <c r="D23" s="418"/>
      <c r="E23" s="427"/>
      <c r="F23" s="427"/>
      <c r="G23" s="428"/>
    </row>
    <row r="24">
      <c r="A24" s="409"/>
      <c r="B24" s="376"/>
      <c r="C24" s="429"/>
      <c r="D24" s="418"/>
      <c r="E24" s="427"/>
      <c r="F24" s="427"/>
      <c r="G24" s="428"/>
    </row>
    <row r="25">
      <c r="A25" s="409"/>
      <c r="B25" s="376"/>
      <c r="C25" s="376"/>
      <c r="D25" s="418"/>
      <c r="E25" s="427"/>
      <c r="F25" s="427"/>
      <c r="G25" s="428"/>
    </row>
    <row r="26">
      <c r="A26" s="409"/>
      <c r="B26" s="376"/>
      <c r="C26" s="376"/>
      <c r="D26" s="418"/>
      <c r="E26" s="427"/>
      <c r="F26" s="427"/>
      <c r="G26" s="428"/>
    </row>
    <row r="27">
      <c r="A27" s="409"/>
      <c r="B27" s="376"/>
      <c r="C27" s="376"/>
      <c r="D27" s="418"/>
      <c r="E27" s="427"/>
      <c r="F27" s="427"/>
      <c r="G27" s="428"/>
    </row>
    <row r="28">
      <c r="A28" s="409"/>
      <c r="B28" s="376"/>
      <c r="C28" s="376"/>
      <c r="D28" s="418"/>
      <c r="E28" s="427"/>
      <c r="F28" s="427"/>
      <c r="G28" s="428"/>
    </row>
    <row r="29">
      <c r="A29" s="409"/>
      <c r="B29" s="376"/>
      <c r="C29" s="376"/>
      <c r="D29" s="418"/>
      <c r="E29" s="427"/>
      <c r="F29" s="427"/>
      <c r="G29" s="428"/>
    </row>
    <row r="30">
      <c r="A30" s="409"/>
      <c r="B30" s="376"/>
      <c r="C30" s="376"/>
      <c r="D30" s="418"/>
      <c r="E30" s="427"/>
      <c r="F30" s="427"/>
      <c r="G30" s="428"/>
    </row>
    <row r="31">
      <c r="A31" s="409"/>
      <c r="B31" s="376"/>
      <c r="C31" s="376"/>
      <c r="D31" s="418"/>
      <c r="E31" s="427"/>
      <c r="F31" s="427"/>
      <c r="G31" s="428"/>
    </row>
    <row r="32">
      <c r="A32" s="409"/>
      <c r="B32" s="376"/>
      <c r="C32" s="376"/>
      <c r="D32" s="418"/>
      <c r="E32" s="427"/>
      <c r="F32" s="427"/>
      <c r="G32" s="428"/>
    </row>
    <row r="33">
      <c r="A33" s="409"/>
      <c r="B33" s="376"/>
      <c r="C33" s="376"/>
      <c r="D33" s="418"/>
      <c r="E33" s="427"/>
      <c r="F33" s="427"/>
      <c r="G33" s="428"/>
    </row>
    <row r="34">
      <c r="A34" s="409"/>
      <c r="B34" s="376"/>
      <c r="C34" s="376"/>
      <c r="D34" s="418"/>
      <c r="E34" s="427"/>
      <c r="F34" s="427"/>
      <c r="G34" s="428"/>
    </row>
    <row r="35">
      <c r="A35" s="409"/>
      <c r="B35" s="376"/>
      <c r="C35" s="376"/>
      <c r="D35" s="418"/>
      <c r="E35" s="427"/>
      <c r="F35" s="427"/>
      <c r="G35" s="428"/>
    </row>
    <row r="36">
      <c r="A36" s="409"/>
      <c r="B36" s="376"/>
      <c r="C36" s="376"/>
      <c r="D36" s="418"/>
      <c r="E36" s="427"/>
      <c r="F36" s="427"/>
      <c r="G36" s="428"/>
    </row>
    <row r="37">
      <c r="A37" s="409"/>
      <c r="B37" s="376"/>
      <c r="C37" s="376"/>
      <c r="D37" s="418"/>
      <c r="E37" s="427"/>
      <c r="F37" s="427"/>
      <c r="G37" s="428"/>
    </row>
    <row r="38">
      <c r="A38" s="409"/>
      <c r="B38" s="376"/>
      <c r="C38" s="376"/>
      <c r="D38" s="418"/>
      <c r="E38" s="427"/>
      <c r="F38" s="427"/>
      <c r="G38" s="428"/>
    </row>
    <row r="39">
      <c r="A39" s="409"/>
      <c r="B39" s="376"/>
      <c r="C39" s="376"/>
      <c r="D39" s="418"/>
      <c r="E39" s="427"/>
      <c r="F39" s="427"/>
      <c r="G39" s="428"/>
    </row>
    <row r="40">
      <c r="A40" s="409"/>
      <c r="B40" s="376"/>
      <c r="C40" s="376"/>
      <c r="D40" s="418"/>
      <c r="E40" s="427"/>
      <c r="F40" s="427"/>
      <c r="G40" s="428"/>
    </row>
    <row r="41">
      <c r="A41" s="409"/>
      <c r="B41" s="376"/>
      <c r="C41" s="376"/>
      <c r="D41" s="418"/>
      <c r="E41" s="427"/>
      <c r="F41" s="427"/>
      <c r="G41" s="428"/>
    </row>
    <row r="42">
      <c r="A42" s="409"/>
      <c r="B42" s="376"/>
      <c r="C42" s="376"/>
      <c r="D42" s="418"/>
      <c r="E42" s="427"/>
      <c r="F42" s="427"/>
      <c r="G42" s="428"/>
    </row>
    <row r="43">
      <c r="A43" s="409"/>
      <c r="B43" s="376"/>
      <c r="C43" s="376"/>
      <c r="D43" s="418"/>
      <c r="E43" s="427"/>
      <c r="F43" s="427"/>
      <c r="G43" s="428"/>
    </row>
    <row r="44">
      <c r="A44" s="409"/>
      <c r="B44" s="376"/>
      <c r="C44" s="376"/>
      <c r="D44" s="418"/>
      <c r="E44" s="427"/>
      <c r="F44" s="427"/>
      <c r="G44" s="428"/>
    </row>
    <row r="45">
      <c r="A45" s="409"/>
      <c r="B45" s="376"/>
      <c r="C45" s="376"/>
      <c r="D45" s="418"/>
      <c r="E45" s="427"/>
      <c r="F45" s="427"/>
      <c r="G45" s="428"/>
    </row>
    <row r="46">
      <c r="A46" s="409"/>
      <c r="B46" s="376"/>
      <c r="C46" s="376"/>
      <c r="D46" s="418"/>
      <c r="E46" s="427"/>
      <c r="F46" s="427"/>
      <c r="G46" s="428"/>
    </row>
    <row r="47">
      <c r="A47" s="409"/>
      <c r="B47" s="376"/>
      <c r="C47" s="376"/>
      <c r="D47" s="418"/>
      <c r="E47" s="427"/>
      <c r="F47" s="427"/>
      <c r="G47" s="428"/>
    </row>
    <row r="48">
      <c r="A48" s="409"/>
      <c r="B48" s="376"/>
      <c r="C48" s="376"/>
      <c r="D48" s="418"/>
      <c r="E48" s="427"/>
      <c r="F48" s="427"/>
      <c r="G48" s="428"/>
    </row>
    <row r="49">
      <c r="A49" s="409"/>
      <c r="B49" s="376"/>
      <c r="C49" s="376"/>
      <c r="D49" s="409"/>
      <c r="E49" s="430"/>
      <c r="F49" s="430"/>
      <c r="G49" s="428"/>
    </row>
    <row r="50">
      <c r="A50" s="409"/>
      <c r="B50" s="376"/>
      <c r="C50" s="376"/>
      <c r="D50" s="409"/>
      <c r="E50" s="430"/>
      <c r="F50" s="430"/>
      <c r="G50" s="428"/>
    </row>
    <row r="51">
      <c r="A51" s="409"/>
      <c r="B51" s="376"/>
      <c r="C51" s="376"/>
      <c r="D51" s="409"/>
      <c r="E51" s="430"/>
      <c r="F51" s="430"/>
      <c r="G51" s="428"/>
    </row>
    <row r="52">
      <c r="A52" s="409"/>
      <c r="B52" s="376"/>
      <c r="C52" s="376"/>
      <c r="D52" s="409"/>
      <c r="E52" s="430"/>
      <c r="F52" s="430"/>
      <c r="G52" s="428"/>
    </row>
    <row r="53">
      <c r="A53" s="409"/>
      <c r="B53" s="376"/>
      <c r="C53" s="376"/>
      <c r="D53" s="409"/>
      <c r="E53" s="430"/>
      <c r="F53" s="430"/>
      <c r="G53" s="428"/>
    </row>
    <row r="54">
      <c r="A54" s="409"/>
      <c r="B54" s="376"/>
      <c r="C54" s="376"/>
      <c r="D54" s="409"/>
      <c r="E54" s="430"/>
      <c r="F54" s="430"/>
      <c r="G54" s="428"/>
    </row>
    <row r="55">
      <c r="A55" s="409"/>
      <c r="B55" s="376"/>
      <c r="C55" s="376"/>
      <c r="D55" s="409"/>
      <c r="E55" s="430"/>
      <c r="F55" s="430"/>
      <c r="G55" s="428"/>
    </row>
    <row r="56">
      <c r="A56" s="409"/>
      <c r="B56" s="376"/>
      <c r="C56" s="376"/>
      <c r="D56" s="409"/>
      <c r="E56" s="430"/>
      <c r="F56" s="430"/>
      <c r="G56" s="428"/>
    </row>
    <row r="57">
      <c r="A57" s="409"/>
      <c r="B57" s="376"/>
      <c r="C57" s="376"/>
      <c r="D57" s="409"/>
      <c r="E57" s="430"/>
      <c r="F57" s="430"/>
      <c r="G57" s="428"/>
    </row>
    <row r="58">
      <c r="A58" s="409"/>
      <c r="B58" s="376"/>
      <c r="C58" s="376"/>
      <c r="D58" s="409"/>
      <c r="E58" s="430"/>
      <c r="F58" s="430"/>
      <c r="G58" s="428"/>
    </row>
    <row r="59">
      <c r="A59" s="409"/>
      <c r="B59" s="376"/>
      <c r="C59" s="376"/>
      <c r="D59" s="409"/>
      <c r="E59" s="430"/>
      <c r="F59" s="430"/>
      <c r="G59" s="428"/>
    </row>
    <row r="60">
      <c r="A60" s="409"/>
      <c r="B60" s="376"/>
      <c r="C60" s="376"/>
      <c r="D60" s="409"/>
      <c r="E60" s="430"/>
      <c r="F60" s="430"/>
      <c r="G60" s="428"/>
    </row>
    <row r="61">
      <c r="A61" s="409"/>
      <c r="B61" s="376"/>
      <c r="C61" s="376"/>
      <c r="D61" s="409"/>
      <c r="E61" s="430"/>
      <c r="F61" s="430"/>
      <c r="G61" s="428"/>
    </row>
    <row r="62">
      <c r="A62" s="404"/>
      <c r="B62" s="419"/>
      <c r="C62" s="419"/>
      <c r="D62" s="404"/>
      <c r="E62" s="431"/>
      <c r="F62" s="431"/>
      <c r="G62" s="432"/>
    </row>
    <row r="63">
      <c r="A63" s="404"/>
      <c r="B63" s="419"/>
      <c r="C63" s="419"/>
      <c r="D63" s="404"/>
      <c r="E63" s="431"/>
      <c r="F63" s="431"/>
      <c r="G63" s="432"/>
    </row>
    <row r="64">
      <c r="A64" s="404"/>
      <c r="B64" s="419"/>
      <c r="C64" s="419"/>
      <c r="D64" s="404"/>
      <c r="E64" s="431"/>
      <c r="F64" s="431"/>
      <c r="G64" s="432"/>
    </row>
    <row r="65">
      <c r="A65" s="404"/>
      <c r="B65" s="419"/>
      <c r="C65" s="419"/>
      <c r="D65" s="404"/>
      <c r="E65" s="431"/>
      <c r="F65" s="431"/>
      <c r="G65" s="432"/>
    </row>
    <row r="66">
      <c r="A66" s="404"/>
      <c r="B66" s="419"/>
      <c r="C66" s="419"/>
      <c r="D66" s="404"/>
      <c r="E66" s="431"/>
      <c r="F66" s="431"/>
      <c r="G66" s="432"/>
    </row>
    <row r="67">
      <c r="A67" s="404"/>
      <c r="B67" s="419"/>
      <c r="C67" s="419"/>
      <c r="D67" s="404"/>
      <c r="E67" s="431"/>
      <c r="F67" s="431"/>
      <c r="G67" s="432"/>
    </row>
    <row r="68">
      <c r="A68" s="404"/>
      <c r="B68" s="419"/>
      <c r="C68" s="419"/>
      <c r="D68" s="404"/>
      <c r="E68" s="431"/>
      <c r="F68" s="431"/>
      <c r="G68" s="432"/>
    </row>
    <row r="69">
      <c r="A69" s="404"/>
      <c r="B69" s="419"/>
      <c r="C69" s="419"/>
      <c r="D69" s="404"/>
      <c r="E69" s="431"/>
      <c r="F69" s="431"/>
      <c r="G69" s="432"/>
    </row>
    <row r="70">
      <c r="A70" s="404"/>
      <c r="B70" s="419"/>
      <c r="C70" s="419"/>
      <c r="D70" s="404"/>
      <c r="E70" s="431"/>
      <c r="F70" s="431"/>
      <c r="G70" s="432"/>
    </row>
    <row r="71">
      <c r="A71" s="404"/>
      <c r="B71" s="419"/>
      <c r="C71" s="419"/>
      <c r="D71" s="404"/>
      <c r="E71" s="431"/>
      <c r="F71" s="431"/>
      <c r="G71" s="432"/>
    </row>
    <row r="72">
      <c r="A72" s="404"/>
      <c r="B72" s="419"/>
      <c r="C72" s="419"/>
      <c r="D72" s="404"/>
      <c r="E72" s="431"/>
      <c r="F72" s="431"/>
      <c r="G72" s="432"/>
    </row>
    <row r="73">
      <c r="A73" s="404"/>
      <c r="B73" s="419"/>
      <c r="C73" s="419"/>
      <c r="D73" s="404"/>
      <c r="E73" s="431"/>
      <c r="F73" s="431"/>
      <c r="G73" s="432"/>
    </row>
    <row r="74">
      <c r="A74" s="404"/>
      <c r="B74" s="419"/>
      <c r="C74" s="419"/>
      <c r="D74" s="404"/>
      <c r="E74" s="431"/>
      <c r="F74" s="431"/>
      <c r="G74" s="432"/>
    </row>
    <row r="75">
      <c r="A75" s="404"/>
      <c r="B75" s="419"/>
      <c r="C75" s="419"/>
      <c r="D75" s="404"/>
      <c r="E75" s="431"/>
      <c r="F75" s="431"/>
      <c r="G75" s="432"/>
    </row>
    <row r="76">
      <c r="A76" s="404"/>
      <c r="B76" s="419"/>
      <c r="C76" s="419"/>
      <c r="D76" s="404"/>
      <c r="E76" s="431"/>
      <c r="F76" s="431"/>
      <c r="G76" s="432"/>
    </row>
    <row r="77">
      <c r="A77" s="404"/>
      <c r="B77" s="419"/>
      <c r="C77" s="419"/>
      <c r="D77" s="404"/>
      <c r="E77" s="431"/>
      <c r="F77" s="431"/>
      <c r="G77" s="432"/>
    </row>
    <row r="78">
      <c r="A78" s="404"/>
      <c r="B78" s="419"/>
      <c r="C78" s="419"/>
      <c r="D78" s="404"/>
      <c r="E78" s="431"/>
      <c r="F78" s="431"/>
      <c r="G78" s="432"/>
    </row>
    <row r="79">
      <c r="A79" s="404"/>
      <c r="B79" s="419"/>
      <c r="C79" s="419"/>
      <c r="D79" s="404"/>
      <c r="E79" s="431"/>
      <c r="F79" s="431"/>
      <c r="G79" s="432"/>
    </row>
    <row r="80">
      <c r="A80" s="404"/>
      <c r="B80" s="419"/>
      <c r="C80" s="419"/>
      <c r="D80" s="404"/>
      <c r="E80" s="431"/>
      <c r="F80" s="431"/>
      <c r="G80" s="432"/>
    </row>
    <row r="81">
      <c r="A81" s="404"/>
      <c r="B81" s="419"/>
      <c r="C81" s="419"/>
      <c r="D81" s="404"/>
      <c r="E81" s="431"/>
      <c r="F81" s="431"/>
      <c r="G81" s="432"/>
    </row>
    <row r="82">
      <c r="A82" s="404"/>
      <c r="B82" s="419"/>
      <c r="C82" s="419"/>
      <c r="D82" s="404"/>
      <c r="E82" s="431"/>
      <c r="F82" s="431"/>
      <c r="G82" s="432"/>
    </row>
    <row r="83">
      <c r="A83" s="404"/>
      <c r="B83" s="419"/>
      <c r="C83" s="419"/>
      <c r="D83" s="404"/>
      <c r="E83" s="431"/>
      <c r="F83" s="431"/>
      <c r="G83" s="432"/>
    </row>
    <row r="84">
      <c r="A84" s="404"/>
      <c r="B84" s="419"/>
      <c r="C84" s="419"/>
      <c r="D84" s="404"/>
      <c r="E84" s="431"/>
      <c r="F84" s="431"/>
      <c r="G84" s="432"/>
    </row>
    <row r="85">
      <c r="A85" s="404"/>
      <c r="B85" s="419"/>
      <c r="C85" s="419"/>
      <c r="D85" s="404"/>
      <c r="E85" s="431"/>
      <c r="F85" s="431"/>
      <c r="G85" s="432"/>
    </row>
    <row r="86">
      <c r="A86" s="404"/>
      <c r="B86" s="419"/>
      <c r="C86" s="419"/>
      <c r="D86" s="404"/>
      <c r="E86" s="431"/>
      <c r="F86" s="431"/>
      <c r="G86" s="432"/>
    </row>
    <row r="87">
      <c r="A87" s="404"/>
      <c r="B87" s="419"/>
      <c r="C87" s="419"/>
      <c r="D87" s="404"/>
      <c r="E87" s="431"/>
      <c r="F87" s="431"/>
      <c r="G87" s="432"/>
    </row>
    <row r="88">
      <c r="A88" s="404"/>
      <c r="B88" s="419"/>
      <c r="C88" s="419"/>
      <c r="D88" s="404"/>
      <c r="E88" s="431"/>
      <c r="F88" s="431"/>
      <c r="G88" s="432"/>
    </row>
    <row r="89">
      <c r="A89" s="404"/>
      <c r="B89" s="419"/>
      <c r="C89" s="419"/>
      <c r="D89" s="404"/>
      <c r="E89" s="431"/>
      <c r="F89" s="431"/>
      <c r="G89" s="432"/>
    </row>
    <row r="90">
      <c r="A90" s="404"/>
      <c r="B90" s="419"/>
      <c r="C90" s="419"/>
      <c r="D90" s="404"/>
      <c r="E90" s="431"/>
      <c r="F90" s="431"/>
      <c r="G90" s="432"/>
    </row>
    <row r="91">
      <c r="A91" s="404"/>
      <c r="B91" s="419"/>
      <c r="C91" s="419"/>
      <c r="D91" s="404"/>
      <c r="E91" s="431"/>
      <c r="F91" s="431"/>
      <c r="G91" s="432"/>
    </row>
    <row r="92">
      <c r="A92" s="404"/>
      <c r="B92" s="419"/>
      <c r="C92" s="419"/>
      <c r="D92" s="404"/>
      <c r="E92" s="431"/>
      <c r="F92" s="431"/>
      <c r="G92" s="432"/>
    </row>
    <row r="93">
      <c r="A93" s="404"/>
      <c r="B93" s="419"/>
      <c r="C93" s="419"/>
      <c r="D93" s="404"/>
      <c r="E93" s="431"/>
      <c r="F93" s="431"/>
      <c r="G93" s="432"/>
    </row>
    <row r="94">
      <c r="A94" s="404"/>
      <c r="B94" s="419"/>
      <c r="C94" s="419"/>
      <c r="D94" s="404"/>
      <c r="E94" s="431"/>
      <c r="F94" s="431"/>
      <c r="G94" s="432"/>
    </row>
    <row r="95">
      <c r="A95" s="404"/>
      <c r="B95" s="419"/>
      <c r="C95" s="419"/>
      <c r="D95" s="404"/>
      <c r="E95" s="431"/>
      <c r="F95" s="431"/>
      <c r="G95" s="432"/>
    </row>
    <row r="96">
      <c r="A96" s="404"/>
      <c r="B96" s="419"/>
      <c r="C96" s="419"/>
      <c r="D96" s="404"/>
      <c r="E96" s="431"/>
      <c r="F96" s="431"/>
      <c r="G96" s="432"/>
    </row>
    <row r="97">
      <c r="A97" s="404"/>
      <c r="B97" s="419"/>
      <c r="C97" s="419"/>
      <c r="D97" s="404"/>
      <c r="E97" s="431"/>
      <c r="F97" s="431"/>
      <c r="G97" s="432"/>
    </row>
    <row r="98">
      <c r="A98" s="404"/>
      <c r="B98" s="419"/>
      <c r="C98" s="419"/>
      <c r="D98" s="404"/>
      <c r="E98" s="431"/>
      <c r="F98" s="431"/>
      <c r="G98" s="432"/>
    </row>
    <row r="99">
      <c r="A99" s="404"/>
      <c r="B99" s="419"/>
      <c r="C99" s="419"/>
      <c r="D99" s="404"/>
      <c r="E99" s="431"/>
      <c r="F99" s="431"/>
      <c r="G99" s="432"/>
    </row>
    <row r="100">
      <c r="A100" s="404"/>
      <c r="B100" s="419"/>
      <c r="C100" s="419"/>
      <c r="D100" s="404"/>
      <c r="E100" s="431"/>
      <c r="F100" s="431"/>
      <c r="G100" s="432"/>
    </row>
    <row r="101">
      <c r="A101" s="404"/>
      <c r="B101" s="419"/>
      <c r="C101" s="419"/>
      <c r="D101" s="404"/>
      <c r="E101" s="431"/>
      <c r="F101" s="431"/>
      <c r="G101" s="432"/>
    </row>
    <row r="102">
      <c r="A102" s="404"/>
      <c r="B102" s="419"/>
      <c r="C102" s="419"/>
      <c r="D102" s="404"/>
      <c r="E102" s="431"/>
      <c r="F102" s="431"/>
      <c r="G102" s="432"/>
    </row>
    <row r="103">
      <c r="A103" s="404"/>
      <c r="B103" s="419"/>
      <c r="C103" s="419"/>
      <c r="D103" s="404"/>
      <c r="E103" s="431"/>
      <c r="F103" s="431"/>
      <c r="G103" s="432"/>
    </row>
    <row r="104">
      <c r="A104" s="404"/>
      <c r="B104" s="419"/>
      <c r="C104" s="419"/>
      <c r="D104" s="404"/>
      <c r="E104" s="431"/>
      <c r="F104" s="431"/>
      <c r="G104" s="432"/>
    </row>
    <row r="105">
      <c r="A105" s="404"/>
      <c r="B105" s="419"/>
      <c r="C105" s="419"/>
      <c r="D105" s="404"/>
      <c r="E105" s="431"/>
      <c r="F105" s="431"/>
      <c r="G105" s="432"/>
    </row>
    <row r="106">
      <c r="A106" s="404"/>
      <c r="B106" s="419"/>
      <c r="C106" s="419"/>
      <c r="D106" s="404"/>
      <c r="E106" s="431"/>
      <c r="F106" s="431"/>
      <c r="G106" s="432"/>
    </row>
    <row r="107">
      <c r="A107" s="404"/>
      <c r="B107" s="419"/>
      <c r="C107" s="419"/>
      <c r="D107" s="404"/>
      <c r="E107" s="431"/>
      <c r="F107" s="431"/>
      <c r="G107" s="432"/>
    </row>
    <row r="108">
      <c r="A108" s="404"/>
      <c r="B108" s="419"/>
      <c r="C108" s="419"/>
      <c r="D108" s="404"/>
      <c r="E108" s="431"/>
      <c r="F108" s="431"/>
      <c r="G108" s="432"/>
    </row>
    <row r="109">
      <c r="A109" s="404"/>
      <c r="B109" s="419"/>
      <c r="C109" s="419"/>
      <c r="D109" s="404"/>
      <c r="E109" s="431"/>
      <c r="F109" s="431"/>
      <c r="G109" s="432"/>
    </row>
    <row r="110">
      <c r="A110" s="404"/>
      <c r="B110" s="419"/>
      <c r="C110" s="419"/>
      <c r="D110" s="404"/>
      <c r="E110" s="431"/>
      <c r="F110" s="431"/>
      <c r="G110" s="432"/>
    </row>
    <row r="111">
      <c r="A111" s="404"/>
      <c r="B111" s="419"/>
      <c r="C111" s="419"/>
      <c r="D111" s="404"/>
      <c r="E111" s="431"/>
      <c r="F111" s="431"/>
      <c r="G111" s="432"/>
    </row>
    <row r="112">
      <c r="A112" s="404"/>
      <c r="B112" s="419"/>
      <c r="C112" s="419"/>
      <c r="D112" s="404"/>
      <c r="E112" s="431"/>
      <c r="F112" s="431"/>
      <c r="G112" s="432"/>
    </row>
    <row r="113">
      <c r="A113" s="404"/>
      <c r="B113" s="419"/>
      <c r="C113" s="419"/>
      <c r="D113" s="404"/>
      <c r="E113" s="431"/>
      <c r="F113" s="431"/>
      <c r="G113" s="432"/>
    </row>
    <row r="114">
      <c r="A114" s="404"/>
      <c r="B114" s="419"/>
      <c r="C114" s="419"/>
      <c r="D114" s="404"/>
      <c r="E114" s="431"/>
      <c r="F114" s="431"/>
      <c r="G114" s="432"/>
    </row>
    <row r="115">
      <c r="A115" s="404"/>
      <c r="B115" s="419"/>
      <c r="C115" s="419"/>
      <c r="D115" s="404"/>
      <c r="E115" s="431"/>
      <c r="F115" s="431"/>
      <c r="G115" s="432"/>
    </row>
    <row r="116">
      <c r="A116" s="404"/>
      <c r="B116" s="419"/>
      <c r="C116" s="419"/>
      <c r="D116" s="404"/>
      <c r="E116" s="431"/>
      <c r="F116" s="431"/>
      <c r="G116" s="432"/>
    </row>
    <row r="117">
      <c r="A117" s="404"/>
      <c r="B117" s="419"/>
      <c r="C117" s="419"/>
      <c r="D117" s="404"/>
      <c r="E117" s="431"/>
      <c r="F117" s="431"/>
      <c r="G117" s="432"/>
    </row>
    <row r="118">
      <c r="A118" s="404"/>
      <c r="B118" s="419"/>
      <c r="C118" s="419"/>
      <c r="D118" s="404"/>
      <c r="E118" s="431"/>
      <c r="F118" s="431"/>
      <c r="G118" s="432"/>
    </row>
    <row r="119">
      <c r="A119" s="404"/>
      <c r="B119" s="419"/>
      <c r="C119" s="419"/>
      <c r="D119" s="404"/>
      <c r="E119" s="431"/>
      <c r="F119" s="431"/>
      <c r="G119" s="432"/>
    </row>
    <row r="120">
      <c r="A120" s="404"/>
      <c r="B120" s="419"/>
      <c r="C120" s="419"/>
      <c r="D120" s="404"/>
      <c r="E120" s="431"/>
      <c r="F120" s="431"/>
      <c r="G120" s="432"/>
    </row>
    <row r="121">
      <c r="A121" s="404"/>
      <c r="B121" s="419"/>
      <c r="C121" s="419"/>
      <c r="D121" s="404"/>
      <c r="E121" s="431"/>
      <c r="F121" s="431"/>
      <c r="G121" s="432"/>
    </row>
    <row r="122">
      <c r="A122" s="404"/>
      <c r="B122" s="419"/>
      <c r="C122" s="419"/>
      <c r="D122" s="404"/>
      <c r="E122" s="431"/>
      <c r="F122" s="431"/>
      <c r="G122" s="432"/>
    </row>
    <row r="123">
      <c r="A123" s="404"/>
      <c r="B123" s="419"/>
      <c r="C123" s="419"/>
      <c r="D123" s="404"/>
      <c r="E123" s="431"/>
      <c r="F123" s="431"/>
      <c r="G123" s="432"/>
    </row>
    <row r="124">
      <c r="A124" s="404"/>
      <c r="B124" s="419"/>
      <c r="C124" s="419"/>
      <c r="D124" s="404"/>
      <c r="E124" s="431"/>
      <c r="F124" s="431"/>
      <c r="G124" s="432"/>
    </row>
    <row r="125">
      <c r="A125" s="404"/>
      <c r="B125" s="419"/>
      <c r="C125" s="419"/>
      <c r="D125" s="404"/>
      <c r="E125" s="431"/>
      <c r="F125" s="431"/>
      <c r="G125" s="432"/>
    </row>
    <row r="126">
      <c r="A126" s="404"/>
      <c r="B126" s="419"/>
      <c r="C126" s="419"/>
      <c r="D126" s="404"/>
      <c r="E126" s="431"/>
      <c r="F126" s="431"/>
      <c r="G126" s="432"/>
    </row>
    <row r="127">
      <c r="A127" s="404"/>
      <c r="B127" s="419"/>
      <c r="C127" s="419"/>
      <c r="D127" s="404"/>
      <c r="E127" s="431"/>
      <c r="F127" s="431"/>
      <c r="G127" s="432"/>
    </row>
    <row r="128">
      <c r="A128" s="404"/>
      <c r="B128" s="419"/>
      <c r="C128" s="419"/>
      <c r="D128" s="404"/>
      <c r="E128" s="431"/>
      <c r="F128" s="431"/>
      <c r="G128" s="432"/>
    </row>
    <row r="129">
      <c r="A129" s="404"/>
      <c r="B129" s="419"/>
      <c r="C129" s="419"/>
      <c r="D129" s="404"/>
      <c r="E129" s="431"/>
      <c r="F129" s="431"/>
      <c r="G129" s="432"/>
    </row>
    <row r="130">
      <c r="A130" s="404"/>
      <c r="B130" s="419"/>
      <c r="C130" s="419"/>
      <c r="D130" s="404"/>
      <c r="E130" s="431"/>
      <c r="F130" s="431"/>
      <c r="G130" s="432"/>
    </row>
    <row r="131">
      <c r="A131" s="404"/>
      <c r="B131" s="419"/>
      <c r="C131" s="419"/>
      <c r="D131" s="404"/>
      <c r="E131" s="431"/>
      <c r="F131" s="431"/>
      <c r="G131" s="432"/>
    </row>
    <row r="132">
      <c r="A132" s="404"/>
      <c r="B132" s="419"/>
      <c r="C132" s="419"/>
      <c r="D132" s="404"/>
      <c r="E132" s="431"/>
      <c r="F132" s="431"/>
      <c r="G132" s="432"/>
    </row>
    <row r="133">
      <c r="A133" s="404"/>
      <c r="B133" s="419"/>
      <c r="C133" s="419"/>
      <c r="D133" s="404"/>
      <c r="E133" s="431"/>
      <c r="F133" s="431"/>
      <c r="G133" s="432"/>
    </row>
    <row r="134">
      <c r="A134" s="404"/>
      <c r="B134" s="419"/>
      <c r="C134" s="419"/>
      <c r="D134" s="404"/>
      <c r="E134" s="431"/>
      <c r="F134" s="431"/>
      <c r="G134" s="432"/>
    </row>
    <row r="135">
      <c r="A135" s="404"/>
      <c r="B135" s="419"/>
      <c r="C135" s="419"/>
      <c r="D135" s="404"/>
      <c r="E135" s="431"/>
      <c r="F135" s="431"/>
      <c r="G135" s="432"/>
    </row>
    <row r="136">
      <c r="A136" s="404"/>
      <c r="B136" s="419"/>
      <c r="C136" s="419"/>
      <c r="D136" s="404"/>
      <c r="E136" s="431"/>
      <c r="F136" s="431"/>
      <c r="G136" s="432"/>
    </row>
    <row r="137">
      <c r="A137" s="404"/>
      <c r="B137" s="419"/>
      <c r="C137" s="419"/>
      <c r="D137" s="404"/>
      <c r="E137" s="431"/>
      <c r="F137" s="431"/>
      <c r="G137" s="432"/>
    </row>
    <row r="138">
      <c r="A138" s="404"/>
      <c r="B138" s="419"/>
      <c r="C138" s="419"/>
      <c r="D138" s="404"/>
      <c r="E138" s="431"/>
      <c r="F138" s="431"/>
      <c r="G138" s="432"/>
    </row>
    <row r="139">
      <c r="A139" s="404"/>
      <c r="B139" s="419"/>
      <c r="C139" s="419"/>
      <c r="D139" s="404"/>
      <c r="E139" s="431"/>
      <c r="F139" s="431"/>
      <c r="G139" s="432"/>
    </row>
    <row r="140">
      <c r="A140" s="404"/>
      <c r="B140" s="419"/>
      <c r="C140" s="419"/>
      <c r="D140" s="404"/>
      <c r="E140" s="431"/>
      <c r="F140" s="431"/>
      <c r="G140" s="432"/>
    </row>
    <row r="141">
      <c r="A141" s="404"/>
      <c r="B141" s="419"/>
      <c r="C141" s="419"/>
      <c r="D141" s="404"/>
      <c r="E141" s="431"/>
      <c r="F141" s="431"/>
      <c r="G141" s="432"/>
    </row>
    <row r="142">
      <c r="A142" s="404"/>
      <c r="B142" s="419"/>
      <c r="C142" s="419"/>
      <c r="D142" s="404"/>
      <c r="E142" s="431"/>
      <c r="F142" s="431"/>
      <c r="G142" s="432"/>
    </row>
    <row r="143">
      <c r="A143" s="404"/>
      <c r="B143" s="419"/>
      <c r="C143" s="419"/>
      <c r="D143" s="404"/>
      <c r="E143" s="431"/>
      <c r="F143" s="431"/>
      <c r="G143" s="432"/>
    </row>
    <row r="144">
      <c r="A144" s="404"/>
      <c r="B144" s="419"/>
      <c r="C144" s="419"/>
      <c r="D144" s="404"/>
      <c r="E144" s="431"/>
      <c r="F144" s="431"/>
      <c r="G144" s="432"/>
    </row>
    <row r="145">
      <c r="A145" s="404"/>
      <c r="B145" s="419"/>
      <c r="C145" s="419"/>
      <c r="D145" s="404"/>
      <c r="E145" s="431"/>
      <c r="F145" s="431"/>
      <c r="G145" s="432"/>
    </row>
    <row r="146">
      <c r="A146" s="404"/>
      <c r="B146" s="419"/>
      <c r="C146" s="419"/>
      <c r="D146" s="404"/>
      <c r="E146" s="431"/>
      <c r="F146" s="431"/>
      <c r="G146" s="432"/>
    </row>
    <row r="147">
      <c r="A147" s="404"/>
      <c r="B147" s="419"/>
      <c r="C147" s="419"/>
      <c r="D147" s="404"/>
      <c r="E147" s="431"/>
      <c r="F147" s="431"/>
      <c r="G147" s="432"/>
    </row>
    <row r="148">
      <c r="A148" s="404"/>
      <c r="B148" s="419"/>
      <c r="C148" s="419"/>
      <c r="D148" s="404"/>
      <c r="E148" s="431"/>
      <c r="F148" s="431"/>
      <c r="G148" s="432"/>
    </row>
    <row r="149">
      <c r="A149" s="404"/>
      <c r="B149" s="419"/>
      <c r="C149" s="419"/>
      <c r="D149" s="404"/>
      <c r="E149" s="431"/>
      <c r="F149" s="431"/>
      <c r="G149" s="432"/>
    </row>
    <row r="150">
      <c r="A150" s="404"/>
      <c r="B150" s="419"/>
      <c r="C150" s="419"/>
      <c r="D150" s="404"/>
      <c r="E150" s="431"/>
      <c r="F150" s="431"/>
      <c r="G150" s="432"/>
    </row>
    <row r="151">
      <c r="A151" s="404"/>
      <c r="B151" s="419"/>
      <c r="C151" s="419"/>
      <c r="D151" s="404"/>
      <c r="E151" s="431"/>
      <c r="F151" s="431"/>
      <c r="G151" s="432"/>
    </row>
    <row r="152">
      <c r="A152" s="404"/>
      <c r="B152" s="419"/>
      <c r="C152" s="419"/>
      <c r="D152" s="404"/>
      <c r="E152" s="431"/>
      <c r="F152" s="431"/>
      <c r="G152" s="432"/>
    </row>
    <row r="153">
      <c r="A153" s="404"/>
      <c r="B153" s="419"/>
      <c r="C153" s="419"/>
      <c r="D153" s="404"/>
      <c r="E153" s="431"/>
      <c r="F153" s="431"/>
      <c r="G153" s="432"/>
    </row>
    <row r="154">
      <c r="A154" s="404"/>
      <c r="B154" s="419"/>
      <c r="C154" s="419"/>
      <c r="D154" s="404"/>
      <c r="E154" s="431"/>
      <c r="F154" s="431"/>
      <c r="G154" s="432"/>
    </row>
    <row r="155">
      <c r="A155" s="404"/>
      <c r="B155" s="419"/>
      <c r="C155" s="419"/>
      <c r="D155" s="404"/>
      <c r="E155" s="431"/>
      <c r="F155" s="431"/>
      <c r="G155" s="432"/>
    </row>
    <row r="156">
      <c r="A156" s="404"/>
      <c r="B156" s="419"/>
      <c r="C156" s="419"/>
      <c r="D156" s="404"/>
      <c r="E156" s="431"/>
      <c r="F156" s="431"/>
      <c r="G156" s="432"/>
    </row>
    <row r="157">
      <c r="A157" s="404"/>
      <c r="B157" s="419"/>
      <c r="C157" s="419"/>
      <c r="D157" s="404"/>
      <c r="E157" s="431"/>
      <c r="F157" s="431"/>
      <c r="G157" s="432"/>
    </row>
    <row r="158">
      <c r="A158" s="404"/>
      <c r="B158" s="419"/>
      <c r="C158" s="419"/>
      <c r="D158" s="404"/>
      <c r="E158" s="431"/>
      <c r="F158" s="431"/>
      <c r="G158" s="432"/>
    </row>
    <row r="159">
      <c r="A159" s="404"/>
      <c r="B159" s="419"/>
      <c r="C159" s="419"/>
      <c r="D159" s="404"/>
      <c r="E159" s="431"/>
      <c r="F159" s="431"/>
      <c r="G159" s="432"/>
    </row>
    <row r="160">
      <c r="A160" s="404"/>
      <c r="B160" s="419"/>
      <c r="C160" s="419"/>
      <c r="D160" s="404"/>
      <c r="E160" s="431"/>
      <c r="F160" s="431"/>
      <c r="G160" s="432"/>
    </row>
    <row r="161">
      <c r="A161" s="404"/>
      <c r="B161" s="419"/>
      <c r="C161" s="419"/>
      <c r="D161" s="404"/>
      <c r="E161" s="431"/>
      <c r="F161" s="431"/>
      <c r="G161" s="432"/>
    </row>
    <row r="162">
      <c r="A162" s="404"/>
      <c r="B162" s="419"/>
      <c r="C162" s="419"/>
      <c r="D162" s="404"/>
      <c r="E162" s="431"/>
      <c r="F162" s="431"/>
      <c r="G162" s="432"/>
    </row>
    <row r="163">
      <c r="A163" s="404"/>
      <c r="B163" s="419"/>
      <c r="C163" s="419"/>
      <c r="D163" s="404"/>
      <c r="E163" s="431"/>
      <c r="F163" s="431"/>
      <c r="G163" s="432"/>
    </row>
    <row r="164">
      <c r="A164" s="404"/>
      <c r="B164" s="419"/>
      <c r="C164" s="419"/>
      <c r="D164" s="404"/>
      <c r="E164" s="431"/>
      <c r="F164" s="431"/>
      <c r="G164" s="432"/>
    </row>
    <row r="165">
      <c r="A165" s="404"/>
      <c r="B165" s="419"/>
      <c r="C165" s="419"/>
      <c r="D165" s="404"/>
      <c r="E165" s="431"/>
      <c r="F165" s="431"/>
      <c r="G165" s="432"/>
    </row>
    <row r="166">
      <c r="A166" s="404"/>
      <c r="B166" s="419"/>
      <c r="C166" s="419"/>
      <c r="D166" s="404"/>
      <c r="E166" s="431"/>
      <c r="F166" s="431"/>
      <c r="G166" s="432"/>
    </row>
    <row r="167">
      <c r="A167" s="404"/>
      <c r="B167" s="419"/>
      <c r="C167" s="419"/>
      <c r="D167" s="404"/>
      <c r="E167" s="431"/>
      <c r="F167" s="431"/>
      <c r="G167" s="432"/>
    </row>
    <row r="168">
      <c r="A168" s="404"/>
      <c r="B168" s="419"/>
      <c r="C168" s="419"/>
      <c r="D168" s="404"/>
      <c r="E168" s="431"/>
      <c r="F168" s="431"/>
      <c r="G168" s="432"/>
    </row>
    <row r="169">
      <c r="A169" s="404"/>
      <c r="B169" s="419"/>
      <c r="C169" s="419"/>
      <c r="D169" s="404"/>
      <c r="E169" s="431"/>
      <c r="F169" s="431"/>
      <c r="G169" s="432"/>
    </row>
    <row r="170">
      <c r="A170" s="404"/>
      <c r="B170" s="419"/>
      <c r="C170" s="419"/>
      <c r="D170" s="404"/>
      <c r="E170" s="431"/>
      <c r="F170" s="431"/>
      <c r="G170" s="432"/>
    </row>
    <row r="171">
      <c r="A171" s="404"/>
      <c r="B171" s="419"/>
      <c r="C171" s="419"/>
      <c r="D171" s="404"/>
      <c r="E171" s="431"/>
      <c r="F171" s="431"/>
      <c r="G171" s="432"/>
    </row>
    <row r="172">
      <c r="A172" s="404"/>
      <c r="B172" s="419"/>
      <c r="C172" s="419"/>
      <c r="D172" s="404"/>
      <c r="E172" s="431"/>
      <c r="F172" s="431"/>
      <c r="G172" s="432"/>
    </row>
    <row r="173">
      <c r="A173" s="404"/>
      <c r="B173" s="419"/>
      <c r="C173" s="419"/>
      <c r="D173" s="404"/>
      <c r="E173" s="431"/>
      <c r="F173" s="431"/>
      <c r="G173" s="432"/>
    </row>
    <row r="174">
      <c r="A174" s="404"/>
      <c r="B174" s="419"/>
      <c r="C174" s="419"/>
      <c r="D174" s="404"/>
      <c r="E174" s="431"/>
      <c r="F174" s="431"/>
      <c r="G174" s="432"/>
    </row>
    <row r="175">
      <c r="A175" s="404"/>
      <c r="B175" s="419"/>
      <c r="C175" s="419"/>
      <c r="D175" s="404"/>
      <c r="E175" s="431"/>
      <c r="F175" s="431"/>
      <c r="G175" s="432"/>
    </row>
    <row r="176">
      <c r="A176" s="404"/>
      <c r="B176" s="419"/>
      <c r="C176" s="419"/>
      <c r="D176" s="404"/>
      <c r="E176" s="431"/>
      <c r="F176" s="431"/>
      <c r="G176" s="432"/>
    </row>
    <row r="177">
      <c r="A177" s="404"/>
      <c r="B177" s="419"/>
      <c r="C177" s="419"/>
      <c r="D177" s="404"/>
      <c r="E177" s="431"/>
      <c r="F177" s="431"/>
      <c r="G177" s="432"/>
    </row>
    <row r="178">
      <c r="A178" s="404"/>
      <c r="B178" s="419"/>
      <c r="C178" s="419"/>
      <c r="D178" s="404"/>
      <c r="E178" s="431"/>
      <c r="F178" s="431"/>
      <c r="G178" s="432"/>
    </row>
    <row r="179">
      <c r="A179" s="404"/>
      <c r="B179" s="419"/>
      <c r="C179" s="419"/>
      <c r="D179" s="404"/>
      <c r="E179" s="431"/>
      <c r="F179" s="431"/>
      <c r="G179" s="432"/>
    </row>
    <row r="180">
      <c r="A180" s="404"/>
      <c r="B180" s="419"/>
      <c r="C180" s="419"/>
      <c r="D180" s="404"/>
      <c r="E180" s="431"/>
      <c r="F180" s="431"/>
      <c r="G180" s="432"/>
    </row>
    <row r="181">
      <c r="A181" s="404"/>
      <c r="B181" s="419"/>
      <c r="C181" s="419"/>
      <c r="D181" s="404"/>
      <c r="E181" s="431"/>
      <c r="F181" s="431"/>
      <c r="G181" s="432"/>
    </row>
    <row r="182">
      <c r="A182" s="404"/>
      <c r="B182" s="419"/>
      <c r="C182" s="419"/>
      <c r="D182" s="404"/>
      <c r="E182" s="431"/>
      <c r="F182" s="431"/>
      <c r="G182" s="432"/>
    </row>
    <row r="183">
      <c r="A183" s="404"/>
      <c r="B183" s="419"/>
      <c r="C183" s="419"/>
      <c r="D183" s="404"/>
      <c r="E183" s="431"/>
      <c r="F183" s="431"/>
      <c r="G183" s="432"/>
    </row>
    <row r="184">
      <c r="A184" s="404"/>
      <c r="B184" s="419"/>
      <c r="C184" s="419"/>
      <c r="D184" s="404"/>
      <c r="E184" s="431"/>
      <c r="F184" s="431"/>
      <c r="G184" s="432"/>
    </row>
    <row r="185">
      <c r="A185" s="404"/>
      <c r="B185" s="419"/>
      <c r="C185" s="419"/>
      <c r="D185" s="404"/>
      <c r="E185" s="431"/>
      <c r="F185" s="431"/>
      <c r="G185" s="432"/>
    </row>
    <row r="186">
      <c r="A186" s="404"/>
      <c r="B186" s="419"/>
      <c r="C186" s="419"/>
      <c r="D186" s="404"/>
      <c r="E186" s="431"/>
      <c r="F186" s="431"/>
      <c r="G186" s="432"/>
    </row>
    <row r="187">
      <c r="A187" s="404"/>
      <c r="B187" s="419"/>
      <c r="C187" s="419"/>
      <c r="D187" s="404"/>
      <c r="E187" s="431"/>
      <c r="F187" s="431"/>
      <c r="G187" s="432"/>
    </row>
    <row r="188">
      <c r="A188" s="404"/>
      <c r="B188" s="419"/>
      <c r="C188" s="419"/>
      <c r="D188" s="404"/>
      <c r="E188" s="431"/>
      <c r="F188" s="431"/>
      <c r="G188" s="432"/>
    </row>
    <row r="189">
      <c r="A189" s="404"/>
      <c r="B189" s="419"/>
      <c r="C189" s="419"/>
      <c r="D189" s="404"/>
      <c r="E189" s="431"/>
      <c r="F189" s="431"/>
      <c r="G189" s="432"/>
    </row>
    <row r="190">
      <c r="A190" s="404"/>
      <c r="B190" s="419"/>
      <c r="C190" s="419"/>
      <c r="D190" s="404"/>
      <c r="E190" s="431"/>
      <c r="F190" s="431"/>
      <c r="G190" s="432"/>
    </row>
    <row r="191">
      <c r="A191" s="404"/>
      <c r="B191" s="419"/>
      <c r="C191" s="419"/>
      <c r="D191" s="404"/>
      <c r="E191" s="431"/>
      <c r="F191" s="431"/>
      <c r="G191" s="432"/>
    </row>
    <row r="192">
      <c r="A192" s="404"/>
      <c r="B192" s="419"/>
      <c r="C192" s="419"/>
      <c r="D192" s="404"/>
      <c r="E192" s="431"/>
      <c r="F192" s="431"/>
      <c r="G192" s="432"/>
    </row>
    <row r="193">
      <c r="A193" s="404"/>
      <c r="B193" s="419"/>
      <c r="C193" s="419"/>
      <c r="D193" s="404"/>
      <c r="E193" s="431"/>
      <c r="F193" s="431"/>
      <c r="G193" s="432"/>
    </row>
    <row r="194">
      <c r="A194" s="404"/>
      <c r="B194" s="419"/>
      <c r="C194" s="419"/>
      <c r="D194" s="404"/>
      <c r="E194" s="431"/>
      <c r="F194" s="431"/>
      <c r="G194" s="432"/>
    </row>
    <row r="195">
      <c r="A195" s="404"/>
      <c r="B195" s="419"/>
      <c r="C195" s="419"/>
      <c r="D195" s="404"/>
      <c r="E195" s="431"/>
      <c r="F195" s="431"/>
      <c r="G195" s="432"/>
    </row>
    <row r="196">
      <c r="A196" s="404"/>
      <c r="B196" s="419"/>
      <c r="C196" s="419"/>
      <c r="D196" s="404"/>
      <c r="E196" s="431"/>
      <c r="F196" s="431"/>
      <c r="G196" s="432"/>
    </row>
    <row r="197">
      <c r="A197" s="404"/>
      <c r="B197" s="419"/>
      <c r="C197" s="419"/>
      <c r="D197" s="404"/>
      <c r="E197" s="431"/>
      <c r="F197" s="431"/>
      <c r="G197" s="432"/>
    </row>
    <row r="198">
      <c r="A198" s="404"/>
      <c r="B198" s="419"/>
      <c r="C198" s="419"/>
      <c r="D198" s="404"/>
      <c r="E198" s="431"/>
      <c r="F198" s="431"/>
      <c r="G198" s="432"/>
    </row>
    <row r="199">
      <c r="A199" s="404"/>
      <c r="B199" s="419"/>
      <c r="C199" s="419"/>
      <c r="D199" s="404"/>
      <c r="E199" s="431"/>
      <c r="F199" s="431"/>
      <c r="G199" s="432"/>
    </row>
    <row r="200">
      <c r="A200" s="404"/>
      <c r="B200" s="419"/>
      <c r="C200" s="419"/>
      <c r="D200" s="404"/>
      <c r="E200" s="431"/>
      <c r="F200" s="431"/>
      <c r="G200" s="432"/>
    </row>
    <row r="201">
      <c r="A201" s="404"/>
      <c r="B201" s="419"/>
      <c r="C201" s="419"/>
      <c r="D201" s="404"/>
      <c r="E201" s="431"/>
      <c r="F201" s="431"/>
      <c r="G201" s="432"/>
    </row>
    <row r="202">
      <c r="A202" s="404"/>
      <c r="B202" s="419"/>
      <c r="C202" s="419"/>
      <c r="D202" s="404"/>
      <c r="E202" s="431"/>
      <c r="F202" s="431"/>
      <c r="G202" s="432"/>
    </row>
    <row r="203">
      <c r="A203" s="404"/>
      <c r="B203" s="419"/>
      <c r="C203" s="419"/>
      <c r="D203" s="404"/>
      <c r="E203" s="431"/>
      <c r="F203" s="431"/>
      <c r="G203" s="432"/>
    </row>
    <row r="204">
      <c r="A204" s="404"/>
      <c r="B204" s="419"/>
      <c r="C204" s="419"/>
      <c r="D204" s="404"/>
      <c r="E204" s="431"/>
      <c r="F204" s="431"/>
      <c r="G204" s="432"/>
    </row>
    <row r="205">
      <c r="A205" s="404"/>
      <c r="B205" s="419"/>
      <c r="C205" s="419"/>
      <c r="D205" s="404"/>
      <c r="E205" s="431"/>
      <c r="F205" s="431"/>
      <c r="G205" s="432"/>
    </row>
    <row r="206">
      <c r="A206" s="404"/>
      <c r="B206" s="419"/>
      <c r="C206" s="419"/>
      <c r="D206" s="404"/>
      <c r="E206" s="431"/>
      <c r="F206" s="431"/>
      <c r="G206" s="432"/>
    </row>
    <row r="207">
      <c r="A207" s="404"/>
      <c r="B207" s="419"/>
      <c r="C207" s="419"/>
      <c r="D207" s="404"/>
      <c r="E207" s="431"/>
      <c r="F207" s="431"/>
      <c r="G207" s="432"/>
    </row>
    <row r="208">
      <c r="A208" s="404"/>
      <c r="B208" s="419"/>
      <c r="C208" s="419"/>
      <c r="D208" s="404"/>
      <c r="E208" s="431"/>
      <c r="F208" s="431"/>
      <c r="G208" s="432"/>
    </row>
    <row r="209">
      <c r="A209" s="404"/>
      <c r="B209" s="419"/>
      <c r="C209" s="419"/>
      <c r="D209" s="404"/>
      <c r="E209" s="431"/>
      <c r="F209" s="431"/>
      <c r="G209" s="432"/>
    </row>
    <row r="210">
      <c r="A210" s="404"/>
      <c r="B210" s="419"/>
      <c r="C210" s="419"/>
      <c r="D210" s="404"/>
      <c r="E210" s="431"/>
      <c r="F210" s="431"/>
      <c r="G210" s="432"/>
    </row>
    <row r="211">
      <c r="A211" s="404"/>
      <c r="B211" s="419"/>
      <c r="C211" s="419"/>
      <c r="D211" s="404"/>
      <c r="E211" s="431"/>
      <c r="F211" s="431"/>
      <c r="G211" s="432"/>
    </row>
    <row r="212">
      <c r="A212" s="404"/>
      <c r="B212" s="419"/>
      <c r="C212" s="419"/>
      <c r="D212" s="404"/>
      <c r="E212" s="431"/>
      <c r="F212" s="431"/>
      <c r="G212" s="432"/>
    </row>
    <row r="213">
      <c r="A213" s="404"/>
      <c r="B213" s="419"/>
      <c r="C213" s="419"/>
      <c r="D213" s="404"/>
      <c r="E213" s="431"/>
      <c r="F213" s="431"/>
      <c r="G213" s="432"/>
    </row>
    <row r="214">
      <c r="A214" s="404"/>
      <c r="B214" s="419"/>
      <c r="C214" s="419"/>
      <c r="D214" s="404"/>
      <c r="E214" s="431"/>
      <c r="F214" s="431"/>
      <c r="G214" s="432"/>
    </row>
    <row r="215">
      <c r="A215" s="404"/>
      <c r="B215" s="419"/>
      <c r="C215" s="419"/>
      <c r="D215" s="404"/>
      <c r="E215" s="431"/>
      <c r="F215" s="431"/>
      <c r="G215" s="432"/>
    </row>
    <row r="216">
      <c r="A216" s="404"/>
      <c r="B216" s="419"/>
      <c r="C216" s="419"/>
      <c r="D216" s="404"/>
      <c r="E216" s="431"/>
      <c r="F216" s="431"/>
      <c r="G216" s="432"/>
    </row>
    <row r="217">
      <c r="A217" s="404"/>
      <c r="B217" s="419"/>
      <c r="C217" s="419"/>
      <c r="D217" s="404"/>
      <c r="E217" s="431"/>
      <c r="F217" s="431"/>
      <c r="G217" s="432"/>
    </row>
    <row r="218">
      <c r="A218" s="404"/>
      <c r="B218" s="419"/>
      <c r="C218" s="419"/>
      <c r="D218" s="404"/>
      <c r="E218" s="431"/>
      <c r="F218" s="431"/>
      <c r="G218" s="432"/>
    </row>
    <row r="219">
      <c r="A219" s="404"/>
      <c r="B219" s="419"/>
      <c r="C219" s="419"/>
      <c r="D219" s="404"/>
      <c r="E219" s="431"/>
      <c r="F219" s="431"/>
      <c r="G219" s="432"/>
    </row>
    <row r="220">
      <c r="A220" s="404"/>
      <c r="B220" s="419"/>
      <c r="C220" s="419"/>
      <c r="D220" s="404"/>
      <c r="E220" s="431"/>
      <c r="F220" s="431"/>
      <c r="G220" s="432"/>
    </row>
    <row r="221">
      <c r="A221" s="404"/>
      <c r="B221" s="419"/>
      <c r="C221" s="419"/>
      <c r="D221" s="404"/>
      <c r="E221" s="431"/>
      <c r="F221" s="431"/>
      <c r="G221" s="432"/>
    </row>
    <row r="222">
      <c r="A222" s="404"/>
      <c r="B222" s="419"/>
      <c r="C222" s="419"/>
      <c r="D222" s="404"/>
      <c r="E222" s="431"/>
      <c r="F222" s="431"/>
      <c r="G222" s="432"/>
    </row>
    <row r="223">
      <c r="A223" s="404"/>
      <c r="B223" s="419"/>
      <c r="C223" s="419"/>
      <c r="D223" s="404"/>
      <c r="E223" s="431"/>
      <c r="F223" s="431"/>
      <c r="G223" s="432"/>
    </row>
    <row r="224">
      <c r="A224" s="404"/>
      <c r="B224" s="419"/>
      <c r="C224" s="419"/>
      <c r="D224" s="404"/>
      <c r="E224" s="431"/>
      <c r="F224" s="431"/>
      <c r="G224" s="432"/>
    </row>
    <row r="225">
      <c r="A225" s="404"/>
      <c r="B225" s="419"/>
      <c r="C225" s="419"/>
      <c r="D225" s="404"/>
      <c r="E225" s="431"/>
      <c r="F225" s="431"/>
      <c r="G225" s="432"/>
    </row>
    <row r="226">
      <c r="A226" s="404"/>
      <c r="B226" s="419"/>
      <c r="C226" s="419"/>
      <c r="D226" s="404"/>
      <c r="E226" s="431"/>
      <c r="F226" s="431"/>
      <c r="G226" s="432"/>
    </row>
    <row r="227">
      <c r="A227" s="404"/>
      <c r="B227" s="419"/>
      <c r="C227" s="419"/>
      <c r="D227" s="404"/>
      <c r="E227" s="431"/>
      <c r="F227" s="431"/>
      <c r="G227" s="432"/>
    </row>
    <row r="228">
      <c r="A228" s="404"/>
      <c r="B228" s="419"/>
      <c r="C228" s="419"/>
      <c r="D228" s="404"/>
      <c r="E228" s="431"/>
      <c r="F228" s="431"/>
      <c r="G228" s="432"/>
    </row>
    <row r="229">
      <c r="A229" s="404"/>
      <c r="B229" s="419"/>
      <c r="C229" s="419"/>
      <c r="D229" s="404"/>
      <c r="E229" s="431"/>
      <c r="F229" s="431"/>
      <c r="G229" s="432"/>
    </row>
    <row r="230">
      <c r="A230" s="404"/>
      <c r="B230" s="419"/>
      <c r="C230" s="419"/>
      <c r="D230" s="404"/>
      <c r="E230" s="431"/>
      <c r="F230" s="431"/>
      <c r="G230" s="432"/>
    </row>
    <row r="231">
      <c r="A231" s="404"/>
      <c r="B231" s="419"/>
      <c r="C231" s="419"/>
      <c r="D231" s="404"/>
      <c r="E231" s="431"/>
      <c r="F231" s="431"/>
      <c r="G231" s="432"/>
    </row>
    <row r="232">
      <c r="A232" s="404"/>
      <c r="B232" s="419"/>
      <c r="C232" s="419"/>
      <c r="D232" s="404"/>
      <c r="E232" s="431"/>
      <c r="F232" s="431"/>
      <c r="G232" s="432"/>
    </row>
    <row r="233">
      <c r="A233" s="404"/>
      <c r="B233" s="419"/>
      <c r="C233" s="419"/>
      <c r="D233" s="404"/>
      <c r="E233" s="431"/>
      <c r="F233" s="431"/>
      <c r="G233" s="432"/>
    </row>
    <row r="234">
      <c r="A234" s="404"/>
      <c r="B234" s="419"/>
      <c r="C234" s="419"/>
      <c r="D234" s="404"/>
      <c r="E234" s="431"/>
      <c r="F234" s="431"/>
      <c r="G234" s="432"/>
    </row>
    <row r="235">
      <c r="A235" s="404"/>
      <c r="B235" s="419"/>
      <c r="C235" s="419"/>
      <c r="D235" s="404"/>
      <c r="E235" s="431"/>
      <c r="F235" s="431"/>
      <c r="G235" s="432"/>
    </row>
    <row r="236">
      <c r="A236" s="404"/>
      <c r="B236" s="419"/>
      <c r="C236" s="419"/>
      <c r="D236" s="404"/>
      <c r="E236" s="431"/>
      <c r="F236" s="431"/>
      <c r="G236" s="432"/>
    </row>
    <row r="237">
      <c r="A237" s="404"/>
      <c r="B237" s="419"/>
      <c r="C237" s="419"/>
      <c r="D237" s="404"/>
      <c r="E237" s="431"/>
      <c r="F237" s="431"/>
      <c r="G237" s="432"/>
    </row>
    <row r="238">
      <c r="A238" s="404"/>
      <c r="B238" s="419"/>
      <c r="C238" s="419"/>
      <c r="D238" s="404"/>
      <c r="E238" s="431"/>
      <c r="F238" s="431"/>
      <c r="G238" s="432"/>
    </row>
    <row r="239">
      <c r="A239" s="404"/>
      <c r="B239" s="419"/>
      <c r="C239" s="419"/>
      <c r="D239" s="404"/>
      <c r="E239" s="431"/>
      <c r="F239" s="431"/>
      <c r="G239" s="432"/>
    </row>
    <row r="240">
      <c r="A240" s="404"/>
      <c r="B240" s="419"/>
      <c r="C240" s="419"/>
      <c r="D240" s="404"/>
      <c r="E240" s="431"/>
      <c r="F240" s="431"/>
      <c r="G240" s="432"/>
    </row>
    <row r="241">
      <c r="A241" s="404"/>
      <c r="B241" s="419"/>
      <c r="C241" s="419"/>
      <c r="D241" s="404"/>
      <c r="E241" s="431"/>
      <c r="F241" s="431"/>
      <c r="G241" s="432"/>
    </row>
    <row r="242">
      <c r="A242" s="404"/>
      <c r="B242" s="419"/>
      <c r="C242" s="419"/>
      <c r="D242" s="404"/>
      <c r="E242" s="431"/>
      <c r="F242" s="431"/>
      <c r="G242" s="432"/>
    </row>
    <row r="243">
      <c r="A243" s="404"/>
      <c r="B243" s="419"/>
      <c r="C243" s="419"/>
      <c r="D243" s="404"/>
      <c r="E243" s="431"/>
      <c r="F243" s="431"/>
      <c r="G243" s="432"/>
    </row>
    <row r="244">
      <c r="A244" s="404"/>
      <c r="B244" s="419"/>
      <c r="C244" s="419"/>
      <c r="D244" s="404"/>
      <c r="E244" s="431"/>
      <c r="F244" s="431"/>
      <c r="G244" s="432"/>
    </row>
    <row r="245">
      <c r="A245" s="404"/>
      <c r="B245" s="419"/>
      <c r="C245" s="419"/>
      <c r="D245" s="404"/>
      <c r="E245" s="431"/>
      <c r="F245" s="431"/>
      <c r="G245" s="432"/>
    </row>
    <row r="246">
      <c r="A246" s="404"/>
      <c r="B246" s="419"/>
      <c r="C246" s="419"/>
      <c r="D246" s="404"/>
      <c r="E246" s="431"/>
      <c r="F246" s="431"/>
      <c r="G246" s="432"/>
    </row>
    <row r="247">
      <c r="A247" s="404"/>
      <c r="B247" s="419"/>
      <c r="C247" s="419"/>
      <c r="D247" s="404"/>
      <c r="E247" s="431"/>
      <c r="F247" s="431"/>
      <c r="G247" s="432"/>
    </row>
    <row r="248">
      <c r="A248" s="404"/>
      <c r="B248" s="419"/>
      <c r="C248" s="419"/>
      <c r="D248" s="404"/>
      <c r="E248" s="431"/>
      <c r="F248" s="431"/>
      <c r="G248" s="432"/>
    </row>
    <row r="249">
      <c r="A249" s="404"/>
      <c r="B249" s="419"/>
      <c r="C249" s="419"/>
      <c r="D249" s="404"/>
      <c r="E249" s="431"/>
      <c r="F249" s="431"/>
      <c r="G249" s="432"/>
    </row>
    <row r="250">
      <c r="A250" s="404"/>
      <c r="B250" s="419"/>
      <c r="C250" s="419"/>
      <c r="D250" s="404"/>
      <c r="E250" s="431"/>
      <c r="F250" s="431"/>
      <c r="G250" s="432"/>
    </row>
    <row r="251">
      <c r="A251" s="404"/>
      <c r="B251" s="419"/>
      <c r="C251" s="419"/>
      <c r="D251" s="404"/>
      <c r="E251" s="431"/>
      <c r="F251" s="431"/>
      <c r="G251" s="432"/>
    </row>
    <row r="252">
      <c r="A252" s="404"/>
      <c r="B252" s="419"/>
      <c r="C252" s="419"/>
      <c r="D252" s="404"/>
      <c r="E252" s="431"/>
      <c r="F252" s="431"/>
      <c r="G252" s="432"/>
    </row>
    <row r="253">
      <c r="A253" s="404"/>
      <c r="B253" s="419"/>
      <c r="C253" s="419"/>
      <c r="D253" s="404"/>
      <c r="E253" s="431"/>
      <c r="F253" s="431"/>
      <c r="G253" s="432"/>
    </row>
    <row r="254">
      <c r="A254" s="404"/>
      <c r="B254" s="419"/>
      <c r="C254" s="419"/>
      <c r="D254" s="404"/>
      <c r="E254" s="431"/>
      <c r="F254" s="431"/>
      <c r="G254" s="432"/>
    </row>
    <row r="255">
      <c r="A255" s="404"/>
      <c r="B255" s="419"/>
      <c r="C255" s="419"/>
      <c r="D255" s="404"/>
      <c r="E255" s="431"/>
      <c r="F255" s="431"/>
      <c r="G255" s="432"/>
    </row>
    <row r="256">
      <c r="A256" s="404"/>
      <c r="B256" s="419"/>
      <c r="C256" s="419"/>
      <c r="D256" s="404"/>
      <c r="E256" s="431"/>
      <c r="F256" s="431"/>
      <c r="G256" s="432"/>
    </row>
    <row r="257">
      <c r="A257" s="404"/>
      <c r="B257" s="419"/>
      <c r="C257" s="419"/>
      <c r="D257" s="404"/>
      <c r="E257" s="431"/>
      <c r="F257" s="431"/>
      <c r="G257" s="432"/>
    </row>
    <row r="258">
      <c r="A258" s="404"/>
      <c r="B258" s="419"/>
      <c r="C258" s="419"/>
      <c r="D258" s="404"/>
      <c r="E258" s="431"/>
      <c r="F258" s="431"/>
      <c r="G258" s="432"/>
    </row>
    <row r="259">
      <c r="A259" s="404"/>
      <c r="B259" s="419"/>
      <c r="C259" s="419"/>
      <c r="D259" s="404"/>
      <c r="E259" s="431"/>
      <c r="F259" s="431"/>
      <c r="G259" s="432"/>
    </row>
    <row r="260">
      <c r="A260" s="404"/>
      <c r="B260" s="419"/>
      <c r="C260" s="419"/>
      <c r="D260" s="404"/>
      <c r="E260" s="431"/>
      <c r="F260" s="431"/>
      <c r="G260" s="432"/>
    </row>
    <row r="261">
      <c r="A261" s="404"/>
      <c r="B261" s="419"/>
      <c r="C261" s="419"/>
      <c r="D261" s="404"/>
      <c r="E261" s="431"/>
      <c r="F261" s="431"/>
      <c r="G261" s="432"/>
    </row>
    <row r="262">
      <c r="A262" s="404"/>
      <c r="B262" s="419"/>
      <c r="C262" s="419"/>
      <c r="D262" s="404"/>
      <c r="E262" s="431"/>
      <c r="F262" s="431"/>
      <c r="G262" s="432"/>
    </row>
    <row r="263">
      <c r="A263" s="404"/>
      <c r="B263" s="419"/>
      <c r="C263" s="419"/>
      <c r="D263" s="404"/>
      <c r="E263" s="431"/>
      <c r="F263" s="431"/>
      <c r="G263" s="432"/>
    </row>
    <row r="264">
      <c r="A264" s="404"/>
      <c r="B264" s="419"/>
      <c r="C264" s="419"/>
      <c r="D264" s="404"/>
      <c r="E264" s="431"/>
      <c r="F264" s="431"/>
      <c r="G264" s="432"/>
    </row>
    <row r="265">
      <c r="A265" s="404"/>
      <c r="B265" s="419"/>
      <c r="C265" s="419"/>
      <c r="D265" s="404"/>
      <c r="E265" s="431"/>
      <c r="F265" s="431"/>
      <c r="G265" s="432"/>
    </row>
    <row r="266">
      <c r="A266" s="404"/>
      <c r="B266" s="419"/>
      <c r="C266" s="419"/>
      <c r="D266" s="404"/>
      <c r="E266" s="431"/>
      <c r="F266" s="431"/>
      <c r="G266" s="432"/>
    </row>
    <row r="267">
      <c r="A267" s="404"/>
      <c r="B267" s="419"/>
      <c r="C267" s="419"/>
      <c r="D267" s="404"/>
      <c r="E267" s="431"/>
      <c r="F267" s="431"/>
      <c r="G267" s="432"/>
    </row>
    <row r="268">
      <c r="A268" s="404"/>
      <c r="B268" s="419"/>
      <c r="C268" s="419"/>
      <c r="D268" s="404"/>
      <c r="E268" s="431"/>
      <c r="F268" s="431"/>
      <c r="G268" s="432"/>
    </row>
    <row r="269">
      <c r="A269" s="404"/>
      <c r="B269" s="419"/>
      <c r="C269" s="419"/>
      <c r="D269" s="404"/>
      <c r="E269" s="431"/>
      <c r="F269" s="431"/>
      <c r="G269" s="432"/>
    </row>
    <row r="270">
      <c r="A270" s="404"/>
      <c r="B270" s="419"/>
      <c r="C270" s="419"/>
      <c r="D270" s="404"/>
      <c r="E270" s="431"/>
      <c r="F270" s="431"/>
      <c r="G270" s="432"/>
    </row>
    <row r="271">
      <c r="A271" s="404"/>
      <c r="B271" s="419"/>
      <c r="C271" s="419"/>
      <c r="D271" s="404"/>
      <c r="E271" s="431"/>
      <c r="F271" s="431"/>
      <c r="G271" s="432"/>
    </row>
    <row r="272">
      <c r="A272" s="404"/>
      <c r="B272" s="419"/>
      <c r="C272" s="419"/>
      <c r="D272" s="404"/>
      <c r="E272" s="431"/>
      <c r="F272" s="431"/>
      <c r="G272" s="432"/>
    </row>
    <row r="273">
      <c r="A273" s="404"/>
      <c r="B273" s="419"/>
      <c r="C273" s="419"/>
      <c r="D273" s="404"/>
      <c r="E273" s="431"/>
      <c r="F273" s="431"/>
      <c r="G273" s="432"/>
    </row>
    <row r="274">
      <c r="A274" s="404"/>
      <c r="B274" s="419"/>
      <c r="C274" s="419"/>
      <c r="D274" s="404"/>
      <c r="E274" s="431"/>
      <c r="F274" s="431"/>
      <c r="G274" s="432"/>
    </row>
    <row r="275">
      <c r="A275" s="404"/>
      <c r="B275" s="419"/>
      <c r="C275" s="419"/>
      <c r="D275" s="404"/>
      <c r="E275" s="431"/>
      <c r="F275" s="431"/>
      <c r="G275" s="432"/>
    </row>
    <row r="276">
      <c r="A276" s="404"/>
      <c r="B276" s="419"/>
      <c r="C276" s="419"/>
      <c r="D276" s="404"/>
      <c r="E276" s="431"/>
      <c r="F276" s="431"/>
      <c r="G276" s="432"/>
    </row>
    <row r="277">
      <c r="A277" s="404"/>
      <c r="B277" s="419"/>
      <c r="C277" s="419"/>
      <c r="D277" s="404"/>
      <c r="E277" s="431"/>
      <c r="F277" s="431"/>
      <c r="G277" s="432"/>
    </row>
    <row r="278">
      <c r="A278" s="404"/>
      <c r="B278" s="419"/>
      <c r="C278" s="419"/>
      <c r="D278" s="404"/>
      <c r="E278" s="431"/>
      <c r="F278" s="431"/>
      <c r="G278" s="432"/>
    </row>
    <row r="279">
      <c r="A279" s="404"/>
      <c r="B279" s="419"/>
      <c r="C279" s="419"/>
      <c r="D279" s="404"/>
      <c r="E279" s="431"/>
      <c r="F279" s="431"/>
      <c r="G279" s="432"/>
    </row>
    <row r="280">
      <c r="A280" s="404"/>
      <c r="B280" s="419"/>
      <c r="C280" s="419"/>
      <c r="D280" s="404"/>
      <c r="E280" s="431"/>
      <c r="F280" s="431"/>
      <c r="G280" s="432"/>
    </row>
    <row r="281">
      <c r="A281" s="404"/>
      <c r="B281" s="419"/>
      <c r="C281" s="419"/>
      <c r="D281" s="404"/>
      <c r="E281" s="431"/>
      <c r="F281" s="431"/>
      <c r="G281" s="432"/>
    </row>
    <row r="282">
      <c r="A282" s="404"/>
      <c r="B282" s="419"/>
      <c r="C282" s="419"/>
      <c r="D282" s="404"/>
      <c r="E282" s="431"/>
      <c r="F282" s="431"/>
      <c r="G282" s="432"/>
    </row>
    <row r="283">
      <c r="A283" s="404"/>
      <c r="B283" s="419"/>
      <c r="C283" s="419"/>
      <c r="D283" s="404"/>
      <c r="E283" s="431"/>
      <c r="F283" s="431"/>
      <c r="G283" s="432"/>
    </row>
    <row r="284">
      <c r="A284" s="404"/>
      <c r="B284" s="419"/>
      <c r="C284" s="419"/>
      <c r="D284" s="404"/>
      <c r="E284" s="431"/>
      <c r="F284" s="431"/>
      <c r="G284" s="432"/>
    </row>
    <row r="285">
      <c r="A285" s="404"/>
      <c r="B285" s="419"/>
      <c r="C285" s="419"/>
      <c r="D285" s="404"/>
      <c r="E285" s="431"/>
      <c r="F285" s="431"/>
      <c r="G285" s="432"/>
    </row>
    <row r="286">
      <c r="A286" s="404"/>
      <c r="B286" s="419"/>
      <c r="C286" s="419"/>
      <c r="D286" s="404"/>
      <c r="E286" s="431"/>
      <c r="F286" s="431"/>
      <c r="G286" s="432"/>
    </row>
    <row r="287">
      <c r="A287" s="404"/>
      <c r="B287" s="419"/>
      <c r="C287" s="419"/>
      <c r="D287" s="404"/>
      <c r="E287" s="431"/>
      <c r="F287" s="431"/>
      <c r="G287" s="432"/>
    </row>
    <row r="288">
      <c r="A288" s="404"/>
      <c r="B288" s="419"/>
      <c r="C288" s="419"/>
      <c r="D288" s="404"/>
      <c r="E288" s="431"/>
      <c r="F288" s="431"/>
      <c r="G288" s="432"/>
    </row>
    <row r="289">
      <c r="A289" s="404"/>
      <c r="B289" s="419"/>
      <c r="C289" s="419"/>
      <c r="D289" s="404"/>
      <c r="E289" s="431"/>
      <c r="F289" s="431"/>
      <c r="G289" s="432"/>
    </row>
    <row r="290">
      <c r="A290" s="404"/>
      <c r="B290" s="419"/>
      <c r="C290" s="419"/>
      <c r="D290" s="404"/>
      <c r="E290" s="431"/>
      <c r="F290" s="431"/>
      <c r="G290" s="432"/>
    </row>
    <row r="291">
      <c r="A291" s="404"/>
      <c r="B291" s="419"/>
      <c r="C291" s="419"/>
      <c r="D291" s="404"/>
      <c r="E291" s="431"/>
      <c r="F291" s="431"/>
      <c r="G291" s="432"/>
    </row>
    <row r="292">
      <c r="A292" s="404"/>
      <c r="B292" s="419"/>
      <c r="C292" s="419"/>
      <c r="D292" s="404"/>
      <c r="E292" s="431"/>
      <c r="F292" s="431"/>
      <c r="G292" s="432"/>
    </row>
    <row r="293">
      <c r="A293" s="404"/>
      <c r="B293" s="419"/>
      <c r="C293" s="419"/>
      <c r="D293" s="404"/>
      <c r="E293" s="431"/>
      <c r="F293" s="431"/>
      <c r="G293" s="432"/>
    </row>
    <row r="294">
      <c r="A294" s="404"/>
      <c r="B294" s="419"/>
      <c r="C294" s="419"/>
      <c r="D294" s="404"/>
      <c r="E294" s="431"/>
      <c r="F294" s="431"/>
      <c r="G294" s="432"/>
    </row>
    <row r="295">
      <c r="A295" s="404"/>
      <c r="B295" s="419"/>
      <c r="C295" s="419"/>
      <c r="D295" s="404"/>
      <c r="E295" s="431"/>
      <c r="F295" s="431"/>
      <c r="G295" s="432"/>
    </row>
    <row r="296">
      <c r="A296" s="404"/>
      <c r="B296" s="419"/>
      <c r="C296" s="419"/>
      <c r="D296" s="404"/>
      <c r="E296" s="431"/>
      <c r="F296" s="431"/>
      <c r="G296" s="432"/>
    </row>
    <row r="297">
      <c r="A297" s="404"/>
      <c r="B297" s="419"/>
      <c r="C297" s="419"/>
      <c r="D297" s="404"/>
      <c r="E297" s="431"/>
      <c r="F297" s="431"/>
      <c r="G297" s="432"/>
    </row>
    <row r="298">
      <c r="A298" s="404"/>
      <c r="B298" s="419"/>
      <c r="C298" s="419"/>
      <c r="D298" s="404"/>
      <c r="E298" s="431"/>
      <c r="F298" s="431"/>
      <c r="G298" s="432"/>
    </row>
    <row r="299">
      <c r="A299" s="404"/>
      <c r="B299" s="419"/>
      <c r="C299" s="419"/>
      <c r="D299" s="404"/>
      <c r="E299" s="431"/>
      <c r="F299" s="431"/>
      <c r="G299" s="432"/>
    </row>
    <row r="300">
      <c r="A300" s="404"/>
      <c r="B300" s="419"/>
      <c r="C300" s="419"/>
      <c r="D300" s="404"/>
      <c r="E300" s="431"/>
      <c r="F300" s="431"/>
      <c r="G300" s="432"/>
    </row>
    <row r="301">
      <c r="A301" s="404"/>
      <c r="B301" s="419"/>
      <c r="C301" s="419"/>
      <c r="D301" s="404"/>
      <c r="E301" s="431"/>
      <c r="F301" s="431"/>
      <c r="G301" s="432"/>
    </row>
    <row r="302">
      <c r="A302" s="404"/>
      <c r="B302" s="419"/>
      <c r="C302" s="419"/>
      <c r="D302" s="404"/>
      <c r="E302" s="431"/>
      <c r="F302" s="431"/>
      <c r="G302" s="432"/>
    </row>
    <row r="303">
      <c r="A303" s="404"/>
      <c r="B303" s="419"/>
      <c r="C303" s="419"/>
      <c r="D303" s="404"/>
      <c r="E303" s="431"/>
      <c r="F303" s="431"/>
      <c r="G303" s="432"/>
    </row>
    <row r="304">
      <c r="A304" s="404"/>
      <c r="B304" s="419"/>
      <c r="C304" s="419"/>
      <c r="D304" s="404"/>
      <c r="E304" s="431"/>
      <c r="F304" s="431"/>
      <c r="G304" s="432"/>
    </row>
    <row r="305">
      <c r="A305" s="404"/>
      <c r="B305" s="419"/>
      <c r="C305" s="419"/>
      <c r="D305" s="404"/>
      <c r="E305" s="431"/>
      <c r="F305" s="431"/>
      <c r="G305" s="432"/>
    </row>
    <row r="306">
      <c r="A306" s="404"/>
      <c r="B306" s="419"/>
      <c r="C306" s="419"/>
      <c r="D306" s="404"/>
      <c r="E306" s="431"/>
      <c r="F306" s="431"/>
      <c r="G306" s="432"/>
    </row>
    <row r="307">
      <c r="A307" s="404"/>
      <c r="B307" s="419"/>
      <c r="C307" s="419"/>
      <c r="D307" s="404"/>
      <c r="E307" s="431"/>
      <c r="F307" s="431"/>
      <c r="G307" s="432"/>
    </row>
    <row r="308">
      <c r="A308" s="404"/>
      <c r="B308" s="419"/>
      <c r="C308" s="419"/>
      <c r="D308" s="404"/>
      <c r="E308" s="431"/>
      <c r="F308" s="431"/>
      <c r="G308" s="432"/>
    </row>
    <row r="309">
      <c r="A309" s="404"/>
      <c r="B309" s="419"/>
      <c r="C309" s="419"/>
      <c r="D309" s="404"/>
      <c r="E309" s="431"/>
      <c r="F309" s="431"/>
      <c r="G309" s="432"/>
    </row>
    <row r="310">
      <c r="A310" s="404"/>
      <c r="B310" s="419"/>
      <c r="C310" s="419"/>
      <c r="D310" s="404"/>
      <c r="E310" s="431"/>
      <c r="F310" s="431"/>
      <c r="G310" s="432"/>
    </row>
    <row r="311">
      <c r="A311" s="404"/>
      <c r="B311" s="419"/>
      <c r="C311" s="419"/>
      <c r="D311" s="404"/>
      <c r="E311" s="431"/>
      <c r="F311" s="431"/>
      <c r="G311" s="432"/>
    </row>
    <row r="312">
      <c r="A312" s="404"/>
      <c r="B312" s="419"/>
      <c r="C312" s="419"/>
      <c r="D312" s="404"/>
      <c r="E312" s="431"/>
      <c r="F312" s="431"/>
      <c r="G312" s="432"/>
    </row>
    <row r="313">
      <c r="A313" s="404"/>
      <c r="B313" s="419"/>
      <c r="C313" s="419"/>
      <c r="D313" s="404"/>
      <c r="E313" s="431"/>
      <c r="F313" s="431"/>
      <c r="G313" s="432"/>
    </row>
    <row r="314">
      <c r="A314" s="404"/>
      <c r="B314" s="419"/>
      <c r="C314" s="419"/>
      <c r="D314" s="404"/>
      <c r="E314" s="431"/>
      <c r="F314" s="431"/>
      <c r="G314" s="432"/>
    </row>
    <row r="315">
      <c r="A315" s="404"/>
      <c r="B315" s="419"/>
      <c r="C315" s="419"/>
      <c r="D315" s="404"/>
      <c r="E315" s="431"/>
      <c r="F315" s="431"/>
      <c r="G315" s="432"/>
    </row>
    <row r="316">
      <c r="A316" s="404"/>
      <c r="B316" s="419"/>
      <c r="C316" s="419"/>
      <c r="D316" s="404"/>
      <c r="E316" s="431"/>
      <c r="F316" s="431"/>
      <c r="G316" s="432"/>
    </row>
    <row r="317">
      <c r="A317" s="404"/>
      <c r="B317" s="419"/>
      <c r="C317" s="419"/>
      <c r="D317" s="404"/>
      <c r="E317" s="431"/>
      <c r="F317" s="431"/>
      <c r="G317" s="432"/>
    </row>
    <row r="318">
      <c r="A318" s="404"/>
      <c r="B318" s="419"/>
      <c r="C318" s="419"/>
      <c r="D318" s="404"/>
      <c r="E318" s="431"/>
      <c r="F318" s="431"/>
      <c r="G318" s="432"/>
    </row>
    <row r="319">
      <c r="A319" s="404"/>
      <c r="B319" s="419"/>
      <c r="C319" s="419"/>
      <c r="D319" s="404"/>
      <c r="E319" s="431"/>
      <c r="F319" s="431"/>
      <c r="G319" s="432"/>
    </row>
    <row r="320">
      <c r="A320" s="404"/>
      <c r="B320" s="419"/>
      <c r="C320" s="419"/>
      <c r="D320" s="404"/>
      <c r="E320" s="431"/>
      <c r="F320" s="431"/>
      <c r="G320" s="432"/>
    </row>
    <row r="321">
      <c r="A321" s="404"/>
      <c r="B321" s="419"/>
      <c r="C321" s="419"/>
      <c r="D321" s="404"/>
      <c r="E321" s="431"/>
      <c r="F321" s="431"/>
      <c r="G321" s="432"/>
    </row>
    <row r="322">
      <c r="A322" s="404"/>
      <c r="B322" s="419"/>
      <c r="C322" s="419"/>
      <c r="D322" s="404"/>
      <c r="E322" s="431"/>
      <c r="F322" s="431"/>
      <c r="G322" s="432"/>
    </row>
    <row r="323">
      <c r="A323" s="404"/>
      <c r="B323" s="419"/>
      <c r="C323" s="419"/>
      <c r="D323" s="404"/>
      <c r="E323" s="431"/>
      <c r="F323" s="431"/>
      <c r="G323" s="432"/>
    </row>
    <row r="324">
      <c r="A324" s="404"/>
      <c r="B324" s="419"/>
      <c r="C324" s="419"/>
      <c r="D324" s="404"/>
      <c r="E324" s="431"/>
      <c r="F324" s="431"/>
      <c r="G324" s="432"/>
    </row>
    <row r="325">
      <c r="A325" s="404"/>
      <c r="B325" s="419"/>
      <c r="C325" s="419"/>
      <c r="D325" s="404"/>
      <c r="E325" s="431"/>
      <c r="F325" s="431"/>
      <c r="G325" s="432"/>
    </row>
    <row r="326">
      <c r="A326" s="404"/>
      <c r="B326" s="419"/>
      <c r="C326" s="419"/>
      <c r="D326" s="404"/>
      <c r="E326" s="431"/>
      <c r="F326" s="431"/>
      <c r="G326" s="432"/>
    </row>
    <row r="327">
      <c r="A327" s="404"/>
      <c r="B327" s="419"/>
      <c r="C327" s="419"/>
      <c r="D327" s="404"/>
      <c r="E327" s="431"/>
      <c r="F327" s="431"/>
      <c r="G327" s="432"/>
    </row>
    <row r="328">
      <c r="A328" s="404"/>
      <c r="B328" s="419"/>
      <c r="C328" s="419"/>
      <c r="D328" s="404"/>
      <c r="E328" s="431"/>
      <c r="F328" s="431"/>
      <c r="G328" s="432"/>
    </row>
    <row r="329">
      <c r="A329" s="404"/>
      <c r="B329" s="419"/>
      <c r="C329" s="419"/>
      <c r="D329" s="404"/>
      <c r="E329" s="431"/>
      <c r="F329" s="431"/>
      <c r="G329" s="432"/>
    </row>
    <row r="330">
      <c r="A330" s="404"/>
      <c r="B330" s="419"/>
      <c r="C330" s="419"/>
      <c r="D330" s="404"/>
      <c r="E330" s="431"/>
      <c r="F330" s="431"/>
      <c r="G330" s="432"/>
    </row>
    <row r="331">
      <c r="A331" s="404"/>
      <c r="B331" s="419"/>
      <c r="C331" s="419"/>
      <c r="D331" s="404"/>
      <c r="E331" s="431"/>
      <c r="F331" s="431"/>
      <c r="G331" s="432"/>
    </row>
    <row r="332">
      <c r="A332" s="404"/>
      <c r="B332" s="419"/>
      <c r="C332" s="419"/>
      <c r="D332" s="404"/>
      <c r="E332" s="431"/>
      <c r="F332" s="431"/>
      <c r="G332" s="432"/>
    </row>
    <row r="333">
      <c r="A333" s="404"/>
      <c r="B333" s="419"/>
      <c r="C333" s="419"/>
      <c r="D333" s="404"/>
      <c r="E333" s="431"/>
      <c r="F333" s="431"/>
      <c r="G333" s="432"/>
    </row>
    <row r="334">
      <c r="A334" s="404"/>
      <c r="B334" s="419"/>
      <c r="C334" s="419"/>
      <c r="D334" s="404"/>
      <c r="E334" s="431"/>
      <c r="F334" s="431"/>
      <c r="G334" s="432"/>
    </row>
    <row r="335">
      <c r="A335" s="404"/>
      <c r="B335" s="419"/>
      <c r="C335" s="419"/>
      <c r="D335" s="404"/>
      <c r="E335" s="431"/>
      <c r="F335" s="431"/>
      <c r="G335" s="432"/>
    </row>
    <row r="336">
      <c r="A336" s="404"/>
      <c r="B336" s="419"/>
      <c r="C336" s="419"/>
      <c r="D336" s="404"/>
      <c r="E336" s="431"/>
      <c r="F336" s="431"/>
      <c r="G336" s="432"/>
    </row>
    <row r="337">
      <c r="A337" s="404"/>
      <c r="B337" s="419"/>
      <c r="C337" s="419"/>
      <c r="D337" s="404"/>
      <c r="E337" s="431"/>
      <c r="F337" s="431"/>
      <c r="G337" s="432"/>
    </row>
    <row r="338">
      <c r="A338" s="404"/>
      <c r="B338" s="419"/>
      <c r="C338" s="419"/>
      <c r="D338" s="404"/>
      <c r="E338" s="431"/>
      <c r="F338" s="431"/>
      <c r="G338" s="432"/>
    </row>
    <row r="339">
      <c r="A339" s="404"/>
      <c r="B339" s="419"/>
      <c r="C339" s="419"/>
      <c r="D339" s="404"/>
      <c r="E339" s="431"/>
      <c r="F339" s="431"/>
      <c r="G339" s="432"/>
    </row>
    <row r="340">
      <c r="A340" s="404"/>
      <c r="B340" s="419"/>
      <c r="C340" s="419"/>
      <c r="D340" s="404"/>
      <c r="E340" s="431"/>
      <c r="F340" s="431"/>
      <c r="G340" s="432"/>
    </row>
    <row r="341">
      <c r="A341" s="404"/>
      <c r="B341" s="419"/>
      <c r="C341" s="419"/>
      <c r="D341" s="404"/>
      <c r="E341" s="431"/>
      <c r="F341" s="431"/>
      <c r="G341" s="432"/>
    </row>
    <row r="342">
      <c r="A342" s="404"/>
      <c r="B342" s="419"/>
      <c r="C342" s="419"/>
      <c r="D342" s="404"/>
      <c r="E342" s="431"/>
      <c r="F342" s="431"/>
      <c r="G342" s="432"/>
    </row>
    <row r="343">
      <c r="A343" s="404"/>
      <c r="B343" s="419"/>
      <c r="C343" s="419"/>
      <c r="D343" s="404"/>
      <c r="E343" s="431"/>
      <c r="F343" s="431"/>
      <c r="G343" s="432"/>
    </row>
    <row r="344">
      <c r="A344" s="404"/>
      <c r="B344" s="419"/>
      <c r="C344" s="419"/>
      <c r="D344" s="404"/>
      <c r="E344" s="431"/>
      <c r="F344" s="431"/>
      <c r="G344" s="432"/>
    </row>
    <row r="345">
      <c r="A345" s="404"/>
      <c r="B345" s="419"/>
      <c r="C345" s="419"/>
      <c r="D345" s="404"/>
      <c r="E345" s="431"/>
      <c r="F345" s="431"/>
      <c r="G345" s="432"/>
    </row>
    <row r="346">
      <c r="A346" s="404"/>
      <c r="B346" s="419"/>
      <c r="C346" s="419"/>
      <c r="D346" s="404"/>
      <c r="E346" s="431"/>
      <c r="F346" s="431"/>
      <c r="G346" s="432"/>
    </row>
    <row r="347">
      <c r="A347" s="404"/>
      <c r="B347" s="419"/>
      <c r="C347" s="419"/>
      <c r="D347" s="404"/>
      <c r="E347" s="431"/>
      <c r="F347" s="431"/>
      <c r="G347" s="432"/>
    </row>
    <row r="348">
      <c r="A348" s="404"/>
      <c r="B348" s="419"/>
      <c r="C348" s="419"/>
      <c r="D348" s="404"/>
      <c r="E348" s="431"/>
      <c r="F348" s="431"/>
      <c r="G348" s="432"/>
    </row>
    <row r="349">
      <c r="A349" s="404"/>
      <c r="B349" s="419"/>
      <c r="C349" s="419"/>
      <c r="D349" s="404"/>
      <c r="E349" s="431"/>
      <c r="F349" s="431"/>
      <c r="G349" s="432"/>
    </row>
    <row r="350">
      <c r="A350" s="404"/>
      <c r="B350" s="419"/>
      <c r="C350" s="419"/>
      <c r="D350" s="404"/>
      <c r="E350" s="431"/>
      <c r="F350" s="431"/>
      <c r="G350" s="432"/>
    </row>
    <row r="351">
      <c r="A351" s="404"/>
      <c r="B351" s="419"/>
      <c r="C351" s="419"/>
      <c r="D351" s="404"/>
      <c r="E351" s="431"/>
      <c r="F351" s="431"/>
      <c r="G351" s="432"/>
    </row>
    <row r="352">
      <c r="A352" s="404"/>
      <c r="B352" s="419"/>
      <c r="C352" s="419"/>
      <c r="D352" s="404"/>
      <c r="E352" s="431"/>
      <c r="F352" s="431"/>
      <c r="G352" s="432"/>
    </row>
    <row r="353">
      <c r="A353" s="404"/>
      <c r="B353" s="419"/>
      <c r="C353" s="419"/>
      <c r="D353" s="404"/>
      <c r="E353" s="431"/>
      <c r="F353" s="431"/>
      <c r="G353" s="432"/>
    </row>
    <row r="354">
      <c r="A354" s="404"/>
      <c r="B354" s="419"/>
      <c r="C354" s="419"/>
      <c r="D354" s="404"/>
      <c r="E354" s="431"/>
      <c r="F354" s="431"/>
      <c r="G354" s="432"/>
    </row>
    <row r="355">
      <c r="A355" s="404"/>
      <c r="B355" s="419"/>
      <c r="C355" s="419"/>
      <c r="D355" s="404"/>
      <c r="E355" s="431"/>
      <c r="F355" s="431"/>
      <c r="G355" s="432"/>
    </row>
    <row r="356">
      <c r="A356" s="404"/>
      <c r="B356" s="419"/>
      <c r="C356" s="419"/>
      <c r="D356" s="404"/>
      <c r="E356" s="431"/>
      <c r="F356" s="431"/>
      <c r="G356" s="432"/>
    </row>
    <row r="357">
      <c r="A357" s="404"/>
      <c r="B357" s="419"/>
      <c r="C357" s="419"/>
      <c r="D357" s="404"/>
      <c r="E357" s="431"/>
      <c r="F357" s="431"/>
      <c r="G357" s="432"/>
    </row>
    <row r="358">
      <c r="A358" s="404"/>
      <c r="B358" s="419"/>
      <c r="C358" s="419"/>
      <c r="D358" s="404"/>
      <c r="E358" s="431"/>
      <c r="F358" s="431"/>
      <c r="G358" s="432"/>
    </row>
    <row r="359">
      <c r="A359" s="404"/>
      <c r="B359" s="419"/>
      <c r="C359" s="419"/>
      <c r="D359" s="404"/>
      <c r="E359" s="431"/>
      <c r="F359" s="431"/>
      <c r="G359" s="432"/>
    </row>
    <row r="360">
      <c r="A360" s="404"/>
      <c r="B360" s="419"/>
      <c r="C360" s="419"/>
      <c r="D360" s="404"/>
      <c r="E360" s="431"/>
      <c r="F360" s="431"/>
      <c r="G360" s="432"/>
    </row>
    <row r="361">
      <c r="A361" s="404"/>
      <c r="B361" s="419"/>
      <c r="C361" s="419"/>
      <c r="D361" s="404"/>
      <c r="E361" s="431"/>
      <c r="F361" s="431"/>
      <c r="G361" s="432"/>
    </row>
    <row r="362">
      <c r="A362" s="404"/>
      <c r="B362" s="419"/>
      <c r="C362" s="419"/>
      <c r="D362" s="404"/>
      <c r="E362" s="431"/>
      <c r="F362" s="431"/>
      <c r="G362" s="432"/>
    </row>
    <row r="363">
      <c r="A363" s="404"/>
      <c r="B363" s="419"/>
      <c r="C363" s="419"/>
      <c r="D363" s="404"/>
      <c r="E363" s="431"/>
      <c r="F363" s="431"/>
      <c r="G363" s="432"/>
    </row>
    <row r="364">
      <c r="A364" s="404"/>
      <c r="B364" s="419"/>
      <c r="C364" s="419"/>
      <c r="D364" s="404"/>
      <c r="E364" s="431"/>
      <c r="F364" s="431"/>
      <c r="G364" s="432"/>
    </row>
    <row r="365">
      <c r="A365" s="404"/>
      <c r="B365" s="419"/>
      <c r="C365" s="419"/>
      <c r="D365" s="404"/>
      <c r="E365" s="431"/>
      <c r="F365" s="431"/>
      <c r="G365" s="432"/>
    </row>
    <row r="366">
      <c r="A366" s="404"/>
      <c r="B366" s="419"/>
      <c r="C366" s="419"/>
      <c r="D366" s="404"/>
      <c r="E366" s="431"/>
      <c r="F366" s="431"/>
      <c r="G366" s="432"/>
    </row>
    <row r="367">
      <c r="A367" s="404"/>
      <c r="B367" s="419"/>
      <c r="C367" s="419"/>
      <c r="D367" s="404"/>
      <c r="E367" s="431"/>
      <c r="F367" s="431"/>
      <c r="G367" s="432"/>
    </row>
    <row r="368">
      <c r="A368" s="404"/>
      <c r="B368" s="419"/>
      <c r="C368" s="419"/>
      <c r="D368" s="404"/>
      <c r="E368" s="431"/>
      <c r="F368" s="431"/>
      <c r="G368" s="432"/>
    </row>
    <row r="369">
      <c r="A369" s="404"/>
      <c r="B369" s="419"/>
      <c r="C369" s="419"/>
      <c r="D369" s="404"/>
      <c r="E369" s="431"/>
      <c r="F369" s="431"/>
      <c r="G369" s="432"/>
    </row>
    <row r="370">
      <c r="A370" s="404"/>
      <c r="B370" s="419"/>
      <c r="C370" s="419"/>
      <c r="D370" s="404"/>
      <c r="E370" s="431"/>
      <c r="F370" s="431"/>
      <c r="G370" s="432"/>
    </row>
    <row r="371">
      <c r="A371" s="404"/>
      <c r="B371" s="419"/>
      <c r="C371" s="419"/>
      <c r="D371" s="404"/>
      <c r="E371" s="431"/>
      <c r="F371" s="431"/>
      <c r="G371" s="432"/>
    </row>
    <row r="372">
      <c r="A372" s="404"/>
      <c r="B372" s="419"/>
      <c r="C372" s="419"/>
      <c r="D372" s="404"/>
      <c r="E372" s="431"/>
      <c r="F372" s="431"/>
      <c r="G372" s="432"/>
    </row>
    <row r="373">
      <c r="A373" s="404"/>
      <c r="B373" s="419"/>
      <c r="C373" s="419"/>
      <c r="D373" s="404"/>
      <c r="E373" s="431"/>
      <c r="F373" s="431"/>
      <c r="G373" s="432"/>
    </row>
    <row r="374">
      <c r="A374" s="404"/>
      <c r="B374" s="419"/>
      <c r="C374" s="419"/>
      <c r="D374" s="404"/>
      <c r="E374" s="431"/>
      <c r="F374" s="431"/>
      <c r="G374" s="432"/>
    </row>
    <row r="375">
      <c r="A375" s="404"/>
      <c r="B375" s="419"/>
      <c r="C375" s="419"/>
      <c r="D375" s="404"/>
      <c r="E375" s="431"/>
      <c r="F375" s="431"/>
      <c r="G375" s="432"/>
    </row>
    <row r="376">
      <c r="A376" s="404"/>
      <c r="B376" s="419"/>
      <c r="C376" s="419"/>
      <c r="D376" s="404"/>
      <c r="E376" s="431"/>
      <c r="F376" s="431"/>
      <c r="G376" s="432"/>
    </row>
    <row r="377">
      <c r="A377" s="404"/>
      <c r="B377" s="419"/>
      <c r="C377" s="419"/>
      <c r="D377" s="404"/>
      <c r="E377" s="431"/>
      <c r="F377" s="431"/>
      <c r="G377" s="432"/>
    </row>
    <row r="378">
      <c r="A378" s="404"/>
      <c r="B378" s="419"/>
      <c r="C378" s="419"/>
      <c r="D378" s="404"/>
      <c r="E378" s="431"/>
      <c r="F378" s="431"/>
      <c r="G378" s="432"/>
    </row>
    <row r="379">
      <c r="A379" s="404"/>
      <c r="B379" s="419"/>
      <c r="C379" s="419"/>
      <c r="D379" s="404"/>
      <c r="E379" s="431"/>
      <c r="F379" s="431"/>
      <c r="G379" s="432"/>
    </row>
    <row r="380">
      <c r="A380" s="404"/>
      <c r="B380" s="419"/>
      <c r="C380" s="419"/>
      <c r="D380" s="404"/>
      <c r="E380" s="431"/>
      <c r="F380" s="431"/>
      <c r="G380" s="432"/>
    </row>
    <row r="381">
      <c r="A381" s="404"/>
      <c r="B381" s="419"/>
      <c r="C381" s="419"/>
      <c r="D381" s="404"/>
      <c r="E381" s="431"/>
      <c r="F381" s="431"/>
      <c r="G381" s="432"/>
    </row>
    <row r="382">
      <c r="A382" s="404"/>
      <c r="B382" s="419"/>
      <c r="C382" s="419"/>
      <c r="D382" s="404"/>
      <c r="E382" s="431"/>
      <c r="F382" s="431"/>
      <c r="G382" s="432"/>
    </row>
    <row r="383">
      <c r="A383" s="404"/>
      <c r="B383" s="419"/>
      <c r="C383" s="419"/>
      <c r="D383" s="404"/>
      <c r="E383" s="431"/>
      <c r="F383" s="431"/>
      <c r="G383" s="432"/>
    </row>
    <row r="384">
      <c r="A384" s="404"/>
      <c r="B384" s="419"/>
      <c r="C384" s="419"/>
      <c r="D384" s="404"/>
      <c r="E384" s="431"/>
      <c r="F384" s="431"/>
      <c r="G384" s="432"/>
    </row>
    <row r="385">
      <c r="A385" s="404"/>
      <c r="B385" s="419"/>
      <c r="C385" s="419"/>
      <c r="D385" s="404"/>
      <c r="E385" s="431"/>
      <c r="F385" s="431"/>
      <c r="G385" s="432"/>
    </row>
    <row r="386">
      <c r="A386" s="404"/>
      <c r="B386" s="419"/>
      <c r="C386" s="419"/>
      <c r="D386" s="404"/>
      <c r="E386" s="431"/>
      <c r="F386" s="431"/>
      <c r="G386" s="432"/>
    </row>
    <row r="387">
      <c r="A387" s="404"/>
      <c r="B387" s="419"/>
      <c r="C387" s="419"/>
      <c r="D387" s="404"/>
      <c r="E387" s="431"/>
      <c r="F387" s="431"/>
      <c r="G387" s="432"/>
    </row>
    <row r="388">
      <c r="A388" s="404"/>
      <c r="B388" s="419"/>
      <c r="C388" s="419"/>
      <c r="D388" s="404"/>
      <c r="E388" s="431"/>
      <c r="F388" s="431"/>
      <c r="G388" s="432"/>
    </row>
    <row r="389">
      <c r="A389" s="404"/>
      <c r="B389" s="419"/>
      <c r="C389" s="419"/>
      <c r="D389" s="404"/>
      <c r="E389" s="431"/>
      <c r="F389" s="431"/>
      <c r="G389" s="432"/>
    </row>
    <row r="390">
      <c r="A390" s="404"/>
      <c r="B390" s="419"/>
      <c r="C390" s="419"/>
      <c r="D390" s="404"/>
      <c r="E390" s="431"/>
      <c r="F390" s="431"/>
      <c r="G390" s="432"/>
    </row>
    <row r="391">
      <c r="A391" s="404"/>
      <c r="B391" s="419"/>
      <c r="C391" s="419"/>
      <c r="D391" s="404"/>
      <c r="E391" s="431"/>
      <c r="F391" s="431"/>
      <c r="G391" s="432"/>
    </row>
    <row r="392">
      <c r="A392" s="404"/>
      <c r="B392" s="419"/>
      <c r="C392" s="419"/>
      <c r="D392" s="404"/>
      <c r="E392" s="431"/>
      <c r="F392" s="431"/>
      <c r="G392" s="432"/>
    </row>
    <row r="393">
      <c r="A393" s="404"/>
      <c r="B393" s="419"/>
      <c r="C393" s="419"/>
      <c r="D393" s="404"/>
      <c r="E393" s="431"/>
      <c r="F393" s="431"/>
      <c r="G393" s="432"/>
    </row>
    <row r="394">
      <c r="A394" s="404"/>
      <c r="B394" s="419"/>
      <c r="C394" s="419"/>
      <c r="D394" s="404"/>
      <c r="E394" s="431"/>
      <c r="F394" s="431"/>
      <c r="G394" s="432"/>
    </row>
    <row r="395">
      <c r="A395" s="404"/>
      <c r="B395" s="419"/>
      <c r="C395" s="419"/>
      <c r="D395" s="404"/>
      <c r="E395" s="431"/>
      <c r="F395" s="431"/>
      <c r="G395" s="432"/>
    </row>
    <row r="396">
      <c r="A396" s="404"/>
      <c r="B396" s="419"/>
      <c r="C396" s="419"/>
      <c r="D396" s="404"/>
      <c r="E396" s="431"/>
      <c r="F396" s="431"/>
      <c r="G396" s="432"/>
    </row>
    <row r="397">
      <c r="A397" s="404"/>
      <c r="B397" s="419"/>
      <c r="C397" s="419"/>
      <c r="D397" s="404"/>
      <c r="E397" s="431"/>
      <c r="F397" s="431"/>
      <c r="G397" s="432"/>
    </row>
    <row r="398">
      <c r="A398" s="404"/>
      <c r="B398" s="419"/>
      <c r="C398" s="419"/>
      <c r="D398" s="404"/>
      <c r="E398" s="431"/>
      <c r="F398" s="431"/>
      <c r="G398" s="432"/>
    </row>
    <row r="399">
      <c r="A399" s="404"/>
      <c r="B399" s="419"/>
      <c r="C399" s="419"/>
      <c r="D399" s="404"/>
      <c r="E399" s="431"/>
      <c r="F399" s="431"/>
      <c r="G399" s="432"/>
    </row>
    <row r="400">
      <c r="A400" s="404"/>
      <c r="B400" s="419"/>
      <c r="C400" s="419"/>
      <c r="D400" s="404"/>
      <c r="E400" s="431"/>
      <c r="F400" s="431"/>
      <c r="G400" s="432"/>
    </row>
    <row r="401">
      <c r="A401" s="404"/>
      <c r="B401" s="419"/>
      <c r="C401" s="419"/>
      <c r="D401" s="404"/>
      <c r="E401" s="431"/>
      <c r="F401" s="431"/>
      <c r="G401" s="432"/>
    </row>
    <row r="402">
      <c r="A402" s="404"/>
      <c r="B402" s="419"/>
      <c r="C402" s="419"/>
      <c r="D402" s="404"/>
      <c r="E402" s="431"/>
      <c r="F402" s="431"/>
      <c r="G402" s="432"/>
    </row>
    <row r="403">
      <c r="A403" s="404"/>
      <c r="B403" s="419"/>
      <c r="C403" s="419"/>
      <c r="D403" s="404"/>
      <c r="E403" s="431"/>
      <c r="F403" s="431"/>
      <c r="G403" s="432"/>
    </row>
    <row r="404">
      <c r="A404" s="404"/>
      <c r="B404" s="419"/>
      <c r="C404" s="419"/>
      <c r="D404" s="404"/>
      <c r="E404" s="431"/>
      <c r="F404" s="431"/>
      <c r="G404" s="432"/>
    </row>
    <row r="405">
      <c r="A405" s="404"/>
      <c r="B405" s="419"/>
      <c r="C405" s="419"/>
      <c r="D405" s="404"/>
      <c r="E405" s="431"/>
      <c r="F405" s="431"/>
      <c r="G405" s="432"/>
    </row>
    <row r="406">
      <c r="A406" s="404"/>
      <c r="B406" s="419"/>
      <c r="C406" s="419"/>
      <c r="D406" s="404"/>
      <c r="E406" s="431"/>
      <c r="F406" s="431"/>
      <c r="G406" s="432"/>
    </row>
    <row r="407">
      <c r="A407" s="404"/>
      <c r="B407" s="419"/>
      <c r="C407" s="419"/>
      <c r="D407" s="404"/>
      <c r="E407" s="431"/>
      <c r="F407" s="431"/>
      <c r="G407" s="432"/>
    </row>
    <row r="408">
      <c r="A408" s="404"/>
      <c r="B408" s="419"/>
      <c r="C408" s="419"/>
      <c r="D408" s="404"/>
      <c r="E408" s="431"/>
      <c r="F408" s="431"/>
      <c r="G408" s="432"/>
    </row>
    <row r="409">
      <c r="A409" s="404"/>
      <c r="B409" s="419"/>
      <c r="C409" s="419"/>
      <c r="D409" s="404"/>
      <c r="E409" s="431"/>
      <c r="F409" s="431"/>
      <c r="G409" s="432"/>
    </row>
    <row r="410">
      <c r="A410" s="404"/>
      <c r="B410" s="419"/>
      <c r="C410" s="419"/>
      <c r="D410" s="404"/>
      <c r="E410" s="431"/>
      <c r="F410" s="431"/>
      <c r="G410" s="432"/>
    </row>
    <row r="411">
      <c r="A411" s="404"/>
      <c r="B411" s="419"/>
      <c r="C411" s="419"/>
      <c r="D411" s="404"/>
      <c r="E411" s="431"/>
      <c r="F411" s="431"/>
      <c r="G411" s="432"/>
    </row>
    <row r="412">
      <c r="A412" s="404"/>
      <c r="B412" s="419"/>
      <c r="C412" s="419"/>
      <c r="D412" s="404"/>
      <c r="E412" s="431"/>
      <c r="F412" s="431"/>
      <c r="G412" s="432"/>
    </row>
    <row r="413">
      <c r="A413" s="404"/>
      <c r="B413" s="419"/>
      <c r="C413" s="419"/>
      <c r="D413" s="404"/>
      <c r="E413" s="431"/>
      <c r="F413" s="431"/>
      <c r="G413" s="432"/>
    </row>
    <row r="414">
      <c r="A414" s="404"/>
      <c r="B414" s="419"/>
      <c r="C414" s="419"/>
      <c r="D414" s="404"/>
      <c r="E414" s="431"/>
      <c r="F414" s="431"/>
      <c r="G414" s="432"/>
    </row>
    <row r="415">
      <c r="A415" s="404"/>
      <c r="B415" s="419"/>
      <c r="C415" s="419"/>
      <c r="D415" s="404"/>
      <c r="E415" s="431"/>
      <c r="F415" s="431"/>
      <c r="G415" s="432"/>
    </row>
    <row r="416">
      <c r="A416" s="404"/>
      <c r="B416" s="419"/>
      <c r="C416" s="419"/>
      <c r="D416" s="404"/>
      <c r="E416" s="431"/>
      <c r="F416" s="431"/>
      <c r="G416" s="432"/>
    </row>
    <row r="417">
      <c r="A417" s="404"/>
      <c r="B417" s="419"/>
      <c r="C417" s="419"/>
      <c r="D417" s="404"/>
      <c r="E417" s="431"/>
      <c r="F417" s="431"/>
      <c r="G417" s="432"/>
    </row>
    <row r="418">
      <c r="A418" s="404"/>
      <c r="B418" s="419"/>
      <c r="C418" s="419"/>
      <c r="D418" s="404"/>
      <c r="E418" s="431"/>
      <c r="F418" s="431"/>
      <c r="G418" s="432"/>
    </row>
    <row r="419">
      <c r="A419" s="404"/>
      <c r="B419" s="419"/>
      <c r="C419" s="419"/>
      <c r="D419" s="404"/>
      <c r="E419" s="431"/>
      <c r="F419" s="431"/>
      <c r="G419" s="432"/>
    </row>
    <row r="420">
      <c r="A420" s="404"/>
      <c r="B420" s="419"/>
      <c r="C420" s="419"/>
      <c r="D420" s="404"/>
      <c r="E420" s="431"/>
      <c r="F420" s="431"/>
      <c r="G420" s="432"/>
    </row>
    <row r="421">
      <c r="A421" s="404"/>
      <c r="B421" s="419"/>
      <c r="C421" s="419"/>
      <c r="D421" s="404"/>
      <c r="E421" s="431"/>
      <c r="F421" s="431"/>
      <c r="G421" s="432"/>
    </row>
    <row r="422">
      <c r="A422" s="404"/>
      <c r="B422" s="419"/>
      <c r="C422" s="419"/>
      <c r="D422" s="404"/>
      <c r="E422" s="431"/>
      <c r="F422" s="431"/>
      <c r="G422" s="432"/>
    </row>
    <row r="423">
      <c r="A423" s="404"/>
      <c r="B423" s="419"/>
      <c r="C423" s="419"/>
      <c r="D423" s="404"/>
      <c r="E423" s="431"/>
      <c r="F423" s="431"/>
      <c r="G423" s="432"/>
    </row>
    <row r="424">
      <c r="A424" s="404"/>
      <c r="B424" s="419"/>
      <c r="C424" s="419"/>
      <c r="D424" s="404"/>
      <c r="E424" s="431"/>
      <c r="F424" s="431"/>
      <c r="G424" s="432"/>
    </row>
    <row r="425">
      <c r="A425" s="404"/>
      <c r="B425" s="419"/>
      <c r="C425" s="419"/>
      <c r="D425" s="404"/>
      <c r="E425" s="431"/>
      <c r="F425" s="431"/>
      <c r="G425" s="432"/>
    </row>
    <row r="426">
      <c r="A426" s="404"/>
      <c r="B426" s="419"/>
      <c r="C426" s="419"/>
      <c r="D426" s="404"/>
      <c r="E426" s="431"/>
      <c r="F426" s="431"/>
      <c r="G426" s="432"/>
    </row>
    <row r="427">
      <c r="A427" s="404"/>
      <c r="B427" s="419"/>
      <c r="C427" s="419"/>
      <c r="D427" s="404"/>
      <c r="E427" s="431"/>
      <c r="F427" s="431"/>
      <c r="G427" s="432"/>
    </row>
    <row r="428">
      <c r="A428" s="404"/>
      <c r="B428" s="419"/>
      <c r="C428" s="419"/>
      <c r="D428" s="404"/>
      <c r="E428" s="431"/>
      <c r="F428" s="431"/>
      <c r="G428" s="432"/>
    </row>
    <row r="429">
      <c r="A429" s="404"/>
      <c r="B429" s="419"/>
      <c r="C429" s="419"/>
      <c r="D429" s="404"/>
      <c r="E429" s="431"/>
      <c r="F429" s="431"/>
      <c r="G429" s="432"/>
    </row>
    <row r="430">
      <c r="A430" s="404"/>
      <c r="B430" s="419"/>
      <c r="C430" s="419"/>
      <c r="D430" s="404"/>
      <c r="E430" s="431"/>
      <c r="F430" s="431"/>
      <c r="G430" s="432"/>
    </row>
    <row r="431">
      <c r="A431" s="404"/>
      <c r="B431" s="419"/>
      <c r="C431" s="419"/>
      <c r="D431" s="404"/>
      <c r="E431" s="431"/>
      <c r="F431" s="431"/>
      <c r="G431" s="432"/>
    </row>
    <row r="432">
      <c r="A432" s="404"/>
      <c r="B432" s="419"/>
      <c r="C432" s="419"/>
      <c r="D432" s="404"/>
      <c r="E432" s="431"/>
      <c r="F432" s="431"/>
      <c r="G432" s="432"/>
    </row>
    <row r="433">
      <c r="A433" s="404"/>
      <c r="B433" s="419"/>
      <c r="C433" s="419"/>
      <c r="D433" s="404"/>
      <c r="E433" s="431"/>
      <c r="F433" s="431"/>
      <c r="G433" s="432"/>
    </row>
    <row r="434">
      <c r="A434" s="404"/>
      <c r="B434" s="419"/>
      <c r="C434" s="419"/>
      <c r="D434" s="404"/>
      <c r="E434" s="431"/>
      <c r="F434" s="431"/>
      <c r="G434" s="432"/>
    </row>
    <row r="435">
      <c r="A435" s="404"/>
      <c r="B435" s="419"/>
      <c r="C435" s="419"/>
      <c r="D435" s="404"/>
      <c r="E435" s="431"/>
      <c r="F435" s="431"/>
      <c r="G435" s="432"/>
    </row>
    <row r="436">
      <c r="A436" s="404"/>
      <c r="B436" s="419"/>
      <c r="C436" s="419"/>
      <c r="D436" s="404"/>
      <c r="E436" s="431"/>
      <c r="F436" s="431"/>
      <c r="G436" s="432"/>
    </row>
    <row r="437">
      <c r="A437" s="404"/>
      <c r="B437" s="419"/>
      <c r="C437" s="419"/>
      <c r="D437" s="404"/>
      <c r="E437" s="431"/>
      <c r="F437" s="431"/>
      <c r="G437" s="432"/>
    </row>
    <row r="438">
      <c r="A438" s="404"/>
      <c r="B438" s="419"/>
      <c r="C438" s="419"/>
      <c r="D438" s="404"/>
      <c r="E438" s="431"/>
      <c r="F438" s="431"/>
      <c r="G438" s="432"/>
    </row>
    <row r="439">
      <c r="A439" s="404"/>
      <c r="B439" s="419"/>
      <c r="C439" s="419"/>
      <c r="D439" s="404"/>
      <c r="E439" s="431"/>
      <c r="F439" s="431"/>
      <c r="G439" s="432"/>
    </row>
    <row r="440">
      <c r="A440" s="404"/>
      <c r="B440" s="419"/>
      <c r="C440" s="419"/>
      <c r="D440" s="404"/>
      <c r="E440" s="431"/>
      <c r="F440" s="431"/>
      <c r="G440" s="432"/>
    </row>
    <row r="441">
      <c r="A441" s="404"/>
      <c r="B441" s="419"/>
      <c r="C441" s="419"/>
      <c r="D441" s="404"/>
      <c r="E441" s="431"/>
      <c r="F441" s="431"/>
      <c r="G441" s="432"/>
    </row>
    <row r="442">
      <c r="A442" s="404"/>
      <c r="B442" s="419"/>
      <c r="C442" s="419"/>
      <c r="D442" s="404"/>
      <c r="E442" s="431"/>
      <c r="F442" s="431"/>
      <c r="G442" s="432"/>
    </row>
    <row r="443">
      <c r="A443" s="404"/>
      <c r="B443" s="419"/>
      <c r="C443" s="419"/>
      <c r="D443" s="404"/>
      <c r="E443" s="431"/>
      <c r="F443" s="431"/>
      <c r="G443" s="432"/>
    </row>
    <row r="444">
      <c r="A444" s="404"/>
      <c r="B444" s="419"/>
      <c r="C444" s="419"/>
      <c r="D444" s="404"/>
      <c r="E444" s="431"/>
      <c r="F444" s="431"/>
      <c r="G444" s="432"/>
    </row>
    <row r="445">
      <c r="A445" s="404"/>
      <c r="B445" s="419"/>
      <c r="C445" s="419"/>
      <c r="D445" s="404"/>
      <c r="E445" s="431"/>
      <c r="F445" s="431"/>
      <c r="G445" s="432"/>
    </row>
    <row r="446">
      <c r="A446" s="404"/>
      <c r="B446" s="419"/>
      <c r="C446" s="419"/>
      <c r="D446" s="404"/>
      <c r="E446" s="431"/>
      <c r="F446" s="431"/>
      <c r="G446" s="432"/>
    </row>
    <row r="447">
      <c r="A447" s="404"/>
      <c r="B447" s="419"/>
      <c r="C447" s="419"/>
      <c r="D447" s="404"/>
      <c r="E447" s="431"/>
      <c r="F447" s="431"/>
      <c r="G447" s="432"/>
    </row>
    <row r="448">
      <c r="A448" s="404"/>
      <c r="B448" s="419"/>
      <c r="C448" s="419"/>
      <c r="D448" s="404"/>
      <c r="E448" s="431"/>
      <c r="F448" s="431"/>
      <c r="G448" s="432"/>
    </row>
    <row r="449">
      <c r="A449" s="404"/>
      <c r="B449" s="419"/>
      <c r="C449" s="419"/>
      <c r="D449" s="404"/>
      <c r="E449" s="431"/>
      <c r="F449" s="431"/>
      <c r="G449" s="432"/>
    </row>
    <row r="450">
      <c r="A450" s="404"/>
      <c r="B450" s="419"/>
      <c r="C450" s="419"/>
      <c r="D450" s="404"/>
      <c r="E450" s="431"/>
      <c r="F450" s="431"/>
      <c r="G450" s="432"/>
    </row>
    <row r="451">
      <c r="A451" s="404"/>
      <c r="B451" s="419"/>
      <c r="C451" s="419"/>
      <c r="D451" s="404"/>
      <c r="E451" s="431"/>
      <c r="F451" s="431"/>
      <c r="G451" s="432"/>
    </row>
    <row r="452">
      <c r="A452" s="404"/>
      <c r="B452" s="419"/>
      <c r="C452" s="419"/>
      <c r="D452" s="404"/>
      <c r="E452" s="431"/>
      <c r="F452" s="431"/>
      <c r="G452" s="432"/>
    </row>
    <row r="453">
      <c r="A453" s="404"/>
      <c r="B453" s="419"/>
      <c r="C453" s="419"/>
      <c r="D453" s="404"/>
      <c r="E453" s="431"/>
      <c r="F453" s="431"/>
      <c r="G453" s="432"/>
    </row>
    <row r="454">
      <c r="A454" s="404"/>
      <c r="B454" s="419"/>
      <c r="C454" s="419"/>
      <c r="D454" s="404"/>
      <c r="E454" s="431"/>
      <c r="F454" s="431"/>
      <c r="G454" s="432"/>
    </row>
    <row r="455">
      <c r="A455" s="404"/>
      <c r="B455" s="419"/>
      <c r="C455" s="419"/>
      <c r="D455" s="404"/>
      <c r="E455" s="431"/>
      <c r="F455" s="431"/>
      <c r="G455" s="432"/>
    </row>
    <row r="456">
      <c r="A456" s="404"/>
      <c r="B456" s="419"/>
      <c r="C456" s="419"/>
      <c r="D456" s="404"/>
      <c r="E456" s="431"/>
      <c r="F456" s="431"/>
      <c r="G456" s="432"/>
    </row>
    <row r="457">
      <c r="A457" s="404"/>
      <c r="B457" s="419"/>
      <c r="C457" s="419"/>
      <c r="D457" s="404"/>
      <c r="E457" s="431"/>
      <c r="F457" s="431"/>
      <c r="G457" s="432"/>
    </row>
    <row r="458">
      <c r="A458" s="404"/>
      <c r="B458" s="419"/>
      <c r="C458" s="419"/>
      <c r="D458" s="404"/>
      <c r="E458" s="431"/>
      <c r="F458" s="431"/>
      <c r="G458" s="432"/>
    </row>
    <row r="459">
      <c r="A459" s="404"/>
      <c r="B459" s="419"/>
      <c r="C459" s="419"/>
      <c r="D459" s="404"/>
      <c r="E459" s="431"/>
      <c r="F459" s="431"/>
      <c r="G459" s="432"/>
    </row>
    <row r="460">
      <c r="A460" s="404"/>
      <c r="B460" s="419"/>
      <c r="C460" s="419"/>
      <c r="D460" s="404"/>
      <c r="E460" s="431"/>
      <c r="F460" s="431"/>
      <c r="G460" s="432"/>
    </row>
    <row r="461">
      <c r="A461" s="404"/>
      <c r="B461" s="419"/>
      <c r="C461" s="419"/>
      <c r="D461" s="404"/>
      <c r="E461" s="431"/>
      <c r="F461" s="431"/>
      <c r="G461" s="432"/>
    </row>
    <row r="462">
      <c r="A462" s="404"/>
      <c r="B462" s="419"/>
      <c r="C462" s="419"/>
      <c r="D462" s="404"/>
      <c r="E462" s="431"/>
      <c r="F462" s="431"/>
      <c r="G462" s="432"/>
    </row>
    <row r="463">
      <c r="A463" s="404"/>
      <c r="B463" s="419"/>
      <c r="C463" s="419"/>
      <c r="D463" s="404"/>
      <c r="E463" s="431"/>
      <c r="F463" s="431"/>
      <c r="G463" s="432"/>
    </row>
    <row r="464">
      <c r="A464" s="404"/>
      <c r="B464" s="419"/>
      <c r="C464" s="419"/>
      <c r="D464" s="404"/>
      <c r="E464" s="431"/>
      <c r="F464" s="431"/>
      <c r="G464" s="432"/>
    </row>
    <row r="465">
      <c r="A465" s="404"/>
      <c r="B465" s="419"/>
      <c r="C465" s="419"/>
      <c r="D465" s="404"/>
      <c r="E465" s="431"/>
      <c r="F465" s="431"/>
      <c r="G465" s="432"/>
    </row>
    <row r="466">
      <c r="A466" s="404"/>
      <c r="B466" s="419"/>
      <c r="C466" s="419"/>
      <c r="D466" s="404"/>
      <c r="E466" s="431"/>
      <c r="F466" s="431"/>
      <c r="G466" s="432"/>
    </row>
    <row r="467">
      <c r="A467" s="404"/>
      <c r="B467" s="419"/>
      <c r="C467" s="419"/>
      <c r="D467" s="404"/>
      <c r="E467" s="431"/>
      <c r="F467" s="431"/>
      <c r="G467" s="432"/>
    </row>
    <row r="468">
      <c r="A468" s="404"/>
      <c r="B468" s="419"/>
      <c r="C468" s="419"/>
      <c r="D468" s="404"/>
      <c r="E468" s="431"/>
      <c r="F468" s="431"/>
      <c r="G468" s="432"/>
    </row>
    <row r="469">
      <c r="A469" s="404"/>
      <c r="B469" s="419"/>
      <c r="C469" s="419"/>
      <c r="D469" s="404"/>
      <c r="E469" s="431"/>
      <c r="F469" s="431"/>
      <c r="G469" s="432"/>
    </row>
    <row r="470">
      <c r="A470" s="404"/>
      <c r="B470" s="419"/>
      <c r="C470" s="419"/>
      <c r="D470" s="404"/>
      <c r="E470" s="431"/>
      <c r="F470" s="431"/>
      <c r="G470" s="432"/>
    </row>
    <row r="471">
      <c r="A471" s="404"/>
      <c r="B471" s="419"/>
      <c r="C471" s="419"/>
      <c r="D471" s="404"/>
      <c r="E471" s="431"/>
      <c r="F471" s="431"/>
      <c r="G471" s="432"/>
    </row>
    <row r="472">
      <c r="A472" s="404"/>
      <c r="B472" s="419"/>
      <c r="C472" s="419"/>
      <c r="D472" s="404"/>
      <c r="E472" s="431"/>
      <c r="F472" s="431"/>
      <c r="G472" s="432"/>
    </row>
    <row r="473">
      <c r="A473" s="404"/>
      <c r="B473" s="419"/>
      <c r="C473" s="419"/>
      <c r="D473" s="404"/>
      <c r="E473" s="431"/>
      <c r="F473" s="431"/>
      <c r="G473" s="432"/>
    </row>
    <row r="474">
      <c r="A474" s="404"/>
      <c r="B474" s="419"/>
      <c r="C474" s="419"/>
      <c r="D474" s="404"/>
      <c r="E474" s="431"/>
      <c r="F474" s="431"/>
      <c r="G474" s="432"/>
    </row>
    <row r="475">
      <c r="A475" s="404"/>
      <c r="B475" s="419"/>
      <c r="C475" s="419"/>
      <c r="D475" s="404"/>
      <c r="E475" s="431"/>
      <c r="F475" s="431"/>
      <c r="G475" s="432"/>
    </row>
    <row r="476">
      <c r="A476" s="404"/>
      <c r="B476" s="419"/>
      <c r="C476" s="419"/>
      <c r="D476" s="404"/>
      <c r="E476" s="431"/>
      <c r="F476" s="431"/>
      <c r="G476" s="432"/>
    </row>
    <row r="477">
      <c r="A477" s="404"/>
      <c r="B477" s="419"/>
      <c r="C477" s="419"/>
      <c r="D477" s="404"/>
      <c r="E477" s="431"/>
      <c r="F477" s="431"/>
      <c r="G477" s="432"/>
    </row>
    <row r="478">
      <c r="A478" s="404"/>
      <c r="B478" s="419"/>
      <c r="C478" s="419"/>
      <c r="D478" s="404"/>
      <c r="E478" s="431"/>
      <c r="F478" s="431"/>
      <c r="G478" s="432"/>
    </row>
    <row r="479">
      <c r="A479" s="404"/>
      <c r="B479" s="419"/>
      <c r="C479" s="419"/>
      <c r="D479" s="404"/>
      <c r="E479" s="431"/>
      <c r="F479" s="431"/>
      <c r="G479" s="432"/>
    </row>
    <row r="480">
      <c r="A480" s="404"/>
      <c r="B480" s="419"/>
      <c r="C480" s="419"/>
      <c r="D480" s="404"/>
      <c r="E480" s="431"/>
      <c r="F480" s="431"/>
      <c r="G480" s="432"/>
    </row>
    <row r="481">
      <c r="A481" s="404"/>
      <c r="B481" s="419"/>
      <c r="C481" s="419"/>
      <c r="D481" s="404"/>
      <c r="E481" s="431"/>
      <c r="F481" s="431"/>
      <c r="G481" s="432"/>
    </row>
    <row r="482">
      <c r="A482" s="404"/>
      <c r="B482" s="419"/>
      <c r="C482" s="419"/>
      <c r="D482" s="404"/>
      <c r="E482" s="431"/>
      <c r="F482" s="431"/>
      <c r="G482" s="432"/>
    </row>
    <row r="483">
      <c r="A483" s="404"/>
      <c r="B483" s="419"/>
      <c r="C483" s="419"/>
      <c r="D483" s="404"/>
      <c r="E483" s="431"/>
      <c r="F483" s="431"/>
      <c r="G483" s="432"/>
    </row>
    <row r="484">
      <c r="A484" s="404"/>
      <c r="B484" s="419"/>
      <c r="C484" s="419"/>
      <c r="D484" s="404"/>
      <c r="E484" s="431"/>
      <c r="F484" s="431"/>
      <c r="G484" s="432"/>
    </row>
    <row r="485">
      <c r="A485" s="404"/>
      <c r="B485" s="419"/>
      <c r="C485" s="419"/>
      <c r="D485" s="404"/>
      <c r="E485" s="431"/>
      <c r="F485" s="431"/>
      <c r="G485" s="432"/>
    </row>
    <row r="486">
      <c r="A486" s="404"/>
      <c r="B486" s="419"/>
      <c r="C486" s="419"/>
      <c r="D486" s="404"/>
      <c r="E486" s="431"/>
      <c r="F486" s="431"/>
      <c r="G486" s="432"/>
    </row>
    <row r="487">
      <c r="A487" s="404"/>
      <c r="B487" s="419"/>
      <c r="C487" s="419"/>
      <c r="D487" s="404"/>
      <c r="E487" s="431"/>
      <c r="F487" s="431"/>
      <c r="G487" s="432"/>
    </row>
    <row r="488">
      <c r="A488" s="404"/>
      <c r="B488" s="419"/>
      <c r="C488" s="419"/>
      <c r="D488" s="404"/>
      <c r="E488" s="431"/>
      <c r="F488" s="431"/>
      <c r="G488" s="432"/>
    </row>
    <row r="489">
      <c r="A489" s="404"/>
      <c r="B489" s="419"/>
      <c r="C489" s="419"/>
      <c r="D489" s="404"/>
      <c r="E489" s="431"/>
      <c r="F489" s="431"/>
      <c r="G489" s="432"/>
    </row>
    <row r="490">
      <c r="A490" s="404"/>
      <c r="B490" s="419"/>
      <c r="C490" s="419"/>
      <c r="D490" s="404"/>
      <c r="E490" s="431"/>
      <c r="F490" s="431"/>
      <c r="G490" s="432"/>
    </row>
    <row r="491">
      <c r="A491" s="404"/>
      <c r="B491" s="419"/>
      <c r="C491" s="419"/>
      <c r="D491" s="404"/>
      <c r="E491" s="431"/>
      <c r="F491" s="431"/>
      <c r="G491" s="432"/>
    </row>
    <row r="492">
      <c r="A492" s="404"/>
      <c r="B492" s="419"/>
      <c r="C492" s="419"/>
      <c r="D492" s="404"/>
      <c r="E492" s="431"/>
      <c r="F492" s="431"/>
      <c r="G492" s="432"/>
    </row>
    <row r="493">
      <c r="A493" s="404"/>
      <c r="B493" s="419"/>
      <c r="C493" s="419"/>
      <c r="D493" s="404"/>
      <c r="E493" s="431"/>
      <c r="F493" s="431"/>
      <c r="G493" s="432"/>
    </row>
    <row r="494">
      <c r="A494" s="404"/>
      <c r="B494" s="419"/>
      <c r="C494" s="419"/>
      <c r="D494" s="404"/>
      <c r="E494" s="431"/>
      <c r="F494" s="431"/>
      <c r="G494" s="432"/>
    </row>
    <row r="495">
      <c r="A495" s="404"/>
      <c r="B495" s="419"/>
      <c r="C495" s="419"/>
      <c r="D495" s="404"/>
      <c r="E495" s="431"/>
      <c r="F495" s="431"/>
      <c r="G495" s="432"/>
    </row>
    <row r="496">
      <c r="A496" s="404"/>
      <c r="B496" s="419"/>
      <c r="C496" s="419"/>
      <c r="D496" s="404"/>
      <c r="E496" s="431"/>
      <c r="F496" s="431"/>
      <c r="G496" s="432"/>
    </row>
    <row r="497">
      <c r="A497" s="404"/>
      <c r="B497" s="419"/>
      <c r="C497" s="419"/>
      <c r="D497" s="404"/>
      <c r="E497" s="431"/>
      <c r="F497" s="431"/>
      <c r="G497" s="432"/>
    </row>
    <row r="498">
      <c r="A498" s="404"/>
      <c r="B498" s="419"/>
      <c r="C498" s="419"/>
      <c r="D498" s="404"/>
      <c r="E498" s="431"/>
      <c r="F498" s="431"/>
      <c r="G498" s="432"/>
    </row>
    <row r="499">
      <c r="A499" s="404"/>
      <c r="B499" s="419"/>
      <c r="C499" s="419"/>
      <c r="D499" s="404"/>
      <c r="E499" s="431"/>
      <c r="F499" s="431"/>
      <c r="G499" s="432"/>
    </row>
    <row r="500">
      <c r="A500" s="404"/>
      <c r="B500" s="419"/>
      <c r="C500" s="419"/>
      <c r="D500" s="404"/>
      <c r="E500" s="431"/>
      <c r="F500" s="431"/>
      <c r="G500" s="432"/>
    </row>
    <row r="501">
      <c r="A501" s="404"/>
      <c r="B501" s="419"/>
      <c r="C501" s="419"/>
      <c r="D501" s="404"/>
      <c r="E501" s="431"/>
      <c r="F501" s="431"/>
      <c r="G501" s="432"/>
    </row>
    <row r="502">
      <c r="A502" s="404"/>
      <c r="B502" s="419"/>
      <c r="C502" s="419"/>
      <c r="D502" s="404"/>
      <c r="E502" s="431"/>
      <c r="F502" s="431"/>
      <c r="G502" s="432"/>
    </row>
    <row r="503">
      <c r="A503" s="404"/>
      <c r="B503" s="419"/>
      <c r="C503" s="419"/>
      <c r="D503" s="404"/>
      <c r="E503" s="431"/>
      <c r="F503" s="431"/>
      <c r="G503" s="432"/>
    </row>
    <row r="504">
      <c r="A504" s="404"/>
      <c r="B504" s="419"/>
      <c r="C504" s="419"/>
      <c r="D504" s="404"/>
      <c r="E504" s="431"/>
      <c r="F504" s="431"/>
      <c r="G504" s="432"/>
    </row>
    <row r="505">
      <c r="A505" s="404"/>
      <c r="B505" s="419"/>
      <c r="C505" s="419"/>
      <c r="D505" s="404"/>
      <c r="E505" s="431"/>
      <c r="F505" s="431"/>
      <c r="G505" s="432"/>
    </row>
    <row r="506">
      <c r="A506" s="404"/>
      <c r="B506" s="419"/>
      <c r="C506" s="419"/>
      <c r="D506" s="404"/>
      <c r="E506" s="431"/>
      <c r="F506" s="431"/>
      <c r="G506" s="432"/>
    </row>
    <row r="507">
      <c r="A507" s="404"/>
      <c r="B507" s="419"/>
      <c r="C507" s="419"/>
      <c r="D507" s="404"/>
      <c r="E507" s="431"/>
      <c r="F507" s="431"/>
      <c r="G507" s="432"/>
    </row>
    <row r="508">
      <c r="A508" s="404"/>
      <c r="B508" s="419"/>
      <c r="C508" s="419"/>
      <c r="D508" s="404"/>
      <c r="E508" s="431"/>
      <c r="F508" s="431"/>
      <c r="G508" s="432"/>
    </row>
    <row r="509">
      <c r="A509" s="404"/>
      <c r="B509" s="419"/>
      <c r="C509" s="419"/>
      <c r="D509" s="404"/>
      <c r="E509" s="431"/>
      <c r="F509" s="431"/>
      <c r="G509" s="432"/>
    </row>
    <row r="510">
      <c r="A510" s="404"/>
      <c r="B510" s="419"/>
      <c r="C510" s="419"/>
      <c r="D510" s="404"/>
      <c r="E510" s="431"/>
      <c r="F510" s="431"/>
      <c r="G510" s="432"/>
    </row>
    <row r="511">
      <c r="A511" s="404"/>
      <c r="B511" s="419"/>
      <c r="C511" s="419"/>
      <c r="D511" s="404"/>
      <c r="E511" s="431"/>
      <c r="F511" s="431"/>
      <c r="G511" s="432"/>
    </row>
    <row r="512">
      <c r="A512" s="404"/>
      <c r="B512" s="419"/>
      <c r="C512" s="419"/>
      <c r="D512" s="404"/>
      <c r="E512" s="431"/>
      <c r="F512" s="431"/>
      <c r="G512" s="432"/>
    </row>
    <row r="513">
      <c r="A513" s="404"/>
      <c r="B513" s="419"/>
      <c r="C513" s="419"/>
      <c r="D513" s="404"/>
      <c r="E513" s="431"/>
      <c r="F513" s="431"/>
      <c r="G513" s="432"/>
    </row>
    <row r="514">
      <c r="A514" s="404"/>
      <c r="B514" s="419"/>
      <c r="C514" s="419"/>
      <c r="D514" s="404"/>
      <c r="E514" s="431"/>
      <c r="F514" s="431"/>
      <c r="G514" s="432"/>
    </row>
    <row r="515">
      <c r="A515" s="404"/>
      <c r="B515" s="419"/>
      <c r="C515" s="419"/>
      <c r="D515" s="404"/>
      <c r="E515" s="431"/>
      <c r="F515" s="431"/>
      <c r="G515" s="432"/>
    </row>
    <row r="516">
      <c r="A516" s="404"/>
      <c r="B516" s="419"/>
      <c r="C516" s="419"/>
      <c r="D516" s="404"/>
      <c r="E516" s="431"/>
      <c r="F516" s="431"/>
      <c r="G516" s="432"/>
    </row>
    <row r="517">
      <c r="A517" s="404"/>
      <c r="B517" s="419"/>
      <c r="C517" s="419"/>
      <c r="D517" s="404"/>
      <c r="E517" s="431"/>
      <c r="F517" s="431"/>
      <c r="G517" s="432"/>
    </row>
    <row r="518">
      <c r="A518" s="404"/>
      <c r="B518" s="419"/>
      <c r="C518" s="419"/>
      <c r="D518" s="404"/>
      <c r="E518" s="431"/>
      <c r="F518" s="431"/>
      <c r="G518" s="432"/>
    </row>
    <row r="519">
      <c r="A519" s="404"/>
      <c r="B519" s="419"/>
      <c r="C519" s="419"/>
      <c r="D519" s="404"/>
      <c r="E519" s="431"/>
      <c r="F519" s="431"/>
      <c r="G519" s="432"/>
    </row>
    <row r="520">
      <c r="A520" s="404"/>
      <c r="B520" s="419"/>
      <c r="C520" s="419"/>
      <c r="D520" s="404"/>
      <c r="E520" s="431"/>
      <c r="F520" s="431"/>
      <c r="G520" s="432"/>
    </row>
    <row r="521">
      <c r="A521" s="404"/>
      <c r="B521" s="419"/>
      <c r="C521" s="419"/>
      <c r="D521" s="404"/>
      <c r="E521" s="431"/>
      <c r="F521" s="431"/>
      <c r="G521" s="432"/>
    </row>
    <row r="522">
      <c r="A522" s="404"/>
      <c r="B522" s="419"/>
      <c r="C522" s="419"/>
      <c r="D522" s="404"/>
      <c r="E522" s="431"/>
      <c r="F522" s="431"/>
      <c r="G522" s="432"/>
    </row>
    <row r="523">
      <c r="A523" s="404"/>
      <c r="B523" s="419"/>
      <c r="C523" s="419"/>
      <c r="D523" s="404"/>
      <c r="E523" s="431"/>
      <c r="F523" s="431"/>
      <c r="G523" s="432"/>
    </row>
    <row r="524">
      <c r="A524" s="404"/>
      <c r="B524" s="419"/>
      <c r="C524" s="419"/>
      <c r="D524" s="404"/>
      <c r="E524" s="431"/>
      <c r="F524" s="431"/>
      <c r="G524" s="432"/>
    </row>
    <row r="525">
      <c r="A525" s="404"/>
      <c r="B525" s="419"/>
      <c r="C525" s="419"/>
      <c r="D525" s="404"/>
      <c r="E525" s="431"/>
      <c r="F525" s="431"/>
      <c r="G525" s="432"/>
    </row>
    <row r="526">
      <c r="A526" s="404"/>
      <c r="B526" s="419"/>
      <c r="C526" s="419"/>
      <c r="D526" s="404"/>
      <c r="E526" s="431"/>
      <c r="F526" s="431"/>
      <c r="G526" s="432"/>
    </row>
    <row r="527">
      <c r="A527" s="404"/>
      <c r="B527" s="419"/>
      <c r="C527" s="419"/>
      <c r="D527" s="404"/>
      <c r="E527" s="431"/>
      <c r="F527" s="431"/>
      <c r="G527" s="432"/>
    </row>
    <row r="528">
      <c r="A528" s="404"/>
      <c r="B528" s="419"/>
      <c r="C528" s="419"/>
      <c r="D528" s="404"/>
      <c r="E528" s="431"/>
      <c r="F528" s="431"/>
      <c r="G528" s="432"/>
    </row>
    <row r="529">
      <c r="A529" s="404"/>
      <c r="B529" s="419"/>
      <c r="C529" s="419"/>
      <c r="D529" s="404"/>
      <c r="E529" s="431"/>
      <c r="F529" s="431"/>
      <c r="G529" s="432"/>
    </row>
    <row r="530">
      <c r="A530" s="404"/>
      <c r="B530" s="419"/>
      <c r="C530" s="419"/>
      <c r="D530" s="404"/>
      <c r="E530" s="431"/>
      <c r="F530" s="431"/>
      <c r="G530" s="432"/>
    </row>
    <row r="531">
      <c r="A531" s="404"/>
      <c r="B531" s="419"/>
      <c r="C531" s="419"/>
      <c r="D531" s="404"/>
      <c r="E531" s="431"/>
      <c r="F531" s="431"/>
      <c r="G531" s="432"/>
    </row>
    <row r="532">
      <c r="A532" s="404"/>
      <c r="B532" s="419"/>
      <c r="C532" s="419"/>
      <c r="D532" s="404"/>
      <c r="E532" s="431"/>
      <c r="F532" s="431"/>
      <c r="G532" s="432"/>
    </row>
    <row r="533">
      <c r="A533" s="404"/>
      <c r="B533" s="419"/>
      <c r="C533" s="419"/>
      <c r="D533" s="404"/>
      <c r="E533" s="431"/>
      <c r="F533" s="431"/>
      <c r="G533" s="432"/>
    </row>
    <row r="534">
      <c r="A534" s="404"/>
      <c r="B534" s="419"/>
      <c r="C534" s="419"/>
      <c r="D534" s="404"/>
      <c r="E534" s="431"/>
      <c r="F534" s="431"/>
      <c r="G534" s="432"/>
    </row>
    <row r="535">
      <c r="A535" s="404"/>
      <c r="B535" s="419"/>
      <c r="C535" s="419"/>
      <c r="D535" s="404"/>
      <c r="E535" s="431"/>
      <c r="F535" s="431"/>
      <c r="G535" s="432"/>
    </row>
    <row r="536">
      <c r="A536" s="404"/>
      <c r="B536" s="419"/>
      <c r="C536" s="419"/>
      <c r="D536" s="404"/>
      <c r="E536" s="431"/>
      <c r="F536" s="431"/>
      <c r="G536" s="432"/>
    </row>
    <row r="537">
      <c r="A537" s="404"/>
      <c r="B537" s="419"/>
      <c r="C537" s="419"/>
      <c r="D537" s="404"/>
      <c r="E537" s="431"/>
      <c r="F537" s="431"/>
      <c r="G537" s="432"/>
    </row>
    <row r="538">
      <c r="A538" s="404"/>
      <c r="B538" s="419"/>
      <c r="C538" s="419"/>
      <c r="D538" s="404"/>
      <c r="E538" s="431"/>
      <c r="F538" s="431"/>
      <c r="G538" s="432"/>
    </row>
    <row r="539">
      <c r="A539" s="404"/>
      <c r="B539" s="419"/>
      <c r="C539" s="419"/>
      <c r="D539" s="404"/>
      <c r="E539" s="431"/>
      <c r="F539" s="431"/>
      <c r="G539" s="432"/>
    </row>
    <row r="540">
      <c r="A540" s="404"/>
      <c r="B540" s="419"/>
      <c r="C540" s="419"/>
      <c r="D540" s="404"/>
      <c r="E540" s="431"/>
      <c r="F540" s="431"/>
      <c r="G540" s="432"/>
    </row>
    <row r="541">
      <c r="A541" s="404"/>
      <c r="B541" s="419"/>
      <c r="C541" s="419"/>
      <c r="D541" s="404"/>
      <c r="E541" s="431"/>
      <c r="F541" s="431"/>
      <c r="G541" s="432"/>
    </row>
    <row r="542">
      <c r="A542" s="404"/>
      <c r="B542" s="419"/>
      <c r="C542" s="419"/>
      <c r="D542" s="404"/>
      <c r="E542" s="431"/>
      <c r="F542" s="431"/>
      <c r="G542" s="432"/>
    </row>
    <row r="543">
      <c r="A543" s="404"/>
      <c r="B543" s="419"/>
      <c r="C543" s="419"/>
      <c r="D543" s="404"/>
      <c r="E543" s="431"/>
      <c r="F543" s="431"/>
      <c r="G543" s="432"/>
    </row>
    <row r="544">
      <c r="A544" s="404"/>
      <c r="B544" s="419"/>
      <c r="C544" s="419"/>
      <c r="D544" s="404"/>
      <c r="E544" s="431"/>
      <c r="F544" s="431"/>
      <c r="G544" s="432"/>
    </row>
    <row r="545">
      <c r="A545" s="404"/>
      <c r="B545" s="419"/>
      <c r="C545" s="419"/>
      <c r="D545" s="404"/>
      <c r="E545" s="431"/>
      <c r="F545" s="431"/>
      <c r="G545" s="432"/>
    </row>
    <row r="546">
      <c r="A546" s="404"/>
      <c r="B546" s="419"/>
      <c r="C546" s="419"/>
      <c r="D546" s="404"/>
      <c r="E546" s="431"/>
      <c r="F546" s="431"/>
      <c r="G546" s="432"/>
    </row>
    <row r="547">
      <c r="A547" s="404"/>
      <c r="B547" s="419"/>
      <c r="C547" s="419"/>
      <c r="D547" s="404"/>
      <c r="E547" s="431"/>
      <c r="F547" s="431"/>
      <c r="G547" s="432"/>
    </row>
    <row r="548">
      <c r="A548" s="404"/>
      <c r="B548" s="419"/>
      <c r="C548" s="419"/>
      <c r="D548" s="404"/>
      <c r="E548" s="431"/>
      <c r="F548" s="431"/>
      <c r="G548" s="432"/>
    </row>
    <row r="549">
      <c r="A549" s="404"/>
      <c r="B549" s="419"/>
      <c r="C549" s="419"/>
      <c r="D549" s="404"/>
      <c r="E549" s="431"/>
      <c r="F549" s="431"/>
      <c r="G549" s="432"/>
    </row>
    <row r="550">
      <c r="A550" s="404"/>
      <c r="B550" s="419"/>
      <c r="C550" s="419"/>
      <c r="D550" s="404"/>
      <c r="E550" s="431"/>
      <c r="F550" s="431"/>
      <c r="G550" s="432"/>
    </row>
    <row r="551">
      <c r="A551" s="404"/>
      <c r="B551" s="419"/>
      <c r="C551" s="419"/>
      <c r="D551" s="404"/>
      <c r="E551" s="431"/>
      <c r="F551" s="431"/>
      <c r="G551" s="432"/>
    </row>
    <row r="552">
      <c r="A552" s="404"/>
      <c r="B552" s="419"/>
      <c r="C552" s="419"/>
      <c r="D552" s="404"/>
      <c r="E552" s="431"/>
      <c r="F552" s="431"/>
      <c r="G552" s="432"/>
    </row>
    <row r="553">
      <c r="A553" s="404"/>
      <c r="B553" s="419"/>
      <c r="C553" s="419"/>
      <c r="D553" s="404"/>
      <c r="E553" s="431"/>
      <c r="F553" s="431"/>
      <c r="G553" s="432"/>
    </row>
    <row r="554">
      <c r="A554" s="404"/>
      <c r="B554" s="419"/>
      <c r="C554" s="419"/>
      <c r="D554" s="404"/>
      <c r="E554" s="431"/>
      <c r="F554" s="431"/>
      <c r="G554" s="432"/>
    </row>
    <row r="555">
      <c r="A555" s="404"/>
      <c r="B555" s="419"/>
      <c r="C555" s="419"/>
      <c r="D555" s="404"/>
      <c r="E555" s="431"/>
      <c r="F555" s="431"/>
      <c r="G555" s="432"/>
    </row>
    <row r="556">
      <c r="A556" s="404"/>
      <c r="B556" s="419"/>
      <c r="C556" s="419"/>
      <c r="D556" s="404"/>
      <c r="E556" s="431"/>
      <c r="F556" s="431"/>
      <c r="G556" s="432"/>
    </row>
    <row r="557">
      <c r="A557" s="404"/>
      <c r="B557" s="419"/>
      <c r="C557" s="419"/>
      <c r="D557" s="404"/>
      <c r="E557" s="431"/>
      <c r="F557" s="431"/>
      <c r="G557" s="432"/>
    </row>
    <row r="558">
      <c r="A558" s="404"/>
      <c r="B558" s="419"/>
      <c r="C558" s="419"/>
      <c r="D558" s="404"/>
      <c r="E558" s="431"/>
      <c r="F558" s="431"/>
      <c r="G558" s="432"/>
    </row>
    <row r="559">
      <c r="A559" s="404"/>
      <c r="B559" s="419"/>
      <c r="C559" s="419"/>
      <c r="D559" s="404"/>
      <c r="E559" s="431"/>
      <c r="F559" s="431"/>
      <c r="G559" s="432"/>
    </row>
    <row r="560">
      <c r="A560" s="404"/>
      <c r="B560" s="419"/>
      <c r="C560" s="419"/>
      <c r="D560" s="404"/>
      <c r="E560" s="431"/>
      <c r="F560" s="431"/>
      <c r="G560" s="432"/>
    </row>
    <row r="561">
      <c r="A561" s="404"/>
      <c r="B561" s="419"/>
      <c r="C561" s="419"/>
      <c r="D561" s="404"/>
      <c r="E561" s="431"/>
      <c r="F561" s="431"/>
      <c r="G561" s="432"/>
    </row>
    <row r="562">
      <c r="A562" s="404"/>
      <c r="B562" s="419"/>
      <c r="C562" s="419"/>
      <c r="D562" s="404"/>
      <c r="E562" s="431"/>
      <c r="F562" s="431"/>
      <c r="G562" s="432"/>
    </row>
    <row r="563">
      <c r="A563" s="404"/>
      <c r="B563" s="419"/>
      <c r="C563" s="419"/>
      <c r="D563" s="404"/>
      <c r="E563" s="431"/>
      <c r="F563" s="431"/>
      <c r="G563" s="432"/>
    </row>
    <row r="564">
      <c r="A564" s="404"/>
      <c r="B564" s="419"/>
      <c r="C564" s="419"/>
      <c r="D564" s="404"/>
      <c r="E564" s="431"/>
      <c r="F564" s="431"/>
      <c r="G564" s="432"/>
    </row>
    <row r="565">
      <c r="A565" s="404"/>
      <c r="B565" s="419"/>
      <c r="C565" s="419"/>
      <c r="D565" s="404"/>
      <c r="E565" s="431"/>
      <c r="F565" s="431"/>
      <c r="G565" s="432"/>
    </row>
    <row r="566">
      <c r="A566" s="404"/>
      <c r="B566" s="419"/>
      <c r="C566" s="419"/>
      <c r="D566" s="404"/>
      <c r="E566" s="431"/>
      <c r="F566" s="431"/>
      <c r="G566" s="432"/>
    </row>
    <row r="567">
      <c r="A567" s="404"/>
      <c r="B567" s="419"/>
      <c r="C567" s="419"/>
      <c r="D567" s="404"/>
      <c r="E567" s="431"/>
      <c r="F567" s="431"/>
      <c r="G567" s="432"/>
    </row>
    <row r="568">
      <c r="A568" s="404"/>
      <c r="B568" s="419"/>
      <c r="C568" s="419"/>
      <c r="D568" s="404"/>
      <c r="E568" s="431"/>
      <c r="F568" s="431"/>
      <c r="G568" s="432"/>
    </row>
    <row r="569">
      <c r="A569" s="404"/>
      <c r="B569" s="419"/>
      <c r="C569" s="419"/>
      <c r="D569" s="404"/>
      <c r="E569" s="431"/>
      <c r="F569" s="431"/>
      <c r="G569" s="432"/>
    </row>
    <row r="570">
      <c r="A570" s="404"/>
      <c r="B570" s="419"/>
      <c r="C570" s="419"/>
      <c r="D570" s="404"/>
      <c r="E570" s="431"/>
      <c r="F570" s="431"/>
      <c r="G570" s="432"/>
    </row>
    <row r="571">
      <c r="A571" s="404"/>
      <c r="B571" s="419"/>
      <c r="C571" s="419"/>
      <c r="D571" s="404"/>
      <c r="E571" s="431"/>
      <c r="F571" s="431"/>
      <c r="G571" s="432"/>
    </row>
    <row r="572">
      <c r="A572" s="404"/>
      <c r="B572" s="419"/>
      <c r="C572" s="419"/>
      <c r="D572" s="404"/>
      <c r="E572" s="431"/>
      <c r="F572" s="431"/>
      <c r="G572" s="432"/>
    </row>
    <row r="573">
      <c r="A573" s="404"/>
      <c r="B573" s="419"/>
      <c r="C573" s="419"/>
      <c r="D573" s="404"/>
      <c r="E573" s="431"/>
      <c r="F573" s="431"/>
      <c r="G573" s="432"/>
    </row>
    <row r="574">
      <c r="A574" s="404"/>
      <c r="B574" s="419"/>
      <c r="C574" s="419"/>
      <c r="D574" s="404"/>
      <c r="E574" s="431"/>
      <c r="F574" s="431"/>
      <c r="G574" s="432"/>
    </row>
    <row r="575">
      <c r="A575" s="404"/>
      <c r="B575" s="419"/>
      <c r="C575" s="419"/>
      <c r="D575" s="404"/>
      <c r="E575" s="431"/>
      <c r="F575" s="431"/>
      <c r="G575" s="432"/>
    </row>
    <row r="576">
      <c r="A576" s="404"/>
      <c r="B576" s="419"/>
      <c r="C576" s="419"/>
      <c r="D576" s="404"/>
      <c r="E576" s="431"/>
      <c r="F576" s="431"/>
      <c r="G576" s="432"/>
    </row>
    <row r="577">
      <c r="A577" s="404"/>
      <c r="B577" s="419"/>
      <c r="C577" s="419"/>
      <c r="D577" s="404"/>
      <c r="E577" s="431"/>
      <c r="F577" s="431"/>
      <c r="G577" s="432"/>
    </row>
    <row r="578">
      <c r="A578" s="404"/>
      <c r="B578" s="419"/>
      <c r="C578" s="419"/>
      <c r="D578" s="404"/>
      <c r="E578" s="431"/>
      <c r="F578" s="431"/>
      <c r="G578" s="432"/>
    </row>
    <row r="579">
      <c r="A579" s="404"/>
      <c r="B579" s="419"/>
      <c r="C579" s="419"/>
      <c r="D579" s="404"/>
      <c r="E579" s="431"/>
      <c r="F579" s="431"/>
      <c r="G579" s="432"/>
    </row>
    <row r="580">
      <c r="A580" s="404"/>
      <c r="B580" s="419"/>
      <c r="C580" s="419"/>
      <c r="D580" s="404"/>
      <c r="E580" s="431"/>
      <c r="F580" s="431"/>
      <c r="G580" s="432"/>
    </row>
    <row r="581">
      <c r="A581" s="404"/>
      <c r="B581" s="419"/>
      <c r="C581" s="419"/>
      <c r="D581" s="404"/>
      <c r="E581" s="431"/>
      <c r="F581" s="431"/>
      <c r="G581" s="432"/>
    </row>
    <row r="582">
      <c r="A582" s="404"/>
      <c r="B582" s="419"/>
      <c r="C582" s="419"/>
      <c r="D582" s="404"/>
      <c r="E582" s="431"/>
      <c r="F582" s="431"/>
      <c r="G582" s="432"/>
    </row>
    <row r="583">
      <c r="A583" s="404"/>
      <c r="B583" s="419"/>
      <c r="C583" s="419"/>
      <c r="D583" s="404"/>
      <c r="E583" s="431"/>
      <c r="F583" s="431"/>
      <c r="G583" s="432"/>
    </row>
    <row r="584">
      <c r="A584" s="404"/>
      <c r="B584" s="419"/>
      <c r="C584" s="419"/>
      <c r="D584" s="404"/>
      <c r="E584" s="431"/>
      <c r="F584" s="431"/>
      <c r="G584" s="432"/>
    </row>
    <row r="585">
      <c r="A585" s="404"/>
      <c r="B585" s="419"/>
      <c r="C585" s="419"/>
      <c r="D585" s="404"/>
      <c r="E585" s="431"/>
      <c r="F585" s="431"/>
      <c r="G585" s="432"/>
    </row>
    <row r="586">
      <c r="A586" s="404"/>
      <c r="B586" s="419"/>
      <c r="C586" s="419"/>
      <c r="D586" s="404"/>
      <c r="E586" s="431"/>
      <c r="F586" s="431"/>
      <c r="G586" s="432"/>
    </row>
    <row r="587">
      <c r="A587" s="404"/>
      <c r="B587" s="419"/>
      <c r="C587" s="419"/>
      <c r="D587" s="404"/>
      <c r="E587" s="431"/>
      <c r="F587" s="431"/>
      <c r="G587" s="432"/>
    </row>
    <row r="588">
      <c r="A588" s="404"/>
      <c r="B588" s="419"/>
      <c r="C588" s="419"/>
      <c r="D588" s="404"/>
      <c r="E588" s="431"/>
      <c r="F588" s="431"/>
      <c r="G588" s="432"/>
    </row>
    <row r="589">
      <c r="A589" s="404"/>
      <c r="B589" s="419"/>
      <c r="C589" s="419"/>
      <c r="D589" s="404"/>
      <c r="E589" s="431"/>
      <c r="F589" s="431"/>
      <c r="G589" s="432"/>
    </row>
    <row r="590">
      <c r="A590" s="404"/>
      <c r="B590" s="419"/>
      <c r="C590" s="419"/>
      <c r="D590" s="404"/>
      <c r="E590" s="431"/>
      <c r="F590" s="431"/>
      <c r="G590" s="432"/>
    </row>
    <row r="591">
      <c r="A591" s="404"/>
      <c r="B591" s="419"/>
      <c r="C591" s="419"/>
      <c r="D591" s="404"/>
      <c r="E591" s="431"/>
      <c r="F591" s="431"/>
      <c r="G591" s="432"/>
    </row>
    <row r="592">
      <c r="A592" s="404"/>
      <c r="B592" s="419"/>
      <c r="C592" s="419"/>
      <c r="D592" s="404"/>
      <c r="E592" s="431"/>
      <c r="F592" s="431"/>
      <c r="G592" s="432"/>
    </row>
    <row r="593">
      <c r="A593" s="404"/>
      <c r="B593" s="419"/>
      <c r="C593" s="419"/>
      <c r="D593" s="404"/>
      <c r="E593" s="431"/>
      <c r="F593" s="431"/>
      <c r="G593" s="432"/>
    </row>
    <row r="594">
      <c r="A594" s="404"/>
      <c r="B594" s="419"/>
      <c r="C594" s="419"/>
      <c r="D594" s="404"/>
      <c r="E594" s="431"/>
      <c r="F594" s="431"/>
      <c r="G594" s="432"/>
    </row>
    <row r="595">
      <c r="A595" s="404"/>
      <c r="B595" s="419"/>
      <c r="C595" s="419"/>
      <c r="D595" s="404"/>
      <c r="E595" s="431"/>
      <c r="F595" s="431"/>
      <c r="G595" s="432"/>
    </row>
    <row r="596">
      <c r="A596" s="404"/>
      <c r="B596" s="419"/>
      <c r="C596" s="419"/>
      <c r="D596" s="404"/>
      <c r="E596" s="431"/>
      <c r="F596" s="431"/>
      <c r="G596" s="432"/>
    </row>
    <row r="597">
      <c r="A597" s="404"/>
      <c r="B597" s="419"/>
      <c r="C597" s="419"/>
      <c r="D597" s="404"/>
      <c r="E597" s="431"/>
      <c r="F597" s="431"/>
      <c r="G597" s="432"/>
    </row>
    <row r="598">
      <c r="A598" s="404"/>
      <c r="B598" s="419"/>
      <c r="C598" s="419"/>
      <c r="D598" s="404"/>
      <c r="E598" s="431"/>
      <c r="F598" s="431"/>
      <c r="G598" s="432"/>
    </row>
    <row r="599">
      <c r="A599" s="404"/>
      <c r="B599" s="419"/>
      <c r="C599" s="419"/>
      <c r="D599" s="404"/>
      <c r="E599" s="431"/>
      <c r="F599" s="431"/>
      <c r="G599" s="432"/>
    </row>
    <row r="600">
      <c r="A600" s="404"/>
      <c r="B600" s="419"/>
      <c r="C600" s="419"/>
      <c r="D600" s="404"/>
      <c r="E600" s="431"/>
      <c r="F600" s="431"/>
      <c r="G600" s="432"/>
    </row>
    <row r="601">
      <c r="A601" s="404"/>
      <c r="B601" s="419"/>
      <c r="C601" s="419"/>
      <c r="D601" s="404"/>
      <c r="E601" s="431"/>
      <c r="F601" s="431"/>
      <c r="G601" s="432"/>
    </row>
    <row r="602">
      <c r="A602" s="404"/>
      <c r="B602" s="419"/>
      <c r="C602" s="419"/>
      <c r="D602" s="404"/>
      <c r="E602" s="431"/>
      <c r="F602" s="431"/>
      <c r="G602" s="432"/>
    </row>
    <row r="603">
      <c r="A603" s="404"/>
      <c r="B603" s="419"/>
      <c r="C603" s="419"/>
      <c r="D603" s="404"/>
      <c r="E603" s="431"/>
      <c r="F603" s="431"/>
      <c r="G603" s="432"/>
    </row>
    <row r="604">
      <c r="A604" s="404"/>
      <c r="B604" s="419"/>
      <c r="C604" s="419"/>
      <c r="D604" s="404"/>
      <c r="E604" s="431"/>
      <c r="F604" s="431"/>
      <c r="G604" s="432"/>
    </row>
    <row r="605">
      <c r="A605" s="404"/>
      <c r="B605" s="419"/>
      <c r="C605" s="419"/>
      <c r="D605" s="404"/>
      <c r="E605" s="431"/>
      <c r="F605" s="431"/>
      <c r="G605" s="432"/>
    </row>
    <row r="606">
      <c r="A606" s="404"/>
      <c r="B606" s="419"/>
      <c r="C606" s="419"/>
      <c r="D606" s="404"/>
      <c r="E606" s="431"/>
      <c r="F606" s="431"/>
      <c r="G606" s="432"/>
    </row>
    <row r="607">
      <c r="A607" s="404"/>
      <c r="B607" s="419"/>
      <c r="C607" s="419"/>
      <c r="D607" s="404"/>
      <c r="E607" s="431"/>
      <c r="F607" s="431"/>
      <c r="G607" s="432"/>
    </row>
    <row r="608">
      <c r="A608" s="404"/>
      <c r="B608" s="419"/>
      <c r="C608" s="419"/>
      <c r="D608" s="404"/>
      <c r="E608" s="431"/>
      <c r="F608" s="431"/>
      <c r="G608" s="432"/>
    </row>
    <row r="609">
      <c r="A609" s="404"/>
      <c r="B609" s="419"/>
      <c r="C609" s="419"/>
      <c r="D609" s="404"/>
      <c r="E609" s="431"/>
      <c r="F609" s="431"/>
      <c r="G609" s="432"/>
    </row>
    <row r="610">
      <c r="A610" s="404"/>
      <c r="B610" s="419"/>
      <c r="C610" s="419"/>
      <c r="D610" s="404"/>
      <c r="E610" s="431"/>
      <c r="F610" s="431"/>
      <c r="G610" s="432"/>
    </row>
    <row r="611">
      <c r="A611" s="404"/>
      <c r="B611" s="419"/>
      <c r="C611" s="419"/>
      <c r="D611" s="404"/>
      <c r="E611" s="431"/>
      <c r="F611" s="431"/>
      <c r="G611" s="432"/>
    </row>
    <row r="612">
      <c r="A612" s="404"/>
      <c r="B612" s="419"/>
      <c r="C612" s="419"/>
      <c r="D612" s="404"/>
      <c r="E612" s="431"/>
      <c r="F612" s="431"/>
      <c r="G612" s="432"/>
    </row>
    <row r="613">
      <c r="A613" s="404"/>
      <c r="B613" s="419"/>
      <c r="C613" s="419"/>
      <c r="D613" s="404"/>
      <c r="E613" s="431"/>
      <c r="F613" s="431"/>
      <c r="G613" s="432"/>
    </row>
    <row r="614">
      <c r="A614" s="404"/>
      <c r="B614" s="419"/>
      <c r="C614" s="419"/>
      <c r="D614" s="404"/>
      <c r="E614" s="431"/>
      <c r="F614" s="431"/>
      <c r="G614" s="432"/>
    </row>
    <row r="615">
      <c r="A615" s="404"/>
      <c r="B615" s="419"/>
      <c r="C615" s="419"/>
      <c r="D615" s="404"/>
      <c r="E615" s="431"/>
      <c r="F615" s="431"/>
      <c r="G615" s="432"/>
    </row>
    <row r="616">
      <c r="A616" s="404"/>
      <c r="B616" s="419"/>
      <c r="C616" s="419"/>
      <c r="D616" s="404"/>
      <c r="E616" s="431"/>
      <c r="F616" s="431"/>
      <c r="G616" s="432"/>
    </row>
    <row r="617">
      <c r="A617" s="404"/>
      <c r="B617" s="419"/>
      <c r="C617" s="419"/>
      <c r="D617" s="404"/>
      <c r="E617" s="431"/>
      <c r="F617" s="431"/>
      <c r="G617" s="432"/>
    </row>
    <row r="618">
      <c r="A618" s="404"/>
      <c r="B618" s="419"/>
      <c r="C618" s="419"/>
      <c r="D618" s="404"/>
      <c r="E618" s="431"/>
      <c r="F618" s="431"/>
      <c r="G618" s="432"/>
    </row>
    <row r="619">
      <c r="A619" s="404"/>
      <c r="B619" s="419"/>
      <c r="C619" s="419"/>
      <c r="D619" s="404"/>
      <c r="E619" s="431"/>
      <c r="F619" s="431"/>
      <c r="G619" s="432"/>
    </row>
    <row r="620">
      <c r="A620" s="404"/>
      <c r="B620" s="419"/>
      <c r="C620" s="419"/>
      <c r="D620" s="404"/>
      <c r="E620" s="431"/>
      <c r="F620" s="431"/>
      <c r="G620" s="432"/>
    </row>
    <row r="621">
      <c r="A621" s="404"/>
      <c r="B621" s="419"/>
      <c r="C621" s="419"/>
      <c r="D621" s="404"/>
      <c r="E621" s="431"/>
      <c r="F621" s="431"/>
      <c r="G621" s="432"/>
    </row>
    <row r="622">
      <c r="A622" s="404"/>
      <c r="B622" s="419"/>
      <c r="C622" s="419"/>
      <c r="D622" s="404"/>
      <c r="E622" s="431"/>
      <c r="F622" s="431"/>
      <c r="G622" s="432"/>
    </row>
    <row r="623">
      <c r="A623" s="404"/>
      <c r="B623" s="419"/>
      <c r="C623" s="419"/>
      <c r="D623" s="404"/>
      <c r="E623" s="431"/>
      <c r="F623" s="431"/>
      <c r="G623" s="432"/>
    </row>
    <row r="624">
      <c r="A624" s="404"/>
      <c r="B624" s="419"/>
      <c r="C624" s="419"/>
      <c r="D624" s="404"/>
      <c r="E624" s="431"/>
      <c r="F624" s="431"/>
      <c r="G624" s="432"/>
    </row>
    <row r="625">
      <c r="A625" s="404"/>
      <c r="B625" s="419"/>
      <c r="C625" s="419"/>
      <c r="D625" s="404"/>
      <c r="E625" s="431"/>
      <c r="F625" s="431"/>
      <c r="G625" s="432"/>
    </row>
    <row r="626">
      <c r="A626" s="404"/>
      <c r="B626" s="419"/>
      <c r="C626" s="419"/>
      <c r="D626" s="404"/>
      <c r="E626" s="431"/>
      <c r="F626" s="431"/>
      <c r="G626" s="432"/>
    </row>
    <row r="627">
      <c r="A627" s="404"/>
      <c r="B627" s="419"/>
      <c r="C627" s="419"/>
      <c r="D627" s="404"/>
      <c r="E627" s="431"/>
      <c r="F627" s="431"/>
      <c r="G627" s="432"/>
    </row>
    <row r="628">
      <c r="A628" s="404"/>
      <c r="B628" s="419"/>
      <c r="C628" s="419"/>
      <c r="D628" s="404"/>
      <c r="E628" s="431"/>
      <c r="F628" s="431"/>
      <c r="G628" s="432"/>
    </row>
    <row r="629">
      <c r="A629" s="404"/>
      <c r="B629" s="419"/>
      <c r="C629" s="419"/>
      <c r="D629" s="404"/>
      <c r="E629" s="431"/>
      <c r="F629" s="431"/>
      <c r="G629" s="432"/>
    </row>
    <row r="630">
      <c r="A630" s="404"/>
      <c r="B630" s="419"/>
      <c r="C630" s="419"/>
      <c r="D630" s="404"/>
      <c r="E630" s="431"/>
      <c r="F630" s="431"/>
      <c r="G630" s="432"/>
    </row>
    <row r="631">
      <c r="A631" s="404"/>
      <c r="B631" s="419"/>
      <c r="C631" s="419"/>
      <c r="D631" s="404"/>
      <c r="E631" s="431"/>
      <c r="F631" s="431"/>
      <c r="G631" s="432"/>
    </row>
    <row r="632">
      <c r="A632" s="404"/>
      <c r="B632" s="419"/>
      <c r="C632" s="419"/>
      <c r="D632" s="404"/>
      <c r="E632" s="431"/>
      <c r="F632" s="431"/>
      <c r="G632" s="432"/>
    </row>
    <row r="633">
      <c r="A633" s="404"/>
      <c r="B633" s="419"/>
      <c r="C633" s="419"/>
      <c r="D633" s="404"/>
      <c r="E633" s="431"/>
      <c r="F633" s="431"/>
      <c r="G633" s="432"/>
    </row>
    <row r="634">
      <c r="A634" s="404"/>
      <c r="B634" s="419"/>
      <c r="C634" s="419"/>
      <c r="D634" s="404"/>
      <c r="E634" s="431"/>
      <c r="F634" s="431"/>
      <c r="G634" s="432"/>
    </row>
    <row r="635">
      <c r="A635" s="404"/>
      <c r="B635" s="419"/>
      <c r="C635" s="419"/>
      <c r="D635" s="404"/>
      <c r="E635" s="431"/>
      <c r="F635" s="431"/>
      <c r="G635" s="432"/>
    </row>
    <row r="636">
      <c r="A636" s="404"/>
      <c r="B636" s="419"/>
      <c r="C636" s="419"/>
      <c r="D636" s="404"/>
      <c r="E636" s="431"/>
      <c r="F636" s="431"/>
      <c r="G636" s="432"/>
    </row>
    <row r="637">
      <c r="A637" s="404"/>
      <c r="B637" s="419"/>
      <c r="C637" s="419"/>
      <c r="D637" s="404"/>
      <c r="E637" s="431"/>
      <c r="F637" s="431"/>
      <c r="G637" s="432"/>
    </row>
    <row r="638">
      <c r="A638" s="404"/>
      <c r="B638" s="419"/>
      <c r="C638" s="419"/>
      <c r="D638" s="404"/>
      <c r="E638" s="431"/>
      <c r="F638" s="431"/>
      <c r="G638" s="432"/>
    </row>
    <row r="639">
      <c r="A639" s="404"/>
      <c r="B639" s="419"/>
      <c r="C639" s="419"/>
      <c r="D639" s="404"/>
      <c r="E639" s="431"/>
      <c r="F639" s="431"/>
      <c r="G639" s="432"/>
    </row>
    <row r="640">
      <c r="A640" s="404"/>
      <c r="B640" s="419"/>
      <c r="C640" s="419"/>
      <c r="D640" s="404"/>
      <c r="E640" s="431"/>
      <c r="F640" s="431"/>
      <c r="G640" s="432"/>
    </row>
    <row r="641">
      <c r="A641" s="404"/>
      <c r="B641" s="419"/>
      <c r="C641" s="419"/>
      <c r="D641" s="404"/>
      <c r="E641" s="431"/>
      <c r="F641" s="431"/>
      <c r="G641" s="432"/>
    </row>
    <row r="642">
      <c r="A642" s="404"/>
      <c r="B642" s="419"/>
      <c r="C642" s="419"/>
      <c r="D642" s="404"/>
      <c r="E642" s="431"/>
      <c r="F642" s="431"/>
      <c r="G642" s="432"/>
    </row>
    <row r="643">
      <c r="A643" s="404"/>
      <c r="B643" s="419"/>
      <c r="C643" s="419"/>
      <c r="D643" s="404"/>
      <c r="E643" s="431"/>
      <c r="F643" s="431"/>
      <c r="G643" s="432"/>
    </row>
    <row r="644">
      <c r="A644" s="404"/>
      <c r="B644" s="419"/>
      <c r="C644" s="419"/>
      <c r="D644" s="404"/>
      <c r="E644" s="431"/>
      <c r="F644" s="431"/>
      <c r="G644" s="432"/>
    </row>
    <row r="645">
      <c r="A645" s="404"/>
      <c r="B645" s="419"/>
      <c r="C645" s="419"/>
      <c r="D645" s="404"/>
      <c r="E645" s="431"/>
      <c r="F645" s="431"/>
      <c r="G645" s="432"/>
    </row>
    <row r="646">
      <c r="A646" s="404"/>
      <c r="B646" s="419"/>
      <c r="C646" s="419"/>
      <c r="D646" s="404"/>
      <c r="E646" s="431"/>
      <c r="F646" s="431"/>
      <c r="G646" s="432"/>
    </row>
    <row r="647">
      <c r="A647" s="404"/>
      <c r="B647" s="419"/>
      <c r="C647" s="419"/>
      <c r="D647" s="404"/>
      <c r="E647" s="431"/>
      <c r="F647" s="431"/>
      <c r="G647" s="432"/>
    </row>
    <row r="648">
      <c r="A648" s="404"/>
      <c r="B648" s="419"/>
      <c r="C648" s="419"/>
      <c r="D648" s="404"/>
      <c r="E648" s="431"/>
      <c r="F648" s="431"/>
      <c r="G648" s="432"/>
    </row>
    <row r="649">
      <c r="A649" s="404"/>
      <c r="B649" s="419"/>
      <c r="C649" s="419"/>
      <c r="D649" s="404"/>
      <c r="E649" s="431"/>
      <c r="F649" s="431"/>
      <c r="G649" s="432"/>
    </row>
    <row r="650">
      <c r="A650" s="404"/>
      <c r="B650" s="419"/>
      <c r="C650" s="419"/>
      <c r="D650" s="404"/>
      <c r="E650" s="431"/>
      <c r="F650" s="431"/>
      <c r="G650" s="432"/>
    </row>
    <row r="651">
      <c r="A651" s="404"/>
      <c r="B651" s="419"/>
      <c r="C651" s="419"/>
      <c r="D651" s="404"/>
      <c r="E651" s="431"/>
      <c r="F651" s="431"/>
      <c r="G651" s="432"/>
    </row>
    <row r="652">
      <c r="A652" s="404"/>
      <c r="B652" s="419"/>
      <c r="C652" s="419"/>
      <c r="D652" s="404"/>
      <c r="E652" s="431"/>
      <c r="F652" s="431"/>
      <c r="G652" s="432"/>
    </row>
    <row r="653">
      <c r="A653" s="404"/>
      <c r="B653" s="419"/>
      <c r="C653" s="419"/>
      <c r="D653" s="404"/>
      <c r="E653" s="431"/>
      <c r="F653" s="431"/>
      <c r="G653" s="432"/>
    </row>
    <row r="654">
      <c r="A654" s="404"/>
      <c r="B654" s="419"/>
      <c r="C654" s="419"/>
      <c r="D654" s="404"/>
      <c r="E654" s="431"/>
      <c r="F654" s="431"/>
      <c r="G654" s="432"/>
    </row>
    <row r="655">
      <c r="A655" s="404"/>
      <c r="B655" s="419"/>
      <c r="C655" s="419"/>
      <c r="D655" s="404"/>
      <c r="E655" s="431"/>
      <c r="F655" s="431"/>
      <c r="G655" s="432"/>
    </row>
    <row r="656">
      <c r="A656" s="404"/>
      <c r="B656" s="419"/>
      <c r="C656" s="419"/>
      <c r="D656" s="404"/>
      <c r="E656" s="431"/>
      <c r="F656" s="431"/>
      <c r="G656" s="432"/>
    </row>
    <row r="657">
      <c r="A657" s="404"/>
      <c r="B657" s="419"/>
      <c r="C657" s="419"/>
      <c r="D657" s="404"/>
      <c r="E657" s="431"/>
      <c r="F657" s="431"/>
      <c r="G657" s="432"/>
    </row>
    <row r="658">
      <c r="A658" s="404"/>
      <c r="B658" s="419"/>
      <c r="C658" s="419"/>
      <c r="D658" s="404"/>
      <c r="E658" s="431"/>
      <c r="F658" s="431"/>
      <c r="G658" s="432"/>
    </row>
    <row r="659">
      <c r="A659" s="404"/>
      <c r="B659" s="419"/>
      <c r="C659" s="419"/>
      <c r="D659" s="404"/>
      <c r="E659" s="431"/>
      <c r="F659" s="431"/>
      <c r="G659" s="432"/>
    </row>
    <row r="660">
      <c r="A660" s="404"/>
      <c r="B660" s="419"/>
      <c r="C660" s="419"/>
      <c r="D660" s="404"/>
      <c r="E660" s="431"/>
      <c r="F660" s="431"/>
      <c r="G660" s="432"/>
    </row>
    <row r="661">
      <c r="A661" s="404"/>
      <c r="B661" s="419"/>
      <c r="C661" s="419"/>
      <c r="D661" s="404"/>
      <c r="E661" s="431"/>
      <c r="F661" s="431"/>
      <c r="G661" s="432"/>
    </row>
    <row r="662">
      <c r="A662" s="404"/>
      <c r="B662" s="419"/>
      <c r="C662" s="419"/>
      <c r="D662" s="404"/>
      <c r="E662" s="431"/>
      <c r="F662" s="431"/>
      <c r="G662" s="432"/>
    </row>
    <row r="663">
      <c r="A663" s="404"/>
      <c r="B663" s="419"/>
      <c r="C663" s="419"/>
      <c r="D663" s="404"/>
      <c r="E663" s="431"/>
      <c r="F663" s="431"/>
      <c r="G663" s="432"/>
    </row>
    <row r="664">
      <c r="A664" s="404"/>
      <c r="B664" s="419"/>
      <c r="C664" s="419"/>
      <c r="D664" s="404"/>
      <c r="E664" s="431"/>
      <c r="F664" s="431"/>
      <c r="G664" s="432"/>
    </row>
    <row r="665">
      <c r="A665" s="404"/>
      <c r="B665" s="419"/>
      <c r="C665" s="419"/>
      <c r="D665" s="404"/>
      <c r="E665" s="431"/>
      <c r="F665" s="431"/>
      <c r="G665" s="432"/>
    </row>
    <row r="666">
      <c r="A666" s="404"/>
      <c r="B666" s="419"/>
      <c r="C666" s="419"/>
      <c r="D666" s="404"/>
      <c r="E666" s="431"/>
      <c r="F666" s="431"/>
      <c r="G666" s="432"/>
    </row>
    <row r="667">
      <c r="A667" s="404"/>
      <c r="B667" s="419"/>
      <c r="C667" s="419"/>
      <c r="D667" s="404"/>
      <c r="E667" s="431"/>
      <c r="F667" s="431"/>
      <c r="G667" s="432"/>
    </row>
    <row r="668">
      <c r="A668" s="404"/>
      <c r="B668" s="419"/>
      <c r="C668" s="419"/>
      <c r="D668" s="404"/>
      <c r="E668" s="431"/>
      <c r="F668" s="431"/>
      <c r="G668" s="432"/>
    </row>
    <row r="669">
      <c r="A669" s="404"/>
      <c r="B669" s="419"/>
      <c r="C669" s="419"/>
      <c r="D669" s="404"/>
      <c r="E669" s="431"/>
      <c r="F669" s="431"/>
      <c r="G669" s="432"/>
    </row>
    <row r="670">
      <c r="A670" s="404"/>
      <c r="B670" s="419"/>
      <c r="C670" s="419"/>
      <c r="D670" s="404"/>
      <c r="E670" s="431"/>
      <c r="F670" s="431"/>
      <c r="G670" s="432"/>
    </row>
    <row r="671">
      <c r="A671" s="404"/>
      <c r="B671" s="419"/>
      <c r="C671" s="419"/>
      <c r="D671" s="404"/>
      <c r="E671" s="431"/>
      <c r="F671" s="431"/>
      <c r="G671" s="432"/>
    </row>
    <row r="672">
      <c r="A672" s="404"/>
      <c r="B672" s="419"/>
      <c r="C672" s="419"/>
      <c r="D672" s="404"/>
      <c r="E672" s="431"/>
      <c r="F672" s="431"/>
      <c r="G672" s="432"/>
    </row>
    <row r="673">
      <c r="A673" s="404"/>
      <c r="B673" s="419"/>
      <c r="C673" s="419"/>
      <c r="D673" s="404"/>
      <c r="E673" s="431"/>
      <c r="F673" s="431"/>
      <c r="G673" s="432"/>
    </row>
    <row r="674">
      <c r="A674" s="404"/>
      <c r="B674" s="419"/>
      <c r="C674" s="419"/>
      <c r="D674" s="404"/>
      <c r="E674" s="431"/>
      <c r="F674" s="431"/>
      <c r="G674" s="432"/>
    </row>
    <row r="675">
      <c r="A675" s="404"/>
      <c r="B675" s="419"/>
      <c r="C675" s="419"/>
      <c r="D675" s="404"/>
      <c r="E675" s="431"/>
      <c r="F675" s="431"/>
      <c r="G675" s="432"/>
    </row>
    <row r="676">
      <c r="A676" s="404"/>
      <c r="B676" s="419"/>
      <c r="C676" s="419"/>
      <c r="D676" s="404"/>
      <c r="E676" s="431"/>
      <c r="F676" s="431"/>
      <c r="G676" s="432"/>
    </row>
    <row r="677">
      <c r="A677" s="404"/>
      <c r="B677" s="419"/>
      <c r="C677" s="419"/>
      <c r="D677" s="404"/>
      <c r="E677" s="431"/>
      <c r="F677" s="431"/>
      <c r="G677" s="432"/>
    </row>
    <row r="678">
      <c r="A678" s="404"/>
      <c r="B678" s="419"/>
      <c r="C678" s="419"/>
      <c r="D678" s="404"/>
      <c r="E678" s="431"/>
      <c r="F678" s="431"/>
      <c r="G678" s="432"/>
    </row>
    <row r="679">
      <c r="A679" s="404"/>
      <c r="B679" s="419"/>
      <c r="C679" s="419"/>
      <c r="D679" s="404"/>
      <c r="E679" s="431"/>
      <c r="F679" s="431"/>
      <c r="G679" s="432"/>
    </row>
    <row r="680">
      <c r="A680" s="404"/>
      <c r="B680" s="419"/>
      <c r="C680" s="419"/>
      <c r="D680" s="404"/>
      <c r="E680" s="431"/>
      <c r="F680" s="431"/>
      <c r="G680" s="432"/>
    </row>
    <row r="681">
      <c r="A681" s="404"/>
      <c r="B681" s="419"/>
      <c r="C681" s="419"/>
      <c r="D681" s="404"/>
      <c r="E681" s="431"/>
      <c r="F681" s="431"/>
      <c r="G681" s="432"/>
    </row>
    <row r="682">
      <c r="A682" s="404"/>
      <c r="B682" s="419"/>
      <c r="C682" s="419"/>
      <c r="D682" s="404"/>
      <c r="E682" s="431"/>
      <c r="F682" s="431"/>
      <c r="G682" s="432"/>
    </row>
    <row r="683">
      <c r="A683" s="404"/>
      <c r="B683" s="419"/>
      <c r="C683" s="419"/>
      <c r="D683" s="404"/>
      <c r="E683" s="431"/>
      <c r="F683" s="431"/>
      <c r="G683" s="432"/>
    </row>
    <row r="684">
      <c r="A684" s="404"/>
      <c r="B684" s="419"/>
      <c r="C684" s="419"/>
      <c r="D684" s="404"/>
      <c r="E684" s="431"/>
      <c r="F684" s="431"/>
      <c r="G684" s="432"/>
    </row>
    <row r="685">
      <c r="A685" s="404"/>
      <c r="B685" s="419"/>
      <c r="C685" s="419"/>
      <c r="D685" s="404"/>
      <c r="E685" s="431"/>
      <c r="F685" s="431"/>
      <c r="G685" s="432"/>
    </row>
    <row r="686">
      <c r="A686" s="404"/>
      <c r="B686" s="419"/>
      <c r="C686" s="419"/>
      <c r="D686" s="404"/>
      <c r="E686" s="431"/>
      <c r="F686" s="431"/>
      <c r="G686" s="432"/>
    </row>
    <row r="687">
      <c r="A687" s="404"/>
      <c r="B687" s="419"/>
      <c r="C687" s="419"/>
      <c r="D687" s="404"/>
      <c r="E687" s="431"/>
      <c r="F687" s="431"/>
      <c r="G687" s="432"/>
    </row>
    <row r="688">
      <c r="A688" s="404"/>
      <c r="B688" s="419"/>
      <c r="C688" s="419"/>
      <c r="D688" s="404"/>
      <c r="E688" s="431"/>
      <c r="F688" s="431"/>
      <c r="G688" s="432"/>
    </row>
    <row r="689">
      <c r="A689" s="404"/>
      <c r="B689" s="419"/>
      <c r="C689" s="419"/>
      <c r="D689" s="404"/>
      <c r="E689" s="431"/>
      <c r="F689" s="431"/>
      <c r="G689" s="432"/>
    </row>
    <row r="690">
      <c r="A690" s="404"/>
      <c r="B690" s="419"/>
      <c r="C690" s="419"/>
      <c r="D690" s="404"/>
      <c r="E690" s="431"/>
      <c r="F690" s="431"/>
      <c r="G690" s="432"/>
    </row>
    <row r="691">
      <c r="A691" s="404"/>
      <c r="B691" s="419"/>
      <c r="C691" s="419"/>
      <c r="D691" s="404"/>
      <c r="E691" s="431"/>
      <c r="F691" s="431"/>
      <c r="G691" s="432"/>
    </row>
    <row r="692">
      <c r="A692" s="404"/>
      <c r="B692" s="419"/>
      <c r="C692" s="419"/>
      <c r="D692" s="404"/>
      <c r="E692" s="431"/>
      <c r="F692" s="431"/>
      <c r="G692" s="432"/>
    </row>
    <row r="693">
      <c r="A693" s="404"/>
      <c r="B693" s="419"/>
      <c r="C693" s="419"/>
      <c r="D693" s="404"/>
      <c r="E693" s="431"/>
      <c r="F693" s="431"/>
      <c r="G693" s="432"/>
    </row>
    <row r="694">
      <c r="A694" s="404"/>
      <c r="B694" s="419"/>
      <c r="C694" s="419"/>
      <c r="D694" s="404"/>
      <c r="E694" s="431"/>
      <c r="F694" s="431"/>
      <c r="G694" s="432"/>
    </row>
    <row r="695">
      <c r="A695" s="404"/>
      <c r="B695" s="419"/>
      <c r="C695" s="419"/>
      <c r="D695" s="404"/>
      <c r="E695" s="431"/>
      <c r="F695" s="431"/>
      <c r="G695" s="432"/>
    </row>
    <row r="696">
      <c r="A696" s="404"/>
      <c r="B696" s="419"/>
      <c r="C696" s="419"/>
      <c r="D696" s="404"/>
      <c r="E696" s="431"/>
      <c r="F696" s="431"/>
      <c r="G696" s="432"/>
    </row>
    <row r="697">
      <c r="A697" s="404"/>
      <c r="B697" s="419"/>
      <c r="C697" s="419"/>
      <c r="D697" s="404"/>
      <c r="E697" s="431"/>
      <c r="F697" s="431"/>
      <c r="G697" s="432"/>
    </row>
    <row r="698">
      <c r="A698" s="404"/>
      <c r="B698" s="419"/>
      <c r="C698" s="419"/>
      <c r="D698" s="404"/>
      <c r="E698" s="431"/>
      <c r="F698" s="431"/>
      <c r="G698" s="432"/>
    </row>
    <row r="699">
      <c r="A699" s="404"/>
      <c r="B699" s="419"/>
      <c r="C699" s="419"/>
      <c r="D699" s="404"/>
      <c r="E699" s="431"/>
      <c r="F699" s="431"/>
      <c r="G699" s="432"/>
    </row>
    <row r="700">
      <c r="A700" s="404"/>
      <c r="B700" s="419"/>
      <c r="C700" s="419"/>
      <c r="D700" s="404"/>
      <c r="E700" s="431"/>
      <c r="F700" s="431"/>
      <c r="G700" s="432"/>
    </row>
    <row r="701">
      <c r="A701" s="404"/>
      <c r="B701" s="419"/>
      <c r="C701" s="419"/>
      <c r="D701" s="404"/>
      <c r="E701" s="431"/>
      <c r="F701" s="431"/>
      <c r="G701" s="432"/>
    </row>
    <row r="702">
      <c r="A702" s="404"/>
      <c r="B702" s="419"/>
      <c r="C702" s="419"/>
      <c r="D702" s="404"/>
      <c r="E702" s="431"/>
      <c r="F702" s="431"/>
      <c r="G702" s="432"/>
    </row>
    <row r="703">
      <c r="A703" s="404"/>
      <c r="B703" s="419"/>
      <c r="C703" s="419"/>
      <c r="D703" s="404"/>
      <c r="E703" s="431"/>
      <c r="F703" s="431"/>
      <c r="G703" s="432"/>
    </row>
    <row r="704">
      <c r="A704" s="404"/>
      <c r="B704" s="419"/>
      <c r="C704" s="419"/>
      <c r="D704" s="404"/>
      <c r="E704" s="431"/>
      <c r="F704" s="431"/>
      <c r="G704" s="432"/>
    </row>
    <row r="705">
      <c r="A705" s="404"/>
      <c r="B705" s="419"/>
      <c r="C705" s="419"/>
      <c r="D705" s="404"/>
      <c r="E705" s="431"/>
      <c r="F705" s="431"/>
      <c r="G705" s="432"/>
    </row>
    <row r="706">
      <c r="A706" s="404"/>
      <c r="B706" s="419"/>
      <c r="C706" s="419"/>
      <c r="D706" s="404"/>
      <c r="E706" s="431"/>
      <c r="F706" s="431"/>
      <c r="G706" s="432"/>
    </row>
    <row r="707">
      <c r="A707" s="404"/>
      <c r="B707" s="419"/>
      <c r="C707" s="419"/>
      <c r="D707" s="404"/>
      <c r="E707" s="431"/>
      <c r="F707" s="431"/>
      <c r="G707" s="432"/>
    </row>
    <row r="708">
      <c r="A708" s="404"/>
      <c r="B708" s="419"/>
      <c r="C708" s="419"/>
      <c r="D708" s="404"/>
      <c r="E708" s="431"/>
      <c r="F708" s="431"/>
      <c r="G708" s="432"/>
    </row>
    <row r="709">
      <c r="A709" s="404"/>
      <c r="B709" s="419"/>
      <c r="C709" s="419"/>
      <c r="D709" s="404"/>
      <c r="E709" s="431"/>
      <c r="F709" s="431"/>
      <c r="G709" s="432"/>
    </row>
    <row r="710">
      <c r="A710" s="404"/>
      <c r="B710" s="419"/>
      <c r="C710" s="419"/>
      <c r="D710" s="404"/>
      <c r="E710" s="431"/>
      <c r="F710" s="431"/>
      <c r="G710" s="432"/>
    </row>
    <row r="711">
      <c r="A711" s="404"/>
      <c r="B711" s="419"/>
      <c r="C711" s="419"/>
      <c r="D711" s="404"/>
      <c r="E711" s="431"/>
      <c r="F711" s="431"/>
      <c r="G711" s="432"/>
    </row>
    <row r="712">
      <c r="A712" s="404"/>
      <c r="B712" s="419"/>
      <c r="C712" s="419"/>
      <c r="D712" s="404"/>
      <c r="E712" s="431"/>
      <c r="F712" s="431"/>
      <c r="G712" s="432"/>
    </row>
    <row r="713">
      <c r="A713" s="404"/>
      <c r="B713" s="419"/>
      <c r="C713" s="419"/>
      <c r="D713" s="404"/>
      <c r="E713" s="431"/>
      <c r="F713" s="431"/>
      <c r="G713" s="432"/>
    </row>
    <row r="714">
      <c r="A714" s="404"/>
      <c r="B714" s="419"/>
      <c r="C714" s="419"/>
      <c r="D714" s="404"/>
      <c r="E714" s="431"/>
      <c r="F714" s="431"/>
      <c r="G714" s="432"/>
    </row>
    <row r="715">
      <c r="A715" s="404"/>
      <c r="B715" s="419"/>
      <c r="C715" s="419"/>
      <c r="D715" s="404"/>
      <c r="E715" s="431"/>
      <c r="F715" s="431"/>
      <c r="G715" s="432"/>
    </row>
    <row r="716">
      <c r="A716" s="404"/>
      <c r="B716" s="419"/>
      <c r="C716" s="419"/>
      <c r="D716" s="404"/>
      <c r="E716" s="431"/>
      <c r="F716" s="431"/>
      <c r="G716" s="432"/>
    </row>
    <row r="717">
      <c r="A717" s="404"/>
      <c r="B717" s="419"/>
      <c r="C717" s="419"/>
      <c r="D717" s="404"/>
      <c r="E717" s="431"/>
      <c r="F717" s="431"/>
      <c r="G717" s="432"/>
    </row>
    <row r="718">
      <c r="A718" s="404"/>
      <c r="B718" s="419"/>
      <c r="C718" s="419"/>
      <c r="D718" s="404"/>
      <c r="E718" s="431"/>
      <c r="F718" s="431"/>
      <c r="G718" s="432"/>
    </row>
    <row r="719">
      <c r="A719" s="404"/>
      <c r="B719" s="419"/>
      <c r="C719" s="419"/>
      <c r="D719" s="404"/>
      <c r="E719" s="431"/>
      <c r="F719" s="431"/>
      <c r="G719" s="432"/>
    </row>
    <row r="720">
      <c r="A720" s="404"/>
      <c r="B720" s="419"/>
      <c r="C720" s="419"/>
      <c r="D720" s="404"/>
      <c r="E720" s="431"/>
      <c r="F720" s="431"/>
      <c r="G720" s="432"/>
    </row>
    <row r="721">
      <c r="A721" s="404"/>
      <c r="B721" s="419"/>
      <c r="C721" s="419"/>
      <c r="D721" s="404"/>
      <c r="E721" s="431"/>
      <c r="F721" s="431"/>
      <c r="G721" s="432"/>
    </row>
    <row r="722">
      <c r="A722" s="404"/>
      <c r="B722" s="419"/>
      <c r="C722" s="419"/>
      <c r="D722" s="404"/>
      <c r="E722" s="431"/>
      <c r="F722" s="431"/>
      <c r="G722" s="432"/>
    </row>
    <row r="723">
      <c r="A723" s="404"/>
      <c r="B723" s="419"/>
      <c r="C723" s="419"/>
      <c r="D723" s="404"/>
      <c r="E723" s="431"/>
      <c r="F723" s="431"/>
      <c r="G723" s="432"/>
    </row>
    <row r="724">
      <c r="A724" s="404"/>
      <c r="B724" s="419"/>
      <c r="C724" s="419"/>
      <c r="D724" s="404"/>
      <c r="E724" s="431"/>
      <c r="F724" s="431"/>
      <c r="G724" s="432"/>
    </row>
    <row r="725">
      <c r="A725" s="404"/>
      <c r="B725" s="419"/>
      <c r="C725" s="419"/>
      <c r="D725" s="404"/>
      <c r="E725" s="431"/>
      <c r="F725" s="431"/>
      <c r="G725" s="432"/>
    </row>
    <row r="726">
      <c r="A726" s="404"/>
      <c r="B726" s="419"/>
      <c r="C726" s="419"/>
      <c r="D726" s="404"/>
      <c r="E726" s="431"/>
      <c r="F726" s="431"/>
      <c r="G726" s="432"/>
    </row>
    <row r="727">
      <c r="A727" s="404"/>
      <c r="B727" s="419"/>
      <c r="C727" s="419"/>
      <c r="D727" s="404"/>
      <c r="E727" s="431"/>
      <c r="F727" s="431"/>
      <c r="G727" s="432"/>
    </row>
    <row r="728">
      <c r="A728" s="404"/>
      <c r="B728" s="419"/>
      <c r="C728" s="419"/>
      <c r="D728" s="404"/>
      <c r="E728" s="431"/>
      <c r="F728" s="431"/>
      <c r="G728" s="432"/>
    </row>
    <row r="729">
      <c r="A729" s="404"/>
      <c r="B729" s="419"/>
      <c r="C729" s="419"/>
      <c r="D729" s="404"/>
      <c r="E729" s="431"/>
      <c r="F729" s="431"/>
      <c r="G729" s="432"/>
    </row>
    <row r="730">
      <c r="A730" s="404"/>
      <c r="B730" s="419"/>
      <c r="C730" s="419"/>
      <c r="D730" s="404"/>
      <c r="E730" s="431"/>
      <c r="F730" s="431"/>
      <c r="G730" s="432"/>
    </row>
    <row r="731">
      <c r="A731" s="404"/>
      <c r="B731" s="419"/>
      <c r="C731" s="419"/>
      <c r="D731" s="404"/>
      <c r="E731" s="431"/>
      <c r="F731" s="431"/>
      <c r="G731" s="432"/>
    </row>
    <row r="732">
      <c r="A732" s="404"/>
      <c r="B732" s="419"/>
      <c r="C732" s="419"/>
      <c r="D732" s="404"/>
      <c r="E732" s="431"/>
      <c r="F732" s="431"/>
      <c r="G732" s="432"/>
    </row>
    <row r="733">
      <c r="A733" s="404"/>
      <c r="B733" s="419"/>
      <c r="C733" s="419"/>
      <c r="D733" s="404"/>
      <c r="E733" s="431"/>
      <c r="F733" s="431"/>
      <c r="G733" s="432"/>
    </row>
    <row r="734">
      <c r="A734" s="404"/>
      <c r="B734" s="419"/>
      <c r="C734" s="419"/>
      <c r="D734" s="404"/>
      <c r="E734" s="431"/>
      <c r="F734" s="431"/>
      <c r="G734" s="432"/>
    </row>
    <row r="735">
      <c r="A735" s="404"/>
      <c r="B735" s="419"/>
      <c r="C735" s="419"/>
      <c r="D735" s="404"/>
      <c r="E735" s="431"/>
      <c r="F735" s="431"/>
      <c r="G735" s="432"/>
    </row>
    <row r="736">
      <c r="A736" s="404"/>
      <c r="B736" s="419"/>
      <c r="C736" s="419"/>
      <c r="D736" s="404"/>
      <c r="E736" s="431"/>
      <c r="F736" s="431"/>
      <c r="G736" s="432"/>
    </row>
    <row r="737">
      <c r="A737" s="404"/>
      <c r="B737" s="419"/>
      <c r="C737" s="419"/>
      <c r="D737" s="404"/>
      <c r="E737" s="431"/>
      <c r="F737" s="431"/>
      <c r="G737" s="432"/>
    </row>
    <row r="738">
      <c r="A738" s="404"/>
      <c r="B738" s="419"/>
      <c r="C738" s="419"/>
      <c r="D738" s="404"/>
      <c r="E738" s="431"/>
      <c r="F738" s="431"/>
      <c r="G738" s="432"/>
    </row>
    <row r="739">
      <c r="A739" s="404"/>
      <c r="B739" s="419"/>
      <c r="C739" s="419"/>
      <c r="D739" s="404"/>
      <c r="E739" s="431"/>
      <c r="F739" s="431"/>
      <c r="G739" s="432"/>
    </row>
    <row r="740">
      <c r="A740" s="404"/>
      <c r="B740" s="419"/>
      <c r="C740" s="419"/>
      <c r="D740" s="404"/>
      <c r="E740" s="431"/>
      <c r="F740" s="431"/>
      <c r="G740" s="432"/>
    </row>
    <row r="741">
      <c r="A741" s="404"/>
      <c r="B741" s="419"/>
      <c r="C741" s="419"/>
      <c r="D741" s="404"/>
      <c r="E741" s="431"/>
      <c r="F741" s="431"/>
      <c r="G741" s="432"/>
    </row>
    <row r="742">
      <c r="A742" s="404"/>
      <c r="B742" s="419"/>
      <c r="C742" s="419"/>
      <c r="D742" s="404"/>
      <c r="E742" s="431"/>
      <c r="F742" s="431"/>
      <c r="G742" s="432"/>
    </row>
    <row r="743">
      <c r="A743" s="404"/>
      <c r="B743" s="419"/>
      <c r="C743" s="419"/>
      <c r="D743" s="404"/>
      <c r="E743" s="431"/>
      <c r="F743" s="431"/>
      <c r="G743" s="432"/>
    </row>
    <row r="744">
      <c r="A744" s="404"/>
      <c r="B744" s="419"/>
      <c r="C744" s="419"/>
      <c r="D744" s="404"/>
      <c r="E744" s="431"/>
      <c r="F744" s="431"/>
      <c r="G744" s="432"/>
    </row>
    <row r="745">
      <c r="A745" s="404"/>
      <c r="B745" s="419"/>
      <c r="C745" s="419"/>
      <c r="D745" s="404"/>
      <c r="E745" s="431"/>
      <c r="F745" s="431"/>
      <c r="G745" s="432"/>
    </row>
    <row r="746">
      <c r="A746" s="404"/>
      <c r="B746" s="419"/>
      <c r="C746" s="419"/>
      <c r="D746" s="404"/>
      <c r="E746" s="431"/>
      <c r="F746" s="431"/>
      <c r="G746" s="432"/>
    </row>
    <row r="747">
      <c r="A747" s="404"/>
      <c r="B747" s="419"/>
      <c r="C747" s="419"/>
      <c r="D747" s="404"/>
      <c r="E747" s="431"/>
      <c r="F747" s="431"/>
      <c r="G747" s="432"/>
    </row>
    <row r="748">
      <c r="A748" s="404"/>
      <c r="B748" s="419"/>
      <c r="C748" s="419"/>
      <c r="D748" s="404"/>
      <c r="E748" s="431"/>
      <c r="F748" s="431"/>
      <c r="G748" s="432"/>
    </row>
    <row r="749">
      <c r="A749" s="404"/>
      <c r="B749" s="419"/>
      <c r="C749" s="419"/>
      <c r="D749" s="404"/>
      <c r="E749" s="431"/>
      <c r="F749" s="431"/>
      <c r="G749" s="432"/>
    </row>
    <row r="750">
      <c r="A750" s="404"/>
      <c r="B750" s="419"/>
      <c r="C750" s="419"/>
      <c r="D750" s="404"/>
      <c r="E750" s="431"/>
      <c r="F750" s="431"/>
      <c r="G750" s="432"/>
    </row>
    <row r="751">
      <c r="A751" s="404"/>
      <c r="B751" s="419"/>
      <c r="C751" s="419"/>
      <c r="D751" s="404"/>
      <c r="E751" s="431"/>
      <c r="F751" s="431"/>
      <c r="G751" s="432"/>
    </row>
    <row r="752">
      <c r="A752" s="404"/>
      <c r="B752" s="419"/>
      <c r="C752" s="419"/>
      <c r="D752" s="404"/>
      <c r="E752" s="431"/>
      <c r="F752" s="431"/>
      <c r="G752" s="432"/>
    </row>
    <row r="753">
      <c r="A753" s="404"/>
      <c r="B753" s="419"/>
      <c r="C753" s="419"/>
      <c r="D753" s="404"/>
      <c r="E753" s="431"/>
      <c r="F753" s="431"/>
      <c r="G753" s="432"/>
    </row>
    <row r="754">
      <c r="A754" s="404"/>
      <c r="B754" s="419"/>
      <c r="C754" s="419"/>
      <c r="D754" s="404"/>
      <c r="E754" s="431"/>
      <c r="F754" s="431"/>
      <c r="G754" s="432"/>
    </row>
    <row r="755">
      <c r="A755" s="404"/>
      <c r="B755" s="419"/>
      <c r="C755" s="419"/>
      <c r="D755" s="404"/>
      <c r="E755" s="431"/>
      <c r="F755" s="431"/>
      <c r="G755" s="432"/>
    </row>
    <row r="756">
      <c r="A756" s="404"/>
      <c r="B756" s="419"/>
      <c r="C756" s="419"/>
      <c r="D756" s="404"/>
      <c r="E756" s="431"/>
      <c r="F756" s="431"/>
      <c r="G756" s="432"/>
    </row>
    <row r="757">
      <c r="A757" s="404"/>
      <c r="B757" s="419"/>
      <c r="C757" s="419"/>
      <c r="D757" s="404"/>
      <c r="E757" s="431"/>
      <c r="F757" s="431"/>
      <c r="G757" s="432"/>
    </row>
    <row r="758">
      <c r="A758" s="404"/>
      <c r="B758" s="419"/>
      <c r="C758" s="419"/>
      <c r="D758" s="404"/>
      <c r="E758" s="431"/>
      <c r="F758" s="431"/>
      <c r="G758" s="432"/>
    </row>
    <row r="759">
      <c r="A759" s="404"/>
      <c r="B759" s="419"/>
      <c r="C759" s="419"/>
      <c r="D759" s="404"/>
      <c r="E759" s="431"/>
      <c r="F759" s="431"/>
      <c r="G759" s="432"/>
    </row>
    <row r="760">
      <c r="A760" s="404"/>
      <c r="B760" s="419"/>
      <c r="C760" s="419"/>
      <c r="D760" s="404"/>
      <c r="E760" s="431"/>
      <c r="F760" s="431"/>
      <c r="G760" s="432"/>
    </row>
    <row r="761">
      <c r="A761" s="404"/>
      <c r="B761" s="419"/>
      <c r="C761" s="419"/>
      <c r="D761" s="404"/>
      <c r="E761" s="431"/>
      <c r="F761" s="431"/>
      <c r="G761" s="432"/>
    </row>
    <row r="762">
      <c r="A762" s="404"/>
      <c r="B762" s="419"/>
      <c r="C762" s="419"/>
      <c r="D762" s="404"/>
      <c r="E762" s="431"/>
      <c r="F762" s="431"/>
      <c r="G762" s="432"/>
    </row>
    <row r="763">
      <c r="A763" s="404"/>
      <c r="B763" s="419"/>
      <c r="C763" s="419"/>
      <c r="D763" s="404"/>
      <c r="E763" s="431"/>
      <c r="F763" s="431"/>
      <c r="G763" s="432"/>
    </row>
    <row r="764">
      <c r="A764" s="404"/>
      <c r="B764" s="419"/>
      <c r="C764" s="419"/>
      <c r="D764" s="404"/>
      <c r="E764" s="431"/>
      <c r="F764" s="431"/>
      <c r="G764" s="432"/>
    </row>
    <row r="765">
      <c r="A765" s="404"/>
      <c r="B765" s="419"/>
      <c r="C765" s="419"/>
      <c r="D765" s="404"/>
      <c r="E765" s="431"/>
      <c r="F765" s="431"/>
      <c r="G765" s="432"/>
    </row>
    <row r="766">
      <c r="A766" s="404"/>
      <c r="B766" s="419"/>
      <c r="C766" s="419"/>
      <c r="D766" s="404"/>
      <c r="E766" s="431"/>
      <c r="F766" s="431"/>
      <c r="G766" s="432"/>
    </row>
    <row r="767">
      <c r="A767" s="404"/>
      <c r="B767" s="419"/>
      <c r="C767" s="419"/>
      <c r="D767" s="404"/>
      <c r="E767" s="431"/>
      <c r="F767" s="431"/>
      <c r="G767" s="432"/>
    </row>
    <row r="768">
      <c r="A768" s="404"/>
      <c r="B768" s="419"/>
      <c r="C768" s="419"/>
      <c r="D768" s="404"/>
      <c r="E768" s="431"/>
      <c r="F768" s="431"/>
      <c r="G768" s="432"/>
    </row>
    <row r="769">
      <c r="A769" s="404"/>
      <c r="B769" s="419"/>
      <c r="C769" s="419"/>
      <c r="D769" s="404"/>
      <c r="E769" s="431"/>
      <c r="F769" s="431"/>
      <c r="G769" s="432"/>
    </row>
    <row r="770">
      <c r="A770" s="404"/>
      <c r="B770" s="419"/>
      <c r="C770" s="419"/>
      <c r="D770" s="404"/>
      <c r="E770" s="431"/>
      <c r="F770" s="431"/>
      <c r="G770" s="432"/>
    </row>
    <row r="771">
      <c r="A771" s="404"/>
      <c r="B771" s="419"/>
      <c r="C771" s="419"/>
      <c r="D771" s="404"/>
      <c r="E771" s="431"/>
      <c r="F771" s="431"/>
      <c r="G771" s="432"/>
    </row>
    <row r="772">
      <c r="A772" s="404"/>
      <c r="B772" s="419"/>
      <c r="C772" s="419"/>
      <c r="D772" s="404"/>
      <c r="E772" s="431"/>
      <c r="F772" s="431"/>
      <c r="G772" s="432"/>
    </row>
    <row r="773">
      <c r="A773" s="404"/>
      <c r="B773" s="419"/>
      <c r="C773" s="419"/>
      <c r="D773" s="404"/>
      <c r="E773" s="431"/>
      <c r="F773" s="431"/>
      <c r="G773" s="432"/>
    </row>
    <row r="774">
      <c r="A774" s="404"/>
      <c r="B774" s="419"/>
      <c r="C774" s="419"/>
      <c r="D774" s="404"/>
      <c r="E774" s="431"/>
      <c r="F774" s="431"/>
      <c r="G774" s="432"/>
    </row>
    <row r="775">
      <c r="A775" s="404"/>
      <c r="B775" s="419"/>
      <c r="C775" s="419"/>
      <c r="D775" s="404"/>
      <c r="E775" s="431"/>
      <c r="F775" s="431"/>
      <c r="G775" s="432"/>
    </row>
    <row r="776">
      <c r="A776" s="404"/>
      <c r="B776" s="419"/>
      <c r="C776" s="419"/>
      <c r="D776" s="404"/>
      <c r="E776" s="431"/>
      <c r="F776" s="431"/>
      <c r="G776" s="432"/>
    </row>
    <row r="777">
      <c r="A777" s="404"/>
      <c r="B777" s="419"/>
      <c r="C777" s="419"/>
      <c r="D777" s="404"/>
      <c r="E777" s="431"/>
      <c r="F777" s="431"/>
      <c r="G777" s="432"/>
    </row>
    <row r="778">
      <c r="A778" s="404"/>
      <c r="B778" s="419"/>
      <c r="C778" s="419"/>
      <c r="D778" s="404"/>
      <c r="E778" s="431"/>
      <c r="F778" s="431"/>
      <c r="G778" s="432"/>
    </row>
    <row r="779">
      <c r="A779" s="404"/>
      <c r="B779" s="419"/>
      <c r="C779" s="419"/>
      <c r="D779" s="404"/>
      <c r="E779" s="431"/>
      <c r="F779" s="431"/>
      <c r="G779" s="432"/>
    </row>
    <row r="780">
      <c r="A780" s="404"/>
      <c r="B780" s="419"/>
      <c r="C780" s="419"/>
      <c r="D780" s="404"/>
      <c r="E780" s="431"/>
      <c r="F780" s="431"/>
      <c r="G780" s="432"/>
    </row>
    <row r="781">
      <c r="A781" s="404"/>
      <c r="B781" s="419"/>
      <c r="C781" s="419"/>
      <c r="D781" s="404"/>
      <c r="E781" s="431"/>
      <c r="F781" s="431"/>
      <c r="G781" s="432"/>
    </row>
    <row r="782">
      <c r="A782" s="404"/>
      <c r="B782" s="419"/>
      <c r="C782" s="419"/>
      <c r="D782" s="404"/>
      <c r="E782" s="431"/>
      <c r="F782" s="431"/>
      <c r="G782" s="432"/>
    </row>
    <row r="783">
      <c r="A783" s="404"/>
      <c r="B783" s="419"/>
      <c r="C783" s="419"/>
      <c r="D783" s="404"/>
      <c r="E783" s="431"/>
      <c r="F783" s="431"/>
      <c r="G783" s="432"/>
    </row>
    <row r="784">
      <c r="A784" s="404"/>
      <c r="B784" s="419"/>
      <c r="C784" s="419"/>
      <c r="D784" s="404"/>
      <c r="E784" s="431"/>
      <c r="F784" s="431"/>
      <c r="G784" s="432"/>
    </row>
    <row r="785">
      <c r="A785" s="404"/>
      <c r="B785" s="419"/>
      <c r="C785" s="419"/>
      <c r="D785" s="404"/>
      <c r="E785" s="431"/>
      <c r="F785" s="431"/>
      <c r="G785" s="432"/>
    </row>
    <row r="786">
      <c r="A786" s="404"/>
      <c r="B786" s="419"/>
      <c r="C786" s="419"/>
      <c r="D786" s="404"/>
      <c r="E786" s="431"/>
      <c r="F786" s="431"/>
      <c r="G786" s="432"/>
    </row>
    <row r="787">
      <c r="A787" s="404"/>
      <c r="B787" s="419"/>
      <c r="C787" s="419"/>
      <c r="D787" s="404"/>
      <c r="E787" s="431"/>
      <c r="F787" s="431"/>
      <c r="G787" s="432"/>
    </row>
    <row r="788">
      <c r="A788" s="404"/>
      <c r="B788" s="419"/>
      <c r="C788" s="419"/>
      <c r="D788" s="404"/>
      <c r="E788" s="431"/>
      <c r="F788" s="431"/>
      <c r="G788" s="432"/>
    </row>
    <row r="789">
      <c r="A789" s="404"/>
      <c r="B789" s="419"/>
      <c r="C789" s="419"/>
      <c r="D789" s="404"/>
      <c r="E789" s="431"/>
      <c r="F789" s="431"/>
      <c r="G789" s="432"/>
    </row>
    <row r="790">
      <c r="A790" s="404"/>
      <c r="B790" s="419"/>
      <c r="C790" s="419"/>
      <c r="D790" s="404"/>
      <c r="E790" s="431"/>
      <c r="F790" s="431"/>
      <c r="G790" s="432"/>
    </row>
    <row r="791">
      <c r="A791" s="404"/>
      <c r="B791" s="419"/>
      <c r="C791" s="419"/>
      <c r="D791" s="404"/>
      <c r="E791" s="431"/>
      <c r="F791" s="431"/>
      <c r="G791" s="432"/>
    </row>
    <row r="792">
      <c r="A792" s="404"/>
      <c r="B792" s="419"/>
      <c r="C792" s="419"/>
      <c r="D792" s="404"/>
      <c r="E792" s="431"/>
      <c r="F792" s="431"/>
      <c r="G792" s="432"/>
    </row>
    <row r="793">
      <c r="A793" s="404"/>
      <c r="B793" s="419"/>
      <c r="C793" s="419"/>
      <c r="D793" s="404"/>
      <c r="E793" s="431"/>
      <c r="F793" s="431"/>
      <c r="G793" s="432"/>
    </row>
    <row r="794">
      <c r="A794" s="404"/>
      <c r="B794" s="419"/>
      <c r="C794" s="419"/>
      <c r="D794" s="404"/>
      <c r="E794" s="431"/>
      <c r="F794" s="431"/>
      <c r="G794" s="432"/>
    </row>
    <row r="795">
      <c r="A795" s="404"/>
      <c r="B795" s="419"/>
      <c r="C795" s="419"/>
      <c r="D795" s="404"/>
      <c r="E795" s="431"/>
      <c r="F795" s="431"/>
      <c r="G795" s="432"/>
    </row>
    <row r="796">
      <c r="A796" s="404"/>
      <c r="B796" s="419"/>
      <c r="C796" s="419"/>
      <c r="D796" s="404"/>
      <c r="E796" s="431"/>
      <c r="F796" s="431"/>
      <c r="G796" s="432"/>
    </row>
    <row r="797">
      <c r="A797" s="404"/>
      <c r="B797" s="419"/>
      <c r="C797" s="419"/>
      <c r="D797" s="404"/>
      <c r="E797" s="431"/>
      <c r="F797" s="431"/>
      <c r="G797" s="432"/>
    </row>
    <row r="798">
      <c r="A798" s="404"/>
      <c r="B798" s="419"/>
      <c r="C798" s="419"/>
      <c r="D798" s="404"/>
      <c r="E798" s="431"/>
      <c r="F798" s="431"/>
      <c r="G798" s="432"/>
    </row>
    <row r="799">
      <c r="A799" s="404"/>
      <c r="B799" s="419"/>
      <c r="C799" s="419"/>
      <c r="D799" s="404"/>
      <c r="E799" s="431"/>
      <c r="F799" s="431"/>
      <c r="G799" s="432"/>
    </row>
    <row r="800">
      <c r="A800" s="404"/>
      <c r="B800" s="419"/>
      <c r="C800" s="419"/>
      <c r="D800" s="404"/>
      <c r="E800" s="431"/>
      <c r="F800" s="431"/>
      <c r="G800" s="432"/>
    </row>
    <row r="801">
      <c r="A801" s="404"/>
      <c r="B801" s="419"/>
      <c r="C801" s="419"/>
      <c r="D801" s="404"/>
      <c r="E801" s="431"/>
      <c r="F801" s="431"/>
      <c r="G801" s="432"/>
    </row>
    <row r="802">
      <c r="A802" s="404"/>
      <c r="B802" s="419"/>
      <c r="C802" s="419"/>
      <c r="D802" s="404"/>
      <c r="E802" s="431"/>
      <c r="F802" s="431"/>
      <c r="G802" s="432"/>
    </row>
    <row r="803">
      <c r="A803" s="404"/>
      <c r="B803" s="419"/>
      <c r="C803" s="419"/>
      <c r="D803" s="404"/>
      <c r="E803" s="431"/>
      <c r="F803" s="431"/>
      <c r="G803" s="432"/>
    </row>
    <row r="804">
      <c r="A804" s="404"/>
      <c r="B804" s="419"/>
      <c r="C804" s="419"/>
      <c r="D804" s="404"/>
      <c r="E804" s="431"/>
      <c r="F804" s="431"/>
      <c r="G804" s="432"/>
    </row>
    <row r="805">
      <c r="A805" s="404"/>
      <c r="B805" s="419"/>
      <c r="C805" s="419"/>
      <c r="D805" s="404"/>
      <c r="E805" s="431"/>
      <c r="F805" s="431"/>
      <c r="G805" s="432"/>
    </row>
    <row r="806">
      <c r="A806" s="404"/>
      <c r="B806" s="419"/>
      <c r="C806" s="419"/>
      <c r="D806" s="404"/>
      <c r="E806" s="431"/>
      <c r="F806" s="431"/>
      <c r="G806" s="432"/>
    </row>
    <row r="807">
      <c r="A807" s="404"/>
      <c r="B807" s="419"/>
      <c r="C807" s="419"/>
      <c r="D807" s="404"/>
      <c r="E807" s="431"/>
      <c r="F807" s="431"/>
      <c r="G807" s="432"/>
    </row>
    <row r="808">
      <c r="A808" s="404"/>
      <c r="B808" s="419"/>
      <c r="C808" s="419"/>
      <c r="D808" s="404"/>
      <c r="E808" s="431"/>
      <c r="F808" s="431"/>
      <c r="G808" s="432"/>
    </row>
    <row r="809">
      <c r="A809" s="404"/>
      <c r="B809" s="419"/>
      <c r="C809" s="419"/>
      <c r="D809" s="404"/>
      <c r="E809" s="431"/>
      <c r="F809" s="431"/>
      <c r="G809" s="432"/>
    </row>
    <row r="810">
      <c r="A810" s="404"/>
      <c r="B810" s="419"/>
      <c r="C810" s="419"/>
      <c r="D810" s="404"/>
      <c r="E810" s="431"/>
      <c r="F810" s="431"/>
      <c r="G810" s="432"/>
    </row>
    <row r="811">
      <c r="A811" s="404"/>
      <c r="B811" s="419"/>
      <c r="C811" s="419"/>
      <c r="D811" s="404"/>
      <c r="E811" s="431"/>
      <c r="F811" s="431"/>
      <c r="G811" s="432"/>
    </row>
    <row r="812">
      <c r="A812" s="404"/>
      <c r="B812" s="419"/>
      <c r="C812" s="419"/>
      <c r="D812" s="404"/>
      <c r="E812" s="431"/>
      <c r="F812" s="431"/>
      <c r="G812" s="432"/>
    </row>
    <row r="813">
      <c r="A813" s="404"/>
      <c r="B813" s="419"/>
      <c r="C813" s="419"/>
      <c r="D813" s="404"/>
      <c r="E813" s="431"/>
      <c r="F813" s="431"/>
      <c r="G813" s="432"/>
    </row>
    <row r="814">
      <c r="A814" s="404"/>
      <c r="B814" s="419"/>
      <c r="C814" s="419"/>
      <c r="D814" s="404"/>
      <c r="E814" s="431"/>
      <c r="F814" s="431"/>
      <c r="G814" s="432"/>
    </row>
    <row r="815">
      <c r="A815" s="404"/>
      <c r="B815" s="419"/>
      <c r="C815" s="419"/>
      <c r="D815" s="404"/>
      <c r="E815" s="431"/>
      <c r="F815" s="431"/>
      <c r="G815" s="432"/>
    </row>
    <row r="816">
      <c r="A816" s="404"/>
      <c r="B816" s="419"/>
      <c r="C816" s="419"/>
      <c r="D816" s="404"/>
      <c r="E816" s="431"/>
      <c r="F816" s="431"/>
      <c r="G816" s="432"/>
    </row>
    <row r="817">
      <c r="A817" s="404"/>
      <c r="B817" s="419"/>
      <c r="C817" s="419"/>
      <c r="D817" s="404"/>
      <c r="E817" s="431"/>
      <c r="F817" s="431"/>
      <c r="G817" s="432"/>
    </row>
    <row r="818">
      <c r="A818" s="404"/>
      <c r="B818" s="419"/>
      <c r="C818" s="419"/>
      <c r="D818" s="404"/>
      <c r="E818" s="431"/>
      <c r="F818" s="431"/>
      <c r="G818" s="432"/>
    </row>
    <row r="819">
      <c r="A819" s="404"/>
      <c r="B819" s="419"/>
      <c r="C819" s="419"/>
      <c r="D819" s="404"/>
      <c r="E819" s="431"/>
      <c r="F819" s="431"/>
      <c r="G819" s="432"/>
    </row>
    <row r="820">
      <c r="A820" s="404"/>
      <c r="B820" s="419"/>
      <c r="C820" s="419"/>
      <c r="D820" s="404"/>
      <c r="E820" s="431"/>
      <c r="F820" s="431"/>
      <c r="G820" s="432"/>
    </row>
    <row r="821">
      <c r="A821" s="404"/>
      <c r="B821" s="419"/>
      <c r="C821" s="419"/>
      <c r="D821" s="404"/>
      <c r="E821" s="431"/>
      <c r="F821" s="431"/>
      <c r="G821" s="432"/>
    </row>
    <row r="822">
      <c r="A822" s="404"/>
      <c r="B822" s="419"/>
      <c r="C822" s="419"/>
      <c r="D822" s="404"/>
      <c r="E822" s="431"/>
      <c r="F822" s="431"/>
      <c r="G822" s="432"/>
    </row>
    <row r="823">
      <c r="A823" s="404"/>
      <c r="B823" s="419"/>
      <c r="C823" s="419"/>
      <c r="D823" s="404"/>
      <c r="E823" s="431"/>
      <c r="F823" s="431"/>
      <c r="G823" s="432"/>
    </row>
    <row r="824">
      <c r="A824" s="404"/>
      <c r="B824" s="419"/>
      <c r="C824" s="419"/>
      <c r="D824" s="404"/>
      <c r="E824" s="431"/>
      <c r="F824" s="431"/>
      <c r="G824" s="432"/>
    </row>
    <row r="825">
      <c r="A825" s="404"/>
      <c r="B825" s="419"/>
      <c r="C825" s="419"/>
      <c r="D825" s="404"/>
      <c r="E825" s="431"/>
      <c r="F825" s="431"/>
      <c r="G825" s="432"/>
    </row>
    <row r="826">
      <c r="A826" s="404"/>
      <c r="B826" s="419"/>
      <c r="C826" s="419"/>
      <c r="D826" s="404"/>
      <c r="E826" s="431"/>
      <c r="F826" s="431"/>
      <c r="G826" s="432"/>
    </row>
    <row r="827">
      <c r="A827" s="404"/>
      <c r="B827" s="419"/>
      <c r="C827" s="419"/>
      <c r="D827" s="404"/>
      <c r="E827" s="431"/>
      <c r="F827" s="431"/>
      <c r="G827" s="432"/>
    </row>
    <row r="828">
      <c r="A828" s="404"/>
      <c r="B828" s="419"/>
      <c r="C828" s="419"/>
      <c r="D828" s="404"/>
      <c r="E828" s="431"/>
      <c r="F828" s="431"/>
      <c r="G828" s="432"/>
    </row>
    <row r="829">
      <c r="A829" s="404"/>
      <c r="B829" s="419"/>
      <c r="C829" s="419"/>
      <c r="D829" s="404"/>
      <c r="E829" s="431"/>
      <c r="F829" s="431"/>
      <c r="G829" s="432"/>
    </row>
    <row r="830">
      <c r="A830" s="404"/>
      <c r="B830" s="419"/>
      <c r="C830" s="419"/>
      <c r="D830" s="404"/>
      <c r="E830" s="431"/>
      <c r="F830" s="431"/>
      <c r="G830" s="432"/>
    </row>
    <row r="831">
      <c r="A831" s="404"/>
      <c r="B831" s="419"/>
      <c r="C831" s="419"/>
      <c r="D831" s="404"/>
      <c r="E831" s="431"/>
      <c r="F831" s="431"/>
      <c r="G831" s="432"/>
    </row>
    <row r="832">
      <c r="A832" s="404"/>
      <c r="B832" s="419"/>
      <c r="C832" s="419"/>
      <c r="D832" s="404"/>
      <c r="E832" s="431"/>
      <c r="F832" s="431"/>
      <c r="G832" s="432"/>
    </row>
    <row r="833">
      <c r="A833" s="404"/>
      <c r="B833" s="419"/>
      <c r="C833" s="419"/>
      <c r="D833" s="404"/>
      <c r="E833" s="431"/>
      <c r="F833" s="431"/>
      <c r="G833" s="432"/>
    </row>
    <row r="834">
      <c r="A834" s="404"/>
      <c r="B834" s="419"/>
      <c r="C834" s="419"/>
      <c r="D834" s="404"/>
      <c r="E834" s="431"/>
      <c r="F834" s="431"/>
      <c r="G834" s="432"/>
    </row>
    <row r="835">
      <c r="A835" s="404"/>
      <c r="B835" s="419"/>
      <c r="C835" s="419"/>
      <c r="D835" s="404"/>
      <c r="E835" s="431"/>
      <c r="F835" s="431"/>
      <c r="G835" s="432"/>
    </row>
    <row r="836">
      <c r="A836" s="404"/>
      <c r="B836" s="419"/>
      <c r="C836" s="419"/>
      <c r="D836" s="404"/>
      <c r="E836" s="431"/>
      <c r="F836" s="431"/>
      <c r="G836" s="432"/>
    </row>
    <row r="837">
      <c r="A837" s="404"/>
      <c r="B837" s="419"/>
      <c r="C837" s="419"/>
      <c r="D837" s="404"/>
      <c r="E837" s="431"/>
      <c r="F837" s="431"/>
      <c r="G837" s="432"/>
    </row>
    <row r="838">
      <c r="A838" s="404"/>
      <c r="B838" s="419"/>
      <c r="C838" s="419"/>
      <c r="D838" s="404"/>
      <c r="E838" s="431"/>
      <c r="F838" s="431"/>
      <c r="G838" s="432"/>
    </row>
    <row r="839">
      <c r="A839" s="404"/>
      <c r="B839" s="419"/>
      <c r="C839" s="419"/>
      <c r="D839" s="404"/>
      <c r="E839" s="431"/>
      <c r="F839" s="431"/>
      <c r="G839" s="432"/>
    </row>
    <row r="840">
      <c r="A840" s="404"/>
      <c r="B840" s="419"/>
      <c r="C840" s="419"/>
      <c r="D840" s="404"/>
      <c r="E840" s="431"/>
      <c r="F840" s="431"/>
      <c r="G840" s="432"/>
    </row>
    <row r="841">
      <c r="A841" s="404"/>
      <c r="B841" s="419"/>
      <c r="C841" s="419"/>
      <c r="D841" s="404"/>
      <c r="E841" s="431"/>
      <c r="F841" s="431"/>
      <c r="G841" s="432"/>
    </row>
    <row r="842">
      <c r="A842" s="404"/>
      <c r="B842" s="419"/>
      <c r="C842" s="419"/>
      <c r="D842" s="404"/>
      <c r="E842" s="431"/>
      <c r="F842" s="431"/>
      <c r="G842" s="432"/>
    </row>
    <row r="843">
      <c r="A843" s="404"/>
      <c r="B843" s="419"/>
      <c r="C843" s="419"/>
      <c r="D843" s="404"/>
      <c r="E843" s="431"/>
      <c r="F843" s="431"/>
      <c r="G843" s="432"/>
    </row>
    <row r="844">
      <c r="A844" s="404"/>
      <c r="B844" s="419"/>
      <c r="C844" s="419"/>
      <c r="D844" s="404"/>
      <c r="E844" s="431"/>
      <c r="F844" s="431"/>
      <c r="G844" s="432"/>
    </row>
    <row r="845">
      <c r="A845" s="404"/>
      <c r="B845" s="419"/>
      <c r="C845" s="419"/>
      <c r="D845" s="404"/>
      <c r="E845" s="431"/>
      <c r="F845" s="431"/>
      <c r="G845" s="432"/>
    </row>
    <row r="846">
      <c r="A846" s="404"/>
      <c r="B846" s="419"/>
      <c r="C846" s="419"/>
      <c r="D846" s="404"/>
      <c r="E846" s="431"/>
      <c r="F846" s="431"/>
      <c r="G846" s="432"/>
    </row>
    <row r="847">
      <c r="A847" s="404"/>
      <c r="B847" s="419"/>
      <c r="C847" s="419"/>
      <c r="D847" s="404"/>
      <c r="E847" s="431"/>
      <c r="F847" s="431"/>
      <c r="G847" s="432"/>
    </row>
    <row r="848">
      <c r="A848" s="404"/>
      <c r="B848" s="419"/>
      <c r="C848" s="419"/>
      <c r="D848" s="404"/>
      <c r="E848" s="431"/>
      <c r="F848" s="431"/>
      <c r="G848" s="432"/>
    </row>
    <row r="849">
      <c r="A849" s="404"/>
      <c r="B849" s="419"/>
      <c r="C849" s="419"/>
      <c r="D849" s="404"/>
      <c r="E849" s="431"/>
      <c r="F849" s="431"/>
      <c r="G849" s="432"/>
    </row>
    <row r="850">
      <c r="A850" s="404"/>
      <c r="B850" s="419"/>
      <c r="C850" s="419"/>
      <c r="D850" s="404"/>
      <c r="E850" s="431"/>
      <c r="F850" s="431"/>
      <c r="G850" s="432"/>
    </row>
    <row r="851">
      <c r="A851" s="404"/>
      <c r="B851" s="419"/>
      <c r="C851" s="419"/>
      <c r="D851" s="404"/>
      <c r="E851" s="431"/>
      <c r="F851" s="431"/>
      <c r="G851" s="432"/>
    </row>
    <row r="852">
      <c r="A852" s="404"/>
      <c r="B852" s="419"/>
      <c r="C852" s="419"/>
      <c r="D852" s="404"/>
      <c r="E852" s="431"/>
      <c r="F852" s="431"/>
      <c r="G852" s="432"/>
    </row>
    <row r="853">
      <c r="A853" s="404"/>
      <c r="B853" s="419"/>
      <c r="C853" s="419"/>
      <c r="D853" s="404"/>
      <c r="E853" s="431"/>
      <c r="F853" s="431"/>
      <c r="G853" s="432"/>
    </row>
    <row r="854">
      <c r="A854" s="404"/>
      <c r="B854" s="419"/>
      <c r="C854" s="419"/>
      <c r="D854" s="404"/>
      <c r="E854" s="431"/>
      <c r="F854" s="431"/>
      <c r="G854" s="432"/>
    </row>
    <row r="855">
      <c r="A855" s="404"/>
      <c r="B855" s="419"/>
      <c r="C855" s="419"/>
      <c r="D855" s="404"/>
      <c r="E855" s="431"/>
      <c r="F855" s="431"/>
      <c r="G855" s="432"/>
    </row>
    <row r="856">
      <c r="A856" s="404"/>
      <c r="B856" s="419"/>
      <c r="C856" s="419"/>
      <c r="D856" s="404"/>
      <c r="E856" s="431"/>
      <c r="F856" s="431"/>
      <c r="G856" s="432"/>
    </row>
    <row r="857">
      <c r="A857" s="404"/>
      <c r="B857" s="419"/>
      <c r="C857" s="419"/>
      <c r="D857" s="404"/>
      <c r="E857" s="431"/>
      <c r="F857" s="431"/>
      <c r="G857" s="432"/>
    </row>
    <row r="858">
      <c r="A858" s="404"/>
      <c r="B858" s="419"/>
      <c r="C858" s="419"/>
      <c r="D858" s="404"/>
      <c r="E858" s="431"/>
      <c r="F858" s="431"/>
      <c r="G858" s="432"/>
    </row>
    <row r="859">
      <c r="A859" s="404"/>
      <c r="B859" s="419"/>
      <c r="C859" s="419"/>
      <c r="D859" s="404"/>
      <c r="E859" s="431"/>
      <c r="F859" s="431"/>
      <c r="G859" s="432"/>
    </row>
    <row r="860">
      <c r="A860" s="404"/>
      <c r="B860" s="419"/>
      <c r="C860" s="419"/>
      <c r="D860" s="404"/>
      <c r="E860" s="431"/>
      <c r="F860" s="431"/>
      <c r="G860" s="432"/>
    </row>
    <row r="861">
      <c r="A861" s="404"/>
      <c r="B861" s="419"/>
      <c r="C861" s="419"/>
      <c r="D861" s="404"/>
      <c r="E861" s="431"/>
      <c r="F861" s="431"/>
      <c r="G861" s="432"/>
    </row>
    <row r="862">
      <c r="A862" s="404"/>
      <c r="B862" s="419"/>
      <c r="C862" s="419"/>
      <c r="D862" s="404"/>
      <c r="E862" s="431"/>
      <c r="F862" s="431"/>
      <c r="G862" s="432"/>
    </row>
    <row r="863">
      <c r="A863" s="404"/>
      <c r="B863" s="419"/>
      <c r="C863" s="419"/>
      <c r="D863" s="404"/>
      <c r="E863" s="431"/>
      <c r="F863" s="431"/>
      <c r="G863" s="432"/>
    </row>
    <row r="864">
      <c r="A864" s="404"/>
      <c r="B864" s="419"/>
      <c r="C864" s="419"/>
      <c r="D864" s="404"/>
      <c r="E864" s="431"/>
      <c r="F864" s="431"/>
      <c r="G864" s="432"/>
    </row>
    <row r="865">
      <c r="A865" s="404"/>
      <c r="B865" s="419"/>
      <c r="C865" s="419"/>
      <c r="D865" s="404"/>
      <c r="E865" s="431"/>
      <c r="F865" s="431"/>
      <c r="G865" s="432"/>
    </row>
    <row r="866">
      <c r="A866" s="404"/>
      <c r="B866" s="419"/>
      <c r="C866" s="419"/>
      <c r="D866" s="404"/>
      <c r="E866" s="431"/>
      <c r="F866" s="431"/>
      <c r="G866" s="432"/>
    </row>
    <row r="867">
      <c r="A867" s="404"/>
      <c r="B867" s="419"/>
      <c r="C867" s="419"/>
      <c r="D867" s="404"/>
      <c r="E867" s="431"/>
      <c r="F867" s="431"/>
      <c r="G867" s="432"/>
    </row>
    <row r="868">
      <c r="A868" s="404"/>
      <c r="B868" s="419"/>
      <c r="C868" s="419"/>
      <c r="D868" s="404"/>
      <c r="E868" s="431"/>
      <c r="F868" s="431"/>
      <c r="G868" s="432"/>
    </row>
    <row r="869">
      <c r="A869" s="404"/>
      <c r="B869" s="419"/>
      <c r="C869" s="419"/>
      <c r="D869" s="404"/>
      <c r="E869" s="431"/>
      <c r="F869" s="431"/>
      <c r="G869" s="432"/>
    </row>
    <row r="870">
      <c r="A870" s="404"/>
      <c r="B870" s="419"/>
      <c r="C870" s="419"/>
      <c r="D870" s="404"/>
      <c r="E870" s="431"/>
      <c r="F870" s="431"/>
      <c r="G870" s="432"/>
    </row>
    <row r="871">
      <c r="A871" s="404"/>
      <c r="B871" s="419"/>
      <c r="C871" s="419"/>
      <c r="D871" s="404"/>
      <c r="E871" s="431"/>
      <c r="F871" s="431"/>
      <c r="G871" s="432"/>
    </row>
    <row r="872">
      <c r="A872" s="404"/>
      <c r="B872" s="419"/>
      <c r="C872" s="419"/>
      <c r="D872" s="404"/>
      <c r="E872" s="431"/>
      <c r="F872" s="431"/>
      <c r="G872" s="432"/>
    </row>
    <row r="873">
      <c r="A873" s="404"/>
      <c r="B873" s="419"/>
      <c r="C873" s="419"/>
      <c r="D873" s="404"/>
      <c r="E873" s="431"/>
      <c r="F873" s="431"/>
      <c r="G873" s="432"/>
    </row>
    <row r="874">
      <c r="A874" s="404"/>
      <c r="B874" s="419"/>
      <c r="C874" s="419"/>
      <c r="D874" s="404"/>
      <c r="E874" s="431"/>
      <c r="F874" s="431"/>
      <c r="G874" s="432"/>
    </row>
    <row r="875">
      <c r="A875" s="404"/>
      <c r="B875" s="419"/>
      <c r="C875" s="419"/>
      <c r="D875" s="404"/>
      <c r="E875" s="431"/>
      <c r="F875" s="431"/>
      <c r="G875" s="432"/>
    </row>
    <row r="876">
      <c r="A876" s="404"/>
      <c r="B876" s="419"/>
      <c r="C876" s="419"/>
      <c r="D876" s="404"/>
      <c r="E876" s="431"/>
      <c r="F876" s="431"/>
      <c r="G876" s="432"/>
    </row>
    <row r="877">
      <c r="A877" s="404"/>
      <c r="B877" s="419"/>
      <c r="C877" s="419"/>
      <c r="D877" s="404"/>
      <c r="E877" s="431"/>
      <c r="F877" s="431"/>
      <c r="G877" s="432"/>
    </row>
    <row r="878">
      <c r="A878" s="404"/>
      <c r="B878" s="419"/>
      <c r="C878" s="419"/>
      <c r="D878" s="404"/>
      <c r="E878" s="431"/>
      <c r="F878" s="431"/>
      <c r="G878" s="432"/>
    </row>
    <row r="879">
      <c r="A879" s="404"/>
      <c r="B879" s="419"/>
      <c r="C879" s="419"/>
      <c r="D879" s="404"/>
      <c r="E879" s="431"/>
      <c r="F879" s="431"/>
      <c r="G879" s="432"/>
    </row>
    <row r="880">
      <c r="A880" s="404"/>
      <c r="B880" s="419"/>
      <c r="C880" s="419"/>
      <c r="D880" s="404"/>
      <c r="E880" s="431"/>
      <c r="F880" s="431"/>
      <c r="G880" s="432"/>
    </row>
    <row r="881">
      <c r="A881" s="404"/>
      <c r="B881" s="419"/>
      <c r="C881" s="419"/>
      <c r="D881" s="404"/>
      <c r="E881" s="431"/>
      <c r="F881" s="431"/>
      <c r="G881" s="432"/>
    </row>
    <row r="882">
      <c r="A882" s="404"/>
      <c r="B882" s="419"/>
      <c r="C882" s="419"/>
      <c r="D882" s="404"/>
      <c r="E882" s="431"/>
      <c r="F882" s="431"/>
      <c r="G882" s="432"/>
    </row>
    <row r="883">
      <c r="A883" s="404"/>
      <c r="B883" s="419"/>
      <c r="C883" s="419"/>
      <c r="D883" s="404"/>
      <c r="E883" s="431"/>
      <c r="F883" s="431"/>
      <c r="G883" s="432"/>
    </row>
    <row r="884">
      <c r="A884" s="404"/>
      <c r="B884" s="419"/>
      <c r="C884" s="419"/>
      <c r="D884" s="404"/>
      <c r="E884" s="431"/>
      <c r="F884" s="431"/>
      <c r="G884" s="432"/>
    </row>
    <row r="885">
      <c r="A885" s="404"/>
      <c r="B885" s="419"/>
      <c r="C885" s="419"/>
      <c r="D885" s="404"/>
      <c r="E885" s="431"/>
      <c r="F885" s="431"/>
      <c r="G885" s="432"/>
    </row>
    <row r="886">
      <c r="A886" s="404"/>
      <c r="B886" s="419"/>
      <c r="C886" s="419"/>
      <c r="D886" s="404"/>
      <c r="E886" s="431"/>
      <c r="F886" s="431"/>
      <c r="G886" s="432"/>
    </row>
    <row r="887">
      <c r="A887" s="404"/>
      <c r="B887" s="419"/>
      <c r="C887" s="419"/>
      <c r="D887" s="404"/>
      <c r="E887" s="431"/>
      <c r="F887" s="431"/>
      <c r="G887" s="432"/>
    </row>
    <row r="888">
      <c r="A888" s="404"/>
      <c r="B888" s="419"/>
      <c r="C888" s="419"/>
      <c r="D888" s="404"/>
      <c r="E888" s="431"/>
      <c r="F888" s="431"/>
      <c r="G888" s="432"/>
    </row>
    <row r="889">
      <c r="A889" s="404"/>
      <c r="B889" s="419"/>
      <c r="C889" s="419"/>
      <c r="D889" s="404"/>
      <c r="E889" s="431"/>
      <c r="F889" s="431"/>
      <c r="G889" s="432"/>
    </row>
    <row r="890">
      <c r="A890" s="404"/>
      <c r="B890" s="419"/>
      <c r="C890" s="419"/>
      <c r="D890" s="404"/>
      <c r="E890" s="431"/>
      <c r="F890" s="431"/>
      <c r="G890" s="432"/>
    </row>
    <row r="891">
      <c r="A891" s="404"/>
      <c r="B891" s="419"/>
      <c r="C891" s="419"/>
      <c r="D891" s="404"/>
      <c r="E891" s="431"/>
      <c r="F891" s="431"/>
      <c r="G891" s="432"/>
    </row>
    <row r="892">
      <c r="A892" s="404"/>
      <c r="B892" s="419"/>
      <c r="C892" s="419"/>
      <c r="D892" s="404"/>
      <c r="E892" s="431"/>
      <c r="F892" s="431"/>
      <c r="G892" s="432"/>
    </row>
    <row r="893">
      <c r="A893" s="404"/>
      <c r="B893" s="419"/>
      <c r="C893" s="419"/>
      <c r="D893" s="404"/>
      <c r="E893" s="431"/>
      <c r="F893" s="431"/>
      <c r="G893" s="432"/>
    </row>
    <row r="894">
      <c r="A894" s="404"/>
      <c r="B894" s="419"/>
      <c r="C894" s="419"/>
      <c r="D894" s="404"/>
      <c r="E894" s="431"/>
      <c r="F894" s="431"/>
      <c r="G894" s="432"/>
    </row>
    <row r="895">
      <c r="A895" s="404"/>
      <c r="B895" s="419"/>
      <c r="C895" s="419"/>
      <c r="D895" s="404"/>
      <c r="E895" s="431"/>
      <c r="F895" s="431"/>
      <c r="G895" s="432"/>
    </row>
    <row r="896">
      <c r="A896" s="404"/>
      <c r="B896" s="419"/>
      <c r="C896" s="419"/>
      <c r="D896" s="404"/>
      <c r="E896" s="431"/>
      <c r="F896" s="431"/>
      <c r="G896" s="432"/>
    </row>
    <row r="897">
      <c r="A897" s="404"/>
      <c r="B897" s="419"/>
      <c r="C897" s="419"/>
      <c r="D897" s="404"/>
      <c r="E897" s="431"/>
      <c r="F897" s="431"/>
      <c r="G897" s="432"/>
    </row>
    <row r="898">
      <c r="A898" s="404"/>
      <c r="B898" s="419"/>
      <c r="C898" s="419"/>
      <c r="D898" s="404"/>
      <c r="E898" s="431"/>
      <c r="F898" s="431"/>
      <c r="G898" s="432"/>
    </row>
    <row r="899">
      <c r="A899" s="404"/>
      <c r="B899" s="419"/>
      <c r="C899" s="419"/>
      <c r="D899" s="404"/>
      <c r="E899" s="431"/>
      <c r="F899" s="431"/>
      <c r="G899" s="432"/>
    </row>
    <row r="900">
      <c r="A900" s="404"/>
      <c r="B900" s="419"/>
      <c r="C900" s="419"/>
      <c r="D900" s="404"/>
      <c r="E900" s="431"/>
      <c r="F900" s="431"/>
      <c r="G900" s="432"/>
    </row>
    <row r="901">
      <c r="A901" s="404"/>
      <c r="B901" s="419"/>
      <c r="C901" s="419"/>
      <c r="D901" s="404"/>
      <c r="E901" s="431"/>
      <c r="F901" s="431"/>
      <c r="G901" s="432"/>
    </row>
    <row r="902">
      <c r="A902" s="404"/>
      <c r="B902" s="419"/>
      <c r="C902" s="419"/>
      <c r="D902" s="404"/>
      <c r="E902" s="431"/>
      <c r="F902" s="431"/>
      <c r="G902" s="432"/>
    </row>
    <row r="903">
      <c r="A903" s="404"/>
      <c r="B903" s="419"/>
      <c r="C903" s="419"/>
      <c r="D903" s="404"/>
      <c r="E903" s="431"/>
      <c r="F903" s="431"/>
      <c r="G903" s="432"/>
    </row>
    <row r="904">
      <c r="A904" s="404"/>
      <c r="B904" s="419"/>
      <c r="C904" s="419"/>
      <c r="D904" s="404"/>
      <c r="E904" s="431"/>
      <c r="F904" s="431"/>
      <c r="G904" s="432"/>
    </row>
    <row r="905">
      <c r="A905" s="404"/>
      <c r="B905" s="419"/>
      <c r="C905" s="419"/>
      <c r="D905" s="404"/>
      <c r="E905" s="431"/>
      <c r="F905" s="431"/>
      <c r="G905" s="432"/>
    </row>
    <row r="906">
      <c r="A906" s="404"/>
      <c r="B906" s="419"/>
      <c r="C906" s="419"/>
      <c r="D906" s="404"/>
      <c r="E906" s="431"/>
      <c r="F906" s="431"/>
      <c r="G906" s="432"/>
    </row>
    <row r="907">
      <c r="A907" s="404"/>
      <c r="B907" s="419"/>
      <c r="C907" s="419"/>
      <c r="D907" s="404"/>
      <c r="E907" s="431"/>
      <c r="F907" s="431"/>
      <c r="G907" s="432"/>
    </row>
    <row r="908">
      <c r="A908" s="404"/>
      <c r="B908" s="419"/>
      <c r="C908" s="419"/>
      <c r="D908" s="404"/>
      <c r="E908" s="431"/>
      <c r="F908" s="431"/>
      <c r="G908" s="432"/>
    </row>
    <row r="909">
      <c r="A909" s="404"/>
      <c r="B909" s="419"/>
      <c r="C909" s="419"/>
      <c r="D909" s="404"/>
      <c r="E909" s="431"/>
      <c r="F909" s="431"/>
      <c r="G909" s="432"/>
    </row>
    <row r="910">
      <c r="A910" s="404"/>
      <c r="B910" s="419"/>
      <c r="C910" s="419"/>
      <c r="D910" s="404"/>
      <c r="E910" s="431"/>
      <c r="F910" s="431"/>
      <c r="G910" s="432"/>
    </row>
    <row r="911">
      <c r="A911" s="404"/>
      <c r="B911" s="419"/>
      <c r="C911" s="419"/>
      <c r="D911" s="404"/>
      <c r="E911" s="431"/>
      <c r="F911" s="431"/>
      <c r="G911" s="432"/>
    </row>
    <row r="912">
      <c r="A912" s="404"/>
      <c r="B912" s="419"/>
      <c r="C912" s="419"/>
      <c r="D912" s="404"/>
      <c r="E912" s="431"/>
      <c r="F912" s="431"/>
      <c r="G912" s="432"/>
    </row>
    <row r="913">
      <c r="A913" s="404"/>
      <c r="B913" s="419"/>
      <c r="C913" s="419"/>
      <c r="D913" s="404"/>
      <c r="E913" s="431"/>
      <c r="F913" s="431"/>
      <c r="G913" s="432"/>
    </row>
    <row r="914">
      <c r="A914" s="404"/>
      <c r="B914" s="419"/>
      <c r="C914" s="419"/>
      <c r="D914" s="404"/>
      <c r="E914" s="431"/>
      <c r="F914" s="431"/>
      <c r="G914" s="432"/>
    </row>
    <row r="915">
      <c r="A915" s="404"/>
      <c r="B915" s="419"/>
      <c r="C915" s="419"/>
      <c r="D915" s="404"/>
      <c r="E915" s="431"/>
      <c r="F915" s="431"/>
      <c r="G915" s="432"/>
    </row>
    <row r="916">
      <c r="A916" s="404"/>
      <c r="B916" s="419"/>
      <c r="C916" s="419"/>
      <c r="D916" s="404"/>
      <c r="E916" s="431"/>
      <c r="F916" s="431"/>
      <c r="G916" s="432"/>
    </row>
    <row r="917">
      <c r="A917" s="404"/>
      <c r="B917" s="419"/>
      <c r="C917" s="419"/>
      <c r="D917" s="404"/>
      <c r="E917" s="431"/>
      <c r="F917" s="431"/>
      <c r="G917" s="432"/>
    </row>
    <row r="918">
      <c r="A918" s="404"/>
      <c r="B918" s="419"/>
      <c r="C918" s="419"/>
      <c r="D918" s="404"/>
      <c r="E918" s="431"/>
      <c r="F918" s="431"/>
      <c r="G918" s="432"/>
    </row>
    <row r="919">
      <c r="A919" s="404"/>
      <c r="B919" s="419"/>
      <c r="C919" s="419"/>
      <c r="D919" s="404"/>
      <c r="E919" s="431"/>
      <c r="F919" s="431"/>
      <c r="G919" s="432"/>
    </row>
    <row r="920">
      <c r="A920" s="404"/>
      <c r="B920" s="419"/>
      <c r="C920" s="419"/>
      <c r="D920" s="404"/>
      <c r="E920" s="431"/>
      <c r="F920" s="431"/>
      <c r="G920" s="432"/>
    </row>
    <row r="921">
      <c r="A921" s="404"/>
      <c r="B921" s="419"/>
      <c r="C921" s="419"/>
      <c r="D921" s="404"/>
      <c r="E921" s="431"/>
      <c r="F921" s="431"/>
      <c r="G921" s="432"/>
    </row>
    <row r="922">
      <c r="A922" s="404"/>
      <c r="B922" s="419"/>
      <c r="C922" s="419"/>
      <c r="D922" s="404"/>
      <c r="E922" s="431"/>
      <c r="F922" s="431"/>
      <c r="G922" s="432"/>
    </row>
    <row r="923">
      <c r="A923" s="404"/>
      <c r="B923" s="419"/>
      <c r="C923" s="419"/>
      <c r="D923" s="404"/>
      <c r="E923" s="431"/>
      <c r="F923" s="431"/>
      <c r="G923" s="432"/>
    </row>
    <row r="924">
      <c r="A924" s="404"/>
      <c r="B924" s="419"/>
      <c r="C924" s="419"/>
      <c r="D924" s="404"/>
      <c r="E924" s="431"/>
      <c r="F924" s="431"/>
      <c r="G924" s="432"/>
    </row>
    <row r="925">
      <c r="A925" s="404"/>
      <c r="B925" s="419"/>
      <c r="C925" s="419"/>
      <c r="D925" s="404"/>
      <c r="E925" s="431"/>
      <c r="F925" s="431"/>
      <c r="G925" s="432"/>
    </row>
    <row r="926">
      <c r="A926" s="404"/>
      <c r="B926" s="419"/>
      <c r="C926" s="419"/>
      <c r="D926" s="404"/>
      <c r="E926" s="431"/>
      <c r="F926" s="431"/>
      <c r="G926" s="432"/>
    </row>
    <row r="927">
      <c r="A927" s="404"/>
      <c r="B927" s="419"/>
      <c r="C927" s="419"/>
      <c r="D927" s="404"/>
      <c r="E927" s="431"/>
      <c r="F927" s="431"/>
      <c r="G927" s="432"/>
    </row>
    <row r="928">
      <c r="A928" s="404"/>
      <c r="B928" s="419"/>
      <c r="C928" s="419"/>
      <c r="D928" s="404"/>
      <c r="E928" s="431"/>
      <c r="F928" s="431"/>
      <c r="G928" s="432"/>
    </row>
    <row r="929">
      <c r="A929" s="404"/>
      <c r="B929" s="419"/>
      <c r="C929" s="419"/>
      <c r="D929" s="404"/>
      <c r="E929" s="431"/>
      <c r="F929" s="431"/>
      <c r="G929" s="432"/>
    </row>
    <row r="930">
      <c r="A930" s="404"/>
      <c r="B930" s="419"/>
      <c r="C930" s="419"/>
      <c r="D930" s="404"/>
      <c r="E930" s="431"/>
      <c r="F930" s="431"/>
      <c r="G930" s="432"/>
    </row>
    <row r="931">
      <c r="A931" s="404"/>
      <c r="B931" s="419"/>
      <c r="C931" s="419"/>
      <c r="D931" s="404"/>
      <c r="E931" s="431"/>
      <c r="F931" s="431"/>
      <c r="G931" s="432"/>
    </row>
    <row r="932">
      <c r="A932" s="404"/>
      <c r="B932" s="419"/>
      <c r="C932" s="419"/>
      <c r="D932" s="404"/>
      <c r="E932" s="431"/>
      <c r="F932" s="431"/>
      <c r="G932" s="432"/>
    </row>
    <row r="933">
      <c r="A933" s="404"/>
      <c r="B933" s="419"/>
      <c r="C933" s="419"/>
      <c r="D933" s="404"/>
      <c r="E933" s="431"/>
      <c r="F933" s="431"/>
      <c r="G933" s="432"/>
    </row>
    <row r="934">
      <c r="A934" s="404"/>
      <c r="B934" s="419"/>
      <c r="C934" s="419"/>
      <c r="D934" s="404"/>
      <c r="E934" s="431"/>
      <c r="F934" s="431"/>
      <c r="G934" s="432"/>
    </row>
    <row r="935">
      <c r="A935" s="404"/>
      <c r="B935" s="419"/>
      <c r="C935" s="419"/>
      <c r="D935" s="404"/>
      <c r="E935" s="431"/>
      <c r="F935" s="431"/>
      <c r="G935" s="432"/>
    </row>
    <row r="936">
      <c r="A936" s="404"/>
      <c r="B936" s="419"/>
      <c r="C936" s="419"/>
      <c r="D936" s="404"/>
      <c r="E936" s="431"/>
      <c r="F936" s="431"/>
      <c r="G936" s="432"/>
    </row>
    <row r="937">
      <c r="A937" s="404"/>
      <c r="B937" s="419"/>
      <c r="C937" s="419"/>
      <c r="D937" s="404"/>
      <c r="E937" s="431"/>
      <c r="F937" s="431"/>
      <c r="G937" s="432"/>
    </row>
    <row r="938">
      <c r="A938" s="404"/>
      <c r="B938" s="419"/>
      <c r="C938" s="419"/>
      <c r="D938" s="404"/>
      <c r="E938" s="431"/>
      <c r="F938" s="431"/>
      <c r="G938" s="432"/>
    </row>
    <row r="939">
      <c r="A939" s="404"/>
      <c r="B939" s="419"/>
      <c r="C939" s="419"/>
      <c r="D939" s="404"/>
      <c r="E939" s="431"/>
      <c r="F939" s="431"/>
      <c r="G939" s="432"/>
    </row>
    <row r="940">
      <c r="A940" s="404"/>
      <c r="B940" s="419"/>
      <c r="C940" s="419"/>
      <c r="D940" s="404"/>
      <c r="E940" s="431"/>
      <c r="F940" s="431"/>
      <c r="G940" s="432"/>
    </row>
    <row r="941">
      <c r="A941" s="404"/>
      <c r="B941" s="419"/>
      <c r="C941" s="419"/>
      <c r="D941" s="404"/>
      <c r="E941" s="431"/>
      <c r="F941" s="431"/>
      <c r="G941" s="432"/>
    </row>
    <row r="942">
      <c r="A942" s="404"/>
      <c r="B942" s="419"/>
      <c r="C942" s="419"/>
      <c r="D942" s="404"/>
      <c r="E942" s="431"/>
      <c r="F942" s="431"/>
      <c r="G942" s="432"/>
    </row>
    <row r="943">
      <c r="A943" s="404"/>
      <c r="B943" s="419"/>
      <c r="C943" s="419"/>
      <c r="D943" s="404"/>
      <c r="E943" s="431"/>
      <c r="F943" s="431"/>
      <c r="G943" s="432"/>
    </row>
    <row r="944">
      <c r="A944" s="404"/>
      <c r="B944" s="419"/>
      <c r="C944" s="419"/>
      <c r="D944" s="404"/>
      <c r="E944" s="431"/>
      <c r="F944" s="431"/>
      <c r="G944" s="432"/>
    </row>
    <row r="945">
      <c r="A945" s="404"/>
      <c r="B945" s="419"/>
      <c r="C945" s="419"/>
      <c r="D945" s="404"/>
      <c r="E945" s="431"/>
      <c r="F945" s="431"/>
      <c r="G945" s="432"/>
    </row>
    <row r="946">
      <c r="A946" s="404"/>
      <c r="B946" s="419"/>
      <c r="C946" s="419"/>
      <c r="D946" s="404"/>
      <c r="E946" s="431"/>
      <c r="F946" s="431"/>
      <c r="G946" s="432"/>
    </row>
    <row r="947">
      <c r="A947" s="404"/>
      <c r="B947" s="419"/>
      <c r="C947" s="419"/>
      <c r="D947" s="404"/>
      <c r="E947" s="431"/>
      <c r="F947" s="431"/>
      <c r="G947" s="432"/>
    </row>
    <row r="948">
      <c r="A948" s="404"/>
      <c r="B948" s="419"/>
      <c r="C948" s="419"/>
      <c r="D948" s="404"/>
      <c r="E948" s="431"/>
      <c r="F948" s="431"/>
      <c r="G948" s="432"/>
    </row>
    <row r="949">
      <c r="A949" s="404"/>
      <c r="B949" s="419"/>
      <c r="C949" s="419"/>
      <c r="D949" s="404"/>
      <c r="E949" s="431"/>
      <c r="F949" s="431"/>
      <c r="G949" s="432"/>
    </row>
    <row r="950">
      <c r="A950" s="404"/>
      <c r="B950" s="419"/>
      <c r="C950" s="419"/>
      <c r="D950" s="404"/>
      <c r="E950" s="431"/>
      <c r="F950" s="431"/>
      <c r="G950" s="432"/>
    </row>
    <row r="951">
      <c r="A951" s="404"/>
      <c r="B951" s="419"/>
      <c r="C951" s="419"/>
      <c r="D951" s="404"/>
      <c r="E951" s="431"/>
      <c r="F951" s="431"/>
      <c r="G951" s="432"/>
    </row>
    <row r="952">
      <c r="A952" s="404"/>
      <c r="B952" s="419"/>
      <c r="C952" s="419"/>
      <c r="D952" s="404"/>
      <c r="E952" s="431"/>
      <c r="F952" s="431"/>
      <c r="G952" s="432"/>
    </row>
    <row r="953">
      <c r="A953" s="404"/>
      <c r="B953" s="419"/>
      <c r="C953" s="419"/>
      <c r="D953" s="404"/>
      <c r="E953" s="431"/>
      <c r="F953" s="431"/>
      <c r="G953" s="432"/>
    </row>
    <row r="954">
      <c r="A954" s="404"/>
      <c r="B954" s="419"/>
      <c r="C954" s="419"/>
      <c r="D954" s="404"/>
      <c r="E954" s="431"/>
      <c r="F954" s="431"/>
      <c r="G954" s="432"/>
    </row>
    <row r="955">
      <c r="A955" s="404"/>
      <c r="B955" s="419"/>
      <c r="C955" s="419"/>
      <c r="D955" s="404"/>
      <c r="E955" s="431"/>
      <c r="F955" s="431"/>
      <c r="G955" s="432"/>
    </row>
    <row r="956">
      <c r="A956" s="404"/>
      <c r="B956" s="419"/>
      <c r="C956" s="419"/>
      <c r="D956" s="404"/>
      <c r="E956" s="431"/>
      <c r="F956" s="431"/>
      <c r="G956" s="432"/>
    </row>
    <row r="957">
      <c r="A957" s="404"/>
      <c r="B957" s="419"/>
      <c r="C957" s="419"/>
      <c r="D957" s="404"/>
      <c r="E957" s="431"/>
      <c r="F957" s="431"/>
      <c r="G957" s="432"/>
    </row>
    <row r="958">
      <c r="A958" s="404"/>
      <c r="B958" s="419"/>
      <c r="C958" s="419"/>
      <c r="D958" s="404"/>
      <c r="E958" s="431"/>
      <c r="F958" s="431"/>
      <c r="G958" s="432"/>
    </row>
    <row r="959">
      <c r="A959" s="404"/>
      <c r="B959" s="419"/>
      <c r="C959" s="419"/>
      <c r="D959" s="404"/>
      <c r="E959" s="431"/>
      <c r="F959" s="431"/>
      <c r="G959" s="432"/>
    </row>
    <row r="960">
      <c r="A960" s="404"/>
      <c r="B960" s="419"/>
      <c r="C960" s="419"/>
      <c r="D960" s="404"/>
      <c r="E960" s="431"/>
      <c r="F960" s="431"/>
      <c r="G960" s="432"/>
    </row>
    <row r="961">
      <c r="A961" s="404"/>
      <c r="B961" s="419"/>
      <c r="C961" s="419"/>
      <c r="D961" s="404"/>
      <c r="E961" s="431"/>
      <c r="F961" s="431"/>
      <c r="G961" s="432"/>
    </row>
    <row r="962">
      <c r="A962" s="404"/>
      <c r="B962" s="419"/>
      <c r="C962" s="419"/>
      <c r="D962" s="404"/>
      <c r="E962" s="431"/>
      <c r="F962" s="431"/>
      <c r="G962" s="432"/>
    </row>
    <row r="963">
      <c r="A963" s="404"/>
      <c r="B963" s="419"/>
      <c r="C963" s="419"/>
      <c r="D963" s="404"/>
      <c r="E963" s="431"/>
      <c r="F963" s="431"/>
      <c r="G963" s="432"/>
    </row>
    <row r="964">
      <c r="A964" s="404"/>
      <c r="B964" s="419"/>
      <c r="C964" s="419"/>
      <c r="D964" s="404"/>
      <c r="E964" s="431"/>
      <c r="F964" s="431"/>
      <c r="G964" s="432"/>
    </row>
    <row r="965">
      <c r="A965" s="404"/>
      <c r="B965" s="419"/>
      <c r="C965" s="419"/>
      <c r="D965" s="404"/>
      <c r="E965" s="431"/>
      <c r="F965" s="431"/>
      <c r="G965" s="432"/>
    </row>
    <row r="966">
      <c r="A966" s="404"/>
      <c r="B966" s="419"/>
      <c r="C966" s="419"/>
      <c r="D966" s="404"/>
      <c r="E966" s="431"/>
      <c r="F966" s="431"/>
      <c r="G966" s="432"/>
    </row>
    <row r="967">
      <c r="A967" s="404"/>
      <c r="B967" s="419"/>
      <c r="C967" s="419"/>
      <c r="D967" s="404"/>
      <c r="E967" s="431"/>
      <c r="F967" s="431"/>
      <c r="G967" s="432"/>
    </row>
    <row r="968">
      <c r="A968" s="404"/>
      <c r="B968" s="419"/>
      <c r="C968" s="419"/>
      <c r="D968" s="404"/>
      <c r="E968" s="431"/>
      <c r="F968" s="431"/>
      <c r="G968" s="432"/>
    </row>
    <row r="969">
      <c r="A969" s="404"/>
      <c r="B969" s="419"/>
      <c r="C969" s="419"/>
      <c r="D969" s="404"/>
      <c r="E969" s="431"/>
      <c r="F969" s="431"/>
      <c r="G969" s="432"/>
    </row>
    <row r="970">
      <c r="A970" s="404"/>
      <c r="B970" s="419"/>
      <c r="C970" s="419"/>
      <c r="D970" s="404"/>
      <c r="E970" s="431"/>
      <c r="F970" s="431"/>
      <c r="G970" s="432"/>
    </row>
    <row r="971">
      <c r="A971" s="404"/>
      <c r="B971" s="419"/>
      <c r="C971" s="419"/>
      <c r="D971" s="404"/>
      <c r="E971" s="431"/>
      <c r="F971" s="431"/>
      <c r="G971" s="432"/>
    </row>
    <row r="972">
      <c r="A972" s="404"/>
      <c r="B972" s="419"/>
      <c r="C972" s="419"/>
      <c r="D972" s="404"/>
      <c r="E972" s="431"/>
      <c r="F972" s="431"/>
      <c r="G972" s="432"/>
    </row>
    <row r="973">
      <c r="A973" s="404"/>
      <c r="B973" s="419"/>
      <c r="C973" s="419"/>
      <c r="D973" s="404"/>
      <c r="E973" s="431"/>
      <c r="F973" s="431"/>
      <c r="G973" s="432"/>
    </row>
    <row r="974">
      <c r="A974" s="404"/>
      <c r="B974" s="419"/>
      <c r="C974" s="419"/>
      <c r="D974" s="404"/>
      <c r="E974" s="431"/>
      <c r="F974" s="431"/>
      <c r="G974" s="432"/>
    </row>
    <row r="975">
      <c r="A975" s="404"/>
      <c r="B975" s="419"/>
      <c r="C975" s="419"/>
      <c r="D975" s="404"/>
      <c r="E975" s="431"/>
      <c r="F975" s="431"/>
      <c r="G975" s="432"/>
    </row>
    <row r="976">
      <c r="A976" s="404"/>
      <c r="B976" s="419"/>
      <c r="C976" s="419"/>
      <c r="D976" s="404"/>
      <c r="E976" s="431"/>
      <c r="F976" s="431"/>
      <c r="G976" s="432"/>
    </row>
    <row r="977">
      <c r="A977" s="404"/>
      <c r="B977" s="419"/>
      <c r="C977" s="419"/>
      <c r="D977" s="404"/>
      <c r="E977" s="431"/>
      <c r="F977" s="431"/>
      <c r="G977" s="432"/>
    </row>
    <row r="978">
      <c r="A978" s="404"/>
      <c r="B978" s="419"/>
      <c r="C978" s="419"/>
      <c r="D978" s="404"/>
      <c r="E978" s="431"/>
      <c r="F978" s="431"/>
      <c r="G978" s="432"/>
    </row>
    <row r="979">
      <c r="A979" s="404"/>
      <c r="B979" s="419"/>
      <c r="C979" s="419"/>
      <c r="D979" s="404"/>
      <c r="E979" s="431"/>
      <c r="F979" s="431"/>
      <c r="G979" s="432"/>
    </row>
    <row r="980">
      <c r="A980" s="404"/>
      <c r="B980" s="419"/>
      <c r="C980" s="419"/>
      <c r="D980" s="404"/>
      <c r="E980" s="431"/>
      <c r="F980" s="431"/>
      <c r="G980" s="432"/>
    </row>
    <row r="981">
      <c r="A981" s="404"/>
      <c r="B981" s="419"/>
      <c r="C981" s="419"/>
      <c r="D981" s="404"/>
      <c r="E981" s="431"/>
      <c r="F981" s="431"/>
      <c r="G981" s="432"/>
    </row>
    <row r="982">
      <c r="A982" s="404"/>
      <c r="B982" s="419"/>
      <c r="C982" s="419"/>
      <c r="D982" s="404"/>
      <c r="E982" s="431"/>
      <c r="F982" s="431"/>
      <c r="G982" s="432"/>
    </row>
    <row r="983">
      <c r="A983" s="404"/>
      <c r="B983" s="419"/>
      <c r="C983" s="419"/>
      <c r="D983" s="404"/>
      <c r="E983" s="431"/>
      <c r="F983" s="431"/>
      <c r="G983" s="432"/>
    </row>
    <row r="984">
      <c r="A984" s="404"/>
      <c r="B984" s="419"/>
      <c r="C984" s="419"/>
      <c r="D984" s="404"/>
      <c r="E984" s="431"/>
      <c r="F984" s="431"/>
      <c r="G984" s="432"/>
    </row>
    <row r="985">
      <c r="A985" s="404"/>
      <c r="B985" s="419"/>
      <c r="C985" s="419"/>
      <c r="D985" s="404"/>
      <c r="E985" s="431"/>
      <c r="F985" s="431"/>
      <c r="G985" s="432"/>
    </row>
    <row r="986">
      <c r="A986" s="404"/>
      <c r="B986" s="419"/>
      <c r="C986" s="419"/>
      <c r="D986" s="404"/>
      <c r="E986" s="431"/>
      <c r="F986" s="431"/>
      <c r="G986" s="432"/>
    </row>
    <row r="987">
      <c r="A987" s="404"/>
      <c r="B987" s="419"/>
      <c r="C987" s="419"/>
      <c r="D987" s="404"/>
      <c r="E987" s="431"/>
      <c r="F987" s="431"/>
      <c r="G987" s="432"/>
    </row>
    <row r="988">
      <c r="A988" s="404"/>
      <c r="B988" s="419"/>
      <c r="C988" s="419"/>
      <c r="D988" s="404"/>
      <c r="E988" s="431"/>
      <c r="F988" s="431"/>
      <c r="G988" s="432"/>
    </row>
    <row r="989">
      <c r="A989" s="404"/>
      <c r="B989" s="419"/>
      <c r="C989" s="419"/>
      <c r="D989" s="404"/>
      <c r="E989" s="431"/>
      <c r="F989" s="431"/>
      <c r="G989" s="432"/>
    </row>
    <row r="990">
      <c r="A990" s="404"/>
      <c r="B990" s="419"/>
      <c r="C990" s="419"/>
      <c r="D990" s="404"/>
      <c r="E990" s="431"/>
      <c r="F990" s="431"/>
      <c r="G990" s="432"/>
    </row>
    <row r="991">
      <c r="A991" s="404"/>
      <c r="B991" s="419"/>
      <c r="C991" s="419"/>
      <c r="D991" s="404"/>
      <c r="E991" s="431"/>
      <c r="F991" s="431"/>
      <c r="G991" s="432"/>
    </row>
    <row r="992">
      <c r="A992" s="404"/>
      <c r="B992" s="419"/>
      <c r="C992" s="419"/>
      <c r="D992" s="404"/>
      <c r="E992" s="431"/>
      <c r="F992" s="431"/>
      <c r="G992" s="432"/>
    </row>
    <row r="993">
      <c r="A993" s="404"/>
      <c r="B993" s="419"/>
      <c r="C993" s="419"/>
      <c r="D993" s="404"/>
      <c r="E993" s="431"/>
      <c r="F993" s="431"/>
      <c r="G993" s="432"/>
    </row>
    <row r="994">
      <c r="A994" s="404"/>
      <c r="B994" s="419"/>
      <c r="C994" s="419"/>
      <c r="D994" s="404"/>
      <c r="E994" s="431"/>
      <c r="F994" s="431"/>
      <c r="G994" s="432"/>
    </row>
    <row r="995">
      <c r="A995" s="404"/>
      <c r="B995" s="419"/>
      <c r="C995" s="419"/>
      <c r="D995" s="404"/>
      <c r="E995" s="431"/>
      <c r="F995" s="431"/>
      <c r="G995" s="432"/>
    </row>
    <row r="996">
      <c r="A996" s="404"/>
      <c r="B996" s="419"/>
      <c r="C996" s="419"/>
      <c r="D996" s="404"/>
      <c r="E996" s="431"/>
      <c r="F996" s="431"/>
      <c r="G996" s="432"/>
    </row>
    <row r="997">
      <c r="A997" s="404"/>
      <c r="B997" s="419"/>
      <c r="C997" s="419"/>
      <c r="D997" s="404"/>
      <c r="E997" s="431"/>
      <c r="F997" s="431"/>
      <c r="G997" s="432"/>
    </row>
    <row r="998">
      <c r="A998" s="404"/>
      <c r="B998" s="419"/>
      <c r="C998" s="419"/>
      <c r="D998" s="404"/>
      <c r="E998" s="431"/>
      <c r="F998" s="431"/>
      <c r="G998" s="432"/>
    </row>
    <row r="999">
      <c r="A999" s="404"/>
      <c r="B999" s="419"/>
      <c r="C999" s="419"/>
      <c r="D999" s="404"/>
      <c r="E999" s="431"/>
      <c r="F999" s="431"/>
      <c r="G999" s="432"/>
    </row>
    <row r="1000">
      <c r="A1000" s="404"/>
      <c r="B1000" s="419"/>
      <c r="C1000" s="419"/>
      <c r="D1000" s="404"/>
      <c r="E1000" s="431"/>
      <c r="F1000" s="431"/>
      <c r="G1000" s="432"/>
    </row>
    <row r="1001">
      <c r="A1001" s="404"/>
      <c r="B1001" s="419"/>
      <c r="C1001" s="419"/>
      <c r="D1001" s="404"/>
      <c r="E1001" s="431"/>
      <c r="F1001" s="431"/>
      <c r="G1001" s="432"/>
    </row>
    <row r="1002">
      <c r="A1002" s="404"/>
      <c r="B1002" s="419"/>
      <c r="C1002" s="419"/>
      <c r="D1002" s="404"/>
      <c r="E1002" s="431"/>
      <c r="F1002" s="431"/>
      <c r="G1002" s="432"/>
    </row>
  </sheetData>
  <mergeCells count="7">
    <mergeCell ref="A1:G2"/>
    <mergeCell ref="A3:B3"/>
    <mergeCell ref="C3:C4"/>
    <mergeCell ref="D3:D4"/>
    <mergeCell ref="E3:E4"/>
    <mergeCell ref="F3:F4"/>
    <mergeCell ref="G3:G4"/>
  </mergeCells>
  <printOptions/>
  <pageMargins bottom="0.75" footer="0.0" header="0.0" left="0.7" right="0.7" top="0.75"/>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1.22" defaultRowHeight="15.0"/>
  <cols>
    <col customWidth="1" min="1" max="1" width="1.89"/>
    <col customWidth="1" min="2" max="2" width="5.78"/>
    <col customWidth="1" min="3" max="5" width="5.67"/>
    <col customWidth="1" min="8" max="60" width="2.89"/>
    <col customWidth="1" min="61" max="61" width="11.22"/>
    <col customWidth="1" min="62" max="62" width="2.89"/>
  </cols>
  <sheetData>
    <row r="1">
      <c r="A1" s="433"/>
      <c r="B1" s="434"/>
      <c r="C1" s="434"/>
      <c r="D1" s="434"/>
      <c r="E1" s="434"/>
      <c r="F1" s="433"/>
      <c r="G1" s="433"/>
      <c r="H1" s="434"/>
      <c r="I1" s="434"/>
      <c r="J1" s="434"/>
      <c r="K1" s="433"/>
      <c r="L1" s="434"/>
      <c r="M1" s="433"/>
      <c r="N1" s="433"/>
      <c r="O1" s="433"/>
      <c r="P1" s="433"/>
      <c r="Q1" s="433"/>
      <c r="R1" s="433"/>
      <c r="S1" s="433"/>
      <c r="T1" s="433"/>
      <c r="U1" s="433"/>
      <c r="V1" s="433"/>
      <c r="W1" s="433"/>
      <c r="X1" s="433"/>
      <c r="Y1" s="433"/>
      <c r="Z1" s="433"/>
      <c r="AA1" s="433"/>
      <c r="AB1" s="433"/>
      <c r="AC1" s="433"/>
      <c r="AD1" s="433"/>
      <c r="AE1" s="433"/>
      <c r="AF1" s="433"/>
      <c r="AG1" s="433"/>
      <c r="AH1" s="433"/>
      <c r="AI1" s="433"/>
      <c r="AJ1" s="433"/>
      <c r="AK1" s="433"/>
      <c r="AL1" s="433"/>
      <c r="AM1" s="433"/>
      <c r="AN1" s="433"/>
      <c r="AO1" s="433"/>
      <c r="AP1" s="433"/>
      <c r="AQ1" s="433"/>
      <c r="AR1" s="433"/>
      <c r="AS1" s="433"/>
      <c r="AT1" s="433"/>
      <c r="AU1" s="433"/>
      <c r="AV1" s="433"/>
      <c r="AW1" s="433"/>
      <c r="AX1" s="433"/>
      <c r="AY1" s="433"/>
      <c r="AZ1" s="433"/>
      <c r="BA1" s="433"/>
      <c r="BB1" s="433"/>
      <c r="BC1" s="433"/>
      <c r="BD1" s="433"/>
      <c r="BE1" s="433"/>
      <c r="BF1" s="433"/>
      <c r="BG1" s="433"/>
      <c r="BH1" s="433"/>
      <c r="BI1" s="433"/>
      <c r="BJ1" s="433"/>
    </row>
    <row r="2">
      <c r="A2" s="433"/>
      <c r="B2" s="435" t="s">
        <v>1819</v>
      </c>
      <c r="C2" s="436"/>
      <c r="D2" s="436"/>
      <c r="E2" s="436"/>
      <c r="F2" s="436"/>
      <c r="G2" s="436"/>
      <c r="H2" s="437"/>
      <c r="I2" s="437"/>
      <c r="J2" s="437"/>
      <c r="K2" s="437"/>
      <c r="L2" s="437"/>
      <c r="M2" s="437"/>
      <c r="N2" s="437"/>
      <c r="O2" s="437"/>
      <c r="P2" s="437"/>
      <c r="Q2" s="437"/>
      <c r="R2" s="437"/>
      <c r="S2" s="437"/>
      <c r="T2" s="437"/>
      <c r="U2" s="437"/>
      <c r="V2" s="437"/>
      <c r="W2" s="437"/>
      <c r="X2" s="437"/>
      <c r="Y2" s="437"/>
      <c r="Z2" s="437"/>
      <c r="AA2" s="437"/>
      <c r="AB2" s="437"/>
      <c r="AC2" s="437"/>
      <c r="AD2" s="437"/>
      <c r="AE2" s="437"/>
      <c r="AF2" s="437"/>
      <c r="AG2" s="437"/>
      <c r="AH2" s="437"/>
      <c r="AI2" s="437"/>
      <c r="AJ2" s="437"/>
      <c r="AK2" s="437"/>
      <c r="AL2" s="437"/>
      <c r="AM2" s="437"/>
      <c r="AN2" s="437"/>
      <c r="AO2" s="437"/>
      <c r="AP2" s="437"/>
      <c r="AQ2" s="437"/>
      <c r="AR2" s="437"/>
      <c r="AS2" s="437"/>
      <c r="AT2" s="437"/>
      <c r="AU2" s="437"/>
      <c r="AV2" s="437"/>
      <c r="AW2" s="437"/>
      <c r="AX2" s="437"/>
      <c r="AY2" s="437"/>
      <c r="AZ2" s="437"/>
      <c r="BA2" s="437"/>
      <c r="BB2" s="437"/>
      <c r="BC2" s="437"/>
      <c r="BD2" s="437"/>
      <c r="BE2" s="437"/>
      <c r="BF2" s="437"/>
      <c r="BG2" s="437"/>
      <c r="BH2" s="437"/>
      <c r="BI2" s="438"/>
      <c r="BJ2" s="438"/>
    </row>
    <row r="3">
      <c r="A3" s="433"/>
      <c r="B3" s="433"/>
      <c r="C3" s="433"/>
      <c r="D3" s="434"/>
      <c r="E3" s="434"/>
      <c r="F3" s="434"/>
      <c r="G3" s="434"/>
      <c r="H3" s="434"/>
      <c r="I3" s="434"/>
      <c r="J3" s="434"/>
      <c r="K3" s="434"/>
      <c r="L3" s="433"/>
      <c r="M3" s="433"/>
      <c r="N3" s="433"/>
      <c r="O3" s="433"/>
      <c r="P3" s="433"/>
      <c r="Q3" s="433"/>
      <c r="R3" s="433"/>
      <c r="S3" s="433"/>
      <c r="T3" s="433"/>
      <c r="U3" s="433"/>
      <c r="V3" s="433"/>
      <c r="W3" s="433"/>
      <c r="X3" s="433"/>
      <c r="Y3" s="433"/>
      <c r="Z3" s="433"/>
      <c r="AA3" s="433"/>
      <c r="AB3" s="433"/>
      <c r="AC3" s="433"/>
      <c r="AD3" s="433"/>
      <c r="AE3" s="433"/>
      <c r="AF3" s="433"/>
      <c r="AG3" s="433"/>
      <c r="AH3" s="433"/>
      <c r="AI3" s="433"/>
      <c r="AJ3" s="433"/>
      <c r="AK3" s="433"/>
      <c r="AL3" s="433"/>
      <c r="AM3" s="433"/>
      <c r="AN3" s="433"/>
      <c r="AO3" s="433"/>
      <c r="AP3" s="433"/>
      <c r="AQ3" s="433"/>
      <c r="AR3" s="433"/>
      <c r="AS3" s="433"/>
      <c r="AT3" s="433"/>
      <c r="AU3" s="433"/>
      <c r="AV3" s="433"/>
      <c r="AW3" s="433"/>
      <c r="AX3" s="433"/>
      <c r="AY3" s="433"/>
      <c r="AZ3" s="433"/>
      <c r="BA3" s="433"/>
      <c r="BB3" s="433"/>
      <c r="BC3" s="433"/>
      <c r="BD3" s="433"/>
      <c r="BE3" s="433"/>
      <c r="BF3" s="433"/>
      <c r="BG3" s="433"/>
      <c r="BH3" s="433"/>
      <c r="BI3" s="433"/>
      <c r="BJ3" s="433"/>
    </row>
    <row r="4">
      <c r="A4" s="433"/>
      <c r="B4" s="434"/>
      <c r="C4" s="434"/>
      <c r="D4" s="434"/>
      <c r="E4" s="434"/>
      <c r="F4" s="434"/>
      <c r="G4" s="434"/>
      <c r="H4" s="434"/>
      <c r="I4" s="434"/>
      <c r="J4" s="434"/>
      <c r="K4" s="434"/>
      <c r="L4" s="433"/>
      <c r="M4" s="433"/>
      <c r="N4" s="433"/>
      <c r="O4" s="433"/>
      <c r="P4" s="433"/>
      <c r="Q4" s="433"/>
      <c r="R4" s="433"/>
      <c r="S4" s="433"/>
      <c r="T4" s="433"/>
      <c r="U4" s="433"/>
      <c r="V4" s="433"/>
      <c r="W4" s="433"/>
      <c r="X4" s="433"/>
      <c r="Y4" s="433"/>
      <c r="Z4" s="433"/>
      <c r="AA4" s="433"/>
      <c r="AB4" s="433"/>
      <c r="AC4" s="433"/>
      <c r="AD4" s="433"/>
      <c r="AE4" s="433"/>
      <c r="AF4" s="433"/>
      <c r="AG4" s="433"/>
      <c r="AH4" s="433"/>
      <c r="AI4" s="433"/>
      <c r="AJ4" s="433"/>
      <c r="AK4" s="433"/>
      <c r="AL4" s="433"/>
      <c r="AM4" s="433"/>
      <c r="AN4" s="433"/>
      <c r="AO4" s="433"/>
      <c r="AP4" s="433"/>
      <c r="AQ4" s="433"/>
      <c r="AR4" s="433"/>
      <c r="AS4" s="433"/>
      <c r="AT4" s="433"/>
      <c r="AU4" s="433"/>
      <c r="AV4" s="433"/>
      <c r="AW4" s="433"/>
      <c r="AX4" s="433"/>
      <c r="AY4" s="433"/>
      <c r="AZ4" s="433"/>
      <c r="BA4" s="433"/>
      <c r="BB4" s="433"/>
      <c r="BC4" s="433"/>
      <c r="BD4" s="433"/>
      <c r="BE4" s="433"/>
      <c r="BF4" s="433"/>
      <c r="BG4" s="433"/>
      <c r="BH4" s="433"/>
      <c r="BI4" s="433"/>
      <c r="BJ4" s="433"/>
    </row>
    <row r="5">
      <c r="A5" s="433"/>
      <c r="B5" s="439" t="s">
        <v>1820</v>
      </c>
      <c r="C5" s="439" t="s">
        <v>1821</v>
      </c>
      <c r="H5" s="440" t="s">
        <v>1822</v>
      </c>
      <c r="V5" s="367"/>
      <c r="W5" s="441" t="s">
        <v>1823</v>
      </c>
      <c r="AP5" s="367"/>
      <c r="AQ5" s="441" t="s">
        <v>1824</v>
      </c>
      <c r="BI5" s="441" t="s">
        <v>33</v>
      </c>
      <c r="BJ5" s="442"/>
    </row>
    <row r="6">
      <c r="A6" s="433"/>
      <c r="H6" s="443"/>
      <c r="I6" s="444"/>
      <c r="J6" s="444"/>
      <c r="K6" s="444"/>
      <c r="L6" s="444"/>
      <c r="M6" s="444"/>
      <c r="N6" s="444"/>
      <c r="O6" s="444"/>
      <c r="P6" s="444"/>
      <c r="Q6" s="444"/>
      <c r="R6" s="444"/>
      <c r="S6" s="444"/>
      <c r="T6" s="444"/>
      <c r="U6" s="444"/>
      <c r="V6" s="445"/>
      <c r="AP6" s="367"/>
      <c r="BJ6" s="442"/>
    </row>
    <row r="7">
      <c r="A7" s="433"/>
      <c r="H7" s="446">
        <v>13.0</v>
      </c>
      <c r="I7" s="447">
        <v>14.0</v>
      </c>
      <c r="J7" s="448">
        <v>15.0</v>
      </c>
      <c r="K7" s="449">
        <v>16.0</v>
      </c>
      <c r="L7" s="448">
        <v>17.0</v>
      </c>
      <c r="M7" s="448">
        <v>20.0</v>
      </c>
      <c r="N7" s="448">
        <v>21.0</v>
      </c>
      <c r="O7" s="449">
        <v>22.0</v>
      </c>
      <c r="P7" s="448">
        <v>23.0</v>
      </c>
      <c r="Q7" s="448">
        <v>24.0</v>
      </c>
      <c r="R7" s="448">
        <v>27.0</v>
      </c>
      <c r="S7" s="449">
        <v>28.0</v>
      </c>
      <c r="T7" s="449">
        <v>29.0</v>
      </c>
      <c r="U7" s="448">
        <v>30.0</v>
      </c>
      <c r="V7" s="450">
        <v>31.0</v>
      </c>
      <c r="W7" s="448">
        <v>3.0</v>
      </c>
      <c r="X7" s="448">
        <v>4.0</v>
      </c>
      <c r="Y7" s="447">
        <v>5.0</v>
      </c>
      <c r="Z7" s="447">
        <v>6.0</v>
      </c>
      <c r="AA7" s="447">
        <v>7.0</v>
      </c>
      <c r="AB7" s="447">
        <v>10.0</v>
      </c>
      <c r="AC7" s="447">
        <v>11.0</v>
      </c>
      <c r="AD7" s="447">
        <v>12.0</v>
      </c>
      <c r="AE7" s="447">
        <v>13.0</v>
      </c>
      <c r="AF7" s="447">
        <v>14.0</v>
      </c>
      <c r="AG7" s="447">
        <v>17.0</v>
      </c>
      <c r="AH7" s="447">
        <v>18.0</v>
      </c>
      <c r="AI7" s="447">
        <v>19.0</v>
      </c>
      <c r="AJ7" s="447">
        <v>20.0</v>
      </c>
      <c r="AK7" s="447">
        <v>21.0</v>
      </c>
      <c r="AL7" s="447">
        <v>24.0</v>
      </c>
      <c r="AM7" s="447">
        <v>25.0</v>
      </c>
      <c r="AN7" s="447">
        <v>26.0</v>
      </c>
      <c r="AO7" s="447">
        <v>27.0</v>
      </c>
      <c r="AP7" s="451">
        <v>28.0</v>
      </c>
      <c r="AQ7" s="447">
        <v>1.0</v>
      </c>
      <c r="AR7" s="447">
        <v>2.0</v>
      </c>
      <c r="AS7" s="447">
        <v>3.0</v>
      </c>
      <c r="AT7" s="447">
        <v>4.0</v>
      </c>
      <c r="AU7" s="447">
        <v>5.0</v>
      </c>
      <c r="AV7" s="447">
        <v>8.0</v>
      </c>
      <c r="AW7" s="447">
        <v>9.0</v>
      </c>
      <c r="AX7" s="447">
        <v>10.0</v>
      </c>
      <c r="AY7" s="447">
        <v>11.0</v>
      </c>
      <c r="AZ7" s="447">
        <v>12.0</v>
      </c>
      <c r="BA7" s="447">
        <v>15.0</v>
      </c>
      <c r="BB7" s="447">
        <v>16.0</v>
      </c>
      <c r="BC7" s="447">
        <v>17.0</v>
      </c>
      <c r="BD7" s="447">
        <v>18.0</v>
      </c>
      <c r="BE7" s="447">
        <v>19.0</v>
      </c>
      <c r="BF7" s="447">
        <v>22.0</v>
      </c>
      <c r="BG7" s="447">
        <v>23.0</v>
      </c>
      <c r="BH7" s="447">
        <v>24.0</v>
      </c>
      <c r="BJ7" s="452"/>
    </row>
    <row r="8" ht="22.5" customHeight="1">
      <c r="A8" s="433"/>
      <c r="B8" s="453">
        <v>1.0</v>
      </c>
      <c r="C8" s="454" t="s">
        <v>1825</v>
      </c>
      <c r="F8" s="455" t="s">
        <v>1826</v>
      </c>
      <c r="G8" s="456"/>
      <c r="H8" s="457" t="s">
        <v>1827</v>
      </c>
      <c r="I8" s="458"/>
      <c r="J8" s="458"/>
      <c r="K8" s="458"/>
      <c r="L8" s="458"/>
      <c r="M8" s="458"/>
      <c r="N8" s="458"/>
      <c r="O8" s="458"/>
      <c r="P8" s="458"/>
      <c r="Q8" s="458"/>
      <c r="R8" s="458"/>
      <c r="S8" s="459"/>
      <c r="T8" s="460" t="s">
        <v>1828</v>
      </c>
      <c r="U8" s="181"/>
      <c r="V8" s="181"/>
      <c r="W8" s="181"/>
      <c r="X8" s="181"/>
      <c r="Y8" s="181"/>
      <c r="Z8" s="181"/>
      <c r="AA8" s="181"/>
      <c r="AB8" s="181"/>
      <c r="AC8" s="181"/>
      <c r="AD8" s="181"/>
      <c r="AE8" s="181"/>
      <c r="AF8" s="181"/>
      <c r="AG8" s="181"/>
      <c r="AH8" s="181"/>
      <c r="AI8" s="181"/>
      <c r="AJ8" s="181"/>
      <c r="AK8" s="181"/>
      <c r="AL8" s="181"/>
      <c r="AM8" s="181"/>
      <c r="AN8" s="181"/>
      <c r="AO8" s="181"/>
      <c r="AP8" s="461"/>
      <c r="AQ8" s="462"/>
      <c r="AR8" s="463"/>
      <c r="AS8" s="463"/>
      <c r="AT8" s="463"/>
      <c r="AU8" s="463"/>
      <c r="AV8" s="463"/>
      <c r="AW8" s="463"/>
      <c r="AX8" s="463"/>
      <c r="AY8" s="463"/>
      <c r="AZ8" s="464"/>
      <c r="BA8" s="464"/>
      <c r="BB8" s="464"/>
      <c r="BC8" s="464"/>
      <c r="BD8" s="464"/>
      <c r="BE8" s="464"/>
      <c r="BF8" s="464"/>
      <c r="BG8" s="464"/>
      <c r="BH8" s="465" t="s">
        <v>1829</v>
      </c>
      <c r="BI8" s="466" t="s">
        <v>112</v>
      </c>
      <c r="BJ8" s="467"/>
    </row>
    <row r="9" ht="22.5" customHeight="1">
      <c r="A9" s="433"/>
      <c r="F9" s="455" t="s">
        <v>1830</v>
      </c>
      <c r="G9" s="456"/>
      <c r="H9" s="468"/>
      <c r="I9" s="469"/>
      <c r="J9" s="470"/>
      <c r="K9" s="470"/>
      <c r="L9" s="470"/>
      <c r="M9" s="471" t="s">
        <v>1831</v>
      </c>
      <c r="N9" s="181"/>
      <c r="O9" s="181"/>
      <c r="P9" s="181"/>
      <c r="Q9" s="181"/>
      <c r="R9" s="181"/>
      <c r="S9" s="182"/>
      <c r="T9" s="472" t="s">
        <v>1832</v>
      </c>
      <c r="U9" s="181"/>
      <c r="V9" s="181"/>
      <c r="W9" s="181"/>
      <c r="X9" s="181"/>
      <c r="Y9" s="181"/>
      <c r="Z9" s="181"/>
      <c r="AA9" s="181"/>
      <c r="AB9" s="181"/>
      <c r="AC9" s="181"/>
      <c r="AD9" s="181"/>
      <c r="AE9" s="181"/>
      <c r="AF9" s="181"/>
      <c r="AG9" s="181"/>
      <c r="AH9" s="181"/>
      <c r="AI9" s="181"/>
      <c r="AJ9" s="181"/>
      <c r="AK9" s="181"/>
      <c r="AL9" s="181"/>
      <c r="AM9" s="181"/>
      <c r="AN9" s="181"/>
      <c r="AO9" s="181"/>
      <c r="AP9" s="461"/>
      <c r="AQ9" s="473"/>
      <c r="AR9" s="474"/>
      <c r="AS9" s="474"/>
      <c r="AT9" s="474"/>
      <c r="AU9" s="474"/>
      <c r="AV9" s="474"/>
      <c r="AW9" s="474"/>
      <c r="AX9" s="474"/>
      <c r="AY9" s="474"/>
      <c r="AZ9" s="475"/>
      <c r="BA9" s="475"/>
      <c r="BB9" s="475"/>
      <c r="BC9" s="475"/>
      <c r="BD9" s="475"/>
      <c r="BE9" s="475"/>
      <c r="BF9" s="475"/>
      <c r="BG9" s="475"/>
      <c r="BH9" s="476"/>
      <c r="BI9" s="466" t="s">
        <v>112</v>
      </c>
      <c r="BJ9" s="467"/>
    </row>
    <row r="10" ht="22.5" customHeight="1">
      <c r="A10" s="433"/>
      <c r="C10" s="477"/>
      <c r="D10" s="477"/>
      <c r="E10" s="477"/>
      <c r="F10" s="455" t="s">
        <v>1793</v>
      </c>
      <c r="G10" s="456"/>
      <c r="H10" s="478"/>
      <c r="I10" s="479"/>
      <c r="J10" s="480"/>
      <c r="K10" s="480"/>
      <c r="L10" s="480"/>
      <c r="M10" s="480"/>
      <c r="N10" s="480"/>
      <c r="O10" s="480"/>
      <c r="P10" s="480"/>
      <c r="Q10" s="480"/>
      <c r="R10" s="480"/>
      <c r="S10" s="480"/>
      <c r="T10" s="481"/>
      <c r="U10" s="480"/>
      <c r="V10" s="482"/>
      <c r="W10" s="483"/>
      <c r="X10" s="480"/>
      <c r="Y10" s="484"/>
      <c r="Z10" s="484"/>
      <c r="AA10" s="484"/>
      <c r="AB10" s="484"/>
      <c r="AC10" s="484"/>
      <c r="AD10" s="484"/>
      <c r="AE10" s="484"/>
      <c r="AF10" s="484"/>
      <c r="AG10" s="484"/>
      <c r="AH10" s="484"/>
      <c r="AI10" s="484"/>
      <c r="AJ10" s="484"/>
      <c r="AK10" s="484"/>
      <c r="AL10" s="484"/>
      <c r="AM10" s="484"/>
      <c r="AN10" s="484"/>
      <c r="AO10" s="484"/>
      <c r="AP10" s="485"/>
      <c r="AQ10" s="486"/>
      <c r="AR10" s="484"/>
      <c r="AS10" s="484"/>
      <c r="AT10" s="484"/>
      <c r="AU10" s="484"/>
      <c r="AV10" s="484"/>
      <c r="AW10" s="484"/>
      <c r="AX10" s="484"/>
      <c r="AY10" s="484"/>
      <c r="AZ10" s="487"/>
      <c r="BA10" s="487"/>
      <c r="BB10" s="487"/>
      <c r="BC10" s="487"/>
      <c r="BD10" s="487"/>
      <c r="BE10" s="487"/>
      <c r="BF10" s="487"/>
      <c r="BG10" s="487"/>
      <c r="BH10" s="476"/>
      <c r="BI10" s="466" t="s">
        <v>112</v>
      </c>
      <c r="BJ10" s="467"/>
    </row>
    <row r="11" ht="22.5" customHeight="1">
      <c r="A11" s="433"/>
      <c r="B11" s="453">
        <v>2.0</v>
      </c>
      <c r="C11" s="488" t="s">
        <v>1833</v>
      </c>
      <c r="D11" s="489"/>
      <c r="E11" s="489"/>
      <c r="F11" s="490" t="s">
        <v>1749</v>
      </c>
      <c r="G11" s="491"/>
      <c r="H11" s="492"/>
      <c r="I11" s="493"/>
      <c r="J11" s="494"/>
      <c r="K11" s="494"/>
      <c r="L11" s="494"/>
      <c r="M11" s="494"/>
      <c r="N11" s="494"/>
      <c r="O11" s="494"/>
      <c r="P11" s="494"/>
      <c r="Q11" s="494"/>
      <c r="R11" s="494"/>
      <c r="S11" s="494"/>
      <c r="T11" s="495"/>
      <c r="U11" s="494"/>
      <c r="V11" s="496"/>
      <c r="W11" s="497"/>
      <c r="X11" s="494"/>
      <c r="Y11" s="498"/>
      <c r="Z11" s="498"/>
      <c r="AA11" s="498"/>
      <c r="AB11" s="498"/>
      <c r="AC11" s="498"/>
      <c r="AD11" s="498"/>
      <c r="AE11" s="498"/>
      <c r="AF11" s="498"/>
      <c r="AG11" s="498"/>
      <c r="AH11" s="498"/>
      <c r="AI11" s="498"/>
      <c r="AJ11" s="498"/>
      <c r="AK11" s="498"/>
      <c r="AL11" s="498"/>
      <c r="AM11" s="498"/>
      <c r="AN11" s="498"/>
      <c r="AO11" s="498"/>
      <c r="AP11" s="499"/>
      <c r="AQ11" s="500"/>
      <c r="AR11" s="498"/>
      <c r="AS11" s="498"/>
      <c r="AT11" s="498"/>
      <c r="AU11" s="498"/>
      <c r="AV11" s="498"/>
      <c r="AW11" s="498"/>
      <c r="AX11" s="498"/>
      <c r="AY11" s="498"/>
      <c r="AZ11" s="501"/>
      <c r="BA11" s="501"/>
      <c r="BB11" s="501"/>
      <c r="BC11" s="501"/>
      <c r="BD11" s="501"/>
      <c r="BE11" s="501"/>
      <c r="BF11" s="501"/>
      <c r="BG11" s="501"/>
      <c r="BH11" s="476"/>
      <c r="BI11" s="466" t="s">
        <v>1660</v>
      </c>
      <c r="BJ11" s="467"/>
    </row>
    <row r="12" ht="22.5" customHeight="1">
      <c r="A12" s="433"/>
      <c r="C12" s="502"/>
      <c r="D12" s="502"/>
      <c r="E12" s="502"/>
      <c r="F12" s="503" t="s">
        <v>1834</v>
      </c>
      <c r="G12" s="504"/>
      <c r="H12" s="505" t="s">
        <v>1835</v>
      </c>
      <c r="I12" s="506"/>
      <c r="J12" s="506"/>
      <c r="K12" s="506"/>
      <c r="L12" s="506"/>
      <c r="M12" s="506"/>
      <c r="N12" s="506"/>
      <c r="O12" s="506"/>
      <c r="P12" s="506"/>
      <c r="Q12" s="506"/>
      <c r="R12" s="506"/>
      <c r="S12" s="506"/>
      <c r="T12" s="506"/>
      <c r="U12" s="506"/>
      <c r="V12" s="507"/>
      <c r="W12" s="508" t="s">
        <v>1836</v>
      </c>
      <c r="X12" s="506"/>
      <c r="Y12" s="506"/>
      <c r="Z12" s="506"/>
      <c r="AA12" s="506"/>
      <c r="AB12" s="506"/>
      <c r="AC12" s="506"/>
      <c r="AD12" s="506"/>
      <c r="AE12" s="506"/>
      <c r="AF12" s="506"/>
      <c r="AG12" s="506"/>
      <c r="AH12" s="506"/>
      <c r="AI12" s="506"/>
      <c r="AJ12" s="506"/>
      <c r="AK12" s="506"/>
      <c r="AL12" s="506"/>
      <c r="AM12" s="506"/>
      <c r="AN12" s="506"/>
      <c r="AO12" s="506"/>
      <c r="AP12" s="506"/>
      <c r="AQ12" s="506"/>
      <c r="AR12" s="506"/>
      <c r="AS12" s="506"/>
      <c r="AT12" s="506"/>
      <c r="AU12" s="509"/>
      <c r="AV12" s="510"/>
      <c r="AW12" s="510"/>
      <c r="AX12" s="510"/>
      <c r="AY12" s="510"/>
      <c r="AZ12" s="511"/>
      <c r="BA12" s="511"/>
      <c r="BB12" s="511"/>
      <c r="BC12" s="511"/>
      <c r="BD12" s="511"/>
      <c r="BE12" s="511"/>
      <c r="BF12" s="511"/>
      <c r="BG12" s="511"/>
      <c r="BH12" s="476"/>
      <c r="BI12" s="466" t="s">
        <v>1660</v>
      </c>
      <c r="BJ12" s="467"/>
    </row>
    <row r="13" ht="22.5" customHeight="1">
      <c r="A13" s="433"/>
      <c r="B13" s="453">
        <v>3.0</v>
      </c>
      <c r="C13" s="454" t="s">
        <v>1802</v>
      </c>
      <c r="F13" s="455" t="s">
        <v>1837</v>
      </c>
      <c r="G13" s="456"/>
      <c r="H13" s="512"/>
      <c r="I13" s="513"/>
      <c r="J13" s="463"/>
      <c r="K13" s="463"/>
      <c r="L13" s="463"/>
      <c r="M13" s="463"/>
      <c r="N13" s="463"/>
      <c r="O13" s="463"/>
      <c r="P13" s="463"/>
      <c r="Q13" s="463"/>
      <c r="R13" s="463"/>
      <c r="S13" s="463"/>
      <c r="T13" s="463"/>
      <c r="U13" s="463"/>
      <c r="V13" s="514"/>
      <c r="W13" s="515"/>
      <c r="X13" s="458"/>
      <c r="Y13" s="458"/>
      <c r="Z13" s="458"/>
      <c r="AA13" s="459"/>
      <c r="AB13" s="463"/>
      <c r="AC13" s="463"/>
      <c r="AD13" s="463"/>
      <c r="AE13" s="463"/>
      <c r="AF13" s="463"/>
      <c r="AG13" s="463"/>
      <c r="AH13" s="463"/>
      <c r="AI13" s="463"/>
      <c r="AJ13" s="463"/>
      <c r="AK13" s="463"/>
      <c r="AL13" s="463"/>
      <c r="AM13" s="463"/>
      <c r="AN13" s="463"/>
      <c r="AO13" s="463"/>
      <c r="AP13" s="514"/>
      <c r="AQ13" s="462"/>
      <c r="AR13" s="463"/>
      <c r="AS13" s="463"/>
      <c r="AT13" s="463"/>
      <c r="AU13" s="463"/>
      <c r="AV13" s="463"/>
      <c r="AW13" s="463"/>
      <c r="AX13" s="463"/>
      <c r="AY13" s="463"/>
      <c r="AZ13" s="464"/>
      <c r="BA13" s="464"/>
      <c r="BB13" s="464"/>
      <c r="BC13" s="464"/>
      <c r="BD13" s="464"/>
      <c r="BE13" s="464"/>
      <c r="BF13" s="464"/>
      <c r="BG13" s="464"/>
      <c r="BH13" s="476"/>
      <c r="BI13" s="466" t="s">
        <v>1838</v>
      </c>
      <c r="BJ13" s="467"/>
    </row>
    <row r="14" ht="22.5" customHeight="1">
      <c r="A14" s="433"/>
      <c r="F14" s="455" t="s">
        <v>1804</v>
      </c>
      <c r="G14" s="456"/>
      <c r="H14" s="468"/>
      <c r="I14" s="469"/>
      <c r="J14" s="474"/>
      <c r="K14" s="474"/>
      <c r="L14" s="474"/>
      <c r="M14" s="474"/>
      <c r="N14" s="474"/>
      <c r="O14" s="474"/>
      <c r="P14" s="474"/>
      <c r="Q14" s="474"/>
      <c r="R14" s="474"/>
      <c r="S14" s="474"/>
      <c r="T14" s="474"/>
      <c r="U14" s="474"/>
      <c r="V14" s="516"/>
      <c r="W14" s="517" t="s">
        <v>1839</v>
      </c>
      <c r="X14" s="181"/>
      <c r="Y14" s="181"/>
      <c r="Z14" s="181"/>
      <c r="AA14" s="182"/>
      <c r="AB14" s="518" t="s">
        <v>1840</v>
      </c>
      <c r="AC14" s="181"/>
      <c r="AD14" s="182"/>
      <c r="AE14" s="474"/>
      <c r="AF14" s="474"/>
      <c r="AG14" s="474"/>
      <c r="AH14" s="474"/>
      <c r="AI14" s="474"/>
      <c r="AJ14" s="474"/>
      <c r="AK14" s="474"/>
      <c r="AL14" s="474"/>
      <c r="AM14" s="474"/>
      <c r="AN14" s="474"/>
      <c r="AO14" s="474"/>
      <c r="AP14" s="516"/>
      <c r="AQ14" s="473"/>
      <c r="AR14" s="474"/>
      <c r="AS14" s="474"/>
      <c r="AT14" s="474"/>
      <c r="AU14" s="474"/>
      <c r="AV14" s="474"/>
      <c r="AW14" s="474"/>
      <c r="AX14" s="474"/>
      <c r="AY14" s="474"/>
      <c r="AZ14" s="475"/>
      <c r="BA14" s="475"/>
      <c r="BB14" s="475"/>
      <c r="BC14" s="475"/>
      <c r="BD14" s="475"/>
      <c r="BE14" s="475"/>
      <c r="BF14" s="475"/>
      <c r="BG14" s="475"/>
      <c r="BH14" s="476"/>
      <c r="BI14" s="466" t="s">
        <v>1838</v>
      </c>
      <c r="BJ14" s="467"/>
    </row>
    <row r="15" ht="22.5" customHeight="1">
      <c r="A15" s="433"/>
      <c r="F15" s="455" t="s">
        <v>1802</v>
      </c>
      <c r="G15" s="456"/>
      <c r="H15" s="468"/>
      <c r="I15" s="469"/>
      <c r="J15" s="474"/>
      <c r="K15" s="474"/>
      <c r="L15" s="474"/>
      <c r="M15" s="474"/>
      <c r="N15" s="474"/>
      <c r="O15" s="474"/>
      <c r="P15" s="474"/>
      <c r="Q15" s="474"/>
      <c r="R15" s="474"/>
      <c r="S15" s="474"/>
      <c r="T15" s="474"/>
      <c r="U15" s="474"/>
      <c r="V15" s="516"/>
      <c r="W15" s="473"/>
      <c r="X15" s="474"/>
      <c r="Y15" s="474"/>
      <c r="Z15" s="474"/>
      <c r="AA15" s="474"/>
      <c r="AB15" s="519" t="s">
        <v>1841</v>
      </c>
      <c r="AC15" s="181"/>
      <c r="AD15" s="181"/>
      <c r="AE15" s="181"/>
      <c r="AF15" s="182"/>
      <c r="AG15" s="520"/>
      <c r="AH15" s="520"/>
      <c r="AI15" s="520"/>
      <c r="AJ15" s="520"/>
      <c r="AK15" s="520"/>
      <c r="AL15" s="474"/>
      <c r="AM15" s="474"/>
      <c r="AN15" s="474"/>
      <c r="AO15" s="474"/>
      <c r="AP15" s="516"/>
      <c r="AQ15" s="473"/>
      <c r="AR15" s="474"/>
      <c r="AS15" s="474"/>
      <c r="AT15" s="474"/>
      <c r="AU15" s="474"/>
      <c r="AV15" s="474"/>
      <c r="AW15" s="474"/>
      <c r="AX15" s="474"/>
      <c r="AY15" s="474"/>
      <c r="AZ15" s="475"/>
      <c r="BA15" s="475"/>
      <c r="BB15" s="475"/>
      <c r="BC15" s="475"/>
      <c r="BD15" s="475"/>
      <c r="BE15" s="475"/>
      <c r="BF15" s="475"/>
      <c r="BG15" s="475"/>
      <c r="BH15" s="476"/>
      <c r="BI15" s="466" t="s">
        <v>1838</v>
      </c>
      <c r="BJ15" s="467"/>
    </row>
    <row r="16" ht="22.5" customHeight="1">
      <c r="A16" s="433"/>
      <c r="F16" s="455" t="s">
        <v>1766</v>
      </c>
      <c r="G16" s="456"/>
      <c r="H16" s="468"/>
      <c r="I16" s="469"/>
      <c r="J16" s="474"/>
      <c r="K16" s="474"/>
      <c r="L16" s="474"/>
      <c r="M16" s="474"/>
      <c r="N16" s="474"/>
      <c r="O16" s="474"/>
      <c r="P16" s="474"/>
      <c r="Q16" s="474"/>
      <c r="R16" s="474"/>
      <c r="S16" s="474"/>
      <c r="T16" s="474"/>
      <c r="U16" s="474"/>
      <c r="V16" s="516"/>
      <c r="W16" s="473"/>
      <c r="X16" s="474"/>
      <c r="Y16" s="474"/>
      <c r="Z16" s="474"/>
      <c r="AA16" s="474"/>
      <c r="AB16" s="520"/>
      <c r="AC16" s="520"/>
      <c r="AD16" s="520"/>
      <c r="AE16" s="520"/>
      <c r="AF16" s="520"/>
      <c r="AG16" s="521" t="s">
        <v>1842</v>
      </c>
      <c r="AH16" s="181"/>
      <c r="AI16" s="181"/>
      <c r="AJ16" s="181"/>
      <c r="AK16" s="182"/>
      <c r="AL16" s="474"/>
      <c r="AM16" s="474"/>
      <c r="AN16" s="474"/>
      <c r="AO16" s="474"/>
      <c r="AP16" s="516"/>
      <c r="AQ16" s="473"/>
      <c r="AR16" s="474"/>
      <c r="AS16" s="474"/>
      <c r="AT16" s="474"/>
      <c r="AU16" s="474"/>
      <c r="AV16" s="474"/>
      <c r="AW16" s="474"/>
      <c r="AX16" s="474"/>
      <c r="AY16" s="474"/>
      <c r="AZ16" s="475"/>
      <c r="BA16" s="475"/>
      <c r="BB16" s="475"/>
      <c r="BC16" s="475"/>
      <c r="BD16" s="475"/>
      <c r="BE16" s="475"/>
      <c r="BF16" s="475"/>
      <c r="BG16" s="475"/>
      <c r="BH16" s="476"/>
      <c r="BI16" s="466" t="s">
        <v>1838</v>
      </c>
      <c r="BJ16" s="467"/>
    </row>
    <row r="17" ht="22.5" customHeight="1">
      <c r="A17" s="433"/>
      <c r="C17" s="522"/>
      <c r="D17" s="522"/>
      <c r="E17" s="522"/>
      <c r="F17" s="455" t="s">
        <v>1843</v>
      </c>
      <c r="G17" s="456"/>
      <c r="H17" s="478"/>
      <c r="I17" s="479"/>
      <c r="J17" s="484"/>
      <c r="K17" s="484"/>
      <c r="L17" s="484"/>
      <c r="M17" s="484"/>
      <c r="N17" s="484"/>
      <c r="O17" s="484"/>
      <c r="P17" s="484"/>
      <c r="Q17" s="484"/>
      <c r="R17" s="484"/>
      <c r="S17" s="484"/>
      <c r="T17" s="484"/>
      <c r="U17" s="484"/>
      <c r="V17" s="485"/>
      <c r="W17" s="486"/>
      <c r="X17" s="484"/>
      <c r="Y17" s="484"/>
      <c r="Z17" s="484"/>
      <c r="AA17" s="484"/>
      <c r="AB17" s="484"/>
      <c r="AC17" s="484"/>
      <c r="AD17" s="484"/>
      <c r="AE17" s="484"/>
      <c r="AF17" s="484"/>
      <c r="AG17" s="484"/>
      <c r="AH17" s="484"/>
      <c r="AI17" s="484"/>
      <c r="AJ17" s="484"/>
      <c r="AK17" s="484"/>
      <c r="AL17" s="484"/>
      <c r="AM17" s="484"/>
      <c r="AN17" s="484"/>
      <c r="AO17" s="484"/>
      <c r="AP17" s="485"/>
      <c r="AQ17" s="523" t="s">
        <v>1844</v>
      </c>
      <c r="AR17" s="524"/>
      <c r="AS17" s="524"/>
      <c r="AT17" s="524"/>
      <c r="AU17" s="525"/>
      <c r="AV17" s="484"/>
      <c r="AW17" s="484"/>
      <c r="AX17" s="484"/>
      <c r="AY17" s="484"/>
      <c r="AZ17" s="487"/>
      <c r="BA17" s="487"/>
      <c r="BB17" s="487"/>
      <c r="BC17" s="487"/>
      <c r="BD17" s="487"/>
      <c r="BE17" s="487"/>
      <c r="BF17" s="487"/>
      <c r="BG17" s="487"/>
      <c r="BH17" s="476"/>
      <c r="BI17" s="466" t="s">
        <v>1838</v>
      </c>
      <c r="BJ17" s="467"/>
    </row>
    <row r="18" ht="22.5" customHeight="1">
      <c r="A18" s="433"/>
      <c r="B18" s="453">
        <v>4.0</v>
      </c>
      <c r="C18" s="488" t="s">
        <v>1845</v>
      </c>
      <c r="D18" s="489"/>
      <c r="E18" s="489"/>
      <c r="F18" s="490" t="s">
        <v>1846</v>
      </c>
      <c r="G18" s="491"/>
      <c r="H18" s="492"/>
      <c r="I18" s="493"/>
      <c r="J18" s="498"/>
      <c r="K18" s="498"/>
      <c r="L18" s="498"/>
      <c r="M18" s="498"/>
      <c r="N18" s="498"/>
      <c r="O18" s="498"/>
      <c r="P18" s="498"/>
      <c r="Q18" s="498"/>
      <c r="R18" s="498"/>
      <c r="S18" s="498"/>
      <c r="T18" s="498"/>
      <c r="U18" s="498"/>
      <c r="V18" s="499"/>
      <c r="W18" s="500"/>
      <c r="X18" s="498"/>
      <c r="Y18" s="498"/>
      <c r="Z18" s="498"/>
      <c r="AA18" s="498"/>
      <c r="AB18" s="526" t="s">
        <v>1847</v>
      </c>
      <c r="AC18" s="527"/>
      <c r="AD18" s="527"/>
      <c r="AE18" s="527"/>
      <c r="AF18" s="528"/>
      <c r="AG18" s="498"/>
      <c r="AH18" s="498"/>
      <c r="AI18" s="498"/>
      <c r="AJ18" s="498"/>
      <c r="AK18" s="498"/>
      <c r="AL18" s="498"/>
      <c r="AM18" s="498"/>
      <c r="AN18" s="498"/>
      <c r="AO18" s="498"/>
      <c r="AP18" s="499"/>
      <c r="AQ18" s="500"/>
      <c r="AR18" s="498"/>
      <c r="AS18" s="498"/>
      <c r="AT18" s="498"/>
      <c r="AU18" s="498"/>
      <c r="AV18" s="498"/>
      <c r="AW18" s="498"/>
      <c r="AX18" s="498"/>
      <c r="AY18" s="498"/>
      <c r="AZ18" s="501"/>
      <c r="BA18" s="501"/>
      <c r="BB18" s="501"/>
      <c r="BC18" s="501"/>
      <c r="BD18" s="501"/>
      <c r="BE18" s="501"/>
      <c r="BF18" s="501"/>
      <c r="BG18" s="501"/>
      <c r="BH18" s="476"/>
      <c r="BI18" s="466" t="s">
        <v>1773</v>
      </c>
      <c r="BJ18" s="467"/>
    </row>
    <row r="19" ht="22.5" customHeight="1">
      <c r="A19" s="433"/>
      <c r="F19" s="455" t="s">
        <v>1848</v>
      </c>
      <c r="G19" s="456"/>
      <c r="H19" s="468"/>
      <c r="I19" s="469"/>
      <c r="J19" s="474"/>
      <c r="K19" s="474"/>
      <c r="L19" s="474"/>
      <c r="M19" s="474"/>
      <c r="N19" s="474"/>
      <c r="O19" s="474"/>
      <c r="P19" s="474"/>
      <c r="Q19" s="474"/>
      <c r="R19" s="474"/>
      <c r="S19" s="474"/>
      <c r="T19" s="474"/>
      <c r="U19" s="474"/>
      <c r="V19" s="516"/>
      <c r="W19" s="473"/>
      <c r="X19" s="474"/>
      <c r="Y19" s="474"/>
      <c r="Z19" s="474"/>
      <c r="AA19" s="474"/>
      <c r="AB19" s="474"/>
      <c r="AC19" s="474"/>
      <c r="AD19" s="474"/>
      <c r="AE19" s="474"/>
      <c r="AF19" s="474"/>
      <c r="AG19" s="529"/>
      <c r="AH19" s="181"/>
      <c r="AI19" s="182"/>
      <c r="AJ19" s="474"/>
      <c r="AK19" s="474"/>
      <c r="AL19" s="474"/>
      <c r="AM19" s="474"/>
      <c r="AN19" s="474"/>
      <c r="AO19" s="474"/>
      <c r="AP19" s="516"/>
      <c r="AQ19" s="473"/>
      <c r="AR19" s="474"/>
      <c r="AS19" s="474"/>
      <c r="AT19" s="474"/>
      <c r="AU19" s="474"/>
      <c r="AV19" s="474"/>
      <c r="AW19" s="474"/>
      <c r="AX19" s="474"/>
      <c r="AY19" s="474"/>
      <c r="AZ19" s="475"/>
      <c r="BA19" s="475"/>
      <c r="BB19" s="475"/>
      <c r="BC19" s="475"/>
      <c r="BD19" s="475"/>
      <c r="BE19" s="475"/>
      <c r="BF19" s="475"/>
      <c r="BG19" s="475"/>
      <c r="BH19" s="476"/>
      <c r="BI19" s="466" t="s">
        <v>1773</v>
      </c>
      <c r="BJ19" s="467"/>
    </row>
    <row r="20" ht="22.5" customHeight="1">
      <c r="A20" s="433"/>
      <c r="C20" s="502"/>
      <c r="D20" s="502"/>
      <c r="E20" s="502"/>
      <c r="F20" s="503" t="s">
        <v>1849</v>
      </c>
      <c r="G20" s="504"/>
      <c r="H20" s="530"/>
      <c r="I20" s="531"/>
      <c r="J20" s="510"/>
      <c r="K20" s="510"/>
      <c r="L20" s="510"/>
      <c r="M20" s="510"/>
      <c r="N20" s="510"/>
      <c r="O20" s="510"/>
      <c r="P20" s="510"/>
      <c r="Q20" s="510"/>
      <c r="R20" s="510"/>
      <c r="S20" s="510"/>
      <c r="T20" s="510"/>
      <c r="U20" s="510"/>
      <c r="V20" s="532"/>
      <c r="W20" s="533"/>
      <c r="X20" s="510"/>
      <c r="Y20" s="510"/>
      <c r="Z20" s="510"/>
      <c r="AA20" s="510"/>
      <c r="AB20" s="510"/>
      <c r="AC20" s="510"/>
      <c r="AD20" s="510"/>
      <c r="AE20" s="510"/>
      <c r="AF20" s="510"/>
      <c r="AG20" s="534"/>
      <c r="AH20" s="506"/>
      <c r="AI20" s="506"/>
      <c r="AJ20" s="506"/>
      <c r="AK20" s="506"/>
      <c r="AL20" s="506"/>
      <c r="AM20" s="506"/>
      <c r="AN20" s="506"/>
      <c r="AO20" s="506"/>
      <c r="AP20" s="506"/>
      <c r="AQ20" s="506"/>
      <c r="AR20" s="506"/>
      <c r="AS20" s="506"/>
      <c r="AT20" s="506"/>
      <c r="AU20" s="506"/>
      <c r="AV20" s="506"/>
      <c r="AW20" s="506"/>
      <c r="AX20" s="506"/>
      <c r="AY20" s="506"/>
      <c r="AZ20" s="506"/>
      <c r="BA20" s="506"/>
      <c r="BB20" s="506"/>
      <c r="BC20" s="506"/>
      <c r="BD20" s="506"/>
      <c r="BE20" s="506"/>
      <c r="BF20" s="506"/>
      <c r="BG20" s="506"/>
      <c r="BH20" s="476"/>
      <c r="BI20" s="466" t="s">
        <v>138</v>
      </c>
      <c r="BJ20" s="467"/>
    </row>
    <row r="21" ht="22.5" customHeight="1">
      <c r="A21" s="433"/>
      <c r="B21" s="453">
        <v>5.0</v>
      </c>
      <c r="C21" s="454" t="s">
        <v>1850</v>
      </c>
      <c r="F21" s="455" t="s">
        <v>1851</v>
      </c>
      <c r="G21" s="456"/>
      <c r="H21" s="512"/>
      <c r="I21" s="513"/>
      <c r="J21" s="463"/>
      <c r="K21" s="463"/>
      <c r="L21" s="463"/>
      <c r="M21" s="463"/>
      <c r="N21" s="463"/>
      <c r="O21" s="463"/>
      <c r="P21" s="463"/>
      <c r="Q21" s="463"/>
      <c r="R21" s="463"/>
      <c r="S21" s="463"/>
      <c r="T21" s="463"/>
      <c r="U21" s="463"/>
      <c r="V21" s="514"/>
      <c r="W21" s="462"/>
      <c r="X21" s="463"/>
      <c r="Y21" s="463"/>
      <c r="Z21" s="463"/>
      <c r="AA21" s="463"/>
      <c r="AB21" s="463"/>
      <c r="AC21" s="463"/>
      <c r="AD21" s="463"/>
      <c r="AE21" s="463"/>
      <c r="AF21" s="463"/>
      <c r="AG21" s="463"/>
      <c r="AH21" s="463"/>
      <c r="AI21" s="463"/>
      <c r="AJ21" s="463"/>
      <c r="AK21" s="463"/>
      <c r="AL21" s="463"/>
      <c r="AM21" s="463"/>
      <c r="AN21" s="463"/>
      <c r="AO21" s="463"/>
      <c r="AP21" s="514"/>
      <c r="AQ21" s="462"/>
      <c r="AR21" s="463"/>
      <c r="AS21" s="535"/>
      <c r="AT21" s="458"/>
      <c r="AU21" s="459"/>
      <c r="AV21" s="463"/>
      <c r="AW21" s="463"/>
      <c r="AX21" s="463"/>
      <c r="AY21" s="463"/>
      <c r="AZ21" s="464"/>
      <c r="BA21" s="464"/>
      <c r="BB21" s="464"/>
      <c r="BC21" s="464"/>
      <c r="BD21" s="464"/>
      <c r="BE21" s="464"/>
      <c r="BF21" s="464"/>
      <c r="BG21" s="464"/>
      <c r="BH21" s="476"/>
      <c r="BI21" s="466" t="s">
        <v>1660</v>
      </c>
      <c r="BJ21" s="467"/>
    </row>
    <row r="22" ht="22.5" customHeight="1">
      <c r="A22" s="433"/>
      <c r="F22" s="455" t="s">
        <v>1774</v>
      </c>
      <c r="G22" s="456"/>
      <c r="H22" s="468"/>
      <c r="I22" s="469"/>
      <c r="J22" s="474"/>
      <c r="K22" s="474"/>
      <c r="L22" s="474"/>
      <c r="M22" s="474"/>
      <c r="N22" s="474"/>
      <c r="O22" s="474"/>
      <c r="P22" s="474"/>
      <c r="Q22" s="474"/>
      <c r="R22" s="474"/>
      <c r="S22" s="474"/>
      <c r="T22" s="474"/>
      <c r="U22" s="474"/>
      <c r="V22" s="516"/>
      <c r="W22" s="473"/>
      <c r="X22" s="474"/>
      <c r="Y22" s="474"/>
      <c r="Z22" s="474"/>
      <c r="AA22" s="474"/>
      <c r="AB22" s="474"/>
      <c r="AC22" s="474"/>
      <c r="AD22" s="474"/>
      <c r="AE22" s="474"/>
      <c r="AF22" s="474"/>
      <c r="AG22" s="474"/>
      <c r="AH22" s="474"/>
      <c r="AI22" s="474"/>
      <c r="AJ22" s="474"/>
      <c r="AK22" s="474"/>
      <c r="AL22" s="474"/>
      <c r="AM22" s="474"/>
      <c r="AN22" s="474"/>
      <c r="AO22" s="474"/>
      <c r="AP22" s="516"/>
      <c r="AQ22" s="473"/>
      <c r="AR22" s="474"/>
      <c r="AS22" s="474"/>
      <c r="AT22" s="474"/>
      <c r="AU22" s="474"/>
      <c r="AV22" s="536"/>
      <c r="AW22" s="474"/>
      <c r="AX22" s="474"/>
      <c r="AY22" s="474"/>
      <c r="AZ22" s="536"/>
      <c r="BA22" s="475"/>
      <c r="BB22" s="475"/>
      <c r="BC22" s="475"/>
      <c r="BD22" s="475"/>
      <c r="BE22" s="475"/>
      <c r="BF22" s="475"/>
      <c r="BG22" s="475"/>
      <c r="BH22" s="476"/>
      <c r="BI22" s="466" t="s">
        <v>1660</v>
      </c>
      <c r="BJ22" s="467"/>
    </row>
    <row r="23" ht="22.5" customHeight="1">
      <c r="A23" s="433"/>
      <c r="B23" s="370"/>
      <c r="C23" s="370"/>
      <c r="D23" s="370"/>
      <c r="E23" s="370"/>
      <c r="F23" s="537" t="s">
        <v>1852</v>
      </c>
      <c r="G23" s="538"/>
      <c r="H23" s="539"/>
      <c r="I23" s="540"/>
      <c r="J23" s="541"/>
      <c r="K23" s="541"/>
      <c r="L23" s="541"/>
      <c r="M23" s="541"/>
      <c r="N23" s="541"/>
      <c r="O23" s="541"/>
      <c r="P23" s="541"/>
      <c r="Q23" s="541"/>
      <c r="R23" s="541"/>
      <c r="S23" s="541"/>
      <c r="T23" s="541"/>
      <c r="U23" s="541"/>
      <c r="V23" s="542"/>
      <c r="W23" s="543"/>
      <c r="X23" s="541"/>
      <c r="Y23" s="541"/>
      <c r="Z23" s="541"/>
      <c r="AA23" s="541"/>
      <c r="AB23" s="541"/>
      <c r="AC23" s="541"/>
      <c r="AD23" s="541"/>
      <c r="AE23" s="541"/>
      <c r="AF23" s="541"/>
      <c r="AG23" s="541"/>
      <c r="AH23" s="541"/>
      <c r="AI23" s="541"/>
      <c r="AJ23" s="541"/>
      <c r="AK23" s="541"/>
      <c r="AL23" s="541"/>
      <c r="AM23" s="541"/>
      <c r="AN23" s="541"/>
      <c r="AO23" s="541"/>
      <c r="AP23" s="542"/>
      <c r="AQ23" s="543"/>
      <c r="AR23" s="541"/>
      <c r="AS23" s="541"/>
      <c r="AT23" s="541"/>
      <c r="AU23" s="541"/>
      <c r="AV23" s="541"/>
      <c r="AW23" s="541"/>
      <c r="AX23" s="541"/>
      <c r="AY23" s="541"/>
      <c r="AZ23" s="544"/>
      <c r="BA23" s="544"/>
      <c r="BB23" s="544"/>
      <c r="BC23" s="544"/>
      <c r="BD23" s="544"/>
      <c r="BE23" s="544"/>
      <c r="BF23" s="545"/>
      <c r="BG23" s="544"/>
      <c r="BH23" s="546"/>
      <c r="BI23" s="547" t="s">
        <v>1660</v>
      </c>
      <c r="BJ23" s="467"/>
    </row>
  </sheetData>
  <mergeCells count="50">
    <mergeCell ref="F9:G9"/>
    <mergeCell ref="F10:G10"/>
    <mergeCell ref="B11:B12"/>
    <mergeCell ref="C11:E12"/>
    <mergeCell ref="F11:G11"/>
    <mergeCell ref="F12:G12"/>
    <mergeCell ref="H12:V12"/>
    <mergeCell ref="W12:AU12"/>
    <mergeCell ref="B13:B17"/>
    <mergeCell ref="C13:E17"/>
    <mergeCell ref="F13:G13"/>
    <mergeCell ref="W13:AA13"/>
    <mergeCell ref="F14:G14"/>
    <mergeCell ref="W14:AA14"/>
    <mergeCell ref="C8:E10"/>
    <mergeCell ref="F16:G16"/>
    <mergeCell ref="B8:B10"/>
    <mergeCell ref="F17:G17"/>
    <mergeCell ref="B18:B20"/>
    <mergeCell ref="C18:E20"/>
    <mergeCell ref="F18:G18"/>
    <mergeCell ref="F19:G19"/>
    <mergeCell ref="F20:G20"/>
    <mergeCell ref="B2:G2"/>
    <mergeCell ref="B5:B7"/>
    <mergeCell ref="C5:G7"/>
    <mergeCell ref="H5:V6"/>
    <mergeCell ref="W5:AP6"/>
    <mergeCell ref="AQ5:BH6"/>
    <mergeCell ref="BI5:BI7"/>
    <mergeCell ref="T8:AP8"/>
    <mergeCell ref="F8:G8"/>
    <mergeCell ref="F15:G15"/>
    <mergeCell ref="AB15:AF15"/>
    <mergeCell ref="AB18:AF18"/>
    <mergeCell ref="AG19:AI19"/>
    <mergeCell ref="AG20:BG20"/>
    <mergeCell ref="H8:S8"/>
    <mergeCell ref="BH8:BH23"/>
    <mergeCell ref="M9:S9"/>
    <mergeCell ref="T9:AP9"/>
    <mergeCell ref="AB14:AD14"/>
    <mergeCell ref="AG16:AK16"/>
    <mergeCell ref="AQ17:AU17"/>
    <mergeCell ref="AS21:AU21"/>
    <mergeCell ref="B21:B23"/>
    <mergeCell ref="C21:E23"/>
    <mergeCell ref="F21:G21"/>
    <mergeCell ref="F22:G22"/>
    <mergeCell ref="F23:G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33"/>
    <col customWidth="1" min="2" max="2" width="5.22"/>
    <col customWidth="1" min="3" max="3" width="11.33"/>
    <col customWidth="1" min="4" max="4" width="5.33"/>
    <col customWidth="1" min="5" max="5" width="10.56"/>
    <col customWidth="1" min="6" max="6" width="12.33"/>
    <col customWidth="1" min="7" max="7" width="10.56"/>
    <col customWidth="1" min="8" max="8" width="12.33"/>
    <col customWidth="1" min="9" max="26" width="10.56"/>
  </cols>
  <sheetData>
    <row r="1" ht="15.75" customHeight="1">
      <c r="A1" s="548"/>
      <c r="B1" s="548"/>
      <c r="C1" s="548"/>
      <c r="D1" s="548"/>
      <c r="E1" s="548"/>
      <c r="F1" s="549"/>
      <c r="G1" s="548"/>
      <c r="H1" s="548"/>
      <c r="I1" s="548"/>
      <c r="J1" s="548"/>
      <c r="K1" s="548"/>
      <c r="L1" s="548"/>
      <c r="M1" s="548"/>
      <c r="N1" s="548"/>
      <c r="O1" s="548"/>
      <c r="P1" s="548"/>
      <c r="Q1" s="548"/>
      <c r="R1" s="548"/>
      <c r="S1" s="548"/>
      <c r="T1" s="548"/>
      <c r="U1" s="548"/>
      <c r="V1" s="548"/>
      <c r="W1" s="548"/>
      <c r="X1" s="548"/>
      <c r="Y1" s="548"/>
      <c r="Z1" s="548"/>
    </row>
    <row r="2" ht="15.75" customHeight="1">
      <c r="A2" s="400" t="s">
        <v>1853</v>
      </c>
      <c r="B2" s="550">
        <f>COUNTA('List of Assets'!F10:F1075)</f>
        <v>538</v>
      </c>
      <c r="C2" s="551"/>
      <c r="D2" s="310"/>
      <c r="E2" s="310"/>
      <c r="F2" s="310"/>
      <c r="G2" s="310"/>
      <c r="H2" s="2"/>
      <c r="I2" s="548"/>
      <c r="J2" s="548"/>
      <c r="K2" s="548"/>
      <c r="L2" s="548"/>
      <c r="M2" s="548"/>
      <c r="N2" s="548"/>
      <c r="O2" s="548"/>
      <c r="P2" s="548"/>
      <c r="Q2" s="548"/>
      <c r="R2" s="548"/>
      <c r="S2" s="548"/>
      <c r="T2" s="548"/>
      <c r="U2" s="548"/>
      <c r="V2" s="548"/>
      <c r="W2" s="548"/>
      <c r="X2" s="548"/>
      <c r="Y2" s="548"/>
      <c r="Z2" s="548"/>
    </row>
    <row r="3" ht="15.75" customHeight="1">
      <c r="A3" s="552" t="s">
        <v>3</v>
      </c>
      <c r="B3" s="2"/>
      <c r="C3" s="552" t="s">
        <v>39</v>
      </c>
      <c r="D3" s="2"/>
      <c r="E3" s="552" t="s">
        <v>1854</v>
      </c>
      <c r="F3" s="310"/>
      <c r="G3" s="310"/>
      <c r="H3" s="2"/>
      <c r="I3" s="548"/>
      <c r="J3" s="548"/>
      <c r="K3" s="548"/>
      <c r="L3" s="548"/>
      <c r="M3" s="548"/>
      <c r="N3" s="548"/>
      <c r="O3" s="548"/>
      <c r="P3" s="548"/>
      <c r="Q3" s="548"/>
      <c r="R3" s="548"/>
      <c r="S3" s="548"/>
      <c r="T3" s="548"/>
      <c r="U3" s="548"/>
      <c r="V3" s="548"/>
      <c r="W3" s="548"/>
      <c r="X3" s="548"/>
      <c r="Y3" s="548"/>
      <c r="Z3" s="548"/>
    </row>
    <row r="4" ht="15.75" customHeight="1">
      <c r="A4" s="400" t="s">
        <v>8</v>
      </c>
      <c r="B4" s="550">
        <f>countif('List of Assets'!L:L,A4)</f>
        <v>307</v>
      </c>
      <c r="C4" s="400" t="s">
        <v>52</v>
      </c>
      <c r="D4" s="550">
        <f>countif('List of Assets'!R:R,C4)</f>
        <v>442</v>
      </c>
      <c r="E4" s="553" t="s">
        <v>1855</v>
      </c>
      <c r="F4" s="554">
        <f>sum('List of Assets'!H:H)</f>
        <v>8821439227</v>
      </c>
      <c r="G4" s="553" t="s">
        <v>1856</v>
      </c>
      <c r="H4" s="554">
        <f>sum('List of Assets'!I:I)</f>
        <v>137215306</v>
      </c>
      <c r="I4" s="548"/>
      <c r="J4" s="548"/>
      <c r="K4" s="548"/>
      <c r="L4" s="548"/>
      <c r="M4" s="548"/>
      <c r="N4" s="548"/>
      <c r="O4" s="548"/>
      <c r="P4" s="548"/>
      <c r="Q4" s="548"/>
      <c r="R4" s="548"/>
      <c r="S4" s="548"/>
      <c r="T4" s="548"/>
      <c r="U4" s="548"/>
      <c r="V4" s="548"/>
      <c r="W4" s="548"/>
      <c r="X4" s="548"/>
      <c r="Y4" s="548"/>
      <c r="Z4" s="548"/>
    </row>
    <row r="5" ht="15.75" customHeight="1">
      <c r="A5" s="400" t="s">
        <v>13</v>
      </c>
      <c r="B5" s="550">
        <f>countif('List of Assets'!L:L,A5)</f>
        <v>207</v>
      </c>
      <c r="C5" s="400" t="s">
        <v>5</v>
      </c>
      <c r="D5" s="550">
        <f>countif('List of Assets'!R:R,C5)</f>
        <v>19</v>
      </c>
      <c r="E5" s="400" t="s">
        <v>52</v>
      </c>
      <c r="F5" s="555">
        <f>sumif('List of Assets'!R:R,E5,'List of Assets (Old Data)'!E:E)</f>
        <v>8209886709</v>
      </c>
      <c r="G5" s="400" t="s">
        <v>52</v>
      </c>
      <c r="H5" s="555">
        <f>sumif('List of Assets'!R:R,G5,'List of Assets'!I:I)</f>
        <v>118916156</v>
      </c>
      <c r="I5" s="548"/>
      <c r="J5" s="548"/>
      <c r="K5" s="548"/>
      <c r="L5" s="548"/>
      <c r="M5" s="548"/>
      <c r="N5" s="548"/>
      <c r="O5" s="548"/>
      <c r="P5" s="548"/>
      <c r="Q5" s="548"/>
      <c r="R5" s="548"/>
      <c r="S5" s="548"/>
      <c r="T5" s="548"/>
      <c r="U5" s="548"/>
      <c r="V5" s="548"/>
      <c r="W5" s="548"/>
      <c r="X5" s="548"/>
      <c r="Y5" s="548"/>
      <c r="Z5" s="548"/>
    </row>
    <row r="6" ht="15.75" customHeight="1">
      <c r="A6" s="400" t="s">
        <v>18</v>
      </c>
      <c r="B6" s="550">
        <f>countif('List of Assets'!L:L,A6)</f>
        <v>24</v>
      </c>
      <c r="C6" s="400" t="s">
        <v>10</v>
      </c>
      <c r="D6" s="550">
        <f>countif('List of Assets'!R:R,C6)</f>
        <v>21</v>
      </c>
      <c r="E6" s="400" t="s">
        <v>5</v>
      </c>
      <c r="F6" s="555">
        <f>sumif('List of Assets'!R:R,E6,'List of Assets'!H:H)</f>
        <v>87159900</v>
      </c>
      <c r="G6" s="400" t="s">
        <v>5</v>
      </c>
      <c r="H6" s="555">
        <f>sumif('List of Assets'!R:R,G6,'List of Assets'!I:I)</f>
        <v>0</v>
      </c>
      <c r="I6" s="548"/>
      <c r="J6" s="548"/>
      <c r="K6" s="548"/>
      <c r="L6" s="548"/>
      <c r="M6" s="548"/>
      <c r="N6" s="548"/>
      <c r="O6" s="548"/>
      <c r="P6" s="548"/>
      <c r="Q6" s="548"/>
      <c r="R6" s="548"/>
      <c r="S6" s="548"/>
      <c r="T6" s="548"/>
      <c r="U6" s="548"/>
      <c r="V6" s="548"/>
      <c r="W6" s="548"/>
      <c r="X6" s="548"/>
      <c r="Y6" s="548"/>
      <c r="Z6" s="548"/>
    </row>
    <row r="7" ht="15.75" customHeight="1">
      <c r="A7" s="400" t="s">
        <v>1857</v>
      </c>
      <c r="B7" s="550">
        <f>B2-sum(B4:B6)</f>
        <v>0</v>
      </c>
      <c r="C7" s="400" t="s">
        <v>15</v>
      </c>
      <c r="D7" s="550">
        <f>countif('List of Assets'!R:R,C7)</f>
        <v>1</v>
      </c>
      <c r="E7" s="400" t="s">
        <v>10</v>
      </c>
      <c r="F7" s="555">
        <f>sumif('List of Assets'!R:R,E7,'List of Assets'!H:H)</f>
        <v>69375387</v>
      </c>
      <c r="G7" s="400" t="s">
        <v>10</v>
      </c>
      <c r="H7" s="555">
        <f>sumif('List of Assets'!R:R,G7,'List of Assets'!I:I)</f>
        <v>0</v>
      </c>
      <c r="I7" s="548"/>
      <c r="J7" s="548"/>
      <c r="K7" s="548"/>
      <c r="L7" s="548"/>
      <c r="M7" s="548"/>
      <c r="N7" s="548"/>
      <c r="O7" s="548"/>
      <c r="P7" s="548"/>
      <c r="Q7" s="548"/>
      <c r="R7" s="548"/>
      <c r="S7" s="548"/>
      <c r="T7" s="548"/>
      <c r="U7" s="548"/>
      <c r="V7" s="548"/>
      <c r="W7" s="548"/>
      <c r="X7" s="548"/>
      <c r="Y7" s="548"/>
      <c r="Z7" s="548"/>
    </row>
    <row r="8" ht="15.75" customHeight="1">
      <c r="A8" s="556"/>
      <c r="B8" s="367"/>
      <c r="C8" s="400" t="s">
        <v>1858</v>
      </c>
      <c r="D8" s="550">
        <f>countif('List of Assets'!R:R,C8)</f>
        <v>0</v>
      </c>
      <c r="E8" s="400" t="s">
        <v>15</v>
      </c>
      <c r="F8" s="555">
        <f>sumif('List of Assets'!R:R,E8,'List of Assets'!H:H)</f>
        <v>0</v>
      </c>
      <c r="G8" s="400" t="s">
        <v>15</v>
      </c>
      <c r="H8" s="555">
        <f>sumif('List of Assets (Old Data)'!N:N,G8,'List of Assets (Old Data)'!F:F)</f>
        <v>0</v>
      </c>
      <c r="I8" s="548"/>
      <c r="J8" s="548"/>
      <c r="K8" s="548"/>
      <c r="L8" s="548"/>
      <c r="M8" s="548"/>
      <c r="N8" s="548"/>
      <c r="O8" s="548"/>
      <c r="P8" s="548"/>
      <c r="Q8" s="548"/>
      <c r="R8" s="548"/>
      <c r="S8" s="548"/>
      <c r="T8" s="548"/>
      <c r="U8" s="548"/>
      <c r="V8" s="548"/>
      <c r="W8" s="548"/>
      <c r="X8" s="548"/>
      <c r="Y8" s="548"/>
      <c r="Z8" s="548"/>
    </row>
    <row r="9" ht="15.75" customHeight="1">
      <c r="A9" s="366"/>
      <c r="B9" s="367"/>
      <c r="C9" s="400" t="s">
        <v>1859</v>
      </c>
      <c r="D9" s="550">
        <f>countif('List of Assets'!R:R,C9)</f>
        <v>0</v>
      </c>
      <c r="E9" s="400" t="s">
        <v>1858</v>
      </c>
      <c r="F9" s="555">
        <f>sumif('List of Assets'!R:R,E9,'List of Assets'!H:H)</f>
        <v>0</v>
      </c>
      <c r="G9" s="400" t="s">
        <v>1858</v>
      </c>
      <c r="H9" s="555">
        <f>sumif('List of Assets (Old Data)'!N:N,G9,'List of Assets (Old Data)'!F:F)</f>
        <v>0</v>
      </c>
      <c r="I9" s="548"/>
      <c r="J9" s="548"/>
      <c r="K9" s="548"/>
      <c r="L9" s="548"/>
      <c r="M9" s="548"/>
      <c r="N9" s="548"/>
      <c r="O9" s="548"/>
      <c r="P9" s="548"/>
      <c r="Q9" s="548"/>
      <c r="R9" s="548"/>
      <c r="S9" s="548"/>
      <c r="T9" s="548"/>
      <c r="U9" s="548"/>
      <c r="V9" s="548"/>
      <c r="W9" s="548"/>
      <c r="X9" s="548"/>
      <c r="Y9" s="548"/>
      <c r="Z9" s="548"/>
    </row>
    <row r="10" ht="15.75" customHeight="1">
      <c r="A10" s="369"/>
      <c r="B10" s="371"/>
      <c r="C10" s="400" t="s">
        <v>1857</v>
      </c>
      <c r="D10" s="550">
        <f>B2-(sum(D4:D9))</f>
        <v>55</v>
      </c>
      <c r="E10" s="400" t="s">
        <v>1859</v>
      </c>
      <c r="F10" s="555">
        <f>sumif('List of Assets'!R:R,E10,'List of Assets'!H:H)</f>
        <v>0</v>
      </c>
      <c r="G10" s="400" t="s">
        <v>1859</v>
      </c>
      <c r="H10" s="555">
        <f>sumif('List of Assets (Old Data)'!N:N,G10,'List of Assets (Old Data)'!F:F)</f>
        <v>0</v>
      </c>
      <c r="I10" s="548"/>
      <c r="J10" s="548"/>
      <c r="K10" s="548"/>
      <c r="L10" s="548"/>
      <c r="M10" s="548"/>
      <c r="N10" s="548"/>
      <c r="O10" s="548"/>
      <c r="P10" s="548"/>
      <c r="Q10" s="548"/>
      <c r="R10" s="548"/>
      <c r="S10" s="548"/>
      <c r="T10" s="548"/>
      <c r="U10" s="548"/>
      <c r="V10" s="548"/>
      <c r="W10" s="548"/>
      <c r="X10" s="548"/>
      <c r="Y10" s="548"/>
      <c r="Z10" s="548"/>
    </row>
    <row r="11" ht="15.75" customHeight="1">
      <c r="A11" s="548"/>
      <c r="B11" s="548"/>
      <c r="C11" s="548"/>
      <c r="D11" s="548"/>
      <c r="E11" s="557"/>
      <c r="F11" s="549"/>
      <c r="G11" s="548"/>
      <c r="H11" s="548"/>
      <c r="I11" s="548"/>
      <c r="J11" s="548"/>
      <c r="K11" s="548"/>
      <c r="L11" s="548"/>
      <c r="M11" s="548"/>
      <c r="N11" s="548"/>
      <c r="O11" s="548"/>
      <c r="P11" s="548"/>
      <c r="Q11" s="548"/>
      <c r="R11" s="548"/>
      <c r="S11" s="548"/>
      <c r="T11" s="548"/>
      <c r="U11" s="548"/>
      <c r="V11" s="548"/>
      <c r="W11" s="548"/>
      <c r="X11" s="548"/>
      <c r="Y11" s="548"/>
      <c r="Z11" s="548"/>
    </row>
    <row r="12" ht="15.75" customHeight="1">
      <c r="A12" s="552">
        <v>2024.0</v>
      </c>
      <c r="B12" s="310"/>
      <c r="C12" s="310"/>
      <c r="D12" s="310"/>
      <c r="E12" s="310"/>
      <c r="F12" s="2"/>
      <c r="G12" s="558"/>
      <c r="H12" s="558"/>
      <c r="I12" s="548"/>
      <c r="J12" s="548"/>
      <c r="K12" s="548"/>
      <c r="L12" s="548"/>
      <c r="M12" s="548"/>
      <c r="N12" s="548"/>
      <c r="O12" s="548"/>
      <c r="P12" s="548"/>
      <c r="Q12" s="548"/>
      <c r="R12" s="548"/>
      <c r="S12" s="548"/>
      <c r="T12" s="548"/>
      <c r="U12" s="548"/>
      <c r="V12" s="548"/>
      <c r="W12" s="548"/>
      <c r="X12" s="548"/>
      <c r="Y12" s="548"/>
      <c r="Z12" s="548"/>
    </row>
    <row r="13" ht="15.75" customHeight="1">
      <c r="A13" s="400" t="s">
        <v>1853</v>
      </c>
      <c r="B13" s="550">
        <f>counta('List of Assets'!F371:F455)</f>
        <v>85</v>
      </c>
      <c r="C13" s="551"/>
      <c r="D13" s="310"/>
      <c r="E13" s="310"/>
      <c r="F13" s="2"/>
      <c r="G13" s="548"/>
      <c r="H13" s="548"/>
      <c r="I13" s="548"/>
      <c r="J13" s="548"/>
      <c r="K13" s="548"/>
      <c r="L13" s="548"/>
      <c r="M13" s="548"/>
      <c r="N13" s="548"/>
      <c r="O13" s="548"/>
      <c r="P13" s="548"/>
      <c r="Q13" s="548"/>
      <c r="R13" s="548"/>
      <c r="S13" s="548"/>
      <c r="T13" s="548"/>
      <c r="U13" s="548"/>
      <c r="V13" s="548"/>
      <c r="W13" s="548"/>
      <c r="X13" s="548"/>
      <c r="Y13" s="548"/>
      <c r="Z13" s="548"/>
    </row>
    <row r="14" ht="15.75" customHeight="1">
      <c r="A14" s="552" t="s">
        <v>3</v>
      </c>
      <c r="B14" s="2"/>
      <c r="C14" s="552" t="s">
        <v>39</v>
      </c>
      <c r="D14" s="2"/>
      <c r="E14" s="552" t="s">
        <v>1854</v>
      </c>
      <c r="F14" s="2"/>
      <c r="G14" s="548"/>
      <c r="H14" s="548"/>
      <c r="I14" s="548"/>
      <c r="J14" s="548"/>
      <c r="K14" s="548"/>
      <c r="L14" s="548"/>
      <c r="M14" s="548"/>
      <c r="N14" s="548"/>
      <c r="O14" s="548"/>
      <c r="P14" s="548"/>
      <c r="Q14" s="548"/>
      <c r="R14" s="548"/>
      <c r="S14" s="548"/>
      <c r="T14" s="548"/>
      <c r="U14" s="548"/>
      <c r="V14" s="548"/>
      <c r="W14" s="548"/>
      <c r="X14" s="548"/>
      <c r="Y14" s="548"/>
      <c r="Z14" s="548"/>
    </row>
    <row r="15" ht="15.75" customHeight="1">
      <c r="A15" s="400" t="s">
        <v>8</v>
      </c>
      <c r="B15" s="550">
        <f>countif('List of Assets'!L371:L455,A15)</f>
        <v>62</v>
      </c>
      <c r="C15" s="400" t="s">
        <v>52</v>
      </c>
      <c r="D15" s="550">
        <f>countif('List of Assets'!$R$371:$R$455,C15)</f>
        <v>85</v>
      </c>
      <c r="E15" s="400" t="s">
        <v>1186</v>
      </c>
      <c r="F15" s="555">
        <f>sum('List of Assets'!H371:H455)</f>
        <v>5228900577</v>
      </c>
      <c r="G15" s="548"/>
      <c r="H15" s="548"/>
      <c r="I15" s="548"/>
      <c r="J15" s="548"/>
      <c r="K15" s="548"/>
      <c r="L15" s="548"/>
      <c r="M15" s="548"/>
      <c r="N15" s="548"/>
      <c r="O15" s="548"/>
      <c r="P15" s="548"/>
      <c r="Q15" s="548"/>
      <c r="R15" s="548"/>
      <c r="S15" s="548"/>
      <c r="T15" s="548"/>
      <c r="U15" s="548"/>
      <c r="V15" s="548"/>
      <c r="W15" s="548"/>
      <c r="X15" s="548"/>
      <c r="Y15" s="548"/>
      <c r="Z15" s="548"/>
    </row>
    <row r="16" ht="15.75" customHeight="1">
      <c r="A16" s="400" t="s">
        <v>13</v>
      </c>
      <c r="B16" s="550">
        <f>countif('List of Assets'!L371:L455,A16)</f>
        <v>12</v>
      </c>
      <c r="C16" s="400" t="s">
        <v>5</v>
      </c>
      <c r="D16" s="550">
        <f>countif('List of Assets'!$R$371:$R$437,C16)</f>
        <v>0</v>
      </c>
      <c r="E16" s="400" t="s">
        <v>52</v>
      </c>
      <c r="F16" s="555">
        <f>sumif('List of Assets'!$R$371:$R$456,E16,'List of Assets'!$H$371:$H$456)</f>
        <v>5230100577</v>
      </c>
      <c r="G16" s="548"/>
      <c r="H16" s="548"/>
      <c r="I16" s="548"/>
      <c r="J16" s="548"/>
      <c r="K16" s="548"/>
      <c r="L16" s="548"/>
      <c r="M16" s="548"/>
      <c r="N16" s="548"/>
      <c r="O16" s="548"/>
      <c r="P16" s="548"/>
      <c r="Q16" s="548"/>
      <c r="R16" s="548"/>
      <c r="S16" s="548"/>
      <c r="T16" s="548"/>
      <c r="U16" s="548"/>
      <c r="V16" s="548"/>
      <c r="W16" s="548"/>
      <c r="X16" s="548"/>
      <c r="Y16" s="548"/>
      <c r="Z16" s="548"/>
    </row>
    <row r="17" ht="15.75" customHeight="1">
      <c r="A17" s="400" t="s">
        <v>18</v>
      </c>
      <c r="B17" s="559">
        <f>countif('List of Assets'!L371:L455,A17)</f>
        <v>11</v>
      </c>
      <c r="C17" s="400" t="s">
        <v>10</v>
      </c>
      <c r="D17" s="550">
        <f>countif('List of Assets'!$R$371:$R$437,C17)</f>
        <v>0</v>
      </c>
      <c r="E17" s="400" t="s">
        <v>5</v>
      </c>
      <c r="F17" s="555">
        <f>sumif('List of Assets'!$R$371:$R$456,E17,'List of Assets'!$H$371:$H$456)</f>
        <v>0</v>
      </c>
      <c r="G17" s="548"/>
      <c r="H17" s="548"/>
      <c r="I17" s="548"/>
      <c r="J17" s="548"/>
      <c r="K17" s="548"/>
      <c r="L17" s="548"/>
      <c r="M17" s="548"/>
      <c r="N17" s="548"/>
      <c r="O17" s="548"/>
      <c r="P17" s="548"/>
      <c r="Q17" s="548"/>
      <c r="R17" s="548"/>
      <c r="S17" s="548"/>
      <c r="T17" s="548"/>
      <c r="U17" s="548"/>
      <c r="V17" s="548"/>
      <c r="W17" s="548"/>
      <c r="X17" s="548"/>
      <c r="Y17" s="548"/>
      <c r="Z17" s="548"/>
    </row>
    <row r="18" ht="15.75" customHeight="1">
      <c r="A18" s="560"/>
      <c r="B18" s="364"/>
      <c r="C18" s="400" t="s">
        <v>15</v>
      </c>
      <c r="D18" s="550">
        <f>countif('List of Assets'!$R$371:$R$437,C18)</f>
        <v>0</v>
      </c>
      <c r="E18" s="400" t="s">
        <v>10</v>
      </c>
      <c r="F18" s="555">
        <f>sumif('List of Assets'!$R$371:$R$456,E18,'List of Assets'!$H$371:$H$456)</f>
        <v>0</v>
      </c>
      <c r="G18" s="548"/>
      <c r="H18" s="548"/>
      <c r="I18" s="548"/>
      <c r="J18" s="548"/>
      <c r="K18" s="548"/>
      <c r="L18" s="548"/>
      <c r="M18" s="548"/>
      <c r="N18" s="548"/>
      <c r="O18" s="548"/>
      <c r="P18" s="548"/>
      <c r="Q18" s="548"/>
      <c r="R18" s="548"/>
      <c r="S18" s="548"/>
      <c r="T18" s="548"/>
      <c r="U18" s="548"/>
      <c r="V18" s="548"/>
      <c r="W18" s="548"/>
      <c r="X18" s="548"/>
      <c r="Y18" s="548"/>
      <c r="Z18" s="548"/>
    </row>
    <row r="19" ht="15.75" customHeight="1">
      <c r="A19" s="366"/>
      <c r="B19" s="367"/>
      <c r="C19" s="400" t="s">
        <v>1858</v>
      </c>
      <c r="D19" s="550">
        <f>countif('List of Assets'!$R$371:$R$437,C19)</f>
        <v>0</v>
      </c>
      <c r="E19" s="400" t="s">
        <v>15</v>
      </c>
      <c r="F19" s="555">
        <f>sumif('List of Assets'!$R$371:$R$456,E19,'List of Assets'!$H$371:$H$456)</f>
        <v>0</v>
      </c>
      <c r="G19" s="548"/>
      <c r="H19" s="548"/>
      <c r="I19" s="548"/>
      <c r="J19" s="548"/>
      <c r="K19" s="548"/>
      <c r="L19" s="548"/>
      <c r="M19" s="548"/>
      <c r="N19" s="548"/>
      <c r="O19" s="548"/>
      <c r="P19" s="548"/>
      <c r="Q19" s="548"/>
      <c r="R19" s="548"/>
      <c r="S19" s="548"/>
      <c r="T19" s="548"/>
      <c r="U19" s="548"/>
      <c r="V19" s="548"/>
      <c r="W19" s="548"/>
      <c r="X19" s="548"/>
      <c r="Y19" s="548"/>
      <c r="Z19" s="548"/>
    </row>
    <row r="20" ht="15.75" customHeight="1">
      <c r="A20" s="366"/>
      <c r="B20" s="367"/>
      <c r="C20" s="400" t="s">
        <v>1859</v>
      </c>
      <c r="D20" s="550">
        <f>countif('List of Assets'!$R$371:$R$437,C20)</f>
        <v>0</v>
      </c>
      <c r="E20" s="400" t="s">
        <v>1858</v>
      </c>
      <c r="F20" s="555">
        <f>sumif('List of Assets'!$R$371:$R$456,E20,'List of Assets'!$H$371:$H$456)</f>
        <v>0</v>
      </c>
      <c r="G20" s="548"/>
      <c r="H20" s="548"/>
      <c r="I20" s="548"/>
      <c r="J20" s="548"/>
      <c r="K20" s="548"/>
      <c r="L20" s="548"/>
      <c r="M20" s="548"/>
      <c r="N20" s="548"/>
      <c r="O20" s="548"/>
      <c r="P20" s="548"/>
      <c r="Q20" s="548"/>
      <c r="R20" s="548"/>
      <c r="S20" s="548"/>
      <c r="T20" s="548"/>
      <c r="U20" s="548"/>
      <c r="V20" s="548"/>
      <c r="W20" s="548"/>
      <c r="X20" s="548"/>
      <c r="Y20" s="548"/>
      <c r="Z20" s="548"/>
    </row>
    <row r="21" ht="15.75" customHeight="1">
      <c r="A21" s="369"/>
      <c r="B21" s="371"/>
      <c r="C21" s="400" t="s">
        <v>1857</v>
      </c>
      <c r="D21" s="550">
        <f>countif('List of Assets'!$R$371:$R$437,C21)</f>
        <v>0</v>
      </c>
      <c r="E21" s="400" t="s">
        <v>1859</v>
      </c>
      <c r="F21" s="555">
        <f>sumif('List of Assets'!$R$371:$R$456,E21,'List of Assets'!$H$371:$H$456)</f>
        <v>0</v>
      </c>
      <c r="G21" s="548"/>
      <c r="H21" s="548"/>
      <c r="I21" s="548"/>
      <c r="J21" s="548"/>
      <c r="K21" s="548"/>
      <c r="L21" s="548"/>
      <c r="M21" s="548"/>
      <c r="N21" s="548"/>
      <c r="O21" s="548"/>
      <c r="P21" s="548"/>
      <c r="Q21" s="548"/>
      <c r="R21" s="548"/>
      <c r="S21" s="548"/>
      <c r="T21" s="548"/>
      <c r="U21" s="548"/>
      <c r="V21" s="548"/>
      <c r="W21" s="548"/>
      <c r="X21" s="548"/>
      <c r="Y21" s="548"/>
      <c r="Z21" s="548"/>
    </row>
    <row r="22" ht="15.75" customHeight="1">
      <c r="A22" s="548"/>
      <c r="B22" s="548"/>
      <c r="C22" s="548"/>
      <c r="D22" s="548"/>
      <c r="E22" s="548"/>
      <c r="F22" s="549"/>
      <c r="G22" s="548"/>
      <c r="H22" s="548"/>
      <c r="I22" s="548"/>
      <c r="J22" s="548"/>
      <c r="K22" s="548"/>
      <c r="L22" s="548"/>
      <c r="M22" s="548"/>
      <c r="N22" s="548"/>
      <c r="O22" s="548"/>
      <c r="P22" s="548"/>
      <c r="Q22" s="548"/>
      <c r="R22" s="548"/>
      <c r="S22" s="548"/>
      <c r="T22" s="548"/>
      <c r="U22" s="548"/>
      <c r="V22" s="548"/>
      <c r="W22" s="548"/>
      <c r="X22" s="548"/>
      <c r="Y22" s="548"/>
      <c r="Z22" s="548"/>
    </row>
    <row r="23" ht="15.75" customHeight="1">
      <c r="A23" s="548"/>
      <c r="B23" s="548"/>
      <c r="C23" s="548"/>
      <c r="D23" s="548"/>
      <c r="E23" s="548"/>
      <c r="F23" s="549"/>
      <c r="G23" s="548"/>
      <c r="H23" s="548"/>
      <c r="I23" s="548"/>
      <c r="J23" s="548"/>
      <c r="K23" s="548"/>
      <c r="L23" s="548"/>
      <c r="M23" s="548"/>
      <c r="N23" s="548"/>
      <c r="O23" s="548"/>
      <c r="P23" s="548"/>
      <c r="Q23" s="548"/>
      <c r="R23" s="548"/>
      <c r="S23" s="548"/>
      <c r="T23" s="548"/>
      <c r="U23" s="548"/>
      <c r="V23" s="548"/>
      <c r="W23" s="548"/>
      <c r="X23" s="548"/>
      <c r="Y23" s="548"/>
      <c r="Z23" s="548"/>
    </row>
    <row r="24" ht="15.75" customHeight="1">
      <c r="A24" s="548"/>
      <c r="B24" s="548"/>
      <c r="C24" s="548"/>
      <c r="D24" s="548"/>
      <c r="E24" s="548"/>
      <c r="F24" s="549"/>
      <c r="G24" s="548"/>
      <c r="H24" s="548"/>
      <c r="I24" s="548"/>
      <c r="J24" s="548"/>
      <c r="K24" s="548"/>
      <c r="L24" s="548"/>
      <c r="M24" s="548"/>
      <c r="N24" s="548"/>
      <c r="O24" s="548"/>
      <c r="P24" s="548"/>
      <c r="Q24" s="548"/>
      <c r="R24" s="548"/>
      <c r="S24" s="548"/>
      <c r="T24" s="548"/>
      <c r="U24" s="548"/>
      <c r="V24" s="548"/>
      <c r="W24" s="548"/>
      <c r="X24" s="548"/>
      <c r="Y24" s="548"/>
      <c r="Z24" s="548"/>
    </row>
    <row r="25" ht="15.75" customHeight="1">
      <c r="A25" s="548"/>
      <c r="B25" s="548"/>
      <c r="C25" s="548"/>
      <c r="D25" s="548"/>
      <c r="E25" s="548"/>
      <c r="F25" s="549"/>
      <c r="G25" s="548"/>
      <c r="H25" s="548"/>
      <c r="I25" s="548"/>
      <c r="J25" s="548"/>
      <c r="K25" s="548"/>
      <c r="L25" s="548"/>
      <c r="M25" s="548"/>
      <c r="N25" s="548"/>
      <c r="O25" s="548"/>
      <c r="P25" s="548"/>
      <c r="Q25" s="548"/>
      <c r="R25" s="548"/>
      <c r="S25" s="548"/>
      <c r="T25" s="548"/>
      <c r="U25" s="548"/>
      <c r="V25" s="548"/>
      <c r="W25" s="548"/>
      <c r="X25" s="548"/>
      <c r="Y25" s="548"/>
      <c r="Z25" s="548"/>
    </row>
    <row r="26" ht="15.75" customHeight="1">
      <c r="A26" s="548"/>
      <c r="B26" s="548"/>
      <c r="C26" s="548"/>
      <c r="D26" s="548"/>
      <c r="E26" s="548"/>
      <c r="F26" s="549"/>
      <c r="G26" s="548"/>
      <c r="H26" s="548"/>
      <c r="I26" s="548"/>
      <c r="J26" s="548"/>
      <c r="K26" s="548"/>
      <c r="L26" s="548"/>
      <c r="M26" s="548"/>
      <c r="N26" s="548"/>
      <c r="O26" s="548"/>
      <c r="P26" s="548"/>
      <c r="Q26" s="548"/>
      <c r="R26" s="548"/>
      <c r="S26" s="548"/>
      <c r="T26" s="548"/>
      <c r="U26" s="548"/>
      <c r="V26" s="548"/>
      <c r="W26" s="548"/>
      <c r="X26" s="548"/>
      <c r="Y26" s="548"/>
      <c r="Z26" s="548"/>
    </row>
    <row r="27" ht="15.75" customHeight="1">
      <c r="A27" s="548"/>
      <c r="B27" s="548"/>
      <c r="C27" s="548"/>
      <c r="D27" s="548"/>
      <c r="E27" s="548"/>
      <c r="F27" s="549"/>
      <c r="G27" s="548"/>
      <c r="H27" s="548"/>
      <c r="I27" s="548"/>
      <c r="J27" s="548"/>
      <c r="K27" s="548"/>
      <c r="L27" s="548"/>
      <c r="M27" s="548"/>
      <c r="N27" s="548"/>
      <c r="O27" s="548"/>
      <c r="P27" s="548"/>
      <c r="Q27" s="548"/>
      <c r="R27" s="548"/>
      <c r="S27" s="548"/>
      <c r="T27" s="548"/>
      <c r="U27" s="548"/>
      <c r="V27" s="548"/>
      <c r="W27" s="548"/>
      <c r="X27" s="548"/>
      <c r="Y27" s="548"/>
      <c r="Z27" s="548"/>
    </row>
    <row r="28" ht="15.75" customHeight="1">
      <c r="A28" s="548"/>
      <c r="B28" s="548"/>
      <c r="C28" s="548"/>
      <c r="D28" s="548"/>
      <c r="E28" s="548"/>
      <c r="F28" s="549"/>
      <c r="G28" s="548"/>
      <c r="H28" s="548"/>
      <c r="I28" s="548"/>
      <c r="J28" s="548"/>
      <c r="K28" s="548"/>
      <c r="L28" s="548"/>
      <c r="M28" s="548"/>
      <c r="N28" s="548"/>
      <c r="O28" s="548"/>
      <c r="P28" s="548"/>
      <c r="Q28" s="548"/>
      <c r="R28" s="548"/>
      <c r="S28" s="548"/>
      <c r="T28" s="548"/>
      <c r="U28" s="548"/>
      <c r="V28" s="548"/>
      <c r="W28" s="548"/>
      <c r="X28" s="548"/>
      <c r="Y28" s="548"/>
      <c r="Z28" s="548"/>
    </row>
    <row r="29" ht="15.75" customHeight="1">
      <c r="A29" s="548"/>
      <c r="B29" s="548"/>
      <c r="C29" s="548"/>
      <c r="D29" s="548"/>
      <c r="E29" s="548"/>
      <c r="F29" s="549"/>
      <c r="G29" s="548"/>
      <c r="H29" s="548"/>
      <c r="I29" s="548"/>
      <c r="J29" s="548"/>
      <c r="K29" s="548"/>
      <c r="L29" s="548"/>
      <c r="M29" s="548"/>
      <c r="N29" s="548"/>
      <c r="O29" s="548"/>
      <c r="P29" s="548"/>
      <c r="Q29" s="548"/>
      <c r="R29" s="548"/>
      <c r="S29" s="548"/>
      <c r="T29" s="548"/>
      <c r="U29" s="548"/>
      <c r="V29" s="548"/>
      <c r="W29" s="548"/>
      <c r="X29" s="548"/>
      <c r="Y29" s="548"/>
      <c r="Z29" s="548"/>
    </row>
    <row r="30" ht="15.75" customHeight="1">
      <c r="A30" s="548"/>
      <c r="B30" s="548"/>
      <c r="C30" s="548"/>
      <c r="D30" s="548"/>
      <c r="E30" s="548"/>
      <c r="F30" s="549"/>
      <c r="G30" s="548"/>
      <c r="H30" s="548"/>
      <c r="I30" s="548"/>
      <c r="J30" s="548"/>
      <c r="K30" s="548"/>
      <c r="L30" s="548"/>
      <c r="M30" s="548"/>
      <c r="N30" s="548"/>
      <c r="O30" s="548"/>
      <c r="P30" s="548"/>
      <c r="Q30" s="548"/>
      <c r="R30" s="548"/>
      <c r="S30" s="548"/>
      <c r="T30" s="548"/>
      <c r="U30" s="548"/>
      <c r="V30" s="548"/>
      <c r="W30" s="548"/>
      <c r="X30" s="548"/>
      <c r="Y30" s="548"/>
      <c r="Z30" s="548"/>
    </row>
    <row r="31" ht="15.75" customHeight="1">
      <c r="A31" s="548"/>
      <c r="B31" s="548"/>
      <c r="C31" s="548"/>
      <c r="D31" s="548"/>
      <c r="E31" s="548"/>
      <c r="F31" s="549"/>
      <c r="G31" s="548"/>
      <c r="H31" s="548"/>
      <c r="I31" s="548"/>
      <c r="J31" s="548"/>
      <c r="K31" s="548"/>
      <c r="L31" s="548"/>
      <c r="M31" s="548"/>
      <c r="N31" s="548"/>
      <c r="O31" s="548"/>
      <c r="P31" s="548"/>
      <c r="Q31" s="548"/>
      <c r="R31" s="548"/>
      <c r="S31" s="548"/>
      <c r="T31" s="548"/>
      <c r="U31" s="548"/>
      <c r="V31" s="548"/>
      <c r="W31" s="548"/>
      <c r="X31" s="548"/>
      <c r="Y31" s="548"/>
      <c r="Z31" s="548"/>
    </row>
    <row r="32" ht="15.75" customHeight="1">
      <c r="A32" s="548"/>
      <c r="B32" s="548"/>
      <c r="C32" s="548"/>
      <c r="D32" s="548"/>
      <c r="E32" s="548"/>
      <c r="F32" s="549"/>
      <c r="G32" s="548"/>
      <c r="H32" s="548"/>
      <c r="I32" s="548"/>
      <c r="J32" s="548"/>
      <c r="K32" s="548"/>
      <c r="L32" s="548"/>
      <c r="M32" s="548"/>
      <c r="N32" s="548"/>
      <c r="O32" s="548"/>
      <c r="P32" s="548"/>
      <c r="Q32" s="548"/>
      <c r="R32" s="548"/>
      <c r="S32" s="548"/>
      <c r="T32" s="548"/>
      <c r="U32" s="548"/>
      <c r="V32" s="548"/>
      <c r="W32" s="548"/>
      <c r="X32" s="548"/>
      <c r="Y32" s="548"/>
      <c r="Z32" s="548"/>
    </row>
    <row r="33" ht="15.75" customHeight="1">
      <c r="A33" s="548"/>
      <c r="B33" s="548"/>
      <c r="C33" s="548"/>
      <c r="D33" s="548"/>
      <c r="E33" s="548"/>
      <c r="F33" s="549"/>
      <c r="G33" s="548"/>
      <c r="H33" s="548"/>
      <c r="I33" s="548"/>
      <c r="J33" s="548"/>
      <c r="K33" s="548"/>
      <c r="L33" s="548"/>
      <c r="M33" s="548"/>
      <c r="N33" s="548"/>
      <c r="O33" s="548"/>
      <c r="P33" s="548"/>
      <c r="Q33" s="548"/>
      <c r="R33" s="548"/>
      <c r="S33" s="548"/>
      <c r="T33" s="548"/>
      <c r="U33" s="548"/>
      <c r="V33" s="548"/>
      <c r="W33" s="548"/>
      <c r="X33" s="548"/>
      <c r="Y33" s="548"/>
      <c r="Z33" s="548"/>
    </row>
    <row r="34" ht="15.75" customHeight="1">
      <c r="A34" s="548"/>
      <c r="B34" s="548"/>
      <c r="C34" s="548"/>
      <c r="D34" s="548"/>
      <c r="E34" s="548"/>
      <c r="F34" s="549"/>
      <c r="G34" s="548"/>
      <c r="H34" s="548"/>
      <c r="I34" s="548"/>
      <c r="J34" s="548"/>
      <c r="K34" s="548"/>
      <c r="L34" s="548"/>
      <c r="M34" s="548"/>
      <c r="N34" s="548"/>
      <c r="O34" s="548"/>
      <c r="P34" s="548"/>
      <c r="Q34" s="548"/>
      <c r="R34" s="548"/>
      <c r="S34" s="548"/>
      <c r="T34" s="548"/>
      <c r="U34" s="548"/>
      <c r="V34" s="548"/>
      <c r="W34" s="548"/>
      <c r="X34" s="548"/>
      <c r="Y34" s="548"/>
      <c r="Z34" s="548"/>
    </row>
    <row r="35" ht="15.75" customHeight="1">
      <c r="A35" s="548"/>
      <c r="B35" s="548"/>
      <c r="C35" s="548"/>
      <c r="D35" s="548"/>
      <c r="E35" s="548"/>
      <c r="F35" s="549"/>
      <c r="G35" s="548"/>
      <c r="H35" s="548"/>
      <c r="I35" s="548"/>
      <c r="J35" s="548"/>
      <c r="K35" s="548"/>
      <c r="L35" s="548"/>
      <c r="M35" s="548"/>
      <c r="N35" s="548"/>
      <c r="O35" s="548"/>
      <c r="P35" s="548"/>
      <c r="Q35" s="548"/>
      <c r="R35" s="548"/>
      <c r="S35" s="548"/>
      <c r="T35" s="548"/>
      <c r="U35" s="548"/>
      <c r="V35" s="548"/>
      <c r="W35" s="548"/>
      <c r="X35" s="548"/>
      <c r="Y35" s="548"/>
      <c r="Z35" s="548"/>
    </row>
    <row r="36" ht="15.75" customHeight="1">
      <c r="A36" s="548"/>
      <c r="B36" s="548"/>
      <c r="C36" s="548"/>
      <c r="D36" s="548"/>
      <c r="E36" s="548"/>
      <c r="F36" s="549"/>
      <c r="G36" s="548"/>
      <c r="H36" s="548"/>
      <c r="I36" s="548"/>
      <c r="J36" s="548"/>
      <c r="K36" s="548"/>
      <c r="L36" s="548"/>
      <c r="M36" s="548"/>
      <c r="N36" s="548"/>
      <c r="O36" s="548"/>
      <c r="P36" s="548"/>
      <c r="Q36" s="548"/>
      <c r="R36" s="548"/>
      <c r="S36" s="548"/>
      <c r="T36" s="548"/>
      <c r="U36" s="548"/>
      <c r="V36" s="548"/>
      <c r="W36" s="548"/>
      <c r="X36" s="548"/>
      <c r="Y36" s="548"/>
      <c r="Z36" s="548"/>
    </row>
    <row r="37" ht="15.75" customHeight="1">
      <c r="A37" s="548"/>
      <c r="B37" s="548"/>
      <c r="C37" s="548"/>
      <c r="D37" s="548"/>
      <c r="E37" s="548"/>
      <c r="F37" s="549"/>
      <c r="G37" s="548"/>
      <c r="H37" s="548"/>
      <c r="I37" s="548"/>
      <c r="J37" s="548"/>
      <c r="K37" s="548"/>
      <c r="L37" s="548"/>
      <c r="M37" s="548"/>
      <c r="N37" s="548"/>
      <c r="O37" s="548"/>
      <c r="P37" s="548"/>
      <c r="Q37" s="548"/>
      <c r="R37" s="548"/>
      <c r="S37" s="548"/>
      <c r="T37" s="548"/>
      <c r="U37" s="548"/>
      <c r="V37" s="548"/>
      <c r="W37" s="548"/>
      <c r="X37" s="548"/>
      <c r="Y37" s="548"/>
      <c r="Z37" s="548"/>
    </row>
    <row r="38" ht="15.75" customHeight="1">
      <c r="A38" s="548"/>
      <c r="B38" s="548"/>
      <c r="C38" s="548"/>
      <c r="D38" s="548"/>
      <c r="E38" s="548"/>
      <c r="F38" s="549"/>
      <c r="G38" s="548"/>
      <c r="H38" s="548"/>
      <c r="I38" s="548"/>
      <c r="J38" s="548"/>
      <c r="K38" s="548"/>
      <c r="L38" s="548"/>
      <c r="M38" s="548"/>
      <c r="N38" s="548"/>
      <c r="O38" s="548"/>
      <c r="P38" s="548"/>
      <c r="Q38" s="548"/>
      <c r="R38" s="548"/>
      <c r="S38" s="548"/>
      <c r="T38" s="548"/>
      <c r="U38" s="548"/>
      <c r="V38" s="548"/>
      <c r="W38" s="548"/>
      <c r="X38" s="548"/>
      <c r="Y38" s="548"/>
      <c r="Z38" s="548"/>
    </row>
    <row r="39" ht="15.75" customHeight="1">
      <c r="A39" s="548"/>
      <c r="B39" s="548"/>
      <c r="C39" s="548"/>
      <c r="D39" s="548"/>
      <c r="E39" s="548"/>
      <c r="F39" s="549"/>
      <c r="G39" s="548"/>
      <c r="H39" s="548"/>
      <c r="I39" s="548"/>
      <c r="J39" s="548"/>
      <c r="K39" s="548"/>
      <c r="L39" s="548"/>
      <c r="M39" s="548"/>
      <c r="N39" s="548"/>
      <c r="O39" s="548"/>
      <c r="P39" s="548"/>
      <c r="Q39" s="548"/>
      <c r="R39" s="548"/>
      <c r="S39" s="548"/>
      <c r="T39" s="548"/>
      <c r="U39" s="548"/>
      <c r="V39" s="548"/>
      <c r="W39" s="548"/>
      <c r="X39" s="548"/>
      <c r="Y39" s="548"/>
      <c r="Z39" s="548"/>
    </row>
    <row r="40" ht="15.75" customHeight="1">
      <c r="A40" s="548"/>
      <c r="B40" s="548"/>
      <c r="C40" s="548"/>
      <c r="D40" s="548"/>
      <c r="E40" s="548"/>
      <c r="F40" s="549"/>
      <c r="G40" s="548"/>
      <c r="H40" s="548"/>
      <c r="I40" s="548"/>
      <c r="J40" s="548"/>
      <c r="K40" s="548"/>
      <c r="L40" s="548"/>
      <c r="M40" s="548"/>
      <c r="N40" s="548"/>
      <c r="O40" s="548"/>
      <c r="P40" s="548"/>
      <c r="Q40" s="548"/>
      <c r="R40" s="548"/>
      <c r="S40" s="548"/>
      <c r="T40" s="548"/>
      <c r="U40" s="548"/>
      <c r="V40" s="548"/>
      <c r="W40" s="548"/>
      <c r="X40" s="548"/>
      <c r="Y40" s="548"/>
      <c r="Z40" s="548"/>
    </row>
    <row r="41" ht="15.75" customHeight="1">
      <c r="A41" s="548"/>
      <c r="B41" s="548"/>
      <c r="C41" s="548"/>
      <c r="D41" s="548"/>
      <c r="E41" s="548"/>
      <c r="F41" s="549"/>
      <c r="G41" s="548"/>
      <c r="H41" s="548"/>
      <c r="I41" s="548"/>
      <c r="J41" s="548"/>
      <c r="K41" s="548"/>
      <c r="L41" s="548"/>
      <c r="M41" s="548"/>
      <c r="N41" s="548"/>
      <c r="O41" s="548"/>
      <c r="P41" s="548"/>
      <c r="Q41" s="548"/>
      <c r="R41" s="548"/>
      <c r="S41" s="548"/>
      <c r="T41" s="548"/>
      <c r="U41" s="548"/>
      <c r="V41" s="548"/>
      <c r="W41" s="548"/>
      <c r="X41" s="548"/>
      <c r="Y41" s="548"/>
      <c r="Z41" s="548"/>
    </row>
    <row r="42" ht="15.75" customHeight="1">
      <c r="A42" s="548"/>
      <c r="B42" s="548"/>
      <c r="C42" s="548"/>
      <c r="D42" s="548"/>
      <c r="E42" s="548"/>
      <c r="F42" s="549"/>
      <c r="G42" s="548"/>
      <c r="H42" s="548"/>
      <c r="I42" s="548"/>
      <c r="J42" s="548"/>
      <c r="K42" s="548"/>
      <c r="L42" s="548"/>
      <c r="M42" s="548"/>
      <c r="N42" s="548"/>
      <c r="O42" s="548"/>
      <c r="P42" s="548"/>
      <c r="Q42" s="548"/>
      <c r="R42" s="548"/>
      <c r="S42" s="548"/>
      <c r="T42" s="548"/>
      <c r="U42" s="548"/>
      <c r="V42" s="548"/>
      <c r="W42" s="548"/>
      <c r="X42" s="548"/>
      <c r="Y42" s="548"/>
      <c r="Z42" s="548"/>
    </row>
    <row r="43" ht="15.75" customHeight="1">
      <c r="A43" s="548"/>
      <c r="B43" s="548"/>
      <c r="C43" s="548"/>
      <c r="D43" s="548"/>
      <c r="E43" s="548"/>
      <c r="F43" s="549"/>
      <c r="G43" s="548"/>
      <c r="H43" s="548"/>
      <c r="I43" s="548"/>
      <c r="J43" s="548"/>
      <c r="K43" s="548"/>
      <c r="L43" s="548"/>
      <c r="M43" s="548"/>
      <c r="N43" s="548"/>
      <c r="O43" s="548"/>
      <c r="P43" s="548"/>
      <c r="Q43" s="548"/>
      <c r="R43" s="548"/>
      <c r="S43" s="548"/>
      <c r="T43" s="548"/>
      <c r="U43" s="548"/>
      <c r="V43" s="548"/>
      <c r="W43" s="548"/>
      <c r="X43" s="548"/>
      <c r="Y43" s="548"/>
      <c r="Z43" s="548"/>
    </row>
    <row r="44" ht="15.75" customHeight="1">
      <c r="A44" s="548"/>
      <c r="B44" s="548"/>
      <c r="C44" s="548"/>
      <c r="D44" s="548"/>
      <c r="E44" s="548"/>
      <c r="F44" s="549"/>
      <c r="G44" s="548"/>
      <c r="H44" s="548"/>
      <c r="I44" s="548"/>
      <c r="J44" s="548"/>
      <c r="K44" s="548"/>
      <c r="L44" s="548"/>
      <c r="M44" s="548"/>
      <c r="N44" s="548"/>
      <c r="O44" s="548"/>
      <c r="P44" s="548"/>
      <c r="Q44" s="548"/>
      <c r="R44" s="548"/>
      <c r="S44" s="548"/>
      <c r="T44" s="548"/>
      <c r="U44" s="548"/>
      <c r="V44" s="548"/>
      <c r="W44" s="548"/>
      <c r="X44" s="548"/>
      <c r="Y44" s="548"/>
      <c r="Z44" s="548"/>
    </row>
    <row r="45" ht="15.75" customHeight="1">
      <c r="A45" s="548"/>
      <c r="B45" s="548"/>
      <c r="C45" s="548"/>
      <c r="D45" s="548"/>
      <c r="E45" s="548"/>
      <c r="F45" s="549"/>
      <c r="G45" s="548"/>
      <c r="H45" s="548"/>
      <c r="I45" s="548"/>
      <c r="J45" s="548"/>
      <c r="K45" s="548"/>
      <c r="L45" s="548"/>
      <c r="M45" s="548"/>
      <c r="N45" s="548"/>
      <c r="O45" s="548"/>
      <c r="P45" s="548"/>
      <c r="Q45" s="548"/>
      <c r="R45" s="548"/>
      <c r="S45" s="548"/>
      <c r="T45" s="548"/>
      <c r="U45" s="548"/>
      <c r="V45" s="548"/>
      <c r="W45" s="548"/>
      <c r="X45" s="548"/>
      <c r="Y45" s="548"/>
      <c r="Z45" s="548"/>
    </row>
    <row r="46" ht="15.75" customHeight="1">
      <c r="A46" s="548"/>
      <c r="B46" s="548"/>
      <c r="C46" s="548"/>
      <c r="D46" s="548"/>
      <c r="E46" s="548"/>
      <c r="F46" s="549"/>
      <c r="G46" s="548"/>
      <c r="H46" s="548"/>
      <c r="I46" s="548"/>
      <c r="J46" s="548"/>
      <c r="K46" s="548"/>
      <c r="L46" s="548"/>
      <c r="M46" s="548"/>
      <c r="N46" s="548"/>
      <c r="O46" s="548"/>
      <c r="P46" s="548"/>
      <c r="Q46" s="548"/>
      <c r="R46" s="548"/>
      <c r="S46" s="548"/>
      <c r="T46" s="548"/>
      <c r="U46" s="548"/>
      <c r="V46" s="548"/>
      <c r="W46" s="548"/>
      <c r="X46" s="548"/>
      <c r="Y46" s="548"/>
      <c r="Z46" s="548"/>
    </row>
    <row r="47" ht="15.75" customHeight="1">
      <c r="A47" s="548"/>
      <c r="B47" s="548"/>
      <c r="C47" s="548"/>
      <c r="D47" s="548"/>
      <c r="E47" s="548"/>
      <c r="F47" s="549"/>
      <c r="G47" s="548"/>
      <c r="H47" s="548"/>
      <c r="I47" s="548"/>
      <c r="J47" s="548"/>
      <c r="K47" s="548"/>
      <c r="L47" s="548"/>
      <c r="M47" s="548"/>
      <c r="N47" s="548"/>
      <c r="O47" s="548"/>
      <c r="P47" s="548"/>
      <c r="Q47" s="548"/>
      <c r="R47" s="548"/>
      <c r="S47" s="548"/>
      <c r="T47" s="548"/>
      <c r="U47" s="548"/>
      <c r="V47" s="548"/>
      <c r="W47" s="548"/>
      <c r="X47" s="548"/>
      <c r="Y47" s="548"/>
      <c r="Z47" s="548"/>
    </row>
    <row r="48" ht="15.75" customHeight="1">
      <c r="A48" s="548"/>
      <c r="B48" s="548"/>
      <c r="C48" s="548"/>
      <c r="D48" s="548"/>
      <c r="E48" s="548"/>
      <c r="F48" s="549"/>
      <c r="G48" s="548"/>
      <c r="H48" s="548"/>
      <c r="I48" s="548"/>
      <c r="J48" s="548"/>
      <c r="K48" s="548"/>
      <c r="L48" s="548"/>
      <c r="M48" s="548"/>
      <c r="N48" s="548"/>
      <c r="O48" s="548"/>
      <c r="P48" s="548"/>
      <c r="Q48" s="548"/>
      <c r="R48" s="548"/>
      <c r="S48" s="548"/>
      <c r="T48" s="548"/>
      <c r="U48" s="548"/>
      <c r="V48" s="548"/>
      <c r="W48" s="548"/>
      <c r="X48" s="548"/>
      <c r="Y48" s="548"/>
      <c r="Z48" s="548"/>
    </row>
    <row r="49" ht="15.75" customHeight="1">
      <c r="A49" s="548"/>
      <c r="B49" s="548"/>
      <c r="C49" s="548"/>
      <c r="D49" s="548"/>
      <c r="E49" s="548"/>
      <c r="F49" s="549"/>
      <c r="G49" s="548"/>
      <c r="H49" s="548"/>
      <c r="I49" s="548"/>
      <c r="J49" s="548"/>
      <c r="K49" s="548"/>
      <c r="L49" s="548"/>
      <c r="M49" s="548"/>
      <c r="N49" s="548"/>
      <c r="O49" s="548"/>
      <c r="P49" s="548"/>
      <c r="Q49" s="548"/>
      <c r="R49" s="548"/>
      <c r="S49" s="548"/>
      <c r="T49" s="548"/>
      <c r="U49" s="548"/>
      <c r="V49" s="548"/>
      <c r="W49" s="548"/>
      <c r="X49" s="548"/>
      <c r="Y49" s="548"/>
      <c r="Z49" s="548"/>
    </row>
    <row r="50" ht="15.75" customHeight="1">
      <c r="A50" s="548"/>
      <c r="B50" s="548"/>
      <c r="C50" s="548"/>
      <c r="D50" s="548"/>
      <c r="E50" s="548"/>
      <c r="F50" s="549"/>
      <c r="G50" s="548"/>
      <c r="H50" s="548"/>
      <c r="I50" s="548"/>
      <c r="J50" s="548"/>
      <c r="K50" s="548"/>
      <c r="L50" s="548"/>
      <c r="M50" s="548"/>
      <c r="N50" s="548"/>
      <c r="O50" s="548"/>
      <c r="P50" s="548"/>
      <c r="Q50" s="548"/>
      <c r="R50" s="548"/>
      <c r="S50" s="548"/>
      <c r="T50" s="548"/>
      <c r="U50" s="548"/>
      <c r="V50" s="548"/>
      <c r="W50" s="548"/>
      <c r="X50" s="548"/>
      <c r="Y50" s="548"/>
      <c r="Z50" s="548"/>
    </row>
    <row r="51" ht="15.75" customHeight="1">
      <c r="A51" s="548"/>
      <c r="B51" s="548"/>
      <c r="C51" s="548"/>
      <c r="D51" s="548"/>
      <c r="E51" s="548"/>
      <c r="F51" s="549"/>
      <c r="G51" s="548"/>
      <c r="H51" s="548"/>
      <c r="I51" s="548"/>
      <c r="J51" s="548"/>
      <c r="K51" s="548"/>
      <c r="L51" s="548"/>
      <c r="M51" s="548"/>
      <c r="N51" s="548"/>
      <c r="O51" s="548"/>
      <c r="P51" s="548"/>
      <c r="Q51" s="548"/>
      <c r="R51" s="548"/>
      <c r="S51" s="548"/>
      <c r="T51" s="548"/>
      <c r="U51" s="548"/>
      <c r="V51" s="548"/>
      <c r="W51" s="548"/>
      <c r="X51" s="548"/>
      <c r="Y51" s="548"/>
      <c r="Z51" s="548"/>
    </row>
    <row r="52" ht="15.75" customHeight="1">
      <c r="A52" s="548"/>
      <c r="B52" s="548"/>
      <c r="C52" s="548"/>
      <c r="D52" s="548"/>
      <c r="E52" s="548"/>
      <c r="F52" s="549"/>
      <c r="G52" s="548"/>
      <c r="H52" s="548"/>
      <c r="I52" s="548"/>
      <c r="J52" s="548"/>
      <c r="K52" s="548"/>
      <c r="L52" s="548"/>
      <c r="M52" s="548"/>
      <c r="N52" s="548"/>
      <c r="O52" s="548"/>
      <c r="P52" s="548"/>
      <c r="Q52" s="548"/>
      <c r="R52" s="548"/>
      <c r="S52" s="548"/>
      <c r="T52" s="548"/>
      <c r="U52" s="548"/>
      <c r="V52" s="548"/>
      <c r="W52" s="548"/>
      <c r="X52" s="548"/>
      <c r="Y52" s="548"/>
      <c r="Z52" s="548"/>
    </row>
    <row r="53" ht="15.75" customHeight="1">
      <c r="A53" s="548"/>
      <c r="B53" s="548"/>
      <c r="C53" s="548"/>
      <c r="D53" s="548"/>
      <c r="E53" s="548"/>
      <c r="F53" s="549"/>
      <c r="G53" s="548"/>
      <c r="H53" s="548"/>
      <c r="I53" s="548"/>
      <c r="J53" s="548"/>
      <c r="K53" s="548"/>
      <c r="L53" s="548"/>
      <c r="M53" s="548"/>
      <c r="N53" s="548"/>
      <c r="O53" s="548"/>
      <c r="P53" s="548"/>
      <c r="Q53" s="548"/>
      <c r="R53" s="548"/>
      <c r="S53" s="548"/>
      <c r="T53" s="548"/>
      <c r="U53" s="548"/>
      <c r="V53" s="548"/>
      <c r="W53" s="548"/>
      <c r="X53" s="548"/>
      <c r="Y53" s="548"/>
      <c r="Z53" s="548"/>
    </row>
    <row r="54" ht="15.75" customHeight="1">
      <c r="A54" s="548"/>
      <c r="B54" s="548"/>
      <c r="C54" s="548"/>
      <c r="D54" s="548"/>
      <c r="E54" s="548"/>
      <c r="F54" s="549"/>
      <c r="G54" s="548"/>
      <c r="H54" s="548"/>
      <c r="I54" s="548"/>
      <c r="J54" s="548"/>
      <c r="K54" s="548"/>
      <c r="L54" s="548"/>
      <c r="M54" s="548"/>
      <c r="N54" s="548"/>
      <c r="O54" s="548"/>
      <c r="P54" s="548"/>
      <c r="Q54" s="548"/>
      <c r="R54" s="548"/>
      <c r="S54" s="548"/>
      <c r="T54" s="548"/>
      <c r="U54" s="548"/>
      <c r="V54" s="548"/>
      <c r="W54" s="548"/>
      <c r="X54" s="548"/>
      <c r="Y54" s="548"/>
      <c r="Z54" s="548"/>
    </row>
    <row r="55" ht="15.75" customHeight="1">
      <c r="A55" s="548"/>
      <c r="B55" s="548"/>
      <c r="C55" s="548"/>
      <c r="D55" s="548"/>
      <c r="E55" s="548"/>
      <c r="F55" s="549"/>
      <c r="G55" s="548"/>
      <c r="H55" s="548"/>
      <c r="I55" s="548"/>
      <c r="J55" s="548"/>
      <c r="K55" s="548"/>
      <c r="L55" s="548"/>
      <c r="M55" s="548"/>
      <c r="N55" s="548"/>
      <c r="O55" s="548"/>
      <c r="P55" s="548"/>
      <c r="Q55" s="548"/>
      <c r="R55" s="548"/>
      <c r="S55" s="548"/>
      <c r="T55" s="548"/>
      <c r="U55" s="548"/>
      <c r="V55" s="548"/>
      <c r="W55" s="548"/>
      <c r="X55" s="548"/>
      <c r="Y55" s="548"/>
      <c r="Z55" s="548"/>
    </row>
    <row r="56" ht="15.75" customHeight="1">
      <c r="A56" s="548"/>
      <c r="B56" s="548"/>
      <c r="C56" s="548"/>
      <c r="D56" s="548"/>
      <c r="E56" s="548"/>
      <c r="F56" s="549"/>
      <c r="G56" s="548"/>
      <c r="H56" s="548"/>
      <c r="I56" s="548"/>
      <c r="J56" s="548"/>
      <c r="K56" s="548"/>
      <c r="L56" s="548"/>
      <c r="M56" s="548"/>
      <c r="N56" s="548"/>
      <c r="O56" s="548"/>
      <c r="P56" s="548"/>
      <c r="Q56" s="548"/>
      <c r="R56" s="548"/>
      <c r="S56" s="548"/>
      <c r="T56" s="548"/>
      <c r="U56" s="548"/>
      <c r="V56" s="548"/>
      <c r="W56" s="548"/>
      <c r="X56" s="548"/>
      <c r="Y56" s="548"/>
      <c r="Z56" s="548"/>
    </row>
    <row r="57" ht="15.75" customHeight="1">
      <c r="A57" s="548"/>
      <c r="B57" s="548"/>
      <c r="C57" s="548"/>
      <c r="D57" s="548"/>
      <c r="E57" s="548"/>
      <c r="F57" s="549"/>
      <c r="G57" s="548"/>
      <c r="H57" s="548"/>
      <c r="I57" s="548"/>
      <c r="J57" s="548"/>
      <c r="K57" s="548"/>
      <c r="L57" s="548"/>
      <c r="M57" s="548"/>
      <c r="N57" s="548"/>
      <c r="O57" s="548"/>
      <c r="P57" s="548"/>
      <c r="Q57" s="548"/>
      <c r="R57" s="548"/>
      <c r="S57" s="548"/>
      <c r="T57" s="548"/>
      <c r="U57" s="548"/>
      <c r="V57" s="548"/>
      <c r="W57" s="548"/>
      <c r="X57" s="548"/>
      <c r="Y57" s="548"/>
      <c r="Z57" s="548"/>
    </row>
    <row r="58" ht="15.75" customHeight="1">
      <c r="A58" s="548"/>
      <c r="B58" s="548"/>
      <c r="C58" s="548"/>
      <c r="D58" s="548"/>
      <c r="E58" s="548"/>
      <c r="F58" s="549"/>
      <c r="G58" s="548"/>
      <c r="H58" s="548"/>
      <c r="I58" s="548"/>
      <c r="J58" s="548"/>
      <c r="K58" s="548"/>
      <c r="L58" s="548"/>
      <c r="M58" s="548"/>
      <c r="N58" s="548"/>
      <c r="O58" s="548"/>
      <c r="P58" s="548"/>
      <c r="Q58" s="548"/>
      <c r="R58" s="548"/>
      <c r="S58" s="548"/>
      <c r="T58" s="548"/>
      <c r="U58" s="548"/>
      <c r="V58" s="548"/>
      <c r="W58" s="548"/>
      <c r="X58" s="548"/>
      <c r="Y58" s="548"/>
      <c r="Z58" s="548"/>
    </row>
    <row r="59" ht="15.75" customHeight="1">
      <c r="A59" s="548"/>
      <c r="B59" s="548"/>
      <c r="C59" s="548"/>
      <c r="D59" s="548"/>
      <c r="E59" s="548"/>
      <c r="F59" s="549"/>
      <c r="G59" s="548"/>
      <c r="H59" s="548"/>
      <c r="I59" s="548"/>
      <c r="J59" s="548"/>
      <c r="K59" s="548"/>
      <c r="L59" s="548"/>
      <c r="M59" s="548"/>
      <c r="N59" s="548"/>
      <c r="O59" s="548"/>
      <c r="P59" s="548"/>
      <c r="Q59" s="548"/>
      <c r="R59" s="548"/>
      <c r="S59" s="548"/>
      <c r="T59" s="548"/>
      <c r="U59" s="548"/>
      <c r="V59" s="548"/>
      <c r="W59" s="548"/>
      <c r="X59" s="548"/>
      <c r="Y59" s="548"/>
      <c r="Z59" s="548"/>
    </row>
    <row r="60" ht="15.75" customHeight="1">
      <c r="A60" s="548"/>
      <c r="B60" s="548"/>
      <c r="C60" s="548"/>
      <c r="D60" s="548"/>
      <c r="E60" s="548"/>
      <c r="F60" s="549"/>
      <c r="G60" s="548"/>
      <c r="H60" s="548"/>
      <c r="I60" s="548"/>
      <c r="J60" s="548"/>
      <c r="K60" s="548"/>
      <c r="L60" s="548"/>
      <c r="M60" s="548"/>
      <c r="N60" s="548"/>
      <c r="O60" s="548"/>
      <c r="P60" s="548"/>
      <c r="Q60" s="548"/>
      <c r="R60" s="548"/>
      <c r="S60" s="548"/>
      <c r="T60" s="548"/>
      <c r="U60" s="548"/>
      <c r="V60" s="548"/>
      <c r="W60" s="548"/>
      <c r="X60" s="548"/>
      <c r="Y60" s="548"/>
      <c r="Z60" s="548"/>
    </row>
    <row r="61" ht="15.75" customHeight="1">
      <c r="A61" s="548"/>
      <c r="B61" s="548"/>
      <c r="C61" s="548"/>
      <c r="D61" s="548"/>
      <c r="E61" s="548"/>
      <c r="F61" s="549"/>
      <c r="G61" s="548"/>
      <c r="H61" s="548"/>
      <c r="I61" s="548"/>
      <c r="J61" s="548"/>
      <c r="K61" s="548"/>
      <c r="L61" s="548"/>
      <c r="M61" s="548"/>
      <c r="N61" s="548"/>
      <c r="O61" s="548"/>
      <c r="P61" s="548"/>
      <c r="Q61" s="548"/>
      <c r="R61" s="548"/>
      <c r="S61" s="548"/>
      <c r="T61" s="548"/>
      <c r="U61" s="548"/>
      <c r="V61" s="548"/>
      <c r="W61" s="548"/>
      <c r="X61" s="548"/>
      <c r="Y61" s="548"/>
      <c r="Z61" s="548"/>
    </row>
    <row r="62" ht="15.75" customHeight="1">
      <c r="A62" s="548"/>
      <c r="B62" s="548"/>
      <c r="C62" s="548"/>
      <c r="D62" s="548"/>
      <c r="E62" s="548"/>
      <c r="F62" s="549"/>
      <c r="G62" s="548"/>
      <c r="H62" s="548"/>
      <c r="I62" s="548"/>
      <c r="J62" s="548"/>
      <c r="K62" s="548"/>
      <c r="L62" s="548"/>
      <c r="M62" s="548"/>
      <c r="N62" s="548"/>
      <c r="O62" s="548"/>
      <c r="P62" s="548"/>
      <c r="Q62" s="548"/>
      <c r="R62" s="548"/>
      <c r="S62" s="548"/>
      <c r="T62" s="548"/>
      <c r="U62" s="548"/>
      <c r="V62" s="548"/>
      <c r="W62" s="548"/>
      <c r="X62" s="548"/>
      <c r="Y62" s="548"/>
      <c r="Z62" s="548"/>
    </row>
    <row r="63" ht="15.75" customHeight="1">
      <c r="A63" s="548"/>
      <c r="B63" s="548"/>
      <c r="C63" s="548"/>
      <c r="D63" s="548"/>
      <c r="E63" s="548"/>
      <c r="F63" s="549"/>
      <c r="G63" s="548"/>
      <c r="H63" s="548"/>
      <c r="I63" s="548"/>
      <c r="J63" s="548"/>
      <c r="K63" s="548"/>
      <c r="L63" s="548"/>
      <c r="M63" s="548"/>
      <c r="N63" s="548"/>
      <c r="O63" s="548"/>
      <c r="P63" s="548"/>
      <c r="Q63" s="548"/>
      <c r="R63" s="548"/>
      <c r="S63" s="548"/>
      <c r="T63" s="548"/>
      <c r="U63" s="548"/>
      <c r="V63" s="548"/>
      <c r="W63" s="548"/>
      <c r="X63" s="548"/>
      <c r="Y63" s="548"/>
      <c r="Z63" s="548"/>
    </row>
    <row r="64" ht="15.75" customHeight="1">
      <c r="A64" s="548"/>
      <c r="B64" s="548"/>
      <c r="C64" s="548"/>
      <c r="D64" s="548"/>
      <c r="E64" s="548"/>
      <c r="F64" s="549"/>
      <c r="G64" s="548"/>
      <c r="H64" s="548"/>
      <c r="I64" s="548"/>
      <c r="J64" s="548"/>
      <c r="K64" s="548"/>
      <c r="L64" s="548"/>
      <c r="M64" s="548"/>
      <c r="N64" s="548"/>
      <c r="O64" s="548"/>
      <c r="P64" s="548"/>
      <c r="Q64" s="548"/>
      <c r="R64" s="548"/>
      <c r="S64" s="548"/>
      <c r="T64" s="548"/>
      <c r="U64" s="548"/>
      <c r="V64" s="548"/>
      <c r="W64" s="548"/>
      <c r="X64" s="548"/>
      <c r="Y64" s="548"/>
      <c r="Z64" s="548"/>
    </row>
    <row r="65" ht="15.75" customHeight="1">
      <c r="A65" s="548"/>
      <c r="B65" s="548"/>
      <c r="C65" s="548"/>
      <c r="D65" s="548"/>
      <c r="E65" s="548"/>
      <c r="F65" s="549"/>
      <c r="G65" s="548"/>
      <c r="H65" s="548"/>
      <c r="I65" s="548"/>
      <c r="J65" s="548"/>
      <c r="K65" s="548"/>
      <c r="L65" s="548"/>
      <c r="M65" s="548"/>
      <c r="N65" s="548"/>
      <c r="O65" s="548"/>
      <c r="P65" s="548"/>
      <c r="Q65" s="548"/>
      <c r="R65" s="548"/>
      <c r="S65" s="548"/>
      <c r="T65" s="548"/>
      <c r="U65" s="548"/>
      <c r="V65" s="548"/>
      <c r="W65" s="548"/>
      <c r="X65" s="548"/>
      <c r="Y65" s="548"/>
      <c r="Z65" s="548"/>
    </row>
    <row r="66" ht="15.75" customHeight="1">
      <c r="A66" s="548"/>
      <c r="B66" s="548"/>
      <c r="C66" s="548"/>
      <c r="D66" s="548"/>
      <c r="E66" s="548"/>
      <c r="F66" s="549"/>
      <c r="G66" s="548"/>
      <c r="H66" s="548"/>
      <c r="I66" s="548"/>
      <c r="J66" s="548"/>
      <c r="K66" s="548"/>
      <c r="L66" s="548"/>
      <c r="M66" s="548"/>
      <c r="N66" s="548"/>
      <c r="O66" s="548"/>
      <c r="P66" s="548"/>
      <c r="Q66" s="548"/>
      <c r="R66" s="548"/>
      <c r="S66" s="548"/>
      <c r="T66" s="548"/>
      <c r="U66" s="548"/>
      <c r="V66" s="548"/>
      <c r="W66" s="548"/>
      <c r="X66" s="548"/>
      <c r="Y66" s="548"/>
      <c r="Z66" s="548"/>
    </row>
    <row r="67" ht="15.75" customHeight="1">
      <c r="A67" s="548"/>
      <c r="B67" s="548"/>
      <c r="C67" s="548"/>
      <c r="D67" s="548"/>
      <c r="E67" s="548"/>
      <c r="F67" s="549"/>
      <c r="G67" s="548"/>
      <c r="H67" s="548"/>
      <c r="I67" s="548"/>
      <c r="J67" s="548"/>
      <c r="K67" s="548"/>
      <c r="L67" s="548"/>
      <c r="M67" s="548"/>
      <c r="N67" s="548"/>
      <c r="O67" s="548"/>
      <c r="P67" s="548"/>
      <c r="Q67" s="548"/>
      <c r="R67" s="548"/>
      <c r="S67" s="548"/>
      <c r="T67" s="548"/>
      <c r="U67" s="548"/>
      <c r="V67" s="548"/>
      <c r="W67" s="548"/>
      <c r="X67" s="548"/>
      <c r="Y67" s="548"/>
      <c r="Z67" s="548"/>
    </row>
    <row r="68" ht="15.75" customHeight="1">
      <c r="A68" s="548"/>
      <c r="B68" s="548"/>
      <c r="C68" s="548"/>
      <c r="D68" s="548"/>
      <c r="E68" s="548"/>
      <c r="F68" s="549"/>
      <c r="G68" s="548"/>
      <c r="H68" s="548"/>
      <c r="I68" s="548"/>
      <c r="J68" s="548"/>
      <c r="K68" s="548"/>
      <c r="L68" s="548"/>
      <c r="M68" s="548"/>
      <c r="N68" s="548"/>
      <c r="O68" s="548"/>
      <c r="P68" s="548"/>
      <c r="Q68" s="548"/>
      <c r="R68" s="548"/>
      <c r="S68" s="548"/>
      <c r="T68" s="548"/>
      <c r="U68" s="548"/>
      <c r="V68" s="548"/>
      <c r="W68" s="548"/>
      <c r="X68" s="548"/>
      <c r="Y68" s="548"/>
      <c r="Z68" s="548"/>
    </row>
    <row r="69" ht="15.75" customHeight="1">
      <c r="A69" s="548"/>
      <c r="B69" s="548"/>
      <c r="C69" s="548"/>
      <c r="D69" s="548"/>
      <c r="E69" s="548"/>
      <c r="F69" s="549"/>
      <c r="G69" s="548"/>
      <c r="H69" s="548"/>
      <c r="I69" s="548"/>
      <c r="J69" s="548"/>
      <c r="K69" s="548"/>
      <c r="L69" s="548"/>
      <c r="M69" s="548"/>
      <c r="N69" s="548"/>
      <c r="O69" s="548"/>
      <c r="P69" s="548"/>
      <c r="Q69" s="548"/>
      <c r="R69" s="548"/>
      <c r="S69" s="548"/>
      <c r="T69" s="548"/>
      <c r="U69" s="548"/>
      <c r="V69" s="548"/>
      <c r="W69" s="548"/>
      <c r="X69" s="548"/>
      <c r="Y69" s="548"/>
      <c r="Z69" s="548"/>
    </row>
    <row r="70" ht="15.75" customHeight="1">
      <c r="A70" s="548"/>
      <c r="B70" s="548"/>
      <c r="C70" s="548"/>
      <c r="D70" s="548"/>
      <c r="E70" s="548"/>
      <c r="F70" s="549"/>
      <c r="G70" s="548"/>
      <c r="H70" s="548"/>
      <c r="I70" s="548"/>
      <c r="J70" s="548"/>
      <c r="K70" s="548"/>
      <c r="L70" s="548"/>
      <c r="M70" s="548"/>
      <c r="N70" s="548"/>
      <c r="O70" s="548"/>
      <c r="P70" s="548"/>
      <c r="Q70" s="548"/>
      <c r="R70" s="548"/>
      <c r="S70" s="548"/>
      <c r="T70" s="548"/>
      <c r="U70" s="548"/>
      <c r="V70" s="548"/>
      <c r="W70" s="548"/>
      <c r="X70" s="548"/>
      <c r="Y70" s="548"/>
      <c r="Z70" s="548"/>
    </row>
    <row r="71" ht="15.75" customHeight="1">
      <c r="A71" s="548"/>
      <c r="B71" s="548"/>
      <c r="C71" s="548"/>
      <c r="D71" s="548"/>
      <c r="E71" s="548"/>
      <c r="F71" s="549"/>
      <c r="G71" s="548"/>
      <c r="H71" s="548"/>
      <c r="I71" s="548"/>
      <c r="J71" s="548"/>
      <c r="K71" s="548"/>
      <c r="L71" s="548"/>
      <c r="M71" s="548"/>
      <c r="N71" s="548"/>
      <c r="O71" s="548"/>
      <c r="P71" s="548"/>
      <c r="Q71" s="548"/>
      <c r="R71" s="548"/>
      <c r="S71" s="548"/>
      <c r="T71" s="548"/>
      <c r="U71" s="548"/>
      <c r="V71" s="548"/>
      <c r="W71" s="548"/>
      <c r="X71" s="548"/>
      <c r="Y71" s="548"/>
      <c r="Z71" s="548"/>
    </row>
    <row r="72" ht="15.75" customHeight="1">
      <c r="A72" s="548"/>
      <c r="B72" s="548"/>
      <c r="C72" s="548"/>
      <c r="D72" s="548"/>
      <c r="E72" s="548"/>
      <c r="F72" s="549"/>
      <c r="G72" s="548"/>
      <c r="H72" s="548"/>
      <c r="I72" s="548"/>
      <c r="J72" s="548"/>
      <c r="K72" s="548"/>
      <c r="L72" s="548"/>
      <c r="M72" s="548"/>
      <c r="N72" s="548"/>
      <c r="O72" s="548"/>
      <c r="P72" s="548"/>
      <c r="Q72" s="548"/>
      <c r="R72" s="548"/>
      <c r="S72" s="548"/>
      <c r="T72" s="548"/>
      <c r="U72" s="548"/>
      <c r="V72" s="548"/>
      <c r="W72" s="548"/>
      <c r="X72" s="548"/>
      <c r="Y72" s="548"/>
      <c r="Z72" s="548"/>
    </row>
    <row r="73" ht="15.75" customHeight="1">
      <c r="A73" s="548"/>
      <c r="B73" s="548"/>
      <c r="C73" s="548"/>
      <c r="D73" s="548"/>
      <c r="E73" s="548"/>
      <c r="F73" s="549"/>
      <c r="G73" s="548"/>
      <c r="H73" s="548"/>
      <c r="I73" s="548"/>
      <c r="J73" s="548"/>
      <c r="K73" s="548"/>
      <c r="L73" s="548"/>
      <c r="M73" s="548"/>
      <c r="N73" s="548"/>
      <c r="O73" s="548"/>
      <c r="P73" s="548"/>
      <c r="Q73" s="548"/>
      <c r="R73" s="548"/>
      <c r="S73" s="548"/>
      <c r="T73" s="548"/>
      <c r="U73" s="548"/>
      <c r="V73" s="548"/>
      <c r="W73" s="548"/>
      <c r="X73" s="548"/>
      <c r="Y73" s="548"/>
      <c r="Z73" s="548"/>
    </row>
    <row r="74" ht="15.75" customHeight="1">
      <c r="A74" s="548"/>
      <c r="B74" s="548"/>
      <c r="C74" s="548"/>
      <c r="D74" s="548"/>
      <c r="E74" s="548"/>
      <c r="F74" s="549"/>
      <c r="G74" s="548"/>
      <c r="H74" s="548"/>
      <c r="I74" s="548"/>
      <c r="J74" s="548"/>
      <c r="K74" s="548"/>
      <c r="L74" s="548"/>
      <c r="M74" s="548"/>
      <c r="N74" s="548"/>
      <c r="O74" s="548"/>
      <c r="P74" s="548"/>
      <c r="Q74" s="548"/>
      <c r="R74" s="548"/>
      <c r="S74" s="548"/>
      <c r="T74" s="548"/>
      <c r="U74" s="548"/>
      <c r="V74" s="548"/>
      <c r="W74" s="548"/>
      <c r="X74" s="548"/>
      <c r="Y74" s="548"/>
      <c r="Z74" s="548"/>
    </row>
    <row r="75" ht="15.75" customHeight="1">
      <c r="A75" s="548"/>
      <c r="B75" s="548"/>
      <c r="C75" s="548"/>
      <c r="D75" s="548"/>
      <c r="E75" s="548"/>
      <c r="F75" s="549"/>
      <c r="G75" s="548"/>
      <c r="H75" s="548"/>
      <c r="I75" s="548"/>
      <c r="J75" s="548"/>
      <c r="K75" s="548"/>
      <c r="L75" s="548"/>
      <c r="M75" s="548"/>
      <c r="N75" s="548"/>
      <c r="O75" s="548"/>
      <c r="P75" s="548"/>
      <c r="Q75" s="548"/>
      <c r="R75" s="548"/>
      <c r="S75" s="548"/>
      <c r="T75" s="548"/>
      <c r="U75" s="548"/>
      <c r="V75" s="548"/>
      <c r="W75" s="548"/>
      <c r="X75" s="548"/>
      <c r="Y75" s="548"/>
      <c r="Z75" s="548"/>
    </row>
    <row r="76" ht="15.75" customHeight="1">
      <c r="A76" s="548"/>
      <c r="B76" s="548"/>
      <c r="C76" s="548"/>
      <c r="D76" s="548"/>
      <c r="E76" s="548"/>
      <c r="F76" s="549"/>
      <c r="G76" s="548"/>
      <c r="H76" s="548"/>
      <c r="I76" s="548"/>
      <c r="J76" s="548"/>
      <c r="K76" s="548"/>
      <c r="L76" s="548"/>
      <c r="M76" s="548"/>
      <c r="N76" s="548"/>
      <c r="O76" s="548"/>
      <c r="P76" s="548"/>
      <c r="Q76" s="548"/>
      <c r="R76" s="548"/>
      <c r="S76" s="548"/>
      <c r="T76" s="548"/>
      <c r="U76" s="548"/>
      <c r="V76" s="548"/>
      <c r="W76" s="548"/>
      <c r="X76" s="548"/>
      <c r="Y76" s="548"/>
      <c r="Z76" s="548"/>
    </row>
    <row r="77" ht="15.75" customHeight="1">
      <c r="A77" s="548"/>
      <c r="B77" s="548"/>
      <c r="C77" s="548"/>
      <c r="D77" s="548"/>
      <c r="E77" s="548"/>
      <c r="F77" s="549"/>
      <c r="G77" s="548"/>
      <c r="H77" s="548"/>
      <c r="I77" s="548"/>
      <c r="J77" s="548"/>
      <c r="K77" s="548"/>
      <c r="L77" s="548"/>
      <c r="M77" s="548"/>
      <c r="N77" s="548"/>
      <c r="O77" s="548"/>
      <c r="P77" s="548"/>
      <c r="Q77" s="548"/>
      <c r="R77" s="548"/>
      <c r="S77" s="548"/>
      <c r="T77" s="548"/>
      <c r="U77" s="548"/>
      <c r="V77" s="548"/>
      <c r="W77" s="548"/>
      <c r="X77" s="548"/>
      <c r="Y77" s="548"/>
      <c r="Z77" s="548"/>
    </row>
    <row r="78" ht="15.75" customHeight="1">
      <c r="A78" s="548"/>
      <c r="B78" s="548"/>
      <c r="C78" s="548"/>
      <c r="D78" s="548"/>
      <c r="E78" s="548"/>
      <c r="F78" s="549"/>
      <c r="G78" s="548"/>
      <c r="H78" s="548"/>
      <c r="I78" s="548"/>
      <c r="J78" s="548"/>
      <c r="K78" s="548"/>
      <c r="L78" s="548"/>
      <c r="M78" s="548"/>
      <c r="N78" s="548"/>
      <c r="O78" s="548"/>
      <c r="P78" s="548"/>
      <c r="Q78" s="548"/>
      <c r="R78" s="548"/>
      <c r="S78" s="548"/>
      <c r="T78" s="548"/>
      <c r="U78" s="548"/>
      <c r="V78" s="548"/>
      <c r="W78" s="548"/>
      <c r="X78" s="548"/>
      <c r="Y78" s="548"/>
      <c r="Z78" s="548"/>
    </row>
    <row r="79" ht="15.75" customHeight="1">
      <c r="A79" s="548"/>
      <c r="B79" s="548"/>
      <c r="C79" s="548"/>
      <c r="D79" s="548"/>
      <c r="E79" s="548"/>
      <c r="F79" s="549"/>
      <c r="G79" s="548"/>
      <c r="H79" s="548"/>
      <c r="I79" s="548"/>
      <c r="J79" s="548"/>
      <c r="K79" s="548"/>
      <c r="L79" s="548"/>
      <c r="M79" s="548"/>
      <c r="N79" s="548"/>
      <c r="O79" s="548"/>
      <c r="P79" s="548"/>
      <c r="Q79" s="548"/>
      <c r="R79" s="548"/>
      <c r="S79" s="548"/>
      <c r="T79" s="548"/>
      <c r="U79" s="548"/>
      <c r="V79" s="548"/>
      <c r="W79" s="548"/>
      <c r="X79" s="548"/>
      <c r="Y79" s="548"/>
      <c r="Z79" s="548"/>
    </row>
    <row r="80" ht="15.75" customHeight="1">
      <c r="A80" s="548"/>
      <c r="B80" s="548"/>
      <c r="C80" s="548"/>
      <c r="D80" s="548"/>
      <c r="E80" s="548"/>
      <c r="F80" s="549"/>
      <c r="G80" s="548"/>
      <c r="H80" s="548"/>
      <c r="I80" s="548"/>
      <c r="J80" s="548"/>
      <c r="K80" s="548"/>
      <c r="L80" s="548"/>
      <c r="M80" s="548"/>
      <c r="N80" s="548"/>
      <c r="O80" s="548"/>
      <c r="P80" s="548"/>
      <c r="Q80" s="548"/>
      <c r="R80" s="548"/>
      <c r="S80" s="548"/>
      <c r="T80" s="548"/>
      <c r="U80" s="548"/>
      <c r="V80" s="548"/>
      <c r="W80" s="548"/>
      <c r="X80" s="548"/>
      <c r="Y80" s="548"/>
      <c r="Z80" s="548"/>
    </row>
    <row r="81" ht="15.75" customHeight="1">
      <c r="A81" s="548"/>
      <c r="B81" s="548"/>
      <c r="C81" s="548"/>
      <c r="D81" s="548"/>
      <c r="E81" s="548"/>
      <c r="F81" s="549"/>
      <c r="G81" s="548"/>
      <c r="H81" s="548"/>
      <c r="I81" s="548"/>
      <c r="J81" s="548"/>
      <c r="K81" s="548"/>
      <c r="L81" s="548"/>
      <c r="M81" s="548"/>
      <c r="N81" s="548"/>
      <c r="O81" s="548"/>
      <c r="P81" s="548"/>
      <c r="Q81" s="548"/>
      <c r="R81" s="548"/>
      <c r="S81" s="548"/>
      <c r="T81" s="548"/>
      <c r="U81" s="548"/>
      <c r="V81" s="548"/>
      <c r="W81" s="548"/>
      <c r="X81" s="548"/>
      <c r="Y81" s="548"/>
      <c r="Z81" s="548"/>
    </row>
    <row r="82" ht="15.75" customHeight="1">
      <c r="A82" s="548"/>
      <c r="B82" s="548"/>
      <c r="C82" s="548"/>
      <c r="D82" s="548"/>
      <c r="E82" s="548"/>
      <c r="F82" s="549"/>
      <c r="G82" s="548"/>
      <c r="H82" s="548"/>
      <c r="I82" s="548"/>
      <c r="J82" s="548"/>
      <c r="K82" s="548"/>
      <c r="L82" s="548"/>
      <c r="M82" s="548"/>
      <c r="N82" s="548"/>
      <c r="O82" s="548"/>
      <c r="P82" s="548"/>
      <c r="Q82" s="548"/>
      <c r="R82" s="548"/>
      <c r="S82" s="548"/>
      <c r="T82" s="548"/>
      <c r="U82" s="548"/>
      <c r="V82" s="548"/>
      <c r="W82" s="548"/>
      <c r="X82" s="548"/>
      <c r="Y82" s="548"/>
      <c r="Z82" s="548"/>
    </row>
    <row r="83" ht="15.75" customHeight="1">
      <c r="A83" s="548"/>
      <c r="B83" s="548"/>
      <c r="C83" s="548"/>
      <c r="D83" s="548"/>
      <c r="E83" s="548"/>
      <c r="F83" s="549"/>
      <c r="G83" s="548"/>
      <c r="H83" s="548"/>
      <c r="I83" s="548"/>
      <c r="J83" s="548"/>
      <c r="K83" s="548"/>
      <c r="L83" s="548"/>
      <c r="M83" s="548"/>
      <c r="N83" s="548"/>
      <c r="O83" s="548"/>
      <c r="P83" s="548"/>
      <c r="Q83" s="548"/>
      <c r="R83" s="548"/>
      <c r="S83" s="548"/>
      <c r="T83" s="548"/>
      <c r="U83" s="548"/>
      <c r="V83" s="548"/>
      <c r="W83" s="548"/>
      <c r="X83" s="548"/>
      <c r="Y83" s="548"/>
      <c r="Z83" s="548"/>
    </row>
    <row r="84" ht="15.75" customHeight="1">
      <c r="A84" s="548"/>
      <c r="B84" s="548"/>
      <c r="C84" s="548"/>
      <c r="D84" s="548"/>
      <c r="E84" s="548"/>
      <c r="F84" s="549"/>
      <c r="G84" s="548"/>
      <c r="H84" s="548"/>
      <c r="I84" s="548"/>
      <c r="J84" s="548"/>
      <c r="K84" s="548"/>
      <c r="L84" s="548"/>
      <c r="M84" s="548"/>
      <c r="N84" s="548"/>
      <c r="O84" s="548"/>
      <c r="P84" s="548"/>
      <c r="Q84" s="548"/>
      <c r="R84" s="548"/>
      <c r="S84" s="548"/>
      <c r="T84" s="548"/>
      <c r="U84" s="548"/>
      <c r="V84" s="548"/>
      <c r="W84" s="548"/>
      <c r="X84" s="548"/>
      <c r="Y84" s="548"/>
      <c r="Z84" s="548"/>
    </row>
    <row r="85" ht="15.75" customHeight="1">
      <c r="A85" s="548"/>
      <c r="B85" s="548"/>
      <c r="C85" s="548"/>
      <c r="D85" s="548"/>
      <c r="E85" s="548"/>
      <c r="F85" s="549"/>
      <c r="G85" s="548"/>
      <c r="H85" s="548"/>
      <c r="I85" s="548"/>
      <c r="J85" s="548"/>
      <c r="K85" s="548"/>
      <c r="L85" s="548"/>
      <c r="M85" s="548"/>
      <c r="N85" s="548"/>
      <c r="O85" s="548"/>
      <c r="P85" s="548"/>
      <c r="Q85" s="548"/>
      <c r="R85" s="548"/>
      <c r="S85" s="548"/>
      <c r="T85" s="548"/>
      <c r="U85" s="548"/>
      <c r="V85" s="548"/>
      <c r="W85" s="548"/>
      <c r="X85" s="548"/>
      <c r="Y85" s="548"/>
      <c r="Z85" s="548"/>
    </row>
    <row r="86" ht="15.75" customHeight="1">
      <c r="A86" s="548"/>
      <c r="B86" s="548"/>
      <c r="C86" s="548"/>
      <c r="D86" s="548"/>
      <c r="E86" s="548"/>
      <c r="F86" s="549"/>
      <c r="G86" s="548"/>
      <c r="H86" s="548"/>
      <c r="I86" s="548"/>
      <c r="J86" s="548"/>
      <c r="K86" s="548"/>
      <c r="L86" s="548"/>
      <c r="M86" s="548"/>
      <c r="N86" s="548"/>
      <c r="O86" s="548"/>
      <c r="P86" s="548"/>
      <c r="Q86" s="548"/>
      <c r="R86" s="548"/>
      <c r="S86" s="548"/>
      <c r="T86" s="548"/>
      <c r="U86" s="548"/>
      <c r="V86" s="548"/>
      <c r="W86" s="548"/>
      <c r="X86" s="548"/>
      <c r="Y86" s="548"/>
      <c r="Z86" s="548"/>
    </row>
    <row r="87" ht="15.75" customHeight="1">
      <c r="A87" s="548"/>
      <c r="B87" s="548"/>
      <c r="C87" s="548"/>
      <c r="D87" s="548"/>
      <c r="E87" s="548"/>
      <c r="F87" s="549"/>
      <c r="G87" s="548"/>
      <c r="H87" s="548"/>
      <c r="I87" s="548"/>
      <c r="J87" s="548"/>
      <c r="K87" s="548"/>
      <c r="L87" s="548"/>
      <c r="M87" s="548"/>
      <c r="N87" s="548"/>
      <c r="O87" s="548"/>
      <c r="P87" s="548"/>
      <c r="Q87" s="548"/>
      <c r="R87" s="548"/>
      <c r="S87" s="548"/>
      <c r="T87" s="548"/>
      <c r="U87" s="548"/>
      <c r="V87" s="548"/>
      <c r="W87" s="548"/>
      <c r="X87" s="548"/>
      <c r="Y87" s="548"/>
      <c r="Z87" s="548"/>
    </row>
    <row r="88" ht="15.75" customHeight="1">
      <c r="A88" s="548"/>
      <c r="B88" s="548"/>
      <c r="C88" s="548"/>
      <c r="D88" s="548"/>
      <c r="E88" s="548"/>
      <c r="F88" s="549"/>
      <c r="G88" s="548"/>
      <c r="H88" s="548"/>
      <c r="I88" s="548"/>
      <c r="J88" s="548"/>
      <c r="K88" s="548"/>
      <c r="L88" s="548"/>
      <c r="M88" s="548"/>
      <c r="N88" s="548"/>
      <c r="O88" s="548"/>
      <c r="P88" s="548"/>
      <c r="Q88" s="548"/>
      <c r="R88" s="548"/>
      <c r="S88" s="548"/>
      <c r="T88" s="548"/>
      <c r="U88" s="548"/>
      <c r="V88" s="548"/>
      <c r="W88" s="548"/>
      <c r="X88" s="548"/>
      <c r="Y88" s="548"/>
      <c r="Z88" s="548"/>
    </row>
    <row r="89" ht="15.75" customHeight="1">
      <c r="A89" s="548"/>
      <c r="B89" s="548"/>
      <c r="C89" s="548"/>
      <c r="D89" s="548"/>
      <c r="E89" s="548"/>
      <c r="F89" s="549"/>
      <c r="G89" s="548"/>
      <c r="H89" s="548"/>
      <c r="I89" s="548"/>
      <c r="J89" s="548"/>
      <c r="K89" s="548"/>
      <c r="L89" s="548"/>
      <c r="M89" s="548"/>
      <c r="N89" s="548"/>
      <c r="O89" s="548"/>
      <c r="P89" s="548"/>
      <c r="Q89" s="548"/>
      <c r="R89" s="548"/>
      <c r="S89" s="548"/>
      <c r="T89" s="548"/>
      <c r="U89" s="548"/>
      <c r="V89" s="548"/>
      <c r="W89" s="548"/>
      <c r="X89" s="548"/>
      <c r="Y89" s="548"/>
      <c r="Z89" s="548"/>
    </row>
    <row r="90" ht="15.75" customHeight="1">
      <c r="A90" s="548"/>
      <c r="B90" s="548"/>
      <c r="C90" s="548"/>
      <c r="D90" s="548"/>
      <c r="E90" s="548"/>
      <c r="F90" s="549"/>
      <c r="G90" s="548"/>
      <c r="H90" s="548"/>
      <c r="I90" s="548"/>
      <c r="J90" s="548"/>
      <c r="K90" s="548"/>
      <c r="L90" s="548"/>
      <c r="M90" s="548"/>
      <c r="N90" s="548"/>
      <c r="O90" s="548"/>
      <c r="P90" s="548"/>
      <c r="Q90" s="548"/>
      <c r="R90" s="548"/>
      <c r="S90" s="548"/>
      <c r="T90" s="548"/>
      <c r="U90" s="548"/>
      <c r="V90" s="548"/>
      <c r="W90" s="548"/>
      <c r="X90" s="548"/>
      <c r="Y90" s="548"/>
      <c r="Z90" s="548"/>
    </row>
    <row r="91" ht="15.75" customHeight="1">
      <c r="A91" s="548"/>
      <c r="B91" s="548"/>
      <c r="C91" s="548"/>
      <c r="D91" s="548"/>
      <c r="E91" s="548"/>
      <c r="F91" s="549"/>
      <c r="G91" s="548"/>
      <c r="H91" s="548"/>
      <c r="I91" s="548"/>
      <c r="J91" s="548"/>
      <c r="K91" s="548"/>
      <c r="L91" s="548"/>
      <c r="M91" s="548"/>
      <c r="N91" s="548"/>
      <c r="O91" s="548"/>
      <c r="P91" s="548"/>
      <c r="Q91" s="548"/>
      <c r="R91" s="548"/>
      <c r="S91" s="548"/>
      <c r="T91" s="548"/>
      <c r="U91" s="548"/>
      <c r="V91" s="548"/>
      <c r="W91" s="548"/>
      <c r="X91" s="548"/>
      <c r="Y91" s="548"/>
      <c r="Z91" s="548"/>
    </row>
    <row r="92" ht="15.75" customHeight="1">
      <c r="A92" s="548"/>
      <c r="B92" s="548"/>
      <c r="C92" s="548"/>
      <c r="D92" s="548"/>
      <c r="E92" s="548"/>
      <c r="F92" s="549"/>
      <c r="G92" s="548"/>
      <c r="H92" s="548"/>
      <c r="I92" s="548"/>
      <c r="J92" s="548"/>
      <c r="K92" s="548"/>
      <c r="L92" s="548"/>
      <c r="M92" s="548"/>
      <c r="N92" s="548"/>
      <c r="O92" s="548"/>
      <c r="P92" s="548"/>
      <c r="Q92" s="548"/>
      <c r="R92" s="548"/>
      <c r="S92" s="548"/>
      <c r="T92" s="548"/>
      <c r="U92" s="548"/>
      <c r="V92" s="548"/>
      <c r="W92" s="548"/>
      <c r="X92" s="548"/>
      <c r="Y92" s="548"/>
      <c r="Z92" s="548"/>
    </row>
    <row r="93" ht="15.75" customHeight="1">
      <c r="A93" s="548"/>
      <c r="B93" s="548"/>
      <c r="C93" s="548"/>
      <c r="D93" s="548"/>
      <c r="E93" s="548"/>
      <c r="F93" s="549"/>
      <c r="G93" s="548"/>
      <c r="H93" s="548"/>
      <c r="I93" s="548"/>
      <c r="J93" s="548"/>
      <c r="K93" s="548"/>
      <c r="L93" s="548"/>
      <c r="M93" s="548"/>
      <c r="N93" s="548"/>
      <c r="O93" s="548"/>
      <c r="P93" s="548"/>
      <c r="Q93" s="548"/>
      <c r="R93" s="548"/>
      <c r="S93" s="548"/>
      <c r="T93" s="548"/>
      <c r="U93" s="548"/>
      <c r="V93" s="548"/>
      <c r="W93" s="548"/>
      <c r="X93" s="548"/>
      <c r="Y93" s="548"/>
      <c r="Z93" s="548"/>
    </row>
    <row r="94" ht="15.75" customHeight="1">
      <c r="A94" s="548"/>
      <c r="B94" s="548"/>
      <c r="C94" s="548"/>
      <c r="D94" s="548"/>
      <c r="E94" s="548"/>
      <c r="F94" s="549"/>
      <c r="G94" s="548"/>
      <c r="H94" s="548"/>
      <c r="I94" s="548"/>
      <c r="J94" s="548"/>
      <c r="K94" s="548"/>
      <c r="L94" s="548"/>
      <c r="M94" s="548"/>
      <c r="N94" s="548"/>
      <c r="O94" s="548"/>
      <c r="P94" s="548"/>
      <c r="Q94" s="548"/>
      <c r="R94" s="548"/>
      <c r="S94" s="548"/>
      <c r="T94" s="548"/>
      <c r="U94" s="548"/>
      <c r="V94" s="548"/>
      <c r="W94" s="548"/>
      <c r="X94" s="548"/>
      <c r="Y94" s="548"/>
      <c r="Z94" s="548"/>
    </row>
    <row r="95" ht="15.75" customHeight="1">
      <c r="A95" s="548"/>
      <c r="B95" s="548"/>
      <c r="C95" s="548"/>
      <c r="D95" s="548"/>
      <c r="E95" s="548"/>
      <c r="F95" s="549"/>
      <c r="G95" s="548"/>
      <c r="H95" s="548"/>
      <c r="I95" s="548"/>
      <c r="J95" s="548"/>
      <c r="K95" s="548"/>
      <c r="L95" s="548"/>
      <c r="M95" s="548"/>
      <c r="N95" s="548"/>
      <c r="O95" s="548"/>
      <c r="P95" s="548"/>
      <c r="Q95" s="548"/>
      <c r="R95" s="548"/>
      <c r="S95" s="548"/>
      <c r="T95" s="548"/>
      <c r="U95" s="548"/>
      <c r="V95" s="548"/>
      <c r="W95" s="548"/>
      <c r="X95" s="548"/>
      <c r="Y95" s="548"/>
      <c r="Z95" s="548"/>
    </row>
    <row r="96" ht="15.75" customHeight="1">
      <c r="A96" s="548"/>
      <c r="B96" s="548"/>
      <c r="C96" s="548"/>
      <c r="D96" s="548"/>
      <c r="E96" s="548"/>
      <c r="F96" s="549"/>
      <c r="G96" s="548"/>
      <c r="H96" s="548"/>
      <c r="I96" s="548"/>
      <c r="J96" s="548"/>
      <c r="K96" s="548"/>
      <c r="L96" s="548"/>
      <c r="M96" s="548"/>
      <c r="N96" s="548"/>
      <c r="O96" s="548"/>
      <c r="P96" s="548"/>
      <c r="Q96" s="548"/>
      <c r="R96" s="548"/>
      <c r="S96" s="548"/>
      <c r="T96" s="548"/>
      <c r="U96" s="548"/>
      <c r="V96" s="548"/>
      <c r="W96" s="548"/>
      <c r="X96" s="548"/>
      <c r="Y96" s="548"/>
      <c r="Z96" s="548"/>
    </row>
    <row r="97" ht="15.75" customHeight="1">
      <c r="A97" s="548"/>
      <c r="B97" s="548"/>
      <c r="C97" s="548"/>
      <c r="D97" s="548"/>
      <c r="E97" s="548"/>
      <c r="F97" s="549"/>
      <c r="G97" s="548"/>
      <c r="H97" s="548"/>
      <c r="I97" s="548"/>
      <c r="J97" s="548"/>
      <c r="K97" s="548"/>
      <c r="L97" s="548"/>
      <c r="M97" s="548"/>
      <c r="N97" s="548"/>
      <c r="O97" s="548"/>
      <c r="P97" s="548"/>
      <c r="Q97" s="548"/>
      <c r="R97" s="548"/>
      <c r="S97" s="548"/>
      <c r="T97" s="548"/>
      <c r="U97" s="548"/>
      <c r="V97" s="548"/>
      <c r="W97" s="548"/>
      <c r="X97" s="548"/>
      <c r="Y97" s="548"/>
      <c r="Z97" s="548"/>
    </row>
    <row r="98" ht="15.75" customHeight="1">
      <c r="A98" s="548"/>
      <c r="B98" s="548"/>
      <c r="C98" s="548"/>
      <c r="D98" s="548"/>
      <c r="E98" s="548"/>
      <c r="F98" s="549"/>
      <c r="G98" s="548"/>
      <c r="H98" s="548"/>
      <c r="I98" s="548"/>
      <c r="J98" s="548"/>
      <c r="K98" s="548"/>
      <c r="L98" s="548"/>
      <c r="M98" s="548"/>
      <c r="N98" s="548"/>
      <c r="O98" s="548"/>
      <c r="P98" s="548"/>
      <c r="Q98" s="548"/>
      <c r="R98" s="548"/>
      <c r="S98" s="548"/>
      <c r="T98" s="548"/>
      <c r="U98" s="548"/>
      <c r="V98" s="548"/>
      <c r="W98" s="548"/>
      <c r="X98" s="548"/>
      <c r="Y98" s="548"/>
      <c r="Z98" s="548"/>
    </row>
    <row r="99" ht="15.75" customHeight="1">
      <c r="A99" s="548"/>
      <c r="B99" s="548"/>
      <c r="C99" s="548"/>
      <c r="D99" s="548"/>
      <c r="E99" s="548"/>
      <c r="F99" s="549"/>
      <c r="G99" s="548"/>
      <c r="H99" s="548"/>
      <c r="I99" s="548"/>
      <c r="J99" s="548"/>
      <c r="K99" s="548"/>
      <c r="L99" s="548"/>
      <c r="M99" s="548"/>
      <c r="N99" s="548"/>
      <c r="O99" s="548"/>
      <c r="P99" s="548"/>
      <c r="Q99" s="548"/>
      <c r="R99" s="548"/>
      <c r="S99" s="548"/>
      <c r="T99" s="548"/>
      <c r="U99" s="548"/>
      <c r="V99" s="548"/>
      <c r="W99" s="548"/>
      <c r="X99" s="548"/>
      <c r="Y99" s="548"/>
      <c r="Z99" s="548"/>
    </row>
    <row r="100" ht="15.75" customHeight="1">
      <c r="A100" s="548"/>
      <c r="B100" s="548"/>
      <c r="C100" s="548"/>
      <c r="D100" s="548"/>
      <c r="E100" s="548"/>
      <c r="F100" s="549"/>
      <c r="G100" s="548"/>
      <c r="H100" s="548"/>
      <c r="I100" s="548"/>
      <c r="J100" s="548"/>
      <c r="K100" s="548"/>
      <c r="L100" s="548"/>
      <c r="M100" s="548"/>
      <c r="N100" s="548"/>
      <c r="O100" s="548"/>
      <c r="P100" s="548"/>
      <c r="Q100" s="548"/>
      <c r="R100" s="548"/>
      <c r="S100" s="548"/>
      <c r="T100" s="548"/>
      <c r="U100" s="548"/>
      <c r="V100" s="548"/>
      <c r="W100" s="548"/>
      <c r="X100" s="548"/>
      <c r="Y100" s="548"/>
      <c r="Z100" s="548"/>
    </row>
    <row r="101" ht="15.75" customHeight="1">
      <c r="A101" s="548"/>
      <c r="B101" s="548"/>
      <c r="C101" s="548"/>
      <c r="D101" s="548"/>
      <c r="E101" s="548"/>
      <c r="F101" s="549"/>
      <c r="G101" s="548"/>
      <c r="H101" s="548"/>
      <c r="I101" s="548"/>
      <c r="J101" s="548"/>
      <c r="K101" s="548"/>
      <c r="L101" s="548"/>
      <c r="M101" s="548"/>
      <c r="N101" s="548"/>
      <c r="O101" s="548"/>
      <c r="P101" s="548"/>
      <c r="Q101" s="548"/>
      <c r="R101" s="548"/>
      <c r="S101" s="548"/>
      <c r="T101" s="548"/>
      <c r="U101" s="548"/>
      <c r="V101" s="548"/>
      <c r="W101" s="548"/>
      <c r="X101" s="548"/>
      <c r="Y101" s="548"/>
      <c r="Z101" s="548"/>
    </row>
    <row r="102" ht="15.75" customHeight="1">
      <c r="A102" s="548"/>
      <c r="B102" s="548"/>
      <c r="C102" s="548"/>
      <c r="D102" s="548"/>
      <c r="E102" s="548"/>
      <c r="F102" s="549"/>
      <c r="G102" s="548"/>
      <c r="H102" s="548"/>
      <c r="I102" s="548"/>
      <c r="J102" s="548"/>
      <c r="K102" s="548"/>
      <c r="L102" s="548"/>
      <c r="M102" s="548"/>
      <c r="N102" s="548"/>
      <c r="O102" s="548"/>
      <c r="P102" s="548"/>
      <c r="Q102" s="548"/>
      <c r="R102" s="548"/>
      <c r="S102" s="548"/>
      <c r="T102" s="548"/>
      <c r="U102" s="548"/>
      <c r="V102" s="548"/>
      <c r="W102" s="548"/>
      <c r="X102" s="548"/>
      <c r="Y102" s="548"/>
      <c r="Z102" s="548"/>
    </row>
    <row r="103" ht="15.75" customHeight="1">
      <c r="A103" s="548"/>
      <c r="B103" s="548"/>
      <c r="C103" s="548"/>
      <c r="D103" s="548"/>
      <c r="E103" s="548"/>
      <c r="F103" s="549"/>
      <c r="G103" s="548"/>
      <c r="H103" s="548"/>
      <c r="I103" s="548"/>
      <c r="J103" s="548"/>
      <c r="K103" s="548"/>
      <c r="L103" s="548"/>
      <c r="M103" s="548"/>
      <c r="N103" s="548"/>
      <c r="O103" s="548"/>
      <c r="P103" s="548"/>
      <c r="Q103" s="548"/>
      <c r="R103" s="548"/>
      <c r="S103" s="548"/>
      <c r="T103" s="548"/>
      <c r="U103" s="548"/>
      <c r="V103" s="548"/>
      <c r="W103" s="548"/>
      <c r="X103" s="548"/>
      <c r="Y103" s="548"/>
      <c r="Z103" s="548"/>
    </row>
    <row r="104" ht="15.75" customHeight="1">
      <c r="A104" s="548"/>
      <c r="B104" s="548"/>
      <c r="C104" s="548"/>
      <c r="D104" s="548"/>
      <c r="E104" s="548"/>
      <c r="F104" s="549"/>
      <c r="G104" s="548"/>
      <c r="H104" s="548"/>
      <c r="I104" s="548"/>
      <c r="J104" s="548"/>
      <c r="K104" s="548"/>
      <c r="L104" s="548"/>
      <c r="M104" s="548"/>
      <c r="N104" s="548"/>
      <c r="O104" s="548"/>
      <c r="P104" s="548"/>
      <c r="Q104" s="548"/>
      <c r="R104" s="548"/>
      <c r="S104" s="548"/>
      <c r="T104" s="548"/>
      <c r="U104" s="548"/>
      <c r="V104" s="548"/>
      <c r="W104" s="548"/>
      <c r="X104" s="548"/>
      <c r="Y104" s="548"/>
      <c r="Z104" s="548"/>
    </row>
    <row r="105" ht="15.75" customHeight="1">
      <c r="A105" s="548"/>
      <c r="B105" s="548"/>
      <c r="C105" s="548"/>
      <c r="D105" s="548"/>
      <c r="E105" s="548"/>
      <c r="F105" s="549"/>
      <c r="G105" s="548"/>
      <c r="H105" s="548"/>
      <c r="I105" s="548"/>
      <c r="J105" s="548"/>
      <c r="K105" s="548"/>
      <c r="L105" s="548"/>
      <c r="M105" s="548"/>
      <c r="N105" s="548"/>
      <c r="O105" s="548"/>
      <c r="P105" s="548"/>
      <c r="Q105" s="548"/>
      <c r="R105" s="548"/>
      <c r="S105" s="548"/>
      <c r="T105" s="548"/>
      <c r="U105" s="548"/>
      <c r="V105" s="548"/>
      <c r="W105" s="548"/>
      <c r="X105" s="548"/>
      <c r="Y105" s="548"/>
      <c r="Z105" s="548"/>
    </row>
    <row r="106" ht="15.75" customHeight="1">
      <c r="A106" s="548"/>
      <c r="B106" s="548"/>
      <c r="C106" s="548"/>
      <c r="D106" s="548"/>
      <c r="E106" s="548"/>
      <c r="F106" s="549"/>
      <c r="G106" s="548"/>
      <c r="H106" s="548"/>
      <c r="I106" s="548"/>
      <c r="J106" s="548"/>
      <c r="K106" s="548"/>
      <c r="L106" s="548"/>
      <c r="M106" s="548"/>
      <c r="N106" s="548"/>
      <c r="O106" s="548"/>
      <c r="P106" s="548"/>
      <c r="Q106" s="548"/>
      <c r="R106" s="548"/>
      <c r="S106" s="548"/>
      <c r="T106" s="548"/>
      <c r="U106" s="548"/>
      <c r="V106" s="548"/>
      <c r="W106" s="548"/>
      <c r="X106" s="548"/>
      <c r="Y106" s="548"/>
      <c r="Z106" s="548"/>
    </row>
    <row r="107" ht="15.75" customHeight="1">
      <c r="A107" s="548"/>
      <c r="B107" s="548"/>
      <c r="C107" s="548"/>
      <c r="D107" s="548"/>
      <c r="E107" s="548"/>
      <c r="F107" s="549"/>
      <c r="G107" s="548"/>
      <c r="H107" s="548"/>
      <c r="I107" s="548"/>
      <c r="J107" s="548"/>
      <c r="K107" s="548"/>
      <c r="L107" s="548"/>
      <c r="M107" s="548"/>
      <c r="N107" s="548"/>
      <c r="O107" s="548"/>
      <c r="P107" s="548"/>
      <c r="Q107" s="548"/>
      <c r="R107" s="548"/>
      <c r="S107" s="548"/>
      <c r="T107" s="548"/>
      <c r="U107" s="548"/>
      <c r="V107" s="548"/>
      <c r="W107" s="548"/>
      <c r="X107" s="548"/>
      <c r="Y107" s="548"/>
      <c r="Z107" s="548"/>
    </row>
    <row r="108" ht="15.75" customHeight="1">
      <c r="A108" s="548"/>
      <c r="B108" s="548"/>
      <c r="C108" s="548"/>
      <c r="D108" s="548"/>
      <c r="E108" s="548"/>
      <c r="F108" s="549"/>
      <c r="G108" s="548"/>
      <c r="H108" s="548"/>
      <c r="I108" s="548"/>
      <c r="J108" s="548"/>
      <c r="K108" s="548"/>
      <c r="L108" s="548"/>
      <c r="M108" s="548"/>
      <c r="N108" s="548"/>
      <c r="O108" s="548"/>
      <c r="P108" s="548"/>
      <c r="Q108" s="548"/>
      <c r="R108" s="548"/>
      <c r="S108" s="548"/>
      <c r="T108" s="548"/>
      <c r="U108" s="548"/>
      <c r="V108" s="548"/>
      <c r="W108" s="548"/>
      <c r="X108" s="548"/>
      <c r="Y108" s="548"/>
      <c r="Z108" s="548"/>
    </row>
    <row r="109" ht="15.75" customHeight="1">
      <c r="A109" s="548"/>
      <c r="B109" s="548"/>
      <c r="C109" s="548"/>
      <c r="D109" s="548"/>
      <c r="E109" s="548"/>
      <c r="F109" s="549"/>
      <c r="G109" s="548"/>
      <c r="H109" s="548"/>
      <c r="I109" s="548"/>
      <c r="J109" s="548"/>
      <c r="K109" s="548"/>
      <c r="L109" s="548"/>
      <c r="M109" s="548"/>
      <c r="N109" s="548"/>
      <c r="O109" s="548"/>
      <c r="P109" s="548"/>
      <c r="Q109" s="548"/>
      <c r="R109" s="548"/>
      <c r="S109" s="548"/>
      <c r="T109" s="548"/>
      <c r="U109" s="548"/>
      <c r="V109" s="548"/>
      <c r="W109" s="548"/>
      <c r="X109" s="548"/>
      <c r="Y109" s="548"/>
      <c r="Z109" s="548"/>
    </row>
    <row r="110" ht="15.75" customHeight="1">
      <c r="A110" s="548"/>
      <c r="B110" s="548"/>
      <c r="C110" s="548"/>
      <c r="D110" s="548"/>
      <c r="E110" s="548"/>
      <c r="F110" s="549"/>
      <c r="G110" s="548"/>
      <c r="H110" s="548"/>
      <c r="I110" s="548"/>
      <c r="J110" s="548"/>
      <c r="K110" s="548"/>
      <c r="L110" s="548"/>
      <c r="M110" s="548"/>
      <c r="N110" s="548"/>
      <c r="O110" s="548"/>
      <c r="P110" s="548"/>
      <c r="Q110" s="548"/>
      <c r="R110" s="548"/>
      <c r="S110" s="548"/>
      <c r="T110" s="548"/>
      <c r="U110" s="548"/>
      <c r="V110" s="548"/>
      <c r="W110" s="548"/>
      <c r="X110" s="548"/>
      <c r="Y110" s="548"/>
      <c r="Z110" s="548"/>
    </row>
    <row r="111" ht="15.75" customHeight="1">
      <c r="A111" s="548"/>
      <c r="B111" s="548"/>
      <c r="C111" s="548"/>
      <c r="D111" s="548"/>
      <c r="E111" s="548"/>
      <c r="F111" s="549"/>
      <c r="G111" s="548"/>
      <c r="H111" s="548"/>
      <c r="I111" s="548"/>
      <c r="J111" s="548"/>
      <c r="K111" s="548"/>
      <c r="L111" s="548"/>
      <c r="M111" s="548"/>
      <c r="N111" s="548"/>
      <c r="O111" s="548"/>
      <c r="P111" s="548"/>
      <c r="Q111" s="548"/>
      <c r="R111" s="548"/>
      <c r="S111" s="548"/>
      <c r="T111" s="548"/>
      <c r="U111" s="548"/>
      <c r="V111" s="548"/>
      <c r="W111" s="548"/>
      <c r="X111" s="548"/>
      <c r="Y111" s="548"/>
      <c r="Z111" s="548"/>
    </row>
    <row r="112" ht="15.75" customHeight="1">
      <c r="A112" s="548"/>
      <c r="B112" s="548"/>
      <c r="C112" s="548"/>
      <c r="D112" s="548"/>
      <c r="E112" s="548"/>
      <c r="F112" s="549"/>
      <c r="G112" s="548"/>
      <c r="H112" s="548"/>
      <c r="I112" s="548"/>
      <c r="J112" s="548"/>
      <c r="K112" s="548"/>
      <c r="L112" s="548"/>
      <c r="M112" s="548"/>
      <c r="N112" s="548"/>
      <c r="O112" s="548"/>
      <c r="P112" s="548"/>
      <c r="Q112" s="548"/>
      <c r="R112" s="548"/>
      <c r="S112" s="548"/>
      <c r="T112" s="548"/>
      <c r="U112" s="548"/>
      <c r="V112" s="548"/>
      <c r="W112" s="548"/>
      <c r="X112" s="548"/>
      <c r="Y112" s="548"/>
      <c r="Z112" s="548"/>
    </row>
    <row r="113" ht="15.75" customHeight="1">
      <c r="A113" s="548"/>
      <c r="B113" s="548"/>
      <c r="C113" s="548"/>
      <c r="D113" s="548"/>
      <c r="E113" s="548"/>
      <c r="F113" s="549"/>
      <c r="G113" s="548"/>
      <c r="H113" s="548"/>
      <c r="I113" s="548"/>
      <c r="J113" s="548"/>
      <c r="K113" s="548"/>
      <c r="L113" s="548"/>
      <c r="M113" s="548"/>
      <c r="N113" s="548"/>
      <c r="O113" s="548"/>
      <c r="P113" s="548"/>
      <c r="Q113" s="548"/>
      <c r="R113" s="548"/>
      <c r="S113" s="548"/>
      <c r="T113" s="548"/>
      <c r="U113" s="548"/>
      <c r="V113" s="548"/>
      <c r="W113" s="548"/>
      <c r="X113" s="548"/>
      <c r="Y113" s="548"/>
      <c r="Z113" s="548"/>
    </row>
    <row r="114" ht="15.75" customHeight="1">
      <c r="A114" s="548"/>
      <c r="B114" s="548"/>
      <c r="C114" s="548"/>
      <c r="D114" s="548"/>
      <c r="E114" s="548"/>
      <c r="F114" s="549"/>
      <c r="G114" s="548"/>
      <c r="H114" s="548"/>
      <c r="I114" s="548"/>
      <c r="J114" s="548"/>
      <c r="K114" s="548"/>
      <c r="L114" s="548"/>
      <c r="M114" s="548"/>
      <c r="N114" s="548"/>
      <c r="O114" s="548"/>
      <c r="P114" s="548"/>
      <c r="Q114" s="548"/>
      <c r="R114" s="548"/>
      <c r="S114" s="548"/>
      <c r="T114" s="548"/>
      <c r="U114" s="548"/>
      <c r="V114" s="548"/>
      <c r="W114" s="548"/>
      <c r="X114" s="548"/>
      <c r="Y114" s="548"/>
      <c r="Z114" s="548"/>
    </row>
    <row r="115" ht="15.75" customHeight="1">
      <c r="A115" s="548"/>
      <c r="B115" s="548"/>
      <c r="C115" s="548"/>
      <c r="D115" s="548"/>
      <c r="E115" s="548"/>
      <c r="F115" s="549"/>
      <c r="G115" s="548"/>
      <c r="H115" s="548"/>
      <c r="I115" s="548"/>
      <c r="J115" s="548"/>
      <c r="K115" s="548"/>
      <c r="L115" s="548"/>
      <c r="M115" s="548"/>
      <c r="N115" s="548"/>
      <c r="O115" s="548"/>
      <c r="P115" s="548"/>
      <c r="Q115" s="548"/>
      <c r="R115" s="548"/>
      <c r="S115" s="548"/>
      <c r="T115" s="548"/>
      <c r="U115" s="548"/>
      <c r="V115" s="548"/>
      <c r="W115" s="548"/>
      <c r="X115" s="548"/>
      <c r="Y115" s="548"/>
      <c r="Z115" s="548"/>
    </row>
    <row r="116" ht="15.75" customHeight="1">
      <c r="A116" s="548"/>
      <c r="B116" s="548"/>
      <c r="C116" s="548"/>
      <c r="D116" s="548"/>
      <c r="E116" s="548"/>
      <c r="F116" s="549"/>
      <c r="G116" s="548"/>
      <c r="H116" s="548"/>
      <c r="I116" s="548"/>
      <c r="J116" s="548"/>
      <c r="K116" s="548"/>
      <c r="L116" s="548"/>
      <c r="M116" s="548"/>
      <c r="N116" s="548"/>
      <c r="O116" s="548"/>
      <c r="P116" s="548"/>
      <c r="Q116" s="548"/>
      <c r="R116" s="548"/>
      <c r="S116" s="548"/>
      <c r="T116" s="548"/>
      <c r="U116" s="548"/>
      <c r="V116" s="548"/>
      <c r="W116" s="548"/>
      <c r="X116" s="548"/>
      <c r="Y116" s="548"/>
      <c r="Z116" s="548"/>
    </row>
    <row r="117" ht="15.75" customHeight="1">
      <c r="A117" s="548"/>
      <c r="B117" s="548"/>
      <c r="C117" s="548"/>
      <c r="D117" s="548"/>
      <c r="E117" s="548"/>
      <c r="F117" s="549"/>
      <c r="G117" s="548"/>
      <c r="H117" s="548"/>
      <c r="I117" s="548"/>
      <c r="J117" s="548"/>
      <c r="K117" s="548"/>
      <c r="L117" s="548"/>
      <c r="M117" s="548"/>
      <c r="N117" s="548"/>
      <c r="O117" s="548"/>
      <c r="P117" s="548"/>
      <c r="Q117" s="548"/>
      <c r="R117" s="548"/>
      <c r="S117" s="548"/>
      <c r="T117" s="548"/>
      <c r="U117" s="548"/>
      <c r="V117" s="548"/>
      <c r="W117" s="548"/>
      <c r="X117" s="548"/>
      <c r="Y117" s="548"/>
      <c r="Z117" s="548"/>
    </row>
    <row r="118" ht="15.75" customHeight="1">
      <c r="A118" s="548"/>
      <c r="B118" s="548"/>
      <c r="C118" s="548"/>
      <c r="D118" s="548"/>
      <c r="E118" s="548"/>
      <c r="F118" s="549"/>
      <c r="G118" s="548"/>
      <c r="H118" s="548"/>
      <c r="I118" s="548"/>
      <c r="J118" s="548"/>
      <c r="K118" s="548"/>
      <c r="L118" s="548"/>
      <c r="M118" s="548"/>
      <c r="N118" s="548"/>
      <c r="O118" s="548"/>
      <c r="P118" s="548"/>
      <c r="Q118" s="548"/>
      <c r="R118" s="548"/>
      <c r="S118" s="548"/>
      <c r="T118" s="548"/>
      <c r="U118" s="548"/>
      <c r="V118" s="548"/>
      <c r="W118" s="548"/>
      <c r="X118" s="548"/>
      <c r="Y118" s="548"/>
      <c r="Z118" s="548"/>
    </row>
    <row r="119" ht="15.75" customHeight="1">
      <c r="A119" s="548"/>
      <c r="B119" s="548"/>
      <c r="C119" s="548"/>
      <c r="D119" s="548"/>
      <c r="E119" s="548"/>
      <c r="F119" s="549"/>
      <c r="G119" s="548"/>
      <c r="H119" s="548"/>
      <c r="I119" s="548"/>
      <c r="J119" s="548"/>
      <c r="K119" s="548"/>
      <c r="L119" s="548"/>
      <c r="M119" s="548"/>
      <c r="N119" s="548"/>
      <c r="O119" s="548"/>
      <c r="P119" s="548"/>
      <c r="Q119" s="548"/>
      <c r="R119" s="548"/>
      <c r="S119" s="548"/>
      <c r="T119" s="548"/>
      <c r="U119" s="548"/>
      <c r="V119" s="548"/>
      <c r="W119" s="548"/>
      <c r="X119" s="548"/>
      <c r="Y119" s="548"/>
      <c r="Z119" s="548"/>
    </row>
    <row r="120" ht="15.75" customHeight="1">
      <c r="A120" s="548"/>
      <c r="B120" s="548"/>
      <c r="C120" s="548"/>
      <c r="D120" s="548"/>
      <c r="E120" s="548"/>
      <c r="F120" s="549"/>
      <c r="G120" s="548"/>
      <c r="H120" s="548"/>
      <c r="I120" s="548"/>
      <c r="J120" s="548"/>
      <c r="K120" s="548"/>
      <c r="L120" s="548"/>
      <c r="M120" s="548"/>
      <c r="N120" s="548"/>
      <c r="O120" s="548"/>
      <c r="P120" s="548"/>
      <c r="Q120" s="548"/>
      <c r="R120" s="548"/>
      <c r="S120" s="548"/>
      <c r="T120" s="548"/>
      <c r="U120" s="548"/>
      <c r="V120" s="548"/>
      <c r="W120" s="548"/>
      <c r="X120" s="548"/>
      <c r="Y120" s="548"/>
      <c r="Z120" s="548"/>
    </row>
    <row r="121" ht="15.75" customHeight="1">
      <c r="A121" s="548"/>
      <c r="B121" s="548"/>
      <c r="C121" s="548"/>
      <c r="D121" s="548"/>
      <c r="E121" s="548"/>
      <c r="F121" s="549"/>
      <c r="G121" s="548"/>
      <c r="H121" s="548"/>
      <c r="I121" s="548"/>
      <c r="J121" s="548"/>
      <c r="K121" s="548"/>
      <c r="L121" s="548"/>
      <c r="M121" s="548"/>
      <c r="N121" s="548"/>
      <c r="O121" s="548"/>
      <c r="P121" s="548"/>
      <c r="Q121" s="548"/>
      <c r="R121" s="548"/>
      <c r="S121" s="548"/>
      <c r="T121" s="548"/>
      <c r="U121" s="548"/>
      <c r="V121" s="548"/>
      <c r="W121" s="548"/>
      <c r="X121" s="548"/>
      <c r="Y121" s="548"/>
      <c r="Z121" s="548"/>
    </row>
    <row r="122" ht="15.75" customHeight="1">
      <c r="A122" s="548"/>
      <c r="B122" s="548"/>
      <c r="C122" s="548"/>
      <c r="D122" s="548"/>
      <c r="E122" s="548"/>
      <c r="F122" s="549"/>
      <c r="G122" s="548"/>
      <c r="H122" s="548"/>
      <c r="I122" s="548"/>
      <c r="J122" s="548"/>
      <c r="K122" s="548"/>
      <c r="L122" s="548"/>
      <c r="M122" s="548"/>
      <c r="N122" s="548"/>
      <c r="O122" s="548"/>
      <c r="P122" s="548"/>
      <c r="Q122" s="548"/>
      <c r="R122" s="548"/>
      <c r="S122" s="548"/>
      <c r="T122" s="548"/>
      <c r="U122" s="548"/>
      <c r="V122" s="548"/>
      <c r="W122" s="548"/>
      <c r="X122" s="548"/>
      <c r="Y122" s="548"/>
      <c r="Z122" s="548"/>
    </row>
    <row r="123" ht="15.75" customHeight="1">
      <c r="A123" s="548"/>
      <c r="B123" s="548"/>
      <c r="C123" s="548"/>
      <c r="D123" s="548"/>
      <c r="E123" s="548"/>
      <c r="F123" s="549"/>
      <c r="G123" s="548"/>
      <c r="H123" s="548"/>
      <c r="I123" s="548"/>
      <c r="J123" s="548"/>
      <c r="K123" s="548"/>
      <c r="L123" s="548"/>
      <c r="M123" s="548"/>
      <c r="N123" s="548"/>
      <c r="O123" s="548"/>
      <c r="P123" s="548"/>
      <c r="Q123" s="548"/>
      <c r="R123" s="548"/>
      <c r="S123" s="548"/>
      <c r="T123" s="548"/>
      <c r="U123" s="548"/>
      <c r="V123" s="548"/>
      <c r="W123" s="548"/>
      <c r="X123" s="548"/>
      <c r="Y123" s="548"/>
      <c r="Z123" s="548"/>
    </row>
    <row r="124" ht="15.75" customHeight="1">
      <c r="A124" s="548"/>
      <c r="B124" s="548"/>
      <c r="C124" s="548"/>
      <c r="D124" s="548"/>
      <c r="E124" s="548"/>
      <c r="F124" s="549"/>
      <c r="G124" s="548"/>
      <c r="H124" s="548"/>
      <c r="I124" s="548"/>
      <c r="J124" s="548"/>
      <c r="K124" s="548"/>
      <c r="L124" s="548"/>
      <c r="M124" s="548"/>
      <c r="N124" s="548"/>
      <c r="O124" s="548"/>
      <c r="P124" s="548"/>
      <c r="Q124" s="548"/>
      <c r="R124" s="548"/>
      <c r="S124" s="548"/>
      <c r="T124" s="548"/>
      <c r="U124" s="548"/>
      <c r="V124" s="548"/>
      <c r="W124" s="548"/>
      <c r="X124" s="548"/>
      <c r="Y124" s="548"/>
      <c r="Z124" s="548"/>
    </row>
    <row r="125" ht="15.75" customHeight="1">
      <c r="A125" s="548"/>
      <c r="B125" s="548"/>
      <c r="C125" s="548"/>
      <c r="D125" s="548"/>
      <c r="E125" s="548"/>
      <c r="F125" s="549"/>
      <c r="G125" s="548"/>
      <c r="H125" s="548"/>
      <c r="I125" s="548"/>
      <c r="J125" s="548"/>
      <c r="K125" s="548"/>
      <c r="L125" s="548"/>
      <c r="M125" s="548"/>
      <c r="N125" s="548"/>
      <c r="O125" s="548"/>
      <c r="P125" s="548"/>
      <c r="Q125" s="548"/>
      <c r="R125" s="548"/>
      <c r="S125" s="548"/>
      <c r="T125" s="548"/>
      <c r="U125" s="548"/>
      <c r="V125" s="548"/>
      <c r="W125" s="548"/>
      <c r="X125" s="548"/>
      <c r="Y125" s="548"/>
      <c r="Z125" s="548"/>
    </row>
    <row r="126" ht="15.75" customHeight="1">
      <c r="A126" s="548"/>
      <c r="B126" s="548"/>
      <c r="C126" s="548"/>
      <c r="D126" s="548"/>
      <c r="E126" s="548"/>
      <c r="F126" s="549"/>
      <c r="G126" s="548"/>
      <c r="H126" s="548"/>
      <c r="I126" s="548"/>
      <c r="J126" s="548"/>
      <c r="K126" s="548"/>
      <c r="L126" s="548"/>
      <c r="M126" s="548"/>
      <c r="N126" s="548"/>
      <c r="O126" s="548"/>
      <c r="P126" s="548"/>
      <c r="Q126" s="548"/>
      <c r="R126" s="548"/>
      <c r="S126" s="548"/>
      <c r="T126" s="548"/>
      <c r="U126" s="548"/>
      <c r="V126" s="548"/>
      <c r="W126" s="548"/>
      <c r="X126" s="548"/>
      <c r="Y126" s="548"/>
      <c r="Z126" s="548"/>
    </row>
    <row r="127" ht="15.75" customHeight="1">
      <c r="A127" s="548"/>
      <c r="B127" s="548"/>
      <c r="C127" s="548"/>
      <c r="D127" s="548"/>
      <c r="E127" s="548"/>
      <c r="F127" s="549"/>
      <c r="G127" s="548"/>
      <c r="H127" s="548"/>
      <c r="I127" s="548"/>
      <c r="J127" s="548"/>
      <c r="K127" s="548"/>
      <c r="L127" s="548"/>
      <c r="M127" s="548"/>
      <c r="N127" s="548"/>
      <c r="O127" s="548"/>
      <c r="P127" s="548"/>
      <c r="Q127" s="548"/>
      <c r="R127" s="548"/>
      <c r="S127" s="548"/>
      <c r="T127" s="548"/>
      <c r="U127" s="548"/>
      <c r="V127" s="548"/>
      <c r="W127" s="548"/>
      <c r="X127" s="548"/>
      <c r="Y127" s="548"/>
      <c r="Z127" s="548"/>
    </row>
    <row r="128" ht="15.75" customHeight="1">
      <c r="A128" s="548"/>
      <c r="B128" s="548"/>
      <c r="C128" s="548"/>
      <c r="D128" s="548"/>
      <c r="E128" s="548"/>
      <c r="F128" s="549"/>
      <c r="G128" s="548"/>
      <c r="H128" s="548"/>
      <c r="I128" s="548"/>
      <c r="J128" s="548"/>
      <c r="K128" s="548"/>
      <c r="L128" s="548"/>
      <c r="M128" s="548"/>
      <c r="N128" s="548"/>
      <c r="O128" s="548"/>
      <c r="P128" s="548"/>
      <c r="Q128" s="548"/>
      <c r="R128" s="548"/>
      <c r="S128" s="548"/>
      <c r="T128" s="548"/>
      <c r="U128" s="548"/>
      <c r="V128" s="548"/>
      <c r="W128" s="548"/>
      <c r="X128" s="548"/>
      <c r="Y128" s="548"/>
      <c r="Z128" s="548"/>
    </row>
    <row r="129" ht="15.75" customHeight="1">
      <c r="A129" s="548"/>
      <c r="B129" s="548"/>
      <c r="C129" s="548"/>
      <c r="D129" s="548"/>
      <c r="E129" s="548"/>
      <c r="F129" s="549"/>
      <c r="G129" s="548"/>
      <c r="H129" s="548"/>
      <c r="I129" s="548"/>
      <c r="J129" s="548"/>
      <c r="K129" s="548"/>
      <c r="L129" s="548"/>
      <c r="M129" s="548"/>
      <c r="N129" s="548"/>
      <c r="O129" s="548"/>
      <c r="P129" s="548"/>
      <c r="Q129" s="548"/>
      <c r="R129" s="548"/>
      <c r="S129" s="548"/>
      <c r="T129" s="548"/>
      <c r="U129" s="548"/>
      <c r="V129" s="548"/>
      <c r="W129" s="548"/>
      <c r="X129" s="548"/>
      <c r="Y129" s="548"/>
      <c r="Z129" s="548"/>
    </row>
    <row r="130" ht="15.75" customHeight="1">
      <c r="A130" s="548"/>
      <c r="B130" s="548"/>
      <c r="C130" s="548"/>
      <c r="D130" s="548"/>
      <c r="E130" s="548"/>
      <c r="F130" s="549"/>
      <c r="G130" s="548"/>
      <c r="H130" s="548"/>
      <c r="I130" s="548"/>
      <c r="J130" s="548"/>
      <c r="K130" s="548"/>
      <c r="L130" s="548"/>
      <c r="M130" s="548"/>
      <c r="N130" s="548"/>
      <c r="O130" s="548"/>
      <c r="P130" s="548"/>
      <c r="Q130" s="548"/>
      <c r="R130" s="548"/>
      <c r="S130" s="548"/>
      <c r="T130" s="548"/>
      <c r="U130" s="548"/>
      <c r="V130" s="548"/>
      <c r="W130" s="548"/>
      <c r="X130" s="548"/>
      <c r="Y130" s="548"/>
      <c r="Z130" s="548"/>
    </row>
    <row r="131" ht="15.75" customHeight="1">
      <c r="A131" s="548"/>
      <c r="B131" s="548"/>
      <c r="C131" s="548"/>
      <c r="D131" s="548"/>
      <c r="E131" s="548"/>
      <c r="F131" s="549"/>
      <c r="G131" s="548"/>
      <c r="H131" s="548"/>
      <c r="I131" s="548"/>
      <c r="J131" s="548"/>
      <c r="K131" s="548"/>
      <c r="L131" s="548"/>
      <c r="M131" s="548"/>
      <c r="N131" s="548"/>
      <c r="O131" s="548"/>
      <c r="P131" s="548"/>
      <c r="Q131" s="548"/>
      <c r="R131" s="548"/>
      <c r="S131" s="548"/>
      <c r="T131" s="548"/>
      <c r="U131" s="548"/>
      <c r="V131" s="548"/>
      <c r="W131" s="548"/>
      <c r="X131" s="548"/>
      <c r="Y131" s="548"/>
      <c r="Z131" s="548"/>
    </row>
    <row r="132" ht="15.75" customHeight="1">
      <c r="A132" s="548"/>
      <c r="B132" s="548"/>
      <c r="C132" s="548"/>
      <c r="D132" s="548"/>
      <c r="E132" s="548"/>
      <c r="F132" s="549"/>
      <c r="G132" s="548"/>
      <c r="H132" s="548"/>
      <c r="I132" s="548"/>
      <c r="J132" s="548"/>
      <c r="K132" s="548"/>
      <c r="L132" s="548"/>
      <c r="M132" s="548"/>
      <c r="N132" s="548"/>
      <c r="O132" s="548"/>
      <c r="P132" s="548"/>
      <c r="Q132" s="548"/>
      <c r="R132" s="548"/>
      <c r="S132" s="548"/>
      <c r="T132" s="548"/>
      <c r="U132" s="548"/>
      <c r="V132" s="548"/>
      <c r="W132" s="548"/>
      <c r="X132" s="548"/>
      <c r="Y132" s="548"/>
      <c r="Z132" s="548"/>
    </row>
    <row r="133" ht="15.75" customHeight="1">
      <c r="A133" s="548"/>
      <c r="B133" s="548"/>
      <c r="C133" s="548"/>
      <c r="D133" s="548"/>
      <c r="E133" s="548"/>
      <c r="F133" s="549"/>
      <c r="G133" s="548"/>
      <c r="H133" s="548"/>
      <c r="I133" s="548"/>
      <c r="J133" s="548"/>
      <c r="K133" s="548"/>
      <c r="L133" s="548"/>
      <c r="M133" s="548"/>
      <c r="N133" s="548"/>
      <c r="O133" s="548"/>
      <c r="P133" s="548"/>
      <c r="Q133" s="548"/>
      <c r="R133" s="548"/>
      <c r="S133" s="548"/>
      <c r="T133" s="548"/>
      <c r="U133" s="548"/>
      <c r="V133" s="548"/>
      <c r="W133" s="548"/>
      <c r="X133" s="548"/>
      <c r="Y133" s="548"/>
      <c r="Z133" s="548"/>
    </row>
    <row r="134" ht="15.75" customHeight="1">
      <c r="A134" s="548"/>
      <c r="B134" s="548"/>
      <c r="C134" s="548"/>
      <c r="D134" s="548"/>
      <c r="E134" s="548"/>
      <c r="F134" s="549"/>
      <c r="G134" s="548"/>
      <c r="H134" s="548"/>
      <c r="I134" s="548"/>
      <c r="J134" s="548"/>
      <c r="K134" s="548"/>
      <c r="L134" s="548"/>
      <c r="M134" s="548"/>
      <c r="N134" s="548"/>
      <c r="O134" s="548"/>
      <c r="P134" s="548"/>
      <c r="Q134" s="548"/>
      <c r="R134" s="548"/>
      <c r="S134" s="548"/>
      <c r="T134" s="548"/>
      <c r="U134" s="548"/>
      <c r="V134" s="548"/>
      <c r="W134" s="548"/>
      <c r="X134" s="548"/>
      <c r="Y134" s="548"/>
      <c r="Z134" s="548"/>
    </row>
    <row r="135" ht="15.75" customHeight="1">
      <c r="A135" s="548"/>
      <c r="B135" s="548"/>
      <c r="C135" s="548"/>
      <c r="D135" s="548"/>
      <c r="E135" s="548"/>
      <c r="F135" s="549"/>
      <c r="G135" s="548"/>
      <c r="H135" s="548"/>
      <c r="I135" s="548"/>
      <c r="J135" s="548"/>
      <c r="K135" s="548"/>
      <c r="L135" s="548"/>
      <c r="M135" s="548"/>
      <c r="N135" s="548"/>
      <c r="O135" s="548"/>
      <c r="P135" s="548"/>
      <c r="Q135" s="548"/>
      <c r="R135" s="548"/>
      <c r="S135" s="548"/>
      <c r="T135" s="548"/>
      <c r="U135" s="548"/>
      <c r="V135" s="548"/>
      <c r="W135" s="548"/>
      <c r="X135" s="548"/>
      <c r="Y135" s="548"/>
      <c r="Z135" s="548"/>
    </row>
    <row r="136" ht="15.75" customHeight="1">
      <c r="A136" s="548"/>
      <c r="B136" s="548"/>
      <c r="C136" s="548"/>
      <c r="D136" s="548"/>
      <c r="E136" s="548"/>
      <c r="F136" s="549"/>
      <c r="G136" s="548"/>
      <c r="H136" s="548"/>
      <c r="I136" s="548"/>
      <c r="J136" s="548"/>
      <c r="K136" s="548"/>
      <c r="L136" s="548"/>
      <c r="M136" s="548"/>
      <c r="N136" s="548"/>
      <c r="O136" s="548"/>
      <c r="P136" s="548"/>
      <c r="Q136" s="548"/>
      <c r="R136" s="548"/>
      <c r="S136" s="548"/>
      <c r="T136" s="548"/>
      <c r="U136" s="548"/>
      <c r="V136" s="548"/>
      <c r="W136" s="548"/>
      <c r="X136" s="548"/>
      <c r="Y136" s="548"/>
      <c r="Z136" s="548"/>
    </row>
    <row r="137" ht="15.75" customHeight="1">
      <c r="A137" s="548"/>
      <c r="B137" s="548"/>
      <c r="C137" s="548"/>
      <c r="D137" s="548"/>
      <c r="E137" s="548"/>
      <c r="F137" s="549"/>
      <c r="G137" s="548"/>
      <c r="H137" s="548"/>
      <c r="I137" s="548"/>
      <c r="J137" s="548"/>
      <c r="K137" s="548"/>
      <c r="L137" s="548"/>
      <c r="M137" s="548"/>
      <c r="N137" s="548"/>
      <c r="O137" s="548"/>
      <c r="P137" s="548"/>
      <c r="Q137" s="548"/>
      <c r="R137" s="548"/>
      <c r="S137" s="548"/>
      <c r="T137" s="548"/>
      <c r="U137" s="548"/>
      <c r="V137" s="548"/>
      <c r="W137" s="548"/>
      <c r="X137" s="548"/>
      <c r="Y137" s="548"/>
      <c r="Z137" s="548"/>
    </row>
    <row r="138" ht="15.75" customHeight="1">
      <c r="A138" s="548"/>
      <c r="B138" s="548"/>
      <c r="C138" s="548"/>
      <c r="D138" s="548"/>
      <c r="E138" s="548"/>
      <c r="F138" s="549"/>
      <c r="G138" s="548"/>
      <c r="H138" s="548"/>
      <c r="I138" s="548"/>
      <c r="J138" s="548"/>
      <c r="K138" s="548"/>
      <c r="L138" s="548"/>
      <c r="M138" s="548"/>
      <c r="N138" s="548"/>
      <c r="O138" s="548"/>
      <c r="P138" s="548"/>
      <c r="Q138" s="548"/>
      <c r="R138" s="548"/>
      <c r="S138" s="548"/>
      <c r="T138" s="548"/>
      <c r="U138" s="548"/>
      <c r="V138" s="548"/>
      <c r="W138" s="548"/>
      <c r="X138" s="548"/>
      <c r="Y138" s="548"/>
      <c r="Z138" s="548"/>
    </row>
    <row r="139" ht="15.75" customHeight="1">
      <c r="A139" s="548"/>
      <c r="B139" s="548"/>
      <c r="C139" s="548"/>
      <c r="D139" s="548"/>
      <c r="E139" s="548"/>
      <c r="F139" s="549"/>
      <c r="G139" s="548"/>
      <c r="H139" s="548"/>
      <c r="I139" s="548"/>
      <c r="J139" s="548"/>
      <c r="K139" s="548"/>
      <c r="L139" s="548"/>
      <c r="M139" s="548"/>
      <c r="N139" s="548"/>
      <c r="O139" s="548"/>
      <c r="P139" s="548"/>
      <c r="Q139" s="548"/>
      <c r="R139" s="548"/>
      <c r="S139" s="548"/>
      <c r="T139" s="548"/>
      <c r="U139" s="548"/>
      <c r="V139" s="548"/>
      <c r="W139" s="548"/>
      <c r="X139" s="548"/>
      <c r="Y139" s="548"/>
      <c r="Z139" s="548"/>
    </row>
    <row r="140" ht="15.75" customHeight="1">
      <c r="A140" s="548"/>
      <c r="B140" s="548"/>
      <c r="C140" s="548"/>
      <c r="D140" s="548"/>
      <c r="E140" s="548"/>
      <c r="F140" s="549"/>
      <c r="G140" s="548"/>
      <c r="H140" s="548"/>
      <c r="I140" s="548"/>
      <c r="J140" s="548"/>
      <c r="K140" s="548"/>
      <c r="L140" s="548"/>
      <c r="M140" s="548"/>
      <c r="N140" s="548"/>
      <c r="O140" s="548"/>
      <c r="P140" s="548"/>
      <c r="Q140" s="548"/>
      <c r="R140" s="548"/>
      <c r="S140" s="548"/>
      <c r="T140" s="548"/>
      <c r="U140" s="548"/>
      <c r="V140" s="548"/>
      <c r="W140" s="548"/>
      <c r="X140" s="548"/>
      <c r="Y140" s="548"/>
      <c r="Z140" s="548"/>
    </row>
    <row r="141" ht="15.75" customHeight="1">
      <c r="A141" s="548"/>
      <c r="B141" s="548"/>
      <c r="C141" s="548"/>
      <c r="D141" s="548"/>
      <c r="E141" s="548"/>
      <c r="F141" s="549"/>
      <c r="G141" s="548"/>
      <c r="H141" s="548"/>
      <c r="I141" s="548"/>
      <c r="J141" s="548"/>
      <c r="K141" s="548"/>
      <c r="L141" s="548"/>
      <c r="M141" s="548"/>
      <c r="N141" s="548"/>
      <c r="O141" s="548"/>
      <c r="P141" s="548"/>
      <c r="Q141" s="548"/>
      <c r="R141" s="548"/>
      <c r="S141" s="548"/>
      <c r="T141" s="548"/>
      <c r="U141" s="548"/>
      <c r="V141" s="548"/>
      <c r="W141" s="548"/>
      <c r="X141" s="548"/>
      <c r="Y141" s="548"/>
      <c r="Z141" s="548"/>
    </row>
    <row r="142" ht="15.75" customHeight="1">
      <c r="A142" s="548"/>
      <c r="B142" s="548"/>
      <c r="C142" s="548"/>
      <c r="D142" s="548"/>
      <c r="E142" s="548"/>
      <c r="F142" s="549"/>
      <c r="G142" s="548"/>
      <c r="H142" s="548"/>
      <c r="I142" s="548"/>
      <c r="J142" s="548"/>
      <c r="K142" s="548"/>
      <c r="L142" s="548"/>
      <c r="M142" s="548"/>
      <c r="N142" s="548"/>
      <c r="O142" s="548"/>
      <c r="P142" s="548"/>
      <c r="Q142" s="548"/>
      <c r="R142" s="548"/>
      <c r="S142" s="548"/>
      <c r="T142" s="548"/>
      <c r="U142" s="548"/>
      <c r="V142" s="548"/>
      <c r="W142" s="548"/>
      <c r="X142" s="548"/>
      <c r="Y142" s="548"/>
      <c r="Z142" s="548"/>
    </row>
    <row r="143" ht="15.75" customHeight="1">
      <c r="A143" s="548"/>
      <c r="B143" s="548"/>
      <c r="C143" s="548"/>
      <c r="D143" s="548"/>
      <c r="E143" s="548"/>
      <c r="F143" s="549"/>
      <c r="G143" s="548"/>
      <c r="H143" s="548"/>
      <c r="I143" s="548"/>
      <c r="J143" s="548"/>
      <c r="K143" s="548"/>
      <c r="L143" s="548"/>
      <c r="M143" s="548"/>
      <c r="N143" s="548"/>
      <c r="O143" s="548"/>
      <c r="P143" s="548"/>
      <c r="Q143" s="548"/>
      <c r="R143" s="548"/>
      <c r="S143" s="548"/>
      <c r="T143" s="548"/>
      <c r="U143" s="548"/>
      <c r="V143" s="548"/>
      <c r="W143" s="548"/>
      <c r="X143" s="548"/>
      <c r="Y143" s="548"/>
      <c r="Z143" s="548"/>
    </row>
    <row r="144" ht="15.75" customHeight="1">
      <c r="A144" s="548"/>
      <c r="B144" s="548"/>
      <c r="C144" s="548"/>
      <c r="D144" s="548"/>
      <c r="E144" s="548"/>
      <c r="F144" s="549"/>
      <c r="G144" s="548"/>
      <c r="H144" s="548"/>
      <c r="I144" s="548"/>
      <c r="J144" s="548"/>
      <c r="K144" s="548"/>
      <c r="L144" s="548"/>
      <c r="M144" s="548"/>
      <c r="N144" s="548"/>
      <c r="O144" s="548"/>
      <c r="P144" s="548"/>
      <c r="Q144" s="548"/>
      <c r="R144" s="548"/>
      <c r="S144" s="548"/>
      <c r="T144" s="548"/>
      <c r="U144" s="548"/>
      <c r="V144" s="548"/>
      <c r="W144" s="548"/>
      <c r="X144" s="548"/>
      <c r="Y144" s="548"/>
      <c r="Z144" s="548"/>
    </row>
    <row r="145" ht="15.75" customHeight="1">
      <c r="A145" s="548"/>
      <c r="B145" s="548"/>
      <c r="C145" s="548"/>
      <c r="D145" s="548"/>
      <c r="E145" s="548"/>
      <c r="F145" s="549"/>
      <c r="G145" s="548"/>
      <c r="H145" s="548"/>
      <c r="I145" s="548"/>
      <c r="J145" s="548"/>
      <c r="K145" s="548"/>
      <c r="L145" s="548"/>
      <c r="M145" s="548"/>
      <c r="N145" s="548"/>
      <c r="O145" s="548"/>
      <c r="P145" s="548"/>
      <c r="Q145" s="548"/>
      <c r="R145" s="548"/>
      <c r="S145" s="548"/>
      <c r="T145" s="548"/>
      <c r="U145" s="548"/>
      <c r="V145" s="548"/>
      <c r="W145" s="548"/>
      <c r="X145" s="548"/>
      <c r="Y145" s="548"/>
      <c r="Z145" s="548"/>
    </row>
    <row r="146" ht="15.75" customHeight="1">
      <c r="A146" s="548"/>
      <c r="B146" s="548"/>
      <c r="C146" s="548"/>
      <c r="D146" s="548"/>
      <c r="E146" s="548"/>
      <c r="F146" s="549"/>
      <c r="G146" s="548"/>
      <c r="H146" s="548"/>
      <c r="I146" s="548"/>
      <c r="J146" s="548"/>
      <c r="K146" s="548"/>
      <c r="L146" s="548"/>
      <c r="M146" s="548"/>
      <c r="N146" s="548"/>
      <c r="O146" s="548"/>
      <c r="P146" s="548"/>
      <c r="Q146" s="548"/>
      <c r="R146" s="548"/>
      <c r="S146" s="548"/>
      <c r="T146" s="548"/>
      <c r="U146" s="548"/>
      <c r="V146" s="548"/>
      <c r="W146" s="548"/>
      <c r="X146" s="548"/>
      <c r="Y146" s="548"/>
      <c r="Z146" s="548"/>
    </row>
    <row r="147" ht="15.75" customHeight="1">
      <c r="A147" s="548"/>
      <c r="B147" s="548"/>
      <c r="C147" s="548"/>
      <c r="D147" s="548"/>
      <c r="E147" s="548"/>
      <c r="F147" s="549"/>
      <c r="G147" s="548"/>
      <c r="H147" s="548"/>
      <c r="I147" s="548"/>
      <c r="J147" s="548"/>
      <c r="K147" s="548"/>
      <c r="L147" s="548"/>
      <c r="M147" s="548"/>
      <c r="N147" s="548"/>
      <c r="O147" s="548"/>
      <c r="P147" s="548"/>
      <c r="Q147" s="548"/>
      <c r="R147" s="548"/>
      <c r="S147" s="548"/>
      <c r="T147" s="548"/>
      <c r="U147" s="548"/>
      <c r="V147" s="548"/>
      <c r="W147" s="548"/>
      <c r="X147" s="548"/>
      <c r="Y147" s="548"/>
      <c r="Z147" s="548"/>
    </row>
    <row r="148" ht="15.75" customHeight="1">
      <c r="A148" s="548"/>
      <c r="B148" s="548"/>
      <c r="C148" s="548"/>
      <c r="D148" s="548"/>
      <c r="E148" s="548"/>
      <c r="F148" s="549"/>
      <c r="G148" s="548"/>
      <c r="H148" s="548"/>
      <c r="I148" s="548"/>
      <c r="J148" s="548"/>
      <c r="K148" s="548"/>
      <c r="L148" s="548"/>
      <c r="M148" s="548"/>
      <c r="N148" s="548"/>
      <c r="O148" s="548"/>
      <c r="P148" s="548"/>
      <c r="Q148" s="548"/>
      <c r="R148" s="548"/>
      <c r="S148" s="548"/>
      <c r="T148" s="548"/>
      <c r="U148" s="548"/>
      <c r="V148" s="548"/>
      <c r="W148" s="548"/>
      <c r="X148" s="548"/>
      <c r="Y148" s="548"/>
      <c r="Z148" s="548"/>
    </row>
    <row r="149" ht="15.75" customHeight="1">
      <c r="A149" s="548"/>
      <c r="B149" s="548"/>
      <c r="C149" s="548"/>
      <c r="D149" s="548"/>
      <c r="E149" s="548"/>
      <c r="F149" s="549"/>
      <c r="G149" s="548"/>
      <c r="H149" s="548"/>
      <c r="I149" s="548"/>
      <c r="J149" s="548"/>
      <c r="K149" s="548"/>
      <c r="L149" s="548"/>
      <c r="M149" s="548"/>
      <c r="N149" s="548"/>
      <c r="O149" s="548"/>
      <c r="P149" s="548"/>
      <c r="Q149" s="548"/>
      <c r="R149" s="548"/>
      <c r="S149" s="548"/>
      <c r="T149" s="548"/>
      <c r="U149" s="548"/>
      <c r="V149" s="548"/>
      <c r="W149" s="548"/>
      <c r="X149" s="548"/>
      <c r="Y149" s="548"/>
      <c r="Z149" s="548"/>
    </row>
    <row r="150" ht="15.75" customHeight="1">
      <c r="A150" s="548"/>
      <c r="B150" s="548"/>
      <c r="C150" s="548"/>
      <c r="D150" s="548"/>
      <c r="E150" s="548"/>
      <c r="F150" s="549"/>
      <c r="G150" s="548"/>
      <c r="H150" s="548"/>
      <c r="I150" s="548"/>
      <c r="J150" s="548"/>
      <c r="K150" s="548"/>
      <c r="L150" s="548"/>
      <c r="M150" s="548"/>
      <c r="N150" s="548"/>
      <c r="O150" s="548"/>
      <c r="P150" s="548"/>
      <c r="Q150" s="548"/>
      <c r="R150" s="548"/>
      <c r="S150" s="548"/>
      <c r="T150" s="548"/>
      <c r="U150" s="548"/>
      <c r="V150" s="548"/>
      <c r="W150" s="548"/>
      <c r="X150" s="548"/>
      <c r="Y150" s="548"/>
      <c r="Z150" s="548"/>
    </row>
    <row r="151" ht="15.75" customHeight="1">
      <c r="A151" s="548"/>
      <c r="B151" s="548"/>
      <c r="C151" s="548"/>
      <c r="D151" s="548"/>
      <c r="E151" s="548"/>
      <c r="F151" s="549"/>
      <c r="G151" s="548"/>
      <c r="H151" s="548"/>
      <c r="I151" s="548"/>
      <c r="J151" s="548"/>
      <c r="K151" s="548"/>
      <c r="L151" s="548"/>
      <c r="M151" s="548"/>
      <c r="N151" s="548"/>
      <c r="O151" s="548"/>
      <c r="P151" s="548"/>
      <c r="Q151" s="548"/>
      <c r="R151" s="548"/>
      <c r="S151" s="548"/>
      <c r="T151" s="548"/>
      <c r="U151" s="548"/>
      <c r="V151" s="548"/>
      <c r="W151" s="548"/>
      <c r="X151" s="548"/>
      <c r="Y151" s="548"/>
      <c r="Z151" s="548"/>
    </row>
    <row r="152" ht="15.75" customHeight="1">
      <c r="A152" s="548"/>
      <c r="B152" s="548"/>
      <c r="C152" s="548"/>
      <c r="D152" s="548"/>
      <c r="E152" s="548"/>
      <c r="F152" s="549"/>
      <c r="G152" s="548"/>
      <c r="H152" s="548"/>
      <c r="I152" s="548"/>
      <c r="J152" s="548"/>
      <c r="K152" s="548"/>
      <c r="L152" s="548"/>
      <c r="M152" s="548"/>
      <c r="N152" s="548"/>
      <c r="O152" s="548"/>
      <c r="P152" s="548"/>
      <c r="Q152" s="548"/>
      <c r="R152" s="548"/>
      <c r="S152" s="548"/>
      <c r="T152" s="548"/>
      <c r="U152" s="548"/>
      <c r="V152" s="548"/>
      <c r="W152" s="548"/>
      <c r="X152" s="548"/>
      <c r="Y152" s="548"/>
      <c r="Z152" s="548"/>
    </row>
    <row r="153" ht="15.75" customHeight="1">
      <c r="A153" s="548"/>
      <c r="B153" s="548"/>
      <c r="C153" s="548"/>
      <c r="D153" s="548"/>
      <c r="E153" s="548"/>
      <c r="F153" s="549"/>
      <c r="G153" s="548"/>
      <c r="H153" s="548"/>
      <c r="I153" s="548"/>
      <c r="J153" s="548"/>
      <c r="K153" s="548"/>
      <c r="L153" s="548"/>
      <c r="M153" s="548"/>
      <c r="N153" s="548"/>
      <c r="O153" s="548"/>
      <c r="P153" s="548"/>
      <c r="Q153" s="548"/>
      <c r="R153" s="548"/>
      <c r="S153" s="548"/>
      <c r="T153" s="548"/>
      <c r="U153" s="548"/>
      <c r="V153" s="548"/>
      <c r="W153" s="548"/>
      <c r="X153" s="548"/>
      <c r="Y153" s="548"/>
      <c r="Z153" s="548"/>
    </row>
    <row r="154" ht="15.75" customHeight="1">
      <c r="A154" s="548"/>
      <c r="B154" s="548"/>
      <c r="C154" s="548"/>
      <c r="D154" s="548"/>
      <c r="E154" s="548"/>
      <c r="F154" s="549"/>
      <c r="G154" s="548"/>
      <c r="H154" s="548"/>
      <c r="I154" s="548"/>
      <c r="J154" s="548"/>
      <c r="K154" s="548"/>
      <c r="L154" s="548"/>
      <c r="M154" s="548"/>
      <c r="N154" s="548"/>
      <c r="O154" s="548"/>
      <c r="P154" s="548"/>
      <c r="Q154" s="548"/>
      <c r="R154" s="548"/>
      <c r="S154" s="548"/>
      <c r="T154" s="548"/>
      <c r="U154" s="548"/>
      <c r="V154" s="548"/>
      <c r="W154" s="548"/>
      <c r="X154" s="548"/>
      <c r="Y154" s="548"/>
      <c r="Z154" s="548"/>
    </row>
    <row r="155" ht="15.75" customHeight="1">
      <c r="A155" s="548"/>
      <c r="B155" s="548"/>
      <c r="C155" s="548"/>
      <c r="D155" s="548"/>
      <c r="E155" s="548"/>
      <c r="F155" s="549"/>
      <c r="G155" s="548"/>
      <c r="H155" s="548"/>
      <c r="I155" s="548"/>
      <c r="J155" s="548"/>
      <c r="K155" s="548"/>
      <c r="L155" s="548"/>
      <c r="M155" s="548"/>
      <c r="N155" s="548"/>
      <c r="O155" s="548"/>
      <c r="P155" s="548"/>
      <c r="Q155" s="548"/>
      <c r="R155" s="548"/>
      <c r="S155" s="548"/>
      <c r="T155" s="548"/>
      <c r="U155" s="548"/>
      <c r="V155" s="548"/>
      <c r="W155" s="548"/>
      <c r="X155" s="548"/>
      <c r="Y155" s="548"/>
      <c r="Z155" s="548"/>
    </row>
    <row r="156" ht="15.75" customHeight="1">
      <c r="A156" s="548"/>
      <c r="B156" s="548"/>
      <c r="C156" s="548"/>
      <c r="D156" s="548"/>
      <c r="E156" s="548"/>
      <c r="F156" s="549"/>
      <c r="G156" s="548"/>
      <c r="H156" s="548"/>
      <c r="I156" s="548"/>
      <c r="J156" s="548"/>
      <c r="K156" s="548"/>
      <c r="L156" s="548"/>
      <c r="M156" s="548"/>
      <c r="N156" s="548"/>
      <c r="O156" s="548"/>
      <c r="P156" s="548"/>
      <c r="Q156" s="548"/>
      <c r="R156" s="548"/>
      <c r="S156" s="548"/>
      <c r="T156" s="548"/>
      <c r="U156" s="548"/>
      <c r="V156" s="548"/>
      <c r="W156" s="548"/>
      <c r="X156" s="548"/>
      <c r="Y156" s="548"/>
      <c r="Z156" s="548"/>
    </row>
    <row r="157" ht="15.75" customHeight="1">
      <c r="A157" s="548"/>
      <c r="B157" s="548"/>
      <c r="C157" s="548"/>
      <c r="D157" s="548"/>
      <c r="E157" s="548"/>
      <c r="F157" s="549"/>
      <c r="G157" s="548"/>
      <c r="H157" s="548"/>
      <c r="I157" s="548"/>
      <c r="J157" s="548"/>
      <c r="K157" s="548"/>
      <c r="L157" s="548"/>
      <c r="M157" s="548"/>
      <c r="N157" s="548"/>
      <c r="O157" s="548"/>
      <c r="P157" s="548"/>
      <c r="Q157" s="548"/>
      <c r="R157" s="548"/>
      <c r="S157" s="548"/>
      <c r="T157" s="548"/>
      <c r="U157" s="548"/>
      <c r="V157" s="548"/>
      <c r="W157" s="548"/>
      <c r="X157" s="548"/>
      <c r="Y157" s="548"/>
      <c r="Z157" s="548"/>
    </row>
    <row r="158" ht="15.75" customHeight="1">
      <c r="A158" s="548"/>
      <c r="B158" s="548"/>
      <c r="C158" s="548"/>
      <c r="D158" s="548"/>
      <c r="E158" s="548"/>
      <c r="F158" s="549"/>
      <c r="G158" s="548"/>
      <c r="H158" s="548"/>
      <c r="I158" s="548"/>
      <c r="J158" s="548"/>
      <c r="K158" s="548"/>
      <c r="L158" s="548"/>
      <c r="M158" s="548"/>
      <c r="N158" s="548"/>
      <c r="O158" s="548"/>
      <c r="P158" s="548"/>
      <c r="Q158" s="548"/>
      <c r="R158" s="548"/>
      <c r="S158" s="548"/>
      <c r="T158" s="548"/>
      <c r="U158" s="548"/>
      <c r="V158" s="548"/>
      <c r="W158" s="548"/>
      <c r="X158" s="548"/>
      <c r="Y158" s="548"/>
      <c r="Z158" s="548"/>
    </row>
    <row r="159" ht="15.75" customHeight="1">
      <c r="A159" s="548"/>
      <c r="B159" s="548"/>
      <c r="C159" s="548"/>
      <c r="D159" s="548"/>
      <c r="E159" s="548"/>
      <c r="F159" s="549"/>
      <c r="G159" s="548"/>
      <c r="H159" s="548"/>
      <c r="I159" s="548"/>
      <c r="J159" s="548"/>
      <c r="K159" s="548"/>
      <c r="L159" s="548"/>
      <c r="M159" s="548"/>
      <c r="N159" s="548"/>
      <c r="O159" s="548"/>
      <c r="P159" s="548"/>
      <c r="Q159" s="548"/>
      <c r="R159" s="548"/>
      <c r="S159" s="548"/>
      <c r="T159" s="548"/>
      <c r="U159" s="548"/>
      <c r="V159" s="548"/>
      <c r="W159" s="548"/>
      <c r="X159" s="548"/>
      <c r="Y159" s="548"/>
      <c r="Z159" s="548"/>
    </row>
    <row r="160" ht="15.75" customHeight="1">
      <c r="A160" s="548"/>
      <c r="B160" s="548"/>
      <c r="C160" s="548"/>
      <c r="D160" s="548"/>
      <c r="E160" s="548"/>
      <c r="F160" s="549"/>
      <c r="G160" s="548"/>
      <c r="H160" s="548"/>
      <c r="I160" s="548"/>
      <c r="J160" s="548"/>
      <c r="K160" s="548"/>
      <c r="L160" s="548"/>
      <c r="M160" s="548"/>
      <c r="N160" s="548"/>
      <c r="O160" s="548"/>
      <c r="P160" s="548"/>
      <c r="Q160" s="548"/>
      <c r="R160" s="548"/>
      <c r="S160" s="548"/>
      <c r="T160" s="548"/>
      <c r="U160" s="548"/>
      <c r="V160" s="548"/>
      <c r="W160" s="548"/>
      <c r="X160" s="548"/>
      <c r="Y160" s="548"/>
      <c r="Z160" s="548"/>
    </row>
    <row r="161" ht="15.75" customHeight="1">
      <c r="A161" s="548"/>
      <c r="B161" s="548"/>
      <c r="C161" s="548"/>
      <c r="D161" s="548"/>
      <c r="E161" s="548"/>
      <c r="F161" s="549"/>
      <c r="G161" s="548"/>
      <c r="H161" s="548"/>
      <c r="I161" s="548"/>
      <c r="J161" s="548"/>
      <c r="K161" s="548"/>
      <c r="L161" s="548"/>
      <c r="M161" s="548"/>
      <c r="N161" s="548"/>
      <c r="O161" s="548"/>
      <c r="P161" s="548"/>
      <c r="Q161" s="548"/>
      <c r="R161" s="548"/>
      <c r="S161" s="548"/>
      <c r="T161" s="548"/>
      <c r="U161" s="548"/>
      <c r="V161" s="548"/>
      <c r="W161" s="548"/>
      <c r="X161" s="548"/>
      <c r="Y161" s="548"/>
      <c r="Z161" s="548"/>
    </row>
    <row r="162" ht="15.75" customHeight="1">
      <c r="A162" s="548"/>
      <c r="B162" s="548"/>
      <c r="C162" s="548"/>
      <c r="D162" s="548"/>
      <c r="E162" s="548"/>
      <c r="F162" s="549"/>
      <c r="G162" s="548"/>
      <c r="H162" s="548"/>
      <c r="I162" s="548"/>
      <c r="J162" s="548"/>
      <c r="K162" s="548"/>
      <c r="L162" s="548"/>
      <c r="M162" s="548"/>
      <c r="N162" s="548"/>
      <c r="O162" s="548"/>
      <c r="P162" s="548"/>
      <c r="Q162" s="548"/>
      <c r="R162" s="548"/>
      <c r="S162" s="548"/>
      <c r="T162" s="548"/>
      <c r="U162" s="548"/>
      <c r="V162" s="548"/>
      <c r="W162" s="548"/>
      <c r="X162" s="548"/>
      <c r="Y162" s="548"/>
      <c r="Z162" s="548"/>
    </row>
    <row r="163" ht="15.75" customHeight="1">
      <c r="A163" s="548"/>
      <c r="B163" s="548"/>
      <c r="C163" s="548"/>
      <c r="D163" s="548"/>
      <c r="E163" s="548"/>
      <c r="F163" s="549"/>
      <c r="G163" s="548"/>
      <c r="H163" s="548"/>
      <c r="I163" s="548"/>
      <c r="J163" s="548"/>
      <c r="K163" s="548"/>
      <c r="L163" s="548"/>
      <c r="M163" s="548"/>
      <c r="N163" s="548"/>
      <c r="O163" s="548"/>
      <c r="P163" s="548"/>
      <c r="Q163" s="548"/>
      <c r="R163" s="548"/>
      <c r="S163" s="548"/>
      <c r="T163" s="548"/>
      <c r="U163" s="548"/>
      <c r="V163" s="548"/>
      <c r="W163" s="548"/>
      <c r="X163" s="548"/>
      <c r="Y163" s="548"/>
      <c r="Z163" s="548"/>
    </row>
    <row r="164" ht="15.75" customHeight="1">
      <c r="A164" s="548"/>
      <c r="B164" s="548"/>
      <c r="C164" s="548"/>
      <c r="D164" s="548"/>
      <c r="E164" s="548"/>
      <c r="F164" s="549"/>
      <c r="G164" s="548"/>
      <c r="H164" s="548"/>
      <c r="I164" s="548"/>
      <c r="J164" s="548"/>
      <c r="K164" s="548"/>
      <c r="L164" s="548"/>
      <c r="M164" s="548"/>
      <c r="N164" s="548"/>
      <c r="O164" s="548"/>
      <c r="P164" s="548"/>
      <c r="Q164" s="548"/>
      <c r="R164" s="548"/>
      <c r="S164" s="548"/>
      <c r="T164" s="548"/>
      <c r="U164" s="548"/>
      <c r="V164" s="548"/>
      <c r="W164" s="548"/>
      <c r="X164" s="548"/>
      <c r="Y164" s="548"/>
      <c r="Z164" s="548"/>
    </row>
    <row r="165" ht="15.75" customHeight="1">
      <c r="A165" s="548"/>
      <c r="B165" s="548"/>
      <c r="C165" s="548"/>
      <c r="D165" s="548"/>
      <c r="E165" s="548"/>
      <c r="F165" s="549"/>
      <c r="G165" s="548"/>
      <c r="H165" s="548"/>
      <c r="I165" s="548"/>
      <c r="J165" s="548"/>
      <c r="K165" s="548"/>
      <c r="L165" s="548"/>
      <c r="M165" s="548"/>
      <c r="N165" s="548"/>
      <c r="O165" s="548"/>
      <c r="P165" s="548"/>
      <c r="Q165" s="548"/>
      <c r="R165" s="548"/>
      <c r="S165" s="548"/>
      <c r="T165" s="548"/>
      <c r="U165" s="548"/>
      <c r="V165" s="548"/>
      <c r="W165" s="548"/>
      <c r="X165" s="548"/>
      <c r="Y165" s="548"/>
      <c r="Z165" s="548"/>
    </row>
    <row r="166" ht="15.75" customHeight="1">
      <c r="A166" s="548"/>
      <c r="B166" s="548"/>
      <c r="C166" s="548"/>
      <c r="D166" s="548"/>
      <c r="E166" s="548"/>
      <c r="F166" s="549"/>
      <c r="G166" s="548"/>
      <c r="H166" s="548"/>
      <c r="I166" s="548"/>
      <c r="J166" s="548"/>
      <c r="K166" s="548"/>
      <c r="L166" s="548"/>
      <c r="M166" s="548"/>
      <c r="N166" s="548"/>
      <c r="O166" s="548"/>
      <c r="P166" s="548"/>
      <c r="Q166" s="548"/>
      <c r="R166" s="548"/>
      <c r="S166" s="548"/>
      <c r="T166" s="548"/>
      <c r="U166" s="548"/>
      <c r="V166" s="548"/>
      <c r="W166" s="548"/>
      <c r="X166" s="548"/>
      <c r="Y166" s="548"/>
      <c r="Z166" s="548"/>
    </row>
    <row r="167" ht="15.75" customHeight="1">
      <c r="A167" s="548"/>
      <c r="B167" s="548"/>
      <c r="C167" s="548"/>
      <c r="D167" s="548"/>
      <c r="E167" s="548"/>
      <c r="F167" s="549"/>
      <c r="G167" s="548"/>
      <c r="H167" s="548"/>
      <c r="I167" s="548"/>
      <c r="J167" s="548"/>
      <c r="K167" s="548"/>
      <c r="L167" s="548"/>
      <c r="M167" s="548"/>
      <c r="N167" s="548"/>
      <c r="O167" s="548"/>
      <c r="P167" s="548"/>
      <c r="Q167" s="548"/>
      <c r="R167" s="548"/>
      <c r="S167" s="548"/>
      <c r="T167" s="548"/>
      <c r="U167" s="548"/>
      <c r="V167" s="548"/>
      <c r="W167" s="548"/>
      <c r="X167" s="548"/>
      <c r="Y167" s="548"/>
      <c r="Z167" s="548"/>
    </row>
    <row r="168" ht="15.75" customHeight="1">
      <c r="A168" s="548"/>
      <c r="B168" s="548"/>
      <c r="C168" s="548"/>
      <c r="D168" s="548"/>
      <c r="E168" s="548"/>
      <c r="F168" s="549"/>
      <c r="G168" s="548"/>
      <c r="H168" s="548"/>
      <c r="I168" s="548"/>
      <c r="J168" s="548"/>
      <c r="K168" s="548"/>
      <c r="L168" s="548"/>
      <c r="M168" s="548"/>
      <c r="N168" s="548"/>
      <c r="O168" s="548"/>
      <c r="P168" s="548"/>
      <c r="Q168" s="548"/>
      <c r="R168" s="548"/>
      <c r="S168" s="548"/>
      <c r="T168" s="548"/>
      <c r="U168" s="548"/>
      <c r="V168" s="548"/>
      <c r="W168" s="548"/>
      <c r="X168" s="548"/>
      <c r="Y168" s="548"/>
      <c r="Z168" s="548"/>
    </row>
    <row r="169" ht="15.75" customHeight="1">
      <c r="A169" s="548"/>
      <c r="B169" s="548"/>
      <c r="C169" s="548"/>
      <c r="D169" s="548"/>
      <c r="E169" s="548"/>
      <c r="F169" s="549"/>
      <c r="G169" s="548"/>
      <c r="H169" s="548"/>
      <c r="I169" s="548"/>
      <c r="J169" s="548"/>
      <c r="K169" s="548"/>
      <c r="L169" s="548"/>
      <c r="M169" s="548"/>
      <c r="N169" s="548"/>
      <c r="O169" s="548"/>
      <c r="P169" s="548"/>
      <c r="Q169" s="548"/>
      <c r="R169" s="548"/>
      <c r="S169" s="548"/>
      <c r="T169" s="548"/>
      <c r="U169" s="548"/>
      <c r="V169" s="548"/>
      <c r="W169" s="548"/>
      <c r="X169" s="548"/>
      <c r="Y169" s="548"/>
      <c r="Z169" s="548"/>
    </row>
    <row r="170" ht="15.75" customHeight="1">
      <c r="A170" s="548"/>
      <c r="B170" s="548"/>
      <c r="C170" s="548"/>
      <c r="D170" s="548"/>
      <c r="E170" s="548"/>
      <c r="F170" s="549"/>
      <c r="G170" s="548"/>
      <c r="H170" s="548"/>
      <c r="I170" s="548"/>
      <c r="J170" s="548"/>
      <c r="K170" s="548"/>
      <c r="L170" s="548"/>
      <c r="M170" s="548"/>
      <c r="N170" s="548"/>
      <c r="O170" s="548"/>
      <c r="P170" s="548"/>
      <c r="Q170" s="548"/>
      <c r="R170" s="548"/>
      <c r="S170" s="548"/>
      <c r="T170" s="548"/>
      <c r="U170" s="548"/>
      <c r="V170" s="548"/>
      <c r="W170" s="548"/>
      <c r="X170" s="548"/>
      <c r="Y170" s="548"/>
      <c r="Z170" s="548"/>
    </row>
    <row r="171" ht="15.75" customHeight="1">
      <c r="A171" s="548"/>
      <c r="B171" s="548"/>
      <c r="C171" s="548"/>
      <c r="D171" s="548"/>
      <c r="E171" s="548"/>
      <c r="F171" s="549"/>
      <c r="G171" s="548"/>
      <c r="H171" s="548"/>
      <c r="I171" s="548"/>
      <c r="J171" s="548"/>
      <c r="K171" s="548"/>
      <c r="L171" s="548"/>
      <c r="M171" s="548"/>
      <c r="N171" s="548"/>
      <c r="O171" s="548"/>
      <c r="P171" s="548"/>
      <c r="Q171" s="548"/>
      <c r="R171" s="548"/>
      <c r="S171" s="548"/>
      <c r="T171" s="548"/>
      <c r="U171" s="548"/>
      <c r="V171" s="548"/>
      <c r="W171" s="548"/>
      <c r="X171" s="548"/>
      <c r="Y171" s="548"/>
      <c r="Z171" s="548"/>
    </row>
    <row r="172" ht="15.75" customHeight="1">
      <c r="A172" s="548"/>
      <c r="B172" s="548"/>
      <c r="C172" s="548"/>
      <c r="D172" s="548"/>
      <c r="E172" s="548"/>
      <c r="F172" s="549"/>
      <c r="G172" s="548"/>
      <c r="H172" s="548"/>
      <c r="I172" s="548"/>
      <c r="J172" s="548"/>
      <c r="K172" s="548"/>
      <c r="L172" s="548"/>
      <c r="M172" s="548"/>
      <c r="N172" s="548"/>
      <c r="O172" s="548"/>
      <c r="P172" s="548"/>
      <c r="Q172" s="548"/>
      <c r="R172" s="548"/>
      <c r="S172" s="548"/>
      <c r="T172" s="548"/>
      <c r="U172" s="548"/>
      <c r="V172" s="548"/>
      <c r="W172" s="548"/>
      <c r="X172" s="548"/>
      <c r="Y172" s="548"/>
      <c r="Z172" s="548"/>
    </row>
    <row r="173" ht="15.75" customHeight="1">
      <c r="A173" s="548"/>
      <c r="B173" s="548"/>
      <c r="C173" s="548"/>
      <c r="D173" s="548"/>
      <c r="E173" s="548"/>
      <c r="F173" s="549"/>
      <c r="G173" s="548"/>
      <c r="H173" s="548"/>
      <c r="I173" s="548"/>
      <c r="J173" s="548"/>
      <c r="K173" s="548"/>
      <c r="L173" s="548"/>
      <c r="M173" s="548"/>
      <c r="N173" s="548"/>
      <c r="O173" s="548"/>
      <c r="P173" s="548"/>
      <c r="Q173" s="548"/>
      <c r="R173" s="548"/>
      <c r="S173" s="548"/>
      <c r="T173" s="548"/>
      <c r="U173" s="548"/>
      <c r="V173" s="548"/>
      <c r="W173" s="548"/>
      <c r="X173" s="548"/>
      <c r="Y173" s="548"/>
      <c r="Z173" s="548"/>
    </row>
    <row r="174" ht="15.75" customHeight="1">
      <c r="A174" s="548"/>
      <c r="B174" s="548"/>
      <c r="C174" s="548"/>
      <c r="D174" s="548"/>
      <c r="E174" s="548"/>
      <c r="F174" s="549"/>
      <c r="G174" s="548"/>
      <c r="H174" s="548"/>
      <c r="I174" s="548"/>
      <c r="J174" s="548"/>
      <c r="K174" s="548"/>
      <c r="L174" s="548"/>
      <c r="M174" s="548"/>
      <c r="N174" s="548"/>
      <c r="O174" s="548"/>
      <c r="P174" s="548"/>
      <c r="Q174" s="548"/>
      <c r="R174" s="548"/>
      <c r="S174" s="548"/>
      <c r="T174" s="548"/>
      <c r="U174" s="548"/>
      <c r="V174" s="548"/>
      <c r="W174" s="548"/>
      <c r="X174" s="548"/>
      <c r="Y174" s="548"/>
      <c r="Z174" s="548"/>
    </row>
    <row r="175" ht="15.75" customHeight="1">
      <c r="A175" s="548"/>
      <c r="B175" s="548"/>
      <c r="C175" s="548"/>
      <c r="D175" s="548"/>
      <c r="E175" s="548"/>
      <c r="F175" s="549"/>
      <c r="G175" s="548"/>
      <c r="H175" s="548"/>
      <c r="I175" s="548"/>
      <c r="J175" s="548"/>
      <c r="K175" s="548"/>
      <c r="L175" s="548"/>
      <c r="M175" s="548"/>
      <c r="N175" s="548"/>
      <c r="O175" s="548"/>
      <c r="P175" s="548"/>
      <c r="Q175" s="548"/>
      <c r="R175" s="548"/>
      <c r="S175" s="548"/>
      <c r="T175" s="548"/>
      <c r="U175" s="548"/>
      <c r="V175" s="548"/>
      <c r="W175" s="548"/>
      <c r="X175" s="548"/>
      <c r="Y175" s="548"/>
      <c r="Z175" s="548"/>
    </row>
    <row r="176" ht="15.75" customHeight="1">
      <c r="A176" s="548"/>
      <c r="B176" s="548"/>
      <c r="C176" s="548"/>
      <c r="D176" s="548"/>
      <c r="E176" s="548"/>
      <c r="F176" s="549"/>
      <c r="G176" s="548"/>
      <c r="H176" s="548"/>
      <c r="I176" s="548"/>
      <c r="J176" s="548"/>
      <c r="K176" s="548"/>
      <c r="L176" s="548"/>
      <c r="M176" s="548"/>
      <c r="N176" s="548"/>
      <c r="O176" s="548"/>
      <c r="P176" s="548"/>
      <c r="Q176" s="548"/>
      <c r="R176" s="548"/>
      <c r="S176" s="548"/>
      <c r="T176" s="548"/>
      <c r="U176" s="548"/>
      <c r="V176" s="548"/>
      <c r="W176" s="548"/>
      <c r="X176" s="548"/>
      <c r="Y176" s="548"/>
      <c r="Z176" s="548"/>
    </row>
    <row r="177" ht="15.75" customHeight="1">
      <c r="A177" s="548"/>
      <c r="B177" s="548"/>
      <c r="C177" s="548"/>
      <c r="D177" s="548"/>
      <c r="E177" s="548"/>
      <c r="F177" s="549"/>
      <c r="G177" s="548"/>
      <c r="H177" s="548"/>
      <c r="I177" s="548"/>
      <c r="J177" s="548"/>
      <c r="K177" s="548"/>
      <c r="L177" s="548"/>
      <c r="M177" s="548"/>
      <c r="N177" s="548"/>
      <c r="O177" s="548"/>
      <c r="P177" s="548"/>
      <c r="Q177" s="548"/>
      <c r="R177" s="548"/>
      <c r="S177" s="548"/>
      <c r="T177" s="548"/>
      <c r="U177" s="548"/>
      <c r="V177" s="548"/>
      <c r="W177" s="548"/>
      <c r="X177" s="548"/>
      <c r="Y177" s="548"/>
      <c r="Z177" s="548"/>
    </row>
    <row r="178" ht="15.75" customHeight="1">
      <c r="A178" s="548"/>
      <c r="B178" s="548"/>
      <c r="C178" s="548"/>
      <c r="D178" s="548"/>
      <c r="E178" s="548"/>
      <c r="F178" s="549"/>
      <c r="G178" s="548"/>
      <c r="H178" s="548"/>
      <c r="I178" s="548"/>
      <c r="J178" s="548"/>
      <c r="K178" s="548"/>
      <c r="L178" s="548"/>
      <c r="M178" s="548"/>
      <c r="N178" s="548"/>
      <c r="O178" s="548"/>
      <c r="P178" s="548"/>
      <c r="Q178" s="548"/>
      <c r="R178" s="548"/>
      <c r="S178" s="548"/>
      <c r="T178" s="548"/>
      <c r="U178" s="548"/>
      <c r="V178" s="548"/>
      <c r="W178" s="548"/>
      <c r="X178" s="548"/>
      <c r="Y178" s="548"/>
      <c r="Z178" s="548"/>
    </row>
    <row r="179" ht="15.75" customHeight="1">
      <c r="A179" s="548"/>
      <c r="B179" s="548"/>
      <c r="C179" s="548"/>
      <c r="D179" s="548"/>
      <c r="E179" s="548"/>
      <c r="F179" s="549"/>
      <c r="G179" s="548"/>
      <c r="H179" s="548"/>
      <c r="I179" s="548"/>
      <c r="J179" s="548"/>
      <c r="K179" s="548"/>
      <c r="L179" s="548"/>
      <c r="M179" s="548"/>
      <c r="N179" s="548"/>
      <c r="O179" s="548"/>
      <c r="P179" s="548"/>
      <c r="Q179" s="548"/>
      <c r="R179" s="548"/>
      <c r="S179" s="548"/>
      <c r="T179" s="548"/>
      <c r="U179" s="548"/>
      <c r="V179" s="548"/>
      <c r="W179" s="548"/>
      <c r="X179" s="548"/>
      <c r="Y179" s="548"/>
      <c r="Z179" s="548"/>
    </row>
    <row r="180" ht="15.75" customHeight="1">
      <c r="A180" s="548"/>
      <c r="B180" s="548"/>
      <c r="C180" s="548"/>
      <c r="D180" s="548"/>
      <c r="E180" s="548"/>
      <c r="F180" s="549"/>
      <c r="G180" s="548"/>
      <c r="H180" s="548"/>
      <c r="I180" s="548"/>
      <c r="J180" s="548"/>
      <c r="K180" s="548"/>
      <c r="L180" s="548"/>
      <c r="M180" s="548"/>
      <c r="N180" s="548"/>
      <c r="O180" s="548"/>
      <c r="P180" s="548"/>
      <c r="Q180" s="548"/>
      <c r="R180" s="548"/>
      <c r="S180" s="548"/>
      <c r="T180" s="548"/>
      <c r="U180" s="548"/>
      <c r="V180" s="548"/>
      <c r="W180" s="548"/>
      <c r="X180" s="548"/>
      <c r="Y180" s="548"/>
      <c r="Z180" s="548"/>
    </row>
    <row r="181" ht="15.75" customHeight="1">
      <c r="A181" s="548"/>
      <c r="B181" s="548"/>
      <c r="C181" s="548"/>
      <c r="D181" s="548"/>
      <c r="E181" s="548"/>
      <c r="F181" s="549"/>
      <c r="G181" s="548"/>
      <c r="H181" s="548"/>
      <c r="I181" s="548"/>
      <c r="J181" s="548"/>
      <c r="K181" s="548"/>
      <c r="L181" s="548"/>
      <c r="M181" s="548"/>
      <c r="N181" s="548"/>
      <c r="O181" s="548"/>
      <c r="P181" s="548"/>
      <c r="Q181" s="548"/>
      <c r="R181" s="548"/>
      <c r="S181" s="548"/>
      <c r="T181" s="548"/>
      <c r="U181" s="548"/>
      <c r="V181" s="548"/>
      <c r="W181" s="548"/>
      <c r="X181" s="548"/>
      <c r="Y181" s="548"/>
      <c r="Z181" s="548"/>
    </row>
    <row r="182" ht="15.75" customHeight="1">
      <c r="A182" s="548"/>
      <c r="B182" s="548"/>
      <c r="C182" s="548"/>
      <c r="D182" s="548"/>
      <c r="E182" s="548"/>
      <c r="F182" s="549"/>
      <c r="G182" s="548"/>
      <c r="H182" s="548"/>
      <c r="I182" s="548"/>
      <c r="J182" s="548"/>
      <c r="K182" s="548"/>
      <c r="L182" s="548"/>
      <c r="M182" s="548"/>
      <c r="N182" s="548"/>
      <c r="O182" s="548"/>
      <c r="P182" s="548"/>
      <c r="Q182" s="548"/>
      <c r="R182" s="548"/>
      <c r="S182" s="548"/>
      <c r="T182" s="548"/>
      <c r="U182" s="548"/>
      <c r="V182" s="548"/>
      <c r="W182" s="548"/>
      <c r="X182" s="548"/>
      <c r="Y182" s="548"/>
      <c r="Z182" s="548"/>
    </row>
    <row r="183" ht="15.75" customHeight="1">
      <c r="A183" s="548"/>
      <c r="B183" s="548"/>
      <c r="C183" s="548"/>
      <c r="D183" s="548"/>
      <c r="E183" s="548"/>
      <c r="F183" s="549"/>
      <c r="G183" s="548"/>
      <c r="H183" s="548"/>
      <c r="I183" s="548"/>
      <c r="J183" s="548"/>
      <c r="K183" s="548"/>
      <c r="L183" s="548"/>
      <c r="M183" s="548"/>
      <c r="N183" s="548"/>
      <c r="O183" s="548"/>
      <c r="P183" s="548"/>
      <c r="Q183" s="548"/>
      <c r="R183" s="548"/>
      <c r="S183" s="548"/>
      <c r="T183" s="548"/>
      <c r="U183" s="548"/>
      <c r="V183" s="548"/>
      <c r="W183" s="548"/>
      <c r="X183" s="548"/>
      <c r="Y183" s="548"/>
      <c r="Z183" s="548"/>
    </row>
    <row r="184" ht="15.75" customHeight="1">
      <c r="A184" s="548"/>
      <c r="B184" s="548"/>
      <c r="C184" s="548"/>
      <c r="D184" s="548"/>
      <c r="E184" s="548"/>
      <c r="F184" s="549"/>
      <c r="G184" s="548"/>
      <c r="H184" s="548"/>
      <c r="I184" s="548"/>
      <c r="J184" s="548"/>
      <c r="K184" s="548"/>
      <c r="L184" s="548"/>
      <c r="M184" s="548"/>
      <c r="N184" s="548"/>
      <c r="O184" s="548"/>
      <c r="P184" s="548"/>
      <c r="Q184" s="548"/>
      <c r="R184" s="548"/>
      <c r="S184" s="548"/>
      <c r="T184" s="548"/>
      <c r="U184" s="548"/>
      <c r="V184" s="548"/>
      <c r="W184" s="548"/>
      <c r="X184" s="548"/>
      <c r="Y184" s="548"/>
      <c r="Z184" s="548"/>
    </row>
    <row r="185" ht="15.75" customHeight="1">
      <c r="A185" s="548"/>
      <c r="B185" s="548"/>
      <c r="C185" s="548"/>
      <c r="D185" s="548"/>
      <c r="E185" s="548"/>
      <c r="F185" s="549"/>
      <c r="G185" s="548"/>
      <c r="H185" s="548"/>
      <c r="I185" s="548"/>
      <c r="J185" s="548"/>
      <c r="K185" s="548"/>
      <c r="L185" s="548"/>
      <c r="M185" s="548"/>
      <c r="N185" s="548"/>
      <c r="O185" s="548"/>
      <c r="P185" s="548"/>
      <c r="Q185" s="548"/>
      <c r="R185" s="548"/>
      <c r="S185" s="548"/>
      <c r="T185" s="548"/>
      <c r="U185" s="548"/>
      <c r="V185" s="548"/>
      <c r="W185" s="548"/>
      <c r="X185" s="548"/>
      <c r="Y185" s="548"/>
      <c r="Z185" s="548"/>
    </row>
    <row r="186" ht="15.75" customHeight="1">
      <c r="A186" s="548"/>
      <c r="B186" s="548"/>
      <c r="C186" s="548"/>
      <c r="D186" s="548"/>
      <c r="E186" s="548"/>
      <c r="F186" s="549"/>
      <c r="G186" s="548"/>
      <c r="H186" s="548"/>
      <c r="I186" s="548"/>
      <c r="J186" s="548"/>
      <c r="K186" s="548"/>
      <c r="L186" s="548"/>
      <c r="M186" s="548"/>
      <c r="N186" s="548"/>
      <c r="O186" s="548"/>
      <c r="P186" s="548"/>
      <c r="Q186" s="548"/>
      <c r="R186" s="548"/>
      <c r="S186" s="548"/>
      <c r="T186" s="548"/>
      <c r="U186" s="548"/>
      <c r="V186" s="548"/>
      <c r="W186" s="548"/>
      <c r="X186" s="548"/>
      <c r="Y186" s="548"/>
      <c r="Z186" s="548"/>
    </row>
    <row r="187" ht="15.75" customHeight="1">
      <c r="A187" s="548"/>
      <c r="B187" s="548"/>
      <c r="C187" s="548"/>
      <c r="D187" s="548"/>
      <c r="E187" s="548"/>
      <c r="F187" s="549"/>
      <c r="G187" s="548"/>
      <c r="H187" s="548"/>
      <c r="I187" s="548"/>
      <c r="J187" s="548"/>
      <c r="K187" s="548"/>
      <c r="L187" s="548"/>
      <c r="M187" s="548"/>
      <c r="N187" s="548"/>
      <c r="O187" s="548"/>
      <c r="P187" s="548"/>
      <c r="Q187" s="548"/>
      <c r="R187" s="548"/>
      <c r="S187" s="548"/>
      <c r="T187" s="548"/>
      <c r="U187" s="548"/>
      <c r="V187" s="548"/>
      <c r="W187" s="548"/>
      <c r="X187" s="548"/>
      <c r="Y187" s="548"/>
      <c r="Z187" s="548"/>
    </row>
    <row r="188" ht="15.75" customHeight="1">
      <c r="A188" s="548"/>
      <c r="B188" s="548"/>
      <c r="C188" s="548"/>
      <c r="D188" s="548"/>
      <c r="E188" s="548"/>
      <c r="F188" s="549"/>
      <c r="G188" s="548"/>
      <c r="H188" s="548"/>
      <c r="I188" s="548"/>
      <c r="J188" s="548"/>
      <c r="K188" s="548"/>
      <c r="L188" s="548"/>
      <c r="M188" s="548"/>
      <c r="N188" s="548"/>
      <c r="O188" s="548"/>
      <c r="P188" s="548"/>
      <c r="Q188" s="548"/>
      <c r="R188" s="548"/>
      <c r="S188" s="548"/>
      <c r="T188" s="548"/>
      <c r="U188" s="548"/>
      <c r="V188" s="548"/>
      <c r="W188" s="548"/>
      <c r="X188" s="548"/>
      <c r="Y188" s="548"/>
      <c r="Z188" s="548"/>
    </row>
    <row r="189" ht="15.75" customHeight="1">
      <c r="A189" s="548"/>
      <c r="B189" s="548"/>
      <c r="C189" s="548"/>
      <c r="D189" s="548"/>
      <c r="E189" s="548"/>
      <c r="F189" s="549"/>
      <c r="G189" s="548"/>
      <c r="H189" s="548"/>
      <c r="I189" s="548"/>
      <c r="J189" s="548"/>
      <c r="K189" s="548"/>
      <c r="L189" s="548"/>
      <c r="M189" s="548"/>
      <c r="N189" s="548"/>
      <c r="O189" s="548"/>
      <c r="P189" s="548"/>
      <c r="Q189" s="548"/>
      <c r="R189" s="548"/>
      <c r="S189" s="548"/>
      <c r="T189" s="548"/>
      <c r="U189" s="548"/>
      <c r="V189" s="548"/>
      <c r="W189" s="548"/>
      <c r="X189" s="548"/>
      <c r="Y189" s="548"/>
      <c r="Z189" s="548"/>
    </row>
    <row r="190" ht="15.75" customHeight="1">
      <c r="A190" s="548"/>
      <c r="B190" s="548"/>
      <c r="C190" s="548"/>
      <c r="D190" s="548"/>
      <c r="E190" s="548"/>
      <c r="F190" s="549"/>
      <c r="G190" s="548"/>
      <c r="H190" s="548"/>
      <c r="I190" s="548"/>
      <c r="J190" s="548"/>
      <c r="K190" s="548"/>
      <c r="L190" s="548"/>
      <c r="M190" s="548"/>
      <c r="N190" s="548"/>
      <c r="O190" s="548"/>
      <c r="P190" s="548"/>
      <c r="Q190" s="548"/>
      <c r="R190" s="548"/>
      <c r="S190" s="548"/>
      <c r="T190" s="548"/>
      <c r="U190" s="548"/>
      <c r="V190" s="548"/>
      <c r="W190" s="548"/>
      <c r="X190" s="548"/>
      <c r="Y190" s="548"/>
      <c r="Z190" s="548"/>
    </row>
    <row r="191" ht="15.75" customHeight="1">
      <c r="A191" s="548"/>
      <c r="B191" s="548"/>
      <c r="C191" s="548"/>
      <c r="D191" s="548"/>
      <c r="E191" s="548"/>
      <c r="F191" s="549"/>
      <c r="G191" s="548"/>
      <c r="H191" s="548"/>
      <c r="I191" s="548"/>
      <c r="J191" s="548"/>
      <c r="K191" s="548"/>
      <c r="L191" s="548"/>
      <c r="M191" s="548"/>
      <c r="N191" s="548"/>
      <c r="O191" s="548"/>
      <c r="P191" s="548"/>
      <c r="Q191" s="548"/>
      <c r="R191" s="548"/>
      <c r="S191" s="548"/>
      <c r="T191" s="548"/>
      <c r="U191" s="548"/>
      <c r="V191" s="548"/>
      <c r="W191" s="548"/>
      <c r="X191" s="548"/>
      <c r="Y191" s="548"/>
      <c r="Z191" s="548"/>
    </row>
    <row r="192" ht="15.75" customHeight="1">
      <c r="A192" s="548"/>
      <c r="B192" s="548"/>
      <c r="C192" s="548"/>
      <c r="D192" s="548"/>
      <c r="E192" s="548"/>
      <c r="F192" s="549"/>
      <c r="G192" s="548"/>
      <c r="H192" s="548"/>
      <c r="I192" s="548"/>
      <c r="J192" s="548"/>
      <c r="K192" s="548"/>
      <c r="L192" s="548"/>
      <c r="M192" s="548"/>
      <c r="N192" s="548"/>
      <c r="O192" s="548"/>
      <c r="P192" s="548"/>
      <c r="Q192" s="548"/>
      <c r="R192" s="548"/>
      <c r="S192" s="548"/>
      <c r="T192" s="548"/>
      <c r="U192" s="548"/>
      <c r="V192" s="548"/>
      <c r="W192" s="548"/>
      <c r="X192" s="548"/>
      <c r="Y192" s="548"/>
      <c r="Z192" s="548"/>
    </row>
    <row r="193" ht="15.75" customHeight="1">
      <c r="A193" s="548"/>
      <c r="B193" s="548"/>
      <c r="C193" s="548"/>
      <c r="D193" s="548"/>
      <c r="E193" s="548"/>
      <c r="F193" s="549"/>
      <c r="G193" s="548"/>
      <c r="H193" s="548"/>
      <c r="I193" s="548"/>
      <c r="J193" s="548"/>
      <c r="K193" s="548"/>
      <c r="L193" s="548"/>
      <c r="M193" s="548"/>
      <c r="N193" s="548"/>
      <c r="O193" s="548"/>
      <c r="P193" s="548"/>
      <c r="Q193" s="548"/>
      <c r="R193" s="548"/>
      <c r="S193" s="548"/>
      <c r="T193" s="548"/>
      <c r="U193" s="548"/>
      <c r="V193" s="548"/>
      <c r="W193" s="548"/>
      <c r="X193" s="548"/>
      <c r="Y193" s="548"/>
      <c r="Z193" s="548"/>
    </row>
    <row r="194" ht="15.75" customHeight="1">
      <c r="A194" s="548"/>
      <c r="B194" s="548"/>
      <c r="C194" s="548"/>
      <c r="D194" s="548"/>
      <c r="E194" s="548"/>
      <c r="F194" s="549"/>
      <c r="G194" s="548"/>
      <c r="H194" s="548"/>
      <c r="I194" s="548"/>
      <c r="J194" s="548"/>
      <c r="K194" s="548"/>
      <c r="L194" s="548"/>
      <c r="M194" s="548"/>
      <c r="N194" s="548"/>
      <c r="O194" s="548"/>
      <c r="P194" s="548"/>
      <c r="Q194" s="548"/>
      <c r="R194" s="548"/>
      <c r="S194" s="548"/>
      <c r="T194" s="548"/>
      <c r="U194" s="548"/>
      <c r="V194" s="548"/>
      <c r="W194" s="548"/>
      <c r="X194" s="548"/>
      <c r="Y194" s="548"/>
      <c r="Z194" s="548"/>
    </row>
    <row r="195" ht="15.75" customHeight="1">
      <c r="A195" s="548"/>
      <c r="B195" s="548"/>
      <c r="C195" s="548"/>
      <c r="D195" s="548"/>
      <c r="E195" s="548"/>
      <c r="F195" s="549"/>
      <c r="G195" s="548"/>
      <c r="H195" s="548"/>
      <c r="I195" s="548"/>
      <c r="J195" s="548"/>
      <c r="K195" s="548"/>
      <c r="L195" s="548"/>
      <c r="M195" s="548"/>
      <c r="N195" s="548"/>
      <c r="O195" s="548"/>
      <c r="P195" s="548"/>
      <c r="Q195" s="548"/>
      <c r="R195" s="548"/>
      <c r="S195" s="548"/>
      <c r="T195" s="548"/>
      <c r="U195" s="548"/>
      <c r="V195" s="548"/>
      <c r="W195" s="548"/>
      <c r="X195" s="548"/>
      <c r="Y195" s="548"/>
      <c r="Z195" s="548"/>
    </row>
    <row r="196" ht="15.75" customHeight="1">
      <c r="A196" s="548"/>
      <c r="B196" s="548"/>
      <c r="C196" s="548"/>
      <c r="D196" s="548"/>
      <c r="E196" s="548"/>
      <c r="F196" s="549"/>
      <c r="G196" s="548"/>
      <c r="H196" s="548"/>
      <c r="I196" s="548"/>
      <c r="J196" s="548"/>
      <c r="K196" s="548"/>
      <c r="L196" s="548"/>
      <c r="M196" s="548"/>
      <c r="N196" s="548"/>
      <c r="O196" s="548"/>
      <c r="P196" s="548"/>
      <c r="Q196" s="548"/>
      <c r="R196" s="548"/>
      <c r="S196" s="548"/>
      <c r="T196" s="548"/>
      <c r="U196" s="548"/>
      <c r="V196" s="548"/>
      <c r="W196" s="548"/>
      <c r="X196" s="548"/>
      <c r="Y196" s="548"/>
      <c r="Z196" s="548"/>
    </row>
    <row r="197" ht="15.75" customHeight="1">
      <c r="A197" s="548"/>
      <c r="B197" s="548"/>
      <c r="C197" s="548"/>
      <c r="D197" s="548"/>
      <c r="E197" s="548"/>
      <c r="F197" s="549"/>
      <c r="G197" s="548"/>
      <c r="H197" s="548"/>
      <c r="I197" s="548"/>
      <c r="J197" s="548"/>
      <c r="K197" s="548"/>
      <c r="L197" s="548"/>
      <c r="M197" s="548"/>
      <c r="N197" s="548"/>
      <c r="O197" s="548"/>
      <c r="P197" s="548"/>
      <c r="Q197" s="548"/>
      <c r="R197" s="548"/>
      <c r="S197" s="548"/>
      <c r="T197" s="548"/>
      <c r="U197" s="548"/>
      <c r="V197" s="548"/>
      <c r="W197" s="548"/>
      <c r="X197" s="548"/>
      <c r="Y197" s="548"/>
      <c r="Z197" s="548"/>
    </row>
    <row r="198" ht="15.75" customHeight="1">
      <c r="A198" s="548"/>
      <c r="B198" s="548"/>
      <c r="C198" s="548"/>
      <c r="D198" s="548"/>
      <c r="E198" s="548"/>
      <c r="F198" s="549"/>
      <c r="G198" s="548"/>
      <c r="H198" s="548"/>
      <c r="I198" s="548"/>
      <c r="J198" s="548"/>
      <c r="K198" s="548"/>
      <c r="L198" s="548"/>
      <c r="M198" s="548"/>
      <c r="N198" s="548"/>
      <c r="O198" s="548"/>
      <c r="P198" s="548"/>
      <c r="Q198" s="548"/>
      <c r="R198" s="548"/>
      <c r="S198" s="548"/>
      <c r="T198" s="548"/>
      <c r="U198" s="548"/>
      <c r="V198" s="548"/>
      <c r="W198" s="548"/>
      <c r="X198" s="548"/>
      <c r="Y198" s="548"/>
      <c r="Z198" s="548"/>
    </row>
    <row r="199" ht="15.75" customHeight="1">
      <c r="A199" s="548"/>
      <c r="B199" s="548"/>
      <c r="C199" s="548"/>
      <c r="D199" s="548"/>
      <c r="E199" s="548"/>
      <c r="F199" s="549"/>
      <c r="G199" s="548"/>
      <c r="H199" s="548"/>
      <c r="I199" s="548"/>
      <c r="J199" s="548"/>
      <c r="K199" s="548"/>
      <c r="L199" s="548"/>
      <c r="M199" s="548"/>
      <c r="N199" s="548"/>
      <c r="O199" s="548"/>
      <c r="P199" s="548"/>
      <c r="Q199" s="548"/>
      <c r="R199" s="548"/>
      <c r="S199" s="548"/>
      <c r="T199" s="548"/>
      <c r="U199" s="548"/>
      <c r="V199" s="548"/>
      <c r="W199" s="548"/>
      <c r="X199" s="548"/>
      <c r="Y199" s="548"/>
      <c r="Z199" s="548"/>
    </row>
    <row r="200" ht="15.75" customHeight="1">
      <c r="A200" s="548"/>
      <c r="B200" s="548"/>
      <c r="C200" s="548"/>
      <c r="D200" s="548"/>
      <c r="E200" s="548"/>
      <c r="F200" s="549"/>
      <c r="G200" s="548"/>
      <c r="H200" s="548"/>
      <c r="I200" s="548"/>
      <c r="J200" s="548"/>
      <c r="K200" s="548"/>
      <c r="L200" s="548"/>
      <c r="M200" s="548"/>
      <c r="N200" s="548"/>
      <c r="O200" s="548"/>
      <c r="P200" s="548"/>
      <c r="Q200" s="548"/>
      <c r="R200" s="548"/>
      <c r="S200" s="548"/>
      <c r="T200" s="548"/>
      <c r="U200" s="548"/>
      <c r="V200" s="548"/>
      <c r="W200" s="548"/>
      <c r="X200" s="548"/>
      <c r="Y200" s="548"/>
      <c r="Z200" s="548"/>
    </row>
    <row r="201" ht="15.75" customHeight="1">
      <c r="A201" s="548"/>
      <c r="B201" s="548"/>
      <c r="C201" s="548"/>
      <c r="D201" s="548"/>
      <c r="E201" s="548"/>
      <c r="F201" s="549"/>
      <c r="G201" s="548"/>
      <c r="H201" s="548"/>
      <c r="I201" s="548"/>
      <c r="J201" s="548"/>
      <c r="K201" s="548"/>
      <c r="L201" s="548"/>
      <c r="M201" s="548"/>
      <c r="N201" s="548"/>
      <c r="O201" s="548"/>
      <c r="P201" s="548"/>
      <c r="Q201" s="548"/>
      <c r="R201" s="548"/>
      <c r="S201" s="548"/>
      <c r="T201" s="548"/>
      <c r="U201" s="548"/>
      <c r="V201" s="548"/>
      <c r="W201" s="548"/>
      <c r="X201" s="548"/>
      <c r="Y201" s="548"/>
      <c r="Z201" s="548"/>
    </row>
    <row r="202" ht="15.75" customHeight="1">
      <c r="A202" s="548"/>
      <c r="B202" s="548"/>
      <c r="C202" s="548"/>
      <c r="D202" s="548"/>
      <c r="E202" s="548"/>
      <c r="F202" s="549"/>
      <c r="G202" s="548"/>
      <c r="H202" s="548"/>
      <c r="I202" s="548"/>
      <c r="J202" s="548"/>
      <c r="K202" s="548"/>
      <c r="L202" s="548"/>
      <c r="M202" s="548"/>
      <c r="N202" s="548"/>
      <c r="O202" s="548"/>
      <c r="P202" s="548"/>
      <c r="Q202" s="548"/>
      <c r="R202" s="548"/>
      <c r="S202" s="548"/>
      <c r="T202" s="548"/>
      <c r="U202" s="548"/>
      <c r="V202" s="548"/>
      <c r="W202" s="548"/>
      <c r="X202" s="548"/>
      <c r="Y202" s="548"/>
      <c r="Z202" s="548"/>
    </row>
    <row r="203" ht="15.75" customHeight="1">
      <c r="A203" s="548"/>
      <c r="B203" s="548"/>
      <c r="C203" s="548"/>
      <c r="D203" s="548"/>
      <c r="E203" s="548"/>
      <c r="F203" s="549"/>
      <c r="G203" s="548"/>
      <c r="H203" s="548"/>
      <c r="I203" s="548"/>
      <c r="J203" s="548"/>
      <c r="K203" s="548"/>
      <c r="L203" s="548"/>
      <c r="M203" s="548"/>
      <c r="N203" s="548"/>
      <c r="O203" s="548"/>
      <c r="P203" s="548"/>
      <c r="Q203" s="548"/>
      <c r="R203" s="548"/>
      <c r="S203" s="548"/>
      <c r="T203" s="548"/>
      <c r="U203" s="548"/>
      <c r="V203" s="548"/>
      <c r="W203" s="548"/>
      <c r="X203" s="548"/>
      <c r="Y203" s="548"/>
      <c r="Z203" s="548"/>
    </row>
    <row r="204" ht="15.75" customHeight="1">
      <c r="A204" s="548"/>
      <c r="B204" s="548"/>
      <c r="C204" s="548"/>
      <c r="D204" s="548"/>
      <c r="E204" s="548"/>
      <c r="F204" s="549"/>
      <c r="G204" s="548"/>
      <c r="H204" s="548"/>
      <c r="I204" s="548"/>
      <c r="J204" s="548"/>
      <c r="K204" s="548"/>
      <c r="L204" s="548"/>
      <c r="M204" s="548"/>
      <c r="N204" s="548"/>
      <c r="O204" s="548"/>
      <c r="P204" s="548"/>
      <c r="Q204" s="548"/>
      <c r="R204" s="548"/>
      <c r="S204" s="548"/>
      <c r="T204" s="548"/>
      <c r="U204" s="548"/>
      <c r="V204" s="548"/>
      <c r="W204" s="548"/>
      <c r="X204" s="548"/>
      <c r="Y204" s="548"/>
      <c r="Z204" s="548"/>
    </row>
    <row r="205" ht="15.75" customHeight="1">
      <c r="A205" s="548"/>
      <c r="B205" s="548"/>
      <c r="C205" s="548"/>
      <c r="D205" s="548"/>
      <c r="E205" s="548"/>
      <c r="F205" s="549"/>
      <c r="G205" s="548"/>
      <c r="H205" s="548"/>
      <c r="I205" s="548"/>
      <c r="J205" s="548"/>
      <c r="K205" s="548"/>
      <c r="L205" s="548"/>
      <c r="M205" s="548"/>
      <c r="N205" s="548"/>
      <c r="O205" s="548"/>
      <c r="P205" s="548"/>
      <c r="Q205" s="548"/>
      <c r="R205" s="548"/>
      <c r="S205" s="548"/>
      <c r="T205" s="548"/>
      <c r="U205" s="548"/>
      <c r="V205" s="548"/>
      <c r="W205" s="548"/>
      <c r="X205" s="548"/>
      <c r="Y205" s="548"/>
      <c r="Z205" s="548"/>
    </row>
    <row r="206" ht="15.75" customHeight="1">
      <c r="A206" s="548"/>
      <c r="B206" s="548"/>
      <c r="C206" s="548"/>
      <c r="D206" s="548"/>
      <c r="E206" s="548"/>
      <c r="F206" s="549"/>
      <c r="G206" s="548"/>
      <c r="H206" s="548"/>
      <c r="I206" s="548"/>
      <c r="J206" s="548"/>
      <c r="K206" s="548"/>
      <c r="L206" s="548"/>
      <c r="M206" s="548"/>
      <c r="N206" s="548"/>
      <c r="O206" s="548"/>
      <c r="P206" s="548"/>
      <c r="Q206" s="548"/>
      <c r="R206" s="548"/>
      <c r="S206" s="548"/>
      <c r="T206" s="548"/>
      <c r="U206" s="548"/>
      <c r="V206" s="548"/>
      <c r="W206" s="548"/>
      <c r="X206" s="548"/>
      <c r="Y206" s="548"/>
      <c r="Z206" s="548"/>
    </row>
    <row r="207" ht="15.75" customHeight="1">
      <c r="A207" s="548"/>
      <c r="B207" s="548"/>
      <c r="C207" s="548"/>
      <c r="D207" s="548"/>
      <c r="E207" s="548"/>
      <c r="F207" s="549"/>
      <c r="G207" s="548"/>
      <c r="H207" s="548"/>
      <c r="I207" s="548"/>
      <c r="J207" s="548"/>
      <c r="K207" s="548"/>
      <c r="L207" s="548"/>
      <c r="M207" s="548"/>
      <c r="N207" s="548"/>
      <c r="O207" s="548"/>
      <c r="P207" s="548"/>
      <c r="Q207" s="548"/>
      <c r="R207" s="548"/>
      <c r="S207" s="548"/>
      <c r="T207" s="548"/>
      <c r="U207" s="548"/>
      <c r="V207" s="548"/>
      <c r="W207" s="548"/>
      <c r="X207" s="548"/>
      <c r="Y207" s="548"/>
      <c r="Z207" s="548"/>
    </row>
    <row r="208" ht="15.75" customHeight="1">
      <c r="A208" s="548"/>
      <c r="B208" s="548"/>
      <c r="C208" s="548"/>
      <c r="D208" s="548"/>
      <c r="E208" s="548"/>
      <c r="F208" s="549"/>
      <c r="G208" s="548"/>
      <c r="H208" s="548"/>
      <c r="I208" s="548"/>
      <c r="J208" s="548"/>
      <c r="K208" s="548"/>
      <c r="L208" s="548"/>
      <c r="M208" s="548"/>
      <c r="N208" s="548"/>
      <c r="O208" s="548"/>
      <c r="P208" s="548"/>
      <c r="Q208" s="548"/>
      <c r="R208" s="548"/>
      <c r="S208" s="548"/>
      <c r="T208" s="548"/>
      <c r="U208" s="548"/>
      <c r="V208" s="548"/>
      <c r="W208" s="548"/>
      <c r="X208" s="548"/>
      <c r="Y208" s="548"/>
      <c r="Z208" s="548"/>
    </row>
    <row r="209" ht="15.75" customHeight="1">
      <c r="A209" s="548"/>
      <c r="B209" s="548"/>
      <c r="C209" s="548"/>
      <c r="D209" s="548"/>
      <c r="E209" s="548"/>
      <c r="F209" s="549"/>
      <c r="G209" s="548"/>
      <c r="H209" s="548"/>
      <c r="I209" s="548"/>
      <c r="J209" s="548"/>
      <c r="K209" s="548"/>
      <c r="L209" s="548"/>
      <c r="M209" s="548"/>
      <c r="N209" s="548"/>
      <c r="O209" s="548"/>
      <c r="P209" s="548"/>
      <c r="Q209" s="548"/>
      <c r="R209" s="548"/>
      <c r="S209" s="548"/>
      <c r="T209" s="548"/>
      <c r="U209" s="548"/>
      <c r="V209" s="548"/>
      <c r="W209" s="548"/>
      <c r="X209" s="548"/>
      <c r="Y209" s="548"/>
      <c r="Z209" s="548"/>
    </row>
    <row r="210" ht="15.75" customHeight="1">
      <c r="A210" s="548"/>
      <c r="B210" s="548"/>
      <c r="C210" s="548"/>
      <c r="D210" s="548"/>
      <c r="E210" s="548"/>
      <c r="F210" s="549"/>
      <c r="G210" s="548"/>
      <c r="H210" s="548"/>
      <c r="I210" s="548"/>
      <c r="J210" s="548"/>
      <c r="K210" s="548"/>
      <c r="L210" s="548"/>
      <c r="M210" s="548"/>
      <c r="N210" s="548"/>
      <c r="O210" s="548"/>
      <c r="P210" s="548"/>
      <c r="Q210" s="548"/>
      <c r="R210" s="548"/>
      <c r="S210" s="548"/>
      <c r="T210" s="548"/>
      <c r="U210" s="548"/>
      <c r="V210" s="548"/>
      <c r="W210" s="548"/>
      <c r="X210" s="548"/>
      <c r="Y210" s="548"/>
      <c r="Z210" s="548"/>
    </row>
    <row r="211" ht="15.75" customHeight="1">
      <c r="A211" s="548"/>
      <c r="B211" s="548"/>
      <c r="C211" s="548"/>
      <c r="D211" s="548"/>
      <c r="E211" s="548"/>
      <c r="F211" s="549"/>
      <c r="G211" s="548"/>
      <c r="H211" s="548"/>
      <c r="I211" s="548"/>
      <c r="J211" s="548"/>
      <c r="K211" s="548"/>
      <c r="L211" s="548"/>
      <c r="M211" s="548"/>
      <c r="N211" s="548"/>
      <c r="O211" s="548"/>
      <c r="P211" s="548"/>
      <c r="Q211" s="548"/>
      <c r="R211" s="548"/>
      <c r="S211" s="548"/>
      <c r="T211" s="548"/>
      <c r="U211" s="548"/>
      <c r="V211" s="548"/>
      <c r="W211" s="548"/>
      <c r="X211" s="548"/>
      <c r="Y211" s="548"/>
      <c r="Z211" s="548"/>
    </row>
    <row r="212" ht="15.75" customHeight="1">
      <c r="A212" s="548"/>
      <c r="B212" s="548"/>
      <c r="C212" s="548"/>
      <c r="D212" s="548"/>
      <c r="E212" s="548"/>
      <c r="F212" s="549"/>
      <c r="G212" s="548"/>
      <c r="H212" s="548"/>
      <c r="I212" s="548"/>
      <c r="J212" s="548"/>
      <c r="K212" s="548"/>
      <c r="L212" s="548"/>
      <c r="M212" s="548"/>
      <c r="N212" s="548"/>
      <c r="O212" s="548"/>
      <c r="P212" s="548"/>
      <c r="Q212" s="548"/>
      <c r="R212" s="548"/>
      <c r="S212" s="548"/>
      <c r="T212" s="548"/>
      <c r="U212" s="548"/>
      <c r="V212" s="548"/>
      <c r="W212" s="548"/>
      <c r="X212" s="548"/>
      <c r="Y212" s="548"/>
      <c r="Z212" s="548"/>
    </row>
    <row r="213" ht="15.75" customHeight="1">
      <c r="A213" s="548"/>
      <c r="B213" s="548"/>
      <c r="C213" s="548"/>
      <c r="D213" s="548"/>
      <c r="E213" s="548"/>
      <c r="F213" s="549"/>
      <c r="G213" s="548"/>
      <c r="H213" s="548"/>
      <c r="I213" s="548"/>
      <c r="J213" s="548"/>
      <c r="K213" s="548"/>
      <c r="L213" s="548"/>
      <c r="M213" s="548"/>
      <c r="N213" s="548"/>
      <c r="O213" s="548"/>
      <c r="P213" s="548"/>
      <c r="Q213" s="548"/>
      <c r="R213" s="548"/>
      <c r="S213" s="548"/>
      <c r="T213" s="548"/>
      <c r="U213" s="548"/>
      <c r="V213" s="548"/>
      <c r="W213" s="548"/>
      <c r="X213" s="548"/>
      <c r="Y213" s="548"/>
      <c r="Z213" s="548"/>
    </row>
    <row r="214" ht="15.75" customHeight="1">
      <c r="A214" s="548"/>
      <c r="B214" s="548"/>
      <c r="C214" s="548"/>
      <c r="D214" s="548"/>
      <c r="E214" s="548"/>
      <c r="F214" s="549"/>
      <c r="G214" s="548"/>
      <c r="H214" s="548"/>
      <c r="I214" s="548"/>
      <c r="J214" s="548"/>
      <c r="K214" s="548"/>
      <c r="L214" s="548"/>
      <c r="M214" s="548"/>
      <c r="N214" s="548"/>
      <c r="O214" s="548"/>
      <c r="P214" s="548"/>
      <c r="Q214" s="548"/>
      <c r="R214" s="548"/>
      <c r="S214" s="548"/>
      <c r="T214" s="548"/>
      <c r="U214" s="548"/>
      <c r="V214" s="548"/>
      <c r="W214" s="548"/>
      <c r="X214" s="548"/>
      <c r="Y214" s="548"/>
      <c r="Z214" s="548"/>
    </row>
    <row r="215" ht="15.75" customHeight="1">
      <c r="A215" s="548"/>
      <c r="B215" s="548"/>
      <c r="C215" s="548"/>
      <c r="D215" s="548"/>
      <c r="E215" s="548"/>
      <c r="F215" s="549"/>
      <c r="G215" s="548"/>
      <c r="H215" s="548"/>
      <c r="I215" s="548"/>
      <c r="J215" s="548"/>
      <c r="K215" s="548"/>
      <c r="L215" s="548"/>
      <c r="M215" s="548"/>
      <c r="N215" s="548"/>
      <c r="O215" s="548"/>
      <c r="P215" s="548"/>
      <c r="Q215" s="548"/>
      <c r="R215" s="548"/>
      <c r="S215" s="548"/>
      <c r="T215" s="548"/>
      <c r="U215" s="548"/>
      <c r="V215" s="548"/>
      <c r="W215" s="548"/>
      <c r="X215" s="548"/>
      <c r="Y215" s="548"/>
      <c r="Z215" s="548"/>
    </row>
    <row r="216" ht="15.75" customHeight="1">
      <c r="A216" s="548"/>
      <c r="B216" s="548"/>
      <c r="C216" s="548"/>
      <c r="D216" s="548"/>
      <c r="E216" s="548"/>
      <c r="F216" s="549"/>
      <c r="G216" s="548"/>
      <c r="H216" s="548"/>
      <c r="I216" s="548"/>
      <c r="J216" s="548"/>
      <c r="K216" s="548"/>
      <c r="L216" s="548"/>
      <c r="M216" s="548"/>
      <c r="N216" s="548"/>
      <c r="O216" s="548"/>
      <c r="P216" s="548"/>
      <c r="Q216" s="548"/>
      <c r="R216" s="548"/>
      <c r="S216" s="548"/>
      <c r="T216" s="548"/>
      <c r="U216" s="548"/>
      <c r="V216" s="548"/>
      <c r="W216" s="548"/>
      <c r="X216" s="548"/>
      <c r="Y216" s="548"/>
      <c r="Z216" s="548"/>
    </row>
    <row r="217" ht="15.75" customHeight="1">
      <c r="A217" s="548"/>
      <c r="B217" s="548"/>
      <c r="C217" s="548"/>
      <c r="D217" s="548"/>
      <c r="E217" s="548"/>
      <c r="F217" s="549"/>
      <c r="G217" s="548"/>
      <c r="H217" s="548"/>
      <c r="I217" s="548"/>
      <c r="J217" s="548"/>
      <c r="K217" s="548"/>
      <c r="L217" s="548"/>
      <c r="M217" s="548"/>
      <c r="N217" s="548"/>
      <c r="O217" s="548"/>
      <c r="P217" s="548"/>
      <c r="Q217" s="548"/>
      <c r="R217" s="548"/>
      <c r="S217" s="548"/>
      <c r="T217" s="548"/>
      <c r="U217" s="548"/>
      <c r="V217" s="548"/>
      <c r="W217" s="548"/>
      <c r="X217" s="548"/>
      <c r="Y217" s="548"/>
      <c r="Z217" s="548"/>
    </row>
    <row r="218" ht="15.75" customHeight="1">
      <c r="A218" s="548"/>
      <c r="B218" s="548"/>
      <c r="C218" s="548"/>
      <c r="D218" s="548"/>
      <c r="E218" s="548"/>
      <c r="F218" s="549"/>
      <c r="G218" s="548"/>
      <c r="H218" s="548"/>
      <c r="I218" s="548"/>
      <c r="J218" s="548"/>
      <c r="K218" s="548"/>
      <c r="L218" s="548"/>
      <c r="M218" s="548"/>
      <c r="N218" s="548"/>
      <c r="O218" s="548"/>
      <c r="P218" s="548"/>
      <c r="Q218" s="548"/>
      <c r="R218" s="548"/>
      <c r="S218" s="548"/>
      <c r="T218" s="548"/>
      <c r="U218" s="548"/>
      <c r="V218" s="548"/>
      <c r="W218" s="548"/>
      <c r="X218" s="548"/>
      <c r="Y218" s="548"/>
      <c r="Z218" s="548"/>
    </row>
    <row r="219" ht="15.75" customHeight="1">
      <c r="A219" s="548"/>
      <c r="B219" s="548"/>
      <c r="C219" s="548"/>
      <c r="D219" s="548"/>
      <c r="E219" s="548"/>
      <c r="F219" s="549"/>
      <c r="G219" s="548"/>
      <c r="H219" s="548"/>
      <c r="I219" s="548"/>
      <c r="J219" s="548"/>
      <c r="K219" s="548"/>
      <c r="L219" s="548"/>
      <c r="M219" s="548"/>
      <c r="N219" s="548"/>
      <c r="O219" s="548"/>
      <c r="P219" s="548"/>
      <c r="Q219" s="548"/>
      <c r="R219" s="548"/>
      <c r="S219" s="548"/>
      <c r="T219" s="548"/>
      <c r="U219" s="548"/>
      <c r="V219" s="548"/>
      <c r="W219" s="548"/>
      <c r="X219" s="548"/>
      <c r="Y219" s="548"/>
      <c r="Z219" s="548"/>
    </row>
    <row r="220" ht="15.75" customHeight="1">
      <c r="A220" s="548"/>
      <c r="B220" s="548"/>
      <c r="C220" s="548"/>
      <c r="D220" s="548"/>
      <c r="E220" s="548"/>
      <c r="F220" s="549"/>
      <c r="G220" s="548"/>
      <c r="H220" s="548"/>
      <c r="I220" s="548"/>
      <c r="J220" s="548"/>
      <c r="K220" s="548"/>
      <c r="L220" s="548"/>
      <c r="M220" s="548"/>
      <c r="N220" s="548"/>
      <c r="O220" s="548"/>
      <c r="P220" s="548"/>
      <c r="Q220" s="548"/>
      <c r="R220" s="548"/>
      <c r="S220" s="548"/>
      <c r="T220" s="548"/>
      <c r="U220" s="548"/>
      <c r="V220" s="548"/>
      <c r="W220" s="548"/>
      <c r="X220" s="548"/>
      <c r="Y220" s="548"/>
      <c r="Z220" s="548"/>
    </row>
    <row r="221" ht="15.75" customHeight="1">
      <c r="A221" s="548"/>
      <c r="B221" s="548"/>
      <c r="C221" s="548"/>
      <c r="D221" s="548"/>
      <c r="E221" s="548"/>
      <c r="F221" s="549"/>
      <c r="G221" s="548"/>
      <c r="H221" s="548"/>
      <c r="I221" s="548"/>
      <c r="J221" s="548"/>
      <c r="K221" s="548"/>
      <c r="L221" s="548"/>
      <c r="M221" s="548"/>
      <c r="N221" s="548"/>
      <c r="O221" s="548"/>
      <c r="P221" s="548"/>
      <c r="Q221" s="548"/>
      <c r="R221" s="548"/>
      <c r="S221" s="548"/>
      <c r="T221" s="548"/>
      <c r="U221" s="548"/>
      <c r="V221" s="548"/>
      <c r="W221" s="548"/>
      <c r="X221" s="548"/>
      <c r="Y221" s="548"/>
      <c r="Z221" s="548"/>
    </row>
    <row r="222" ht="15.75" customHeight="1">
      <c r="A222" s="548"/>
      <c r="B222" s="548"/>
      <c r="C222" s="548"/>
      <c r="D222" s="548"/>
      <c r="E222" s="548"/>
      <c r="F222" s="549"/>
      <c r="G222" s="548"/>
      <c r="H222" s="548"/>
      <c r="I222" s="548"/>
      <c r="J222" s="548"/>
      <c r="K222" s="548"/>
      <c r="L222" s="548"/>
      <c r="M222" s="548"/>
      <c r="N222" s="548"/>
      <c r="O222" s="548"/>
      <c r="P222" s="548"/>
      <c r="Q222" s="548"/>
      <c r="R222" s="548"/>
      <c r="S222" s="548"/>
      <c r="T222" s="548"/>
      <c r="U222" s="548"/>
      <c r="V222" s="548"/>
      <c r="W222" s="548"/>
      <c r="X222" s="548"/>
      <c r="Y222" s="548"/>
      <c r="Z222" s="548"/>
    </row>
    <row r="223" ht="15.75" customHeight="1">
      <c r="A223" s="548"/>
      <c r="B223" s="548"/>
      <c r="C223" s="548"/>
      <c r="D223" s="548"/>
      <c r="E223" s="548"/>
      <c r="F223" s="549"/>
      <c r="G223" s="548"/>
      <c r="H223" s="548"/>
      <c r="I223" s="548"/>
      <c r="J223" s="548"/>
      <c r="K223" s="548"/>
      <c r="L223" s="548"/>
      <c r="M223" s="548"/>
      <c r="N223" s="548"/>
      <c r="O223" s="548"/>
      <c r="P223" s="548"/>
      <c r="Q223" s="548"/>
      <c r="R223" s="548"/>
      <c r="S223" s="548"/>
      <c r="T223" s="548"/>
      <c r="U223" s="548"/>
      <c r="V223" s="548"/>
      <c r="W223" s="548"/>
      <c r="X223" s="548"/>
      <c r="Y223" s="548"/>
      <c r="Z223" s="548"/>
    </row>
    <row r="224" ht="15.75" customHeight="1">
      <c r="A224" s="548"/>
      <c r="B224" s="548"/>
      <c r="C224" s="548"/>
      <c r="D224" s="548"/>
      <c r="E224" s="548"/>
      <c r="F224" s="549"/>
      <c r="G224" s="548"/>
      <c r="H224" s="548"/>
      <c r="I224" s="548"/>
      <c r="J224" s="548"/>
      <c r="K224" s="548"/>
      <c r="L224" s="548"/>
      <c r="M224" s="548"/>
      <c r="N224" s="548"/>
      <c r="O224" s="548"/>
      <c r="P224" s="548"/>
      <c r="Q224" s="548"/>
      <c r="R224" s="548"/>
      <c r="S224" s="548"/>
      <c r="T224" s="548"/>
      <c r="U224" s="548"/>
      <c r="V224" s="548"/>
      <c r="W224" s="548"/>
      <c r="X224" s="548"/>
      <c r="Y224" s="548"/>
      <c r="Z224" s="548"/>
    </row>
    <row r="225" ht="15.75" customHeight="1">
      <c r="A225" s="548"/>
      <c r="B225" s="548"/>
      <c r="C225" s="548"/>
      <c r="D225" s="548"/>
      <c r="E225" s="548"/>
      <c r="F225" s="549"/>
      <c r="G225" s="548"/>
      <c r="H225" s="548"/>
      <c r="I225" s="548"/>
      <c r="J225" s="548"/>
      <c r="K225" s="548"/>
      <c r="L225" s="548"/>
      <c r="M225" s="548"/>
      <c r="N225" s="548"/>
      <c r="O225" s="548"/>
      <c r="P225" s="548"/>
      <c r="Q225" s="548"/>
      <c r="R225" s="548"/>
      <c r="S225" s="548"/>
      <c r="T225" s="548"/>
      <c r="U225" s="548"/>
      <c r="V225" s="548"/>
      <c r="W225" s="548"/>
      <c r="X225" s="548"/>
      <c r="Y225" s="548"/>
      <c r="Z225" s="548"/>
    </row>
    <row r="226" ht="15.75" customHeight="1">
      <c r="A226" s="548"/>
      <c r="B226" s="548"/>
      <c r="C226" s="548"/>
      <c r="D226" s="548"/>
      <c r="E226" s="548"/>
      <c r="F226" s="549"/>
      <c r="G226" s="548"/>
      <c r="H226" s="548"/>
      <c r="I226" s="548"/>
      <c r="J226" s="548"/>
      <c r="K226" s="548"/>
      <c r="L226" s="548"/>
      <c r="M226" s="548"/>
      <c r="N226" s="548"/>
      <c r="O226" s="548"/>
      <c r="P226" s="548"/>
      <c r="Q226" s="548"/>
      <c r="R226" s="548"/>
      <c r="S226" s="548"/>
      <c r="T226" s="548"/>
      <c r="U226" s="548"/>
      <c r="V226" s="548"/>
      <c r="W226" s="548"/>
      <c r="X226" s="548"/>
      <c r="Y226" s="548"/>
      <c r="Z226" s="548"/>
    </row>
    <row r="227" ht="15.75" customHeight="1">
      <c r="A227" s="548"/>
      <c r="B227" s="548"/>
      <c r="C227" s="548"/>
      <c r="D227" s="548"/>
      <c r="E227" s="548"/>
      <c r="F227" s="549"/>
      <c r="G227" s="548"/>
      <c r="H227" s="548"/>
      <c r="I227" s="548"/>
      <c r="J227" s="548"/>
      <c r="K227" s="548"/>
      <c r="L227" s="548"/>
      <c r="M227" s="548"/>
      <c r="N227" s="548"/>
      <c r="O227" s="548"/>
      <c r="P227" s="548"/>
      <c r="Q227" s="548"/>
      <c r="R227" s="548"/>
      <c r="S227" s="548"/>
      <c r="T227" s="548"/>
      <c r="U227" s="548"/>
      <c r="V227" s="548"/>
      <c r="W227" s="548"/>
      <c r="X227" s="548"/>
      <c r="Y227" s="548"/>
      <c r="Z227" s="548"/>
    </row>
    <row r="228" ht="15.75" customHeight="1">
      <c r="A228" s="548"/>
      <c r="B228" s="548"/>
      <c r="C228" s="548"/>
      <c r="D228" s="548"/>
      <c r="E228" s="548"/>
      <c r="F228" s="549"/>
      <c r="G228" s="548"/>
      <c r="H228" s="548"/>
      <c r="I228" s="548"/>
      <c r="J228" s="548"/>
      <c r="K228" s="548"/>
      <c r="L228" s="548"/>
      <c r="M228" s="548"/>
      <c r="N228" s="548"/>
      <c r="O228" s="548"/>
      <c r="P228" s="548"/>
      <c r="Q228" s="548"/>
      <c r="R228" s="548"/>
      <c r="S228" s="548"/>
      <c r="T228" s="548"/>
      <c r="U228" s="548"/>
      <c r="V228" s="548"/>
      <c r="W228" s="548"/>
      <c r="X228" s="548"/>
      <c r="Y228" s="548"/>
      <c r="Z228" s="548"/>
    </row>
    <row r="229" ht="15.75" customHeight="1">
      <c r="A229" s="548"/>
      <c r="B229" s="548"/>
      <c r="C229" s="548"/>
      <c r="D229" s="548"/>
      <c r="E229" s="548"/>
      <c r="F229" s="549"/>
      <c r="G229" s="548"/>
      <c r="H229" s="548"/>
      <c r="I229" s="548"/>
      <c r="J229" s="548"/>
      <c r="K229" s="548"/>
      <c r="L229" s="548"/>
      <c r="M229" s="548"/>
      <c r="N229" s="548"/>
      <c r="O229" s="548"/>
      <c r="P229" s="548"/>
      <c r="Q229" s="548"/>
      <c r="R229" s="548"/>
      <c r="S229" s="548"/>
      <c r="T229" s="548"/>
      <c r="U229" s="548"/>
      <c r="V229" s="548"/>
      <c r="W229" s="548"/>
      <c r="X229" s="548"/>
      <c r="Y229" s="548"/>
      <c r="Z229" s="548"/>
    </row>
    <row r="230" ht="15.75" customHeight="1">
      <c r="A230" s="548"/>
      <c r="B230" s="548"/>
      <c r="C230" s="548"/>
      <c r="D230" s="548"/>
      <c r="E230" s="548"/>
      <c r="F230" s="549"/>
      <c r="G230" s="548"/>
      <c r="H230" s="548"/>
      <c r="I230" s="548"/>
      <c r="J230" s="548"/>
      <c r="K230" s="548"/>
      <c r="L230" s="548"/>
      <c r="M230" s="548"/>
      <c r="N230" s="548"/>
      <c r="O230" s="548"/>
      <c r="P230" s="548"/>
      <c r="Q230" s="548"/>
      <c r="R230" s="548"/>
      <c r="S230" s="548"/>
      <c r="T230" s="548"/>
      <c r="U230" s="548"/>
      <c r="V230" s="548"/>
      <c r="W230" s="548"/>
      <c r="X230" s="548"/>
      <c r="Y230" s="548"/>
      <c r="Z230" s="548"/>
    </row>
    <row r="231" ht="15.75" customHeight="1">
      <c r="A231" s="548"/>
      <c r="B231" s="548"/>
      <c r="C231" s="548"/>
      <c r="D231" s="548"/>
      <c r="E231" s="548"/>
      <c r="F231" s="549"/>
      <c r="G231" s="548"/>
      <c r="H231" s="548"/>
      <c r="I231" s="548"/>
      <c r="J231" s="548"/>
      <c r="K231" s="548"/>
      <c r="L231" s="548"/>
      <c r="M231" s="548"/>
      <c r="N231" s="548"/>
      <c r="O231" s="548"/>
      <c r="P231" s="548"/>
      <c r="Q231" s="548"/>
      <c r="R231" s="548"/>
      <c r="S231" s="548"/>
      <c r="T231" s="548"/>
      <c r="U231" s="548"/>
      <c r="V231" s="548"/>
      <c r="W231" s="548"/>
      <c r="X231" s="548"/>
      <c r="Y231" s="548"/>
      <c r="Z231" s="548"/>
    </row>
    <row r="232" ht="15.75" customHeight="1">
      <c r="A232" s="548"/>
      <c r="B232" s="548"/>
      <c r="C232" s="548"/>
      <c r="D232" s="548"/>
      <c r="E232" s="548"/>
      <c r="F232" s="549"/>
      <c r="G232" s="548"/>
      <c r="H232" s="548"/>
      <c r="I232" s="548"/>
      <c r="J232" s="548"/>
      <c r="K232" s="548"/>
      <c r="L232" s="548"/>
      <c r="M232" s="548"/>
      <c r="N232" s="548"/>
      <c r="O232" s="548"/>
      <c r="P232" s="548"/>
      <c r="Q232" s="548"/>
      <c r="R232" s="548"/>
      <c r="S232" s="548"/>
      <c r="T232" s="548"/>
      <c r="U232" s="548"/>
      <c r="V232" s="548"/>
      <c r="W232" s="548"/>
      <c r="X232" s="548"/>
      <c r="Y232" s="548"/>
      <c r="Z232" s="548"/>
    </row>
    <row r="233" ht="15.75" customHeight="1">
      <c r="A233" s="548"/>
      <c r="B233" s="548"/>
      <c r="C233" s="548"/>
      <c r="D233" s="548"/>
      <c r="E233" s="548"/>
      <c r="F233" s="549"/>
      <c r="G233" s="548"/>
      <c r="H233" s="548"/>
      <c r="I233" s="548"/>
      <c r="J233" s="548"/>
      <c r="K233" s="548"/>
      <c r="L233" s="548"/>
      <c r="M233" s="548"/>
      <c r="N233" s="548"/>
      <c r="O233" s="548"/>
      <c r="P233" s="548"/>
      <c r="Q233" s="548"/>
      <c r="R233" s="548"/>
      <c r="S233" s="548"/>
      <c r="T233" s="548"/>
      <c r="U233" s="548"/>
      <c r="V233" s="548"/>
      <c r="W233" s="548"/>
      <c r="X233" s="548"/>
      <c r="Y233" s="548"/>
      <c r="Z233" s="548"/>
    </row>
    <row r="234" ht="15.75" customHeight="1">
      <c r="A234" s="548"/>
      <c r="B234" s="548"/>
      <c r="C234" s="548"/>
      <c r="D234" s="548"/>
      <c r="E234" s="548"/>
      <c r="F234" s="549"/>
      <c r="G234" s="548"/>
      <c r="H234" s="548"/>
      <c r="I234" s="548"/>
      <c r="J234" s="548"/>
      <c r="K234" s="548"/>
      <c r="L234" s="548"/>
      <c r="M234" s="548"/>
      <c r="N234" s="548"/>
      <c r="O234" s="548"/>
      <c r="P234" s="548"/>
      <c r="Q234" s="548"/>
      <c r="R234" s="548"/>
      <c r="S234" s="548"/>
      <c r="T234" s="548"/>
      <c r="U234" s="548"/>
      <c r="V234" s="548"/>
      <c r="W234" s="548"/>
      <c r="X234" s="548"/>
      <c r="Y234" s="548"/>
      <c r="Z234" s="548"/>
    </row>
    <row r="235" ht="15.75" customHeight="1">
      <c r="A235" s="548"/>
      <c r="B235" s="548"/>
      <c r="C235" s="548"/>
      <c r="D235" s="548"/>
      <c r="E235" s="548"/>
      <c r="F235" s="549"/>
      <c r="G235" s="548"/>
      <c r="H235" s="548"/>
      <c r="I235" s="548"/>
      <c r="J235" s="548"/>
      <c r="K235" s="548"/>
      <c r="L235" s="548"/>
      <c r="M235" s="548"/>
      <c r="N235" s="548"/>
      <c r="O235" s="548"/>
      <c r="P235" s="548"/>
      <c r="Q235" s="548"/>
      <c r="R235" s="548"/>
      <c r="S235" s="548"/>
      <c r="T235" s="548"/>
      <c r="U235" s="548"/>
      <c r="V235" s="548"/>
      <c r="W235" s="548"/>
      <c r="X235" s="548"/>
      <c r="Y235" s="548"/>
      <c r="Z235" s="548"/>
    </row>
    <row r="236" ht="15.75" customHeight="1">
      <c r="A236" s="548"/>
      <c r="B236" s="548"/>
      <c r="C236" s="548"/>
      <c r="D236" s="548"/>
      <c r="E236" s="548"/>
      <c r="F236" s="549"/>
      <c r="G236" s="548"/>
      <c r="H236" s="548"/>
      <c r="I236" s="548"/>
      <c r="J236" s="548"/>
      <c r="K236" s="548"/>
      <c r="L236" s="548"/>
      <c r="M236" s="548"/>
      <c r="N236" s="548"/>
      <c r="O236" s="548"/>
      <c r="P236" s="548"/>
      <c r="Q236" s="548"/>
      <c r="R236" s="548"/>
      <c r="S236" s="548"/>
      <c r="T236" s="548"/>
      <c r="U236" s="548"/>
      <c r="V236" s="548"/>
      <c r="W236" s="548"/>
      <c r="X236" s="548"/>
      <c r="Y236" s="548"/>
      <c r="Z236" s="548"/>
    </row>
    <row r="237" ht="15.75" customHeight="1">
      <c r="A237" s="548"/>
      <c r="B237" s="548"/>
      <c r="C237" s="548"/>
      <c r="D237" s="548"/>
      <c r="E237" s="548"/>
      <c r="F237" s="549"/>
      <c r="G237" s="548"/>
      <c r="H237" s="548"/>
      <c r="I237" s="548"/>
      <c r="J237" s="548"/>
      <c r="K237" s="548"/>
      <c r="L237" s="548"/>
      <c r="M237" s="548"/>
      <c r="N237" s="548"/>
      <c r="O237" s="548"/>
      <c r="P237" s="548"/>
      <c r="Q237" s="548"/>
      <c r="R237" s="548"/>
      <c r="S237" s="548"/>
      <c r="T237" s="548"/>
      <c r="U237" s="548"/>
      <c r="V237" s="548"/>
      <c r="W237" s="548"/>
      <c r="X237" s="548"/>
      <c r="Y237" s="548"/>
      <c r="Z237" s="548"/>
    </row>
    <row r="238" ht="15.75" customHeight="1">
      <c r="A238" s="548"/>
      <c r="B238" s="548"/>
      <c r="C238" s="548"/>
      <c r="D238" s="548"/>
      <c r="E238" s="548"/>
      <c r="F238" s="549"/>
      <c r="G238" s="548"/>
      <c r="H238" s="548"/>
      <c r="I238" s="548"/>
      <c r="J238" s="548"/>
      <c r="K238" s="548"/>
      <c r="L238" s="548"/>
      <c r="M238" s="548"/>
      <c r="N238" s="548"/>
      <c r="O238" s="548"/>
      <c r="P238" s="548"/>
      <c r="Q238" s="548"/>
      <c r="R238" s="548"/>
      <c r="S238" s="548"/>
      <c r="T238" s="548"/>
      <c r="U238" s="548"/>
      <c r="V238" s="548"/>
      <c r="W238" s="548"/>
      <c r="X238" s="548"/>
      <c r="Y238" s="548"/>
      <c r="Z238" s="548"/>
    </row>
    <row r="239" ht="15.75" customHeight="1">
      <c r="A239" s="548"/>
      <c r="B239" s="548"/>
      <c r="C239" s="548"/>
      <c r="D239" s="548"/>
      <c r="E239" s="548"/>
      <c r="F239" s="549"/>
      <c r="G239" s="548"/>
      <c r="H239" s="548"/>
      <c r="I239" s="548"/>
      <c r="J239" s="548"/>
      <c r="K239" s="548"/>
      <c r="L239" s="548"/>
      <c r="M239" s="548"/>
      <c r="N239" s="548"/>
      <c r="O239" s="548"/>
      <c r="P239" s="548"/>
      <c r="Q239" s="548"/>
      <c r="R239" s="548"/>
      <c r="S239" s="548"/>
      <c r="T239" s="548"/>
      <c r="U239" s="548"/>
      <c r="V239" s="548"/>
      <c r="W239" s="548"/>
      <c r="X239" s="548"/>
      <c r="Y239" s="548"/>
      <c r="Z239" s="548"/>
    </row>
    <row r="240" ht="15.75" customHeight="1">
      <c r="A240" s="548"/>
      <c r="B240" s="548"/>
      <c r="C240" s="548"/>
      <c r="D240" s="548"/>
      <c r="E240" s="548"/>
      <c r="F240" s="549"/>
      <c r="G240" s="548"/>
      <c r="H240" s="548"/>
      <c r="I240" s="548"/>
      <c r="J240" s="548"/>
      <c r="K240" s="548"/>
      <c r="L240" s="548"/>
      <c r="M240" s="548"/>
      <c r="N240" s="548"/>
      <c r="O240" s="548"/>
      <c r="P240" s="548"/>
      <c r="Q240" s="548"/>
      <c r="R240" s="548"/>
      <c r="S240" s="548"/>
      <c r="T240" s="548"/>
      <c r="U240" s="548"/>
      <c r="V240" s="548"/>
      <c r="W240" s="548"/>
      <c r="X240" s="548"/>
      <c r="Y240" s="548"/>
      <c r="Z240" s="548"/>
    </row>
    <row r="241" ht="15.75" customHeight="1">
      <c r="A241" s="548"/>
      <c r="B241" s="548"/>
      <c r="C241" s="548"/>
      <c r="D241" s="548"/>
      <c r="E241" s="548"/>
      <c r="F241" s="549"/>
      <c r="G241" s="548"/>
      <c r="H241" s="548"/>
      <c r="I241" s="548"/>
      <c r="J241" s="548"/>
      <c r="K241" s="548"/>
      <c r="L241" s="548"/>
      <c r="M241" s="548"/>
      <c r="N241" s="548"/>
      <c r="O241" s="548"/>
      <c r="P241" s="548"/>
      <c r="Q241" s="548"/>
      <c r="R241" s="548"/>
      <c r="S241" s="548"/>
      <c r="T241" s="548"/>
      <c r="U241" s="548"/>
      <c r="V241" s="548"/>
      <c r="W241" s="548"/>
      <c r="X241" s="548"/>
      <c r="Y241" s="548"/>
      <c r="Z241" s="548"/>
    </row>
    <row r="242" ht="15.75" customHeight="1">
      <c r="A242" s="548"/>
      <c r="B242" s="548"/>
      <c r="C242" s="548"/>
      <c r="D242" s="548"/>
      <c r="E242" s="548"/>
      <c r="F242" s="549"/>
      <c r="G242" s="548"/>
      <c r="H242" s="548"/>
      <c r="I242" s="548"/>
      <c r="J242" s="548"/>
      <c r="K242" s="548"/>
      <c r="L242" s="548"/>
      <c r="M242" s="548"/>
      <c r="N242" s="548"/>
      <c r="O242" s="548"/>
      <c r="P242" s="548"/>
      <c r="Q242" s="548"/>
      <c r="R242" s="548"/>
      <c r="S242" s="548"/>
      <c r="T242" s="548"/>
      <c r="U242" s="548"/>
      <c r="V242" s="548"/>
      <c r="W242" s="548"/>
      <c r="X242" s="548"/>
      <c r="Y242" s="548"/>
      <c r="Z242" s="548"/>
    </row>
    <row r="243" ht="15.75" customHeight="1">
      <c r="A243" s="548"/>
      <c r="B243" s="548"/>
      <c r="C243" s="548"/>
      <c r="D243" s="548"/>
      <c r="E243" s="548"/>
      <c r="F243" s="549"/>
      <c r="G243" s="548"/>
      <c r="H243" s="548"/>
      <c r="I243" s="548"/>
      <c r="J243" s="548"/>
      <c r="K243" s="548"/>
      <c r="L243" s="548"/>
      <c r="M243" s="548"/>
      <c r="N243" s="548"/>
      <c r="O243" s="548"/>
      <c r="P243" s="548"/>
      <c r="Q243" s="548"/>
      <c r="R243" s="548"/>
      <c r="S243" s="548"/>
      <c r="T243" s="548"/>
      <c r="U243" s="548"/>
      <c r="V243" s="548"/>
      <c r="W243" s="548"/>
      <c r="X243" s="548"/>
      <c r="Y243" s="548"/>
      <c r="Z243" s="548"/>
    </row>
    <row r="244" ht="15.75" customHeight="1">
      <c r="A244" s="548"/>
      <c r="B244" s="548"/>
      <c r="C244" s="548"/>
      <c r="D244" s="548"/>
      <c r="E244" s="548"/>
      <c r="F244" s="549"/>
      <c r="G244" s="548"/>
      <c r="H244" s="548"/>
      <c r="I244" s="548"/>
      <c r="J244" s="548"/>
      <c r="K244" s="548"/>
      <c r="L244" s="548"/>
      <c r="M244" s="548"/>
      <c r="N244" s="548"/>
      <c r="O244" s="548"/>
      <c r="P244" s="548"/>
      <c r="Q244" s="548"/>
      <c r="R244" s="548"/>
      <c r="S244" s="548"/>
      <c r="T244" s="548"/>
      <c r="U244" s="548"/>
      <c r="V244" s="548"/>
      <c r="W244" s="548"/>
      <c r="X244" s="548"/>
      <c r="Y244" s="548"/>
      <c r="Z244" s="548"/>
    </row>
    <row r="245" ht="15.75" customHeight="1">
      <c r="A245" s="548"/>
      <c r="B245" s="548"/>
      <c r="C245" s="548"/>
      <c r="D245" s="548"/>
      <c r="E245" s="548"/>
      <c r="F245" s="549"/>
      <c r="G245" s="548"/>
      <c r="H245" s="548"/>
      <c r="I245" s="548"/>
      <c r="J245" s="548"/>
      <c r="K245" s="548"/>
      <c r="L245" s="548"/>
      <c r="M245" s="548"/>
      <c r="N245" s="548"/>
      <c r="O245" s="548"/>
      <c r="P245" s="548"/>
      <c r="Q245" s="548"/>
      <c r="R245" s="548"/>
      <c r="S245" s="548"/>
      <c r="T245" s="548"/>
      <c r="U245" s="548"/>
      <c r="V245" s="548"/>
      <c r="W245" s="548"/>
      <c r="X245" s="548"/>
      <c r="Y245" s="548"/>
      <c r="Z245" s="548"/>
    </row>
    <row r="246" ht="15.75" customHeight="1">
      <c r="A246" s="548"/>
      <c r="B246" s="548"/>
      <c r="C246" s="548"/>
      <c r="D246" s="548"/>
      <c r="E246" s="548"/>
      <c r="F246" s="549"/>
      <c r="G246" s="548"/>
      <c r="H246" s="548"/>
      <c r="I246" s="548"/>
      <c r="J246" s="548"/>
      <c r="K246" s="548"/>
      <c r="L246" s="548"/>
      <c r="M246" s="548"/>
      <c r="N246" s="548"/>
      <c r="O246" s="548"/>
      <c r="P246" s="548"/>
      <c r="Q246" s="548"/>
      <c r="R246" s="548"/>
      <c r="S246" s="548"/>
      <c r="T246" s="548"/>
      <c r="U246" s="548"/>
      <c r="V246" s="548"/>
      <c r="W246" s="548"/>
      <c r="X246" s="548"/>
      <c r="Y246" s="548"/>
      <c r="Z246" s="548"/>
    </row>
    <row r="247" ht="15.75" customHeight="1">
      <c r="A247" s="548"/>
      <c r="B247" s="548"/>
      <c r="C247" s="548"/>
      <c r="D247" s="548"/>
      <c r="E247" s="548"/>
      <c r="F247" s="549"/>
      <c r="G247" s="548"/>
      <c r="H247" s="548"/>
      <c r="I247" s="548"/>
      <c r="J247" s="548"/>
      <c r="K247" s="548"/>
      <c r="L247" s="548"/>
      <c r="M247" s="548"/>
      <c r="N247" s="548"/>
      <c r="O247" s="548"/>
      <c r="P247" s="548"/>
      <c r="Q247" s="548"/>
      <c r="R247" s="548"/>
      <c r="S247" s="548"/>
      <c r="T247" s="548"/>
      <c r="U247" s="548"/>
      <c r="V247" s="548"/>
      <c r="W247" s="548"/>
      <c r="X247" s="548"/>
      <c r="Y247" s="548"/>
      <c r="Z247" s="548"/>
    </row>
    <row r="248" ht="15.75" customHeight="1">
      <c r="A248" s="548"/>
      <c r="B248" s="548"/>
      <c r="C248" s="548"/>
      <c r="D248" s="548"/>
      <c r="E248" s="548"/>
      <c r="F248" s="549"/>
      <c r="G248" s="548"/>
      <c r="H248" s="548"/>
      <c r="I248" s="548"/>
      <c r="J248" s="548"/>
      <c r="K248" s="548"/>
      <c r="L248" s="548"/>
      <c r="M248" s="548"/>
      <c r="N248" s="548"/>
      <c r="O248" s="548"/>
      <c r="P248" s="548"/>
      <c r="Q248" s="548"/>
      <c r="R248" s="548"/>
      <c r="S248" s="548"/>
      <c r="T248" s="548"/>
      <c r="U248" s="548"/>
      <c r="V248" s="548"/>
      <c r="W248" s="548"/>
      <c r="X248" s="548"/>
      <c r="Y248" s="548"/>
      <c r="Z248" s="548"/>
    </row>
    <row r="249" ht="15.75" customHeight="1">
      <c r="A249" s="548"/>
      <c r="B249" s="548"/>
      <c r="C249" s="548"/>
      <c r="D249" s="548"/>
      <c r="E249" s="548"/>
      <c r="F249" s="549"/>
      <c r="G249" s="548"/>
      <c r="H249" s="548"/>
      <c r="I249" s="548"/>
      <c r="J249" s="548"/>
      <c r="K249" s="548"/>
      <c r="L249" s="548"/>
      <c r="M249" s="548"/>
      <c r="N249" s="548"/>
      <c r="O249" s="548"/>
      <c r="P249" s="548"/>
      <c r="Q249" s="548"/>
      <c r="R249" s="548"/>
      <c r="S249" s="548"/>
      <c r="T249" s="548"/>
      <c r="U249" s="548"/>
      <c r="V249" s="548"/>
      <c r="W249" s="548"/>
      <c r="X249" s="548"/>
      <c r="Y249" s="548"/>
      <c r="Z249" s="548"/>
    </row>
    <row r="250" ht="15.75" customHeight="1">
      <c r="A250" s="548"/>
      <c r="B250" s="548"/>
      <c r="C250" s="548"/>
      <c r="D250" s="548"/>
      <c r="E250" s="548"/>
      <c r="F250" s="549"/>
      <c r="G250" s="548"/>
      <c r="H250" s="548"/>
      <c r="I250" s="548"/>
      <c r="J250" s="548"/>
      <c r="K250" s="548"/>
      <c r="L250" s="548"/>
      <c r="M250" s="548"/>
      <c r="N250" s="548"/>
      <c r="O250" s="548"/>
      <c r="P250" s="548"/>
      <c r="Q250" s="548"/>
      <c r="R250" s="548"/>
      <c r="S250" s="548"/>
      <c r="T250" s="548"/>
      <c r="U250" s="548"/>
      <c r="V250" s="548"/>
      <c r="W250" s="548"/>
      <c r="X250" s="548"/>
      <c r="Y250" s="548"/>
      <c r="Z250" s="548"/>
    </row>
    <row r="251" ht="15.75" customHeight="1">
      <c r="A251" s="548"/>
      <c r="B251" s="548"/>
      <c r="C251" s="548"/>
      <c r="D251" s="548"/>
      <c r="E251" s="548"/>
      <c r="F251" s="549"/>
      <c r="G251" s="548"/>
      <c r="H251" s="548"/>
      <c r="I251" s="548"/>
      <c r="J251" s="548"/>
      <c r="K251" s="548"/>
      <c r="L251" s="548"/>
      <c r="M251" s="548"/>
      <c r="N251" s="548"/>
      <c r="O251" s="548"/>
      <c r="P251" s="548"/>
      <c r="Q251" s="548"/>
      <c r="R251" s="548"/>
      <c r="S251" s="548"/>
      <c r="T251" s="548"/>
      <c r="U251" s="548"/>
      <c r="V251" s="548"/>
      <c r="W251" s="548"/>
      <c r="X251" s="548"/>
      <c r="Y251" s="548"/>
      <c r="Z251" s="548"/>
    </row>
    <row r="252" ht="15.75" customHeight="1">
      <c r="A252" s="548"/>
      <c r="B252" s="548"/>
      <c r="C252" s="548"/>
      <c r="D252" s="548"/>
      <c r="E252" s="548"/>
      <c r="F252" s="549"/>
      <c r="G252" s="548"/>
      <c r="H252" s="548"/>
      <c r="I252" s="548"/>
      <c r="J252" s="548"/>
      <c r="K252" s="548"/>
      <c r="L252" s="548"/>
      <c r="M252" s="548"/>
      <c r="N252" s="548"/>
      <c r="O252" s="548"/>
      <c r="P252" s="548"/>
      <c r="Q252" s="548"/>
      <c r="R252" s="548"/>
      <c r="S252" s="548"/>
      <c r="T252" s="548"/>
      <c r="U252" s="548"/>
      <c r="V252" s="548"/>
      <c r="W252" s="548"/>
      <c r="X252" s="548"/>
      <c r="Y252" s="548"/>
      <c r="Z252" s="548"/>
    </row>
    <row r="253" ht="15.75" customHeight="1">
      <c r="A253" s="548"/>
      <c r="B253" s="548"/>
      <c r="C253" s="548"/>
      <c r="D253" s="548"/>
      <c r="E253" s="548"/>
      <c r="F253" s="549"/>
      <c r="G253" s="548"/>
      <c r="H253" s="548"/>
      <c r="I253" s="548"/>
      <c r="J253" s="548"/>
      <c r="K253" s="548"/>
      <c r="L253" s="548"/>
      <c r="M253" s="548"/>
      <c r="N253" s="548"/>
      <c r="O253" s="548"/>
      <c r="P253" s="548"/>
      <c r="Q253" s="548"/>
      <c r="R253" s="548"/>
      <c r="S253" s="548"/>
      <c r="T253" s="548"/>
      <c r="U253" s="548"/>
      <c r="V253" s="548"/>
      <c r="W253" s="548"/>
      <c r="X253" s="548"/>
      <c r="Y253" s="548"/>
      <c r="Z253" s="548"/>
    </row>
    <row r="254" ht="15.75" customHeight="1">
      <c r="A254" s="548"/>
      <c r="B254" s="548"/>
      <c r="C254" s="548"/>
      <c r="D254" s="548"/>
      <c r="E254" s="548"/>
      <c r="F254" s="549"/>
      <c r="G254" s="548"/>
      <c r="H254" s="548"/>
      <c r="I254" s="548"/>
      <c r="J254" s="548"/>
      <c r="K254" s="548"/>
      <c r="L254" s="548"/>
      <c r="M254" s="548"/>
      <c r="N254" s="548"/>
      <c r="O254" s="548"/>
      <c r="P254" s="548"/>
      <c r="Q254" s="548"/>
      <c r="R254" s="548"/>
      <c r="S254" s="548"/>
      <c r="T254" s="548"/>
      <c r="U254" s="548"/>
      <c r="V254" s="548"/>
      <c r="W254" s="548"/>
      <c r="X254" s="548"/>
      <c r="Y254" s="548"/>
      <c r="Z254" s="548"/>
    </row>
    <row r="255" ht="15.75" customHeight="1">
      <c r="A255" s="548"/>
      <c r="B255" s="548"/>
      <c r="C255" s="548"/>
      <c r="D255" s="548"/>
      <c r="E255" s="548"/>
      <c r="F255" s="549"/>
      <c r="G255" s="548"/>
      <c r="H255" s="548"/>
      <c r="I255" s="548"/>
      <c r="J255" s="548"/>
      <c r="K255" s="548"/>
      <c r="L255" s="548"/>
      <c r="M255" s="548"/>
      <c r="N255" s="548"/>
      <c r="O255" s="548"/>
      <c r="P255" s="548"/>
      <c r="Q255" s="548"/>
      <c r="R255" s="548"/>
      <c r="S255" s="548"/>
      <c r="T255" s="548"/>
      <c r="U255" s="548"/>
      <c r="V255" s="548"/>
      <c r="W255" s="548"/>
      <c r="X255" s="548"/>
      <c r="Y255" s="548"/>
      <c r="Z255" s="548"/>
    </row>
    <row r="256" ht="15.75" customHeight="1">
      <c r="A256" s="548"/>
      <c r="B256" s="548"/>
      <c r="C256" s="548"/>
      <c r="D256" s="548"/>
      <c r="E256" s="548"/>
      <c r="F256" s="549"/>
      <c r="G256" s="548"/>
      <c r="H256" s="548"/>
      <c r="I256" s="548"/>
      <c r="J256" s="548"/>
      <c r="K256" s="548"/>
      <c r="L256" s="548"/>
      <c r="M256" s="548"/>
      <c r="N256" s="548"/>
      <c r="O256" s="548"/>
      <c r="P256" s="548"/>
      <c r="Q256" s="548"/>
      <c r="R256" s="548"/>
      <c r="S256" s="548"/>
      <c r="T256" s="548"/>
      <c r="U256" s="548"/>
      <c r="V256" s="548"/>
      <c r="W256" s="548"/>
      <c r="X256" s="548"/>
      <c r="Y256" s="548"/>
      <c r="Z256" s="548"/>
    </row>
    <row r="257" ht="15.75" customHeight="1">
      <c r="A257" s="548"/>
      <c r="B257" s="548"/>
      <c r="C257" s="548"/>
      <c r="D257" s="548"/>
      <c r="E257" s="548"/>
      <c r="F257" s="549"/>
      <c r="G257" s="548"/>
      <c r="H257" s="548"/>
      <c r="I257" s="548"/>
      <c r="J257" s="548"/>
      <c r="K257" s="548"/>
      <c r="L257" s="548"/>
      <c r="M257" s="548"/>
      <c r="N257" s="548"/>
      <c r="O257" s="548"/>
      <c r="P257" s="548"/>
      <c r="Q257" s="548"/>
      <c r="R257" s="548"/>
      <c r="S257" s="548"/>
      <c r="T257" s="548"/>
      <c r="U257" s="548"/>
      <c r="V257" s="548"/>
      <c r="W257" s="548"/>
      <c r="X257" s="548"/>
      <c r="Y257" s="548"/>
      <c r="Z257" s="548"/>
    </row>
    <row r="258" ht="15.75" customHeight="1">
      <c r="A258" s="548"/>
      <c r="B258" s="548"/>
      <c r="C258" s="548"/>
      <c r="D258" s="548"/>
      <c r="E258" s="548"/>
      <c r="F258" s="549"/>
      <c r="G258" s="548"/>
      <c r="H258" s="548"/>
      <c r="I258" s="548"/>
      <c r="J258" s="548"/>
      <c r="K258" s="548"/>
      <c r="L258" s="548"/>
      <c r="M258" s="548"/>
      <c r="N258" s="548"/>
      <c r="O258" s="548"/>
      <c r="P258" s="548"/>
      <c r="Q258" s="548"/>
      <c r="R258" s="548"/>
      <c r="S258" s="548"/>
      <c r="T258" s="548"/>
      <c r="U258" s="548"/>
      <c r="V258" s="548"/>
      <c r="W258" s="548"/>
      <c r="X258" s="548"/>
      <c r="Y258" s="548"/>
      <c r="Z258" s="548"/>
    </row>
    <row r="259" ht="15.75" customHeight="1">
      <c r="A259" s="548"/>
      <c r="B259" s="548"/>
      <c r="C259" s="548"/>
      <c r="D259" s="548"/>
      <c r="E259" s="548"/>
      <c r="F259" s="549"/>
      <c r="G259" s="548"/>
      <c r="H259" s="548"/>
      <c r="I259" s="548"/>
      <c r="J259" s="548"/>
      <c r="K259" s="548"/>
      <c r="L259" s="548"/>
      <c r="M259" s="548"/>
      <c r="N259" s="548"/>
      <c r="O259" s="548"/>
      <c r="P259" s="548"/>
      <c r="Q259" s="548"/>
      <c r="R259" s="548"/>
      <c r="S259" s="548"/>
      <c r="T259" s="548"/>
      <c r="U259" s="548"/>
      <c r="V259" s="548"/>
      <c r="W259" s="548"/>
      <c r="X259" s="548"/>
      <c r="Y259" s="548"/>
      <c r="Z259" s="548"/>
    </row>
    <row r="260" ht="15.75" customHeight="1">
      <c r="A260" s="548"/>
      <c r="B260" s="548"/>
      <c r="C260" s="548"/>
      <c r="D260" s="548"/>
      <c r="E260" s="548"/>
      <c r="F260" s="549"/>
      <c r="G260" s="548"/>
      <c r="H260" s="548"/>
      <c r="I260" s="548"/>
      <c r="J260" s="548"/>
      <c r="K260" s="548"/>
      <c r="L260" s="548"/>
      <c r="M260" s="548"/>
      <c r="N260" s="548"/>
      <c r="O260" s="548"/>
      <c r="P260" s="548"/>
      <c r="Q260" s="548"/>
      <c r="R260" s="548"/>
      <c r="S260" s="548"/>
      <c r="T260" s="548"/>
      <c r="U260" s="548"/>
      <c r="V260" s="548"/>
      <c r="W260" s="548"/>
      <c r="X260" s="548"/>
      <c r="Y260" s="548"/>
      <c r="Z260" s="548"/>
    </row>
    <row r="261" ht="15.75" customHeight="1">
      <c r="A261" s="548"/>
      <c r="B261" s="548"/>
      <c r="C261" s="548"/>
      <c r="D261" s="548"/>
      <c r="E261" s="548"/>
      <c r="F261" s="549"/>
      <c r="G261" s="548"/>
      <c r="H261" s="548"/>
      <c r="I261" s="548"/>
      <c r="J261" s="548"/>
      <c r="K261" s="548"/>
      <c r="L261" s="548"/>
      <c r="M261" s="548"/>
      <c r="N261" s="548"/>
      <c r="O261" s="548"/>
      <c r="P261" s="548"/>
      <c r="Q261" s="548"/>
      <c r="R261" s="548"/>
      <c r="S261" s="548"/>
      <c r="T261" s="548"/>
      <c r="U261" s="548"/>
      <c r="V261" s="548"/>
      <c r="W261" s="548"/>
      <c r="X261" s="548"/>
      <c r="Y261" s="548"/>
      <c r="Z261" s="548"/>
    </row>
    <row r="262" ht="15.75" customHeight="1">
      <c r="A262" s="548"/>
      <c r="B262" s="548"/>
      <c r="C262" s="548"/>
      <c r="D262" s="548"/>
      <c r="E262" s="548"/>
      <c r="F262" s="549"/>
      <c r="G262" s="548"/>
      <c r="H262" s="548"/>
      <c r="I262" s="548"/>
      <c r="J262" s="548"/>
      <c r="K262" s="548"/>
      <c r="L262" s="548"/>
      <c r="M262" s="548"/>
      <c r="N262" s="548"/>
      <c r="O262" s="548"/>
      <c r="P262" s="548"/>
      <c r="Q262" s="548"/>
      <c r="R262" s="548"/>
      <c r="S262" s="548"/>
      <c r="T262" s="548"/>
      <c r="U262" s="548"/>
      <c r="V262" s="548"/>
      <c r="W262" s="548"/>
      <c r="X262" s="548"/>
      <c r="Y262" s="548"/>
      <c r="Z262" s="548"/>
    </row>
    <row r="263" ht="15.75" customHeight="1">
      <c r="A263" s="548"/>
      <c r="B263" s="548"/>
      <c r="C263" s="548"/>
      <c r="D263" s="548"/>
      <c r="E263" s="548"/>
      <c r="F263" s="549"/>
      <c r="G263" s="548"/>
      <c r="H263" s="548"/>
      <c r="I263" s="548"/>
      <c r="J263" s="548"/>
      <c r="K263" s="548"/>
      <c r="L263" s="548"/>
      <c r="M263" s="548"/>
      <c r="N263" s="548"/>
      <c r="O263" s="548"/>
      <c r="P263" s="548"/>
      <c r="Q263" s="548"/>
      <c r="R263" s="548"/>
      <c r="S263" s="548"/>
      <c r="T263" s="548"/>
      <c r="U263" s="548"/>
      <c r="V263" s="548"/>
      <c r="W263" s="548"/>
      <c r="X263" s="548"/>
      <c r="Y263" s="548"/>
      <c r="Z263" s="548"/>
    </row>
    <row r="264" ht="15.75" customHeight="1">
      <c r="A264" s="548"/>
      <c r="B264" s="548"/>
      <c r="C264" s="548"/>
      <c r="D264" s="548"/>
      <c r="E264" s="548"/>
      <c r="F264" s="549"/>
      <c r="G264" s="548"/>
      <c r="H264" s="548"/>
      <c r="I264" s="548"/>
      <c r="J264" s="548"/>
      <c r="K264" s="548"/>
      <c r="L264" s="548"/>
      <c r="M264" s="548"/>
      <c r="N264" s="548"/>
      <c r="O264" s="548"/>
      <c r="P264" s="548"/>
      <c r="Q264" s="548"/>
      <c r="R264" s="548"/>
      <c r="S264" s="548"/>
      <c r="T264" s="548"/>
      <c r="U264" s="548"/>
      <c r="V264" s="548"/>
      <c r="W264" s="548"/>
      <c r="X264" s="548"/>
      <c r="Y264" s="548"/>
      <c r="Z264" s="548"/>
    </row>
    <row r="265" ht="15.75" customHeight="1">
      <c r="A265" s="548"/>
      <c r="B265" s="548"/>
      <c r="C265" s="548"/>
      <c r="D265" s="548"/>
      <c r="E265" s="548"/>
      <c r="F265" s="549"/>
      <c r="G265" s="548"/>
      <c r="H265" s="548"/>
      <c r="I265" s="548"/>
      <c r="J265" s="548"/>
      <c r="K265" s="548"/>
      <c r="L265" s="548"/>
      <c r="M265" s="548"/>
      <c r="N265" s="548"/>
      <c r="O265" s="548"/>
      <c r="P265" s="548"/>
      <c r="Q265" s="548"/>
      <c r="R265" s="548"/>
      <c r="S265" s="548"/>
      <c r="T265" s="548"/>
      <c r="U265" s="548"/>
      <c r="V265" s="548"/>
      <c r="W265" s="548"/>
      <c r="X265" s="548"/>
      <c r="Y265" s="548"/>
      <c r="Z265" s="548"/>
    </row>
    <row r="266" ht="15.75" customHeight="1">
      <c r="A266" s="548"/>
      <c r="B266" s="548"/>
      <c r="C266" s="548"/>
      <c r="D266" s="548"/>
      <c r="E266" s="548"/>
      <c r="F266" s="549"/>
      <c r="G266" s="548"/>
      <c r="H266" s="548"/>
      <c r="I266" s="548"/>
      <c r="J266" s="548"/>
      <c r="K266" s="548"/>
      <c r="L266" s="548"/>
      <c r="M266" s="548"/>
      <c r="N266" s="548"/>
      <c r="O266" s="548"/>
      <c r="P266" s="548"/>
      <c r="Q266" s="548"/>
      <c r="R266" s="548"/>
      <c r="S266" s="548"/>
      <c r="T266" s="548"/>
      <c r="U266" s="548"/>
      <c r="V266" s="548"/>
      <c r="W266" s="548"/>
      <c r="X266" s="548"/>
      <c r="Y266" s="548"/>
      <c r="Z266" s="548"/>
    </row>
    <row r="267" ht="15.75" customHeight="1">
      <c r="A267" s="548"/>
      <c r="B267" s="548"/>
      <c r="C267" s="548"/>
      <c r="D267" s="548"/>
      <c r="E267" s="548"/>
      <c r="F267" s="549"/>
      <c r="G267" s="548"/>
      <c r="H267" s="548"/>
      <c r="I267" s="548"/>
      <c r="J267" s="548"/>
      <c r="K267" s="548"/>
      <c r="L267" s="548"/>
      <c r="M267" s="548"/>
      <c r="N267" s="548"/>
      <c r="O267" s="548"/>
      <c r="P267" s="548"/>
      <c r="Q267" s="548"/>
      <c r="R267" s="548"/>
      <c r="S267" s="548"/>
      <c r="T267" s="548"/>
      <c r="U267" s="548"/>
      <c r="V267" s="548"/>
      <c r="W267" s="548"/>
      <c r="X267" s="548"/>
      <c r="Y267" s="548"/>
      <c r="Z267" s="548"/>
    </row>
    <row r="268" ht="15.75" customHeight="1">
      <c r="A268" s="548"/>
      <c r="B268" s="548"/>
      <c r="C268" s="548"/>
      <c r="D268" s="548"/>
      <c r="E268" s="548"/>
      <c r="F268" s="549"/>
      <c r="G268" s="548"/>
      <c r="H268" s="548"/>
      <c r="I268" s="548"/>
      <c r="J268" s="548"/>
      <c r="K268" s="548"/>
      <c r="L268" s="548"/>
      <c r="M268" s="548"/>
      <c r="N268" s="548"/>
      <c r="O268" s="548"/>
      <c r="P268" s="548"/>
      <c r="Q268" s="548"/>
      <c r="R268" s="548"/>
      <c r="S268" s="548"/>
      <c r="T268" s="548"/>
      <c r="U268" s="548"/>
      <c r="V268" s="548"/>
      <c r="W268" s="548"/>
      <c r="X268" s="548"/>
      <c r="Y268" s="548"/>
      <c r="Z268" s="548"/>
    </row>
    <row r="269" ht="15.75" customHeight="1">
      <c r="A269" s="548"/>
      <c r="B269" s="548"/>
      <c r="C269" s="548"/>
      <c r="D269" s="548"/>
      <c r="E269" s="548"/>
      <c r="F269" s="549"/>
      <c r="G269" s="548"/>
      <c r="H269" s="548"/>
      <c r="I269" s="548"/>
      <c r="J269" s="548"/>
      <c r="K269" s="548"/>
      <c r="L269" s="548"/>
      <c r="M269" s="548"/>
      <c r="N269" s="548"/>
      <c r="O269" s="548"/>
      <c r="P269" s="548"/>
      <c r="Q269" s="548"/>
      <c r="R269" s="548"/>
      <c r="S269" s="548"/>
      <c r="T269" s="548"/>
      <c r="U269" s="548"/>
      <c r="V269" s="548"/>
      <c r="W269" s="548"/>
      <c r="X269" s="548"/>
      <c r="Y269" s="548"/>
      <c r="Z269" s="548"/>
    </row>
    <row r="270" ht="15.75" customHeight="1">
      <c r="A270" s="548"/>
      <c r="B270" s="548"/>
      <c r="C270" s="548"/>
      <c r="D270" s="548"/>
      <c r="E270" s="548"/>
      <c r="F270" s="549"/>
      <c r="G270" s="548"/>
      <c r="H270" s="548"/>
      <c r="I270" s="548"/>
      <c r="J270" s="548"/>
      <c r="K270" s="548"/>
      <c r="L270" s="548"/>
      <c r="M270" s="548"/>
      <c r="N270" s="548"/>
      <c r="O270" s="548"/>
      <c r="P270" s="548"/>
      <c r="Q270" s="548"/>
      <c r="R270" s="548"/>
      <c r="S270" s="548"/>
      <c r="T270" s="548"/>
      <c r="U270" s="548"/>
      <c r="V270" s="548"/>
      <c r="W270" s="548"/>
      <c r="X270" s="548"/>
      <c r="Y270" s="548"/>
      <c r="Z270" s="548"/>
    </row>
    <row r="271" ht="15.75" customHeight="1">
      <c r="A271" s="548"/>
      <c r="B271" s="548"/>
      <c r="C271" s="548"/>
      <c r="D271" s="548"/>
      <c r="E271" s="548"/>
      <c r="F271" s="549"/>
      <c r="G271" s="548"/>
      <c r="H271" s="548"/>
      <c r="I271" s="548"/>
      <c r="J271" s="548"/>
      <c r="K271" s="548"/>
      <c r="L271" s="548"/>
      <c r="M271" s="548"/>
      <c r="N271" s="548"/>
      <c r="O271" s="548"/>
      <c r="P271" s="548"/>
      <c r="Q271" s="548"/>
      <c r="R271" s="548"/>
      <c r="S271" s="548"/>
      <c r="T271" s="548"/>
      <c r="U271" s="548"/>
      <c r="V271" s="548"/>
      <c r="W271" s="548"/>
      <c r="X271" s="548"/>
      <c r="Y271" s="548"/>
      <c r="Z271" s="548"/>
    </row>
    <row r="272" ht="15.75" customHeight="1">
      <c r="A272" s="548"/>
      <c r="B272" s="548"/>
      <c r="C272" s="548"/>
      <c r="D272" s="548"/>
      <c r="E272" s="548"/>
      <c r="F272" s="549"/>
      <c r="G272" s="548"/>
      <c r="H272" s="548"/>
      <c r="I272" s="548"/>
      <c r="J272" s="548"/>
      <c r="K272" s="548"/>
      <c r="L272" s="548"/>
      <c r="M272" s="548"/>
      <c r="N272" s="548"/>
      <c r="O272" s="548"/>
      <c r="P272" s="548"/>
      <c r="Q272" s="548"/>
      <c r="R272" s="548"/>
      <c r="S272" s="548"/>
      <c r="T272" s="548"/>
      <c r="U272" s="548"/>
      <c r="V272" s="548"/>
      <c r="W272" s="548"/>
      <c r="X272" s="548"/>
      <c r="Y272" s="548"/>
      <c r="Z272" s="548"/>
    </row>
    <row r="273" ht="15.75" customHeight="1">
      <c r="A273" s="548"/>
      <c r="B273" s="548"/>
      <c r="C273" s="548"/>
      <c r="D273" s="548"/>
      <c r="E273" s="548"/>
      <c r="F273" s="549"/>
      <c r="G273" s="548"/>
      <c r="H273" s="548"/>
      <c r="I273" s="548"/>
      <c r="J273" s="548"/>
      <c r="K273" s="548"/>
      <c r="L273" s="548"/>
      <c r="M273" s="548"/>
      <c r="N273" s="548"/>
      <c r="O273" s="548"/>
      <c r="P273" s="548"/>
      <c r="Q273" s="548"/>
      <c r="R273" s="548"/>
      <c r="S273" s="548"/>
      <c r="T273" s="548"/>
      <c r="U273" s="548"/>
      <c r="V273" s="548"/>
      <c r="W273" s="548"/>
      <c r="X273" s="548"/>
      <c r="Y273" s="548"/>
      <c r="Z273" s="548"/>
    </row>
    <row r="274" ht="15.75" customHeight="1">
      <c r="A274" s="548"/>
      <c r="B274" s="548"/>
      <c r="C274" s="548"/>
      <c r="D274" s="548"/>
      <c r="E274" s="548"/>
      <c r="F274" s="549"/>
      <c r="G274" s="548"/>
      <c r="H274" s="548"/>
      <c r="I274" s="548"/>
      <c r="J274" s="548"/>
      <c r="K274" s="548"/>
      <c r="L274" s="548"/>
      <c r="M274" s="548"/>
      <c r="N274" s="548"/>
      <c r="O274" s="548"/>
      <c r="P274" s="548"/>
      <c r="Q274" s="548"/>
      <c r="R274" s="548"/>
      <c r="S274" s="548"/>
      <c r="T274" s="548"/>
      <c r="U274" s="548"/>
      <c r="V274" s="548"/>
      <c r="W274" s="548"/>
      <c r="X274" s="548"/>
      <c r="Y274" s="548"/>
      <c r="Z274" s="548"/>
    </row>
    <row r="275" ht="15.75" customHeight="1">
      <c r="A275" s="548"/>
      <c r="B275" s="548"/>
      <c r="C275" s="548"/>
      <c r="D275" s="548"/>
      <c r="E275" s="548"/>
      <c r="F275" s="549"/>
      <c r="G275" s="548"/>
      <c r="H275" s="548"/>
      <c r="I275" s="548"/>
      <c r="J275" s="548"/>
      <c r="K275" s="548"/>
      <c r="L275" s="548"/>
      <c r="M275" s="548"/>
      <c r="N275" s="548"/>
      <c r="O275" s="548"/>
      <c r="P275" s="548"/>
      <c r="Q275" s="548"/>
      <c r="R275" s="548"/>
      <c r="S275" s="548"/>
      <c r="T275" s="548"/>
      <c r="U275" s="548"/>
      <c r="V275" s="548"/>
      <c r="W275" s="548"/>
      <c r="X275" s="548"/>
      <c r="Y275" s="548"/>
      <c r="Z275" s="548"/>
    </row>
    <row r="276" ht="15.75" customHeight="1">
      <c r="A276" s="548"/>
      <c r="B276" s="548"/>
      <c r="C276" s="548"/>
      <c r="D276" s="548"/>
      <c r="E276" s="548"/>
      <c r="F276" s="549"/>
      <c r="G276" s="548"/>
      <c r="H276" s="548"/>
      <c r="I276" s="548"/>
      <c r="J276" s="548"/>
      <c r="K276" s="548"/>
      <c r="L276" s="548"/>
      <c r="M276" s="548"/>
      <c r="N276" s="548"/>
      <c r="O276" s="548"/>
      <c r="P276" s="548"/>
      <c r="Q276" s="548"/>
      <c r="R276" s="548"/>
      <c r="S276" s="548"/>
      <c r="T276" s="548"/>
      <c r="U276" s="548"/>
      <c r="V276" s="548"/>
      <c r="W276" s="548"/>
      <c r="X276" s="548"/>
      <c r="Y276" s="548"/>
      <c r="Z276" s="548"/>
    </row>
    <row r="277" ht="15.75" customHeight="1">
      <c r="A277" s="548"/>
      <c r="B277" s="548"/>
      <c r="C277" s="548"/>
      <c r="D277" s="548"/>
      <c r="E277" s="548"/>
      <c r="F277" s="549"/>
      <c r="G277" s="548"/>
      <c r="H277" s="548"/>
      <c r="I277" s="548"/>
      <c r="J277" s="548"/>
      <c r="K277" s="548"/>
      <c r="L277" s="548"/>
      <c r="M277" s="548"/>
      <c r="N277" s="548"/>
      <c r="O277" s="548"/>
      <c r="P277" s="548"/>
      <c r="Q277" s="548"/>
      <c r="R277" s="548"/>
      <c r="S277" s="548"/>
      <c r="T277" s="548"/>
      <c r="U277" s="548"/>
      <c r="V277" s="548"/>
      <c r="W277" s="548"/>
      <c r="X277" s="548"/>
      <c r="Y277" s="548"/>
      <c r="Z277" s="548"/>
    </row>
    <row r="278" ht="15.75" customHeight="1">
      <c r="A278" s="548"/>
      <c r="B278" s="548"/>
      <c r="C278" s="548"/>
      <c r="D278" s="548"/>
      <c r="E278" s="548"/>
      <c r="F278" s="549"/>
      <c r="G278" s="548"/>
      <c r="H278" s="548"/>
      <c r="I278" s="548"/>
      <c r="J278" s="548"/>
      <c r="K278" s="548"/>
      <c r="L278" s="548"/>
      <c r="M278" s="548"/>
      <c r="N278" s="548"/>
      <c r="O278" s="548"/>
      <c r="P278" s="548"/>
      <c r="Q278" s="548"/>
      <c r="R278" s="548"/>
      <c r="S278" s="548"/>
      <c r="T278" s="548"/>
      <c r="U278" s="548"/>
      <c r="V278" s="548"/>
      <c r="W278" s="548"/>
      <c r="X278" s="548"/>
      <c r="Y278" s="548"/>
      <c r="Z278" s="548"/>
    </row>
    <row r="279" ht="15.75" customHeight="1">
      <c r="A279" s="548"/>
      <c r="B279" s="548"/>
      <c r="C279" s="548"/>
      <c r="D279" s="548"/>
      <c r="E279" s="548"/>
      <c r="F279" s="549"/>
      <c r="G279" s="548"/>
      <c r="H279" s="548"/>
      <c r="I279" s="548"/>
      <c r="J279" s="548"/>
      <c r="K279" s="548"/>
      <c r="L279" s="548"/>
      <c r="M279" s="548"/>
      <c r="N279" s="548"/>
      <c r="O279" s="548"/>
      <c r="P279" s="548"/>
      <c r="Q279" s="548"/>
      <c r="R279" s="548"/>
      <c r="S279" s="548"/>
      <c r="T279" s="548"/>
      <c r="U279" s="548"/>
      <c r="V279" s="548"/>
      <c r="W279" s="548"/>
      <c r="X279" s="548"/>
      <c r="Y279" s="548"/>
      <c r="Z279" s="548"/>
    </row>
    <row r="280" ht="15.75" customHeight="1">
      <c r="A280" s="548"/>
      <c r="B280" s="548"/>
      <c r="C280" s="548"/>
      <c r="D280" s="548"/>
      <c r="E280" s="548"/>
      <c r="F280" s="549"/>
      <c r="G280" s="548"/>
      <c r="H280" s="548"/>
      <c r="I280" s="548"/>
      <c r="J280" s="548"/>
      <c r="K280" s="548"/>
      <c r="L280" s="548"/>
      <c r="M280" s="548"/>
      <c r="N280" s="548"/>
      <c r="O280" s="548"/>
      <c r="P280" s="548"/>
      <c r="Q280" s="548"/>
      <c r="R280" s="548"/>
      <c r="S280" s="548"/>
      <c r="T280" s="548"/>
      <c r="U280" s="548"/>
      <c r="V280" s="548"/>
      <c r="W280" s="548"/>
      <c r="X280" s="548"/>
      <c r="Y280" s="548"/>
      <c r="Z280" s="548"/>
    </row>
    <row r="281" ht="15.75" customHeight="1">
      <c r="A281" s="548"/>
      <c r="B281" s="548"/>
      <c r="C281" s="548"/>
      <c r="D281" s="548"/>
      <c r="E281" s="548"/>
      <c r="F281" s="549"/>
      <c r="G281" s="548"/>
      <c r="H281" s="548"/>
      <c r="I281" s="548"/>
      <c r="J281" s="548"/>
      <c r="K281" s="548"/>
      <c r="L281" s="548"/>
      <c r="M281" s="548"/>
      <c r="N281" s="548"/>
      <c r="O281" s="548"/>
      <c r="P281" s="548"/>
      <c r="Q281" s="548"/>
      <c r="R281" s="548"/>
      <c r="S281" s="548"/>
      <c r="T281" s="548"/>
      <c r="U281" s="548"/>
      <c r="V281" s="548"/>
      <c r="W281" s="548"/>
      <c r="X281" s="548"/>
      <c r="Y281" s="548"/>
      <c r="Z281" s="548"/>
    </row>
    <row r="282" ht="15.75" customHeight="1">
      <c r="A282" s="548"/>
      <c r="B282" s="548"/>
      <c r="C282" s="548"/>
      <c r="D282" s="548"/>
      <c r="E282" s="548"/>
      <c r="F282" s="549"/>
      <c r="G282" s="548"/>
      <c r="H282" s="548"/>
      <c r="I282" s="548"/>
      <c r="J282" s="548"/>
      <c r="K282" s="548"/>
      <c r="L282" s="548"/>
      <c r="M282" s="548"/>
      <c r="N282" s="548"/>
      <c r="O282" s="548"/>
      <c r="P282" s="548"/>
      <c r="Q282" s="548"/>
      <c r="R282" s="548"/>
      <c r="S282" s="548"/>
      <c r="T282" s="548"/>
      <c r="U282" s="548"/>
      <c r="V282" s="548"/>
      <c r="W282" s="548"/>
      <c r="X282" s="548"/>
      <c r="Y282" s="548"/>
      <c r="Z282" s="548"/>
    </row>
    <row r="283" ht="15.75" customHeight="1">
      <c r="A283" s="548"/>
      <c r="B283" s="548"/>
      <c r="C283" s="548"/>
      <c r="D283" s="548"/>
      <c r="E283" s="548"/>
      <c r="F283" s="549"/>
      <c r="G283" s="548"/>
      <c r="H283" s="548"/>
      <c r="I283" s="548"/>
      <c r="J283" s="548"/>
      <c r="K283" s="548"/>
      <c r="L283" s="548"/>
      <c r="M283" s="548"/>
      <c r="N283" s="548"/>
      <c r="O283" s="548"/>
      <c r="P283" s="548"/>
      <c r="Q283" s="548"/>
      <c r="R283" s="548"/>
      <c r="S283" s="548"/>
      <c r="T283" s="548"/>
      <c r="U283" s="548"/>
      <c r="V283" s="548"/>
      <c r="W283" s="548"/>
      <c r="X283" s="548"/>
      <c r="Y283" s="548"/>
      <c r="Z283" s="548"/>
    </row>
    <row r="284" ht="15.75" customHeight="1">
      <c r="A284" s="548"/>
      <c r="B284" s="548"/>
      <c r="C284" s="548"/>
      <c r="D284" s="548"/>
      <c r="E284" s="548"/>
      <c r="F284" s="549"/>
      <c r="G284" s="548"/>
      <c r="H284" s="548"/>
      <c r="I284" s="548"/>
      <c r="J284" s="548"/>
      <c r="K284" s="548"/>
      <c r="L284" s="548"/>
      <c r="M284" s="548"/>
      <c r="N284" s="548"/>
      <c r="O284" s="548"/>
      <c r="P284" s="548"/>
      <c r="Q284" s="548"/>
      <c r="R284" s="548"/>
      <c r="S284" s="548"/>
      <c r="T284" s="548"/>
      <c r="U284" s="548"/>
      <c r="V284" s="548"/>
      <c r="W284" s="548"/>
      <c r="X284" s="548"/>
      <c r="Y284" s="548"/>
      <c r="Z284" s="548"/>
    </row>
    <row r="285" ht="15.75" customHeight="1">
      <c r="A285" s="548"/>
      <c r="B285" s="548"/>
      <c r="C285" s="548"/>
      <c r="D285" s="548"/>
      <c r="E285" s="548"/>
      <c r="F285" s="549"/>
      <c r="G285" s="548"/>
      <c r="H285" s="548"/>
      <c r="I285" s="548"/>
      <c r="J285" s="548"/>
      <c r="K285" s="548"/>
      <c r="L285" s="548"/>
      <c r="M285" s="548"/>
      <c r="N285" s="548"/>
      <c r="O285" s="548"/>
      <c r="P285" s="548"/>
      <c r="Q285" s="548"/>
      <c r="R285" s="548"/>
      <c r="S285" s="548"/>
      <c r="T285" s="548"/>
      <c r="U285" s="548"/>
      <c r="V285" s="548"/>
      <c r="W285" s="548"/>
      <c r="X285" s="548"/>
      <c r="Y285" s="548"/>
      <c r="Z285" s="548"/>
    </row>
    <row r="286" ht="15.75" customHeight="1">
      <c r="A286" s="548"/>
      <c r="B286" s="548"/>
      <c r="C286" s="548"/>
      <c r="D286" s="548"/>
      <c r="E286" s="548"/>
      <c r="F286" s="549"/>
      <c r="G286" s="548"/>
      <c r="H286" s="548"/>
      <c r="I286" s="548"/>
      <c r="J286" s="548"/>
      <c r="K286" s="548"/>
      <c r="L286" s="548"/>
      <c r="M286" s="548"/>
      <c r="N286" s="548"/>
      <c r="O286" s="548"/>
      <c r="P286" s="548"/>
      <c r="Q286" s="548"/>
      <c r="R286" s="548"/>
      <c r="S286" s="548"/>
      <c r="T286" s="548"/>
      <c r="U286" s="548"/>
      <c r="V286" s="548"/>
      <c r="W286" s="548"/>
      <c r="X286" s="548"/>
      <c r="Y286" s="548"/>
      <c r="Z286" s="548"/>
    </row>
    <row r="287" ht="15.75" customHeight="1">
      <c r="A287" s="548"/>
      <c r="B287" s="548"/>
      <c r="C287" s="548"/>
      <c r="D287" s="548"/>
      <c r="E287" s="548"/>
      <c r="F287" s="549"/>
      <c r="G287" s="548"/>
      <c r="H287" s="548"/>
      <c r="I287" s="548"/>
      <c r="J287" s="548"/>
      <c r="K287" s="548"/>
      <c r="L287" s="548"/>
      <c r="M287" s="548"/>
      <c r="N287" s="548"/>
      <c r="O287" s="548"/>
      <c r="P287" s="548"/>
      <c r="Q287" s="548"/>
      <c r="R287" s="548"/>
      <c r="S287" s="548"/>
      <c r="T287" s="548"/>
      <c r="U287" s="548"/>
      <c r="V287" s="548"/>
      <c r="W287" s="548"/>
      <c r="X287" s="548"/>
      <c r="Y287" s="548"/>
      <c r="Z287" s="548"/>
    </row>
    <row r="288" ht="15.75" customHeight="1">
      <c r="A288" s="548"/>
      <c r="B288" s="548"/>
      <c r="C288" s="548"/>
      <c r="D288" s="548"/>
      <c r="E288" s="548"/>
      <c r="F288" s="549"/>
      <c r="G288" s="548"/>
      <c r="H288" s="548"/>
      <c r="I288" s="548"/>
      <c r="J288" s="548"/>
      <c r="K288" s="548"/>
      <c r="L288" s="548"/>
      <c r="M288" s="548"/>
      <c r="N288" s="548"/>
      <c r="O288" s="548"/>
      <c r="P288" s="548"/>
      <c r="Q288" s="548"/>
      <c r="R288" s="548"/>
      <c r="S288" s="548"/>
      <c r="T288" s="548"/>
      <c r="U288" s="548"/>
      <c r="V288" s="548"/>
      <c r="W288" s="548"/>
      <c r="X288" s="548"/>
      <c r="Y288" s="548"/>
      <c r="Z288" s="548"/>
    </row>
    <row r="289" ht="15.75" customHeight="1">
      <c r="A289" s="548"/>
      <c r="B289" s="548"/>
      <c r="C289" s="548"/>
      <c r="D289" s="548"/>
      <c r="E289" s="548"/>
      <c r="F289" s="549"/>
      <c r="G289" s="548"/>
      <c r="H289" s="548"/>
      <c r="I289" s="548"/>
      <c r="J289" s="548"/>
      <c r="K289" s="548"/>
      <c r="L289" s="548"/>
      <c r="M289" s="548"/>
      <c r="N289" s="548"/>
      <c r="O289" s="548"/>
      <c r="P289" s="548"/>
      <c r="Q289" s="548"/>
      <c r="R289" s="548"/>
      <c r="S289" s="548"/>
      <c r="T289" s="548"/>
      <c r="U289" s="548"/>
      <c r="V289" s="548"/>
      <c r="W289" s="548"/>
      <c r="X289" s="548"/>
      <c r="Y289" s="548"/>
      <c r="Z289" s="548"/>
    </row>
    <row r="290" ht="15.75" customHeight="1">
      <c r="A290" s="548"/>
      <c r="B290" s="548"/>
      <c r="C290" s="548"/>
      <c r="D290" s="548"/>
      <c r="E290" s="548"/>
      <c r="F290" s="549"/>
      <c r="G290" s="548"/>
      <c r="H290" s="548"/>
      <c r="I290" s="548"/>
      <c r="J290" s="548"/>
      <c r="K290" s="548"/>
      <c r="L290" s="548"/>
      <c r="M290" s="548"/>
      <c r="N290" s="548"/>
      <c r="O290" s="548"/>
      <c r="P290" s="548"/>
      <c r="Q290" s="548"/>
      <c r="R290" s="548"/>
      <c r="S290" s="548"/>
      <c r="T290" s="548"/>
      <c r="U290" s="548"/>
      <c r="V290" s="548"/>
      <c r="W290" s="548"/>
      <c r="X290" s="548"/>
      <c r="Y290" s="548"/>
      <c r="Z290" s="548"/>
    </row>
    <row r="291" ht="15.75" customHeight="1">
      <c r="A291" s="548"/>
      <c r="B291" s="548"/>
      <c r="C291" s="548"/>
      <c r="D291" s="548"/>
      <c r="E291" s="548"/>
      <c r="F291" s="549"/>
      <c r="G291" s="548"/>
      <c r="H291" s="548"/>
      <c r="I291" s="548"/>
      <c r="J291" s="548"/>
      <c r="K291" s="548"/>
      <c r="L291" s="548"/>
      <c r="M291" s="548"/>
      <c r="N291" s="548"/>
      <c r="O291" s="548"/>
      <c r="P291" s="548"/>
      <c r="Q291" s="548"/>
      <c r="R291" s="548"/>
      <c r="S291" s="548"/>
      <c r="T291" s="548"/>
      <c r="U291" s="548"/>
      <c r="V291" s="548"/>
      <c r="W291" s="548"/>
      <c r="X291" s="548"/>
      <c r="Y291" s="548"/>
      <c r="Z291" s="548"/>
    </row>
    <row r="292" ht="15.75" customHeight="1">
      <c r="A292" s="548"/>
      <c r="B292" s="548"/>
      <c r="C292" s="548"/>
      <c r="D292" s="548"/>
      <c r="E292" s="548"/>
      <c r="F292" s="549"/>
      <c r="G292" s="548"/>
      <c r="H292" s="548"/>
      <c r="I292" s="548"/>
      <c r="J292" s="548"/>
      <c r="K292" s="548"/>
      <c r="L292" s="548"/>
      <c r="M292" s="548"/>
      <c r="N292" s="548"/>
      <c r="O292" s="548"/>
      <c r="P292" s="548"/>
      <c r="Q292" s="548"/>
      <c r="R292" s="548"/>
      <c r="S292" s="548"/>
      <c r="T292" s="548"/>
      <c r="U292" s="548"/>
      <c r="V292" s="548"/>
      <c r="W292" s="548"/>
      <c r="X292" s="548"/>
      <c r="Y292" s="548"/>
      <c r="Z292" s="548"/>
    </row>
    <row r="293" ht="15.75" customHeight="1">
      <c r="A293" s="548"/>
      <c r="B293" s="548"/>
      <c r="C293" s="548"/>
      <c r="D293" s="548"/>
      <c r="E293" s="548"/>
      <c r="F293" s="549"/>
      <c r="G293" s="548"/>
      <c r="H293" s="548"/>
      <c r="I293" s="548"/>
      <c r="J293" s="548"/>
      <c r="K293" s="548"/>
      <c r="L293" s="548"/>
      <c r="M293" s="548"/>
      <c r="N293" s="548"/>
      <c r="O293" s="548"/>
      <c r="P293" s="548"/>
      <c r="Q293" s="548"/>
      <c r="R293" s="548"/>
      <c r="S293" s="548"/>
      <c r="T293" s="548"/>
      <c r="U293" s="548"/>
      <c r="V293" s="548"/>
      <c r="W293" s="548"/>
      <c r="X293" s="548"/>
      <c r="Y293" s="548"/>
      <c r="Z293" s="548"/>
    </row>
    <row r="294" ht="15.75" customHeight="1">
      <c r="A294" s="548"/>
      <c r="B294" s="548"/>
      <c r="C294" s="548"/>
      <c r="D294" s="548"/>
      <c r="E294" s="548"/>
      <c r="F294" s="549"/>
      <c r="G294" s="548"/>
      <c r="H294" s="548"/>
      <c r="I294" s="548"/>
      <c r="J294" s="548"/>
      <c r="K294" s="548"/>
      <c r="L294" s="548"/>
      <c r="M294" s="548"/>
      <c r="N294" s="548"/>
      <c r="O294" s="548"/>
      <c r="P294" s="548"/>
      <c r="Q294" s="548"/>
      <c r="R294" s="548"/>
      <c r="S294" s="548"/>
      <c r="T294" s="548"/>
      <c r="U294" s="548"/>
      <c r="V294" s="548"/>
      <c r="W294" s="548"/>
      <c r="X294" s="548"/>
      <c r="Y294" s="548"/>
      <c r="Z294" s="548"/>
    </row>
    <row r="295" ht="15.75" customHeight="1">
      <c r="A295" s="548"/>
      <c r="B295" s="548"/>
      <c r="C295" s="548"/>
      <c r="D295" s="548"/>
      <c r="E295" s="548"/>
      <c r="F295" s="549"/>
      <c r="G295" s="548"/>
      <c r="H295" s="548"/>
      <c r="I295" s="548"/>
      <c r="J295" s="548"/>
      <c r="K295" s="548"/>
      <c r="L295" s="548"/>
      <c r="M295" s="548"/>
      <c r="N295" s="548"/>
      <c r="O295" s="548"/>
      <c r="P295" s="548"/>
      <c r="Q295" s="548"/>
      <c r="R295" s="548"/>
      <c r="S295" s="548"/>
      <c r="T295" s="548"/>
      <c r="U295" s="548"/>
      <c r="V295" s="548"/>
      <c r="W295" s="548"/>
      <c r="X295" s="548"/>
      <c r="Y295" s="548"/>
      <c r="Z295" s="548"/>
    </row>
    <row r="296" ht="15.75" customHeight="1">
      <c r="A296" s="548"/>
      <c r="B296" s="548"/>
      <c r="C296" s="548"/>
      <c r="D296" s="548"/>
      <c r="E296" s="548"/>
      <c r="F296" s="549"/>
      <c r="G296" s="548"/>
      <c r="H296" s="548"/>
      <c r="I296" s="548"/>
      <c r="J296" s="548"/>
      <c r="K296" s="548"/>
      <c r="L296" s="548"/>
      <c r="M296" s="548"/>
      <c r="N296" s="548"/>
      <c r="O296" s="548"/>
      <c r="P296" s="548"/>
      <c r="Q296" s="548"/>
      <c r="R296" s="548"/>
      <c r="S296" s="548"/>
      <c r="T296" s="548"/>
      <c r="U296" s="548"/>
      <c r="V296" s="548"/>
      <c r="W296" s="548"/>
      <c r="X296" s="548"/>
      <c r="Y296" s="548"/>
      <c r="Z296" s="548"/>
    </row>
    <row r="297" ht="15.75" customHeight="1">
      <c r="A297" s="548"/>
      <c r="B297" s="548"/>
      <c r="C297" s="548"/>
      <c r="D297" s="548"/>
      <c r="E297" s="548"/>
      <c r="F297" s="549"/>
      <c r="G297" s="548"/>
      <c r="H297" s="548"/>
      <c r="I297" s="548"/>
      <c r="J297" s="548"/>
      <c r="K297" s="548"/>
      <c r="L297" s="548"/>
      <c r="M297" s="548"/>
      <c r="N297" s="548"/>
      <c r="O297" s="548"/>
      <c r="P297" s="548"/>
      <c r="Q297" s="548"/>
      <c r="R297" s="548"/>
      <c r="S297" s="548"/>
      <c r="T297" s="548"/>
      <c r="U297" s="548"/>
      <c r="V297" s="548"/>
      <c r="W297" s="548"/>
      <c r="X297" s="548"/>
      <c r="Y297" s="548"/>
      <c r="Z297" s="548"/>
    </row>
    <row r="298" ht="15.75" customHeight="1">
      <c r="A298" s="548"/>
      <c r="B298" s="548"/>
      <c r="C298" s="548"/>
      <c r="D298" s="548"/>
      <c r="E298" s="548"/>
      <c r="F298" s="549"/>
      <c r="G298" s="548"/>
      <c r="H298" s="548"/>
      <c r="I298" s="548"/>
      <c r="J298" s="548"/>
      <c r="K298" s="548"/>
      <c r="L298" s="548"/>
      <c r="M298" s="548"/>
      <c r="N298" s="548"/>
      <c r="O298" s="548"/>
      <c r="P298" s="548"/>
      <c r="Q298" s="548"/>
      <c r="R298" s="548"/>
      <c r="S298" s="548"/>
      <c r="T298" s="548"/>
      <c r="U298" s="548"/>
      <c r="V298" s="548"/>
      <c r="W298" s="548"/>
      <c r="X298" s="548"/>
      <c r="Y298" s="548"/>
      <c r="Z298" s="548"/>
    </row>
    <row r="299" ht="15.75" customHeight="1">
      <c r="A299" s="548"/>
      <c r="B299" s="548"/>
      <c r="C299" s="548"/>
      <c r="D299" s="548"/>
      <c r="E299" s="548"/>
      <c r="F299" s="549"/>
      <c r="G299" s="548"/>
      <c r="H299" s="548"/>
      <c r="I299" s="548"/>
      <c r="J299" s="548"/>
      <c r="K299" s="548"/>
      <c r="L299" s="548"/>
      <c r="M299" s="548"/>
      <c r="N299" s="548"/>
      <c r="O299" s="548"/>
      <c r="P299" s="548"/>
      <c r="Q299" s="548"/>
      <c r="R299" s="548"/>
      <c r="S299" s="548"/>
      <c r="T299" s="548"/>
      <c r="U299" s="548"/>
      <c r="V299" s="548"/>
      <c r="W299" s="548"/>
      <c r="X299" s="548"/>
      <c r="Y299" s="548"/>
      <c r="Z299" s="548"/>
    </row>
    <row r="300" ht="15.75" customHeight="1">
      <c r="A300" s="548"/>
      <c r="B300" s="548"/>
      <c r="C300" s="548"/>
      <c r="D300" s="548"/>
      <c r="E300" s="548"/>
      <c r="F300" s="549"/>
      <c r="G300" s="548"/>
      <c r="H300" s="548"/>
      <c r="I300" s="548"/>
      <c r="J300" s="548"/>
      <c r="K300" s="548"/>
      <c r="L300" s="548"/>
      <c r="M300" s="548"/>
      <c r="N300" s="548"/>
      <c r="O300" s="548"/>
      <c r="P300" s="548"/>
      <c r="Q300" s="548"/>
      <c r="R300" s="548"/>
      <c r="S300" s="548"/>
      <c r="T300" s="548"/>
      <c r="U300" s="548"/>
      <c r="V300" s="548"/>
      <c r="W300" s="548"/>
      <c r="X300" s="548"/>
      <c r="Y300" s="548"/>
      <c r="Z300" s="548"/>
    </row>
    <row r="301" ht="15.75" customHeight="1">
      <c r="A301" s="548"/>
      <c r="B301" s="548"/>
      <c r="C301" s="548"/>
      <c r="D301" s="548"/>
      <c r="E301" s="548"/>
      <c r="F301" s="549"/>
      <c r="G301" s="548"/>
      <c r="H301" s="548"/>
      <c r="I301" s="548"/>
      <c r="J301" s="548"/>
      <c r="K301" s="548"/>
      <c r="L301" s="548"/>
      <c r="M301" s="548"/>
      <c r="N301" s="548"/>
      <c r="O301" s="548"/>
      <c r="P301" s="548"/>
      <c r="Q301" s="548"/>
      <c r="R301" s="548"/>
      <c r="S301" s="548"/>
      <c r="T301" s="548"/>
      <c r="U301" s="548"/>
      <c r="V301" s="548"/>
      <c r="W301" s="548"/>
      <c r="X301" s="548"/>
      <c r="Y301" s="548"/>
      <c r="Z301" s="548"/>
    </row>
    <row r="302" ht="15.75" customHeight="1">
      <c r="A302" s="548"/>
      <c r="B302" s="548"/>
      <c r="C302" s="548"/>
      <c r="D302" s="548"/>
      <c r="E302" s="548"/>
      <c r="F302" s="549"/>
      <c r="G302" s="548"/>
      <c r="H302" s="548"/>
      <c r="I302" s="548"/>
      <c r="J302" s="548"/>
      <c r="K302" s="548"/>
      <c r="L302" s="548"/>
      <c r="M302" s="548"/>
      <c r="N302" s="548"/>
      <c r="O302" s="548"/>
      <c r="P302" s="548"/>
      <c r="Q302" s="548"/>
      <c r="R302" s="548"/>
      <c r="S302" s="548"/>
      <c r="T302" s="548"/>
      <c r="U302" s="548"/>
      <c r="V302" s="548"/>
      <c r="W302" s="548"/>
      <c r="X302" s="548"/>
      <c r="Y302" s="548"/>
      <c r="Z302" s="548"/>
    </row>
    <row r="303" ht="15.75" customHeight="1">
      <c r="A303" s="548"/>
      <c r="B303" s="548"/>
      <c r="C303" s="548"/>
      <c r="D303" s="548"/>
      <c r="E303" s="548"/>
      <c r="F303" s="549"/>
      <c r="G303" s="548"/>
      <c r="H303" s="548"/>
      <c r="I303" s="548"/>
      <c r="J303" s="548"/>
      <c r="K303" s="548"/>
      <c r="L303" s="548"/>
      <c r="M303" s="548"/>
      <c r="N303" s="548"/>
      <c r="O303" s="548"/>
      <c r="P303" s="548"/>
      <c r="Q303" s="548"/>
      <c r="R303" s="548"/>
      <c r="S303" s="548"/>
      <c r="T303" s="548"/>
      <c r="U303" s="548"/>
      <c r="V303" s="548"/>
      <c r="W303" s="548"/>
      <c r="X303" s="548"/>
      <c r="Y303" s="548"/>
      <c r="Z303" s="548"/>
    </row>
    <row r="304" ht="15.75" customHeight="1">
      <c r="A304" s="548"/>
      <c r="B304" s="548"/>
      <c r="C304" s="548"/>
      <c r="D304" s="548"/>
      <c r="E304" s="548"/>
      <c r="F304" s="549"/>
      <c r="G304" s="548"/>
      <c r="H304" s="548"/>
      <c r="I304" s="548"/>
      <c r="J304" s="548"/>
      <c r="K304" s="548"/>
      <c r="L304" s="548"/>
      <c r="M304" s="548"/>
      <c r="N304" s="548"/>
      <c r="O304" s="548"/>
      <c r="P304" s="548"/>
      <c r="Q304" s="548"/>
      <c r="R304" s="548"/>
      <c r="S304" s="548"/>
      <c r="T304" s="548"/>
      <c r="U304" s="548"/>
      <c r="V304" s="548"/>
      <c r="W304" s="548"/>
      <c r="X304" s="548"/>
      <c r="Y304" s="548"/>
      <c r="Z304" s="548"/>
    </row>
    <row r="305" ht="15.75" customHeight="1">
      <c r="A305" s="548"/>
      <c r="B305" s="548"/>
      <c r="C305" s="548"/>
      <c r="D305" s="548"/>
      <c r="E305" s="548"/>
      <c r="F305" s="549"/>
      <c r="G305" s="548"/>
      <c r="H305" s="548"/>
      <c r="I305" s="548"/>
      <c r="J305" s="548"/>
      <c r="K305" s="548"/>
      <c r="L305" s="548"/>
      <c r="M305" s="548"/>
      <c r="N305" s="548"/>
      <c r="O305" s="548"/>
      <c r="P305" s="548"/>
      <c r="Q305" s="548"/>
      <c r="R305" s="548"/>
      <c r="S305" s="548"/>
      <c r="T305" s="548"/>
      <c r="U305" s="548"/>
      <c r="V305" s="548"/>
      <c r="W305" s="548"/>
      <c r="X305" s="548"/>
      <c r="Y305" s="548"/>
      <c r="Z305" s="548"/>
    </row>
    <row r="306" ht="15.75" customHeight="1">
      <c r="A306" s="548"/>
      <c r="B306" s="548"/>
      <c r="C306" s="548"/>
      <c r="D306" s="548"/>
      <c r="E306" s="548"/>
      <c r="F306" s="549"/>
      <c r="G306" s="548"/>
      <c r="H306" s="548"/>
      <c r="I306" s="548"/>
      <c r="J306" s="548"/>
      <c r="K306" s="548"/>
      <c r="L306" s="548"/>
      <c r="M306" s="548"/>
      <c r="N306" s="548"/>
      <c r="O306" s="548"/>
      <c r="P306" s="548"/>
      <c r="Q306" s="548"/>
      <c r="R306" s="548"/>
      <c r="S306" s="548"/>
      <c r="T306" s="548"/>
      <c r="U306" s="548"/>
      <c r="V306" s="548"/>
      <c r="W306" s="548"/>
      <c r="X306" s="548"/>
      <c r="Y306" s="548"/>
      <c r="Z306" s="548"/>
    </row>
    <row r="307" ht="15.75" customHeight="1">
      <c r="A307" s="548"/>
      <c r="B307" s="548"/>
      <c r="C307" s="548"/>
      <c r="D307" s="548"/>
      <c r="E307" s="548"/>
      <c r="F307" s="549"/>
      <c r="G307" s="548"/>
      <c r="H307" s="548"/>
      <c r="I307" s="548"/>
      <c r="J307" s="548"/>
      <c r="K307" s="548"/>
      <c r="L307" s="548"/>
      <c r="M307" s="548"/>
      <c r="N307" s="548"/>
      <c r="O307" s="548"/>
      <c r="P307" s="548"/>
      <c r="Q307" s="548"/>
      <c r="R307" s="548"/>
      <c r="S307" s="548"/>
      <c r="T307" s="548"/>
      <c r="U307" s="548"/>
      <c r="V307" s="548"/>
      <c r="W307" s="548"/>
      <c r="X307" s="548"/>
      <c r="Y307" s="548"/>
      <c r="Z307" s="548"/>
    </row>
    <row r="308" ht="15.75" customHeight="1">
      <c r="A308" s="548"/>
      <c r="B308" s="548"/>
      <c r="C308" s="548"/>
      <c r="D308" s="548"/>
      <c r="E308" s="548"/>
      <c r="F308" s="549"/>
      <c r="G308" s="548"/>
      <c r="H308" s="548"/>
      <c r="I308" s="548"/>
      <c r="J308" s="548"/>
      <c r="K308" s="548"/>
      <c r="L308" s="548"/>
      <c r="M308" s="548"/>
      <c r="N308" s="548"/>
      <c r="O308" s="548"/>
      <c r="P308" s="548"/>
      <c r="Q308" s="548"/>
      <c r="R308" s="548"/>
      <c r="S308" s="548"/>
      <c r="T308" s="548"/>
      <c r="U308" s="548"/>
      <c r="V308" s="548"/>
      <c r="W308" s="548"/>
      <c r="X308" s="548"/>
      <c r="Y308" s="548"/>
      <c r="Z308" s="548"/>
    </row>
    <row r="309" ht="15.75" customHeight="1">
      <c r="A309" s="548"/>
      <c r="B309" s="548"/>
      <c r="C309" s="548"/>
      <c r="D309" s="548"/>
      <c r="E309" s="548"/>
      <c r="F309" s="549"/>
      <c r="G309" s="548"/>
      <c r="H309" s="548"/>
      <c r="I309" s="548"/>
      <c r="J309" s="548"/>
      <c r="K309" s="548"/>
      <c r="L309" s="548"/>
      <c r="M309" s="548"/>
      <c r="N309" s="548"/>
      <c r="O309" s="548"/>
      <c r="P309" s="548"/>
      <c r="Q309" s="548"/>
      <c r="R309" s="548"/>
      <c r="S309" s="548"/>
      <c r="T309" s="548"/>
      <c r="U309" s="548"/>
      <c r="V309" s="548"/>
      <c r="W309" s="548"/>
      <c r="X309" s="548"/>
      <c r="Y309" s="548"/>
      <c r="Z309" s="548"/>
    </row>
    <row r="310" ht="15.75" customHeight="1">
      <c r="A310" s="548"/>
      <c r="B310" s="548"/>
      <c r="C310" s="548"/>
      <c r="D310" s="548"/>
      <c r="E310" s="548"/>
      <c r="F310" s="549"/>
      <c r="G310" s="548"/>
      <c r="H310" s="548"/>
      <c r="I310" s="548"/>
      <c r="J310" s="548"/>
      <c r="K310" s="548"/>
      <c r="L310" s="548"/>
      <c r="M310" s="548"/>
      <c r="N310" s="548"/>
      <c r="O310" s="548"/>
      <c r="P310" s="548"/>
      <c r="Q310" s="548"/>
      <c r="R310" s="548"/>
      <c r="S310" s="548"/>
      <c r="T310" s="548"/>
      <c r="U310" s="548"/>
      <c r="V310" s="548"/>
      <c r="W310" s="548"/>
      <c r="X310" s="548"/>
      <c r="Y310" s="548"/>
      <c r="Z310" s="548"/>
    </row>
    <row r="311" ht="15.75" customHeight="1">
      <c r="A311" s="548"/>
      <c r="B311" s="548"/>
      <c r="C311" s="548"/>
      <c r="D311" s="548"/>
      <c r="E311" s="548"/>
      <c r="F311" s="549"/>
      <c r="G311" s="548"/>
      <c r="H311" s="548"/>
      <c r="I311" s="548"/>
      <c r="J311" s="548"/>
      <c r="K311" s="548"/>
      <c r="L311" s="548"/>
      <c r="M311" s="548"/>
      <c r="N311" s="548"/>
      <c r="O311" s="548"/>
      <c r="P311" s="548"/>
      <c r="Q311" s="548"/>
      <c r="R311" s="548"/>
      <c r="S311" s="548"/>
      <c r="T311" s="548"/>
      <c r="U311" s="548"/>
      <c r="V311" s="548"/>
      <c r="W311" s="548"/>
      <c r="X311" s="548"/>
      <c r="Y311" s="548"/>
      <c r="Z311" s="548"/>
    </row>
    <row r="312" ht="15.75" customHeight="1">
      <c r="A312" s="548"/>
      <c r="B312" s="548"/>
      <c r="C312" s="548"/>
      <c r="D312" s="548"/>
      <c r="E312" s="548"/>
      <c r="F312" s="549"/>
      <c r="G312" s="548"/>
      <c r="H312" s="548"/>
      <c r="I312" s="548"/>
      <c r="J312" s="548"/>
      <c r="K312" s="548"/>
      <c r="L312" s="548"/>
      <c r="M312" s="548"/>
      <c r="N312" s="548"/>
      <c r="O312" s="548"/>
      <c r="P312" s="548"/>
      <c r="Q312" s="548"/>
      <c r="R312" s="548"/>
      <c r="S312" s="548"/>
      <c r="T312" s="548"/>
      <c r="U312" s="548"/>
      <c r="V312" s="548"/>
      <c r="W312" s="548"/>
      <c r="X312" s="548"/>
      <c r="Y312" s="548"/>
      <c r="Z312" s="548"/>
    </row>
    <row r="313" ht="15.75" customHeight="1">
      <c r="A313" s="548"/>
      <c r="B313" s="548"/>
      <c r="C313" s="548"/>
      <c r="D313" s="548"/>
      <c r="E313" s="548"/>
      <c r="F313" s="549"/>
      <c r="G313" s="548"/>
      <c r="H313" s="548"/>
      <c r="I313" s="548"/>
      <c r="J313" s="548"/>
      <c r="K313" s="548"/>
      <c r="L313" s="548"/>
      <c r="M313" s="548"/>
      <c r="N313" s="548"/>
      <c r="O313" s="548"/>
      <c r="P313" s="548"/>
      <c r="Q313" s="548"/>
      <c r="R313" s="548"/>
      <c r="S313" s="548"/>
      <c r="T313" s="548"/>
      <c r="U313" s="548"/>
      <c r="V313" s="548"/>
      <c r="W313" s="548"/>
      <c r="X313" s="548"/>
      <c r="Y313" s="548"/>
      <c r="Z313" s="548"/>
    </row>
    <row r="314" ht="15.75" customHeight="1">
      <c r="A314" s="548"/>
      <c r="B314" s="548"/>
      <c r="C314" s="548"/>
      <c r="D314" s="548"/>
      <c r="E314" s="548"/>
      <c r="F314" s="549"/>
      <c r="G314" s="548"/>
      <c r="H314" s="548"/>
      <c r="I314" s="548"/>
      <c r="J314" s="548"/>
      <c r="K314" s="548"/>
      <c r="L314" s="548"/>
      <c r="M314" s="548"/>
      <c r="N314" s="548"/>
      <c r="O314" s="548"/>
      <c r="P314" s="548"/>
      <c r="Q314" s="548"/>
      <c r="R314" s="548"/>
      <c r="S314" s="548"/>
      <c r="T314" s="548"/>
      <c r="U314" s="548"/>
      <c r="V314" s="548"/>
      <c r="W314" s="548"/>
      <c r="X314" s="548"/>
      <c r="Y314" s="548"/>
      <c r="Z314" s="548"/>
    </row>
    <row r="315" ht="15.75" customHeight="1">
      <c r="A315" s="548"/>
      <c r="B315" s="548"/>
      <c r="C315" s="548"/>
      <c r="D315" s="548"/>
      <c r="E315" s="548"/>
      <c r="F315" s="549"/>
      <c r="G315" s="548"/>
      <c r="H315" s="548"/>
      <c r="I315" s="548"/>
      <c r="J315" s="548"/>
      <c r="K315" s="548"/>
      <c r="L315" s="548"/>
      <c r="M315" s="548"/>
      <c r="N315" s="548"/>
      <c r="O315" s="548"/>
      <c r="P315" s="548"/>
      <c r="Q315" s="548"/>
      <c r="R315" s="548"/>
      <c r="S315" s="548"/>
      <c r="T315" s="548"/>
      <c r="U315" s="548"/>
      <c r="V315" s="548"/>
      <c r="W315" s="548"/>
      <c r="X315" s="548"/>
      <c r="Y315" s="548"/>
      <c r="Z315" s="548"/>
    </row>
    <row r="316" ht="15.75" customHeight="1">
      <c r="A316" s="548"/>
      <c r="B316" s="548"/>
      <c r="C316" s="548"/>
      <c r="D316" s="548"/>
      <c r="E316" s="548"/>
      <c r="F316" s="549"/>
      <c r="G316" s="548"/>
      <c r="H316" s="548"/>
      <c r="I316" s="548"/>
      <c r="J316" s="548"/>
      <c r="K316" s="548"/>
      <c r="L316" s="548"/>
      <c r="M316" s="548"/>
      <c r="N316" s="548"/>
      <c r="O316" s="548"/>
      <c r="P316" s="548"/>
      <c r="Q316" s="548"/>
      <c r="R316" s="548"/>
      <c r="S316" s="548"/>
      <c r="T316" s="548"/>
      <c r="U316" s="548"/>
      <c r="V316" s="548"/>
      <c r="W316" s="548"/>
      <c r="X316" s="548"/>
      <c r="Y316" s="548"/>
      <c r="Z316" s="548"/>
    </row>
    <row r="317" ht="15.75" customHeight="1">
      <c r="A317" s="548"/>
      <c r="B317" s="548"/>
      <c r="C317" s="548"/>
      <c r="D317" s="548"/>
      <c r="E317" s="548"/>
      <c r="F317" s="549"/>
      <c r="G317" s="548"/>
      <c r="H317" s="548"/>
      <c r="I317" s="548"/>
      <c r="J317" s="548"/>
      <c r="K317" s="548"/>
      <c r="L317" s="548"/>
      <c r="M317" s="548"/>
      <c r="N317" s="548"/>
      <c r="O317" s="548"/>
      <c r="P317" s="548"/>
      <c r="Q317" s="548"/>
      <c r="R317" s="548"/>
      <c r="S317" s="548"/>
      <c r="T317" s="548"/>
      <c r="U317" s="548"/>
      <c r="V317" s="548"/>
      <c r="W317" s="548"/>
      <c r="X317" s="548"/>
      <c r="Y317" s="548"/>
      <c r="Z317" s="548"/>
    </row>
    <row r="318" ht="15.75" customHeight="1">
      <c r="A318" s="548"/>
      <c r="B318" s="548"/>
      <c r="C318" s="548"/>
      <c r="D318" s="548"/>
      <c r="E318" s="548"/>
      <c r="F318" s="549"/>
      <c r="G318" s="548"/>
      <c r="H318" s="548"/>
      <c r="I318" s="548"/>
      <c r="J318" s="548"/>
      <c r="K318" s="548"/>
      <c r="L318" s="548"/>
      <c r="M318" s="548"/>
      <c r="N318" s="548"/>
      <c r="O318" s="548"/>
      <c r="P318" s="548"/>
      <c r="Q318" s="548"/>
      <c r="R318" s="548"/>
      <c r="S318" s="548"/>
      <c r="T318" s="548"/>
      <c r="U318" s="548"/>
      <c r="V318" s="548"/>
      <c r="W318" s="548"/>
      <c r="X318" s="548"/>
      <c r="Y318" s="548"/>
      <c r="Z318" s="548"/>
    </row>
    <row r="319" ht="15.75" customHeight="1">
      <c r="A319" s="548"/>
      <c r="B319" s="548"/>
      <c r="C319" s="548"/>
      <c r="D319" s="548"/>
      <c r="E319" s="548"/>
      <c r="F319" s="549"/>
      <c r="G319" s="548"/>
      <c r="H319" s="548"/>
      <c r="I319" s="548"/>
      <c r="J319" s="548"/>
      <c r="K319" s="548"/>
      <c r="L319" s="548"/>
      <c r="M319" s="548"/>
      <c r="N319" s="548"/>
      <c r="O319" s="548"/>
      <c r="P319" s="548"/>
      <c r="Q319" s="548"/>
      <c r="R319" s="548"/>
      <c r="S319" s="548"/>
      <c r="T319" s="548"/>
      <c r="U319" s="548"/>
      <c r="V319" s="548"/>
      <c r="W319" s="548"/>
      <c r="X319" s="548"/>
      <c r="Y319" s="548"/>
      <c r="Z319" s="548"/>
    </row>
    <row r="320" ht="15.75" customHeight="1">
      <c r="A320" s="548"/>
      <c r="B320" s="548"/>
      <c r="C320" s="548"/>
      <c r="D320" s="548"/>
      <c r="E320" s="548"/>
      <c r="F320" s="549"/>
      <c r="G320" s="548"/>
      <c r="H320" s="548"/>
      <c r="I320" s="548"/>
      <c r="J320" s="548"/>
      <c r="K320" s="548"/>
      <c r="L320" s="548"/>
      <c r="M320" s="548"/>
      <c r="N320" s="548"/>
      <c r="O320" s="548"/>
      <c r="P320" s="548"/>
      <c r="Q320" s="548"/>
      <c r="R320" s="548"/>
      <c r="S320" s="548"/>
      <c r="T320" s="548"/>
      <c r="U320" s="548"/>
      <c r="V320" s="548"/>
      <c r="W320" s="548"/>
      <c r="X320" s="548"/>
      <c r="Y320" s="548"/>
      <c r="Z320" s="548"/>
    </row>
    <row r="321" ht="15.75" customHeight="1">
      <c r="A321" s="548"/>
      <c r="B321" s="548"/>
      <c r="C321" s="548"/>
      <c r="D321" s="548"/>
      <c r="E321" s="548"/>
      <c r="F321" s="549"/>
      <c r="G321" s="548"/>
      <c r="H321" s="548"/>
      <c r="I321" s="548"/>
      <c r="J321" s="548"/>
      <c r="K321" s="548"/>
      <c r="L321" s="548"/>
      <c r="M321" s="548"/>
      <c r="N321" s="548"/>
      <c r="O321" s="548"/>
      <c r="P321" s="548"/>
      <c r="Q321" s="548"/>
      <c r="R321" s="548"/>
      <c r="S321" s="548"/>
      <c r="T321" s="548"/>
      <c r="U321" s="548"/>
      <c r="V321" s="548"/>
      <c r="W321" s="548"/>
      <c r="X321" s="548"/>
      <c r="Y321" s="548"/>
      <c r="Z321" s="548"/>
    </row>
    <row r="322" ht="15.75" customHeight="1">
      <c r="A322" s="548"/>
      <c r="B322" s="548"/>
      <c r="C322" s="548"/>
      <c r="D322" s="548"/>
      <c r="E322" s="548"/>
      <c r="F322" s="549"/>
      <c r="G322" s="548"/>
      <c r="H322" s="548"/>
      <c r="I322" s="548"/>
      <c r="J322" s="548"/>
      <c r="K322" s="548"/>
      <c r="L322" s="548"/>
      <c r="M322" s="548"/>
      <c r="N322" s="548"/>
      <c r="O322" s="548"/>
      <c r="P322" s="548"/>
      <c r="Q322" s="548"/>
      <c r="R322" s="548"/>
      <c r="S322" s="548"/>
      <c r="T322" s="548"/>
      <c r="U322" s="548"/>
      <c r="V322" s="548"/>
      <c r="W322" s="548"/>
      <c r="X322" s="548"/>
      <c r="Y322" s="548"/>
      <c r="Z322" s="548"/>
    </row>
    <row r="323" ht="15.75" customHeight="1">
      <c r="A323" s="548"/>
      <c r="B323" s="548"/>
      <c r="C323" s="548"/>
      <c r="D323" s="548"/>
      <c r="E323" s="548"/>
      <c r="F323" s="549"/>
      <c r="G323" s="548"/>
      <c r="H323" s="548"/>
      <c r="I323" s="548"/>
      <c r="J323" s="548"/>
      <c r="K323" s="548"/>
      <c r="L323" s="548"/>
      <c r="M323" s="548"/>
      <c r="N323" s="548"/>
      <c r="O323" s="548"/>
      <c r="P323" s="548"/>
      <c r="Q323" s="548"/>
      <c r="R323" s="548"/>
      <c r="S323" s="548"/>
      <c r="T323" s="548"/>
      <c r="U323" s="548"/>
      <c r="V323" s="548"/>
      <c r="W323" s="548"/>
      <c r="X323" s="548"/>
      <c r="Y323" s="548"/>
      <c r="Z323" s="548"/>
    </row>
    <row r="324" ht="15.75" customHeight="1">
      <c r="A324" s="548"/>
      <c r="B324" s="548"/>
      <c r="C324" s="548"/>
      <c r="D324" s="548"/>
      <c r="E324" s="548"/>
      <c r="F324" s="549"/>
      <c r="G324" s="548"/>
      <c r="H324" s="548"/>
      <c r="I324" s="548"/>
      <c r="J324" s="548"/>
      <c r="K324" s="548"/>
      <c r="L324" s="548"/>
      <c r="M324" s="548"/>
      <c r="N324" s="548"/>
      <c r="O324" s="548"/>
      <c r="P324" s="548"/>
      <c r="Q324" s="548"/>
      <c r="R324" s="548"/>
      <c r="S324" s="548"/>
      <c r="T324" s="548"/>
      <c r="U324" s="548"/>
      <c r="V324" s="548"/>
      <c r="W324" s="548"/>
      <c r="X324" s="548"/>
      <c r="Y324" s="548"/>
      <c r="Z324" s="548"/>
    </row>
    <row r="325" ht="15.75" customHeight="1">
      <c r="A325" s="548"/>
      <c r="B325" s="548"/>
      <c r="C325" s="548"/>
      <c r="D325" s="548"/>
      <c r="E325" s="548"/>
      <c r="F325" s="549"/>
      <c r="G325" s="548"/>
      <c r="H325" s="548"/>
      <c r="I325" s="548"/>
      <c r="J325" s="548"/>
      <c r="K325" s="548"/>
      <c r="L325" s="548"/>
      <c r="M325" s="548"/>
      <c r="N325" s="548"/>
      <c r="O325" s="548"/>
      <c r="P325" s="548"/>
      <c r="Q325" s="548"/>
      <c r="R325" s="548"/>
      <c r="S325" s="548"/>
      <c r="T325" s="548"/>
      <c r="U325" s="548"/>
      <c r="V325" s="548"/>
      <c r="W325" s="548"/>
      <c r="X325" s="548"/>
      <c r="Y325" s="548"/>
      <c r="Z325" s="548"/>
    </row>
    <row r="326" ht="15.75" customHeight="1">
      <c r="A326" s="548"/>
      <c r="B326" s="548"/>
      <c r="C326" s="548"/>
      <c r="D326" s="548"/>
      <c r="E326" s="548"/>
      <c r="F326" s="549"/>
      <c r="G326" s="548"/>
      <c r="H326" s="548"/>
      <c r="I326" s="548"/>
      <c r="J326" s="548"/>
      <c r="K326" s="548"/>
      <c r="L326" s="548"/>
      <c r="M326" s="548"/>
      <c r="N326" s="548"/>
      <c r="O326" s="548"/>
      <c r="P326" s="548"/>
      <c r="Q326" s="548"/>
      <c r="R326" s="548"/>
      <c r="S326" s="548"/>
      <c r="T326" s="548"/>
      <c r="U326" s="548"/>
      <c r="V326" s="548"/>
      <c r="W326" s="548"/>
      <c r="X326" s="548"/>
      <c r="Y326" s="548"/>
      <c r="Z326" s="548"/>
    </row>
    <row r="327" ht="15.75" customHeight="1">
      <c r="A327" s="548"/>
      <c r="B327" s="548"/>
      <c r="C327" s="548"/>
      <c r="D327" s="548"/>
      <c r="E327" s="548"/>
      <c r="F327" s="549"/>
      <c r="G327" s="548"/>
      <c r="H327" s="548"/>
      <c r="I327" s="548"/>
      <c r="J327" s="548"/>
      <c r="K327" s="548"/>
      <c r="L327" s="548"/>
      <c r="M327" s="548"/>
      <c r="N327" s="548"/>
      <c r="O327" s="548"/>
      <c r="P327" s="548"/>
      <c r="Q327" s="548"/>
      <c r="R327" s="548"/>
      <c r="S327" s="548"/>
      <c r="T327" s="548"/>
      <c r="U327" s="548"/>
      <c r="V327" s="548"/>
      <c r="W327" s="548"/>
      <c r="X327" s="548"/>
      <c r="Y327" s="548"/>
      <c r="Z327" s="548"/>
    </row>
    <row r="328" ht="15.75" customHeight="1">
      <c r="A328" s="548"/>
      <c r="B328" s="548"/>
      <c r="C328" s="548"/>
      <c r="D328" s="548"/>
      <c r="E328" s="548"/>
      <c r="F328" s="549"/>
      <c r="G328" s="548"/>
      <c r="H328" s="548"/>
      <c r="I328" s="548"/>
      <c r="J328" s="548"/>
      <c r="K328" s="548"/>
      <c r="L328" s="548"/>
      <c r="M328" s="548"/>
      <c r="N328" s="548"/>
      <c r="O328" s="548"/>
      <c r="P328" s="548"/>
      <c r="Q328" s="548"/>
      <c r="R328" s="548"/>
      <c r="S328" s="548"/>
      <c r="T328" s="548"/>
      <c r="U328" s="548"/>
      <c r="V328" s="548"/>
      <c r="W328" s="548"/>
      <c r="X328" s="548"/>
      <c r="Y328" s="548"/>
      <c r="Z328" s="548"/>
    </row>
    <row r="329" ht="15.75" customHeight="1">
      <c r="A329" s="548"/>
      <c r="B329" s="548"/>
      <c r="C329" s="548"/>
      <c r="D329" s="548"/>
      <c r="E329" s="548"/>
      <c r="F329" s="549"/>
      <c r="G329" s="548"/>
      <c r="H329" s="548"/>
      <c r="I329" s="548"/>
      <c r="J329" s="548"/>
      <c r="K329" s="548"/>
      <c r="L329" s="548"/>
      <c r="M329" s="548"/>
      <c r="N329" s="548"/>
      <c r="O329" s="548"/>
      <c r="P329" s="548"/>
      <c r="Q329" s="548"/>
      <c r="R329" s="548"/>
      <c r="S329" s="548"/>
      <c r="T329" s="548"/>
      <c r="U329" s="548"/>
      <c r="V329" s="548"/>
      <c r="W329" s="548"/>
      <c r="X329" s="548"/>
      <c r="Y329" s="548"/>
      <c r="Z329" s="548"/>
    </row>
    <row r="330" ht="15.75" customHeight="1">
      <c r="A330" s="548"/>
      <c r="B330" s="548"/>
      <c r="C330" s="548"/>
      <c r="D330" s="548"/>
      <c r="E330" s="548"/>
      <c r="F330" s="549"/>
      <c r="G330" s="548"/>
      <c r="H330" s="548"/>
      <c r="I330" s="548"/>
      <c r="J330" s="548"/>
      <c r="K330" s="548"/>
      <c r="L330" s="548"/>
      <c r="M330" s="548"/>
      <c r="N330" s="548"/>
      <c r="O330" s="548"/>
      <c r="P330" s="548"/>
      <c r="Q330" s="548"/>
      <c r="R330" s="548"/>
      <c r="S330" s="548"/>
      <c r="T330" s="548"/>
      <c r="U330" s="548"/>
      <c r="V330" s="548"/>
      <c r="W330" s="548"/>
      <c r="X330" s="548"/>
      <c r="Y330" s="548"/>
      <c r="Z330" s="548"/>
    </row>
    <row r="331" ht="15.75" customHeight="1">
      <c r="A331" s="548"/>
      <c r="B331" s="548"/>
      <c r="C331" s="548"/>
      <c r="D331" s="548"/>
      <c r="E331" s="548"/>
      <c r="F331" s="549"/>
      <c r="G331" s="548"/>
      <c r="H331" s="548"/>
      <c r="I331" s="548"/>
      <c r="J331" s="548"/>
      <c r="K331" s="548"/>
      <c r="L331" s="548"/>
      <c r="M331" s="548"/>
      <c r="N331" s="548"/>
      <c r="O331" s="548"/>
      <c r="P331" s="548"/>
      <c r="Q331" s="548"/>
      <c r="R331" s="548"/>
      <c r="S331" s="548"/>
      <c r="T331" s="548"/>
      <c r="U331" s="548"/>
      <c r="V331" s="548"/>
      <c r="W331" s="548"/>
      <c r="X331" s="548"/>
      <c r="Y331" s="548"/>
      <c r="Z331" s="548"/>
    </row>
    <row r="332" ht="15.75" customHeight="1">
      <c r="A332" s="548"/>
      <c r="B332" s="548"/>
      <c r="C332" s="548"/>
      <c r="D332" s="548"/>
      <c r="E332" s="548"/>
      <c r="F332" s="549"/>
      <c r="G332" s="548"/>
      <c r="H332" s="548"/>
      <c r="I332" s="548"/>
      <c r="J332" s="548"/>
      <c r="K332" s="548"/>
      <c r="L332" s="548"/>
      <c r="M332" s="548"/>
      <c r="N332" s="548"/>
      <c r="O332" s="548"/>
      <c r="P332" s="548"/>
      <c r="Q332" s="548"/>
      <c r="R332" s="548"/>
      <c r="S332" s="548"/>
      <c r="T332" s="548"/>
      <c r="U332" s="548"/>
      <c r="V332" s="548"/>
      <c r="W332" s="548"/>
      <c r="X332" s="548"/>
      <c r="Y332" s="548"/>
      <c r="Z332" s="548"/>
    </row>
    <row r="333" ht="15.75" customHeight="1">
      <c r="A333" s="548"/>
      <c r="B333" s="548"/>
      <c r="C333" s="548"/>
      <c r="D333" s="548"/>
      <c r="E333" s="548"/>
      <c r="F333" s="549"/>
      <c r="G333" s="548"/>
      <c r="H333" s="548"/>
      <c r="I333" s="548"/>
      <c r="J333" s="548"/>
      <c r="K333" s="548"/>
      <c r="L333" s="548"/>
      <c r="M333" s="548"/>
      <c r="N333" s="548"/>
      <c r="O333" s="548"/>
      <c r="P333" s="548"/>
      <c r="Q333" s="548"/>
      <c r="R333" s="548"/>
      <c r="S333" s="548"/>
      <c r="T333" s="548"/>
      <c r="U333" s="548"/>
      <c r="V333" s="548"/>
      <c r="W333" s="548"/>
      <c r="X333" s="548"/>
      <c r="Y333" s="548"/>
      <c r="Z333" s="548"/>
    </row>
    <row r="334" ht="15.75" customHeight="1">
      <c r="A334" s="548"/>
      <c r="B334" s="548"/>
      <c r="C334" s="548"/>
      <c r="D334" s="548"/>
      <c r="E334" s="548"/>
      <c r="F334" s="549"/>
      <c r="G334" s="548"/>
      <c r="H334" s="548"/>
      <c r="I334" s="548"/>
      <c r="J334" s="548"/>
      <c r="K334" s="548"/>
      <c r="L334" s="548"/>
      <c r="M334" s="548"/>
      <c r="N334" s="548"/>
      <c r="O334" s="548"/>
      <c r="P334" s="548"/>
      <c r="Q334" s="548"/>
      <c r="R334" s="548"/>
      <c r="S334" s="548"/>
      <c r="T334" s="548"/>
      <c r="U334" s="548"/>
      <c r="V334" s="548"/>
      <c r="W334" s="548"/>
      <c r="X334" s="548"/>
      <c r="Y334" s="548"/>
      <c r="Z334" s="548"/>
    </row>
    <row r="335" ht="15.75" customHeight="1">
      <c r="A335" s="548"/>
      <c r="B335" s="548"/>
      <c r="C335" s="548"/>
      <c r="D335" s="548"/>
      <c r="E335" s="548"/>
      <c r="F335" s="549"/>
      <c r="G335" s="548"/>
      <c r="H335" s="548"/>
      <c r="I335" s="548"/>
      <c r="J335" s="548"/>
      <c r="K335" s="548"/>
      <c r="L335" s="548"/>
      <c r="M335" s="548"/>
      <c r="N335" s="548"/>
      <c r="O335" s="548"/>
      <c r="P335" s="548"/>
      <c r="Q335" s="548"/>
      <c r="R335" s="548"/>
      <c r="S335" s="548"/>
      <c r="T335" s="548"/>
      <c r="U335" s="548"/>
      <c r="V335" s="548"/>
      <c r="W335" s="548"/>
      <c r="X335" s="548"/>
      <c r="Y335" s="548"/>
      <c r="Z335" s="548"/>
    </row>
    <row r="336" ht="15.75" customHeight="1">
      <c r="A336" s="548"/>
      <c r="B336" s="548"/>
      <c r="C336" s="548"/>
      <c r="D336" s="548"/>
      <c r="E336" s="548"/>
      <c r="F336" s="549"/>
      <c r="G336" s="548"/>
      <c r="H336" s="548"/>
      <c r="I336" s="548"/>
      <c r="J336" s="548"/>
      <c r="K336" s="548"/>
      <c r="L336" s="548"/>
      <c r="M336" s="548"/>
      <c r="N336" s="548"/>
      <c r="O336" s="548"/>
      <c r="P336" s="548"/>
      <c r="Q336" s="548"/>
      <c r="R336" s="548"/>
      <c r="S336" s="548"/>
      <c r="T336" s="548"/>
      <c r="U336" s="548"/>
      <c r="V336" s="548"/>
      <c r="W336" s="548"/>
      <c r="X336" s="548"/>
      <c r="Y336" s="548"/>
      <c r="Z336" s="548"/>
    </row>
    <row r="337" ht="15.75" customHeight="1">
      <c r="A337" s="548"/>
      <c r="B337" s="548"/>
      <c r="C337" s="548"/>
      <c r="D337" s="548"/>
      <c r="E337" s="548"/>
      <c r="F337" s="549"/>
      <c r="G337" s="548"/>
      <c r="H337" s="548"/>
      <c r="I337" s="548"/>
      <c r="J337" s="548"/>
      <c r="K337" s="548"/>
      <c r="L337" s="548"/>
      <c r="M337" s="548"/>
      <c r="N337" s="548"/>
      <c r="O337" s="548"/>
      <c r="P337" s="548"/>
      <c r="Q337" s="548"/>
      <c r="R337" s="548"/>
      <c r="S337" s="548"/>
      <c r="T337" s="548"/>
      <c r="U337" s="548"/>
      <c r="V337" s="548"/>
      <c r="W337" s="548"/>
      <c r="X337" s="548"/>
      <c r="Y337" s="548"/>
      <c r="Z337" s="548"/>
    </row>
    <row r="338" ht="15.75" customHeight="1">
      <c r="A338" s="548"/>
      <c r="B338" s="548"/>
      <c r="C338" s="548"/>
      <c r="D338" s="548"/>
      <c r="E338" s="548"/>
      <c r="F338" s="549"/>
      <c r="G338" s="548"/>
      <c r="H338" s="548"/>
      <c r="I338" s="548"/>
      <c r="J338" s="548"/>
      <c r="K338" s="548"/>
      <c r="L338" s="548"/>
      <c r="M338" s="548"/>
      <c r="N338" s="548"/>
      <c r="O338" s="548"/>
      <c r="P338" s="548"/>
      <c r="Q338" s="548"/>
      <c r="R338" s="548"/>
      <c r="S338" s="548"/>
      <c r="T338" s="548"/>
      <c r="U338" s="548"/>
      <c r="V338" s="548"/>
      <c r="W338" s="548"/>
      <c r="X338" s="548"/>
      <c r="Y338" s="548"/>
      <c r="Z338" s="548"/>
    </row>
    <row r="339" ht="15.75" customHeight="1">
      <c r="A339" s="548"/>
      <c r="B339" s="548"/>
      <c r="C339" s="548"/>
      <c r="D339" s="548"/>
      <c r="E339" s="548"/>
      <c r="F339" s="549"/>
      <c r="G339" s="548"/>
      <c r="H339" s="548"/>
      <c r="I339" s="548"/>
      <c r="J339" s="548"/>
      <c r="K339" s="548"/>
      <c r="L339" s="548"/>
      <c r="M339" s="548"/>
      <c r="N339" s="548"/>
      <c r="O339" s="548"/>
      <c r="P339" s="548"/>
      <c r="Q339" s="548"/>
      <c r="R339" s="548"/>
      <c r="S339" s="548"/>
      <c r="T339" s="548"/>
      <c r="U339" s="548"/>
      <c r="V339" s="548"/>
      <c r="W339" s="548"/>
      <c r="X339" s="548"/>
      <c r="Y339" s="548"/>
      <c r="Z339" s="548"/>
    </row>
    <row r="340" ht="15.75" customHeight="1">
      <c r="A340" s="548"/>
      <c r="B340" s="548"/>
      <c r="C340" s="548"/>
      <c r="D340" s="548"/>
      <c r="E340" s="548"/>
      <c r="F340" s="549"/>
      <c r="G340" s="548"/>
      <c r="H340" s="548"/>
      <c r="I340" s="548"/>
      <c r="J340" s="548"/>
      <c r="K340" s="548"/>
      <c r="L340" s="548"/>
      <c r="M340" s="548"/>
      <c r="N340" s="548"/>
      <c r="O340" s="548"/>
      <c r="P340" s="548"/>
      <c r="Q340" s="548"/>
      <c r="R340" s="548"/>
      <c r="S340" s="548"/>
      <c r="T340" s="548"/>
      <c r="U340" s="548"/>
      <c r="V340" s="548"/>
      <c r="W340" s="548"/>
      <c r="X340" s="548"/>
      <c r="Y340" s="548"/>
      <c r="Z340" s="548"/>
    </row>
    <row r="341" ht="15.75" customHeight="1">
      <c r="A341" s="548"/>
      <c r="B341" s="548"/>
      <c r="C341" s="548"/>
      <c r="D341" s="548"/>
      <c r="E341" s="548"/>
      <c r="F341" s="549"/>
      <c r="G341" s="548"/>
      <c r="H341" s="548"/>
      <c r="I341" s="548"/>
      <c r="J341" s="548"/>
      <c r="K341" s="548"/>
      <c r="L341" s="548"/>
      <c r="M341" s="548"/>
      <c r="N341" s="548"/>
      <c r="O341" s="548"/>
      <c r="P341" s="548"/>
      <c r="Q341" s="548"/>
      <c r="R341" s="548"/>
      <c r="S341" s="548"/>
      <c r="T341" s="548"/>
      <c r="U341" s="548"/>
      <c r="V341" s="548"/>
      <c r="W341" s="548"/>
      <c r="X341" s="548"/>
      <c r="Y341" s="548"/>
      <c r="Z341" s="548"/>
    </row>
    <row r="342" ht="15.75" customHeight="1">
      <c r="A342" s="548"/>
      <c r="B342" s="548"/>
      <c r="C342" s="548"/>
      <c r="D342" s="548"/>
      <c r="E342" s="548"/>
      <c r="F342" s="549"/>
      <c r="G342" s="548"/>
      <c r="H342" s="548"/>
      <c r="I342" s="548"/>
      <c r="J342" s="548"/>
      <c r="K342" s="548"/>
      <c r="L342" s="548"/>
      <c r="M342" s="548"/>
      <c r="N342" s="548"/>
      <c r="O342" s="548"/>
      <c r="P342" s="548"/>
      <c r="Q342" s="548"/>
      <c r="R342" s="548"/>
      <c r="S342" s="548"/>
      <c r="T342" s="548"/>
      <c r="U342" s="548"/>
      <c r="V342" s="548"/>
      <c r="W342" s="548"/>
      <c r="X342" s="548"/>
      <c r="Y342" s="548"/>
      <c r="Z342" s="548"/>
    </row>
    <row r="343" ht="15.75" customHeight="1">
      <c r="A343" s="548"/>
      <c r="B343" s="548"/>
      <c r="C343" s="548"/>
      <c r="D343" s="548"/>
      <c r="E343" s="548"/>
      <c r="F343" s="549"/>
      <c r="G343" s="548"/>
      <c r="H343" s="548"/>
      <c r="I343" s="548"/>
      <c r="J343" s="548"/>
      <c r="K343" s="548"/>
      <c r="L343" s="548"/>
      <c r="M343" s="548"/>
      <c r="N343" s="548"/>
      <c r="O343" s="548"/>
      <c r="P343" s="548"/>
      <c r="Q343" s="548"/>
      <c r="R343" s="548"/>
      <c r="S343" s="548"/>
      <c r="T343" s="548"/>
      <c r="U343" s="548"/>
      <c r="V343" s="548"/>
      <c r="W343" s="548"/>
      <c r="X343" s="548"/>
      <c r="Y343" s="548"/>
      <c r="Z343" s="548"/>
    </row>
    <row r="344" ht="15.75" customHeight="1">
      <c r="A344" s="548"/>
      <c r="B344" s="548"/>
      <c r="C344" s="548"/>
      <c r="D344" s="548"/>
      <c r="E344" s="548"/>
      <c r="F344" s="549"/>
      <c r="G344" s="548"/>
      <c r="H344" s="548"/>
      <c r="I344" s="548"/>
      <c r="J344" s="548"/>
      <c r="K344" s="548"/>
      <c r="L344" s="548"/>
      <c r="M344" s="548"/>
      <c r="N344" s="548"/>
      <c r="O344" s="548"/>
      <c r="P344" s="548"/>
      <c r="Q344" s="548"/>
      <c r="R344" s="548"/>
      <c r="S344" s="548"/>
      <c r="T344" s="548"/>
      <c r="U344" s="548"/>
      <c r="V344" s="548"/>
      <c r="W344" s="548"/>
      <c r="X344" s="548"/>
      <c r="Y344" s="548"/>
      <c r="Z344" s="548"/>
    </row>
    <row r="345" ht="15.75" customHeight="1">
      <c r="A345" s="548"/>
      <c r="B345" s="548"/>
      <c r="C345" s="548"/>
      <c r="D345" s="548"/>
      <c r="E345" s="548"/>
      <c r="F345" s="549"/>
      <c r="G345" s="548"/>
      <c r="H345" s="548"/>
      <c r="I345" s="548"/>
      <c r="J345" s="548"/>
      <c r="K345" s="548"/>
      <c r="L345" s="548"/>
      <c r="M345" s="548"/>
      <c r="N345" s="548"/>
      <c r="O345" s="548"/>
      <c r="P345" s="548"/>
      <c r="Q345" s="548"/>
      <c r="R345" s="548"/>
      <c r="S345" s="548"/>
      <c r="T345" s="548"/>
      <c r="U345" s="548"/>
      <c r="V345" s="548"/>
      <c r="W345" s="548"/>
      <c r="X345" s="548"/>
      <c r="Y345" s="548"/>
      <c r="Z345" s="548"/>
    </row>
    <row r="346" ht="15.75" customHeight="1">
      <c r="A346" s="548"/>
      <c r="B346" s="548"/>
      <c r="C346" s="548"/>
      <c r="D346" s="548"/>
      <c r="E346" s="548"/>
      <c r="F346" s="549"/>
      <c r="G346" s="548"/>
      <c r="H346" s="548"/>
      <c r="I346" s="548"/>
      <c r="J346" s="548"/>
      <c r="K346" s="548"/>
      <c r="L346" s="548"/>
      <c r="M346" s="548"/>
      <c r="N346" s="548"/>
      <c r="O346" s="548"/>
      <c r="P346" s="548"/>
      <c r="Q346" s="548"/>
      <c r="R346" s="548"/>
      <c r="S346" s="548"/>
      <c r="T346" s="548"/>
      <c r="U346" s="548"/>
      <c r="V346" s="548"/>
      <c r="W346" s="548"/>
      <c r="X346" s="548"/>
      <c r="Y346" s="548"/>
      <c r="Z346" s="548"/>
    </row>
    <row r="347" ht="15.75" customHeight="1">
      <c r="A347" s="548"/>
      <c r="B347" s="548"/>
      <c r="C347" s="548"/>
      <c r="D347" s="548"/>
      <c r="E347" s="548"/>
      <c r="F347" s="549"/>
      <c r="G347" s="548"/>
      <c r="H347" s="548"/>
      <c r="I347" s="548"/>
      <c r="J347" s="548"/>
      <c r="K347" s="548"/>
      <c r="L347" s="548"/>
      <c r="M347" s="548"/>
      <c r="N347" s="548"/>
      <c r="O347" s="548"/>
      <c r="P347" s="548"/>
      <c r="Q347" s="548"/>
      <c r="R347" s="548"/>
      <c r="S347" s="548"/>
      <c r="T347" s="548"/>
      <c r="U347" s="548"/>
      <c r="V347" s="548"/>
      <c r="W347" s="548"/>
      <c r="X347" s="548"/>
      <c r="Y347" s="548"/>
      <c r="Z347" s="548"/>
    </row>
    <row r="348" ht="15.75" customHeight="1">
      <c r="A348" s="548"/>
      <c r="B348" s="548"/>
      <c r="C348" s="548"/>
      <c r="D348" s="548"/>
      <c r="E348" s="548"/>
      <c r="F348" s="549"/>
      <c r="G348" s="548"/>
      <c r="H348" s="548"/>
      <c r="I348" s="548"/>
      <c r="J348" s="548"/>
      <c r="K348" s="548"/>
      <c r="L348" s="548"/>
      <c r="M348" s="548"/>
      <c r="N348" s="548"/>
      <c r="O348" s="548"/>
      <c r="P348" s="548"/>
      <c r="Q348" s="548"/>
      <c r="R348" s="548"/>
      <c r="S348" s="548"/>
      <c r="T348" s="548"/>
      <c r="U348" s="548"/>
      <c r="V348" s="548"/>
      <c r="W348" s="548"/>
      <c r="X348" s="548"/>
      <c r="Y348" s="548"/>
      <c r="Z348" s="548"/>
    </row>
    <row r="349" ht="15.75" customHeight="1">
      <c r="A349" s="548"/>
      <c r="B349" s="548"/>
      <c r="C349" s="548"/>
      <c r="D349" s="548"/>
      <c r="E349" s="548"/>
      <c r="F349" s="549"/>
      <c r="G349" s="548"/>
      <c r="H349" s="548"/>
      <c r="I349" s="548"/>
      <c r="J349" s="548"/>
      <c r="K349" s="548"/>
      <c r="L349" s="548"/>
      <c r="M349" s="548"/>
      <c r="N349" s="548"/>
      <c r="O349" s="548"/>
      <c r="P349" s="548"/>
      <c r="Q349" s="548"/>
      <c r="R349" s="548"/>
      <c r="S349" s="548"/>
      <c r="T349" s="548"/>
      <c r="U349" s="548"/>
      <c r="V349" s="548"/>
      <c r="W349" s="548"/>
      <c r="X349" s="548"/>
      <c r="Y349" s="548"/>
      <c r="Z349" s="548"/>
    </row>
    <row r="350" ht="15.75" customHeight="1">
      <c r="A350" s="548"/>
      <c r="B350" s="548"/>
      <c r="C350" s="548"/>
      <c r="D350" s="548"/>
      <c r="E350" s="548"/>
      <c r="F350" s="549"/>
      <c r="G350" s="548"/>
      <c r="H350" s="548"/>
      <c r="I350" s="548"/>
      <c r="J350" s="548"/>
      <c r="K350" s="548"/>
      <c r="L350" s="548"/>
      <c r="M350" s="548"/>
      <c r="N350" s="548"/>
      <c r="O350" s="548"/>
      <c r="P350" s="548"/>
      <c r="Q350" s="548"/>
      <c r="R350" s="548"/>
      <c r="S350" s="548"/>
      <c r="T350" s="548"/>
      <c r="U350" s="548"/>
      <c r="V350" s="548"/>
      <c r="W350" s="548"/>
      <c r="X350" s="548"/>
      <c r="Y350" s="548"/>
      <c r="Z350" s="548"/>
    </row>
    <row r="351" ht="15.75" customHeight="1">
      <c r="A351" s="548"/>
      <c r="B351" s="548"/>
      <c r="C351" s="548"/>
      <c r="D351" s="548"/>
      <c r="E351" s="548"/>
      <c r="F351" s="549"/>
      <c r="G351" s="548"/>
      <c r="H351" s="548"/>
      <c r="I351" s="548"/>
      <c r="J351" s="548"/>
      <c r="K351" s="548"/>
      <c r="L351" s="548"/>
      <c r="M351" s="548"/>
      <c r="N351" s="548"/>
      <c r="O351" s="548"/>
      <c r="P351" s="548"/>
      <c r="Q351" s="548"/>
      <c r="R351" s="548"/>
      <c r="S351" s="548"/>
      <c r="T351" s="548"/>
      <c r="U351" s="548"/>
      <c r="V351" s="548"/>
      <c r="W351" s="548"/>
      <c r="X351" s="548"/>
      <c r="Y351" s="548"/>
      <c r="Z351" s="548"/>
    </row>
    <row r="352" ht="15.75" customHeight="1">
      <c r="A352" s="548"/>
      <c r="B352" s="548"/>
      <c r="C352" s="548"/>
      <c r="D352" s="548"/>
      <c r="E352" s="548"/>
      <c r="F352" s="549"/>
      <c r="G352" s="548"/>
      <c r="H352" s="548"/>
      <c r="I352" s="548"/>
      <c r="J352" s="548"/>
      <c r="K352" s="548"/>
      <c r="L352" s="548"/>
      <c r="M352" s="548"/>
      <c r="N352" s="548"/>
      <c r="O352" s="548"/>
      <c r="P352" s="548"/>
      <c r="Q352" s="548"/>
      <c r="R352" s="548"/>
      <c r="S352" s="548"/>
      <c r="T352" s="548"/>
      <c r="U352" s="548"/>
      <c r="V352" s="548"/>
      <c r="W352" s="548"/>
      <c r="X352" s="548"/>
      <c r="Y352" s="548"/>
      <c r="Z352" s="548"/>
    </row>
    <row r="353" ht="15.75" customHeight="1">
      <c r="A353" s="548"/>
      <c r="B353" s="548"/>
      <c r="C353" s="548"/>
      <c r="D353" s="548"/>
      <c r="E353" s="548"/>
      <c r="F353" s="549"/>
      <c r="G353" s="548"/>
      <c r="H353" s="548"/>
      <c r="I353" s="548"/>
      <c r="J353" s="548"/>
      <c r="K353" s="548"/>
      <c r="L353" s="548"/>
      <c r="M353" s="548"/>
      <c r="N353" s="548"/>
      <c r="O353" s="548"/>
      <c r="P353" s="548"/>
      <c r="Q353" s="548"/>
      <c r="R353" s="548"/>
      <c r="S353" s="548"/>
      <c r="T353" s="548"/>
      <c r="U353" s="548"/>
      <c r="V353" s="548"/>
      <c r="W353" s="548"/>
      <c r="X353" s="548"/>
      <c r="Y353" s="548"/>
      <c r="Z353" s="548"/>
    </row>
    <row r="354" ht="15.75" customHeight="1">
      <c r="A354" s="548"/>
      <c r="B354" s="548"/>
      <c r="C354" s="548"/>
      <c r="D354" s="548"/>
      <c r="E354" s="548"/>
      <c r="F354" s="549"/>
      <c r="G354" s="548"/>
      <c r="H354" s="548"/>
      <c r="I354" s="548"/>
      <c r="J354" s="548"/>
      <c r="K354" s="548"/>
      <c r="L354" s="548"/>
      <c r="M354" s="548"/>
      <c r="N354" s="548"/>
      <c r="O354" s="548"/>
      <c r="P354" s="548"/>
      <c r="Q354" s="548"/>
      <c r="R354" s="548"/>
      <c r="S354" s="548"/>
      <c r="T354" s="548"/>
      <c r="U354" s="548"/>
      <c r="V354" s="548"/>
      <c r="W354" s="548"/>
      <c r="X354" s="548"/>
      <c r="Y354" s="548"/>
      <c r="Z354" s="548"/>
    </row>
    <row r="355" ht="15.75" customHeight="1">
      <c r="A355" s="548"/>
      <c r="B355" s="548"/>
      <c r="C355" s="548"/>
      <c r="D355" s="548"/>
      <c r="E355" s="548"/>
      <c r="F355" s="549"/>
      <c r="G355" s="548"/>
      <c r="H355" s="548"/>
      <c r="I355" s="548"/>
      <c r="J355" s="548"/>
      <c r="K355" s="548"/>
      <c r="L355" s="548"/>
      <c r="M355" s="548"/>
      <c r="N355" s="548"/>
      <c r="O355" s="548"/>
      <c r="P355" s="548"/>
      <c r="Q355" s="548"/>
      <c r="R355" s="548"/>
      <c r="S355" s="548"/>
      <c r="T355" s="548"/>
      <c r="U355" s="548"/>
      <c r="V355" s="548"/>
      <c r="W355" s="548"/>
      <c r="X355" s="548"/>
      <c r="Y355" s="548"/>
      <c r="Z355" s="548"/>
    </row>
    <row r="356" ht="15.75" customHeight="1">
      <c r="A356" s="548"/>
      <c r="B356" s="548"/>
      <c r="C356" s="548"/>
      <c r="D356" s="548"/>
      <c r="E356" s="548"/>
      <c r="F356" s="549"/>
      <c r="G356" s="548"/>
      <c r="H356" s="548"/>
      <c r="I356" s="548"/>
      <c r="J356" s="548"/>
      <c r="K356" s="548"/>
      <c r="L356" s="548"/>
      <c r="M356" s="548"/>
      <c r="N356" s="548"/>
      <c r="O356" s="548"/>
      <c r="P356" s="548"/>
      <c r="Q356" s="548"/>
      <c r="R356" s="548"/>
      <c r="S356" s="548"/>
      <c r="T356" s="548"/>
      <c r="U356" s="548"/>
      <c r="V356" s="548"/>
      <c r="W356" s="548"/>
      <c r="X356" s="548"/>
      <c r="Y356" s="548"/>
      <c r="Z356" s="548"/>
    </row>
    <row r="357" ht="15.75" customHeight="1">
      <c r="A357" s="548"/>
      <c r="B357" s="548"/>
      <c r="C357" s="548"/>
      <c r="D357" s="548"/>
      <c r="E357" s="548"/>
      <c r="F357" s="549"/>
      <c r="G357" s="548"/>
      <c r="H357" s="548"/>
      <c r="I357" s="548"/>
      <c r="J357" s="548"/>
      <c r="K357" s="548"/>
      <c r="L357" s="548"/>
      <c r="M357" s="548"/>
      <c r="N357" s="548"/>
      <c r="O357" s="548"/>
      <c r="P357" s="548"/>
      <c r="Q357" s="548"/>
      <c r="R357" s="548"/>
      <c r="S357" s="548"/>
      <c r="T357" s="548"/>
      <c r="U357" s="548"/>
      <c r="V357" s="548"/>
      <c r="W357" s="548"/>
      <c r="X357" s="548"/>
      <c r="Y357" s="548"/>
      <c r="Z357" s="548"/>
    </row>
    <row r="358" ht="15.75" customHeight="1">
      <c r="A358" s="548"/>
      <c r="B358" s="548"/>
      <c r="C358" s="548"/>
      <c r="D358" s="548"/>
      <c r="E358" s="548"/>
      <c r="F358" s="549"/>
      <c r="G358" s="548"/>
      <c r="H358" s="548"/>
      <c r="I358" s="548"/>
      <c r="J358" s="548"/>
      <c r="K358" s="548"/>
      <c r="L358" s="548"/>
      <c r="M358" s="548"/>
      <c r="N358" s="548"/>
      <c r="O358" s="548"/>
      <c r="P358" s="548"/>
      <c r="Q358" s="548"/>
      <c r="R358" s="548"/>
      <c r="S358" s="548"/>
      <c r="T358" s="548"/>
      <c r="U358" s="548"/>
      <c r="V358" s="548"/>
      <c r="W358" s="548"/>
      <c r="X358" s="548"/>
      <c r="Y358" s="548"/>
      <c r="Z358" s="548"/>
    </row>
    <row r="359" ht="15.75" customHeight="1">
      <c r="A359" s="548"/>
      <c r="B359" s="548"/>
      <c r="C359" s="548"/>
      <c r="D359" s="548"/>
      <c r="E359" s="548"/>
      <c r="F359" s="549"/>
      <c r="G359" s="548"/>
      <c r="H359" s="548"/>
      <c r="I359" s="548"/>
      <c r="J359" s="548"/>
      <c r="K359" s="548"/>
      <c r="L359" s="548"/>
      <c r="M359" s="548"/>
      <c r="N359" s="548"/>
      <c r="O359" s="548"/>
      <c r="P359" s="548"/>
      <c r="Q359" s="548"/>
      <c r="R359" s="548"/>
      <c r="S359" s="548"/>
      <c r="T359" s="548"/>
      <c r="U359" s="548"/>
      <c r="V359" s="548"/>
      <c r="W359" s="548"/>
      <c r="X359" s="548"/>
      <c r="Y359" s="548"/>
      <c r="Z359" s="548"/>
    </row>
    <row r="360" ht="15.75" customHeight="1">
      <c r="A360" s="548"/>
      <c r="B360" s="548"/>
      <c r="C360" s="548"/>
      <c r="D360" s="548"/>
      <c r="E360" s="548"/>
      <c r="F360" s="549"/>
      <c r="G360" s="548"/>
      <c r="H360" s="548"/>
      <c r="I360" s="548"/>
      <c r="J360" s="548"/>
      <c r="K360" s="548"/>
      <c r="L360" s="548"/>
      <c r="M360" s="548"/>
      <c r="N360" s="548"/>
      <c r="O360" s="548"/>
      <c r="P360" s="548"/>
      <c r="Q360" s="548"/>
      <c r="R360" s="548"/>
      <c r="S360" s="548"/>
      <c r="T360" s="548"/>
      <c r="U360" s="548"/>
      <c r="V360" s="548"/>
      <c r="W360" s="548"/>
      <c r="X360" s="548"/>
      <c r="Y360" s="548"/>
      <c r="Z360" s="548"/>
    </row>
    <row r="361" ht="15.75" customHeight="1">
      <c r="A361" s="548"/>
      <c r="B361" s="548"/>
      <c r="C361" s="548"/>
      <c r="D361" s="548"/>
      <c r="E361" s="548"/>
      <c r="F361" s="549"/>
      <c r="G361" s="548"/>
      <c r="H361" s="548"/>
      <c r="I361" s="548"/>
      <c r="J361" s="548"/>
      <c r="K361" s="548"/>
      <c r="L361" s="548"/>
      <c r="M361" s="548"/>
      <c r="N361" s="548"/>
      <c r="O361" s="548"/>
      <c r="P361" s="548"/>
      <c r="Q361" s="548"/>
      <c r="R361" s="548"/>
      <c r="S361" s="548"/>
      <c r="T361" s="548"/>
      <c r="U361" s="548"/>
      <c r="V361" s="548"/>
      <c r="W361" s="548"/>
      <c r="X361" s="548"/>
      <c r="Y361" s="548"/>
      <c r="Z361" s="548"/>
    </row>
    <row r="362" ht="15.75" customHeight="1">
      <c r="A362" s="548"/>
      <c r="B362" s="548"/>
      <c r="C362" s="548"/>
      <c r="D362" s="548"/>
      <c r="E362" s="548"/>
      <c r="F362" s="549"/>
      <c r="G362" s="548"/>
      <c r="H362" s="548"/>
      <c r="I362" s="548"/>
      <c r="J362" s="548"/>
      <c r="K362" s="548"/>
      <c r="L362" s="548"/>
      <c r="M362" s="548"/>
      <c r="N362" s="548"/>
      <c r="O362" s="548"/>
      <c r="P362" s="548"/>
      <c r="Q362" s="548"/>
      <c r="R362" s="548"/>
      <c r="S362" s="548"/>
      <c r="T362" s="548"/>
      <c r="U362" s="548"/>
      <c r="V362" s="548"/>
      <c r="W362" s="548"/>
      <c r="X362" s="548"/>
      <c r="Y362" s="548"/>
      <c r="Z362" s="548"/>
    </row>
    <row r="363" ht="15.75" customHeight="1">
      <c r="A363" s="548"/>
      <c r="B363" s="548"/>
      <c r="C363" s="548"/>
      <c r="D363" s="548"/>
      <c r="E363" s="548"/>
      <c r="F363" s="549"/>
      <c r="G363" s="548"/>
      <c r="H363" s="548"/>
      <c r="I363" s="548"/>
      <c r="J363" s="548"/>
      <c r="K363" s="548"/>
      <c r="L363" s="548"/>
      <c r="M363" s="548"/>
      <c r="N363" s="548"/>
      <c r="O363" s="548"/>
      <c r="P363" s="548"/>
      <c r="Q363" s="548"/>
      <c r="R363" s="548"/>
      <c r="S363" s="548"/>
      <c r="T363" s="548"/>
      <c r="U363" s="548"/>
      <c r="V363" s="548"/>
      <c r="W363" s="548"/>
      <c r="X363" s="548"/>
      <c r="Y363" s="548"/>
      <c r="Z363" s="548"/>
    </row>
    <row r="364" ht="15.75" customHeight="1">
      <c r="A364" s="548"/>
      <c r="B364" s="548"/>
      <c r="C364" s="548"/>
      <c r="D364" s="548"/>
      <c r="E364" s="548"/>
      <c r="F364" s="549"/>
      <c r="G364" s="548"/>
      <c r="H364" s="548"/>
      <c r="I364" s="548"/>
      <c r="J364" s="548"/>
      <c r="K364" s="548"/>
      <c r="L364" s="548"/>
      <c r="M364" s="548"/>
      <c r="N364" s="548"/>
      <c r="O364" s="548"/>
      <c r="P364" s="548"/>
      <c r="Q364" s="548"/>
      <c r="R364" s="548"/>
      <c r="S364" s="548"/>
      <c r="T364" s="548"/>
      <c r="U364" s="548"/>
      <c r="V364" s="548"/>
      <c r="W364" s="548"/>
      <c r="X364" s="548"/>
      <c r="Y364" s="548"/>
      <c r="Z364" s="548"/>
    </row>
    <row r="365" ht="15.75" customHeight="1">
      <c r="A365" s="548"/>
      <c r="B365" s="548"/>
      <c r="C365" s="548"/>
      <c r="D365" s="548"/>
      <c r="E365" s="548"/>
      <c r="F365" s="549"/>
      <c r="G365" s="548"/>
      <c r="H365" s="548"/>
      <c r="I365" s="548"/>
      <c r="J365" s="548"/>
      <c r="K365" s="548"/>
      <c r="L365" s="548"/>
      <c r="M365" s="548"/>
      <c r="N365" s="548"/>
      <c r="O365" s="548"/>
      <c r="P365" s="548"/>
      <c r="Q365" s="548"/>
      <c r="R365" s="548"/>
      <c r="S365" s="548"/>
      <c r="T365" s="548"/>
      <c r="U365" s="548"/>
      <c r="V365" s="548"/>
      <c r="W365" s="548"/>
      <c r="X365" s="548"/>
      <c r="Y365" s="548"/>
      <c r="Z365" s="548"/>
    </row>
    <row r="366" ht="15.75" customHeight="1">
      <c r="A366" s="548"/>
      <c r="B366" s="548"/>
      <c r="C366" s="548"/>
      <c r="D366" s="548"/>
      <c r="E366" s="548"/>
      <c r="F366" s="549"/>
      <c r="G366" s="548"/>
      <c r="H366" s="548"/>
      <c r="I366" s="548"/>
      <c r="J366" s="548"/>
      <c r="K366" s="548"/>
      <c r="L366" s="548"/>
      <c r="M366" s="548"/>
      <c r="N366" s="548"/>
      <c r="O366" s="548"/>
      <c r="P366" s="548"/>
      <c r="Q366" s="548"/>
      <c r="R366" s="548"/>
      <c r="S366" s="548"/>
      <c r="T366" s="548"/>
      <c r="U366" s="548"/>
      <c r="V366" s="548"/>
      <c r="W366" s="548"/>
      <c r="X366" s="548"/>
      <c r="Y366" s="548"/>
      <c r="Z366" s="548"/>
    </row>
    <row r="367" ht="15.75" customHeight="1">
      <c r="A367" s="548"/>
      <c r="B367" s="548"/>
      <c r="C367" s="548"/>
      <c r="D367" s="548"/>
      <c r="E367" s="548"/>
      <c r="F367" s="549"/>
      <c r="G367" s="548"/>
      <c r="H367" s="548"/>
      <c r="I367" s="548"/>
      <c r="J367" s="548"/>
      <c r="K367" s="548"/>
      <c r="L367" s="548"/>
      <c r="M367" s="548"/>
      <c r="N367" s="548"/>
      <c r="O367" s="548"/>
      <c r="P367" s="548"/>
      <c r="Q367" s="548"/>
      <c r="R367" s="548"/>
      <c r="S367" s="548"/>
      <c r="T367" s="548"/>
      <c r="U367" s="548"/>
      <c r="V367" s="548"/>
      <c r="W367" s="548"/>
      <c r="X367" s="548"/>
      <c r="Y367" s="548"/>
      <c r="Z367" s="548"/>
    </row>
    <row r="368" ht="15.75" customHeight="1">
      <c r="A368" s="548"/>
      <c r="B368" s="548"/>
      <c r="C368" s="548"/>
      <c r="D368" s="548"/>
      <c r="E368" s="548"/>
      <c r="F368" s="549"/>
      <c r="G368" s="548"/>
      <c r="H368" s="548"/>
      <c r="I368" s="548"/>
      <c r="J368" s="548"/>
      <c r="K368" s="548"/>
      <c r="L368" s="548"/>
      <c r="M368" s="548"/>
      <c r="N368" s="548"/>
      <c r="O368" s="548"/>
      <c r="P368" s="548"/>
      <c r="Q368" s="548"/>
      <c r="R368" s="548"/>
      <c r="S368" s="548"/>
      <c r="T368" s="548"/>
      <c r="U368" s="548"/>
      <c r="V368" s="548"/>
      <c r="W368" s="548"/>
      <c r="X368" s="548"/>
      <c r="Y368" s="548"/>
      <c r="Z368" s="548"/>
    </row>
    <row r="369" ht="15.75" customHeight="1">
      <c r="A369" s="548"/>
      <c r="B369" s="548"/>
      <c r="C369" s="548"/>
      <c r="D369" s="548"/>
      <c r="E369" s="548"/>
      <c r="F369" s="549"/>
      <c r="G369" s="548"/>
      <c r="H369" s="548"/>
      <c r="I369" s="548"/>
      <c r="J369" s="548"/>
      <c r="K369" s="548"/>
      <c r="L369" s="548"/>
      <c r="M369" s="548"/>
      <c r="N369" s="548"/>
      <c r="O369" s="548"/>
      <c r="P369" s="548"/>
      <c r="Q369" s="548"/>
      <c r="R369" s="548"/>
      <c r="S369" s="548"/>
      <c r="T369" s="548"/>
      <c r="U369" s="548"/>
      <c r="V369" s="548"/>
      <c r="W369" s="548"/>
      <c r="X369" s="548"/>
      <c r="Y369" s="548"/>
      <c r="Z369" s="548"/>
    </row>
    <row r="370" ht="15.75" customHeight="1">
      <c r="A370" s="548"/>
      <c r="B370" s="548"/>
      <c r="C370" s="548"/>
      <c r="D370" s="548"/>
      <c r="E370" s="548"/>
      <c r="F370" s="549"/>
      <c r="G370" s="548"/>
      <c r="H370" s="548"/>
      <c r="I370" s="548"/>
      <c r="J370" s="548"/>
      <c r="K370" s="548"/>
      <c r="L370" s="548"/>
      <c r="M370" s="548"/>
      <c r="N370" s="548"/>
      <c r="O370" s="548"/>
      <c r="P370" s="548"/>
      <c r="Q370" s="548"/>
      <c r="R370" s="548"/>
      <c r="S370" s="548"/>
      <c r="T370" s="548"/>
      <c r="U370" s="548"/>
      <c r="V370" s="548"/>
      <c r="W370" s="548"/>
      <c r="X370" s="548"/>
      <c r="Y370" s="548"/>
      <c r="Z370" s="548"/>
    </row>
    <row r="371" ht="15.75" customHeight="1">
      <c r="A371" s="548"/>
      <c r="B371" s="548"/>
      <c r="C371" s="548"/>
      <c r="D371" s="548"/>
      <c r="E371" s="548"/>
      <c r="F371" s="549"/>
      <c r="G371" s="548"/>
      <c r="H371" s="548"/>
      <c r="I371" s="548"/>
      <c r="J371" s="548"/>
      <c r="K371" s="548"/>
      <c r="L371" s="548"/>
      <c r="M371" s="548"/>
      <c r="N371" s="548"/>
      <c r="O371" s="548"/>
      <c r="P371" s="548"/>
      <c r="Q371" s="548"/>
      <c r="R371" s="548"/>
      <c r="S371" s="548"/>
      <c r="T371" s="548"/>
      <c r="U371" s="548"/>
      <c r="V371" s="548"/>
      <c r="W371" s="548"/>
      <c r="X371" s="548"/>
      <c r="Y371" s="548"/>
      <c r="Z371" s="548"/>
    </row>
    <row r="372" ht="15.75" customHeight="1">
      <c r="A372" s="548"/>
      <c r="B372" s="548"/>
      <c r="C372" s="548"/>
      <c r="D372" s="548"/>
      <c r="E372" s="548"/>
      <c r="F372" s="549"/>
      <c r="G372" s="548"/>
      <c r="H372" s="548"/>
      <c r="I372" s="548"/>
      <c r="J372" s="548"/>
      <c r="K372" s="548"/>
      <c r="L372" s="548"/>
      <c r="M372" s="548"/>
      <c r="N372" s="548"/>
      <c r="O372" s="548"/>
      <c r="P372" s="548"/>
      <c r="Q372" s="548"/>
      <c r="R372" s="548"/>
      <c r="S372" s="548"/>
      <c r="T372" s="548"/>
      <c r="U372" s="548"/>
      <c r="V372" s="548"/>
      <c r="W372" s="548"/>
      <c r="X372" s="548"/>
      <c r="Y372" s="548"/>
      <c r="Z372" s="548"/>
    </row>
    <row r="373" ht="15.75" customHeight="1">
      <c r="A373" s="548"/>
      <c r="B373" s="548"/>
      <c r="C373" s="548"/>
      <c r="D373" s="548"/>
      <c r="E373" s="548"/>
      <c r="F373" s="549"/>
      <c r="G373" s="548"/>
      <c r="H373" s="548"/>
      <c r="I373" s="548"/>
      <c r="J373" s="548"/>
      <c r="K373" s="548"/>
      <c r="L373" s="548"/>
      <c r="M373" s="548"/>
      <c r="N373" s="548"/>
      <c r="O373" s="548"/>
      <c r="P373" s="548"/>
      <c r="Q373" s="548"/>
      <c r="R373" s="548"/>
      <c r="S373" s="548"/>
      <c r="T373" s="548"/>
      <c r="U373" s="548"/>
      <c r="V373" s="548"/>
      <c r="W373" s="548"/>
      <c r="X373" s="548"/>
      <c r="Y373" s="548"/>
      <c r="Z373" s="548"/>
    </row>
    <row r="374" ht="15.75" customHeight="1">
      <c r="A374" s="548"/>
      <c r="B374" s="548"/>
      <c r="C374" s="548"/>
      <c r="D374" s="548"/>
      <c r="E374" s="548"/>
      <c r="F374" s="549"/>
      <c r="G374" s="548"/>
      <c r="H374" s="548"/>
      <c r="I374" s="548"/>
      <c r="J374" s="548"/>
      <c r="K374" s="548"/>
      <c r="L374" s="548"/>
      <c r="M374" s="548"/>
      <c r="N374" s="548"/>
      <c r="O374" s="548"/>
      <c r="P374" s="548"/>
      <c r="Q374" s="548"/>
      <c r="R374" s="548"/>
      <c r="S374" s="548"/>
      <c r="T374" s="548"/>
      <c r="U374" s="548"/>
      <c r="V374" s="548"/>
      <c r="W374" s="548"/>
      <c r="X374" s="548"/>
      <c r="Y374" s="548"/>
      <c r="Z374" s="548"/>
    </row>
    <row r="375" ht="15.75" customHeight="1">
      <c r="A375" s="548"/>
      <c r="B375" s="548"/>
      <c r="C375" s="548"/>
      <c r="D375" s="548"/>
      <c r="E375" s="548"/>
      <c r="F375" s="549"/>
      <c r="G375" s="548"/>
      <c r="H375" s="548"/>
      <c r="I375" s="548"/>
      <c r="J375" s="548"/>
      <c r="K375" s="548"/>
      <c r="L375" s="548"/>
      <c r="M375" s="548"/>
      <c r="N375" s="548"/>
      <c r="O375" s="548"/>
      <c r="P375" s="548"/>
      <c r="Q375" s="548"/>
      <c r="R375" s="548"/>
      <c r="S375" s="548"/>
      <c r="T375" s="548"/>
      <c r="U375" s="548"/>
      <c r="V375" s="548"/>
      <c r="W375" s="548"/>
      <c r="X375" s="548"/>
      <c r="Y375" s="548"/>
      <c r="Z375" s="548"/>
    </row>
    <row r="376" ht="15.75" customHeight="1">
      <c r="A376" s="548"/>
      <c r="B376" s="548"/>
      <c r="C376" s="548"/>
      <c r="D376" s="548"/>
      <c r="E376" s="548"/>
      <c r="F376" s="549"/>
      <c r="G376" s="548"/>
      <c r="H376" s="548"/>
      <c r="I376" s="548"/>
      <c r="J376" s="548"/>
      <c r="K376" s="548"/>
      <c r="L376" s="548"/>
      <c r="M376" s="548"/>
      <c r="N376" s="548"/>
      <c r="O376" s="548"/>
      <c r="P376" s="548"/>
      <c r="Q376" s="548"/>
      <c r="R376" s="548"/>
      <c r="S376" s="548"/>
      <c r="T376" s="548"/>
      <c r="U376" s="548"/>
      <c r="V376" s="548"/>
      <c r="W376" s="548"/>
      <c r="X376" s="548"/>
      <c r="Y376" s="548"/>
      <c r="Z376" s="548"/>
    </row>
    <row r="377" ht="15.75" customHeight="1">
      <c r="A377" s="548"/>
      <c r="B377" s="548"/>
      <c r="C377" s="548"/>
      <c r="D377" s="548"/>
      <c r="E377" s="548"/>
      <c r="F377" s="549"/>
      <c r="G377" s="548"/>
      <c r="H377" s="548"/>
      <c r="I377" s="548"/>
      <c r="J377" s="548"/>
      <c r="K377" s="548"/>
      <c r="L377" s="548"/>
      <c r="M377" s="548"/>
      <c r="N377" s="548"/>
      <c r="O377" s="548"/>
      <c r="P377" s="548"/>
      <c r="Q377" s="548"/>
      <c r="R377" s="548"/>
      <c r="S377" s="548"/>
      <c r="T377" s="548"/>
      <c r="U377" s="548"/>
      <c r="V377" s="548"/>
      <c r="W377" s="548"/>
      <c r="X377" s="548"/>
      <c r="Y377" s="548"/>
      <c r="Z377" s="548"/>
    </row>
    <row r="378" ht="15.75" customHeight="1">
      <c r="A378" s="548"/>
      <c r="B378" s="548"/>
      <c r="C378" s="548"/>
      <c r="D378" s="548"/>
      <c r="E378" s="548"/>
      <c r="F378" s="549"/>
      <c r="G378" s="548"/>
      <c r="H378" s="548"/>
      <c r="I378" s="548"/>
      <c r="J378" s="548"/>
      <c r="K378" s="548"/>
      <c r="L378" s="548"/>
      <c r="M378" s="548"/>
      <c r="N378" s="548"/>
      <c r="O378" s="548"/>
      <c r="P378" s="548"/>
      <c r="Q378" s="548"/>
      <c r="R378" s="548"/>
      <c r="S378" s="548"/>
      <c r="T378" s="548"/>
      <c r="U378" s="548"/>
      <c r="V378" s="548"/>
      <c r="W378" s="548"/>
      <c r="X378" s="548"/>
      <c r="Y378" s="548"/>
      <c r="Z378" s="548"/>
    </row>
    <row r="379" ht="15.75" customHeight="1">
      <c r="A379" s="548"/>
      <c r="B379" s="548"/>
      <c r="C379" s="548"/>
      <c r="D379" s="548"/>
      <c r="E379" s="548"/>
      <c r="F379" s="549"/>
      <c r="G379" s="548"/>
      <c r="H379" s="548"/>
      <c r="I379" s="548"/>
      <c r="J379" s="548"/>
      <c r="K379" s="548"/>
      <c r="L379" s="548"/>
      <c r="M379" s="548"/>
      <c r="N379" s="548"/>
      <c r="O379" s="548"/>
      <c r="P379" s="548"/>
      <c r="Q379" s="548"/>
      <c r="R379" s="548"/>
      <c r="S379" s="548"/>
      <c r="T379" s="548"/>
      <c r="U379" s="548"/>
      <c r="V379" s="548"/>
      <c r="W379" s="548"/>
      <c r="X379" s="548"/>
      <c r="Y379" s="548"/>
      <c r="Z379" s="548"/>
    </row>
    <row r="380" ht="15.75" customHeight="1">
      <c r="A380" s="548"/>
      <c r="B380" s="548"/>
      <c r="C380" s="548"/>
      <c r="D380" s="548"/>
      <c r="E380" s="548"/>
      <c r="F380" s="549"/>
      <c r="G380" s="548"/>
      <c r="H380" s="548"/>
      <c r="I380" s="548"/>
      <c r="J380" s="548"/>
      <c r="K380" s="548"/>
      <c r="L380" s="548"/>
      <c r="M380" s="548"/>
      <c r="N380" s="548"/>
      <c r="O380" s="548"/>
      <c r="P380" s="548"/>
      <c r="Q380" s="548"/>
      <c r="R380" s="548"/>
      <c r="S380" s="548"/>
      <c r="T380" s="548"/>
      <c r="U380" s="548"/>
      <c r="V380" s="548"/>
      <c r="W380" s="548"/>
      <c r="X380" s="548"/>
      <c r="Y380" s="548"/>
      <c r="Z380" s="548"/>
    </row>
    <row r="381" ht="15.75" customHeight="1">
      <c r="A381" s="548"/>
      <c r="B381" s="548"/>
      <c r="C381" s="548"/>
      <c r="D381" s="548"/>
      <c r="E381" s="548"/>
      <c r="F381" s="549"/>
      <c r="G381" s="548"/>
      <c r="H381" s="548"/>
      <c r="I381" s="548"/>
      <c r="J381" s="548"/>
      <c r="K381" s="548"/>
      <c r="L381" s="548"/>
      <c r="M381" s="548"/>
      <c r="N381" s="548"/>
      <c r="O381" s="548"/>
      <c r="P381" s="548"/>
      <c r="Q381" s="548"/>
      <c r="R381" s="548"/>
      <c r="S381" s="548"/>
      <c r="T381" s="548"/>
      <c r="U381" s="548"/>
      <c r="V381" s="548"/>
      <c r="W381" s="548"/>
      <c r="X381" s="548"/>
      <c r="Y381" s="548"/>
      <c r="Z381" s="548"/>
    </row>
    <row r="382" ht="15.75" customHeight="1">
      <c r="A382" s="548"/>
      <c r="B382" s="548"/>
      <c r="C382" s="548"/>
      <c r="D382" s="548"/>
      <c r="E382" s="548"/>
      <c r="F382" s="549"/>
      <c r="G382" s="548"/>
      <c r="H382" s="548"/>
      <c r="I382" s="548"/>
      <c r="J382" s="548"/>
      <c r="K382" s="548"/>
      <c r="L382" s="548"/>
      <c r="M382" s="548"/>
      <c r="N382" s="548"/>
      <c r="O382" s="548"/>
      <c r="P382" s="548"/>
      <c r="Q382" s="548"/>
      <c r="R382" s="548"/>
      <c r="S382" s="548"/>
      <c r="T382" s="548"/>
      <c r="U382" s="548"/>
      <c r="V382" s="548"/>
      <c r="W382" s="548"/>
      <c r="X382" s="548"/>
      <c r="Y382" s="548"/>
      <c r="Z382" s="548"/>
    </row>
    <row r="383" ht="15.75" customHeight="1">
      <c r="A383" s="548"/>
      <c r="B383" s="548"/>
      <c r="C383" s="548"/>
      <c r="D383" s="548"/>
      <c r="E383" s="548"/>
      <c r="F383" s="549"/>
      <c r="G383" s="548"/>
      <c r="H383" s="548"/>
      <c r="I383" s="548"/>
      <c r="J383" s="548"/>
      <c r="K383" s="548"/>
      <c r="L383" s="548"/>
      <c r="M383" s="548"/>
      <c r="N383" s="548"/>
      <c r="O383" s="548"/>
      <c r="P383" s="548"/>
      <c r="Q383" s="548"/>
      <c r="R383" s="548"/>
      <c r="S383" s="548"/>
      <c r="T383" s="548"/>
      <c r="U383" s="548"/>
      <c r="V383" s="548"/>
      <c r="W383" s="548"/>
      <c r="X383" s="548"/>
      <c r="Y383" s="548"/>
      <c r="Z383" s="548"/>
    </row>
    <row r="384" ht="15.75" customHeight="1">
      <c r="A384" s="548"/>
      <c r="B384" s="548"/>
      <c r="C384" s="548"/>
      <c r="D384" s="548"/>
      <c r="E384" s="548"/>
      <c r="F384" s="549"/>
      <c r="G384" s="548"/>
      <c r="H384" s="548"/>
      <c r="I384" s="548"/>
      <c r="J384" s="548"/>
      <c r="K384" s="548"/>
      <c r="L384" s="548"/>
      <c r="M384" s="548"/>
      <c r="N384" s="548"/>
      <c r="O384" s="548"/>
      <c r="P384" s="548"/>
      <c r="Q384" s="548"/>
      <c r="R384" s="548"/>
      <c r="S384" s="548"/>
      <c r="T384" s="548"/>
      <c r="U384" s="548"/>
      <c r="V384" s="548"/>
      <c r="W384" s="548"/>
      <c r="X384" s="548"/>
      <c r="Y384" s="548"/>
      <c r="Z384" s="548"/>
    </row>
    <row r="385" ht="15.75" customHeight="1">
      <c r="A385" s="548"/>
      <c r="B385" s="548"/>
      <c r="C385" s="548"/>
      <c r="D385" s="548"/>
      <c r="E385" s="548"/>
      <c r="F385" s="549"/>
      <c r="G385" s="548"/>
      <c r="H385" s="548"/>
      <c r="I385" s="548"/>
      <c r="J385" s="548"/>
      <c r="K385" s="548"/>
      <c r="L385" s="548"/>
      <c r="M385" s="548"/>
      <c r="N385" s="548"/>
      <c r="O385" s="548"/>
      <c r="P385" s="548"/>
      <c r="Q385" s="548"/>
      <c r="R385" s="548"/>
      <c r="S385" s="548"/>
      <c r="T385" s="548"/>
      <c r="U385" s="548"/>
      <c r="V385" s="548"/>
      <c r="W385" s="548"/>
      <c r="X385" s="548"/>
      <c r="Y385" s="548"/>
      <c r="Z385" s="548"/>
    </row>
    <row r="386" ht="15.75" customHeight="1">
      <c r="A386" s="548"/>
      <c r="B386" s="548"/>
      <c r="C386" s="548"/>
      <c r="D386" s="548"/>
      <c r="E386" s="548"/>
      <c r="F386" s="549"/>
      <c r="G386" s="548"/>
      <c r="H386" s="548"/>
      <c r="I386" s="548"/>
      <c r="J386" s="548"/>
      <c r="K386" s="548"/>
      <c r="L386" s="548"/>
      <c r="M386" s="548"/>
      <c r="N386" s="548"/>
      <c r="O386" s="548"/>
      <c r="P386" s="548"/>
      <c r="Q386" s="548"/>
      <c r="R386" s="548"/>
      <c r="S386" s="548"/>
      <c r="T386" s="548"/>
      <c r="U386" s="548"/>
      <c r="V386" s="548"/>
      <c r="W386" s="548"/>
      <c r="X386" s="548"/>
      <c r="Y386" s="548"/>
      <c r="Z386" s="548"/>
    </row>
    <row r="387" ht="15.75" customHeight="1">
      <c r="A387" s="548"/>
      <c r="B387" s="548"/>
      <c r="C387" s="548"/>
      <c r="D387" s="548"/>
      <c r="E387" s="548"/>
      <c r="F387" s="549"/>
      <c r="G387" s="548"/>
      <c r="H387" s="548"/>
      <c r="I387" s="548"/>
      <c r="J387" s="548"/>
      <c r="K387" s="548"/>
      <c r="L387" s="548"/>
      <c r="M387" s="548"/>
      <c r="N387" s="548"/>
      <c r="O387" s="548"/>
      <c r="P387" s="548"/>
      <c r="Q387" s="548"/>
      <c r="R387" s="548"/>
      <c r="S387" s="548"/>
      <c r="T387" s="548"/>
      <c r="U387" s="548"/>
      <c r="V387" s="548"/>
      <c r="W387" s="548"/>
      <c r="X387" s="548"/>
      <c r="Y387" s="548"/>
      <c r="Z387" s="548"/>
    </row>
    <row r="388" ht="15.75" customHeight="1">
      <c r="A388" s="548"/>
      <c r="B388" s="548"/>
      <c r="C388" s="548"/>
      <c r="D388" s="548"/>
      <c r="E388" s="548"/>
      <c r="F388" s="549"/>
      <c r="G388" s="548"/>
      <c r="H388" s="548"/>
      <c r="I388" s="548"/>
      <c r="J388" s="548"/>
      <c r="K388" s="548"/>
      <c r="L388" s="548"/>
      <c r="M388" s="548"/>
      <c r="N388" s="548"/>
      <c r="O388" s="548"/>
      <c r="P388" s="548"/>
      <c r="Q388" s="548"/>
      <c r="R388" s="548"/>
      <c r="S388" s="548"/>
      <c r="T388" s="548"/>
      <c r="U388" s="548"/>
      <c r="V388" s="548"/>
      <c r="W388" s="548"/>
      <c r="X388" s="548"/>
      <c r="Y388" s="548"/>
      <c r="Z388" s="548"/>
    </row>
    <row r="389" ht="15.75" customHeight="1">
      <c r="A389" s="548"/>
      <c r="B389" s="548"/>
      <c r="C389" s="548"/>
      <c r="D389" s="548"/>
      <c r="E389" s="548"/>
      <c r="F389" s="549"/>
      <c r="G389" s="548"/>
      <c r="H389" s="548"/>
      <c r="I389" s="548"/>
      <c r="J389" s="548"/>
      <c r="K389" s="548"/>
      <c r="L389" s="548"/>
      <c r="M389" s="548"/>
      <c r="N389" s="548"/>
      <c r="O389" s="548"/>
      <c r="P389" s="548"/>
      <c r="Q389" s="548"/>
      <c r="R389" s="548"/>
      <c r="S389" s="548"/>
      <c r="T389" s="548"/>
      <c r="U389" s="548"/>
      <c r="V389" s="548"/>
      <c r="W389" s="548"/>
      <c r="X389" s="548"/>
      <c r="Y389" s="548"/>
      <c r="Z389" s="548"/>
    </row>
    <row r="390" ht="15.75" customHeight="1">
      <c r="A390" s="548"/>
      <c r="B390" s="548"/>
      <c r="C390" s="548"/>
      <c r="D390" s="548"/>
      <c r="E390" s="548"/>
      <c r="F390" s="549"/>
      <c r="G390" s="548"/>
      <c r="H390" s="548"/>
      <c r="I390" s="548"/>
      <c r="J390" s="548"/>
      <c r="K390" s="548"/>
      <c r="L390" s="548"/>
      <c r="M390" s="548"/>
      <c r="N390" s="548"/>
      <c r="O390" s="548"/>
      <c r="P390" s="548"/>
      <c r="Q390" s="548"/>
      <c r="R390" s="548"/>
      <c r="S390" s="548"/>
      <c r="T390" s="548"/>
      <c r="U390" s="548"/>
      <c r="V390" s="548"/>
      <c r="W390" s="548"/>
      <c r="X390" s="548"/>
      <c r="Y390" s="548"/>
      <c r="Z390" s="548"/>
    </row>
    <row r="391" ht="15.75" customHeight="1">
      <c r="A391" s="548"/>
      <c r="B391" s="548"/>
      <c r="C391" s="548"/>
      <c r="D391" s="548"/>
      <c r="E391" s="548"/>
      <c r="F391" s="549"/>
      <c r="G391" s="548"/>
      <c r="H391" s="548"/>
      <c r="I391" s="548"/>
      <c r="J391" s="548"/>
      <c r="K391" s="548"/>
      <c r="L391" s="548"/>
      <c r="M391" s="548"/>
      <c r="N391" s="548"/>
      <c r="O391" s="548"/>
      <c r="P391" s="548"/>
      <c r="Q391" s="548"/>
      <c r="R391" s="548"/>
      <c r="S391" s="548"/>
      <c r="T391" s="548"/>
      <c r="U391" s="548"/>
      <c r="V391" s="548"/>
      <c r="W391" s="548"/>
      <c r="X391" s="548"/>
      <c r="Y391" s="548"/>
      <c r="Z391" s="548"/>
    </row>
    <row r="392" ht="15.75" customHeight="1">
      <c r="A392" s="548"/>
      <c r="B392" s="548"/>
      <c r="C392" s="548"/>
      <c r="D392" s="548"/>
      <c r="E392" s="548"/>
      <c r="F392" s="549"/>
      <c r="G392" s="548"/>
      <c r="H392" s="548"/>
      <c r="I392" s="548"/>
      <c r="J392" s="548"/>
      <c r="K392" s="548"/>
      <c r="L392" s="548"/>
      <c r="M392" s="548"/>
      <c r="N392" s="548"/>
      <c r="O392" s="548"/>
      <c r="P392" s="548"/>
      <c r="Q392" s="548"/>
      <c r="R392" s="548"/>
      <c r="S392" s="548"/>
      <c r="T392" s="548"/>
      <c r="U392" s="548"/>
      <c r="V392" s="548"/>
      <c r="W392" s="548"/>
      <c r="X392" s="548"/>
      <c r="Y392" s="548"/>
      <c r="Z392" s="548"/>
    </row>
    <row r="393" ht="15.75" customHeight="1">
      <c r="A393" s="548"/>
      <c r="B393" s="548"/>
      <c r="C393" s="548"/>
      <c r="D393" s="548"/>
      <c r="E393" s="548"/>
      <c r="F393" s="549"/>
      <c r="G393" s="548"/>
      <c r="H393" s="548"/>
      <c r="I393" s="548"/>
      <c r="J393" s="548"/>
      <c r="K393" s="548"/>
      <c r="L393" s="548"/>
      <c r="M393" s="548"/>
      <c r="N393" s="548"/>
      <c r="O393" s="548"/>
      <c r="P393" s="548"/>
      <c r="Q393" s="548"/>
      <c r="R393" s="548"/>
      <c r="S393" s="548"/>
      <c r="T393" s="548"/>
      <c r="U393" s="548"/>
      <c r="V393" s="548"/>
      <c r="W393" s="548"/>
      <c r="X393" s="548"/>
      <c r="Y393" s="548"/>
      <c r="Z393" s="548"/>
    </row>
    <row r="394" ht="15.75" customHeight="1">
      <c r="A394" s="548"/>
      <c r="B394" s="548"/>
      <c r="C394" s="548"/>
      <c r="D394" s="548"/>
      <c r="E394" s="548"/>
      <c r="F394" s="549"/>
      <c r="G394" s="548"/>
      <c r="H394" s="548"/>
      <c r="I394" s="548"/>
      <c r="J394" s="548"/>
      <c r="K394" s="548"/>
      <c r="L394" s="548"/>
      <c r="M394" s="548"/>
      <c r="N394" s="548"/>
      <c r="O394" s="548"/>
      <c r="P394" s="548"/>
      <c r="Q394" s="548"/>
      <c r="R394" s="548"/>
      <c r="S394" s="548"/>
      <c r="T394" s="548"/>
      <c r="U394" s="548"/>
      <c r="V394" s="548"/>
      <c r="W394" s="548"/>
      <c r="X394" s="548"/>
      <c r="Y394" s="548"/>
      <c r="Z394" s="548"/>
    </row>
    <row r="395" ht="15.75" customHeight="1">
      <c r="A395" s="548"/>
      <c r="B395" s="548"/>
      <c r="C395" s="548"/>
      <c r="D395" s="548"/>
      <c r="E395" s="548"/>
      <c r="F395" s="549"/>
      <c r="G395" s="548"/>
      <c r="H395" s="548"/>
      <c r="I395" s="548"/>
      <c r="J395" s="548"/>
      <c r="K395" s="548"/>
      <c r="L395" s="548"/>
      <c r="M395" s="548"/>
      <c r="N395" s="548"/>
      <c r="O395" s="548"/>
      <c r="P395" s="548"/>
      <c r="Q395" s="548"/>
      <c r="R395" s="548"/>
      <c r="S395" s="548"/>
      <c r="T395" s="548"/>
      <c r="U395" s="548"/>
      <c r="V395" s="548"/>
      <c r="W395" s="548"/>
      <c r="X395" s="548"/>
      <c r="Y395" s="548"/>
      <c r="Z395" s="548"/>
    </row>
    <row r="396" ht="15.75" customHeight="1">
      <c r="A396" s="548"/>
      <c r="B396" s="548"/>
      <c r="C396" s="548"/>
      <c r="D396" s="548"/>
      <c r="E396" s="548"/>
      <c r="F396" s="549"/>
      <c r="G396" s="548"/>
      <c r="H396" s="548"/>
      <c r="I396" s="548"/>
      <c r="J396" s="548"/>
      <c r="K396" s="548"/>
      <c r="L396" s="548"/>
      <c r="M396" s="548"/>
      <c r="N396" s="548"/>
      <c r="O396" s="548"/>
      <c r="P396" s="548"/>
      <c r="Q396" s="548"/>
      <c r="R396" s="548"/>
      <c r="S396" s="548"/>
      <c r="T396" s="548"/>
      <c r="U396" s="548"/>
      <c r="V396" s="548"/>
      <c r="W396" s="548"/>
      <c r="X396" s="548"/>
      <c r="Y396" s="548"/>
      <c r="Z396" s="548"/>
    </row>
    <row r="397" ht="15.75" customHeight="1">
      <c r="A397" s="548"/>
      <c r="B397" s="548"/>
      <c r="C397" s="548"/>
      <c r="D397" s="548"/>
      <c r="E397" s="548"/>
      <c r="F397" s="549"/>
      <c r="G397" s="548"/>
      <c r="H397" s="548"/>
      <c r="I397" s="548"/>
      <c r="J397" s="548"/>
      <c r="K397" s="548"/>
      <c r="L397" s="548"/>
      <c r="M397" s="548"/>
      <c r="N397" s="548"/>
      <c r="O397" s="548"/>
      <c r="P397" s="548"/>
      <c r="Q397" s="548"/>
      <c r="R397" s="548"/>
      <c r="S397" s="548"/>
      <c r="T397" s="548"/>
      <c r="U397" s="548"/>
      <c r="V397" s="548"/>
      <c r="W397" s="548"/>
      <c r="X397" s="548"/>
      <c r="Y397" s="548"/>
      <c r="Z397" s="548"/>
    </row>
    <row r="398" ht="15.75" customHeight="1">
      <c r="A398" s="548"/>
      <c r="B398" s="548"/>
      <c r="C398" s="548"/>
      <c r="D398" s="548"/>
      <c r="E398" s="548"/>
      <c r="F398" s="549"/>
      <c r="G398" s="548"/>
      <c r="H398" s="548"/>
      <c r="I398" s="548"/>
      <c r="J398" s="548"/>
      <c r="K398" s="548"/>
      <c r="L398" s="548"/>
      <c r="M398" s="548"/>
      <c r="N398" s="548"/>
      <c r="O398" s="548"/>
      <c r="P398" s="548"/>
      <c r="Q398" s="548"/>
      <c r="R398" s="548"/>
      <c r="S398" s="548"/>
      <c r="T398" s="548"/>
      <c r="U398" s="548"/>
      <c r="V398" s="548"/>
      <c r="W398" s="548"/>
      <c r="X398" s="548"/>
      <c r="Y398" s="548"/>
      <c r="Z398" s="548"/>
    </row>
    <row r="399" ht="15.75" customHeight="1">
      <c r="A399" s="548"/>
      <c r="B399" s="548"/>
      <c r="C399" s="548"/>
      <c r="D399" s="548"/>
      <c r="E399" s="548"/>
      <c r="F399" s="549"/>
      <c r="G399" s="548"/>
      <c r="H399" s="548"/>
      <c r="I399" s="548"/>
      <c r="J399" s="548"/>
      <c r="K399" s="548"/>
      <c r="L399" s="548"/>
      <c r="M399" s="548"/>
      <c r="N399" s="548"/>
      <c r="O399" s="548"/>
      <c r="P399" s="548"/>
      <c r="Q399" s="548"/>
      <c r="R399" s="548"/>
      <c r="S399" s="548"/>
      <c r="T399" s="548"/>
      <c r="U399" s="548"/>
      <c r="V399" s="548"/>
      <c r="W399" s="548"/>
      <c r="X399" s="548"/>
      <c r="Y399" s="548"/>
      <c r="Z399" s="548"/>
    </row>
    <row r="400" ht="15.75" customHeight="1">
      <c r="A400" s="548"/>
      <c r="B400" s="548"/>
      <c r="C400" s="548"/>
      <c r="D400" s="548"/>
      <c r="E400" s="548"/>
      <c r="F400" s="549"/>
      <c r="G400" s="548"/>
      <c r="H400" s="548"/>
      <c r="I400" s="548"/>
      <c r="J400" s="548"/>
      <c r="K400" s="548"/>
      <c r="L400" s="548"/>
      <c r="M400" s="548"/>
      <c r="N400" s="548"/>
      <c r="O400" s="548"/>
      <c r="P400" s="548"/>
      <c r="Q400" s="548"/>
      <c r="R400" s="548"/>
      <c r="S400" s="548"/>
      <c r="T400" s="548"/>
      <c r="U400" s="548"/>
      <c r="V400" s="548"/>
      <c r="W400" s="548"/>
      <c r="X400" s="548"/>
      <c r="Y400" s="548"/>
      <c r="Z400" s="548"/>
    </row>
    <row r="401" ht="15.75" customHeight="1">
      <c r="A401" s="548"/>
      <c r="B401" s="548"/>
      <c r="C401" s="548"/>
      <c r="D401" s="548"/>
      <c r="E401" s="548"/>
      <c r="F401" s="549"/>
      <c r="G401" s="548"/>
      <c r="H401" s="548"/>
      <c r="I401" s="548"/>
      <c r="J401" s="548"/>
      <c r="K401" s="548"/>
      <c r="L401" s="548"/>
      <c r="M401" s="548"/>
      <c r="N401" s="548"/>
      <c r="O401" s="548"/>
      <c r="P401" s="548"/>
      <c r="Q401" s="548"/>
      <c r="R401" s="548"/>
      <c r="S401" s="548"/>
      <c r="T401" s="548"/>
      <c r="U401" s="548"/>
      <c r="V401" s="548"/>
      <c r="W401" s="548"/>
      <c r="X401" s="548"/>
      <c r="Y401" s="548"/>
      <c r="Z401" s="548"/>
    </row>
    <row r="402" ht="15.75" customHeight="1">
      <c r="A402" s="548"/>
      <c r="B402" s="548"/>
      <c r="C402" s="548"/>
      <c r="D402" s="548"/>
      <c r="E402" s="548"/>
      <c r="F402" s="549"/>
      <c r="G402" s="548"/>
      <c r="H402" s="548"/>
      <c r="I402" s="548"/>
      <c r="J402" s="548"/>
      <c r="K402" s="548"/>
      <c r="L402" s="548"/>
      <c r="M402" s="548"/>
      <c r="N402" s="548"/>
      <c r="O402" s="548"/>
      <c r="P402" s="548"/>
      <c r="Q402" s="548"/>
      <c r="R402" s="548"/>
      <c r="S402" s="548"/>
      <c r="T402" s="548"/>
      <c r="U402" s="548"/>
      <c r="V402" s="548"/>
      <c r="W402" s="548"/>
      <c r="X402" s="548"/>
      <c r="Y402" s="548"/>
      <c r="Z402" s="548"/>
    </row>
    <row r="403" ht="15.75" customHeight="1">
      <c r="A403" s="548"/>
      <c r="B403" s="548"/>
      <c r="C403" s="548"/>
      <c r="D403" s="548"/>
      <c r="E403" s="548"/>
      <c r="F403" s="549"/>
      <c r="G403" s="548"/>
      <c r="H403" s="548"/>
      <c r="I403" s="548"/>
      <c r="J403" s="548"/>
      <c r="K403" s="548"/>
      <c r="L403" s="548"/>
      <c r="M403" s="548"/>
      <c r="N403" s="548"/>
      <c r="O403" s="548"/>
      <c r="P403" s="548"/>
      <c r="Q403" s="548"/>
      <c r="R403" s="548"/>
      <c r="S403" s="548"/>
      <c r="T403" s="548"/>
      <c r="U403" s="548"/>
      <c r="V403" s="548"/>
      <c r="W403" s="548"/>
      <c r="X403" s="548"/>
      <c r="Y403" s="548"/>
      <c r="Z403" s="548"/>
    </row>
    <row r="404" ht="15.75" customHeight="1">
      <c r="A404" s="548"/>
      <c r="B404" s="548"/>
      <c r="C404" s="548"/>
      <c r="D404" s="548"/>
      <c r="E404" s="548"/>
      <c r="F404" s="549"/>
      <c r="G404" s="548"/>
      <c r="H404" s="548"/>
      <c r="I404" s="548"/>
      <c r="J404" s="548"/>
      <c r="K404" s="548"/>
      <c r="L404" s="548"/>
      <c r="M404" s="548"/>
      <c r="N404" s="548"/>
      <c r="O404" s="548"/>
      <c r="P404" s="548"/>
      <c r="Q404" s="548"/>
      <c r="R404" s="548"/>
      <c r="S404" s="548"/>
      <c r="T404" s="548"/>
      <c r="U404" s="548"/>
      <c r="V404" s="548"/>
      <c r="W404" s="548"/>
      <c r="X404" s="548"/>
      <c r="Y404" s="548"/>
      <c r="Z404" s="548"/>
    </row>
    <row r="405" ht="15.75" customHeight="1">
      <c r="A405" s="548"/>
      <c r="B405" s="548"/>
      <c r="C405" s="548"/>
      <c r="D405" s="548"/>
      <c r="E405" s="548"/>
      <c r="F405" s="549"/>
      <c r="G405" s="548"/>
      <c r="H405" s="548"/>
      <c r="I405" s="548"/>
      <c r="J405" s="548"/>
      <c r="K405" s="548"/>
      <c r="L405" s="548"/>
      <c r="M405" s="548"/>
      <c r="N405" s="548"/>
      <c r="O405" s="548"/>
      <c r="P405" s="548"/>
      <c r="Q405" s="548"/>
      <c r="R405" s="548"/>
      <c r="S405" s="548"/>
      <c r="T405" s="548"/>
      <c r="U405" s="548"/>
      <c r="V405" s="548"/>
      <c r="W405" s="548"/>
      <c r="X405" s="548"/>
      <c r="Y405" s="548"/>
      <c r="Z405" s="548"/>
    </row>
    <row r="406" ht="15.75" customHeight="1">
      <c r="A406" s="548"/>
      <c r="B406" s="548"/>
      <c r="C406" s="548"/>
      <c r="D406" s="548"/>
      <c r="E406" s="548"/>
      <c r="F406" s="549"/>
      <c r="G406" s="548"/>
      <c r="H406" s="548"/>
      <c r="I406" s="548"/>
      <c r="J406" s="548"/>
      <c r="K406" s="548"/>
      <c r="L406" s="548"/>
      <c r="M406" s="548"/>
      <c r="N406" s="548"/>
      <c r="O406" s="548"/>
      <c r="P406" s="548"/>
      <c r="Q406" s="548"/>
      <c r="R406" s="548"/>
      <c r="S406" s="548"/>
      <c r="T406" s="548"/>
      <c r="U406" s="548"/>
      <c r="V406" s="548"/>
      <c r="W406" s="548"/>
      <c r="X406" s="548"/>
      <c r="Y406" s="548"/>
      <c r="Z406" s="548"/>
    </row>
    <row r="407" ht="15.75" customHeight="1">
      <c r="A407" s="548"/>
      <c r="B407" s="548"/>
      <c r="C407" s="548"/>
      <c r="D407" s="548"/>
      <c r="E407" s="548"/>
      <c r="F407" s="549"/>
      <c r="G407" s="548"/>
      <c r="H407" s="548"/>
      <c r="I407" s="548"/>
      <c r="J407" s="548"/>
      <c r="K407" s="548"/>
      <c r="L407" s="548"/>
      <c r="M407" s="548"/>
      <c r="N407" s="548"/>
      <c r="O407" s="548"/>
      <c r="P407" s="548"/>
      <c r="Q407" s="548"/>
      <c r="R407" s="548"/>
      <c r="S407" s="548"/>
      <c r="T407" s="548"/>
      <c r="U407" s="548"/>
      <c r="V407" s="548"/>
      <c r="W407" s="548"/>
      <c r="X407" s="548"/>
      <c r="Y407" s="548"/>
      <c r="Z407" s="548"/>
    </row>
    <row r="408" ht="15.75" customHeight="1">
      <c r="A408" s="548"/>
      <c r="B408" s="548"/>
      <c r="C408" s="548"/>
      <c r="D408" s="548"/>
      <c r="E408" s="548"/>
      <c r="F408" s="549"/>
      <c r="G408" s="548"/>
      <c r="H408" s="548"/>
      <c r="I408" s="548"/>
      <c r="J408" s="548"/>
      <c r="K408" s="548"/>
      <c r="L408" s="548"/>
      <c r="M408" s="548"/>
      <c r="N408" s="548"/>
      <c r="O408" s="548"/>
      <c r="P408" s="548"/>
      <c r="Q408" s="548"/>
      <c r="R408" s="548"/>
      <c r="S408" s="548"/>
      <c r="T408" s="548"/>
      <c r="U408" s="548"/>
      <c r="V408" s="548"/>
      <c r="W408" s="548"/>
      <c r="X408" s="548"/>
      <c r="Y408" s="548"/>
      <c r="Z408" s="548"/>
    </row>
    <row r="409" ht="15.75" customHeight="1">
      <c r="A409" s="548"/>
      <c r="B409" s="548"/>
      <c r="C409" s="548"/>
      <c r="D409" s="548"/>
      <c r="E409" s="548"/>
      <c r="F409" s="549"/>
      <c r="G409" s="548"/>
      <c r="H409" s="548"/>
      <c r="I409" s="548"/>
      <c r="J409" s="548"/>
      <c r="K409" s="548"/>
      <c r="L409" s="548"/>
      <c r="M409" s="548"/>
      <c r="N409" s="548"/>
      <c r="O409" s="548"/>
      <c r="P409" s="548"/>
      <c r="Q409" s="548"/>
      <c r="R409" s="548"/>
      <c r="S409" s="548"/>
      <c r="T409" s="548"/>
      <c r="U409" s="548"/>
      <c r="V409" s="548"/>
      <c r="W409" s="548"/>
      <c r="X409" s="548"/>
      <c r="Y409" s="548"/>
      <c r="Z409" s="548"/>
    </row>
    <row r="410" ht="15.75" customHeight="1">
      <c r="A410" s="548"/>
      <c r="B410" s="548"/>
      <c r="C410" s="548"/>
      <c r="D410" s="548"/>
      <c r="E410" s="548"/>
      <c r="F410" s="549"/>
      <c r="G410" s="548"/>
      <c r="H410" s="548"/>
      <c r="I410" s="548"/>
      <c r="J410" s="548"/>
      <c r="K410" s="548"/>
      <c r="L410" s="548"/>
      <c r="M410" s="548"/>
      <c r="N410" s="548"/>
      <c r="O410" s="548"/>
      <c r="P410" s="548"/>
      <c r="Q410" s="548"/>
      <c r="R410" s="548"/>
      <c r="S410" s="548"/>
      <c r="T410" s="548"/>
      <c r="U410" s="548"/>
      <c r="V410" s="548"/>
      <c r="W410" s="548"/>
      <c r="X410" s="548"/>
      <c r="Y410" s="548"/>
      <c r="Z410" s="548"/>
    </row>
    <row r="411" ht="15.75" customHeight="1">
      <c r="A411" s="548"/>
      <c r="B411" s="548"/>
      <c r="C411" s="548"/>
      <c r="D411" s="548"/>
      <c r="E411" s="548"/>
      <c r="F411" s="549"/>
      <c r="G411" s="548"/>
      <c r="H411" s="548"/>
      <c r="I411" s="548"/>
      <c r="J411" s="548"/>
      <c r="K411" s="548"/>
      <c r="L411" s="548"/>
      <c r="M411" s="548"/>
      <c r="N411" s="548"/>
      <c r="O411" s="548"/>
      <c r="P411" s="548"/>
      <c r="Q411" s="548"/>
      <c r="R411" s="548"/>
      <c r="S411" s="548"/>
      <c r="T411" s="548"/>
      <c r="U411" s="548"/>
      <c r="V411" s="548"/>
      <c r="W411" s="548"/>
      <c r="X411" s="548"/>
      <c r="Y411" s="548"/>
      <c r="Z411" s="548"/>
    </row>
    <row r="412" ht="15.75" customHeight="1">
      <c r="A412" s="548"/>
      <c r="B412" s="548"/>
      <c r="C412" s="548"/>
      <c r="D412" s="548"/>
      <c r="E412" s="548"/>
      <c r="F412" s="549"/>
      <c r="G412" s="548"/>
      <c r="H412" s="548"/>
      <c r="I412" s="548"/>
      <c r="J412" s="548"/>
      <c r="K412" s="548"/>
      <c r="L412" s="548"/>
      <c r="M412" s="548"/>
      <c r="N412" s="548"/>
      <c r="O412" s="548"/>
      <c r="P412" s="548"/>
      <c r="Q412" s="548"/>
      <c r="R412" s="548"/>
      <c r="S412" s="548"/>
      <c r="T412" s="548"/>
      <c r="U412" s="548"/>
      <c r="V412" s="548"/>
      <c r="W412" s="548"/>
      <c r="X412" s="548"/>
      <c r="Y412" s="548"/>
      <c r="Z412" s="548"/>
    </row>
    <row r="413" ht="15.75" customHeight="1">
      <c r="A413" s="548"/>
      <c r="B413" s="548"/>
      <c r="C413" s="548"/>
      <c r="D413" s="548"/>
      <c r="E413" s="548"/>
      <c r="F413" s="549"/>
      <c r="G413" s="548"/>
      <c r="H413" s="548"/>
      <c r="I413" s="548"/>
      <c r="J413" s="548"/>
      <c r="K413" s="548"/>
      <c r="L413" s="548"/>
      <c r="M413" s="548"/>
      <c r="N413" s="548"/>
      <c r="O413" s="548"/>
      <c r="P413" s="548"/>
      <c r="Q413" s="548"/>
      <c r="R413" s="548"/>
      <c r="S413" s="548"/>
      <c r="T413" s="548"/>
      <c r="U413" s="548"/>
      <c r="V413" s="548"/>
      <c r="W413" s="548"/>
      <c r="X413" s="548"/>
      <c r="Y413" s="548"/>
      <c r="Z413" s="548"/>
    </row>
    <row r="414" ht="15.75" customHeight="1">
      <c r="A414" s="548"/>
      <c r="B414" s="548"/>
      <c r="C414" s="548"/>
      <c r="D414" s="548"/>
      <c r="E414" s="548"/>
      <c r="F414" s="549"/>
      <c r="G414" s="548"/>
      <c r="H414" s="548"/>
      <c r="I414" s="548"/>
      <c r="J414" s="548"/>
      <c r="K414" s="548"/>
      <c r="L414" s="548"/>
      <c r="M414" s="548"/>
      <c r="N414" s="548"/>
      <c r="O414" s="548"/>
      <c r="P414" s="548"/>
      <c r="Q414" s="548"/>
      <c r="R414" s="548"/>
      <c r="S414" s="548"/>
      <c r="T414" s="548"/>
      <c r="U414" s="548"/>
      <c r="V414" s="548"/>
      <c r="W414" s="548"/>
      <c r="X414" s="548"/>
      <c r="Y414" s="548"/>
      <c r="Z414" s="548"/>
    </row>
    <row r="415" ht="15.75" customHeight="1">
      <c r="A415" s="548"/>
      <c r="B415" s="548"/>
      <c r="C415" s="548"/>
      <c r="D415" s="548"/>
      <c r="E415" s="548"/>
      <c r="F415" s="549"/>
      <c r="G415" s="548"/>
      <c r="H415" s="548"/>
      <c r="I415" s="548"/>
      <c r="J415" s="548"/>
      <c r="K415" s="548"/>
      <c r="L415" s="548"/>
      <c r="M415" s="548"/>
      <c r="N415" s="548"/>
      <c r="O415" s="548"/>
      <c r="P415" s="548"/>
      <c r="Q415" s="548"/>
      <c r="R415" s="548"/>
      <c r="S415" s="548"/>
      <c r="T415" s="548"/>
      <c r="U415" s="548"/>
      <c r="V415" s="548"/>
      <c r="W415" s="548"/>
      <c r="X415" s="548"/>
      <c r="Y415" s="548"/>
      <c r="Z415" s="548"/>
    </row>
    <row r="416" ht="15.75" customHeight="1">
      <c r="A416" s="548"/>
      <c r="B416" s="548"/>
      <c r="C416" s="548"/>
      <c r="D416" s="548"/>
      <c r="E416" s="548"/>
      <c r="F416" s="549"/>
      <c r="G416" s="548"/>
      <c r="H416" s="548"/>
      <c r="I416" s="548"/>
      <c r="J416" s="548"/>
      <c r="K416" s="548"/>
      <c r="L416" s="548"/>
      <c r="M416" s="548"/>
      <c r="N416" s="548"/>
      <c r="O416" s="548"/>
      <c r="P416" s="548"/>
      <c r="Q416" s="548"/>
      <c r="R416" s="548"/>
      <c r="S416" s="548"/>
      <c r="T416" s="548"/>
      <c r="U416" s="548"/>
      <c r="V416" s="548"/>
      <c r="W416" s="548"/>
      <c r="X416" s="548"/>
      <c r="Y416" s="548"/>
      <c r="Z416" s="548"/>
    </row>
    <row r="417" ht="15.75" customHeight="1">
      <c r="A417" s="548"/>
      <c r="B417" s="548"/>
      <c r="C417" s="548"/>
      <c r="D417" s="548"/>
      <c r="E417" s="548"/>
      <c r="F417" s="549"/>
      <c r="G417" s="548"/>
      <c r="H417" s="548"/>
      <c r="I417" s="548"/>
      <c r="J417" s="548"/>
      <c r="K417" s="548"/>
      <c r="L417" s="548"/>
      <c r="M417" s="548"/>
      <c r="N417" s="548"/>
      <c r="O417" s="548"/>
      <c r="P417" s="548"/>
      <c r="Q417" s="548"/>
      <c r="R417" s="548"/>
      <c r="S417" s="548"/>
      <c r="T417" s="548"/>
      <c r="U417" s="548"/>
      <c r="V417" s="548"/>
      <c r="W417" s="548"/>
      <c r="X417" s="548"/>
      <c r="Y417" s="548"/>
      <c r="Z417" s="548"/>
    </row>
    <row r="418" ht="15.75" customHeight="1">
      <c r="A418" s="548"/>
      <c r="B418" s="548"/>
      <c r="C418" s="548"/>
      <c r="D418" s="548"/>
      <c r="E418" s="548"/>
      <c r="F418" s="549"/>
      <c r="G418" s="548"/>
      <c r="H418" s="548"/>
      <c r="I418" s="548"/>
      <c r="J418" s="548"/>
      <c r="K418" s="548"/>
      <c r="L418" s="548"/>
      <c r="M418" s="548"/>
      <c r="N418" s="548"/>
      <c r="O418" s="548"/>
      <c r="P418" s="548"/>
      <c r="Q418" s="548"/>
      <c r="R418" s="548"/>
      <c r="S418" s="548"/>
      <c r="T418" s="548"/>
      <c r="U418" s="548"/>
      <c r="V418" s="548"/>
      <c r="W418" s="548"/>
      <c r="X418" s="548"/>
      <c r="Y418" s="548"/>
      <c r="Z418" s="548"/>
    </row>
    <row r="419" ht="15.75" customHeight="1">
      <c r="A419" s="548"/>
      <c r="B419" s="548"/>
      <c r="C419" s="548"/>
      <c r="D419" s="548"/>
      <c r="E419" s="548"/>
      <c r="F419" s="549"/>
      <c r="G419" s="548"/>
      <c r="H419" s="548"/>
      <c r="I419" s="548"/>
      <c r="J419" s="548"/>
      <c r="K419" s="548"/>
      <c r="L419" s="548"/>
      <c r="M419" s="548"/>
      <c r="N419" s="548"/>
      <c r="O419" s="548"/>
      <c r="P419" s="548"/>
      <c r="Q419" s="548"/>
      <c r="R419" s="548"/>
      <c r="S419" s="548"/>
      <c r="T419" s="548"/>
      <c r="U419" s="548"/>
      <c r="V419" s="548"/>
      <c r="W419" s="548"/>
      <c r="X419" s="548"/>
      <c r="Y419" s="548"/>
      <c r="Z419" s="548"/>
    </row>
    <row r="420" ht="15.75" customHeight="1">
      <c r="A420" s="548"/>
      <c r="B420" s="548"/>
      <c r="C420" s="548"/>
      <c r="D420" s="548"/>
      <c r="E420" s="548"/>
      <c r="F420" s="549"/>
      <c r="G420" s="548"/>
      <c r="H420" s="548"/>
      <c r="I420" s="548"/>
      <c r="J420" s="548"/>
      <c r="K420" s="548"/>
      <c r="L420" s="548"/>
      <c r="M420" s="548"/>
      <c r="N420" s="548"/>
      <c r="O420" s="548"/>
      <c r="P420" s="548"/>
      <c r="Q420" s="548"/>
      <c r="R420" s="548"/>
      <c r="S420" s="548"/>
      <c r="T420" s="548"/>
      <c r="U420" s="548"/>
      <c r="V420" s="548"/>
      <c r="W420" s="548"/>
      <c r="X420" s="548"/>
      <c r="Y420" s="548"/>
      <c r="Z420" s="548"/>
    </row>
    <row r="421" ht="15.75" customHeight="1">
      <c r="A421" s="548"/>
      <c r="B421" s="548"/>
      <c r="C421" s="548"/>
      <c r="D421" s="548"/>
      <c r="E421" s="548"/>
      <c r="F421" s="549"/>
      <c r="G421" s="548"/>
      <c r="H421" s="548"/>
      <c r="I421" s="548"/>
      <c r="J421" s="548"/>
      <c r="K421" s="548"/>
      <c r="L421" s="548"/>
      <c r="M421" s="548"/>
      <c r="N421" s="548"/>
      <c r="O421" s="548"/>
      <c r="P421" s="548"/>
      <c r="Q421" s="548"/>
      <c r="R421" s="548"/>
      <c r="S421" s="548"/>
      <c r="T421" s="548"/>
      <c r="U421" s="548"/>
      <c r="V421" s="548"/>
      <c r="W421" s="548"/>
      <c r="X421" s="548"/>
      <c r="Y421" s="548"/>
      <c r="Z421" s="548"/>
    </row>
    <row r="422" ht="15.75" customHeight="1">
      <c r="A422" s="548"/>
      <c r="B422" s="548"/>
      <c r="C422" s="548"/>
      <c r="D422" s="548"/>
      <c r="E422" s="548"/>
      <c r="F422" s="549"/>
      <c r="G422" s="548"/>
      <c r="H422" s="548"/>
      <c r="I422" s="548"/>
      <c r="J422" s="548"/>
      <c r="K422" s="548"/>
      <c r="L422" s="548"/>
      <c r="M422" s="548"/>
      <c r="N422" s="548"/>
      <c r="O422" s="548"/>
      <c r="P422" s="548"/>
      <c r="Q422" s="548"/>
      <c r="R422" s="548"/>
      <c r="S422" s="548"/>
      <c r="T422" s="548"/>
      <c r="U422" s="548"/>
      <c r="V422" s="548"/>
      <c r="W422" s="548"/>
      <c r="X422" s="548"/>
      <c r="Y422" s="548"/>
      <c r="Z422" s="548"/>
    </row>
    <row r="423" ht="15.75" customHeight="1">
      <c r="A423" s="548"/>
      <c r="B423" s="548"/>
      <c r="C423" s="548"/>
      <c r="D423" s="548"/>
      <c r="E423" s="548"/>
      <c r="F423" s="549"/>
      <c r="G423" s="548"/>
      <c r="H423" s="548"/>
      <c r="I423" s="548"/>
      <c r="J423" s="548"/>
      <c r="K423" s="548"/>
      <c r="L423" s="548"/>
      <c r="M423" s="548"/>
      <c r="N423" s="548"/>
      <c r="O423" s="548"/>
      <c r="P423" s="548"/>
      <c r="Q423" s="548"/>
      <c r="R423" s="548"/>
      <c r="S423" s="548"/>
      <c r="T423" s="548"/>
      <c r="U423" s="548"/>
      <c r="V423" s="548"/>
      <c r="W423" s="548"/>
      <c r="X423" s="548"/>
      <c r="Y423" s="548"/>
      <c r="Z423" s="548"/>
    </row>
    <row r="424" ht="15.75" customHeight="1">
      <c r="A424" s="548"/>
      <c r="B424" s="548"/>
      <c r="C424" s="548"/>
      <c r="D424" s="548"/>
      <c r="E424" s="548"/>
      <c r="F424" s="549"/>
      <c r="G424" s="548"/>
      <c r="H424" s="548"/>
      <c r="I424" s="548"/>
      <c r="J424" s="548"/>
      <c r="K424" s="548"/>
      <c r="L424" s="548"/>
      <c r="M424" s="548"/>
      <c r="N424" s="548"/>
      <c r="O424" s="548"/>
      <c r="P424" s="548"/>
      <c r="Q424" s="548"/>
      <c r="R424" s="548"/>
      <c r="S424" s="548"/>
      <c r="T424" s="548"/>
      <c r="U424" s="548"/>
      <c r="V424" s="548"/>
      <c r="W424" s="548"/>
      <c r="X424" s="548"/>
      <c r="Y424" s="548"/>
      <c r="Z424" s="548"/>
    </row>
    <row r="425" ht="15.75" customHeight="1">
      <c r="A425" s="548"/>
      <c r="B425" s="548"/>
      <c r="C425" s="548"/>
      <c r="D425" s="548"/>
      <c r="E425" s="548"/>
      <c r="F425" s="549"/>
      <c r="G425" s="548"/>
      <c r="H425" s="548"/>
      <c r="I425" s="548"/>
      <c r="J425" s="548"/>
      <c r="K425" s="548"/>
      <c r="L425" s="548"/>
      <c r="M425" s="548"/>
      <c r="N425" s="548"/>
      <c r="O425" s="548"/>
      <c r="P425" s="548"/>
      <c r="Q425" s="548"/>
      <c r="R425" s="548"/>
      <c r="S425" s="548"/>
      <c r="T425" s="548"/>
      <c r="U425" s="548"/>
      <c r="V425" s="548"/>
      <c r="W425" s="548"/>
      <c r="X425" s="548"/>
      <c r="Y425" s="548"/>
      <c r="Z425" s="548"/>
    </row>
    <row r="426" ht="15.75" customHeight="1">
      <c r="A426" s="548"/>
      <c r="B426" s="548"/>
      <c r="C426" s="548"/>
      <c r="D426" s="548"/>
      <c r="E426" s="548"/>
      <c r="F426" s="549"/>
      <c r="G426" s="548"/>
      <c r="H426" s="548"/>
      <c r="I426" s="548"/>
      <c r="J426" s="548"/>
      <c r="K426" s="548"/>
      <c r="L426" s="548"/>
      <c r="M426" s="548"/>
      <c r="N426" s="548"/>
      <c r="O426" s="548"/>
      <c r="P426" s="548"/>
      <c r="Q426" s="548"/>
      <c r="R426" s="548"/>
      <c r="S426" s="548"/>
      <c r="T426" s="548"/>
      <c r="U426" s="548"/>
      <c r="V426" s="548"/>
      <c r="W426" s="548"/>
      <c r="X426" s="548"/>
      <c r="Y426" s="548"/>
      <c r="Z426" s="548"/>
    </row>
    <row r="427" ht="15.75" customHeight="1">
      <c r="A427" s="548"/>
      <c r="B427" s="548"/>
      <c r="C427" s="548"/>
      <c r="D427" s="548"/>
      <c r="E427" s="548"/>
      <c r="F427" s="549"/>
      <c r="G427" s="548"/>
      <c r="H427" s="548"/>
      <c r="I427" s="548"/>
      <c r="J427" s="548"/>
      <c r="K427" s="548"/>
      <c r="L427" s="548"/>
      <c r="M427" s="548"/>
      <c r="N427" s="548"/>
      <c r="O427" s="548"/>
      <c r="P427" s="548"/>
      <c r="Q427" s="548"/>
      <c r="R427" s="548"/>
      <c r="S427" s="548"/>
      <c r="T427" s="548"/>
      <c r="U427" s="548"/>
      <c r="V427" s="548"/>
      <c r="W427" s="548"/>
      <c r="X427" s="548"/>
      <c r="Y427" s="548"/>
      <c r="Z427" s="548"/>
    </row>
    <row r="428" ht="15.75" customHeight="1">
      <c r="A428" s="548"/>
      <c r="B428" s="548"/>
      <c r="C428" s="548"/>
      <c r="D428" s="548"/>
      <c r="E428" s="548"/>
      <c r="F428" s="549"/>
      <c r="G428" s="548"/>
      <c r="H428" s="548"/>
      <c r="I428" s="548"/>
      <c r="J428" s="548"/>
      <c r="K428" s="548"/>
      <c r="L428" s="548"/>
      <c r="M428" s="548"/>
      <c r="N428" s="548"/>
      <c r="O428" s="548"/>
      <c r="P428" s="548"/>
      <c r="Q428" s="548"/>
      <c r="R428" s="548"/>
      <c r="S428" s="548"/>
      <c r="T428" s="548"/>
      <c r="U428" s="548"/>
      <c r="V428" s="548"/>
      <c r="W428" s="548"/>
      <c r="X428" s="548"/>
      <c r="Y428" s="548"/>
      <c r="Z428" s="548"/>
    </row>
    <row r="429" ht="15.75" customHeight="1">
      <c r="A429" s="548"/>
      <c r="B429" s="548"/>
      <c r="C429" s="548"/>
      <c r="D429" s="548"/>
      <c r="E429" s="548"/>
      <c r="F429" s="549"/>
      <c r="G429" s="548"/>
      <c r="H429" s="548"/>
      <c r="I429" s="548"/>
      <c r="J429" s="548"/>
      <c r="K429" s="548"/>
      <c r="L429" s="548"/>
      <c r="M429" s="548"/>
      <c r="N429" s="548"/>
      <c r="O429" s="548"/>
      <c r="P429" s="548"/>
      <c r="Q429" s="548"/>
      <c r="R429" s="548"/>
      <c r="S429" s="548"/>
      <c r="T429" s="548"/>
      <c r="U429" s="548"/>
      <c r="V429" s="548"/>
      <c r="W429" s="548"/>
      <c r="X429" s="548"/>
      <c r="Y429" s="548"/>
      <c r="Z429" s="548"/>
    </row>
    <row r="430" ht="15.75" customHeight="1">
      <c r="A430" s="548"/>
      <c r="B430" s="548"/>
      <c r="C430" s="548"/>
      <c r="D430" s="548"/>
      <c r="E430" s="548"/>
      <c r="F430" s="549"/>
      <c r="G430" s="548"/>
      <c r="H430" s="548"/>
      <c r="I430" s="548"/>
      <c r="J430" s="548"/>
      <c r="K430" s="548"/>
      <c r="L430" s="548"/>
      <c r="M430" s="548"/>
      <c r="N430" s="548"/>
      <c r="O430" s="548"/>
      <c r="P430" s="548"/>
      <c r="Q430" s="548"/>
      <c r="R430" s="548"/>
      <c r="S430" s="548"/>
      <c r="T430" s="548"/>
      <c r="U430" s="548"/>
      <c r="V430" s="548"/>
      <c r="W430" s="548"/>
      <c r="X430" s="548"/>
      <c r="Y430" s="548"/>
      <c r="Z430" s="548"/>
    </row>
    <row r="431" ht="15.75" customHeight="1">
      <c r="A431" s="548"/>
      <c r="B431" s="548"/>
      <c r="C431" s="548"/>
      <c r="D431" s="548"/>
      <c r="E431" s="548"/>
      <c r="F431" s="549"/>
      <c r="G431" s="548"/>
      <c r="H431" s="548"/>
      <c r="I431" s="548"/>
      <c r="J431" s="548"/>
      <c r="K431" s="548"/>
      <c r="L431" s="548"/>
      <c r="M431" s="548"/>
      <c r="N431" s="548"/>
      <c r="O431" s="548"/>
      <c r="P431" s="548"/>
      <c r="Q431" s="548"/>
      <c r="R431" s="548"/>
      <c r="S431" s="548"/>
      <c r="T431" s="548"/>
      <c r="U431" s="548"/>
      <c r="V431" s="548"/>
      <c r="W431" s="548"/>
      <c r="X431" s="548"/>
      <c r="Y431" s="548"/>
      <c r="Z431" s="548"/>
    </row>
    <row r="432" ht="15.75" customHeight="1">
      <c r="A432" s="548"/>
      <c r="B432" s="548"/>
      <c r="C432" s="548"/>
      <c r="D432" s="548"/>
      <c r="E432" s="548"/>
      <c r="F432" s="549"/>
      <c r="G432" s="548"/>
      <c r="H432" s="548"/>
      <c r="I432" s="548"/>
      <c r="J432" s="548"/>
      <c r="K432" s="548"/>
      <c r="L432" s="548"/>
      <c r="M432" s="548"/>
      <c r="N432" s="548"/>
      <c r="O432" s="548"/>
      <c r="P432" s="548"/>
      <c r="Q432" s="548"/>
      <c r="R432" s="548"/>
      <c r="S432" s="548"/>
      <c r="T432" s="548"/>
      <c r="U432" s="548"/>
      <c r="V432" s="548"/>
      <c r="W432" s="548"/>
      <c r="X432" s="548"/>
      <c r="Y432" s="548"/>
      <c r="Z432" s="548"/>
    </row>
    <row r="433" ht="15.75" customHeight="1">
      <c r="A433" s="548"/>
      <c r="B433" s="548"/>
      <c r="C433" s="548"/>
      <c r="D433" s="548"/>
      <c r="E433" s="548"/>
      <c r="F433" s="549"/>
      <c r="G433" s="548"/>
      <c r="H433" s="548"/>
      <c r="I433" s="548"/>
      <c r="J433" s="548"/>
      <c r="K433" s="548"/>
      <c r="L433" s="548"/>
      <c r="M433" s="548"/>
      <c r="N433" s="548"/>
      <c r="O433" s="548"/>
      <c r="P433" s="548"/>
      <c r="Q433" s="548"/>
      <c r="R433" s="548"/>
      <c r="S433" s="548"/>
      <c r="T433" s="548"/>
      <c r="U433" s="548"/>
      <c r="V433" s="548"/>
      <c r="W433" s="548"/>
      <c r="X433" s="548"/>
      <c r="Y433" s="548"/>
      <c r="Z433" s="548"/>
    </row>
    <row r="434" ht="15.75" customHeight="1">
      <c r="A434" s="548"/>
      <c r="B434" s="548"/>
      <c r="C434" s="548"/>
      <c r="D434" s="548"/>
      <c r="E434" s="548"/>
      <c r="F434" s="549"/>
      <c r="G434" s="548"/>
      <c r="H434" s="548"/>
      <c r="I434" s="548"/>
      <c r="J434" s="548"/>
      <c r="K434" s="548"/>
      <c r="L434" s="548"/>
      <c r="M434" s="548"/>
      <c r="N434" s="548"/>
      <c r="O434" s="548"/>
      <c r="P434" s="548"/>
      <c r="Q434" s="548"/>
      <c r="R434" s="548"/>
      <c r="S434" s="548"/>
      <c r="T434" s="548"/>
      <c r="U434" s="548"/>
      <c r="V434" s="548"/>
      <c r="W434" s="548"/>
      <c r="X434" s="548"/>
      <c r="Y434" s="548"/>
      <c r="Z434" s="548"/>
    </row>
    <row r="435" ht="15.75" customHeight="1">
      <c r="A435" s="548"/>
      <c r="B435" s="548"/>
      <c r="C435" s="548"/>
      <c r="D435" s="548"/>
      <c r="E435" s="548"/>
      <c r="F435" s="549"/>
      <c r="G435" s="548"/>
      <c r="H435" s="548"/>
      <c r="I435" s="548"/>
      <c r="J435" s="548"/>
      <c r="K435" s="548"/>
      <c r="L435" s="548"/>
      <c r="M435" s="548"/>
      <c r="N435" s="548"/>
      <c r="O435" s="548"/>
      <c r="P435" s="548"/>
      <c r="Q435" s="548"/>
      <c r="R435" s="548"/>
      <c r="S435" s="548"/>
      <c r="T435" s="548"/>
      <c r="U435" s="548"/>
      <c r="V435" s="548"/>
      <c r="W435" s="548"/>
      <c r="X435" s="548"/>
      <c r="Y435" s="548"/>
      <c r="Z435" s="548"/>
    </row>
    <row r="436" ht="15.75" customHeight="1">
      <c r="A436" s="548"/>
      <c r="B436" s="548"/>
      <c r="C436" s="548"/>
      <c r="D436" s="548"/>
      <c r="E436" s="548"/>
      <c r="F436" s="549"/>
      <c r="G436" s="548"/>
      <c r="H436" s="548"/>
      <c r="I436" s="548"/>
      <c r="J436" s="548"/>
      <c r="K436" s="548"/>
      <c r="L436" s="548"/>
      <c r="M436" s="548"/>
      <c r="N436" s="548"/>
      <c r="O436" s="548"/>
      <c r="P436" s="548"/>
      <c r="Q436" s="548"/>
      <c r="R436" s="548"/>
      <c r="S436" s="548"/>
      <c r="T436" s="548"/>
      <c r="U436" s="548"/>
      <c r="V436" s="548"/>
      <c r="W436" s="548"/>
      <c r="X436" s="548"/>
      <c r="Y436" s="548"/>
      <c r="Z436" s="548"/>
    </row>
    <row r="437" ht="15.75" customHeight="1">
      <c r="A437" s="548"/>
      <c r="B437" s="548"/>
      <c r="C437" s="548"/>
      <c r="D437" s="548"/>
      <c r="E437" s="548"/>
      <c r="F437" s="549"/>
      <c r="G437" s="548"/>
      <c r="H437" s="548"/>
      <c r="I437" s="548"/>
      <c r="J437" s="548"/>
      <c r="K437" s="548"/>
      <c r="L437" s="548"/>
      <c r="M437" s="548"/>
      <c r="N437" s="548"/>
      <c r="O437" s="548"/>
      <c r="P437" s="548"/>
      <c r="Q437" s="548"/>
      <c r="R437" s="548"/>
      <c r="S437" s="548"/>
      <c r="T437" s="548"/>
      <c r="U437" s="548"/>
      <c r="V437" s="548"/>
      <c r="W437" s="548"/>
      <c r="X437" s="548"/>
      <c r="Y437" s="548"/>
      <c r="Z437" s="548"/>
    </row>
    <row r="438" ht="15.75" customHeight="1">
      <c r="A438" s="548"/>
      <c r="B438" s="548"/>
      <c r="C438" s="548"/>
      <c r="D438" s="548"/>
      <c r="E438" s="548"/>
      <c r="F438" s="549"/>
      <c r="G438" s="548"/>
      <c r="H438" s="548"/>
      <c r="I438" s="548"/>
      <c r="J438" s="548"/>
      <c r="K438" s="548"/>
      <c r="L438" s="548"/>
      <c r="M438" s="548"/>
      <c r="N438" s="548"/>
      <c r="O438" s="548"/>
      <c r="P438" s="548"/>
      <c r="Q438" s="548"/>
      <c r="R438" s="548"/>
      <c r="S438" s="548"/>
      <c r="T438" s="548"/>
      <c r="U438" s="548"/>
      <c r="V438" s="548"/>
      <c r="W438" s="548"/>
      <c r="X438" s="548"/>
      <c r="Y438" s="548"/>
      <c r="Z438" s="548"/>
    </row>
    <row r="439" ht="15.75" customHeight="1">
      <c r="A439" s="548"/>
      <c r="B439" s="548"/>
      <c r="C439" s="548"/>
      <c r="D439" s="548"/>
      <c r="E439" s="548"/>
      <c r="F439" s="549"/>
      <c r="G439" s="548"/>
      <c r="H439" s="548"/>
      <c r="I439" s="548"/>
      <c r="J439" s="548"/>
      <c r="K439" s="548"/>
      <c r="L439" s="548"/>
      <c r="M439" s="548"/>
      <c r="N439" s="548"/>
      <c r="O439" s="548"/>
      <c r="P439" s="548"/>
      <c r="Q439" s="548"/>
      <c r="R439" s="548"/>
      <c r="S439" s="548"/>
      <c r="T439" s="548"/>
      <c r="U439" s="548"/>
      <c r="V439" s="548"/>
      <c r="W439" s="548"/>
      <c r="X439" s="548"/>
      <c r="Y439" s="548"/>
      <c r="Z439" s="548"/>
    </row>
    <row r="440" ht="15.75" customHeight="1">
      <c r="A440" s="548"/>
      <c r="B440" s="548"/>
      <c r="C440" s="548"/>
      <c r="D440" s="548"/>
      <c r="E440" s="548"/>
      <c r="F440" s="549"/>
      <c r="G440" s="548"/>
      <c r="H440" s="548"/>
      <c r="I440" s="548"/>
      <c r="J440" s="548"/>
      <c r="K440" s="548"/>
      <c r="L440" s="548"/>
      <c r="M440" s="548"/>
      <c r="N440" s="548"/>
      <c r="O440" s="548"/>
      <c r="P440" s="548"/>
      <c r="Q440" s="548"/>
      <c r="R440" s="548"/>
      <c r="S440" s="548"/>
      <c r="T440" s="548"/>
      <c r="U440" s="548"/>
      <c r="V440" s="548"/>
      <c r="W440" s="548"/>
      <c r="X440" s="548"/>
      <c r="Y440" s="548"/>
      <c r="Z440" s="548"/>
    </row>
    <row r="441" ht="15.75" customHeight="1">
      <c r="A441" s="548"/>
      <c r="B441" s="548"/>
      <c r="C441" s="548"/>
      <c r="D441" s="548"/>
      <c r="E441" s="548"/>
      <c r="F441" s="549"/>
      <c r="G441" s="548"/>
      <c r="H441" s="548"/>
      <c r="I441" s="548"/>
      <c r="J441" s="548"/>
      <c r="K441" s="548"/>
      <c r="L441" s="548"/>
      <c r="M441" s="548"/>
      <c r="N441" s="548"/>
      <c r="O441" s="548"/>
      <c r="P441" s="548"/>
      <c r="Q441" s="548"/>
      <c r="R441" s="548"/>
      <c r="S441" s="548"/>
      <c r="T441" s="548"/>
      <c r="U441" s="548"/>
      <c r="V441" s="548"/>
      <c r="W441" s="548"/>
      <c r="X441" s="548"/>
      <c r="Y441" s="548"/>
      <c r="Z441" s="548"/>
    </row>
    <row r="442" ht="15.75" customHeight="1">
      <c r="A442" s="548"/>
      <c r="B442" s="548"/>
      <c r="C442" s="548"/>
      <c r="D442" s="548"/>
      <c r="E442" s="548"/>
      <c r="F442" s="549"/>
      <c r="G442" s="548"/>
      <c r="H442" s="548"/>
      <c r="I442" s="548"/>
      <c r="J442" s="548"/>
      <c r="K442" s="548"/>
      <c r="L442" s="548"/>
      <c r="M442" s="548"/>
      <c r="N442" s="548"/>
      <c r="O442" s="548"/>
      <c r="P442" s="548"/>
      <c r="Q442" s="548"/>
      <c r="R442" s="548"/>
      <c r="S442" s="548"/>
      <c r="T442" s="548"/>
      <c r="U442" s="548"/>
      <c r="V442" s="548"/>
      <c r="W442" s="548"/>
      <c r="X442" s="548"/>
      <c r="Y442" s="548"/>
      <c r="Z442" s="548"/>
    </row>
    <row r="443" ht="15.75" customHeight="1">
      <c r="A443" s="548"/>
      <c r="B443" s="548"/>
      <c r="C443" s="548"/>
      <c r="D443" s="548"/>
      <c r="E443" s="548"/>
      <c r="F443" s="549"/>
      <c r="G443" s="548"/>
      <c r="H443" s="548"/>
      <c r="I443" s="548"/>
      <c r="J443" s="548"/>
      <c r="K443" s="548"/>
      <c r="L443" s="548"/>
      <c r="M443" s="548"/>
      <c r="N443" s="548"/>
      <c r="O443" s="548"/>
      <c r="P443" s="548"/>
      <c r="Q443" s="548"/>
      <c r="R443" s="548"/>
      <c r="S443" s="548"/>
      <c r="T443" s="548"/>
      <c r="U443" s="548"/>
      <c r="V443" s="548"/>
      <c r="W443" s="548"/>
      <c r="X443" s="548"/>
      <c r="Y443" s="548"/>
      <c r="Z443" s="548"/>
    </row>
    <row r="444" ht="15.75" customHeight="1">
      <c r="A444" s="548"/>
      <c r="B444" s="548"/>
      <c r="C444" s="548"/>
      <c r="D444" s="548"/>
      <c r="E444" s="548"/>
      <c r="F444" s="549"/>
      <c r="G444" s="548"/>
      <c r="H444" s="548"/>
      <c r="I444" s="548"/>
      <c r="J444" s="548"/>
      <c r="K444" s="548"/>
      <c r="L444" s="548"/>
      <c r="M444" s="548"/>
      <c r="N444" s="548"/>
      <c r="O444" s="548"/>
      <c r="P444" s="548"/>
      <c r="Q444" s="548"/>
      <c r="R444" s="548"/>
      <c r="S444" s="548"/>
      <c r="T444" s="548"/>
      <c r="U444" s="548"/>
      <c r="V444" s="548"/>
      <c r="W444" s="548"/>
      <c r="X444" s="548"/>
      <c r="Y444" s="548"/>
      <c r="Z444" s="548"/>
    </row>
    <row r="445" ht="15.75" customHeight="1">
      <c r="A445" s="548"/>
      <c r="B445" s="548"/>
      <c r="C445" s="548"/>
      <c r="D445" s="548"/>
      <c r="E445" s="548"/>
      <c r="F445" s="549"/>
      <c r="G445" s="548"/>
      <c r="H445" s="548"/>
      <c r="I445" s="548"/>
      <c r="J445" s="548"/>
      <c r="K445" s="548"/>
      <c r="L445" s="548"/>
      <c r="M445" s="548"/>
      <c r="N445" s="548"/>
      <c r="O445" s="548"/>
      <c r="P445" s="548"/>
      <c r="Q445" s="548"/>
      <c r="R445" s="548"/>
      <c r="S445" s="548"/>
      <c r="T445" s="548"/>
      <c r="U445" s="548"/>
      <c r="V445" s="548"/>
      <c r="W445" s="548"/>
      <c r="X445" s="548"/>
      <c r="Y445" s="548"/>
      <c r="Z445" s="548"/>
    </row>
    <row r="446" ht="15.75" customHeight="1">
      <c r="A446" s="548"/>
      <c r="B446" s="548"/>
      <c r="C446" s="548"/>
      <c r="D446" s="548"/>
      <c r="E446" s="548"/>
      <c r="F446" s="549"/>
      <c r="G446" s="548"/>
      <c r="H446" s="548"/>
      <c r="I446" s="548"/>
      <c r="J446" s="548"/>
      <c r="K446" s="548"/>
      <c r="L446" s="548"/>
      <c r="M446" s="548"/>
      <c r="N446" s="548"/>
      <c r="O446" s="548"/>
      <c r="P446" s="548"/>
      <c r="Q446" s="548"/>
      <c r="R446" s="548"/>
      <c r="S446" s="548"/>
      <c r="T446" s="548"/>
      <c r="U446" s="548"/>
      <c r="V446" s="548"/>
      <c r="W446" s="548"/>
      <c r="X446" s="548"/>
      <c r="Y446" s="548"/>
      <c r="Z446" s="548"/>
    </row>
    <row r="447" ht="15.75" customHeight="1">
      <c r="A447" s="548"/>
      <c r="B447" s="548"/>
      <c r="C447" s="548"/>
      <c r="D447" s="548"/>
      <c r="E447" s="548"/>
      <c r="F447" s="549"/>
      <c r="G447" s="548"/>
      <c r="H447" s="548"/>
      <c r="I447" s="548"/>
      <c r="J447" s="548"/>
      <c r="K447" s="548"/>
      <c r="L447" s="548"/>
      <c r="M447" s="548"/>
      <c r="N447" s="548"/>
      <c r="O447" s="548"/>
      <c r="P447" s="548"/>
      <c r="Q447" s="548"/>
      <c r="R447" s="548"/>
      <c r="S447" s="548"/>
      <c r="T447" s="548"/>
      <c r="U447" s="548"/>
      <c r="V447" s="548"/>
      <c r="W447" s="548"/>
      <c r="X447" s="548"/>
      <c r="Y447" s="548"/>
      <c r="Z447" s="548"/>
    </row>
    <row r="448" ht="15.75" customHeight="1">
      <c r="A448" s="548"/>
      <c r="B448" s="548"/>
      <c r="C448" s="548"/>
      <c r="D448" s="548"/>
      <c r="E448" s="548"/>
      <c r="F448" s="549"/>
      <c r="G448" s="548"/>
      <c r="H448" s="548"/>
      <c r="I448" s="548"/>
      <c r="J448" s="548"/>
      <c r="K448" s="548"/>
      <c r="L448" s="548"/>
      <c r="M448" s="548"/>
      <c r="N448" s="548"/>
      <c r="O448" s="548"/>
      <c r="P448" s="548"/>
      <c r="Q448" s="548"/>
      <c r="R448" s="548"/>
      <c r="S448" s="548"/>
      <c r="T448" s="548"/>
      <c r="U448" s="548"/>
      <c r="V448" s="548"/>
      <c r="W448" s="548"/>
      <c r="X448" s="548"/>
      <c r="Y448" s="548"/>
      <c r="Z448" s="548"/>
    </row>
    <row r="449" ht="15.75" customHeight="1">
      <c r="A449" s="548"/>
      <c r="B449" s="548"/>
      <c r="C449" s="548"/>
      <c r="D449" s="548"/>
      <c r="E449" s="548"/>
      <c r="F449" s="549"/>
      <c r="G449" s="548"/>
      <c r="H449" s="548"/>
      <c r="I449" s="548"/>
      <c r="J449" s="548"/>
      <c r="K449" s="548"/>
      <c r="L449" s="548"/>
      <c r="M449" s="548"/>
      <c r="N449" s="548"/>
      <c r="O449" s="548"/>
      <c r="P449" s="548"/>
      <c r="Q449" s="548"/>
      <c r="R449" s="548"/>
      <c r="S449" s="548"/>
      <c r="T449" s="548"/>
      <c r="U449" s="548"/>
      <c r="V449" s="548"/>
      <c r="W449" s="548"/>
      <c r="X449" s="548"/>
      <c r="Y449" s="548"/>
      <c r="Z449" s="548"/>
    </row>
    <row r="450" ht="15.75" customHeight="1">
      <c r="A450" s="548"/>
      <c r="B450" s="548"/>
      <c r="C450" s="548"/>
      <c r="D450" s="548"/>
      <c r="E450" s="548"/>
      <c r="F450" s="549"/>
      <c r="G450" s="548"/>
      <c r="H450" s="548"/>
      <c r="I450" s="548"/>
      <c r="J450" s="548"/>
      <c r="K450" s="548"/>
      <c r="L450" s="548"/>
      <c r="M450" s="548"/>
      <c r="N450" s="548"/>
      <c r="O450" s="548"/>
      <c r="P450" s="548"/>
      <c r="Q450" s="548"/>
      <c r="R450" s="548"/>
      <c r="S450" s="548"/>
      <c r="T450" s="548"/>
      <c r="U450" s="548"/>
      <c r="V450" s="548"/>
      <c r="W450" s="548"/>
      <c r="X450" s="548"/>
      <c r="Y450" s="548"/>
      <c r="Z450" s="548"/>
    </row>
    <row r="451" ht="15.75" customHeight="1">
      <c r="A451" s="548"/>
      <c r="B451" s="548"/>
      <c r="C451" s="548"/>
      <c r="D451" s="548"/>
      <c r="E451" s="548"/>
      <c r="F451" s="549"/>
      <c r="G451" s="548"/>
      <c r="H451" s="548"/>
      <c r="I451" s="548"/>
      <c r="J451" s="548"/>
      <c r="K451" s="548"/>
      <c r="L451" s="548"/>
      <c r="M451" s="548"/>
      <c r="N451" s="548"/>
      <c r="O451" s="548"/>
      <c r="P451" s="548"/>
      <c r="Q451" s="548"/>
      <c r="R451" s="548"/>
      <c r="S451" s="548"/>
      <c r="T451" s="548"/>
      <c r="U451" s="548"/>
      <c r="V451" s="548"/>
      <c r="W451" s="548"/>
      <c r="X451" s="548"/>
      <c r="Y451" s="548"/>
      <c r="Z451" s="548"/>
    </row>
    <row r="452" ht="15.75" customHeight="1">
      <c r="A452" s="548"/>
      <c r="B452" s="548"/>
      <c r="C452" s="548"/>
      <c r="D452" s="548"/>
      <c r="E452" s="548"/>
      <c r="F452" s="549"/>
      <c r="G452" s="548"/>
      <c r="H452" s="548"/>
      <c r="I452" s="548"/>
      <c r="J452" s="548"/>
      <c r="K452" s="548"/>
      <c r="L452" s="548"/>
      <c r="M452" s="548"/>
      <c r="N452" s="548"/>
      <c r="O452" s="548"/>
      <c r="P452" s="548"/>
      <c r="Q452" s="548"/>
      <c r="R452" s="548"/>
      <c r="S452" s="548"/>
      <c r="T452" s="548"/>
      <c r="U452" s="548"/>
      <c r="V452" s="548"/>
      <c r="W452" s="548"/>
      <c r="X452" s="548"/>
      <c r="Y452" s="548"/>
      <c r="Z452" s="548"/>
    </row>
    <row r="453" ht="15.75" customHeight="1">
      <c r="A453" s="548"/>
      <c r="B453" s="548"/>
      <c r="C453" s="548"/>
      <c r="D453" s="548"/>
      <c r="E453" s="548"/>
      <c r="F453" s="549"/>
      <c r="G453" s="548"/>
      <c r="H453" s="548"/>
      <c r="I453" s="548"/>
      <c r="J453" s="548"/>
      <c r="K453" s="548"/>
      <c r="L453" s="548"/>
      <c r="M453" s="548"/>
      <c r="N453" s="548"/>
      <c r="O453" s="548"/>
      <c r="P453" s="548"/>
      <c r="Q453" s="548"/>
      <c r="R453" s="548"/>
      <c r="S453" s="548"/>
      <c r="T453" s="548"/>
      <c r="U453" s="548"/>
      <c r="V453" s="548"/>
      <c r="W453" s="548"/>
      <c r="X453" s="548"/>
      <c r="Y453" s="548"/>
      <c r="Z453" s="548"/>
    </row>
    <row r="454" ht="15.75" customHeight="1">
      <c r="A454" s="548"/>
      <c r="B454" s="548"/>
      <c r="C454" s="548"/>
      <c r="D454" s="548"/>
      <c r="E454" s="548"/>
      <c r="F454" s="549"/>
      <c r="G454" s="548"/>
      <c r="H454" s="548"/>
      <c r="I454" s="548"/>
      <c r="J454" s="548"/>
      <c r="K454" s="548"/>
      <c r="L454" s="548"/>
      <c r="M454" s="548"/>
      <c r="N454" s="548"/>
      <c r="O454" s="548"/>
      <c r="P454" s="548"/>
      <c r="Q454" s="548"/>
      <c r="R454" s="548"/>
      <c r="S454" s="548"/>
      <c r="T454" s="548"/>
      <c r="U454" s="548"/>
      <c r="V454" s="548"/>
      <c r="W454" s="548"/>
      <c r="X454" s="548"/>
      <c r="Y454" s="548"/>
      <c r="Z454" s="548"/>
    </row>
    <row r="455" ht="15.75" customHeight="1">
      <c r="A455" s="548"/>
      <c r="B455" s="548"/>
      <c r="C455" s="548"/>
      <c r="D455" s="548"/>
      <c r="E455" s="548"/>
      <c r="F455" s="549"/>
      <c r="G455" s="548"/>
      <c r="H455" s="548"/>
      <c r="I455" s="548"/>
      <c r="J455" s="548"/>
      <c r="K455" s="548"/>
      <c r="L455" s="548"/>
      <c r="M455" s="548"/>
      <c r="N455" s="548"/>
      <c r="O455" s="548"/>
      <c r="P455" s="548"/>
      <c r="Q455" s="548"/>
      <c r="R455" s="548"/>
      <c r="S455" s="548"/>
      <c r="T455" s="548"/>
      <c r="U455" s="548"/>
      <c r="V455" s="548"/>
      <c r="W455" s="548"/>
      <c r="X455" s="548"/>
      <c r="Y455" s="548"/>
      <c r="Z455" s="548"/>
    </row>
    <row r="456" ht="15.75" customHeight="1">
      <c r="A456" s="548"/>
      <c r="B456" s="548"/>
      <c r="C456" s="548"/>
      <c r="D456" s="548"/>
      <c r="E456" s="548"/>
      <c r="F456" s="549"/>
      <c r="G456" s="548"/>
      <c r="H456" s="548"/>
      <c r="I456" s="548"/>
      <c r="J456" s="548"/>
      <c r="K456" s="548"/>
      <c r="L456" s="548"/>
      <c r="M456" s="548"/>
      <c r="N456" s="548"/>
      <c r="O456" s="548"/>
      <c r="P456" s="548"/>
      <c r="Q456" s="548"/>
      <c r="R456" s="548"/>
      <c r="S456" s="548"/>
      <c r="T456" s="548"/>
      <c r="U456" s="548"/>
      <c r="V456" s="548"/>
      <c r="W456" s="548"/>
      <c r="X456" s="548"/>
      <c r="Y456" s="548"/>
      <c r="Z456" s="548"/>
    </row>
    <row r="457" ht="15.75" customHeight="1">
      <c r="A457" s="548"/>
      <c r="B457" s="548"/>
      <c r="C457" s="548"/>
      <c r="D457" s="548"/>
      <c r="E457" s="548"/>
      <c r="F457" s="549"/>
      <c r="G457" s="548"/>
      <c r="H457" s="548"/>
      <c r="I457" s="548"/>
      <c r="J457" s="548"/>
      <c r="K457" s="548"/>
      <c r="L457" s="548"/>
      <c r="M457" s="548"/>
      <c r="N457" s="548"/>
      <c r="O457" s="548"/>
      <c r="P457" s="548"/>
      <c r="Q457" s="548"/>
      <c r="R457" s="548"/>
      <c r="S457" s="548"/>
      <c r="T457" s="548"/>
      <c r="U457" s="548"/>
      <c r="V457" s="548"/>
      <c r="W457" s="548"/>
      <c r="X457" s="548"/>
      <c r="Y457" s="548"/>
      <c r="Z457" s="548"/>
    </row>
    <row r="458" ht="15.75" customHeight="1">
      <c r="A458" s="548"/>
      <c r="B458" s="548"/>
      <c r="C458" s="548"/>
      <c r="D458" s="548"/>
      <c r="E458" s="548"/>
      <c r="F458" s="549"/>
      <c r="G458" s="548"/>
      <c r="H458" s="548"/>
      <c r="I458" s="548"/>
      <c r="J458" s="548"/>
      <c r="K458" s="548"/>
      <c r="L458" s="548"/>
      <c r="M458" s="548"/>
      <c r="N458" s="548"/>
      <c r="O458" s="548"/>
      <c r="P458" s="548"/>
      <c r="Q458" s="548"/>
      <c r="R458" s="548"/>
      <c r="S458" s="548"/>
      <c r="T458" s="548"/>
      <c r="U458" s="548"/>
      <c r="V458" s="548"/>
      <c r="W458" s="548"/>
      <c r="X458" s="548"/>
      <c r="Y458" s="548"/>
      <c r="Z458" s="548"/>
    </row>
    <row r="459" ht="15.75" customHeight="1">
      <c r="A459" s="548"/>
      <c r="B459" s="548"/>
      <c r="C459" s="548"/>
      <c r="D459" s="548"/>
      <c r="E459" s="548"/>
      <c r="F459" s="549"/>
      <c r="G459" s="548"/>
      <c r="H459" s="548"/>
      <c r="I459" s="548"/>
      <c r="J459" s="548"/>
      <c r="K459" s="548"/>
      <c r="L459" s="548"/>
      <c r="M459" s="548"/>
      <c r="N459" s="548"/>
      <c r="O459" s="548"/>
      <c r="P459" s="548"/>
      <c r="Q459" s="548"/>
      <c r="R459" s="548"/>
      <c r="S459" s="548"/>
      <c r="T459" s="548"/>
      <c r="U459" s="548"/>
      <c r="V459" s="548"/>
      <c r="W459" s="548"/>
      <c r="X459" s="548"/>
      <c r="Y459" s="548"/>
      <c r="Z459" s="548"/>
    </row>
    <row r="460" ht="15.75" customHeight="1">
      <c r="A460" s="548"/>
      <c r="B460" s="548"/>
      <c r="C460" s="548"/>
      <c r="D460" s="548"/>
      <c r="E460" s="548"/>
      <c r="F460" s="549"/>
      <c r="G460" s="548"/>
      <c r="H460" s="548"/>
      <c r="I460" s="548"/>
      <c r="J460" s="548"/>
      <c r="K460" s="548"/>
      <c r="L460" s="548"/>
      <c r="M460" s="548"/>
      <c r="N460" s="548"/>
      <c r="O460" s="548"/>
      <c r="P460" s="548"/>
      <c r="Q460" s="548"/>
      <c r="R460" s="548"/>
      <c r="S460" s="548"/>
      <c r="T460" s="548"/>
      <c r="U460" s="548"/>
      <c r="V460" s="548"/>
      <c r="W460" s="548"/>
      <c r="X460" s="548"/>
      <c r="Y460" s="548"/>
      <c r="Z460" s="548"/>
    </row>
    <row r="461" ht="15.75" customHeight="1">
      <c r="A461" s="548"/>
      <c r="B461" s="548"/>
      <c r="C461" s="548"/>
      <c r="D461" s="548"/>
      <c r="E461" s="548"/>
      <c r="F461" s="549"/>
      <c r="G461" s="548"/>
      <c r="H461" s="548"/>
      <c r="I461" s="548"/>
      <c r="J461" s="548"/>
      <c r="K461" s="548"/>
      <c r="L461" s="548"/>
      <c r="M461" s="548"/>
      <c r="N461" s="548"/>
      <c r="O461" s="548"/>
      <c r="P461" s="548"/>
      <c r="Q461" s="548"/>
      <c r="R461" s="548"/>
      <c r="S461" s="548"/>
      <c r="T461" s="548"/>
      <c r="U461" s="548"/>
      <c r="V461" s="548"/>
      <c r="W461" s="548"/>
      <c r="X461" s="548"/>
      <c r="Y461" s="548"/>
      <c r="Z461" s="548"/>
    </row>
    <row r="462" ht="15.75" customHeight="1">
      <c r="A462" s="548"/>
      <c r="B462" s="548"/>
      <c r="C462" s="548"/>
      <c r="D462" s="548"/>
      <c r="E462" s="548"/>
      <c r="F462" s="549"/>
      <c r="G462" s="548"/>
      <c r="H462" s="548"/>
      <c r="I462" s="548"/>
      <c r="J462" s="548"/>
      <c r="K462" s="548"/>
      <c r="L462" s="548"/>
      <c r="M462" s="548"/>
      <c r="N462" s="548"/>
      <c r="O462" s="548"/>
      <c r="P462" s="548"/>
      <c r="Q462" s="548"/>
      <c r="R462" s="548"/>
      <c r="S462" s="548"/>
      <c r="T462" s="548"/>
      <c r="U462" s="548"/>
      <c r="V462" s="548"/>
      <c r="W462" s="548"/>
      <c r="X462" s="548"/>
      <c r="Y462" s="548"/>
      <c r="Z462" s="548"/>
    </row>
    <row r="463" ht="15.75" customHeight="1">
      <c r="A463" s="548"/>
      <c r="B463" s="548"/>
      <c r="C463" s="548"/>
      <c r="D463" s="548"/>
      <c r="E463" s="548"/>
      <c r="F463" s="549"/>
      <c r="G463" s="548"/>
      <c r="H463" s="548"/>
      <c r="I463" s="548"/>
      <c r="J463" s="548"/>
      <c r="K463" s="548"/>
      <c r="L463" s="548"/>
      <c r="M463" s="548"/>
      <c r="N463" s="548"/>
      <c r="O463" s="548"/>
      <c r="P463" s="548"/>
      <c r="Q463" s="548"/>
      <c r="R463" s="548"/>
      <c r="S463" s="548"/>
      <c r="T463" s="548"/>
      <c r="U463" s="548"/>
      <c r="V463" s="548"/>
      <c r="W463" s="548"/>
      <c r="X463" s="548"/>
      <c r="Y463" s="548"/>
      <c r="Z463" s="548"/>
    </row>
    <row r="464" ht="15.75" customHeight="1">
      <c r="A464" s="548"/>
      <c r="B464" s="548"/>
      <c r="C464" s="548"/>
      <c r="D464" s="548"/>
      <c r="E464" s="548"/>
      <c r="F464" s="549"/>
      <c r="G464" s="548"/>
      <c r="H464" s="548"/>
      <c r="I464" s="548"/>
      <c r="J464" s="548"/>
      <c r="K464" s="548"/>
      <c r="L464" s="548"/>
      <c r="M464" s="548"/>
      <c r="N464" s="548"/>
      <c r="O464" s="548"/>
      <c r="P464" s="548"/>
      <c r="Q464" s="548"/>
      <c r="R464" s="548"/>
      <c r="S464" s="548"/>
      <c r="T464" s="548"/>
      <c r="U464" s="548"/>
      <c r="V464" s="548"/>
      <c r="W464" s="548"/>
      <c r="X464" s="548"/>
      <c r="Y464" s="548"/>
      <c r="Z464" s="548"/>
    </row>
    <row r="465" ht="15.75" customHeight="1">
      <c r="A465" s="548"/>
      <c r="B465" s="548"/>
      <c r="C465" s="548"/>
      <c r="D465" s="548"/>
      <c r="E465" s="548"/>
      <c r="F465" s="549"/>
      <c r="G465" s="548"/>
      <c r="H465" s="548"/>
      <c r="I465" s="548"/>
      <c r="J465" s="548"/>
      <c r="K465" s="548"/>
      <c r="L465" s="548"/>
      <c r="M465" s="548"/>
      <c r="N465" s="548"/>
      <c r="O465" s="548"/>
      <c r="P465" s="548"/>
      <c r="Q465" s="548"/>
      <c r="R465" s="548"/>
      <c r="S465" s="548"/>
      <c r="T465" s="548"/>
      <c r="U465" s="548"/>
      <c r="V465" s="548"/>
      <c r="W465" s="548"/>
      <c r="X465" s="548"/>
      <c r="Y465" s="548"/>
      <c r="Z465" s="548"/>
    </row>
    <row r="466" ht="15.75" customHeight="1">
      <c r="A466" s="548"/>
      <c r="B466" s="548"/>
      <c r="C466" s="548"/>
      <c r="D466" s="548"/>
      <c r="E466" s="548"/>
      <c r="F466" s="549"/>
      <c r="G466" s="548"/>
      <c r="H466" s="548"/>
      <c r="I466" s="548"/>
      <c r="J466" s="548"/>
      <c r="K466" s="548"/>
      <c r="L466" s="548"/>
      <c r="M466" s="548"/>
      <c r="N466" s="548"/>
      <c r="O466" s="548"/>
      <c r="P466" s="548"/>
      <c r="Q466" s="548"/>
      <c r="R466" s="548"/>
      <c r="S466" s="548"/>
      <c r="T466" s="548"/>
      <c r="U466" s="548"/>
      <c r="V466" s="548"/>
      <c r="W466" s="548"/>
      <c r="X466" s="548"/>
      <c r="Y466" s="548"/>
      <c r="Z466" s="548"/>
    </row>
    <row r="467" ht="15.75" customHeight="1">
      <c r="A467" s="548"/>
      <c r="B467" s="548"/>
      <c r="C467" s="548"/>
      <c r="D467" s="548"/>
      <c r="E467" s="548"/>
      <c r="F467" s="549"/>
      <c r="G467" s="548"/>
      <c r="H467" s="548"/>
      <c r="I467" s="548"/>
      <c r="J467" s="548"/>
      <c r="K467" s="548"/>
      <c r="L467" s="548"/>
      <c r="M467" s="548"/>
      <c r="N467" s="548"/>
      <c r="O467" s="548"/>
      <c r="P467" s="548"/>
      <c r="Q467" s="548"/>
      <c r="R467" s="548"/>
      <c r="S467" s="548"/>
      <c r="T467" s="548"/>
      <c r="U467" s="548"/>
      <c r="V467" s="548"/>
      <c r="W467" s="548"/>
      <c r="X467" s="548"/>
      <c r="Y467" s="548"/>
      <c r="Z467" s="548"/>
    </row>
    <row r="468" ht="15.75" customHeight="1">
      <c r="A468" s="548"/>
      <c r="B468" s="548"/>
      <c r="C468" s="548"/>
      <c r="D468" s="548"/>
      <c r="E468" s="548"/>
      <c r="F468" s="549"/>
      <c r="G468" s="548"/>
      <c r="H468" s="548"/>
      <c r="I468" s="548"/>
      <c r="J468" s="548"/>
      <c r="K468" s="548"/>
      <c r="L468" s="548"/>
      <c r="M468" s="548"/>
      <c r="N468" s="548"/>
      <c r="O468" s="548"/>
      <c r="P468" s="548"/>
      <c r="Q468" s="548"/>
      <c r="R468" s="548"/>
      <c r="S468" s="548"/>
      <c r="T468" s="548"/>
      <c r="U468" s="548"/>
      <c r="V468" s="548"/>
      <c r="W468" s="548"/>
      <c r="X468" s="548"/>
      <c r="Y468" s="548"/>
      <c r="Z468" s="548"/>
    </row>
    <row r="469" ht="15.75" customHeight="1">
      <c r="A469" s="548"/>
      <c r="B469" s="548"/>
      <c r="C469" s="548"/>
      <c r="D469" s="548"/>
      <c r="E469" s="548"/>
      <c r="F469" s="549"/>
      <c r="G469" s="548"/>
      <c r="H469" s="548"/>
      <c r="I469" s="548"/>
      <c r="J469" s="548"/>
      <c r="K469" s="548"/>
      <c r="L469" s="548"/>
      <c r="M469" s="548"/>
      <c r="N469" s="548"/>
      <c r="O469" s="548"/>
      <c r="P469" s="548"/>
      <c r="Q469" s="548"/>
      <c r="R469" s="548"/>
      <c r="S469" s="548"/>
      <c r="T469" s="548"/>
      <c r="U469" s="548"/>
      <c r="V469" s="548"/>
      <c r="W469" s="548"/>
      <c r="X469" s="548"/>
      <c r="Y469" s="548"/>
      <c r="Z469" s="548"/>
    </row>
    <row r="470" ht="15.75" customHeight="1">
      <c r="A470" s="548"/>
      <c r="B470" s="548"/>
      <c r="C470" s="548"/>
      <c r="D470" s="548"/>
      <c r="E470" s="548"/>
      <c r="F470" s="549"/>
      <c r="G470" s="548"/>
      <c r="H470" s="548"/>
      <c r="I470" s="548"/>
      <c r="J470" s="548"/>
      <c r="K470" s="548"/>
      <c r="L470" s="548"/>
      <c r="M470" s="548"/>
      <c r="N470" s="548"/>
      <c r="O470" s="548"/>
      <c r="P470" s="548"/>
      <c r="Q470" s="548"/>
      <c r="R470" s="548"/>
      <c r="S470" s="548"/>
      <c r="T470" s="548"/>
      <c r="U470" s="548"/>
      <c r="V470" s="548"/>
      <c r="W470" s="548"/>
      <c r="X470" s="548"/>
      <c r="Y470" s="548"/>
      <c r="Z470" s="548"/>
    </row>
    <row r="471" ht="15.75" customHeight="1">
      <c r="A471" s="548"/>
      <c r="B471" s="548"/>
      <c r="C471" s="548"/>
      <c r="D471" s="548"/>
      <c r="E471" s="548"/>
      <c r="F471" s="549"/>
      <c r="G471" s="548"/>
      <c r="H471" s="548"/>
      <c r="I471" s="548"/>
      <c r="J471" s="548"/>
      <c r="K471" s="548"/>
      <c r="L471" s="548"/>
      <c r="M471" s="548"/>
      <c r="N471" s="548"/>
      <c r="O471" s="548"/>
      <c r="P471" s="548"/>
      <c r="Q471" s="548"/>
      <c r="R471" s="548"/>
      <c r="S471" s="548"/>
      <c r="T471" s="548"/>
      <c r="U471" s="548"/>
      <c r="V471" s="548"/>
      <c r="W471" s="548"/>
      <c r="X471" s="548"/>
      <c r="Y471" s="548"/>
      <c r="Z471" s="548"/>
    </row>
    <row r="472" ht="15.75" customHeight="1">
      <c r="A472" s="548"/>
      <c r="B472" s="548"/>
      <c r="C472" s="548"/>
      <c r="D472" s="548"/>
      <c r="E472" s="548"/>
      <c r="F472" s="549"/>
      <c r="G472" s="548"/>
      <c r="H472" s="548"/>
      <c r="I472" s="548"/>
      <c r="J472" s="548"/>
      <c r="K472" s="548"/>
      <c r="L472" s="548"/>
      <c r="M472" s="548"/>
      <c r="N472" s="548"/>
      <c r="O472" s="548"/>
      <c r="P472" s="548"/>
      <c r="Q472" s="548"/>
      <c r="R472" s="548"/>
      <c r="S472" s="548"/>
      <c r="T472" s="548"/>
      <c r="U472" s="548"/>
      <c r="V472" s="548"/>
      <c r="W472" s="548"/>
      <c r="X472" s="548"/>
      <c r="Y472" s="548"/>
      <c r="Z472" s="548"/>
    </row>
    <row r="473" ht="15.75" customHeight="1">
      <c r="A473" s="548"/>
      <c r="B473" s="548"/>
      <c r="C473" s="548"/>
      <c r="D473" s="548"/>
      <c r="E473" s="548"/>
      <c r="F473" s="549"/>
      <c r="G473" s="548"/>
      <c r="H473" s="548"/>
      <c r="I473" s="548"/>
      <c r="J473" s="548"/>
      <c r="K473" s="548"/>
      <c r="L473" s="548"/>
      <c r="M473" s="548"/>
      <c r="N473" s="548"/>
      <c r="O473" s="548"/>
      <c r="P473" s="548"/>
      <c r="Q473" s="548"/>
      <c r="R473" s="548"/>
      <c r="S473" s="548"/>
      <c r="T473" s="548"/>
      <c r="U473" s="548"/>
      <c r="V473" s="548"/>
      <c r="W473" s="548"/>
      <c r="X473" s="548"/>
      <c r="Y473" s="548"/>
      <c r="Z473" s="548"/>
    </row>
    <row r="474" ht="15.75" customHeight="1">
      <c r="A474" s="548"/>
      <c r="B474" s="548"/>
      <c r="C474" s="548"/>
      <c r="D474" s="548"/>
      <c r="E474" s="548"/>
      <c r="F474" s="549"/>
      <c r="G474" s="548"/>
      <c r="H474" s="548"/>
      <c r="I474" s="548"/>
      <c r="J474" s="548"/>
      <c r="K474" s="548"/>
      <c r="L474" s="548"/>
      <c r="M474" s="548"/>
      <c r="N474" s="548"/>
      <c r="O474" s="548"/>
      <c r="P474" s="548"/>
      <c r="Q474" s="548"/>
      <c r="R474" s="548"/>
      <c r="S474" s="548"/>
      <c r="T474" s="548"/>
      <c r="U474" s="548"/>
      <c r="V474" s="548"/>
      <c r="W474" s="548"/>
      <c r="X474" s="548"/>
      <c r="Y474" s="548"/>
      <c r="Z474" s="548"/>
    </row>
    <row r="475" ht="15.75" customHeight="1">
      <c r="A475" s="548"/>
      <c r="B475" s="548"/>
      <c r="C475" s="548"/>
      <c r="D475" s="548"/>
      <c r="E475" s="548"/>
      <c r="F475" s="549"/>
      <c r="G475" s="548"/>
      <c r="H475" s="548"/>
      <c r="I475" s="548"/>
      <c r="J475" s="548"/>
      <c r="K475" s="548"/>
      <c r="L475" s="548"/>
      <c r="M475" s="548"/>
      <c r="N475" s="548"/>
      <c r="O475" s="548"/>
      <c r="P475" s="548"/>
      <c r="Q475" s="548"/>
      <c r="R475" s="548"/>
      <c r="S475" s="548"/>
      <c r="T475" s="548"/>
      <c r="U475" s="548"/>
      <c r="V475" s="548"/>
      <c r="W475" s="548"/>
      <c r="X475" s="548"/>
      <c r="Y475" s="548"/>
      <c r="Z475" s="548"/>
    </row>
    <row r="476" ht="15.75" customHeight="1">
      <c r="A476" s="548"/>
      <c r="B476" s="548"/>
      <c r="C476" s="548"/>
      <c r="D476" s="548"/>
      <c r="E476" s="548"/>
      <c r="F476" s="549"/>
      <c r="G476" s="548"/>
      <c r="H476" s="548"/>
      <c r="I476" s="548"/>
      <c r="J476" s="548"/>
      <c r="K476" s="548"/>
      <c r="L476" s="548"/>
      <c r="M476" s="548"/>
      <c r="N476" s="548"/>
      <c r="O476" s="548"/>
      <c r="P476" s="548"/>
      <c r="Q476" s="548"/>
      <c r="R476" s="548"/>
      <c r="S476" s="548"/>
      <c r="T476" s="548"/>
      <c r="U476" s="548"/>
      <c r="V476" s="548"/>
      <c r="W476" s="548"/>
      <c r="X476" s="548"/>
      <c r="Y476" s="548"/>
      <c r="Z476" s="548"/>
    </row>
    <row r="477" ht="15.75" customHeight="1">
      <c r="A477" s="548"/>
      <c r="B477" s="548"/>
      <c r="C477" s="548"/>
      <c r="D477" s="548"/>
      <c r="E477" s="548"/>
      <c r="F477" s="549"/>
      <c r="G477" s="548"/>
      <c r="H477" s="548"/>
      <c r="I477" s="548"/>
      <c r="J477" s="548"/>
      <c r="K477" s="548"/>
      <c r="L477" s="548"/>
      <c r="M477" s="548"/>
      <c r="N477" s="548"/>
      <c r="O477" s="548"/>
      <c r="P477" s="548"/>
      <c r="Q477" s="548"/>
      <c r="R477" s="548"/>
      <c r="S477" s="548"/>
      <c r="T477" s="548"/>
      <c r="U477" s="548"/>
      <c r="V477" s="548"/>
      <c r="W477" s="548"/>
      <c r="X477" s="548"/>
      <c r="Y477" s="548"/>
      <c r="Z477" s="548"/>
    </row>
    <row r="478" ht="15.75" customHeight="1">
      <c r="A478" s="548"/>
      <c r="B478" s="548"/>
      <c r="C478" s="548"/>
      <c r="D478" s="548"/>
      <c r="E478" s="548"/>
      <c r="F478" s="549"/>
      <c r="G478" s="548"/>
      <c r="H478" s="548"/>
      <c r="I478" s="548"/>
      <c r="J478" s="548"/>
      <c r="K478" s="548"/>
      <c r="L478" s="548"/>
      <c r="M478" s="548"/>
      <c r="N478" s="548"/>
      <c r="O478" s="548"/>
      <c r="P478" s="548"/>
      <c r="Q478" s="548"/>
      <c r="R478" s="548"/>
      <c r="S478" s="548"/>
      <c r="T478" s="548"/>
      <c r="U478" s="548"/>
      <c r="V478" s="548"/>
      <c r="W478" s="548"/>
      <c r="X478" s="548"/>
      <c r="Y478" s="548"/>
      <c r="Z478" s="548"/>
    </row>
    <row r="479" ht="15.75" customHeight="1">
      <c r="A479" s="548"/>
      <c r="B479" s="548"/>
      <c r="C479" s="548"/>
      <c r="D479" s="548"/>
      <c r="E479" s="548"/>
      <c r="F479" s="549"/>
      <c r="G479" s="548"/>
      <c r="H479" s="548"/>
      <c r="I479" s="548"/>
      <c r="J479" s="548"/>
      <c r="K479" s="548"/>
      <c r="L479" s="548"/>
      <c r="M479" s="548"/>
      <c r="N479" s="548"/>
      <c r="O479" s="548"/>
      <c r="P479" s="548"/>
      <c r="Q479" s="548"/>
      <c r="R479" s="548"/>
      <c r="S479" s="548"/>
      <c r="T479" s="548"/>
      <c r="U479" s="548"/>
      <c r="V479" s="548"/>
      <c r="W479" s="548"/>
      <c r="X479" s="548"/>
      <c r="Y479" s="548"/>
      <c r="Z479" s="548"/>
    </row>
    <row r="480" ht="15.75" customHeight="1">
      <c r="A480" s="548"/>
      <c r="B480" s="548"/>
      <c r="C480" s="548"/>
      <c r="D480" s="548"/>
      <c r="E480" s="548"/>
      <c r="F480" s="549"/>
      <c r="G480" s="548"/>
      <c r="H480" s="548"/>
      <c r="I480" s="548"/>
      <c r="J480" s="548"/>
      <c r="K480" s="548"/>
      <c r="L480" s="548"/>
      <c r="M480" s="548"/>
      <c r="N480" s="548"/>
      <c r="O480" s="548"/>
      <c r="P480" s="548"/>
      <c r="Q480" s="548"/>
      <c r="R480" s="548"/>
      <c r="S480" s="548"/>
      <c r="T480" s="548"/>
      <c r="U480" s="548"/>
      <c r="V480" s="548"/>
      <c r="W480" s="548"/>
      <c r="X480" s="548"/>
      <c r="Y480" s="548"/>
      <c r="Z480" s="548"/>
    </row>
    <row r="481" ht="15.75" customHeight="1">
      <c r="A481" s="548"/>
      <c r="B481" s="548"/>
      <c r="C481" s="548"/>
      <c r="D481" s="548"/>
      <c r="E481" s="548"/>
      <c r="F481" s="549"/>
      <c r="G481" s="548"/>
      <c r="H481" s="548"/>
      <c r="I481" s="548"/>
      <c r="J481" s="548"/>
      <c r="K481" s="548"/>
      <c r="L481" s="548"/>
      <c r="M481" s="548"/>
      <c r="N481" s="548"/>
      <c r="O481" s="548"/>
      <c r="P481" s="548"/>
      <c r="Q481" s="548"/>
      <c r="R481" s="548"/>
      <c r="S481" s="548"/>
      <c r="T481" s="548"/>
      <c r="U481" s="548"/>
      <c r="V481" s="548"/>
      <c r="W481" s="548"/>
      <c r="X481" s="548"/>
      <c r="Y481" s="548"/>
      <c r="Z481" s="548"/>
    </row>
    <row r="482" ht="15.75" customHeight="1">
      <c r="A482" s="548"/>
      <c r="B482" s="548"/>
      <c r="C482" s="548"/>
      <c r="D482" s="548"/>
      <c r="E482" s="548"/>
      <c r="F482" s="549"/>
      <c r="G482" s="548"/>
      <c r="H482" s="548"/>
      <c r="I482" s="548"/>
      <c r="J482" s="548"/>
      <c r="K482" s="548"/>
      <c r="L482" s="548"/>
      <c r="M482" s="548"/>
      <c r="N482" s="548"/>
      <c r="O482" s="548"/>
      <c r="P482" s="548"/>
      <c r="Q482" s="548"/>
      <c r="R482" s="548"/>
      <c r="S482" s="548"/>
      <c r="T482" s="548"/>
      <c r="U482" s="548"/>
      <c r="V482" s="548"/>
      <c r="W482" s="548"/>
      <c r="X482" s="548"/>
      <c r="Y482" s="548"/>
      <c r="Z482" s="548"/>
    </row>
    <row r="483" ht="15.75" customHeight="1">
      <c r="A483" s="548"/>
      <c r="B483" s="548"/>
      <c r="C483" s="548"/>
      <c r="D483" s="548"/>
      <c r="E483" s="548"/>
      <c r="F483" s="549"/>
      <c r="G483" s="548"/>
      <c r="H483" s="548"/>
      <c r="I483" s="548"/>
      <c r="J483" s="548"/>
      <c r="K483" s="548"/>
      <c r="L483" s="548"/>
      <c r="M483" s="548"/>
      <c r="N483" s="548"/>
      <c r="O483" s="548"/>
      <c r="P483" s="548"/>
      <c r="Q483" s="548"/>
      <c r="R483" s="548"/>
      <c r="S483" s="548"/>
      <c r="T483" s="548"/>
      <c r="U483" s="548"/>
      <c r="V483" s="548"/>
      <c r="W483" s="548"/>
      <c r="X483" s="548"/>
      <c r="Y483" s="548"/>
      <c r="Z483" s="548"/>
    </row>
    <row r="484" ht="15.75" customHeight="1">
      <c r="A484" s="548"/>
      <c r="B484" s="548"/>
      <c r="C484" s="548"/>
      <c r="D484" s="548"/>
      <c r="E484" s="548"/>
      <c r="F484" s="549"/>
      <c r="G484" s="548"/>
      <c r="H484" s="548"/>
      <c r="I484" s="548"/>
      <c r="J484" s="548"/>
      <c r="K484" s="548"/>
      <c r="L484" s="548"/>
      <c r="M484" s="548"/>
      <c r="N484" s="548"/>
      <c r="O484" s="548"/>
      <c r="P484" s="548"/>
      <c r="Q484" s="548"/>
      <c r="R484" s="548"/>
      <c r="S484" s="548"/>
      <c r="T484" s="548"/>
      <c r="U484" s="548"/>
      <c r="V484" s="548"/>
      <c r="W484" s="548"/>
      <c r="X484" s="548"/>
      <c r="Y484" s="548"/>
      <c r="Z484" s="548"/>
    </row>
    <row r="485" ht="15.75" customHeight="1">
      <c r="A485" s="548"/>
      <c r="B485" s="548"/>
      <c r="C485" s="548"/>
      <c r="D485" s="548"/>
      <c r="E485" s="548"/>
      <c r="F485" s="549"/>
      <c r="G485" s="548"/>
      <c r="H485" s="548"/>
      <c r="I485" s="548"/>
      <c r="J485" s="548"/>
      <c r="K485" s="548"/>
      <c r="L485" s="548"/>
      <c r="M485" s="548"/>
      <c r="N485" s="548"/>
      <c r="O485" s="548"/>
      <c r="P485" s="548"/>
      <c r="Q485" s="548"/>
      <c r="R485" s="548"/>
      <c r="S485" s="548"/>
      <c r="T485" s="548"/>
      <c r="U485" s="548"/>
      <c r="V485" s="548"/>
      <c r="W485" s="548"/>
      <c r="X485" s="548"/>
      <c r="Y485" s="548"/>
      <c r="Z485" s="548"/>
    </row>
    <row r="486" ht="15.75" customHeight="1">
      <c r="A486" s="548"/>
      <c r="B486" s="548"/>
      <c r="C486" s="548"/>
      <c r="D486" s="548"/>
      <c r="E486" s="548"/>
      <c r="F486" s="549"/>
      <c r="G486" s="548"/>
      <c r="H486" s="548"/>
      <c r="I486" s="548"/>
      <c r="J486" s="548"/>
      <c r="K486" s="548"/>
      <c r="L486" s="548"/>
      <c r="M486" s="548"/>
      <c r="N486" s="548"/>
      <c r="O486" s="548"/>
      <c r="P486" s="548"/>
      <c r="Q486" s="548"/>
      <c r="R486" s="548"/>
      <c r="S486" s="548"/>
      <c r="T486" s="548"/>
      <c r="U486" s="548"/>
      <c r="V486" s="548"/>
      <c r="W486" s="548"/>
      <c r="X486" s="548"/>
      <c r="Y486" s="548"/>
      <c r="Z486" s="548"/>
    </row>
    <row r="487" ht="15.75" customHeight="1">
      <c r="A487" s="548"/>
      <c r="B487" s="548"/>
      <c r="C487" s="548"/>
      <c r="D487" s="548"/>
      <c r="E487" s="548"/>
      <c r="F487" s="549"/>
      <c r="G487" s="548"/>
      <c r="H487" s="548"/>
      <c r="I487" s="548"/>
      <c r="J487" s="548"/>
      <c r="K487" s="548"/>
      <c r="L487" s="548"/>
      <c r="M487" s="548"/>
      <c r="N487" s="548"/>
      <c r="O487" s="548"/>
      <c r="P487" s="548"/>
      <c r="Q487" s="548"/>
      <c r="R487" s="548"/>
      <c r="S487" s="548"/>
      <c r="T487" s="548"/>
      <c r="U487" s="548"/>
      <c r="V487" s="548"/>
      <c r="W487" s="548"/>
      <c r="X487" s="548"/>
      <c r="Y487" s="548"/>
      <c r="Z487" s="548"/>
    </row>
    <row r="488" ht="15.75" customHeight="1">
      <c r="A488" s="548"/>
      <c r="B488" s="548"/>
      <c r="C488" s="548"/>
      <c r="D488" s="548"/>
      <c r="E488" s="548"/>
      <c r="F488" s="549"/>
      <c r="G488" s="548"/>
      <c r="H488" s="548"/>
      <c r="I488" s="548"/>
      <c r="J488" s="548"/>
      <c r="K488" s="548"/>
      <c r="L488" s="548"/>
      <c r="M488" s="548"/>
      <c r="N488" s="548"/>
      <c r="O488" s="548"/>
      <c r="P488" s="548"/>
      <c r="Q488" s="548"/>
      <c r="R488" s="548"/>
      <c r="S488" s="548"/>
      <c r="T488" s="548"/>
      <c r="U488" s="548"/>
      <c r="V488" s="548"/>
      <c r="W488" s="548"/>
      <c r="X488" s="548"/>
      <c r="Y488" s="548"/>
      <c r="Z488" s="548"/>
    </row>
    <row r="489" ht="15.75" customHeight="1">
      <c r="A489" s="548"/>
      <c r="B489" s="548"/>
      <c r="C489" s="548"/>
      <c r="D489" s="548"/>
      <c r="E489" s="548"/>
      <c r="F489" s="549"/>
      <c r="G489" s="548"/>
      <c r="H489" s="548"/>
      <c r="I489" s="548"/>
      <c r="J489" s="548"/>
      <c r="K489" s="548"/>
      <c r="L489" s="548"/>
      <c r="M489" s="548"/>
      <c r="N489" s="548"/>
      <c r="O489" s="548"/>
      <c r="P489" s="548"/>
      <c r="Q489" s="548"/>
      <c r="R489" s="548"/>
      <c r="S489" s="548"/>
      <c r="T489" s="548"/>
      <c r="U489" s="548"/>
      <c r="V489" s="548"/>
      <c r="W489" s="548"/>
      <c r="X489" s="548"/>
      <c r="Y489" s="548"/>
      <c r="Z489" s="548"/>
    </row>
    <row r="490" ht="15.75" customHeight="1">
      <c r="A490" s="548"/>
      <c r="B490" s="548"/>
      <c r="C490" s="548"/>
      <c r="D490" s="548"/>
      <c r="E490" s="548"/>
      <c r="F490" s="549"/>
      <c r="G490" s="548"/>
      <c r="H490" s="548"/>
      <c r="I490" s="548"/>
      <c r="J490" s="548"/>
      <c r="K490" s="548"/>
      <c r="L490" s="548"/>
      <c r="M490" s="548"/>
      <c r="N490" s="548"/>
      <c r="O490" s="548"/>
      <c r="P490" s="548"/>
      <c r="Q490" s="548"/>
      <c r="R490" s="548"/>
      <c r="S490" s="548"/>
      <c r="T490" s="548"/>
      <c r="U490" s="548"/>
      <c r="V490" s="548"/>
      <c r="W490" s="548"/>
      <c r="X490" s="548"/>
      <c r="Y490" s="548"/>
      <c r="Z490" s="548"/>
    </row>
    <row r="491" ht="15.75" customHeight="1">
      <c r="A491" s="548"/>
      <c r="B491" s="548"/>
      <c r="C491" s="548"/>
      <c r="D491" s="548"/>
      <c r="E491" s="548"/>
      <c r="F491" s="549"/>
      <c r="G491" s="548"/>
      <c r="H491" s="548"/>
      <c r="I491" s="548"/>
      <c r="J491" s="548"/>
      <c r="K491" s="548"/>
      <c r="L491" s="548"/>
      <c r="M491" s="548"/>
      <c r="N491" s="548"/>
      <c r="O491" s="548"/>
      <c r="P491" s="548"/>
      <c r="Q491" s="548"/>
      <c r="R491" s="548"/>
      <c r="S491" s="548"/>
      <c r="T491" s="548"/>
      <c r="U491" s="548"/>
      <c r="V491" s="548"/>
      <c r="W491" s="548"/>
      <c r="X491" s="548"/>
      <c r="Y491" s="548"/>
      <c r="Z491" s="548"/>
    </row>
    <row r="492" ht="15.75" customHeight="1">
      <c r="A492" s="548"/>
      <c r="B492" s="548"/>
      <c r="C492" s="548"/>
      <c r="D492" s="548"/>
      <c r="E492" s="548"/>
      <c r="F492" s="549"/>
      <c r="G492" s="548"/>
      <c r="H492" s="548"/>
      <c r="I492" s="548"/>
      <c r="J492" s="548"/>
      <c r="K492" s="548"/>
      <c r="L492" s="548"/>
      <c r="M492" s="548"/>
      <c r="N492" s="548"/>
      <c r="O492" s="548"/>
      <c r="P492" s="548"/>
      <c r="Q492" s="548"/>
      <c r="R492" s="548"/>
      <c r="S492" s="548"/>
      <c r="T492" s="548"/>
      <c r="U492" s="548"/>
      <c r="V492" s="548"/>
      <c r="W492" s="548"/>
      <c r="X492" s="548"/>
      <c r="Y492" s="548"/>
      <c r="Z492" s="548"/>
    </row>
    <row r="493" ht="15.75" customHeight="1">
      <c r="A493" s="548"/>
      <c r="B493" s="548"/>
      <c r="C493" s="548"/>
      <c r="D493" s="548"/>
      <c r="E493" s="548"/>
      <c r="F493" s="549"/>
      <c r="G493" s="548"/>
      <c r="H493" s="548"/>
      <c r="I493" s="548"/>
      <c r="J493" s="548"/>
      <c r="K493" s="548"/>
      <c r="L493" s="548"/>
      <c r="M493" s="548"/>
      <c r="N493" s="548"/>
      <c r="O493" s="548"/>
      <c r="P493" s="548"/>
      <c r="Q493" s="548"/>
      <c r="R493" s="548"/>
      <c r="S493" s="548"/>
      <c r="T493" s="548"/>
      <c r="U493" s="548"/>
      <c r="V493" s="548"/>
      <c r="W493" s="548"/>
      <c r="X493" s="548"/>
      <c r="Y493" s="548"/>
      <c r="Z493" s="548"/>
    </row>
    <row r="494" ht="15.75" customHeight="1">
      <c r="A494" s="548"/>
      <c r="B494" s="548"/>
      <c r="C494" s="548"/>
      <c r="D494" s="548"/>
      <c r="E494" s="548"/>
      <c r="F494" s="549"/>
      <c r="G494" s="548"/>
      <c r="H494" s="548"/>
      <c r="I494" s="548"/>
      <c r="J494" s="548"/>
      <c r="K494" s="548"/>
      <c r="L494" s="548"/>
      <c r="M494" s="548"/>
      <c r="N494" s="548"/>
      <c r="O494" s="548"/>
      <c r="P494" s="548"/>
      <c r="Q494" s="548"/>
      <c r="R494" s="548"/>
      <c r="S494" s="548"/>
      <c r="T494" s="548"/>
      <c r="U494" s="548"/>
      <c r="V494" s="548"/>
      <c r="W494" s="548"/>
      <c r="X494" s="548"/>
      <c r="Y494" s="548"/>
      <c r="Z494" s="548"/>
    </row>
    <row r="495" ht="15.75" customHeight="1">
      <c r="A495" s="548"/>
      <c r="B495" s="548"/>
      <c r="C495" s="548"/>
      <c r="D495" s="548"/>
      <c r="E495" s="548"/>
      <c r="F495" s="549"/>
      <c r="G495" s="548"/>
      <c r="H495" s="548"/>
      <c r="I495" s="548"/>
      <c r="J495" s="548"/>
      <c r="K495" s="548"/>
      <c r="L495" s="548"/>
      <c r="M495" s="548"/>
      <c r="N495" s="548"/>
      <c r="O495" s="548"/>
      <c r="P495" s="548"/>
      <c r="Q495" s="548"/>
      <c r="R495" s="548"/>
      <c r="S495" s="548"/>
      <c r="T495" s="548"/>
      <c r="U495" s="548"/>
      <c r="V495" s="548"/>
      <c r="W495" s="548"/>
      <c r="X495" s="548"/>
      <c r="Y495" s="548"/>
      <c r="Z495" s="548"/>
    </row>
    <row r="496" ht="15.75" customHeight="1">
      <c r="A496" s="548"/>
      <c r="B496" s="548"/>
      <c r="C496" s="548"/>
      <c r="D496" s="548"/>
      <c r="E496" s="548"/>
      <c r="F496" s="549"/>
      <c r="G496" s="548"/>
      <c r="H496" s="548"/>
      <c r="I496" s="548"/>
      <c r="J496" s="548"/>
      <c r="K496" s="548"/>
      <c r="L496" s="548"/>
      <c r="M496" s="548"/>
      <c r="N496" s="548"/>
      <c r="O496" s="548"/>
      <c r="P496" s="548"/>
      <c r="Q496" s="548"/>
      <c r="R496" s="548"/>
      <c r="S496" s="548"/>
      <c r="T496" s="548"/>
      <c r="U496" s="548"/>
      <c r="V496" s="548"/>
      <c r="W496" s="548"/>
      <c r="X496" s="548"/>
      <c r="Y496" s="548"/>
      <c r="Z496" s="548"/>
    </row>
    <row r="497" ht="15.75" customHeight="1">
      <c r="A497" s="548"/>
      <c r="B497" s="548"/>
      <c r="C497" s="548"/>
      <c r="D497" s="548"/>
      <c r="E497" s="548"/>
      <c r="F497" s="549"/>
      <c r="G497" s="548"/>
      <c r="H497" s="548"/>
      <c r="I497" s="548"/>
      <c r="J497" s="548"/>
      <c r="K497" s="548"/>
      <c r="L497" s="548"/>
      <c r="M497" s="548"/>
      <c r="N497" s="548"/>
      <c r="O497" s="548"/>
      <c r="P497" s="548"/>
      <c r="Q497" s="548"/>
      <c r="R497" s="548"/>
      <c r="S497" s="548"/>
      <c r="T497" s="548"/>
      <c r="U497" s="548"/>
      <c r="V497" s="548"/>
      <c r="W497" s="548"/>
      <c r="X497" s="548"/>
      <c r="Y497" s="548"/>
      <c r="Z497" s="548"/>
    </row>
    <row r="498" ht="15.75" customHeight="1">
      <c r="A498" s="548"/>
      <c r="B498" s="548"/>
      <c r="C498" s="548"/>
      <c r="D498" s="548"/>
      <c r="E498" s="548"/>
      <c r="F498" s="549"/>
      <c r="G498" s="548"/>
      <c r="H498" s="548"/>
      <c r="I498" s="548"/>
      <c r="J498" s="548"/>
      <c r="K498" s="548"/>
      <c r="L498" s="548"/>
      <c r="M498" s="548"/>
      <c r="N498" s="548"/>
      <c r="O498" s="548"/>
      <c r="P498" s="548"/>
      <c r="Q498" s="548"/>
      <c r="R498" s="548"/>
      <c r="S498" s="548"/>
      <c r="T498" s="548"/>
      <c r="U498" s="548"/>
      <c r="V498" s="548"/>
      <c r="W498" s="548"/>
      <c r="X498" s="548"/>
      <c r="Y498" s="548"/>
      <c r="Z498" s="548"/>
    </row>
    <row r="499" ht="15.75" customHeight="1">
      <c r="A499" s="548"/>
      <c r="B499" s="548"/>
      <c r="C499" s="548"/>
      <c r="D499" s="548"/>
      <c r="E499" s="548"/>
      <c r="F499" s="549"/>
      <c r="G499" s="548"/>
      <c r="H499" s="548"/>
      <c r="I499" s="548"/>
      <c r="J499" s="548"/>
      <c r="K499" s="548"/>
      <c r="L499" s="548"/>
      <c r="M499" s="548"/>
      <c r="N499" s="548"/>
      <c r="O499" s="548"/>
      <c r="P499" s="548"/>
      <c r="Q499" s="548"/>
      <c r="R499" s="548"/>
      <c r="S499" s="548"/>
      <c r="T499" s="548"/>
      <c r="U499" s="548"/>
      <c r="V499" s="548"/>
      <c r="W499" s="548"/>
      <c r="X499" s="548"/>
      <c r="Y499" s="548"/>
      <c r="Z499" s="548"/>
    </row>
    <row r="500" ht="15.75" customHeight="1">
      <c r="A500" s="548"/>
      <c r="B500" s="548"/>
      <c r="C500" s="548"/>
      <c r="D500" s="548"/>
      <c r="E500" s="548"/>
      <c r="F500" s="549"/>
      <c r="G500" s="548"/>
      <c r="H500" s="548"/>
      <c r="I500" s="548"/>
      <c r="J500" s="548"/>
      <c r="K500" s="548"/>
      <c r="L500" s="548"/>
      <c r="M500" s="548"/>
      <c r="N500" s="548"/>
      <c r="O500" s="548"/>
      <c r="P500" s="548"/>
      <c r="Q500" s="548"/>
      <c r="R500" s="548"/>
      <c r="S500" s="548"/>
      <c r="T500" s="548"/>
      <c r="U500" s="548"/>
      <c r="V500" s="548"/>
      <c r="W500" s="548"/>
      <c r="X500" s="548"/>
      <c r="Y500" s="548"/>
      <c r="Z500" s="548"/>
    </row>
    <row r="501" ht="15.75" customHeight="1">
      <c r="A501" s="548"/>
      <c r="B501" s="548"/>
      <c r="C501" s="548"/>
      <c r="D501" s="548"/>
      <c r="E501" s="548"/>
      <c r="F501" s="549"/>
      <c r="G501" s="548"/>
      <c r="H501" s="548"/>
      <c r="I501" s="548"/>
      <c r="J501" s="548"/>
      <c r="K501" s="548"/>
      <c r="L501" s="548"/>
      <c r="M501" s="548"/>
      <c r="N501" s="548"/>
      <c r="O501" s="548"/>
      <c r="P501" s="548"/>
      <c r="Q501" s="548"/>
      <c r="R501" s="548"/>
      <c r="S501" s="548"/>
      <c r="T501" s="548"/>
      <c r="U501" s="548"/>
      <c r="V501" s="548"/>
      <c r="W501" s="548"/>
      <c r="X501" s="548"/>
      <c r="Y501" s="548"/>
      <c r="Z501" s="548"/>
    </row>
    <row r="502" ht="15.75" customHeight="1">
      <c r="A502" s="548"/>
      <c r="B502" s="548"/>
      <c r="C502" s="548"/>
      <c r="D502" s="548"/>
      <c r="E502" s="548"/>
      <c r="F502" s="549"/>
      <c r="G502" s="548"/>
      <c r="H502" s="548"/>
      <c r="I502" s="548"/>
      <c r="J502" s="548"/>
      <c r="K502" s="548"/>
      <c r="L502" s="548"/>
      <c r="M502" s="548"/>
      <c r="N502" s="548"/>
      <c r="O502" s="548"/>
      <c r="P502" s="548"/>
      <c r="Q502" s="548"/>
      <c r="R502" s="548"/>
      <c r="S502" s="548"/>
      <c r="T502" s="548"/>
      <c r="U502" s="548"/>
      <c r="V502" s="548"/>
      <c r="W502" s="548"/>
      <c r="X502" s="548"/>
      <c r="Y502" s="548"/>
      <c r="Z502" s="548"/>
    </row>
    <row r="503" ht="15.75" customHeight="1">
      <c r="A503" s="548"/>
      <c r="B503" s="548"/>
      <c r="C503" s="548"/>
      <c r="D503" s="548"/>
      <c r="E503" s="548"/>
      <c r="F503" s="549"/>
      <c r="G503" s="548"/>
      <c r="H503" s="548"/>
      <c r="I503" s="548"/>
      <c r="J503" s="548"/>
      <c r="K503" s="548"/>
      <c r="L503" s="548"/>
      <c r="M503" s="548"/>
      <c r="N503" s="548"/>
      <c r="O503" s="548"/>
      <c r="P503" s="548"/>
      <c r="Q503" s="548"/>
      <c r="R503" s="548"/>
      <c r="S503" s="548"/>
      <c r="T503" s="548"/>
      <c r="U503" s="548"/>
      <c r="V503" s="548"/>
      <c r="W503" s="548"/>
      <c r="X503" s="548"/>
      <c r="Y503" s="548"/>
      <c r="Z503" s="548"/>
    </row>
    <row r="504" ht="15.75" customHeight="1">
      <c r="A504" s="548"/>
      <c r="B504" s="548"/>
      <c r="C504" s="548"/>
      <c r="D504" s="548"/>
      <c r="E504" s="548"/>
      <c r="F504" s="549"/>
      <c r="G504" s="548"/>
      <c r="H504" s="548"/>
      <c r="I504" s="548"/>
      <c r="J504" s="548"/>
      <c r="K504" s="548"/>
      <c r="L504" s="548"/>
      <c r="M504" s="548"/>
      <c r="N504" s="548"/>
      <c r="O504" s="548"/>
      <c r="P504" s="548"/>
      <c r="Q504" s="548"/>
      <c r="R504" s="548"/>
      <c r="S504" s="548"/>
      <c r="T504" s="548"/>
      <c r="U504" s="548"/>
      <c r="V504" s="548"/>
      <c r="W504" s="548"/>
      <c r="X504" s="548"/>
      <c r="Y504" s="548"/>
      <c r="Z504" s="548"/>
    </row>
    <row r="505" ht="15.75" customHeight="1">
      <c r="A505" s="548"/>
      <c r="B505" s="548"/>
      <c r="C505" s="548"/>
      <c r="D505" s="548"/>
      <c r="E505" s="548"/>
      <c r="F505" s="549"/>
      <c r="G505" s="548"/>
      <c r="H505" s="548"/>
      <c r="I505" s="548"/>
      <c r="J505" s="548"/>
      <c r="K505" s="548"/>
      <c r="L505" s="548"/>
      <c r="M505" s="548"/>
      <c r="N505" s="548"/>
      <c r="O505" s="548"/>
      <c r="P505" s="548"/>
      <c r="Q505" s="548"/>
      <c r="R505" s="548"/>
      <c r="S505" s="548"/>
      <c r="T505" s="548"/>
      <c r="U505" s="548"/>
      <c r="V505" s="548"/>
      <c r="W505" s="548"/>
      <c r="X505" s="548"/>
      <c r="Y505" s="548"/>
      <c r="Z505" s="548"/>
    </row>
    <row r="506" ht="15.75" customHeight="1">
      <c r="A506" s="548"/>
      <c r="B506" s="548"/>
      <c r="C506" s="548"/>
      <c r="D506" s="548"/>
      <c r="E506" s="548"/>
      <c r="F506" s="549"/>
      <c r="G506" s="548"/>
      <c r="H506" s="548"/>
      <c r="I506" s="548"/>
      <c r="J506" s="548"/>
      <c r="K506" s="548"/>
      <c r="L506" s="548"/>
      <c r="M506" s="548"/>
      <c r="N506" s="548"/>
      <c r="O506" s="548"/>
      <c r="P506" s="548"/>
      <c r="Q506" s="548"/>
      <c r="R506" s="548"/>
      <c r="S506" s="548"/>
      <c r="T506" s="548"/>
      <c r="U506" s="548"/>
      <c r="V506" s="548"/>
      <c r="W506" s="548"/>
      <c r="X506" s="548"/>
      <c r="Y506" s="548"/>
      <c r="Z506" s="548"/>
    </row>
    <row r="507" ht="15.75" customHeight="1">
      <c r="A507" s="548"/>
      <c r="B507" s="548"/>
      <c r="C507" s="548"/>
      <c r="D507" s="548"/>
      <c r="E507" s="548"/>
      <c r="F507" s="549"/>
      <c r="G507" s="548"/>
      <c r="H507" s="548"/>
      <c r="I507" s="548"/>
      <c r="J507" s="548"/>
      <c r="K507" s="548"/>
      <c r="L507" s="548"/>
      <c r="M507" s="548"/>
      <c r="N507" s="548"/>
      <c r="O507" s="548"/>
      <c r="P507" s="548"/>
      <c r="Q507" s="548"/>
      <c r="R507" s="548"/>
      <c r="S507" s="548"/>
      <c r="T507" s="548"/>
      <c r="U507" s="548"/>
      <c r="V507" s="548"/>
      <c r="W507" s="548"/>
      <c r="X507" s="548"/>
      <c r="Y507" s="548"/>
      <c r="Z507" s="548"/>
    </row>
    <row r="508" ht="15.75" customHeight="1">
      <c r="A508" s="548"/>
      <c r="B508" s="548"/>
      <c r="C508" s="548"/>
      <c r="D508" s="548"/>
      <c r="E508" s="548"/>
      <c r="F508" s="549"/>
      <c r="G508" s="548"/>
      <c r="H508" s="548"/>
      <c r="I508" s="548"/>
      <c r="J508" s="548"/>
      <c r="K508" s="548"/>
      <c r="L508" s="548"/>
      <c r="M508" s="548"/>
      <c r="N508" s="548"/>
      <c r="O508" s="548"/>
      <c r="P508" s="548"/>
      <c r="Q508" s="548"/>
      <c r="R508" s="548"/>
      <c r="S508" s="548"/>
      <c r="T508" s="548"/>
      <c r="U508" s="548"/>
      <c r="V508" s="548"/>
      <c r="W508" s="548"/>
      <c r="X508" s="548"/>
      <c r="Y508" s="548"/>
      <c r="Z508" s="548"/>
    </row>
    <row r="509" ht="15.75" customHeight="1">
      <c r="A509" s="548"/>
      <c r="B509" s="548"/>
      <c r="C509" s="548"/>
      <c r="D509" s="548"/>
      <c r="E509" s="548"/>
      <c r="F509" s="549"/>
      <c r="G509" s="548"/>
      <c r="H509" s="548"/>
      <c r="I509" s="548"/>
      <c r="J509" s="548"/>
      <c r="K509" s="548"/>
      <c r="L509" s="548"/>
      <c r="M509" s="548"/>
      <c r="N509" s="548"/>
      <c r="O509" s="548"/>
      <c r="P509" s="548"/>
      <c r="Q509" s="548"/>
      <c r="R509" s="548"/>
      <c r="S509" s="548"/>
      <c r="T509" s="548"/>
      <c r="U509" s="548"/>
      <c r="V509" s="548"/>
      <c r="W509" s="548"/>
      <c r="X509" s="548"/>
      <c r="Y509" s="548"/>
      <c r="Z509" s="548"/>
    </row>
    <row r="510" ht="15.75" customHeight="1">
      <c r="A510" s="548"/>
      <c r="B510" s="548"/>
      <c r="C510" s="548"/>
      <c r="D510" s="548"/>
      <c r="E510" s="548"/>
      <c r="F510" s="549"/>
      <c r="G510" s="548"/>
      <c r="H510" s="548"/>
      <c r="I510" s="548"/>
      <c r="J510" s="548"/>
      <c r="K510" s="548"/>
      <c r="L510" s="548"/>
      <c r="M510" s="548"/>
      <c r="N510" s="548"/>
      <c r="O510" s="548"/>
      <c r="P510" s="548"/>
      <c r="Q510" s="548"/>
      <c r="R510" s="548"/>
      <c r="S510" s="548"/>
      <c r="T510" s="548"/>
      <c r="U510" s="548"/>
      <c r="V510" s="548"/>
      <c r="W510" s="548"/>
      <c r="X510" s="548"/>
      <c r="Y510" s="548"/>
      <c r="Z510" s="548"/>
    </row>
    <row r="511" ht="15.75" customHeight="1">
      <c r="A511" s="548"/>
      <c r="B511" s="548"/>
      <c r="C511" s="548"/>
      <c r="D511" s="548"/>
      <c r="E511" s="548"/>
      <c r="F511" s="549"/>
      <c r="G511" s="548"/>
      <c r="H511" s="548"/>
      <c r="I511" s="548"/>
      <c r="J511" s="548"/>
      <c r="K511" s="548"/>
      <c r="L511" s="548"/>
      <c r="M511" s="548"/>
      <c r="N511" s="548"/>
      <c r="O511" s="548"/>
      <c r="P511" s="548"/>
      <c r="Q511" s="548"/>
      <c r="R511" s="548"/>
      <c r="S511" s="548"/>
      <c r="T511" s="548"/>
      <c r="U511" s="548"/>
      <c r="V511" s="548"/>
      <c r="W511" s="548"/>
      <c r="X511" s="548"/>
      <c r="Y511" s="548"/>
      <c r="Z511" s="548"/>
    </row>
    <row r="512" ht="15.75" customHeight="1">
      <c r="A512" s="548"/>
      <c r="B512" s="548"/>
      <c r="C512" s="548"/>
      <c r="D512" s="548"/>
      <c r="E512" s="548"/>
      <c r="F512" s="549"/>
      <c r="G512" s="548"/>
      <c r="H512" s="548"/>
      <c r="I512" s="548"/>
      <c r="J512" s="548"/>
      <c r="K512" s="548"/>
      <c r="L512" s="548"/>
      <c r="M512" s="548"/>
      <c r="N512" s="548"/>
      <c r="O512" s="548"/>
      <c r="P512" s="548"/>
      <c r="Q512" s="548"/>
      <c r="R512" s="548"/>
      <c r="S512" s="548"/>
      <c r="T512" s="548"/>
      <c r="U512" s="548"/>
      <c r="V512" s="548"/>
      <c r="W512" s="548"/>
      <c r="X512" s="548"/>
      <c r="Y512" s="548"/>
      <c r="Z512" s="548"/>
    </row>
    <row r="513" ht="15.75" customHeight="1">
      <c r="A513" s="548"/>
      <c r="B513" s="548"/>
      <c r="C513" s="548"/>
      <c r="D513" s="548"/>
      <c r="E513" s="548"/>
      <c r="F513" s="549"/>
      <c r="G513" s="548"/>
      <c r="H513" s="548"/>
      <c r="I513" s="548"/>
      <c r="J513" s="548"/>
      <c r="K513" s="548"/>
      <c r="L513" s="548"/>
      <c r="M513" s="548"/>
      <c r="N513" s="548"/>
      <c r="O513" s="548"/>
      <c r="P513" s="548"/>
      <c r="Q513" s="548"/>
      <c r="R513" s="548"/>
      <c r="S513" s="548"/>
      <c r="T513" s="548"/>
      <c r="U513" s="548"/>
      <c r="V513" s="548"/>
      <c r="W513" s="548"/>
      <c r="X513" s="548"/>
      <c r="Y513" s="548"/>
      <c r="Z513" s="548"/>
    </row>
    <row r="514" ht="15.75" customHeight="1">
      <c r="A514" s="548"/>
      <c r="B514" s="548"/>
      <c r="C514" s="548"/>
      <c r="D514" s="548"/>
      <c r="E514" s="548"/>
      <c r="F514" s="549"/>
      <c r="G514" s="548"/>
      <c r="H514" s="548"/>
      <c r="I514" s="548"/>
      <c r="J514" s="548"/>
      <c r="K514" s="548"/>
      <c r="L514" s="548"/>
      <c r="M514" s="548"/>
      <c r="N514" s="548"/>
      <c r="O514" s="548"/>
      <c r="P514" s="548"/>
      <c r="Q514" s="548"/>
      <c r="R514" s="548"/>
      <c r="S514" s="548"/>
      <c r="T514" s="548"/>
      <c r="U514" s="548"/>
      <c r="V514" s="548"/>
      <c r="W514" s="548"/>
      <c r="X514" s="548"/>
      <c r="Y514" s="548"/>
      <c r="Z514" s="548"/>
    </row>
    <row r="515" ht="15.75" customHeight="1">
      <c r="A515" s="548"/>
      <c r="B515" s="548"/>
      <c r="C515" s="548"/>
      <c r="D515" s="548"/>
      <c r="E515" s="548"/>
      <c r="F515" s="549"/>
      <c r="G515" s="548"/>
      <c r="H515" s="548"/>
      <c r="I515" s="548"/>
      <c r="J515" s="548"/>
      <c r="K515" s="548"/>
      <c r="L515" s="548"/>
      <c r="M515" s="548"/>
      <c r="N515" s="548"/>
      <c r="O515" s="548"/>
      <c r="P515" s="548"/>
      <c r="Q515" s="548"/>
      <c r="R515" s="548"/>
      <c r="S515" s="548"/>
      <c r="T515" s="548"/>
      <c r="U515" s="548"/>
      <c r="V515" s="548"/>
      <c r="W515" s="548"/>
      <c r="X515" s="548"/>
      <c r="Y515" s="548"/>
      <c r="Z515" s="548"/>
    </row>
    <row r="516" ht="15.75" customHeight="1">
      <c r="A516" s="548"/>
      <c r="B516" s="548"/>
      <c r="C516" s="548"/>
      <c r="D516" s="548"/>
      <c r="E516" s="548"/>
      <c r="F516" s="549"/>
      <c r="G516" s="548"/>
      <c r="H516" s="548"/>
      <c r="I516" s="548"/>
      <c r="J516" s="548"/>
      <c r="K516" s="548"/>
      <c r="L516" s="548"/>
      <c r="M516" s="548"/>
      <c r="N516" s="548"/>
      <c r="O516" s="548"/>
      <c r="P516" s="548"/>
      <c r="Q516" s="548"/>
      <c r="R516" s="548"/>
      <c r="S516" s="548"/>
      <c r="T516" s="548"/>
      <c r="U516" s="548"/>
      <c r="V516" s="548"/>
      <c r="W516" s="548"/>
      <c r="X516" s="548"/>
      <c r="Y516" s="548"/>
      <c r="Z516" s="548"/>
    </row>
    <row r="517" ht="15.75" customHeight="1">
      <c r="A517" s="548"/>
      <c r="B517" s="548"/>
      <c r="C517" s="548"/>
      <c r="D517" s="548"/>
      <c r="E517" s="548"/>
      <c r="F517" s="549"/>
      <c r="G517" s="548"/>
      <c r="H517" s="548"/>
      <c r="I517" s="548"/>
      <c r="J517" s="548"/>
      <c r="K517" s="548"/>
      <c r="L517" s="548"/>
      <c r="M517" s="548"/>
      <c r="N517" s="548"/>
      <c r="O517" s="548"/>
      <c r="P517" s="548"/>
      <c r="Q517" s="548"/>
      <c r="R517" s="548"/>
      <c r="S517" s="548"/>
      <c r="T517" s="548"/>
      <c r="U517" s="548"/>
      <c r="V517" s="548"/>
      <c r="W517" s="548"/>
      <c r="X517" s="548"/>
      <c r="Y517" s="548"/>
      <c r="Z517" s="548"/>
    </row>
    <row r="518" ht="15.75" customHeight="1">
      <c r="A518" s="548"/>
      <c r="B518" s="548"/>
      <c r="C518" s="548"/>
      <c r="D518" s="548"/>
      <c r="E518" s="548"/>
      <c r="F518" s="549"/>
      <c r="G518" s="548"/>
      <c r="H518" s="548"/>
      <c r="I518" s="548"/>
      <c r="J518" s="548"/>
      <c r="K518" s="548"/>
      <c r="L518" s="548"/>
      <c r="M518" s="548"/>
      <c r="N518" s="548"/>
      <c r="O518" s="548"/>
      <c r="P518" s="548"/>
      <c r="Q518" s="548"/>
      <c r="R518" s="548"/>
      <c r="S518" s="548"/>
      <c r="T518" s="548"/>
      <c r="U518" s="548"/>
      <c r="V518" s="548"/>
      <c r="W518" s="548"/>
      <c r="X518" s="548"/>
      <c r="Y518" s="548"/>
      <c r="Z518" s="548"/>
    </row>
    <row r="519" ht="15.75" customHeight="1">
      <c r="A519" s="548"/>
      <c r="B519" s="548"/>
      <c r="C519" s="548"/>
      <c r="D519" s="548"/>
      <c r="E519" s="548"/>
      <c r="F519" s="549"/>
      <c r="G519" s="548"/>
      <c r="H519" s="548"/>
      <c r="I519" s="548"/>
      <c r="J519" s="548"/>
      <c r="K519" s="548"/>
      <c r="L519" s="548"/>
      <c r="M519" s="548"/>
      <c r="N519" s="548"/>
      <c r="O519" s="548"/>
      <c r="P519" s="548"/>
      <c r="Q519" s="548"/>
      <c r="R519" s="548"/>
      <c r="S519" s="548"/>
      <c r="T519" s="548"/>
      <c r="U519" s="548"/>
      <c r="V519" s="548"/>
      <c r="W519" s="548"/>
      <c r="X519" s="548"/>
      <c r="Y519" s="548"/>
      <c r="Z519" s="548"/>
    </row>
    <row r="520" ht="15.75" customHeight="1">
      <c r="A520" s="548"/>
      <c r="B520" s="548"/>
      <c r="C520" s="548"/>
      <c r="D520" s="548"/>
      <c r="E520" s="548"/>
      <c r="F520" s="549"/>
      <c r="G520" s="548"/>
      <c r="H520" s="548"/>
      <c r="I520" s="548"/>
      <c r="J520" s="548"/>
      <c r="K520" s="548"/>
      <c r="L520" s="548"/>
      <c r="M520" s="548"/>
      <c r="N520" s="548"/>
      <c r="O520" s="548"/>
      <c r="P520" s="548"/>
      <c r="Q520" s="548"/>
      <c r="R520" s="548"/>
      <c r="S520" s="548"/>
      <c r="T520" s="548"/>
      <c r="U520" s="548"/>
      <c r="V520" s="548"/>
      <c r="W520" s="548"/>
      <c r="X520" s="548"/>
      <c r="Y520" s="548"/>
      <c r="Z520" s="548"/>
    </row>
    <row r="521" ht="15.75" customHeight="1">
      <c r="A521" s="548"/>
      <c r="B521" s="548"/>
      <c r="C521" s="548"/>
      <c r="D521" s="548"/>
      <c r="E521" s="548"/>
      <c r="F521" s="549"/>
      <c r="G521" s="548"/>
      <c r="H521" s="548"/>
      <c r="I521" s="548"/>
      <c r="J521" s="548"/>
      <c r="K521" s="548"/>
      <c r="L521" s="548"/>
      <c r="M521" s="548"/>
      <c r="N521" s="548"/>
      <c r="O521" s="548"/>
      <c r="P521" s="548"/>
      <c r="Q521" s="548"/>
      <c r="R521" s="548"/>
      <c r="S521" s="548"/>
      <c r="T521" s="548"/>
      <c r="U521" s="548"/>
      <c r="V521" s="548"/>
      <c r="W521" s="548"/>
      <c r="X521" s="548"/>
      <c r="Y521" s="548"/>
      <c r="Z521" s="548"/>
    </row>
    <row r="522" ht="15.75" customHeight="1">
      <c r="A522" s="548"/>
      <c r="B522" s="548"/>
      <c r="C522" s="548"/>
      <c r="D522" s="548"/>
      <c r="E522" s="548"/>
      <c r="F522" s="549"/>
      <c r="G522" s="548"/>
      <c r="H522" s="548"/>
      <c r="I522" s="548"/>
      <c r="J522" s="548"/>
      <c r="K522" s="548"/>
      <c r="L522" s="548"/>
      <c r="M522" s="548"/>
      <c r="N522" s="548"/>
      <c r="O522" s="548"/>
      <c r="P522" s="548"/>
      <c r="Q522" s="548"/>
      <c r="R522" s="548"/>
      <c r="S522" s="548"/>
      <c r="T522" s="548"/>
      <c r="U522" s="548"/>
      <c r="V522" s="548"/>
      <c r="W522" s="548"/>
      <c r="X522" s="548"/>
      <c r="Y522" s="548"/>
      <c r="Z522" s="548"/>
    </row>
    <row r="523" ht="15.75" customHeight="1">
      <c r="A523" s="548"/>
      <c r="B523" s="548"/>
      <c r="C523" s="548"/>
      <c r="D523" s="548"/>
      <c r="E523" s="548"/>
      <c r="F523" s="549"/>
      <c r="G523" s="548"/>
      <c r="H523" s="548"/>
      <c r="I523" s="548"/>
      <c r="J523" s="548"/>
      <c r="K523" s="548"/>
      <c r="L523" s="548"/>
      <c r="M523" s="548"/>
      <c r="N523" s="548"/>
      <c r="O523" s="548"/>
      <c r="P523" s="548"/>
      <c r="Q523" s="548"/>
      <c r="R523" s="548"/>
      <c r="S523" s="548"/>
      <c r="T523" s="548"/>
      <c r="U523" s="548"/>
      <c r="V523" s="548"/>
      <c r="W523" s="548"/>
      <c r="X523" s="548"/>
      <c r="Y523" s="548"/>
      <c r="Z523" s="548"/>
    </row>
    <row r="524" ht="15.75" customHeight="1">
      <c r="A524" s="548"/>
      <c r="B524" s="548"/>
      <c r="C524" s="548"/>
      <c r="D524" s="548"/>
      <c r="E524" s="548"/>
      <c r="F524" s="549"/>
      <c r="G524" s="548"/>
      <c r="H524" s="548"/>
      <c r="I524" s="548"/>
      <c r="J524" s="548"/>
      <c r="K524" s="548"/>
      <c r="L524" s="548"/>
      <c r="M524" s="548"/>
      <c r="N524" s="548"/>
      <c r="O524" s="548"/>
      <c r="P524" s="548"/>
      <c r="Q524" s="548"/>
      <c r="R524" s="548"/>
      <c r="S524" s="548"/>
      <c r="T524" s="548"/>
      <c r="U524" s="548"/>
      <c r="V524" s="548"/>
      <c r="W524" s="548"/>
      <c r="X524" s="548"/>
      <c r="Y524" s="548"/>
      <c r="Z524" s="548"/>
    </row>
    <row r="525" ht="15.75" customHeight="1">
      <c r="A525" s="548"/>
      <c r="B525" s="548"/>
      <c r="C525" s="548"/>
      <c r="D525" s="548"/>
      <c r="E525" s="548"/>
      <c r="F525" s="549"/>
      <c r="G525" s="548"/>
      <c r="H525" s="548"/>
      <c r="I525" s="548"/>
      <c r="J525" s="548"/>
      <c r="K525" s="548"/>
      <c r="L525" s="548"/>
      <c r="M525" s="548"/>
      <c r="N525" s="548"/>
      <c r="O525" s="548"/>
      <c r="P525" s="548"/>
      <c r="Q525" s="548"/>
      <c r="R525" s="548"/>
      <c r="S525" s="548"/>
      <c r="T525" s="548"/>
      <c r="U525" s="548"/>
      <c r="V525" s="548"/>
      <c r="W525" s="548"/>
      <c r="X525" s="548"/>
      <c r="Y525" s="548"/>
      <c r="Z525" s="548"/>
    </row>
    <row r="526" ht="15.75" customHeight="1">
      <c r="A526" s="548"/>
      <c r="B526" s="548"/>
      <c r="C526" s="548"/>
      <c r="D526" s="548"/>
      <c r="E526" s="548"/>
      <c r="F526" s="549"/>
      <c r="G526" s="548"/>
      <c r="H526" s="548"/>
      <c r="I526" s="548"/>
      <c r="J526" s="548"/>
      <c r="K526" s="548"/>
      <c r="L526" s="548"/>
      <c r="M526" s="548"/>
      <c r="N526" s="548"/>
      <c r="O526" s="548"/>
      <c r="P526" s="548"/>
      <c r="Q526" s="548"/>
      <c r="R526" s="548"/>
      <c r="S526" s="548"/>
      <c r="T526" s="548"/>
      <c r="U526" s="548"/>
      <c r="V526" s="548"/>
      <c r="W526" s="548"/>
      <c r="X526" s="548"/>
      <c r="Y526" s="548"/>
      <c r="Z526" s="548"/>
    </row>
    <row r="527" ht="15.75" customHeight="1">
      <c r="A527" s="548"/>
      <c r="B527" s="548"/>
      <c r="C527" s="548"/>
      <c r="D527" s="548"/>
      <c r="E527" s="548"/>
      <c r="F527" s="549"/>
      <c r="G527" s="548"/>
      <c r="H527" s="548"/>
      <c r="I527" s="548"/>
      <c r="J527" s="548"/>
      <c r="K527" s="548"/>
      <c r="L527" s="548"/>
      <c r="M527" s="548"/>
      <c r="N527" s="548"/>
      <c r="O527" s="548"/>
      <c r="P527" s="548"/>
      <c r="Q527" s="548"/>
      <c r="R527" s="548"/>
      <c r="S527" s="548"/>
      <c r="T527" s="548"/>
      <c r="U527" s="548"/>
      <c r="V527" s="548"/>
      <c r="W527" s="548"/>
      <c r="X527" s="548"/>
      <c r="Y527" s="548"/>
      <c r="Z527" s="548"/>
    </row>
    <row r="528" ht="15.75" customHeight="1">
      <c r="A528" s="548"/>
      <c r="B528" s="548"/>
      <c r="C528" s="548"/>
      <c r="D528" s="548"/>
      <c r="E528" s="548"/>
      <c r="F528" s="549"/>
      <c r="G528" s="548"/>
      <c r="H528" s="548"/>
      <c r="I528" s="548"/>
      <c r="J528" s="548"/>
      <c r="K528" s="548"/>
      <c r="L528" s="548"/>
      <c r="M528" s="548"/>
      <c r="N528" s="548"/>
      <c r="O528" s="548"/>
      <c r="P528" s="548"/>
      <c r="Q528" s="548"/>
      <c r="R528" s="548"/>
      <c r="S528" s="548"/>
      <c r="T528" s="548"/>
      <c r="U528" s="548"/>
      <c r="V528" s="548"/>
      <c r="W528" s="548"/>
      <c r="X528" s="548"/>
      <c r="Y528" s="548"/>
      <c r="Z528" s="548"/>
    </row>
    <row r="529" ht="15.75" customHeight="1">
      <c r="A529" s="548"/>
      <c r="B529" s="548"/>
      <c r="C529" s="548"/>
      <c r="D529" s="548"/>
      <c r="E529" s="548"/>
      <c r="F529" s="549"/>
      <c r="G529" s="548"/>
      <c r="H529" s="548"/>
      <c r="I529" s="548"/>
      <c r="J529" s="548"/>
      <c r="K529" s="548"/>
      <c r="L529" s="548"/>
      <c r="M529" s="548"/>
      <c r="N529" s="548"/>
      <c r="O529" s="548"/>
      <c r="P529" s="548"/>
      <c r="Q529" s="548"/>
      <c r="R529" s="548"/>
      <c r="S529" s="548"/>
      <c r="T529" s="548"/>
      <c r="U529" s="548"/>
      <c r="V529" s="548"/>
      <c r="W529" s="548"/>
      <c r="X529" s="548"/>
      <c r="Y529" s="548"/>
      <c r="Z529" s="548"/>
    </row>
    <row r="530" ht="15.75" customHeight="1">
      <c r="A530" s="548"/>
      <c r="B530" s="548"/>
      <c r="C530" s="548"/>
      <c r="D530" s="548"/>
      <c r="E530" s="548"/>
      <c r="F530" s="549"/>
      <c r="G530" s="548"/>
      <c r="H530" s="548"/>
      <c r="I530" s="548"/>
      <c r="J530" s="548"/>
      <c r="K530" s="548"/>
      <c r="L530" s="548"/>
      <c r="M530" s="548"/>
      <c r="N530" s="548"/>
      <c r="O530" s="548"/>
      <c r="P530" s="548"/>
      <c r="Q530" s="548"/>
      <c r="R530" s="548"/>
      <c r="S530" s="548"/>
      <c r="T530" s="548"/>
      <c r="U530" s="548"/>
      <c r="V530" s="548"/>
      <c r="W530" s="548"/>
      <c r="X530" s="548"/>
      <c r="Y530" s="548"/>
      <c r="Z530" s="548"/>
    </row>
    <row r="531" ht="15.75" customHeight="1">
      <c r="A531" s="548"/>
      <c r="B531" s="548"/>
      <c r="C531" s="548"/>
      <c r="D531" s="548"/>
      <c r="E531" s="548"/>
      <c r="F531" s="549"/>
      <c r="G531" s="548"/>
      <c r="H531" s="548"/>
      <c r="I531" s="548"/>
      <c r="J531" s="548"/>
      <c r="K531" s="548"/>
      <c r="L531" s="548"/>
      <c r="M531" s="548"/>
      <c r="N531" s="548"/>
      <c r="O531" s="548"/>
      <c r="P531" s="548"/>
      <c r="Q531" s="548"/>
      <c r="R531" s="548"/>
      <c r="S531" s="548"/>
      <c r="T531" s="548"/>
      <c r="U531" s="548"/>
      <c r="V531" s="548"/>
      <c r="W531" s="548"/>
      <c r="X531" s="548"/>
      <c r="Y531" s="548"/>
      <c r="Z531" s="548"/>
    </row>
    <row r="532" ht="15.75" customHeight="1">
      <c r="A532" s="548"/>
      <c r="B532" s="548"/>
      <c r="C532" s="548"/>
      <c r="D532" s="548"/>
      <c r="E532" s="548"/>
      <c r="F532" s="549"/>
      <c r="G532" s="548"/>
      <c r="H532" s="548"/>
      <c r="I532" s="548"/>
      <c r="J532" s="548"/>
      <c r="K532" s="548"/>
      <c r="L532" s="548"/>
      <c r="M532" s="548"/>
      <c r="N532" s="548"/>
      <c r="O532" s="548"/>
      <c r="P532" s="548"/>
      <c r="Q532" s="548"/>
      <c r="R532" s="548"/>
      <c r="S532" s="548"/>
      <c r="T532" s="548"/>
      <c r="U532" s="548"/>
      <c r="V532" s="548"/>
      <c r="W532" s="548"/>
      <c r="X532" s="548"/>
      <c r="Y532" s="548"/>
      <c r="Z532" s="548"/>
    </row>
    <row r="533" ht="15.75" customHeight="1">
      <c r="A533" s="548"/>
      <c r="B533" s="548"/>
      <c r="C533" s="548"/>
      <c r="D533" s="548"/>
      <c r="E533" s="548"/>
      <c r="F533" s="549"/>
      <c r="G533" s="548"/>
      <c r="H533" s="548"/>
      <c r="I533" s="548"/>
      <c r="J533" s="548"/>
      <c r="K533" s="548"/>
      <c r="L533" s="548"/>
      <c r="M533" s="548"/>
      <c r="N533" s="548"/>
      <c r="O533" s="548"/>
      <c r="P533" s="548"/>
      <c r="Q533" s="548"/>
      <c r="R533" s="548"/>
      <c r="S533" s="548"/>
      <c r="T533" s="548"/>
      <c r="U533" s="548"/>
      <c r="V533" s="548"/>
      <c r="W533" s="548"/>
      <c r="X533" s="548"/>
      <c r="Y533" s="548"/>
      <c r="Z533" s="548"/>
    </row>
    <row r="534" ht="15.75" customHeight="1">
      <c r="A534" s="548"/>
      <c r="B534" s="548"/>
      <c r="C534" s="548"/>
      <c r="D534" s="548"/>
      <c r="E534" s="548"/>
      <c r="F534" s="549"/>
      <c r="G534" s="548"/>
      <c r="H534" s="548"/>
      <c r="I534" s="548"/>
      <c r="J534" s="548"/>
      <c r="K534" s="548"/>
      <c r="L534" s="548"/>
      <c r="M534" s="548"/>
      <c r="N534" s="548"/>
      <c r="O534" s="548"/>
      <c r="P534" s="548"/>
      <c r="Q534" s="548"/>
      <c r="R534" s="548"/>
      <c r="S534" s="548"/>
      <c r="T534" s="548"/>
      <c r="U534" s="548"/>
      <c r="V534" s="548"/>
      <c r="W534" s="548"/>
      <c r="X534" s="548"/>
      <c r="Y534" s="548"/>
      <c r="Z534" s="548"/>
    </row>
    <row r="535" ht="15.75" customHeight="1">
      <c r="A535" s="548"/>
      <c r="B535" s="548"/>
      <c r="C535" s="548"/>
      <c r="D535" s="548"/>
      <c r="E535" s="548"/>
      <c r="F535" s="549"/>
      <c r="G535" s="548"/>
      <c r="H535" s="548"/>
      <c r="I535" s="548"/>
      <c r="J535" s="548"/>
      <c r="K535" s="548"/>
      <c r="L535" s="548"/>
      <c r="M535" s="548"/>
      <c r="N535" s="548"/>
      <c r="O535" s="548"/>
      <c r="P535" s="548"/>
      <c r="Q535" s="548"/>
      <c r="R535" s="548"/>
      <c r="S535" s="548"/>
      <c r="T535" s="548"/>
      <c r="U535" s="548"/>
      <c r="V535" s="548"/>
      <c r="W535" s="548"/>
      <c r="X535" s="548"/>
      <c r="Y535" s="548"/>
      <c r="Z535" s="548"/>
    </row>
    <row r="536" ht="15.75" customHeight="1">
      <c r="A536" s="548"/>
      <c r="B536" s="548"/>
      <c r="C536" s="548"/>
      <c r="D536" s="548"/>
      <c r="E536" s="548"/>
      <c r="F536" s="549"/>
      <c r="G536" s="548"/>
      <c r="H536" s="548"/>
      <c r="I536" s="548"/>
      <c r="J536" s="548"/>
      <c r="K536" s="548"/>
      <c r="L536" s="548"/>
      <c r="M536" s="548"/>
      <c r="N536" s="548"/>
      <c r="O536" s="548"/>
      <c r="P536" s="548"/>
      <c r="Q536" s="548"/>
      <c r="R536" s="548"/>
      <c r="S536" s="548"/>
      <c r="T536" s="548"/>
      <c r="U536" s="548"/>
      <c r="V536" s="548"/>
      <c r="W536" s="548"/>
      <c r="X536" s="548"/>
      <c r="Y536" s="548"/>
      <c r="Z536" s="548"/>
    </row>
    <row r="537" ht="15.75" customHeight="1">
      <c r="A537" s="548"/>
      <c r="B537" s="548"/>
      <c r="C537" s="548"/>
      <c r="D537" s="548"/>
      <c r="E537" s="548"/>
      <c r="F537" s="549"/>
      <c r="G537" s="548"/>
      <c r="H537" s="548"/>
      <c r="I537" s="548"/>
      <c r="J537" s="548"/>
      <c r="K537" s="548"/>
      <c r="L537" s="548"/>
      <c r="M537" s="548"/>
      <c r="N537" s="548"/>
      <c r="O537" s="548"/>
      <c r="P537" s="548"/>
      <c r="Q537" s="548"/>
      <c r="R537" s="548"/>
      <c r="S537" s="548"/>
      <c r="T537" s="548"/>
      <c r="U537" s="548"/>
      <c r="V537" s="548"/>
      <c r="W537" s="548"/>
      <c r="X537" s="548"/>
      <c r="Y537" s="548"/>
      <c r="Z537" s="548"/>
    </row>
    <row r="538" ht="15.75" customHeight="1">
      <c r="A538" s="548"/>
      <c r="B538" s="548"/>
      <c r="C538" s="548"/>
      <c r="D538" s="548"/>
      <c r="E538" s="548"/>
      <c r="F538" s="549"/>
      <c r="G538" s="548"/>
      <c r="H538" s="548"/>
      <c r="I538" s="548"/>
      <c r="J538" s="548"/>
      <c r="K538" s="548"/>
      <c r="L538" s="548"/>
      <c r="M538" s="548"/>
      <c r="N538" s="548"/>
      <c r="O538" s="548"/>
      <c r="P538" s="548"/>
      <c r="Q538" s="548"/>
      <c r="R538" s="548"/>
      <c r="S538" s="548"/>
      <c r="T538" s="548"/>
      <c r="U538" s="548"/>
      <c r="V538" s="548"/>
      <c r="W538" s="548"/>
      <c r="X538" s="548"/>
      <c r="Y538" s="548"/>
      <c r="Z538" s="548"/>
    </row>
    <row r="539" ht="15.75" customHeight="1">
      <c r="A539" s="548"/>
      <c r="B539" s="548"/>
      <c r="C539" s="548"/>
      <c r="D539" s="548"/>
      <c r="E539" s="548"/>
      <c r="F539" s="549"/>
      <c r="G539" s="548"/>
      <c r="H539" s="548"/>
      <c r="I539" s="548"/>
      <c r="J539" s="548"/>
      <c r="K539" s="548"/>
      <c r="L539" s="548"/>
      <c r="M539" s="548"/>
      <c r="N539" s="548"/>
      <c r="O539" s="548"/>
      <c r="P539" s="548"/>
      <c r="Q539" s="548"/>
      <c r="R539" s="548"/>
      <c r="S539" s="548"/>
      <c r="T539" s="548"/>
      <c r="U539" s="548"/>
      <c r="V539" s="548"/>
      <c r="W539" s="548"/>
      <c r="X539" s="548"/>
      <c r="Y539" s="548"/>
      <c r="Z539" s="548"/>
    </row>
    <row r="540" ht="15.75" customHeight="1">
      <c r="A540" s="548"/>
      <c r="B540" s="548"/>
      <c r="C540" s="548"/>
      <c r="D540" s="548"/>
      <c r="E540" s="548"/>
      <c r="F540" s="549"/>
      <c r="G540" s="548"/>
      <c r="H540" s="548"/>
      <c r="I540" s="548"/>
      <c r="J540" s="548"/>
      <c r="K540" s="548"/>
      <c r="L540" s="548"/>
      <c r="M540" s="548"/>
      <c r="N540" s="548"/>
      <c r="O540" s="548"/>
      <c r="P540" s="548"/>
      <c r="Q540" s="548"/>
      <c r="R540" s="548"/>
      <c r="S540" s="548"/>
      <c r="T540" s="548"/>
      <c r="U540" s="548"/>
      <c r="V540" s="548"/>
      <c r="W540" s="548"/>
      <c r="X540" s="548"/>
      <c r="Y540" s="548"/>
      <c r="Z540" s="548"/>
    </row>
    <row r="541" ht="15.75" customHeight="1">
      <c r="A541" s="548"/>
      <c r="B541" s="548"/>
      <c r="C541" s="548"/>
      <c r="D541" s="548"/>
      <c r="E541" s="548"/>
      <c r="F541" s="549"/>
      <c r="G541" s="548"/>
      <c r="H541" s="548"/>
      <c r="I541" s="548"/>
      <c r="J541" s="548"/>
      <c r="K541" s="548"/>
      <c r="L541" s="548"/>
      <c r="M541" s="548"/>
      <c r="N541" s="548"/>
      <c r="O541" s="548"/>
      <c r="P541" s="548"/>
      <c r="Q541" s="548"/>
      <c r="R541" s="548"/>
      <c r="S541" s="548"/>
      <c r="T541" s="548"/>
      <c r="U541" s="548"/>
      <c r="V541" s="548"/>
      <c r="W541" s="548"/>
      <c r="X541" s="548"/>
      <c r="Y541" s="548"/>
      <c r="Z541" s="548"/>
    </row>
    <row r="542" ht="15.75" customHeight="1">
      <c r="A542" s="548"/>
      <c r="B542" s="548"/>
      <c r="C542" s="548"/>
      <c r="D542" s="548"/>
      <c r="E542" s="548"/>
      <c r="F542" s="549"/>
      <c r="G542" s="548"/>
      <c r="H542" s="548"/>
      <c r="I542" s="548"/>
      <c r="J542" s="548"/>
      <c r="K542" s="548"/>
      <c r="L542" s="548"/>
      <c r="M542" s="548"/>
      <c r="N542" s="548"/>
      <c r="O542" s="548"/>
      <c r="P542" s="548"/>
      <c r="Q542" s="548"/>
      <c r="R542" s="548"/>
      <c r="S542" s="548"/>
      <c r="T542" s="548"/>
      <c r="U542" s="548"/>
      <c r="V542" s="548"/>
      <c r="W542" s="548"/>
      <c r="X542" s="548"/>
      <c r="Y542" s="548"/>
      <c r="Z542" s="548"/>
    </row>
    <row r="543" ht="15.75" customHeight="1">
      <c r="A543" s="548"/>
      <c r="B543" s="548"/>
      <c r="C543" s="548"/>
      <c r="D543" s="548"/>
      <c r="E543" s="548"/>
      <c r="F543" s="549"/>
      <c r="G543" s="548"/>
      <c r="H543" s="548"/>
      <c r="I543" s="548"/>
      <c r="J543" s="548"/>
      <c r="K543" s="548"/>
      <c r="L543" s="548"/>
      <c r="M543" s="548"/>
      <c r="N543" s="548"/>
      <c r="O543" s="548"/>
      <c r="P543" s="548"/>
      <c r="Q543" s="548"/>
      <c r="R543" s="548"/>
      <c r="S543" s="548"/>
      <c r="T543" s="548"/>
      <c r="U543" s="548"/>
      <c r="V543" s="548"/>
      <c r="W543" s="548"/>
      <c r="X543" s="548"/>
      <c r="Y543" s="548"/>
      <c r="Z543" s="548"/>
    </row>
    <row r="544" ht="15.75" customHeight="1">
      <c r="A544" s="548"/>
      <c r="B544" s="548"/>
      <c r="C544" s="548"/>
      <c r="D544" s="548"/>
      <c r="E544" s="548"/>
      <c r="F544" s="549"/>
      <c r="G544" s="548"/>
      <c r="H544" s="548"/>
      <c r="I544" s="548"/>
      <c r="J544" s="548"/>
      <c r="K544" s="548"/>
      <c r="L544" s="548"/>
      <c r="M544" s="548"/>
      <c r="N544" s="548"/>
      <c r="O544" s="548"/>
      <c r="P544" s="548"/>
      <c r="Q544" s="548"/>
      <c r="R544" s="548"/>
      <c r="S544" s="548"/>
      <c r="T544" s="548"/>
      <c r="U544" s="548"/>
      <c r="V544" s="548"/>
      <c r="W544" s="548"/>
      <c r="X544" s="548"/>
      <c r="Y544" s="548"/>
      <c r="Z544" s="548"/>
    </row>
    <row r="545" ht="15.75" customHeight="1">
      <c r="A545" s="548"/>
      <c r="B545" s="548"/>
      <c r="C545" s="548"/>
      <c r="D545" s="548"/>
      <c r="E545" s="548"/>
      <c r="F545" s="549"/>
      <c r="G545" s="548"/>
      <c r="H545" s="548"/>
      <c r="I545" s="548"/>
      <c r="J545" s="548"/>
      <c r="K545" s="548"/>
      <c r="L545" s="548"/>
      <c r="M545" s="548"/>
      <c r="N545" s="548"/>
      <c r="O545" s="548"/>
      <c r="P545" s="548"/>
      <c r="Q545" s="548"/>
      <c r="R545" s="548"/>
      <c r="S545" s="548"/>
      <c r="T545" s="548"/>
      <c r="U545" s="548"/>
      <c r="V545" s="548"/>
      <c r="W545" s="548"/>
      <c r="X545" s="548"/>
      <c r="Y545" s="548"/>
      <c r="Z545" s="548"/>
    </row>
    <row r="546" ht="15.75" customHeight="1">
      <c r="A546" s="548"/>
      <c r="B546" s="548"/>
      <c r="C546" s="548"/>
      <c r="D546" s="548"/>
      <c r="E546" s="548"/>
      <c r="F546" s="549"/>
      <c r="G546" s="548"/>
      <c r="H546" s="548"/>
      <c r="I546" s="548"/>
      <c r="J546" s="548"/>
      <c r="K546" s="548"/>
      <c r="L546" s="548"/>
      <c r="M546" s="548"/>
      <c r="N546" s="548"/>
      <c r="O546" s="548"/>
      <c r="P546" s="548"/>
      <c r="Q546" s="548"/>
      <c r="R546" s="548"/>
      <c r="S546" s="548"/>
      <c r="T546" s="548"/>
      <c r="U546" s="548"/>
      <c r="V546" s="548"/>
      <c r="W546" s="548"/>
      <c r="X546" s="548"/>
      <c r="Y546" s="548"/>
      <c r="Z546" s="548"/>
    </row>
    <row r="547" ht="15.75" customHeight="1">
      <c r="A547" s="548"/>
      <c r="B547" s="548"/>
      <c r="C547" s="548"/>
      <c r="D547" s="548"/>
      <c r="E547" s="548"/>
      <c r="F547" s="549"/>
      <c r="G547" s="548"/>
      <c r="H547" s="548"/>
      <c r="I547" s="548"/>
      <c r="J547" s="548"/>
      <c r="K547" s="548"/>
      <c r="L547" s="548"/>
      <c r="M547" s="548"/>
      <c r="N547" s="548"/>
      <c r="O547" s="548"/>
      <c r="P547" s="548"/>
      <c r="Q547" s="548"/>
      <c r="R547" s="548"/>
      <c r="S547" s="548"/>
      <c r="T547" s="548"/>
      <c r="U547" s="548"/>
      <c r="V547" s="548"/>
      <c r="W547" s="548"/>
      <c r="X547" s="548"/>
      <c r="Y547" s="548"/>
      <c r="Z547" s="548"/>
    </row>
    <row r="548" ht="15.75" customHeight="1">
      <c r="A548" s="548"/>
      <c r="B548" s="548"/>
      <c r="C548" s="548"/>
      <c r="D548" s="548"/>
      <c r="E548" s="548"/>
      <c r="F548" s="549"/>
      <c r="G548" s="548"/>
      <c r="H548" s="548"/>
      <c r="I548" s="548"/>
      <c r="J548" s="548"/>
      <c r="K548" s="548"/>
      <c r="L548" s="548"/>
      <c r="M548" s="548"/>
      <c r="N548" s="548"/>
      <c r="O548" s="548"/>
      <c r="P548" s="548"/>
      <c r="Q548" s="548"/>
      <c r="R548" s="548"/>
      <c r="S548" s="548"/>
      <c r="T548" s="548"/>
      <c r="U548" s="548"/>
      <c r="V548" s="548"/>
      <c r="W548" s="548"/>
      <c r="X548" s="548"/>
      <c r="Y548" s="548"/>
      <c r="Z548" s="548"/>
    </row>
    <row r="549" ht="15.75" customHeight="1">
      <c r="A549" s="548"/>
      <c r="B549" s="548"/>
      <c r="C549" s="548"/>
      <c r="D549" s="548"/>
      <c r="E549" s="548"/>
      <c r="F549" s="549"/>
      <c r="G549" s="548"/>
      <c r="H549" s="548"/>
      <c r="I549" s="548"/>
      <c r="J549" s="548"/>
      <c r="K549" s="548"/>
      <c r="L549" s="548"/>
      <c r="M549" s="548"/>
      <c r="N549" s="548"/>
      <c r="O549" s="548"/>
      <c r="P549" s="548"/>
      <c r="Q549" s="548"/>
      <c r="R549" s="548"/>
      <c r="S549" s="548"/>
      <c r="T549" s="548"/>
      <c r="U549" s="548"/>
      <c r="V549" s="548"/>
      <c r="W549" s="548"/>
      <c r="X549" s="548"/>
      <c r="Y549" s="548"/>
      <c r="Z549" s="548"/>
    </row>
    <row r="550" ht="15.75" customHeight="1">
      <c r="A550" s="548"/>
      <c r="B550" s="548"/>
      <c r="C550" s="548"/>
      <c r="D550" s="548"/>
      <c r="E550" s="548"/>
      <c r="F550" s="549"/>
      <c r="G550" s="548"/>
      <c r="H550" s="548"/>
      <c r="I550" s="548"/>
      <c r="J550" s="548"/>
      <c r="K550" s="548"/>
      <c r="L550" s="548"/>
      <c r="M550" s="548"/>
      <c r="N550" s="548"/>
      <c r="O550" s="548"/>
      <c r="P550" s="548"/>
      <c r="Q550" s="548"/>
      <c r="R550" s="548"/>
      <c r="S550" s="548"/>
      <c r="T550" s="548"/>
      <c r="U550" s="548"/>
      <c r="V550" s="548"/>
      <c r="W550" s="548"/>
      <c r="X550" s="548"/>
      <c r="Y550" s="548"/>
      <c r="Z550" s="548"/>
    </row>
    <row r="551" ht="15.75" customHeight="1">
      <c r="A551" s="548"/>
      <c r="B551" s="548"/>
      <c r="C551" s="548"/>
      <c r="D551" s="548"/>
      <c r="E551" s="548"/>
      <c r="F551" s="549"/>
      <c r="G551" s="548"/>
      <c r="H551" s="548"/>
      <c r="I551" s="548"/>
      <c r="J551" s="548"/>
      <c r="K551" s="548"/>
      <c r="L551" s="548"/>
      <c r="M551" s="548"/>
      <c r="N551" s="548"/>
      <c r="O551" s="548"/>
      <c r="P551" s="548"/>
      <c r="Q551" s="548"/>
      <c r="R551" s="548"/>
      <c r="S551" s="548"/>
      <c r="T551" s="548"/>
      <c r="U551" s="548"/>
      <c r="V551" s="548"/>
      <c r="W551" s="548"/>
      <c r="X551" s="548"/>
      <c r="Y551" s="548"/>
      <c r="Z551" s="548"/>
    </row>
    <row r="552" ht="15.75" customHeight="1">
      <c r="A552" s="548"/>
      <c r="B552" s="548"/>
      <c r="C552" s="548"/>
      <c r="D552" s="548"/>
      <c r="E552" s="548"/>
      <c r="F552" s="549"/>
      <c r="G552" s="548"/>
      <c r="H552" s="548"/>
      <c r="I552" s="548"/>
      <c r="J552" s="548"/>
      <c r="K552" s="548"/>
      <c r="L552" s="548"/>
      <c r="M552" s="548"/>
      <c r="N552" s="548"/>
      <c r="O552" s="548"/>
      <c r="P552" s="548"/>
      <c r="Q552" s="548"/>
      <c r="R552" s="548"/>
      <c r="S552" s="548"/>
      <c r="T552" s="548"/>
      <c r="U552" s="548"/>
      <c r="V552" s="548"/>
      <c r="W552" s="548"/>
      <c r="X552" s="548"/>
      <c r="Y552" s="548"/>
      <c r="Z552" s="548"/>
    </row>
    <row r="553" ht="15.75" customHeight="1">
      <c r="A553" s="548"/>
      <c r="B553" s="548"/>
      <c r="C553" s="548"/>
      <c r="D553" s="548"/>
      <c r="E553" s="548"/>
      <c r="F553" s="549"/>
      <c r="G553" s="548"/>
      <c r="H553" s="548"/>
      <c r="I553" s="548"/>
      <c r="J553" s="548"/>
      <c r="K553" s="548"/>
      <c r="L553" s="548"/>
      <c r="M553" s="548"/>
      <c r="N553" s="548"/>
      <c r="O553" s="548"/>
      <c r="P553" s="548"/>
      <c r="Q553" s="548"/>
      <c r="R553" s="548"/>
      <c r="S553" s="548"/>
      <c r="T553" s="548"/>
      <c r="U553" s="548"/>
      <c r="V553" s="548"/>
      <c r="W553" s="548"/>
      <c r="X553" s="548"/>
      <c r="Y553" s="548"/>
      <c r="Z553" s="548"/>
    </row>
    <row r="554" ht="15.75" customHeight="1">
      <c r="A554" s="548"/>
      <c r="B554" s="548"/>
      <c r="C554" s="548"/>
      <c r="D554" s="548"/>
      <c r="E554" s="548"/>
      <c r="F554" s="549"/>
      <c r="G554" s="548"/>
      <c r="H554" s="548"/>
      <c r="I554" s="548"/>
      <c r="J554" s="548"/>
      <c r="K554" s="548"/>
      <c r="L554" s="548"/>
      <c r="M554" s="548"/>
      <c r="N554" s="548"/>
      <c r="O554" s="548"/>
      <c r="P554" s="548"/>
      <c r="Q554" s="548"/>
      <c r="R554" s="548"/>
      <c r="S554" s="548"/>
      <c r="T554" s="548"/>
      <c r="U554" s="548"/>
      <c r="V554" s="548"/>
      <c r="W554" s="548"/>
      <c r="X554" s="548"/>
      <c r="Y554" s="548"/>
      <c r="Z554" s="548"/>
    </row>
    <row r="555" ht="15.75" customHeight="1">
      <c r="A555" s="548"/>
      <c r="B555" s="548"/>
      <c r="C555" s="548"/>
      <c r="D555" s="548"/>
      <c r="E555" s="548"/>
      <c r="F555" s="549"/>
      <c r="G555" s="548"/>
      <c r="H555" s="548"/>
      <c r="I555" s="548"/>
      <c r="J555" s="548"/>
      <c r="K555" s="548"/>
      <c r="L555" s="548"/>
      <c r="M555" s="548"/>
      <c r="N555" s="548"/>
      <c r="O555" s="548"/>
      <c r="P555" s="548"/>
      <c r="Q555" s="548"/>
      <c r="R555" s="548"/>
      <c r="S555" s="548"/>
      <c r="T555" s="548"/>
      <c r="U555" s="548"/>
      <c r="V555" s="548"/>
      <c r="W555" s="548"/>
      <c r="X555" s="548"/>
      <c r="Y555" s="548"/>
      <c r="Z555" s="548"/>
    </row>
    <row r="556" ht="15.75" customHeight="1">
      <c r="A556" s="548"/>
      <c r="B556" s="548"/>
      <c r="C556" s="548"/>
      <c r="D556" s="548"/>
      <c r="E556" s="548"/>
      <c r="F556" s="549"/>
      <c r="G556" s="548"/>
      <c r="H556" s="548"/>
      <c r="I556" s="548"/>
      <c r="J556" s="548"/>
      <c r="K556" s="548"/>
      <c r="L556" s="548"/>
      <c r="M556" s="548"/>
      <c r="N556" s="548"/>
      <c r="O556" s="548"/>
      <c r="P556" s="548"/>
      <c r="Q556" s="548"/>
      <c r="R556" s="548"/>
      <c r="S556" s="548"/>
      <c r="T556" s="548"/>
      <c r="U556" s="548"/>
      <c r="V556" s="548"/>
      <c r="W556" s="548"/>
      <c r="X556" s="548"/>
      <c r="Y556" s="548"/>
      <c r="Z556" s="548"/>
    </row>
    <row r="557" ht="15.75" customHeight="1">
      <c r="A557" s="548"/>
      <c r="B557" s="548"/>
      <c r="C557" s="548"/>
      <c r="D557" s="548"/>
      <c r="E557" s="548"/>
      <c r="F557" s="549"/>
      <c r="G557" s="548"/>
      <c r="H557" s="548"/>
      <c r="I557" s="548"/>
      <c r="J557" s="548"/>
      <c r="K557" s="548"/>
      <c r="L557" s="548"/>
      <c r="M557" s="548"/>
      <c r="N557" s="548"/>
      <c r="O557" s="548"/>
      <c r="P557" s="548"/>
      <c r="Q557" s="548"/>
      <c r="R557" s="548"/>
      <c r="S557" s="548"/>
      <c r="T557" s="548"/>
      <c r="U557" s="548"/>
      <c r="V557" s="548"/>
      <c r="W557" s="548"/>
      <c r="X557" s="548"/>
      <c r="Y557" s="548"/>
      <c r="Z557" s="548"/>
    </row>
    <row r="558" ht="15.75" customHeight="1">
      <c r="A558" s="548"/>
      <c r="B558" s="548"/>
      <c r="C558" s="548"/>
      <c r="D558" s="548"/>
      <c r="E558" s="548"/>
      <c r="F558" s="549"/>
      <c r="G558" s="548"/>
      <c r="H558" s="548"/>
      <c r="I558" s="548"/>
      <c r="J558" s="548"/>
      <c r="K558" s="548"/>
      <c r="L558" s="548"/>
      <c r="M558" s="548"/>
      <c r="N558" s="548"/>
      <c r="O558" s="548"/>
      <c r="P558" s="548"/>
      <c r="Q558" s="548"/>
      <c r="R558" s="548"/>
      <c r="S558" s="548"/>
      <c r="T558" s="548"/>
      <c r="U558" s="548"/>
      <c r="V558" s="548"/>
      <c r="W558" s="548"/>
      <c r="X558" s="548"/>
      <c r="Y558" s="548"/>
      <c r="Z558" s="548"/>
    </row>
    <row r="559" ht="15.75" customHeight="1">
      <c r="A559" s="548"/>
      <c r="B559" s="548"/>
      <c r="C559" s="548"/>
      <c r="D559" s="548"/>
      <c r="E559" s="548"/>
      <c r="F559" s="549"/>
      <c r="G559" s="548"/>
      <c r="H559" s="548"/>
      <c r="I559" s="548"/>
      <c r="J559" s="548"/>
      <c r="K559" s="548"/>
      <c r="L559" s="548"/>
      <c r="M559" s="548"/>
      <c r="N559" s="548"/>
      <c r="O559" s="548"/>
      <c r="P559" s="548"/>
      <c r="Q559" s="548"/>
      <c r="R559" s="548"/>
      <c r="S559" s="548"/>
      <c r="T559" s="548"/>
      <c r="U559" s="548"/>
      <c r="V559" s="548"/>
      <c r="W559" s="548"/>
      <c r="X559" s="548"/>
      <c r="Y559" s="548"/>
      <c r="Z559" s="548"/>
    </row>
    <row r="560" ht="15.75" customHeight="1">
      <c r="A560" s="548"/>
      <c r="B560" s="548"/>
      <c r="C560" s="548"/>
      <c r="D560" s="548"/>
      <c r="E560" s="548"/>
      <c r="F560" s="549"/>
      <c r="G560" s="548"/>
      <c r="H560" s="548"/>
      <c r="I560" s="548"/>
      <c r="J560" s="548"/>
      <c r="K560" s="548"/>
      <c r="L560" s="548"/>
      <c r="M560" s="548"/>
      <c r="N560" s="548"/>
      <c r="O560" s="548"/>
      <c r="P560" s="548"/>
      <c r="Q560" s="548"/>
      <c r="R560" s="548"/>
      <c r="S560" s="548"/>
      <c r="T560" s="548"/>
      <c r="U560" s="548"/>
      <c r="V560" s="548"/>
      <c r="W560" s="548"/>
      <c r="X560" s="548"/>
      <c r="Y560" s="548"/>
      <c r="Z560" s="548"/>
    </row>
    <row r="561" ht="15.75" customHeight="1">
      <c r="A561" s="548"/>
      <c r="B561" s="548"/>
      <c r="C561" s="548"/>
      <c r="D561" s="548"/>
      <c r="E561" s="548"/>
      <c r="F561" s="549"/>
      <c r="G561" s="548"/>
      <c r="H561" s="548"/>
      <c r="I561" s="548"/>
      <c r="J561" s="548"/>
      <c r="K561" s="548"/>
      <c r="L561" s="548"/>
      <c r="M561" s="548"/>
      <c r="N561" s="548"/>
      <c r="O561" s="548"/>
      <c r="P561" s="548"/>
      <c r="Q561" s="548"/>
      <c r="R561" s="548"/>
      <c r="S561" s="548"/>
      <c r="T561" s="548"/>
      <c r="U561" s="548"/>
      <c r="V561" s="548"/>
      <c r="W561" s="548"/>
      <c r="X561" s="548"/>
      <c r="Y561" s="548"/>
      <c r="Z561" s="548"/>
    </row>
    <row r="562" ht="15.75" customHeight="1">
      <c r="A562" s="548"/>
      <c r="B562" s="548"/>
      <c r="C562" s="548"/>
      <c r="D562" s="548"/>
      <c r="E562" s="548"/>
      <c r="F562" s="549"/>
      <c r="G562" s="548"/>
      <c r="H562" s="548"/>
      <c r="I562" s="548"/>
      <c r="J562" s="548"/>
      <c r="K562" s="548"/>
      <c r="L562" s="548"/>
      <c r="M562" s="548"/>
      <c r="N562" s="548"/>
      <c r="O562" s="548"/>
      <c r="P562" s="548"/>
      <c r="Q562" s="548"/>
      <c r="R562" s="548"/>
      <c r="S562" s="548"/>
      <c r="T562" s="548"/>
      <c r="U562" s="548"/>
      <c r="V562" s="548"/>
      <c r="W562" s="548"/>
      <c r="X562" s="548"/>
      <c r="Y562" s="548"/>
      <c r="Z562" s="548"/>
    </row>
    <row r="563" ht="15.75" customHeight="1">
      <c r="A563" s="548"/>
      <c r="B563" s="548"/>
      <c r="C563" s="548"/>
      <c r="D563" s="548"/>
      <c r="E563" s="548"/>
      <c r="F563" s="549"/>
      <c r="G563" s="548"/>
      <c r="H563" s="548"/>
      <c r="I563" s="548"/>
      <c r="J563" s="548"/>
      <c r="K563" s="548"/>
      <c r="L563" s="548"/>
      <c r="M563" s="548"/>
      <c r="N563" s="548"/>
      <c r="O563" s="548"/>
      <c r="P563" s="548"/>
      <c r="Q563" s="548"/>
      <c r="R563" s="548"/>
      <c r="S563" s="548"/>
      <c r="T563" s="548"/>
      <c r="U563" s="548"/>
      <c r="V563" s="548"/>
      <c r="W563" s="548"/>
      <c r="X563" s="548"/>
      <c r="Y563" s="548"/>
      <c r="Z563" s="548"/>
    </row>
    <row r="564" ht="15.75" customHeight="1">
      <c r="A564" s="548"/>
      <c r="B564" s="548"/>
      <c r="C564" s="548"/>
      <c r="D564" s="548"/>
      <c r="E564" s="548"/>
      <c r="F564" s="549"/>
      <c r="G564" s="548"/>
      <c r="H564" s="548"/>
      <c r="I564" s="548"/>
      <c r="J564" s="548"/>
      <c r="K564" s="548"/>
      <c r="L564" s="548"/>
      <c r="M564" s="548"/>
      <c r="N564" s="548"/>
      <c r="O564" s="548"/>
      <c r="P564" s="548"/>
      <c r="Q564" s="548"/>
      <c r="R564" s="548"/>
      <c r="S564" s="548"/>
      <c r="T564" s="548"/>
      <c r="U564" s="548"/>
      <c r="V564" s="548"/>
      <c r="W564" s="548"/>
      <c r="X564" s="548"/>
      <c r="Y564" s="548"/>
      <c r="Z564" s="548"/>
    </row>
    <row r="565" ht="15.75" customHeight="1">
      <c r="A565" s="548"/>
      <c r="B565" s="548"/>
      <c r="C565" s="548"/>
      <c r="D565" s="548"/>
      <c r="E565" s="548"/>
      <c r="F565" s="549"/>
      <c r="G565" s="548"/>
      <c r="H565" s="548"/>
      <c r="I565" s="548"/>
      <c r="J565" s="548"/>
      <c r="K565" s="548"/>
      <c r="L565" s="548"/>
      <c r="M565" s="548"/>
      <c r="N565" s="548"/>
      <c r="O565" s="548"/>
      <c r="P565" s="548"/>
      <c r="Q565" s="548"/>
      <c r="R565" s="548"/>
      <c r="S565" s="548"/>
      <c r="T565" s="548"/>
      <c r="U565" s="548"/>
      <c r="V565" s="548"/>
      <c r="W565" s="548"/>
      <c r="X565" s="548"/>
      <c r="Y565" s="548"/>
      <c r="Z565" s="548"/>
    </row>
    <row r="566" ht="15.75" customHeight="1">
      <c r="A566" s="548"/>
      <c r="B566" s="548"/>
      <c r="C566" s="548"/>
      <c r="D566" s="548"/>
      <c r="E566" s="548"/>
      <c r="F566" s="549"/>
      <c r="G566" s="548"/>
      <c r="H566" s="548"/>
      <c r="I566" s="548"/>
      <c r="J566" s="548"/>
      <c r="K566" s="548"/>
      <c r="L566" s="548"/>
      <c r="M566" s="548"/>
      <c r="N566" s="548"/>
      <c r="O566" s="548"/>
      <c r="P566" s="548"/>
      <c r="Q566" s="548"/>
      <c r="R566" s="548"/>
      <c r="S566" s="548"/>
      <c r="T566" s="548"/>
      <c r="U566" s="548"/>
      <c r="V566" s="548"/>
      <c r="W566" s="548"/>
      <c r="X566" s="548"/>
      <c r="Y566" s="548"/>
      <c r="Z566" s="548"/>
    </row>
    <row r="567" ht="15.75" customHeight="1">
      <c r="A567" s="548"/>
      <c r="B567" s="548"/>
      <c r="C567" s="548"/>
      <c r="D567" s="548"/>
      <c r="E567" s="548"/>
      <c r="F567" s="549"/>
      <c r="G567" s="548"/>
      <c r="H567" s="548"/>
      <c r="I567" s="548"/>
      <c r="J567" s="548"/>
      <c r="K567" s="548"/>
      <c r="L567" s="548"/>
      <c r="M567" s="548"/>
      <c r="N567" s="548"/>
      <c r="O567" s="548"/>
      <c r="P567" s="548"/>
      <c r="Q567" s="548"/>
      <c r="R567" s="548"/>
      <c r="S567" s="548"/>
      <c r="T567" s="548"/>
      <c r="U567" s="548"/>
      <c r="V567" s="548"/>
      <c r="W567" s="548"/>
      <c r="X567" s="548"/>
      <c r="Y567" s="548"/>
      <c r="Z567" s="548"/>
    </row>
    <row r="568" ht="15.75" customHeight="1">
      <c r="A568" s="548"/>
      <c r="B568" s="548"/>
      <c r="C568" s="548"/>
      <c r="D568" s="548"/>
      <c r="E568" s="548"/>
      <c r="F568" s="549"/>
      <c r="G568" s="548"/>
      <c r="H568" s="548"/>
      <c r="I568" s="548"/>
      <c r="J568" s="548"/>
      <c r="K568" s="548"/>
      <c r="L568" s="548"/>
      <c r="M568" s="548"/>
      <c r="N568" s="548"/>
      <c r="O568" s="548"/>
      <c r="P568" s="548"/>
      <c r="Q568" s="548"/>
      <c r="R568" s="548"/>
      <c r="S568" s="548"/>
      <c r="T568" s="548"/>
      <c r="U568" s="548"/>
      <c r="V568" s="548"/>
      <c r="W568" s="548"/>
      <c r="X568" s="548"/>
      <c r="Y568" s="548"/>
      <c r="Z568" s="548"/>
    </row>
    <row r="569" ht="15.75" customHeight="1">
      <c r="A569" s="548"/>
      <c r="B569" s="548"/>
      <c r="C569" s="548"/>
      <c r="D569" s="548"/>
      <c r="E569" s="548"/>
      <c r="F569" s="549"/>
      <c r="G569" s="548"/>
      <c r="H569" s="548"/>
      <c r="I569" s="548"/>
      <c r="J569" s="548"/>
      <c r="K569" s="548"/>
      <c r="L569" s="548"/>
      <c r="M569" s="548"/>
      <c r="N569" s="548"/>
      <c r="O569" s="548"/>
      <c r="P569" s="548"/>
      <c r="Q569" s="548"/>
      <c r="R569" s="548"/>
      <c r="S569" s="548"/>
      <c r="T569" s="548"/>
      <c r="U569" s="548"/>
      <c r="V569" s="548"/>
      <c r="W569" s="548"/>
      <c r="X569" s="548"/>
      <c r="Y569" s="548"/>
      <c r="Z569" s="548"/>
    </row>
    <row r="570" ht="15.75" customHeight="1">
      <c r="A570" s="548"/>
      <c r="B570" s="548"/>
      <c r="C570" s="548"/>
      <c r="D570" s="548"/>
      <c r="E570" s="548"/>
      <c r="F570" s="549"/>
      <c r="G570" s="548"/>
      <c r="H570" s="548"/>
      <c r="I570" s="548"/>
      <c r="J570" s="548"/>
      <c r="K570" s="548"/>
      <c r="L570" s="548"/>
      <c r="M570" s="548"/>
      <c r="N570" s="548"/>
      <c r="O570" s="548"/>
      <c r="P570" s="548"/>
      <c r="Q570" s="548"/>
      <c r="R570" s="548"/>
      <c r="S570" s="548"/>
      <c r="T570" s="548"/>
      <c r="U570" s="548"/>
      <c r="V570" s="548"/>
      <c r="W570" s="548"/>
      <c r="X570" s="548"/>
      <c r="Y570" s="548"/>
      <c r="Z570" s="548"/>
    </row>
    <row r="571" ht="15.75" customHeight="1">
      <c r="A571" s="548"/>
      <c r="B571" s="548"/>
      <c r="C571" s="548"/>
      <c r="D571" s="548"/>
      <c r="E571" s="548"/>
      <c r="F571" s="549"/>
      <c r="G571" s="548"/>
      <c r="H571" s="548"/>
      <c r="I571" s="548"/>
      <c r="J571" s="548"/>
      <c r="K571" s="548"/>
      <c r="L571" s="548"/>
      <c r="M571" s="548"/>
      <c r="N571" s="548"/>
      <c r="O571" s="548"/>
      <c r="P571" s="548"/>
      <c r="Q571" s="548"/>
      <c r="R571" s="548"/>
      <c r="S571" s="548"/>
      <c r="T571" s="548"/>
      <c r="U571" s="548"/>
      <c r="V571" s="548"/>
      <c r="W571" s="548"/>
      <c r="X571" s="548"/>
      <c r="Y571" s="548"/>
      <c r="Z571" s="548"/>
    </row>
    <row r="572" ht="15.75" customHeight="1">
      <c r="A572" s="548"/>
      <c r="B572" s="548"/>
      <c r="C572" s="548"/>
      <c r="D572" s="548"/>
      <c r="E572" s="548"/>
      <c r="F572" s="549"/>
      <c r="G572" s="548"/>
      <c r="H572" s="548"/>
      <c r="I572" s="548"/>
      <c r="J572" s="548"/>
      <c r="K572" s="548"/>
      <c r="L572" s="548"/>
      <c r="M572" s="548"/>
      <c r="N572" s="548"/>
      <c r="O572" s="548"/>
      <c r="P572" s="548"/>
      <c r="Q572" s="548"/>
      <c r="R572" s="548"/>
      <c r="S572" s="548"/>
      <c r="T572" s="548"/>
      <c r="U572" s="548"/>
      <c r="V572" s="548"/>
      <c r="W572" s="548"/>
      <c r="X572" s="548"/>
      <c r="Y572" s="548"/>
      <c r="Z572" s="548"/>
    </row>
    <row r="573" ht="15.75" customHeight="1">
      <c r="A573" s="548"/>
      <c r="B573" s="548"/>
      <c r="C573" s="548"/>
      <c r="D573" s="548"/>
      <c r="E573" s="548"/>
      <c r="F573" s="549"/>
      <c r="G573" s="548"/>
      <c r="H573" s="548"/>
      <c r="I573" s="548"/>
      <c r="J573" s="548"/>
      <c r="K573" s="548"/>
      <c r="L573" s="548"/>
      <c r="M573" s="548"/>
      <c r="N573" s="548"/>
      <c r="O573" s="548"/>
      <c r="P573" s="548"/>
      <c r="Q573" s="548"/>
      <c r="R573" s="548"/>
      <c r="S573" s="548"/>
      <c r="T573" s="548"/>
      <c r="U573" s="548"/>
      <c r="V573" s="548"/>
      <c r="W573" s="548"/>
      <c r="X573" s="548"/>
      <c r="Y573" s="548"/>
      <c r="Z573" s="548"/>
    </row>
    <row r="574" ht="15.75" customHeight="1">
      <c r="A574" s="548"/>
      <c r="B574" s="548"/>
      <c r="C574" s="548"/>
      <c r="D574" s="548"/>
      <c r="E574" s="548"/>
      <c r="F574" s="549"/>
      <c r="G574" s="548"/>
      <c r="H574" s="548"/>
      <c r="I574" s="548"/>
      <c r="J574" s="548"/>
      <c r="K574" s="548"/>
      <c r="L574" s="548"/>
      <c r="M574" s="548"/>
      <c r="N574" s="548"/>
      <c r="O574" s="548"/>
      <c r="P574" s="548"/>
      <c r="Q574" s="548"/>
      <c r="R574" s="548"/>
      <c r="S574" s="548"/>
      <c r="T574" s="548"/>
      <c r="U574" s="548"/>
      <c r="V574" s="548"/>
      <c r="W574" s="548"/>
      <c r="X574" s="548"/>
      <c r="Y574" s="548"/>
      <c r="Z574" s="548"/>
    </row>
    <row r="575" ht="15.75" customHeight="1">
      <c r="A575" s="548"/>
      <c r="B575" s="548"/>
      <c r="C575" s="548"/>
      <c r="D575" s="548"/>
      <c r="E575" s="548"/>
      <c r="F575" s="549"/>
      <c r="G575" s="548"/>
      <c r="H575" s="548"/>
      <c r="I575" s="548"/>
      <c r="J575" s="548"/>
      <c r="K575" s="548"/>
      <c r="L575" s="548"/>
      <c r="M575" s="548"/>
      <c r="N575" s="548"/>
      <c r="O575" s="548"/>
      <c r="P575" s="548"/>
      <c r="Q575" s="548"/>
      <c r="R575" s="548"/>
      <c r="S575" s="548"/>
      <c r="T575" s="548"/>
      <c r="U575" s="548"/>
      <c r="V575" s="548"/>
      <c r="W575" s="548"/>
      <c r="X575" s="548"/>
      <c r="Y575" s="548"/>
      <c r="Z575" s="548"/>
    </row>
    <row r="576" ht="15.75" customHeight="1">
      <c r="A576" s="548"/>
      <c r="B576" s="548"/>
      <c r="C576" s="548"/>
      <c r="D576" s="548"/>
      <c r="E576" s="548"/>
      <c r="F576" s="549"/>
      <c r="G576" s="548"/>
      <c r="H576" s="548"/>
      <c r="I576" s="548"/>
      <c r="J576" s="548"/>
      <c r="K576" s="548"/>
      <c r="L576" s="548"/>
      <c r="M576" s="548"/>
      <c r="N576" s="548"/>
      <c r="O576" s="548"/>
      <c r="P576" s="548"/>
      <c r="Q576" s="548"/>
      <c r="R576" s="548"/>
      <c r="S576" s="548"/>
      <c r="T576" s="548"/>
      <c r="U576" s="548"/>
      <c r="V576" s="548"/>
      <c r="W576" s="548"/>
      <c r="X576" s="548"/>
      <c r="Y576" s="548"/>
      <c r="Z576" s="548"/>
    </row>
    <row r="577" ht="15.75" customHeight="1">
      <c r="A577" s="548"/>
      <c r="B577" s="548"/>
      <c r="C577" s="548"/>
      <c r="D577" s="548"/>
      <c r="E577" s="548"/>
      <c r="F577" s="549"/>
      <c r="G577" s="548"/>
      <c r="H577" s="548"/>
      <c r="I577" s="548"/>
      <c r="J577" s="548"/>
      <c r="K577" s="548"/>
      <c r="L577" s="548"/>
      <c r="M577" s="548"/>
      <c r="N577" s="548"/>
      <c r="O577" s="548"/>
      <c r="P577" s="548"/>
      <c r="Q577" s="548"/>
      <c r="R577" s="548"/>
      <c r="S577" s="548"/>
      <c r="T577" s="548"/>
      <c r="U577" s="548"/>
      <c r="V577" s="548"/>
      <c r="W577" s="548"/>
      <c r="X577" s="548"/>
      <c r="Y577" s="548"/>
      <c r="Z577" s="548"/>
    </row>
    <row r="578" ht="15.75" customHeight="1">
      <c r="A578" s="548"/>
      <c r="B578" s="548"/>
      <c r="C578" s="548"/>
      <c r="D578" s="548"/>
      <c r="E578" s="548"/>
      <c r="F578" s="549"/>
      <c r="G578" s="548"/>
      <c r="H578" s="548"/>
      <c r="I578" s="548"/>
      <c r="J578" s="548"/>
      <c r="K578" s="548"/>
      <c r="L578" s="548"/>
      <c r="M578" s="548"/>
      <c r="N578" s="548"/>
      <c r="O578" s="548"/>
      <c r="P578" s="548"/>
      <c r="Q578" s="548"/>
      <c r="R578" s="548"/>
      <c r="S578" s="548"/>
      <c r="T578" s="548"/>
      <c r="U578" s="548"/>
      <c r="V578" s="548"/>
      <c r="W578" s="548"/>
      <c r="X578" s="548"/>
      <c r="Y578" s="548"/>
      <c r="Z578" s="548"/>
    </row>
    <row r="579" ht="15.75" customHeight="1">
      <c r="A579" s="548"/>
      <c r="B579" s="548"/>
      <c r="C579" s="548"/>
      <c r="D579" s="548"/>
      <c r="E579" s="548"/>
      <c r="F579" s="549"/>
      <c r="G579" s="548"/>
      <c r="H579" s="548"/>
      <c r="I579" s="548"/>
      <c r="J579" s="548"/>
      <c r="K579" s="548"/>
      <c r="L579" s="548"/>
      <c r="M579" s="548"/>
      <c r="N579" s="548"/>
      <c r="O579" s="548"/>
      <c r="P579" s="548"/>
      <c r="Q579" s="548"/>
      <c r="R579" s="548"/>
      <c r="S579" s="548"/>
      <c r="T579" s="548"/>
      <c r="U579" s="548"/>
      <c r="V579" s="548"/>
      <c r="W579" s="548"/>
      <c r="X579" s="548"/>
      <c r="Y579" s="548"/>
      <c r="Z579" s="548"/>
    </row>
    <row r="580" ht="15.75" customHeight="1">
      <c r="A580" s="548"/>
      <c r="B580" s="548"/>
      <c r="C580" s="548"/>
      <c r="D580" s="548"/>
      <c r="E580" s="548"/>
      <c r="F580" s="549"/>
      <c r="G580" s="548"/>
      <c r="H580" s="548"/>
      <c r="I580" s="548"/>
      <c r="J580" s="548"/>
      <c r="K580" s="548"/>
      <c r="L580" s="548"/>
      <c r="M580" s="548"/>
      <c r="N580" s="548"/>
      <c r="O580" s="548"/>
      <c r="P580" s="548"/>
      <c r="Q580" s="548"/>
      <c r="R580" s="548"/>
      <c r="S580" s="548"/>
      <c r="T580" s="548"/>
      <c r="U580" s="548"/>
      <c r="V580" s="548"/>
      <c r="W580" s="548"/>
      <c r="X580" s="548"/>
      <c r="Y580" s="548"/>
      <c r="Z580" s="548"/>
    </row>
    <row r="581" ht="15.75" customHeight="1">
      <c r="A581" s="548"/>
      <c r="B581" s="548"/>
      <c r="C581" s="548"/>
      <c r="D581" s="548"/>
      <c r="E581" s="548"/>
      <c r="F581" s="549"/>
      <c r="G581" s="548"/>
      <c r="H581" s="548"/>
      <c r="I581" s="548"/>
      <c r="J581" s="548"/>
      <c r="K581" s="548"/>
      <c r="L581" s="548"/>
      <c r="M581" s="548"/>
      <c r="N581" s="548"/>
      <c r="O581" s="548"/>
      <c r="P581" s="548"/>
      <c r="Q581" s="548"/>
      <c r="R581" s="548"/>
      <c r="S581" s="548"/>
      <c r="T581" s="548"/>
      <c r="U581" s="548"/>
      <c r="V581" s="548"/>
      <c r="W581" s="548"/>
      <c r="X581" s="548"/>
      <c r="Y581" s="548"/>
      <c r="Z581" s="548"/>
    </row>
    <row r="582" ht="15.75" customHeight="1">
      <c r="A582" s="548"/>
      <c r="B582" s="548"/>
      <c r="C582" s="548"/>
      <c r="D582" s="548"/>
      <c r="E582" s="548"/>
      <c r="F582" s="549"/>
      <c r="G582" s="548"/>
      <c r="H582" s="548"/>
      <c r="I582" s="548"/>
      <c r="J582" s="548"/>
      <c r="K582" s="548"/>
      <c r="L582" s="548"/>
      <c r="M582" s="548"/>
      <c r="N582" s="548"/>
      <c r="O582" s="548"/>
      <c r="P582" s="548"/>
      <c r="Q582" s="548"/>
      <c r="R582" s="548"/>
      <c r="S582" s="548"/>
      <c r="T582" s="548"/>
      <c r="U582" s="548"/>
      <c r="V582" s="548"/>
      <c r="W582" s="548"/>
      <c r="X582" s="548"/>
      <c r="Y582" s="548"/>
      <c r="Z582" s="548"/>
    </row>
    <row r="583" ht="15.75" customHeight="1">
      <c r="A583" s="548"/>
      <c r="B583" s="548"/>
      <c r="C583" s="548"/>
      <c r="D583" s="548"/>
      <c r="E583" s="548"/>
      <c r="F583" s="549"/>
      <c r="G583" s="548"/>
      <c r="H583" s="548"/>
      <c r="I583" s="548"/>
      <c r="J583" s="548"/>
      <c r="K583" s="548"/>
      <c r="L583" s="548"/>
      <c r="M583" s="548"/>
      <c r="N583" s="548"/>
      <c r="O583" s="548"/>
      <c r="P583" s="548"/>
      <c r="Q583" s="548"/>
      <c r="R583" s="548"/>
      <c r="S583" s="548"/>
      <c r="T583" s="548"/>
      <c r="U583" s="548"/>
      <c r="V583" s="548"/>
      <c r="W583" s="548"/>
      <c r="X583" s="548"/>
      <c r="Y583" s="548"/>
      <c r="Z583" s="548"/>
    </row>
    <row r="584" ht="15.75" customHeight="1">
      <c r="A584" s="548"/>
      <c r="B584" s="548"/>
      <c r="C584" s="548"/>
      <c r="D584" s="548"/>
      <c r="E584" s="548"/>
      <c r="F584" s="549"/>
      <c r="G584" s="548"/>
      <c r="H584" s="548"/>
      <c r="I584" s="548"/>
      <c r="J584" s="548"/>
      <c r="K584" s="548"/>
      <c r="L584" s="548"/>
      <c r="M584" s="548"/>
      <c r="N584" s="548"/>
      <c r="O584" s="548"/>
      <c r="P584" s="548"/>
      <c r="Q584" s="548"/>
      <c r="R584" s="548"/>
      <c r="S584" s="548"/>
      <c r="T584" s="548"/>
      <c r="U584" s="548"/>
      <c r="V584" s="548"/>
      <c r="W584" s="548"/>
      <c r="X584" s="548"/>
      <c r="Y584" s="548"/>
      <c r="Z584" s="548"/>
    </row>
    <row r="585" ht="15.75" customHeight="1">
      <c r="A585" s="548"/>
      <c r="B585" s="548"/>
      <c r="C585" s="548"/>
      <c r="D585" s="548"/>
      <c r="E585" s="548"/>
      <c r="F585" s="549"/>
      <c r="G585" s="548"/>
      <c r="H585" s="548"/>
      <c r="I585" s="548"/>
      <c r="J585" s="548"/>
      <c r="K585" s="548"/>
      <c r="L585" s="548"/>
      <c r="M585" s="548"/>
      <c r="N585" s="548"/>
      <c r="O585" s="548"/>
      <c r="P585" s="548"/>
      <c r="Q585" s="548"/>
      <c r="R585" s="548"/>
      <c r="S585" s="548"/>
      <c r="T585" s="548"/>
      <c r="U585" s="548"/>
      <c r="V585" s="548"/>
      <c r="W585" s="548"/>
      <c r="X585" s="548"/>
      <c r="Y585" s="548"/>
      <c r="Z585" s="548"/>
    </row>
    <row r="586" ht="15.75" customHeight="1">
      <c r="A586" s="548"/>
      <c r="B586" s="548"/>
      <c r="C586" s="548"/>
      <c r="D586" s="548"/>
      <c r="E586" s="548"/>
      <c r="F586" s="549"/>
      <c r="G586" s="548"/>
      <c r="H586" s="548"/>
      <c r="I586" s="548"/>
      <c r="J586" s="548"/>
      <c r="K586" s="548"/>
      <c r="L586" s="548"/>
      <c r="M586" s="548"/>
      <c r="N586" s="548"/>
      <c r="O586" s="548"/>
      <c r="P586" s="548"/>
      <c r="Q586" s="548"/>
      <c r="R586" s="548"/>
      <c r="S586" s="548"/>
      <c r="T586" s="548"/>
      <c r="U586" s="548"/>
      <c r="V586" s="548"/>
      <c r="W586" s="548"/>
      <c r="X586" s="548"/>
      <c r="Y586" s="548"/>
      <c r="Z586" s="548"/>
    </row>
    <row r="587" ht="15.75" customHeight="1">
      <c r="A587" s="548"/>
      <c r="B587" s="548"/>
      <c r="C587" s="548"/>
      <c r="D587" s="548"/>
      <c r="E587" s="548"/>
      <c r="F587" s="549"/>
      <c r="G587" s="548"/>
      <c r="H587" s="548"/>
      <c r="I587" s="548"/>
      <c r="J587" s="548"/>
      <c r="K587" s="548"/>
      <c r="L587" s="548"/>
      <c r="M587" s="548"/>
      <c r="N587" s="548"/>
      <c r="O587" s="548"/>
      <c r="P587" s="548"/>
      <c r="Q587" s="548"/>
      <c r="R587" s="548"/>
      <c r="S587" s="548"/>
      <c r="T587" s="548"/>
      <c r="U587" s="548"/>
      <c r="V587" s="548"/>
      <c r="W587" s="548"/>
      <c r="X587" s="548"/>
      <c r="Y587" s="548"/>
      <c r="Z587" s="548"/>
    </row>
    <row r="588" ht="15.75" customHeight="1">
      <c r="A588" s="548"/>
      <c r="B588" s="548"/>
      <c r="C588" s="548"/>
      <c r="D588" s="548"/>
      <c r="E588" s="548"/>
      <c r="F588" s="549"/>
      <c r="G588" s="548"/>
      <c r="H588" s="548"/>
      <c r="I588" s="548"/>
      <c r="J588" s="548"/>
      <c r="K588" s="548"/>
      <c r="L588" s="548"/>
      <c r="M588" s="548"/>
      <c r="N588" s="548"/>
      <c r="O588" s="548"/>
      <c r="P588" s="548"/>
      <c r="Q588" s="548"/>
      <c r="R588" s="548"/>
      <c r="S588" s="548"/>
      <c r="T588" s="548"/>
      <c r="U588" s="548"/>
      <c r="V588" s="548"/>
      <c r="W588" s="548"/>
      <c r="X588" s="548"/>
      <c r="Y588" s="548"/>
      <c r="Z588" s="548"/>
    </row>
    <row r="589" ht="15.75" customHeight="1">
      <c r="A589" s="548"/>
      <c r="B589" s="548"/>
      <c r="C589" s="548"/>
      <c r="D589" s="548"/>
      <c r="E589" s="548"/>
      <c r="F589" s="549"/>
      <c r="G589" s="548"/>
      <c r="H589" s="548"/>
      <c r="I589" s="548"/>
      <c r="J589" s="548"/>
      <c r="K589" s="548"/>
      <c r="L589" s="548"/>
      <c r="M589" s="548"/>
      <c r="N589" s="548"/>
      <c r="O589" s="548"/>
      <c r="P589" s="548"/>
      <c r="Q589" s="548"/>
      <c r="R589" s="548"/>
      <c r="S589" s="548"/>
      <c r="T589" s="548"/>
      <c r="U589" s="548"/>
      <c r="V589" s="548"/>
      <c r="W589" s="548"/>
      <c r="X589" s="548"/>
      <c r="Y589" s="548"/>
      <c r="Z589" s="548"/>
    </row>
    <row r="590" ht="15.75" customHeight="1">
      <c r="A590" s="548"/>
      <c r="B590" s="548"/>
      <c r="C590" s="548"/>
      <c r="D590" s="548"/>
      <c r="E590" s="548"/>
      <c r="F590" s="549"/>
      <c r="G590" s="548"/>
      <c r="H590" s="548"/>
      <c r="I590" s="548"/>
      <c r="J590" s="548"/>
      <c r="K590" s="548"/>
      <c r="L590" s="548"/>
      <c r="M590" s="548"/>
      <c r="N590" s="548"/>
      <c r="O590" s="548"/>
      <c r="P590" s="548"/>
      <c r="Q590" s="548"/>
      <c r="R590" s="548"/>
      <c r="S590" s="548"/>
      <c r="T590" s="548"/>
      <c r="U590" s="548"/>
      <c r="V590" s="548"/>
      <c r="W590" s="548"/>
      <c r="X590" s="548"/>
      <c r="Y590" s="548"/>
      <c r="Z590" s="548"/>
    </row>
    <row r="591" ht="15.75" customHeight="1">
      <c r="A591" s="548"/>
      <c r="B591" s="548"/>
      <c r="C591" s="548"/>
      <c r="D591" s="548"/>
      <c r="E591" s="548"/>
      <c r="F591" s="549"/>
      <c r="G591" s="548"/>
      <c r="H591" s="548"/>
      <c r="I591" s="548"/>
      <c r="J591" s="548"/>
      <c r="K591" s="548"/>
      <c r="L591" s="548"/>
      <c r="M591" s="548"/>
      <c r="N591" s="548"/>
      <c r="O591" s="548"/>
      <c r="P591" s="548"/>
      <c r="Q591" s="548"/>
      <c r="R591" s="548"/>
      <c r="S591" s="548"/>
      <c r="T591" s="548"/>
      <c r="U591" s="548"/>
      <c r="V591" s="548"/>
      <c r="W591" s="548"/>
      <c r="X591" s="548"/>
      <c r="Y591" s="548"/>
      <c r="Z591" s="548"/>
    </row>
    <row r="592" ht="15.75" customHeight="1">
      <c r="A592" s="548"/>
      <c r="B592" s="548"/>
      <c r="C592" s="548"/>
      <c r="D592" s="548"/>
      <c r="E592" s="548"/>
      <c r="F592" s="549"/>
      <c r="G592" s="548"/>
      <c r="H592" s="548"/>
      <c r="I592" s="548"/>
      <c r="J592" s="548"/>
      <c r="K592" s="548"/>
      <c r="L592" s="548"/>
      <c r="M592" s="548"/>
      <c r="N592" s="548"/>
      <c r="O592" s="548"/>
      <c r="P592" s="548"/>
      <c r="Q592" s="548"/>
      <c r="R592" s="548"/>
      <c r="S592" s="548"/>
      <c r="T592" s="548"/>
      <c r="U592" s="548"/>
      <c r="V592" s="548"/>
      <c r="W592" s="548"/>
      <c r="X592" s="548"/>
      <c r="Y592" s="548"/>
      <c r="Z592" s="548"/>
    </row>
    <row r="593" ht="15.75" customHeight="1">
      <c r="A593" s="548"/>
      <c r="B593" s="548"/>
      <c r="C593" s="548"/>
      <c r="D593" s="548"/>
      <c r="E593" s="548"/>
      <c r="F593" s="549"/>
      <c r="G593" s="548"/>
      <c r="H593" s="548"/>
      <c r="I593" s="548"/>
      <c r="J593" s="548"/>
      <c r="K593" s="548"/>
      <c r="L593" s="548"/>
      <c r="M593" s="548"/>
      <c r="N593" s="548"/>
      <c r="O593" s="548"/>
      <c r="P593" s="548"/>
      <c r="Q593" s="548"/>
      <c r="R593" s="548"/>
      <c r="S593" s="548"/>
      <c r="T593" s="548"/>
      <c r="U593" s="548"/>
      <c r="V593" s="548"/>
      <c r="W593" s="548"/>
      <c r="X593" s="548"/>
      <c r="Y593" s="548"/>
      <c r="Z593" s="548"/>
    </row>
    <row r="594" ht="15.75" customHeight="1">
      <c r="A594" s="548"/>
      <c r="B594" s="548"/>
      <c r="C594" s="548"/>
      <c r="D594" s="548"/>
      <c r="E594" s="548"/>
      <c r="F594" s="549"/>
      <c r="G594" s="548"/>
      <c r="H594" s="548"/>
      <c r="I594" s="548"/>
      <c r="J594" s="548"/>
      <c r="K594" s="548"/>
      <c r="L594" s="548"/>
      <c r="M594" s="548"/>
      <c r="N594" s="548"/>
      <c r="O594" s="548"/>
      <c r="P594" s="548"/>
      <c r="Q594" s="548"/>
      <c r="R594" s="548"/>
      <c r="S594" s="548"/>
      <c r="T594" s="548"/>
      <c r="U594" s="548"/>
      <c r="V594" s="548"/>
      <c r="W594" s="548"/>
      <c r="X594" s="548"/>
      <c r="Y594" s="548"/>
      <c r="Z594" s="548"/>
    </row>
    <row r="595" ht="15.75" customHeight="1">
      <c r="A595" s="548"/>
      <c r="B595" s="548"/>
      <c r="C595" s="548"/>
      <c r="D595" s="548"/>
      <c r="E595" s="548"/>
      <c r="F595" s="549"/>
      <c r="G595" s="548"/>
      <c r="H595" s="548"/>
      <c r="I595" s="548"/>
      <c r="J595" s="548"/>
      <c r="K595" s="548"/>
      <c r="L595" s="548"/>
      <c r="M595" s="548"/>
      <c r="N595" s="548"/>
      <c r="O595" s="548"/>
      <c r="P595" s="548"/>
      <c r="Q595" s="548"/>
      <c r="R595" s="548"/>
      <c r="S595" s="548"/>
      <c r="T595" s="548"/>
      <c r="U595" s="548"/>
      <c r="V595" s="548"/>
      <c r="W595" s="548"/>
      <c r="X595" s="548"/>
      <c r="Y595" s="548"/>
      <c r="Z595" s="548"/>
    </row>
    <row r="596" ht="15.75" customHeight="1">
      <c r="A596" s="548"/>
      <c r="B596" s="548"/>
      <c r="C596" s="548"/>
      <c r="D596" s="548"/>
      <c r="E596" s="548"/>
      <c r="F596" s="549"/>
      <c r="G596" s="548"/>
      <c r="H596" s="548"/>
      <c r="I596" s="548"/>
      <c r="J596" s="548"/>
      <c r="K596" s="548"/>
      <c r="L596" s="548"/>
      <c r="M596" s="548"/>
      <c r="N596" s="548"/>
      <c r="O596" s="548"/>
      <c r="P596" s="548"/>
      <c r="Q596" s="548"/>
      <c r="R596" s="548"/>
      <c r="S596" s="548"/>
      <c r="T596" s="548"/>
      <c r="U596" s="548"/>
      <c r="V596" s="548"/>
      <c r="W596" s="548"/>
      <c r="X596" s="548"/>
      <c r="Y596" s="548"/>
      <c r="Z596" s="548"/>
    </row>
    <row r="597" ht="15.75" customHeight="1">
      <c r="A597" s="548"/>
      <c r="B597" s="548"/>
      <c r="C597" s="548"/>
      <c r="D597" s="548"/>
      <c r="E597" s="548"/>
      <c r="F597" s="549"/>
      <c r="G597" s="548"/>
      <c r="H597" s="548"/>
      <c r="I597" s="548"/>
      <c r="J597" s="548"/>
      <c r="K597" s="548"/>
      <c r="L597" s="548"/>
      <c r="M597" s="548"/>
      <c r="N597" s="548"/>
      <c r="O597" s="548"/>
      <c r="P597" s="548"/>
      <c r="Q597" s="548"/>
      <c r="R597" s="548"/>
      <c r="S597" s="548"/>
      <c r="T597" s="548"/>
      <c r="U597" s="548"/>
      <c r="V597" s="548"/>
      <c r="W597" s="548"/>
      <c r="X597" s="548"/>
      <c r="Y597" s="548"/>
      <c r="Z597" s="548"/>
    </row>
    <row r="598" ht="15.75" customHeight="1">
      <c r="A598" s="548"/>
      <c r="B598" s="548"/>
      <c r="C598" s="548"/>
      <c r="D598" s="548"/>
      <c r="E598" s="548"/>
      <c r="F598" s="549"/>
      <c r="G598" s="548"/>
      <c r="H598" s="548"/>
      <c r="I598" s="548"/>
      <c r="J598" s="548"/>
      <c r="K598" s="548"/>
      <c r="L598" s="548"/>
      <c r="M598" s="548"/>
      <c r="N598" s="548"/>
      <c r="O598" s="548"/>
      <c r="P598" s="548"/>
      <c r="Q598" s="548"/>
      <c r="R598" s="548"/>
      <c r="S598" s="548"/>
      <c r="T598" s="548"/>
      <c r="U598" s="548"/>
      <c r="V598" s="548"/>
      <c r="W598" s="548"/>
      <c r="X598" s="548"/>
      <c r="Y598" s="548"/>
      <c r="Z598" s="548"/>
    </row>
    <row r="599" ht="15.75" customHeight="1">
      <c r="A599" s="548"/>
      <c r="B599" s="548"/>
      <c r="C599" s="548"/>
      <c r="D599" s="548"/>
      <c r="E599" s="548"/>
      <c r="F599" s="549"/>
      <c r="G599" s="548"/>
      <c r="H599" s="548"/>
      <c r="I599" s="548"/>
      <c r="J599" s="548"/>
      <c r="K599" s="548"/>
      <c r="L599" s="548"/>
      <c r="M599" s="548"/>
      <c r="N599" s="548"/>
      <c r="O599" s="548"/>
      <c r="P599" s="548"/>
      <c r="Q599" s="548"/>
      <c r="R599" s="548"/>
      <c r="S599" s="548"/>
      <c r="T599" s="548"/>
      <c r="U599" s="548"/>
      <c r="V599" s="548"/>
      <c r="W599" s="548"/>
      <c r="X599" s="548"/>
      <c r="Y599" s="548"/>
      <c r="Z599" s="548"/>
    </row>
    <row r="600" ht="15.75" customHeight="1">
      <c r="A600" s="548"/>
      <c r="B600" s="548"/>
      <c r="C600" s="548"/>
      <c r="D600" s="548"/>
      <c r="E600" s="548"/>
      <c r="F600" s="549"/>
      <c r="G600" s="548"/>
      <c r="H600" s="548"/>
      <c r="I600" s="548"/>
      <c r="J600" s="548"/>
      <c r="K600" s="548"/>
      <c r="L600" s="548"/>
      <c r="M600" s="548"/>
      <c r="N600" s="548"/>
      <c r="O600" s="548"/>
      <c r="P600" s="548"/>
      <c r="Q600" s="548"/>
      <c r="R600" s="548"/>
      <c r="S600" s="548"/>
      <c r="T600" s="548"/>
      <c r="U600" s="548"/>
      <c r="V600" s="548"/>
      <c r="W600" s="548"/>
      <c r="X600" s="548"/>
      <c r="Y600" s="548"/>
      <c r="Z600" s="548"/>
    </row>
    <row r="601" ht="15.75" customHeight="1">
      <c r="A601" s="548"/>
      <c r="B601" s="548"/>
      <c r="C601" s="548"/>
      <c r="D601" s="548"/>
      <c r="E601" s="548"/>
      <c r="F601" s="549"/>
      <c r="G601" s="548"/>
      <c r="H601" s="548"/>
      <c r="I601" s="548"/>
      <c r="J601" s="548"/>
      <c r="K601" s="548"/>
      <c r="L601" s="548"/>
      <c r="M601" s="548"/>
      <c r="N601" s="548"/>
      <c r="O601" s="548"/>
      <c r="P601" s="548"/>
      <c r="Q601" s="548"/>
      <c r="R601" s="548"/>
      <c r="S601" s="548"/>
      <c r="T601" s="548"/>
      <c r="U601" s="548"/>
      <c r="V601" s="548"/>
      <c r="W601" s="548"/>
      <c r="X601" s="548"/>
      <c r="Y601" s="548"/>
      <c r="Z601" s="548"/>
    </row>
    <row r="602" ht="15.75" customHeight="1">
      <c r="A602" s="548"/>
      <c r="B602" s="548"/>
      <c r="C602" s="548"/>
      <c r="D602" s="548"/>
      <c r="E602" s="548"/>
      <c r="F602" s="549"/>
      <c r="G602" s="548"/>
      <c r="H602" s="548"/>
      <c r="I602" s="548"/>
      <c r="J602" s="548"/>
      <c r="K602" s="548"/>
      <c r="L602" s="548"/>
      <c r="M602" s="548"/>
      <c r="N602" s="548"/>
      <c r="O602" s="548"/>
      <c r="P602" s="548"/>
      <c r="Q602" s="548"/>
      <c r="R602" s="548"/>
      <c r="S602" s="548"/>
      <c r="T602" s="548"/>
      <c r="U602" s="548"/>
      <c r="V602" s="548"/>
      <c r="W602" s="548"/>
      <c r="X602" s="548"/>
      <c r="Y602" s="548"/>
      <c r="Z602" s="548"/>
    </row>
    <row r="603" ht="15.75" customHeight="1">
      <c r="A603" s="548"/>
      <c r="B603" s="548"/>
      <c r="C603" s="548"/>
      <c r="D603" s="548"/>
      <c r="E603" s="548"/>
      <c r="F603" s="549"/>
      <c r="G603" s="548"/>
      <c r="H603" s="548"/>
      <c r="I603" s="548"/>
      <c r="J603" s="548"/>
      <c r="K603" s="548"/>
      <c r="L603" s="548"/>
      <c r="M603" s="548"/>
      <c r="N603" s="548"/>
      <c r="O603" s="548"/>
      <c r="P603" s="548"/>
      <c r="Q603" s="548"/>
      <c r="R603" s="548"/>
      <c r="S603" s="548"/>
      <c r="T603" s="548"/>
      <c r="U603" s="548"/>
      <c r="V603" s="548"/>
      <c r="W603" s="548"/>
      <c r="X603" s="548"/>
      <c r="Y603" s="548"/>
      <c r="Z603" s="548"/>
    </row>
    <row r="604" ht="15.75" customHeight="1">
      <c r="A604" s="548"/>
      <c r="B604" s="548"/>
      <c r="C604" s="548"/>
      <c r="D604" s="548"/>
      <c r="E604" s="548"/>
      <c r="F604" s="549"/>
      <c r="G604" s="548"/>
      <c r="H604" s="548"/>
      <c r="I604" s="548"/>
      <c r="J604" s="548"/>
      <c r="K604" s="548"/>
      <c r="L604" s="548"/>
      <c r="M604" s="548"/>
      <c r="N604" s="548"/>
      <c r="O604" s="548"/>
      <c r="P604" s="548"/>
      <c r="Q604" s="548"/>
      <c r="R604" s="548"/>
      <c r="S604" s="548"/>
      <c r="T604" s="548"/>
      <c r="U604" s="548"/>
      <c r="V604" s="548"/>
      <c r="W604" s="548"/>
      <c r="X604" s="548"/>
      <c r="Y604" s="548"/>
      <c r="Z604" s="548"/>
    </row>
    <row r="605" ht="15.75" customHeight="1">
      <c r="A605" s="548"/>
      <c r="B605" s="548"/>
      <c r="C605" s="548"/>
      <c r="D605" s="548"/>
      <c r="E605" s="548"/>
      <c r="F605" s="549"/>
      <c r="G605" s="548"/>
      <c r="H605" s="548"/>
      <c r="I605" s="548"/>
      <c r="J605" s="548"/>
      <c r="K605" s="548"/>
      <c r="L605" s="548"/>
      <c r="M605" s="548"/>
      <c r="N605" s="548"/>
      <c r="O605" s="548"/>
      <c r="P605" s="548"/>
      <c r="Q605" s="548"/>
      <c r="R605" s="548"/>
      <c r="S605" s="548"/>
      <c r="T605" s="548"/>
      <c r="U605" s="548"/>
      <c r="V605" s="548"/>
      <c r="W605" s="548"/>
      <c r="X605" s="548"/>
      <c r="Y605" s="548"/>
      <c r="Z605" s="548"/>
    </row>
    <row r="606" ht="15.75" customHeight="1">
      <c r="A606" s="548"/>
      <c r="B606" s="548"/>
      <c r="C606" s="548"/>
      <c r="D606" s="548"/>
      <c r="E606" s="548"/>
      <c r="F606" s="549"/>
      <c r="G606" s="548"/>
      <c r="H606" s="548"/>
      <c r="I606" s="548"/>
      <c r="J606" s="548"/>
      <c r="K606" s="548"/>
      <c r="L606" s="548"/>
      <c r="M606" s="548"/>
      <c r="N606" s="548"/>
      <c r="O606" s="548"/>
      <c r="P606" s="548"/>
      <c r="Q606" s="548"/>
      <c r="R606" s="548"/>
      <c r="S606" s="548"/>
      <c r="T606" s="548"/>
      <c r="U606" s="548"/>
      <c r="V606" s="548"/>
      <c r="W606" s="548"/>
      <c r="X606" s="548"/>
      <c r="Y606" s="548"/>
      <c r="Z606" s="548"/>
    </row>
    <row r="607" ht="15.75" customHeight="1">
      <c r="A607" s="548"/>
      <c r="B607" s="548"/>
      <c r="C607" s="548"/>
      <c r="D607" s="548"/>
      <c r="E607" s="548"/>
      <c r="F607" s="549"/>
      <c r="G607" s="548"/>
      <c r="H607" s="548"/>
      <c r="I607" s="548"/>
      <c r="J607" s="548"/>
      <c r="K607" s="548"/>
      <c r="L607" s="548"/>
      <c r="M607" s="548"/>
      <c r="N607" s="548"/>
      <c r="O607" s="548"/>
      <c r="P607" s="548"/>
      <c r="Q607" s="548"/>
      <c r="R607" s="548"/>
      <c r="S607" s="548"/>
      <c r="T607" s="548"/>
      <c r="U607" s="548"/>
      <c r="V607" s="548"/>
      <c r="W607" s="548"/>
      <c r="X607" s="548"/>
      <c r="Y607" s="548"/>
      <c r="Z607" s="548"/>
    </row>
    <row r="608" ht="15.75" customHeight="1">
      <c r="A608" s="548"/>
      <c r="B608" s="548"/>
      <c r="C608" s="548"/>
      <c r="D608" s="548"/>
      <c r="E608" s="548"/>
      <c r="F608" s="549"/>
      <c r="G608" s="548"/>
      <c r="H608" s="548"/>
      <c r="I608" s="548"/>
      <c r="J608" s="548"/>
      <c r="K608" s="548"/>
      <c r="L608" s="548"/>
      <c r="M608" s="548"/>
      <c r="N608" s="548"/>
      <c r="O608" s="548"/>
      <c r="P608" s="548"/>
      <c r="Q608" s="548"/>
      <c r="R608" s="548"/>
      <c r="S608" s="548"/>
      <c r="T608" s="548"/>
      <c r="U608" s="548"/>
      <c r="V608" s="548"/>
      <c r="W608" s="548"/>
      <c r="X608" s="548"/>
      <c r="Y608" s="548"/>
      <c r="Z608" s="548"/>
    </row>
    <row r="609" ht="15.75" customHeight="1">
      <c r="A609" s="548"/>
      <c r="B609" s="548"/>
      <c r="C609" s="548"/>
      <c r="D609" s="548"/>
      <c r="E609" s="548"/>
      <c r="F609" s="549"/>
      <c r="G609" s="548"/>
      <c r="H609" s="548"/>
      <c r="I609" s="548"/>
      <c r="J609" s="548"/>
      <c r="K609" s="548"/>
      <c r="L609" s="548"/>
      <c r="M609" s="548"/>
      <c r="N609" s="548"/>
      <c r="O609" s="548"/>
      <c r="P609" s="548"/>
      <c r="Q609" s="548"/>
      <c r="R609" s="548"/>
      <c r="S609" s="548"/>
      <c r="T609" s="548"/>
      <c r="U609" s="548"/>
      <c r="V609" s="548"/>
      <c r="W609" s="548"/>
      <c r="X609" s="548"/>
      <c r="Y609" s="548"/>
      <c r="Z609" s="548"/>
    </row>
    <row r="610" ht="15.75" customHeight="1">
      <c r="A610" s="548"/>
      <c r="B610" s="548"/>
      <c r="C610" s="548"/>
      <c r="D610" s="548"/>
      <c r="E610" s="548"/>
      <c r="F610" s="549"/>
      <c r="G610" s="548"/>
      <c r="H610" s="548"/>
      <c r="I610" s="548"/>
      <c r="J610" s="548"/>
      <c r="K610" s="548"/>
      <c r="L610" s="548"/>
      <c r="M610" s="548"/>
      <c r="N610" s="548"/>
      <c r="O610" s="548"/>
      <c r="P610" s="548"/>
      <c r="Q610" s="548"/>
      <c r="R610" s="548"/>
      <c r="S610" s="548"/>
      <c r="T610" s="548"/>
      <c r="U610" s="548"/>
      <c r="V610" s="548"/>
      <c r="W610" s="548"/>
      <c r="X610" s="548"/>
      <c r="Y610" s="548"/>
      <c r="Z610" s="548"/>
    </row>
    <row r="611" ht="15.75" customHeight="1">
      <c r="A611" s="548"/>
      <c r="B611" s="548"/>
      <c r="C611" s="548"/>
      <c r="D611" s="548"/>
      <c r="E611" s="548"/>
      <c r="F611" s="549"/>
      <c r="G611" s="548"/>
      <c r="H611" s="548"/>
      <c r="I611" s="548"/>
      <c r="J611" s="548"/>
      <c r="K611" s="548"/>
      <c r="L611" s="548"/>
      <c r="M611" s="548"/>
      <c r="N611" s="548"/>
      <c r="O611" s="548"/>
      <c r="P611" s="548"/>
      <c r="Q611" s="548"/>
      <c r="R611" s="548"/>
      <c r="S611" s="548"/>
      <c r="T611" s="548"/>
      <c r="U611" s="548"/>
      <c r="V611" s="548"/>
      <c r="W611" s="548"/>
      <c r="X611" s="548"/>
      <c r="Y611" s="548"/>
      <c r="Z611" s="548"/>
    </row>
    <row r="612" ht="15.75" customHeight="1">
      <c r="A612" s="548"/>
      <c r="B612" s="548"/>
      <c r="C612" s="548"/>
      <c r="D612" s="548"/>
      <c r="E612" s="548"/>
      <c r="F612" s="549"/>
      <c r="G612" s="548"/>
      <c r="H612" s="548"/>
      <c r="I612" s="548"/>
      <c r="J612" s="548"/>
      <c r="K612" s="548"/>
      <c r="L612" s="548"/>
      <c r="M612" s="548"/>
      <c r="N612" s="548"/>
      <c r="O612" s="548"/>
      <c r="P612" s="548"/>
      <c r="Q612" s="548"/>
      <c r="R612" s="548"/>
      <c r="S612" s="548"/>
      <c r="T612" s="548"/>
      <c r="U612" s="548"/>
      <c r="V612" s="548"/>
      <c r="W612" s="548"/>
      <c r="X612" s="548"/>
      <c r="Y612" s="548"/>
      <c r="Z612" s="548"/>
    </row>
    <row r="613" ht="15.75" customHeight="1">
      <c r="A613" s="548"/>
      <c r="B613" s="548"/>
      <c r="C613" s="548"/>
      <c r="D613" s="548"/>
      <c r="E613" s="548"/>
      <c r="F613" s="549"/>
      <c r="G613" s="548"/>
      <c r="H613" s="548"/>
      <c r="I613" s="548"/>
      <c r="J613" s="548"/>
      <c r="K613" s="548"/>
      <c r="L613" s="548"/>
      <c r="M613" s="548"/>
      <c r="N613" s="548"/>
      <c r="O613" s="548"/>
      <c r="P613" s="548"/>
      <c r="Q613" s="548"/>
      <c r="R613" s="548"/>
      <c r="S613" s="548"/>
      <c r="T613" s="548"/>
      <c r="U613" s="548"/>
      <c r="V613" s="548"/>
      <c r="W613" s="548"/>
      <c r="X613" s="548"/>
      <c r="Y613" s="548"/>
      <c r="Z613" s="548"/>
    </row>
    <row r="614" ht="15.75" customHeight="1">
      <c r="A614" s="548"/>
      <c r="B614" s="548"/>
      <c r="C614" s="548"/>
      <c r="D614" s="548"/>
      <c r="E614" s="548"/>
      <c r="F614" s="549"/>
      <c r="G614" s="548"/>
      <c r="H614" s="548"/>
      <c r="I614" s="548"/>
      <c r="J614" s="548"/>
      <c r="K614" s="548"/>
      <c r="L614" s="548"/>
      <c r="M614" s="548"/>
      <c r="N614" s="548"/>
      <c r="O614" s="548"/>
      <c r="P614" s="548"/>
      <c r="Q614" s="548"/>
      <c r="R614" s="548"/>
      <c r="S614" s="548"/>
      <c r="T614" s="548"/>
      <c r="U614" s="548"/>
      <c r="V614" s="548"/>
      <c r="W614" s="548"/>
      <c r="X614" s="548"/>
      <c r="Y614" s="548"/>
      <c r="Z614" s="548"/>
    </row>
    <row r="615" ht="15.75" customHeight="1">
      <c r="A615" s="548"/>
      <c r="B615" s="548"/>
      <c r="C615" s="548"/>
      <c r="D615" s="548"/>
      <c r="E615" s="548"/>
      <c r="F615" s="549"/>
      <c r="G615" s="548"/>
      <c r="H615" s="548"/>
      <c r="I615" s="548"/>
      <c r="J615" s="548"/>
      <c r="K615" s="548"/>
      <c r="L615" s="548"/>
      <c r="M615" s="548"/>
      <c r="N615" s="548"/>
      <c r="O615" s="548"/>
      <c r="P615" s="548"/>
      <c r="Q615" s="548"/>
      <c r="R615" s="548"/>
      <c r="S615" s="548"/>
      <c r="T615" s="548"/>
      <c r="U615" s="548"/>
      <c r="V615" s="548"/>
      <c r="W615" s="548"/>
      <c r="X615" s="548"/>
      <c r="Y615" s="548"/>
      <c r="Z615" s="548"/>
    </row>
    <row r="616" ht="15.75" customHeight="1">
      <c r="A616" s="548"/>
      <c r="B616" s="548"/>
      <c r="C616" s="548"/>
      <c r="D616" s="548"/>
      <c r="E616" s="548"/>
      <c r="F616" s="549"/>
      <c r="G616" s="548"/>
      <c r="H616" s="548"/>
      <c r="I616" s="548"/>
      <c r="J616" s="548"/>
      <c r="K616" s="548"/>
      <c r="L616" s="548"/>
      <c r="M616" s="548"/>
      <c r="N616" s="548"/>
      <c r="O616" s="548"/>
      <c r="P616" s="548"/>
      <c r="Q616" s="548"/>
      <c r="R616" s="548"/>
      <c r="S616" s="548"/>
      <c r="T616" s="548"/>
      <c r="U616" s="548"/>
      <c r="V616" s="548"/>
      <c r="W616" s="548"/>
      <c r="X616" s="548"/>
      <c r="Y616" s="548"/>
      <c r="Z616" s="548"/>
    </row>
    <row r="617" ht="15.75" customHeight="1">
      <c r="A617" s="548"/>
      <c r="B617" s="548"/>
      <c r="C617" s="548"/>
      <c r="D617" s="548"/>
      <c r="E617" s="548"/>
      <c r="F617" s="549"/>
      <c r="G617" s="548"/>
      <c r="H617" s="548"/>
      <c r="I617" s="548"/>
      <c r="J617" s="548"/>
      <c r="K617" s="548"/>
      <c r="L617" s="548"/>
      <c r="M617" s="548"/>
      <c r="N617" s="548"/>
      <c r="O617" s="548"/>
      <c r="P617" s="548"/>
      <c r="Q617" s="548"/>
      <c r="R617" s="548"/>
      <c r="S617" s="548"/>
      <c r="T617" s="548"/>
      <c r="U617" s="548"/>
      <c r="V617" s="548"/>
      <c r="W617" s="548"/>
      <c r="X617" s="548"/>
      <c r="Y617" s="548"/>
      <c r="Z617" s="548"/>
    </row>
    <row r="618" ht="15.75" customHeight="1">
      <c r="A618" s="548"/>
      <c r="B618" s="548"/>
      <c r="C618" s="548"/>
      <c r="D618" s="548"/>
      <c r="E618" s="548"/>
      <c r="F618" s="549"/>
      <c r="G618" s="548"/>
      <c r="H618" s="548"/>
      <c r="I618" s="548"/>
      <c r="J618" s="548"/>
      <c r="K618" s="548"/>
      <c r="L618" s="548"/>
      <c r="M618" s="548"/>
      <c r="N618" s="548"/>
      <c r="O618" s="548"/>
      <c r="P618" s="548"/>
      <c r="Q618" s="548"/>
      <c r="R618" s="548"/>
      <c r="S618" s="548"/>
      <c r="T618" s="548"/>
      <c r="U618" s="548"/>
      <c r="V618" s="548"/>
      <c r="W618" s="548"/>
      <c r="X618" s="548"/>
      <c r="Y618" s="548"/>
      <c r="Z618" s="548"/>
    </row>
    <row r="619" ht="15.75" customHeight="1">
      <c r="A619" s="548"/>
      <c r="B619" s="548"/>
      <c r="C619" s="548"/>
      <c r="D619" s="548"/>
      <c r="E619" s="548"/>
      <c r="F619" s="549"/>
      <c r="G619" s="548"/>
      <c r="H619" s="548"/>
      <c r="I619" s="548"/>
      <c r="J619" s="548"/>
      <c r="K619" s="548"/>
      <c r="L619" s="548"/>
      <c r="M619" s="548"/>
      <c r="N619" s="548"/>
      <c r="O619" s="548"/>
      <c r="P619" s="548"/>
      <c r="Q619" s="548"/>
      <c r="R619" s="548"/>
      <c r="S619" s="548"/>
      <c r="T619" s="548"/>
      <c r="U619" s="548"/>
      <c r="V619" s="548"/>
      <c r="W619" s="548"/>
      <c r="X619" s="548"/>
      <c r="Y619" s="548"/>
      <c r="Z619" s="548"/>
    </row>
    <row r="620" ht="15.75" customHeight="1">
      <c r="A620" s="548"/>
      <c r="B620" s="548"/>
      <c r="C620" s="548"/>
      <c r="D620" s="548"/>
      <c r="E620" s="548"/>
      <c r="F620" s="549"/>
      <c r="G620" s="548"/>
      <c r="H620" s="548"/>
      <c r="I620" s="548"/>
      <c r="J620" s="548"/>
      <c r="K620" s="548"/>
      <c r="L620" s="548"/>
      <c r="M620" s="548"/>
      <c r="N620" s="548"/>
      <c r="O620" s="548"/>
      <c r="P620" s="548"/>
      <c r="Q620" s="548"/>
      <c r="R620" s="548"/>
      <c r="S620" s="548"/>
      <c r="T620" s="548"/>
      <c r="U620" s="548"/>
      <c r="V620" s="548"/>
      <c r="W620" s="548"/>
      <c r="X620" s="548"/>
      <c r="Y620" s="548"/>
      <c r="Z620" s="548"/>
    </row>
    <row r="621" ht="15.75" customHeight="1">
      <c r="A621" s="548"/>
      <c r="B621" s="548"/>
      <c r="C621" s="548"/>
      <c r="D621" s="548"/>
      <c r="E621" s="548"/>
      <c r="F621" s="549"/>
      <c r="G621" s="548"/>
      <c r="H621" s="548"/>
      <c r="I621" s="548"/>
      <c r="J621" s="548"/>
      <c r="K621" s="548"/>
      <c r="L621" s="548"/>
      <c r="M621" s="548"/>
      <c r="N621" s="548"/>
      <c r="O621" s="548"/>
      <c r="P621" s="548"/>
      <c r="Q621" s="548"/>
      <c r="R621" s="548"/>
      <c r="S621" s="548"/>
      <c r="T621" s="548"/>
      <c r="U621" s="548"/>
      <c r="V621" s="548"/>
      <c r="W621" s="548"/>
      <c r="X621" s="548"/>
      <c r="Y621" s="548"/>
      <c r="Z621" s="548"/>
    </row>
    <row r="622" ht="15.75" customHeight="1">
      <c r="A622" s="548"/>
      <c r="B622" s="548"/>
      <c r="C622" s="548"/>
      <c r="D622" s="548"/>
      <c r="E622" s="548"/>
      <c r="F622" s="549"/>
      <c r="G622" s="548"/>
      <c r="H622" s="548"/>
      <c r="I622" s="548"/>
      <c r="J622" s="548"/>
      <c r="K622" s="548"/>
      <c r="L622" s="548"/>
      <c r="M622" s="548"/>
      <c r="N622" s="548"/>
      <c r="O622" s="548"/>
      <c r="P622" s="548"/>
      <c r="Q622" s="548"/>
      <c r="R622" s="548"/>
      <c r="S622" s="548"/>
      <c r="T622" s="548"/>
      <c r="U622" s="548"/>
      <c r="V622" s="548"/>
      <c r="W622" s="548"/>
      <c r="X622" s="548"/>
      <c r="Y622" s="548"/>
      <c r="Z622" s="548"/>
    </row>
    <row r="623" ht="15.75" customHeight="1">
      <c r="A623" s="548"/>
      <c r="B623" s="548"/>
      <c r="C623" s="548"/>
      <c r="D623" s="548"/>
      <c r="E623" s="548"/>
      <c r="F623" s="549"/>
      <c r="G623" s="548"/>
      <c r="H623" s="548"/>
      <c r="I623" s="548"/>
      <c r="J623" s="548"/>
      <c r="K623" s="548"/>
      <c r="L623" s="548"/>
      <c r="M623" s="548"/>
      <c r="N623" s="548"/>
      <c r="O623" s="548"/>
      <c r="P623" s="548"/>
      <c r="Q623" s="548"/>
      <c r="R623" s="548"/>
      <c r="S623" s="548"/>
      <c r="T623" s="548"/>
      <c r="U623" s="548"/>
      <c r="V623" s="548"/>
      <c r="W623" s="548"/>
      <c r="X623" s="548"/>
      <c r="Y623" s="548"/>
      <c r="Z623" s="548"/>
    </row>
    <row r="624" ht="15.75" customHeight="1">
      <c r="A624" s="548"/>
      <c r="B624" s="548"/>
      <c r="C624" s="548"/>
      <c r="D624" s="548"/>
      <c r="E624" s="548"/>
      <c r="F624" s="549"/>
      <c r="G624" s="548"/>
      <c r="H624" s="548"/>
      <c r="I624" s="548"/>
      <c r="J624" s="548"/>
      <c r="K624" s="548"/>
      <c r="L624" s="548"/>
      <c r="M624" s="548"/>
      <c r="N624" s="548"/>
      <c r="O624" s="548"/>
      <c r="P624" s="548"/>
      <c r="Q624" s="548"/>
      <c r="R624" s="548"/>
      <c r="S624" s="548"/>
      <c r="T624" s="548"/>
      <c r="U624" s="548"/>
      <c r="V624" s="548"/>
      <c r="W624" s="548"/>
      <c r="X624" s="548"/>
      <c r="Y624" s="548"/>
      <c r="Z624" s="548"/>
    </row>
    <row r="625" ht="15.75" customHeight="1">
      <c r="A625" s="548"/>
      <c r="B625" s="548"/>
      <c r="C625" s="548"/>
      <c r="D625" s="548"/>
      <c r="E625" s="548"/>
      <c r="F625" s="549"/>
      <c r="G625" s="548"/>
      <c r="H625" s="548"/>
      <c r="I625" s="548"/>
      <c r="J625" s="548"/>
      <c r="K625" s="548"/>
      <c r="L625" s="548"/>
      <c r="M625" s="548"/>
      <c r="N625" s="548"/>
      <c r="O625" s="548"/>
      <c r="P625" s="548"/>
      <c r="Q625" s="548"/>
      <c r="R625" s="548"/>
      <c r="S625" s="548"/>
      <c r="T625" s="548"/>
      <c r="U625" s="548"/>
      <c r="V625" s="548"/>
      <c r="W625" s="548"/>
      <c r="X625" s="548"/>
      <c r="Y625" s="548"/>
      <c r="Z625" s="548"/>
    </row>
    <row r="626" ht="15.75" customHeight="1">
      <c r="A626" s="548"/>
      <c r="B626" s="548"/>
      <c r="C626" s="548"/>
      <c r="D626" s="548"/>
      <c r="E626" s="548"/>
      <c r="F626" s="549"/>
      <c r="G626" s="548"/>
      <c r="H626" s="548"/>
      <c r="I626" s="548"/>
      <c r="J626" s="548"/>
      <c r="K626" s="548"/>
      <c r="L626" s="548"/>
      <c r="M626" s="548"/>
      <c r="N626" s="548"/>
      <c r="O626" s="548"/>
      <c r="P626" s="548"/>
      <c r="Q626" s="548"/>
      <c r="R626" s="548"/>
      <c r="S626" s="548"/>
      <c r="T626" s="548"/>
      <c r="U626" s="548"/>
      <c r="V626" s="548"/>
      <c r="W626" s="548"/>
      <c r="X626" s="548"/>
      <c r="Y626" s="548"/>
      <c r="Z626" s="548"/>
    </row>
    <row r="627" ht="15.75" customHeight="1">
      <c r="A627" s="548"/>
      <c r="B627" s="548"/>
      <c r="C627" s="548"/>
      <c r="D627" s="548"/>
      <c r="E627" s="548"/>
      <c r="F627" s="549"/>
      <c r="G627" s="548"/>
      <c r="H627" s="548"/>
      <c r="I627" s="548"/>
      <c r="J627" s="548"/>
      <c r="K627" s="548"/>
      <c r="L627" s="548"/>
      <c r="M627" s="548"/>
      <c r="N627" s="548"/>
      <c r="O627" s="548"/>
      <c r="P627" s="548"/>
      <c r="Q627" s="548"/>
      <c r="R627" s="548"/>
      <c r="S627" s="548"/>
      <c r="T627" s="548"/>
      <c r="U627" s="548"/>
      <c r="V627" s="548"/>
      <c r="W627" s="548"/>
      <c r="X627" s="548"/>
      <c r="Y627" s="548"/>
      <c r="Z627" s="548"/>
    </row>
    <row r="628" ht="15.75" customHeight="1">
      <c r="A628" s="548"/>
      <c r="B628" s="548"/>
      <c r="C628" s="548"/>
      <c r="D628" s="548"/>
      <c r="E628" s="548"/>
      <c r="F628" s="549"/>
      <c r="G628" s="548"/>
      <c r="H628" s="548"/>
      <c r="I628" s="548"/>
      <c r="J628" s="548"/>
      <c r="K628" s="548"/>
      <c r="L628" s="548"/>
      <c r="M628" s="548"/>
      <c r="N628" s="548"/>
      <c r="O628" s="548"/>
      <c r="P628" s="548"/>
      <c r="Q628" s="548"/>
      <c r="R628" s="548"/>
      <c r="S628" s="548"/>
      <c r="T628" s="548"/>
      <c r="U628" s="548"/>
      <c r="V628" s="548"/>
      <c r="W628" s="548"/>
      <c r="X628" s="548"/>
      <c r="Y628" s="548"/>
      <c r="Z628" s="548"/>
    </row>
    <row r="629" ht="15.75" customHeight="1">
      <c r="A629" s="548"/>
      <c r="B629" s="548"/>
      <c r="C629" s="548"/>
      <c r="D629" s="548"/>
      <c r="E629" s="548"/>
      <c r="F629" s="549"/>
      <c r="G629" s="548"/>
      <c r="H629" s="548"/>
      <c r="I629" s="548"/>
      <c r="J629" s="548"/>
      <c r="K629" s="548"/>
      <c r="L629" s="548"/>
      <c r="M629" s="548"/>
      <c r="N629" s="548"/>
      <c r="O629" s="548"/>
      <c r="P629" s="548"/>
      <c r="Q629" s="548"/>
      <c r="R629" s="548"/>
      <c r="S629" s="548"/>
      <c r="T629" s="548"/>
      <c r="U629" s="548"/>
      <c r="V629" s="548"/>
      <c r="W629" s="548"/>
      <c r="X629" s="548"/>
      <c r="Y629" s="548"/>
      <c r="Z629" s="548"/>
    </row>
    <row r="630" ht="15.75" customHeight="1">
      <c r="A630" s="548"/>
      <c r="B630" s="548"/>
      <c r="C630" s="548"/>
      <c r="D630" s="548"/>
      <c r="E630" s="548"/>
      <c r="F630" s="549"/>
      <c r="G630" s="548"/>
      <c r="H630" s="548"/>
      <c r="I630" s="548"/>
      <c r="J630" s="548"/>
      <c r="K630" s="548"/>
      <c r="L630" s="548"/>
      <c r="M630" s="548"/>
      <c r="N630" s="548"/>
      <c r="O630" s="548"/>
      <c r="P630" s="548"/>
      <c r="Q630" s="548"/>
      <c r="R630" s="548"/>
      <c r="S630" s="548"/>
      <c r="T630" s="548"/>
      <c r="U630" s="548"/>
      <c r="V630" s="548"/>
      <c r="W630" s="548"/>
      <c r="X630" s="548"/>
      <c r="Y630" s="548"/>
      <c r="Z630" s="548"/>
    </row>
    <row r="631" ht="15.75" customHeight="1">
      <c r="A631" s="548"/>
      <c r="B631" s="548"/>
      <c r="C631" s="548"/>
      <c r="D631" s="548"/>
      <c r="E631" s="548"/>
      <c r="F631" s="549"/>
      <c r="G631" s="548"/>
      <c r="H631" s="548"/>
      <c r="I631" s="548"/>
      <c r="J631" s="548"/>
      <c r="K631" s="548"/>
      <c r="L631" s="548"/>
      <c r="M631" s="548"/>
      <c r="N631" s="548"/>
      <c r="O631" s="548"/>
      <c r="P631" s="548"/>
      <c r="Q631" s="548"/>
      <c r="R631" s="548"/>
      <c r="S631" s="548"/>
      <c r="T631" s="548"/>
      <c r="U631" s="548"/>
      <c r="V631" s="548"/>
      <c r="W631" s="548"/>
      <c r="X631" s="548"/>
      <c r="Y631" s="548"/>
      <c r="Z631" s="548"/>
    </row>
    <row r="632" ht="15.75" customHeight="1">
      <c r="A632" s="548"/>
      <c r="B632" s="548"/>
      <c r="C632" s="548"/>
      <c r="D632" s="548"/>
      <c r="E632" s="548"/>
      <c r="F632" s="549"/>
      <c r="G632" s="548"/>
      <c r="H632" s="548"/>
      <c r="I632" s="548"/>
      <c r="J632" s="548"/>
      <c r="K632" s="548"/>
      <c r="L632" s="548"/>
      <c r="M632" s="548"/>
      <c r="N632" s="548"/>
      <c r="O632" s="548"/>
      <c r="P632" s="548"/>
      <c r="Q632" s="548"/>
      <c r="R632" s="548"/>
      <c r="S632" s="548"/>
      <c r="T632" s="548"/>
      <c r="U632" s="548"/>
      <c r="V632" s="548"/>
      <c r="W632" s="548"/>
      <c r="X632" s="548"/>
      <c r="Y632" s="548"/>
      <c r="Z632" s="548"/>
    </row>
    <row r="633" ht="15.75" customHeight="1">
      <c r="A633" s="548"/>
      <c r="B633" s="548"/>
      <c r="C633" s="548"/>
      <c r="D633" s="548"/>
      <c r="E633" s="548"/>
      <c r="F633" s="549"/>
      <c r="G633" s="548"/>
      <c r="H633" s="548"/>
      <c r="I633" s="548"/>
      <c r="J633" s="548"/>
      <c r="K633" s="548"/>
      <c r="L633" s="548"/>
      <c r="M633" s="548"/>
      <c r="N633" s="548"/>
      <c r="O633" s="548"/>
      <c r="P633" s="548"/>
      <c r="Q633" s="548"/>
      <c r="R633" s="548"/>
      <c r="S633" s="548"/>
      <c r="T633" s="548"/>
      <c r="U633" s="548"/>
      <c r="V633" s="548"/>
      <c r="W633" s="548"/>
      <c r="X633" s="548"/>
      <c r="Y633" s="548"/>
      <c r="Z633" s="548"/>
    </row>
    <row r="634" ht="15.75" customHeight="1">
      <c r="A634" s="548"/>
      <c r="B634" s="548"/>
      <c r="C634" s="548"/>
      <c r="D634" s="548"/>
      <c r="E634" s="548"/>
      <c r="F634" s="549"/>
      <c r="G634" s="548"/>
      <c r="H634" s="548"/>
      <c r="I634" s="548"/>
      <c r="J634" s="548"/>
      <c r="K634" s="548"/>
      <c r="L634" s="548"/>
      <c r="M634" s="548"/>
      <c r="N634" s="548"/>
      <c r="O634" s="548"/>
      <c r="P634" s="548"/>
      <c r="Q634" s="548"/>
      <c r="R634" s="548"/>
      <c r="S634" s="548"/>
      <c r="T634" s="548"/>
      <c r="U634" s="548"/>
      <c r="V634" s="548"/>
      <c r="W634" s="548"/>
      <c r="X634" s="548"/>
      <c r="Y634" s="548"/>
      <c r="Z634" s="548"/>
    </row>
    <row r="635" ht="15.75" customHeight="1">
      <c r="A635" s="548"/>
      <c r="B635" s="548"/>
      <c r="C635" s="548"/>
      <c r="D635" s="548"/>
      <c r="E635" s="548"/>
      <c r="F635" s="549"/>
      <c r="G635" s="548"/>
      <c r="H635" s="548"/>
      <c r="I635" s="548"/>
      <c r="J635" s="548"/>
      <c r="K635" s="548"/>
      <c r="L635" s="548"/>
      <c r="M635" s="548"/>
      <c r="N635" s="548"/>
      <c r="O635" s="548"/>
      <c r="P635" s="548"/>
      <c r="Q635" s="548"/>
      <c r="R635" s="548"/>
      <c r="S635" s="548"/>
      <c r="T635" s="548"/>
      <c r="U635" s="548"/>
      <c r="V635" s="548"/>
      <c r="W635" s="548"/>
      <c r="X635" s="548"/>
      <c r="Y635" s="548"/>
      <c r="Z635" s="548"/>
    </row>
    <row r="636" ht="15.75" customHeight="1">
      <c r="A636" s="548"/>
      <c r="B636" s="548"/>
      <c r="C636" s="548"/>
      <c r="D636" s="548"/>
      <c r="E636" s="548"/>
      <c r="F636" s="549"/>
      <c r="G636" s="548"/>
      <c r="H636" s="548"/>
      <c r="I636" s="548"/>
      <c r="J636" s="548"/>
      <c r="K636" s="548"/>
      <c r="L636" s="548"/>
      <c r="M636" s="548"/>
      <c r="N636" s="548"/>
      <c r="O636" s="548"/>
      <c r="P636" s="548"/>
      <c r="Q636" s="548"/>
      <c r="R636" s="548"/>
      <c r="S636" s="548"/>
      <c r="T636" s="548"/>
      <c r="U636" s="548"/>
      <c r="V636" s="548"/>
      <c r="W636" s="548"/>
      <c r="X636" s="548"/>
      <c r="Y636" s="548"/>
      <c r="Z636" s="548"/>
    </row>
    <row r="637" ht="15.75" customHeight="1">
      <c r="A637" s="548"/>
      <c r="B637" s="548"/>
      <c r="C637" s="548"/>
      <c r="D637" s="548"/>
      <c r="E637" s="548"/>
      <c r="F637" s="549"/>
      <c r="G637" s="548"/>
      <c r="H637" s="548"/>
      <c r="I637" s="548"/>
      <c r="J637" s="548"/>
      <c r="K637" s="548"/>
      <c r="L637" s="548"/>
      <c r="M637" s="548"/>
      <c r="N637" s="548"/>
      <c r="O637" s="548"/>
      <c r="P637" s="548"/>
      <c r="Q637" s="548"/>
      <c r="R637" s="548"/>
      <c r="S637" s="548"/>
      <c r="T637" s="548"/>
      <c r="U637" s="548"/>
      <c r="V637" s="548"/>
      <c r="W637" s="548"/>
      <c r="X637" s="548"/>
      <c r="Y637" s="548"/>
      <c r="Z637" s="548"/>
    </row>
    <row r="638" ht="15.75" customHeight="1">
      <c r="A638" s="548"/>
      <c r="B638" s="548"/>
      <c r="C638" s="548"/>
      <c r="D638" s="548"/>
      <c r="E638" s="548"/>
      <c r="F638" s="549"/>
      <c r="G638" s="548"/>
      <c r="H638" s="548"/>
      <c r="I638" s="548"/>
      <c r="J638" s="548"/>
      <c r="K638" s="548"/>
      <c r="L638" s="548"/>
      <c r="M638" s="548"/>
      <c r="N638" s="548"/>
      <c r="O638" s="548"/>
      <c r="P638" s="548"/>
      <c r="Q638" s="548"/>
      <c r="R638" s="548"/>
      <c r="S638" s="548"/>
      <c r="T638" s="548"/>
      <c r="U638" s="548"/>
      <c r="V638" s="548"/>
      <c r="W638" s="548"/>
      <c r="X638" s="548"/>
      <c r="Y638" s="548"/>
      <c r="Z638" s="548"/>
    </row>
    <row r="639" ht="15.75" customHeight="1">
      <c r="A639" s="548"/>
      <c r="B639" s="548"/>
      <c r="C639" s="548"/>
      <c r="D639" s="548"/>
      <c r="E639" s="548"/>
      <c r="F639" s="549"/>
      <c r="G639" s="548"/>
      <c r="H639" s="548"/>
      <c r="I639" s="548"/>
      <c r="J639" s="548"/>
      <c r="K639" s="548"/>
      <c r="L639" s="548"/>
      <c r="M639" s="548"/>
      <c r="N639" s="548"/>
      <c r="O639" s="548"/>
      <c r="P639" s="548"/>
      <c r="Q639" s="548"/>
      <c r="R639" s="548"/>
      <c r="S639" s="548"/>
      <c r="T639" s="548"/>
      <c r="U639" s="548"/>
      <c r="V639" s="548"/>
      <c r="W639" s="548"/>
      <c r="X639" s="548"/>
      <c r="Y639" s="548"/>
      <c r="Z639" s="548"/>
    </row>
    <row r="640" ht="15.75" customHeight="1">
      <c r="A640" s="548"/>
      <c r="B640" s="548"/>
      <c r="C640" s="548"/>
      <c r="D640" s="548"/>
      <c r="E640" s="548"/>
      <c r="F640" s="549"/>
      <c r="G640" s="548"/>
      <c r="H640" s="548"/>
      <c r="I640" s="548"/>
      <c r="J640" s="548"/>
      <c r="K640" s="548"/>
      <c r="L640" s="548"/>
      <c r="M640" s="548"/>
      <c r="N640" s="548"/>
      <c r="O640" s="548"/>
      <c r="P640" s="548"/>
      <c r="Q640" s="548"/>
      <c r="R640" s="548"/>
      <c r="S640" s="548"/>
      <c r="T640" s="548"/>
      <c r="U640" s="548"/>
      <c r="V640" s="548"/>
      <c r="W640" s="548"/>
      <c r="X640" s="548"/>
      <c r="Y640" s="548"/>
      <c r="Z640" s="548"/>
    </row>
    <row r="641" ht="15.75" customHeight="1">
      <c r="A641" s="548"/>
      <c r="B641" s="548"/>
      <c r="C641" s="548"/>
      <c r="D641" s="548"/>
      <c r="E641" s="548"/>
      <c r="F641" s="549"/>
      <c r="G641" s="548"/>
      <c r="H641" s="548"/>
      <c r="I641" s="548"/>
      <c r="J641" s="548"/>
      <c r="K641" s="548"/>
      <c r="L641" s="548"/>
      <c r="M641" s="548"/>
      <c r="N641" s="548"/>
      <c r="O641" s="548"/>
      <c r="P641" s="548"/>
      <c r="Q641" s="548"/>
      <c r="R641" s="548"/>
      <c r="S641" s="548"/>
      <c r="T641" s="548"/>
      <c r="U641" s="548"/>
      <c r="V641" s="548"/>
      <c r="W641" s="548"/>
      <c r="X641" s="548"/>
      <c r="Y641" s="548"/>
      <c r="Z641" s="548"/>
    </row>
    <row r="642" ht="15.75" customHeight="1">
      <c r="A642" s="548"/>
      <c r="B642" s="548"/>
      <c r="C642" s="548"/>
      <c r="D642" s="548"/>
      <c r="E642" s="548"/>
      <c r="F642" s="549"/>
      <c r="G642" s="548"/>
      <c r="H642" s="548"/>
      <c r="I642" s="548"/>
      <c r="J642" s="548"/>
      <c r="K642" s="548"/>
      <c r="L642" s="548"/>
      <c r="M642" s="548"/>
      <c r="N642" s="548"/>
      <c r="O642" s="548"/>
      <c r="P642" s="548"/>
      <c r="Q642" s="548"/>
      <c r="R642" s="548"/>
      <c r="S642" s="548"/>
      <c r="T642" s="548"/>
      <c r="U642" s="548"/>
      <c r="V642" s="548"/>
      <c r="W642" s="548"/>
      <c r="X642" s="548"/>
      <c r="Y642" s="548"/>
      <c r="Z642" s="548"/>
    </row>
    <row r="643" ht="15.75" customHeight="1">
      <c r="A643" s="548"/>
      <c r="B643" s="548"/>
      <c r="C643" s="548"/>
      <c r="D643" s="548"/>
      <c r="E643" s="548"/>
      <c r="F643" s="549"/>
      <c r="G643" s="548"/>
      <c r="H643" s="548"/>
      <c r="I643" s="548"/>
      <c r="J643" s="548"/>
      <c r="K643" s="548"/>
      <c r="L643" s="548"/>
      <c r="M643" s="548"/>
      <c r="N643" s="548"/>
      <c r="O643" s="548"/>
      <c r="P643" s="548"/>
      <c r="Q643" s="548"/>
      <c r="R643" s="548"/>
      <c r="S643" s="548"/>
      <c r="T643" s="548"/>
      <c r="U643" s="548"/>
      <c r="V643" s="548"/>
      <c r="W643" s="548"/>
      <c r="X643" s="548"/>
      <c r="Y643" s="548"/>
      <c r="Z643" s="548"/>
    </row>
    <row r="644" ht="15.75" customHeight="1">
      <c r="A644" s="548"/>
      <c r="B644" s="548"/>
      <c r="C644" s="548"/>
      <c r="D644" s="548"/>
      <c r="E644" s="548"/>
      <c r="F644" s="549"/>
      <c r="G644" s="548"/>
      <c r="H644" s="548"/>
      <c r="I644" s="548"/>
      <c r="J644" s="548"/>
      <c r="K644" s="548"/>
      <c r="L644" s="548"/>
      <c r="M644" s="548"/>
      <c r="N644" s="548"/>
      <c r="O644" s="548"/>
      <c r="P644" s="548"/>
      <c r="Q644" s="548"/>
      <c r="R644" s="548"/>
      <c r="S644" s="548"/>
      <c r="T644" s="548"/>
      <c r="U644" s="548"/>
      <c r="V644" s="548"/>
      <c r="W644" s="548"/>
      <c r="X644" s="548"/>
      <c r="Y644" s="548"/>
      <c r="Z644" s="548"/>
    </row>
    <row r="645" ht="15.75" customHeight="1">
      <c r="A645" s="548"/>
      <c r="B645" s="548"/>
      <c r="C645" s="548"/>
      <c r="D645" s="548"/>
      <c r="E645" s="548"/>
      <c r="F645" s="549"/>
      <c r="G645" s="548"/>
      <c r="H645" s="548"/>
      <c r="I645" s="548"/>
      <c r="J645" s="548"/>
      <c r="K645" s="548"/>
      <c r="L645" s="548"/>
      <c r="M645" s="548"/>
      <c r="N645" s="548"/>
      <c r="O645" s="548"/>
      <c r="P645" s="548"/>
      <c r="Q645" s="548"/>
      <c r="R645" s="548"/>
      <c r="S645" s="548"/>
      <c r="T645" s="548"/>
      <c r="U645" s="548"/>
      <c r="V645" s="548"/>
      <c r="W645" s="548"/>
      <c r="X645" s="548"/>
      <c r="Y645" s="548"/>
      <c r="Z645" s="548"/>
    </row>
    <row r="646" ht="15.75" customHeight="1">
      <c r="A646" s="548"/>
      <c r="B646" s="548"/>
      <c r="C646" s="548"/>
      <c r="D646" s="548"/>
      <c r="E646" s="548"/>
      <c r="F646" s="549"/>
      <c r="G646" s="548"/>
      <c r="H646" s="548"/>
      <c r="I646" s="548"/>
      <c r="J646" s="548"/>
      <c r="K646" s="548"/>
      <c r="L646" s="548"/>
      <c r="M646" s="548"/>
      <c r="N646" s="548"/>
      <c r="O646" s="548"/>
      <c r="P646" s="548"/>
      <c r="Q646" s="548"/>
      <c r="R646" s="548"/>
      <c r="S646" s="548"/>
      <c r="T646" s="548"/>
      <c r="U646" s="548"/>
      <c r="V646" s="548"/>
      <c r="W646" s="548"/>
      <c r="X646" s="548"/>
      <c r="Y646" s="548"/>
      <c r="Z646" s="548"/>
    </row>
    <row r="647" ht="15.75" customHeight="1">
      <c r="A647" s="548"/>
      <c r="B647" s="548"/>
      <c r="C647" s="548"/>
      <c r="D647" s="548"/>
      <c r="E647" s="548"/>
      <c r="F647" s="549"/>
      <c r="G647" s="548"/>
      <c r="H647" s="548"/>
      <c r="I647" s="548"/>
      <c r="J647" s="548"/>
      <c r="K647" s="548"/>
      <c r="L647" s="548"/>
      <c r="M647" s="548"/>
      <c r="N647" s="548"/>
      <c r="O647" s="548"/>
      <c r="P647" s="548"/>
      <c r="Q647" s="548"/>
      <c r="R647" s="548"/>
      <c r="S647" s="548"/>
      <c r="T647" s="548"/>
      <c r="U647" s="548"/>
      <c r="V647" s="548"/>
      <c r="W647" s="548"/>
      <c r="X647" s="548"/>
      <c r="Y647" s="548"/>
      <c r="Z647" s="548"/>
    </row>
    <row r="648" ht="15.75" customHeight="1">
      <c r="A648" s="548"/>
      <c r="B648" s="548"/>
      <c r="C648" s="548"/>
      <c r="D648" s="548"/>
      <c r="E648" s="548"/>
      <c r="F648" s="549"/>
      <c r="G648" s="548"/>
      <c r="H648" s="548"/>
      <c r="I648" s="548"/>
      <c r="J648" s="548"/>
      <c r="K648" s="548"/>
      <c r="L648" s="548"/>
      <c r="M648" s="548"/>
      <c r="N648" s="548"/>
      <c r="O648" s="548"/>
      <c r="P648" s="548"/>
      <c r="Q648" s="548"/>
      <c r="R648" s="548"/>
      <c r="S648" s="548"/>
      <c r="T648" s="548"/>
      <c r="U648" s="548"/>
      <c r="V648" s="548"/>
      <c r="W648" s="548"/>
      <c r="X648" s="548"/>
      <c r="Y648" s="548"/>
      <c r="Z648" s="548"/>
    </row>
    <row r="649" ht="15.75" customHeight="1">
      <c r="A649" s="548"/>
      <c r="B649" s="548"/>
      <c r="C649" s="548"/>
      <c r="D649" s="548"/>
      <c r="E649" s="548"/>
      <c r="F649" s="549"/>
      <c r="G649" s="548"/>
      <c r="H649" s="548"/>
      <c r="I649" s="548"/>
      <c r="J649" s="548"/>
      <c r="K649" s="548"/>
      <c r="L649" s="548"/>
      <c r="M649" s="548"/>
      <c r="N649" s="548"/>
      <c r="O649" s="548"/>
      <c r="P649" s="548"/>
      <c r="Q649" s="548"/>
      <c r="R649" s="548"/>
      <c r="S649" s="548"/>
      <c r="T649" s="548"/>
      <c r="U649" s="548"/>
      <c r="V649" s="548"/>
      <c r="W649" s="548"/>
      <c r="X649" s="548"/>
      <c r="Y649" s="548"/>
      <c r="Z649" s="548"/>
    </row>
    <row r="650" ht="15.75" customHeight="1">
      <c r="A650" s="548"/>
      <c r="B650" s="548"/>
      <c r="C650" s="548"/>
      <c r="D650" s="548"/>
      <c r="E650" s="548"/>
      <c r="F650" s="549"/>
      <c r="G650" s="548"/>
      <c r="H650" s="548"/>
      <c r="I650" s="548"/>
      <c r="J650" s="548"/>
      <c r="K650" s="548"/>
      <c r="L650" s="548"/>
      <c r="M650" s="548"/>
      <c r="N650" s="548"/>
      <c r="O650" s="548"/>
      <c r="P650" s="548"/>
      <c r="Q650" s="548"/>
      <c r="R650" s="548"/>
      <c r="S650" s="548"/>
      <c r="T650" s="548"/>
      <c r="U650" s="548"/>
      <c r="V650" s="548"/>
      <c r="W650" s="548"/>
      <c r="X650" s="548"/>
      <c r="Y650" s="548"/>
      <c r="Z650" s="548"/>
    </row>
    <row r="651" ht="15.75" customHeight="1">
      <c r="A651" s="548"/>
      <c r="B651" s="548"/>
      <c r="C651" s="548"/>
      <c r="D651" s="548"/>
      <c r="E651" s="548"/>
      <c r="F651" s="549"/>
      <c r="G651" s="548"/>
      <c r="H651" s="548"/>
      <c r="I651" s="548"/>
      <c r="J651" s="548"/>
      <c r="K651" s="548"/>
      <c r="L651" s="548"/>
      <c r="M651" s="548"/>
      <c r="N651" s="548"/>
      <c r="O651" s="548"/>
      <c r="P651" s="548"/>
      <c r="Q651" s="548"/>
      <c r="R651" s="548"/>
      <c r="S651" s="548"/>
      <c r="T651" s="548"/>
      <c r="U651" s="548"/>
      <c r="V651" s="548"/>
      <c r="W651" s="548"/>
      <c r="X651" s="548"/>
      <c r="Y651" s="548"/>
      <c r="Z651" s="548"/>
    </row>
    <row r="652" ht="15.75" customHeight="1">
      <c r="A652" s="548"/>
      <c r="B652" s="548"/>
      <c r="C652" s="548"/>
      <c r="D652" s="548"/>
      <c r="E652" s="548"/>
      <c r="F652" s="549"/>
      <c r="G652" s="548"/>
      <c r="H652" s="548"/>
      <c r="I652" s="548"/>
      <c r="J652" s="548"/>
      <c r="K652" s="548"/>
      <c r="L652" s="548"/>
      <c r="M652" s="548"/>
      <c r="N652" s="548"/>
      <c r="O652" s="548"/>
      <c r="P652" s="548"/>
      <c r="Q652" s="548"/>
      <c r="R652" s="548"/>
      <c r="S652" s="548"/>
      <c r="T652" s="548"/>
      <c r="U652" s="548"/>
      <c r="V652" s="548"/>
      <c r="W652" s="548"/>
      <c r="X652" s="548"/>
      <c r="Y652" s="548"/>
      <c r="Z652" s="548"/>
    </row>
    <row r="653" ht="15.75" customHeight="1">
      <c r="A653" s="548"/>
      <c r="B653" s="548"/>
      <c r="C653" s="548"/>
      <c r="D653" s="548"/>
      <c r="E653" s="548"/>
      <c r="F653" s="549"/>
      <c r="G653" s="548"/>
      <c r="H653" s="548"/>
      <c r="I653" s="548"/>
      <c r="J653" s="548"/>
      <c r="K653" s="548"/>
      <c r="L653" s="548"/>
      <c r="M653" s="548"/>
      <c r="N653" s="548"/>
      <c r="O653" s="548"/>
      <c r="P653" s="548"/>
      <c r="Q653" s="548"/>
      <c r="R653" s="548"/>
      <c r="S653" s="548"/>
      <c r="T653" s="548"/>
      <c r="U653" s="548"/>
      <c r="V653" s="548"/>
      <c r="W653" s="548"/>
      <c r="X653" s="548"/>
      <c r="Y653" s="548"/>
      <c r="Z653" s="548"/>
    </row>
    <row r="654" ht="15.75" customHeight="1">
      <c r="A654" s="548"/>
      <c r="B654" s="548"/>
      <c r="C654" s="548"/>
      <c r="D654" s="548"/>
      <c r="E654" s="548"/>
      <c r="F654" s="549"/>
      <c r="G654" s="548"/>
      <c r="H654" s="548"/>
      <c r="I654" s="548"/>
      <c r="J654" s="548"/>
      <c r="K654" s="548"/>
      <c r="L654" s="548"/>
      <c r="M654" s="548"/>
      <c r="N654" s="548"/>
      <c r="O654" s="548"/>
      <c r="P654" s="548"/>
      <c r="Q654" s="548"/>
      <c r="R654" s="548"/>
      <c r="S654" s="548"/>
      <c r="T654" s="548"/>
      <c r="U654" s="548"/>
      <c r="V654" s="548"/>
      <c r="W654" s="548"/>
      <c r="X654" s="548"/>
      <c r="Y654" s="548"/>
      <c r="Z654" s="548"/>
    </row>
    <row r="655" ht="15.75" customHeight="1">
      <c r="A655" s="548"/>
      <c r="B655" s="548"/>
      <c r="C655" s="548"/>
      <c r="D655" s="548"/>
      <c r="E655" s="548"/>
      <c r="F655" s="549"/>
      <c r="G655" s="548"/>
      <c r="H655" s="548"/>
      <c r="I655" s="548"/>
      <c r="J655" s="548"/>
      <c r="K655" s="548"/>
      <c r="L655" s="548"/>
      <c r="M655" s="548"/>
      <c r="N655" s="548"/>
      <c r="O655" s="548"/>
      <c r="P655" s="548"/>
      <c r="Q655" s="548"/>
      <c r="R655" s="548"/>
      <c r="S655" s="548"/>
      <c r="T655" s="548"/>
      <c r="U655" s="548"/>
      <c r="V655" s="548"/>
      <c r="W655" s="548"/>
      <c r="X655" s="548"/>
      <c r="Y655" s="548"/>
      <c r="Z655" s="548"/>
    </row>
    <row r="656" ht="15.75" customHeight="1">
      <c r="A656" s="548"/>
      <c r="B656" s="548"/>
      <c r="C656" s="548"/>
      <c r="D656" s="548"/>
      <c r="E656" s="548"/>
      <c r="F656" s="549"/>
      <c r="G656" s="548"/>
      <c r="H656" s="548"/>
      <c r="I656" s="548"/>
      <c r="J656" s="548"/>
      <c r="K656" s="548"/>
      <c r="L656" s="548"/>
      <c r="M656" s="548"/>
      <c r="N656" s="548"/>
      <c r="O656" s="548"/>
      <c r="P656" s="548"/>
      <c r="Q656" s="548"/>
      <c r="R656" s="548"/>
      <c r="S656" s="548"/>
      <c r="T656" s="548"/>
      <c r="U656" s="548"/>
      <c r="V656" s="548"/>
      <c r="W656" s="548"/>
      <c r="X656" s="548"/>
      <c r="Y656" s="548"/>
      <c r="Z656" s="548"/>
    </row>
    <row r="657" ht="15.75" customHeight="1">
      <c r="A657" s="548"/>
      <c r="B657" s="548"/>
      <c r="C657" s="548"/>
      <c r="D657" s="548"/>
      <c r="E657" s="548"/>
      <c r="F657" s="549"/>
      <c r="G657" s="548"/>
      <c r="H657" s="548"/>
      <c r="I657" s="548"/>
      <c r="J657" s="548"/>
      <c r="K657" s="548"/>
      <c r="L657" s="548"/>
      <c r="M657" s="548"/>
      <c r="N657" s="548"/>
      <c r="O657" s="548"/>
      <c r="P657" s="548"/>
      <c r="Q657" s="548"/>
      <c r="R657" s="548"/>
      <c r="S657" s="548"/>
      <c r="T657" s="548"/>
      <c r="U657" s="548"/>
      <c r="V657" s="548"/>
      <c r="W657" s="548"/>
      <c r="X657" s="548"/>
      <c r="Y657" s="548"/>
      <c r="Z657" s="548"/>
    </row>
    <row r="658" ht="15.75" customHeight="1">
      <c r="A658" s="548"/>
      <c r="B658" s="548"/>
      <c r="C658" s="548"/>
      <c r="D658" s="548"/>
      <c r="E658" s="548"/>
      <c r="F658" s="549"/>
      <c r="G658" s="548"/>
      <c r="H658" s="548"/>
      <c r="I658" s="548"/>
      <c r="J658" s="548"/>
      <c r="K658" s="548"/>
      <c r="L658" s="548"/>
      <c r="M658" s="548"/>
      <c r="N658" s="548"/>
      <c r="O658" s="548"/>
      <c r="P658" s="548"/>
      <c r="Q658" s="548"/>
      <c r="R658" s="548"/>
      <c r="S658" s="548"/>
      <c r="T658" s="548"/>
      <c r="U658" s="548"/>
      <c r="V658" s="548"/>
      <c r="W658" s="548"/>
      <c r="X658" s="548"/>
      <c r="Y658" s="548"/>
      <c r="Z658" s="548"/>
    </row>
    <row r="659" ht="15.75" customHeight="1">
      <c r="A659" s="548"/>
      <c r="B659" s="548"/>
      <c r="C659" s="548"/>
      <c r="D659" s="548"/>
      <c r="E659" s="548"/>
      <c r="F659" s="549"/>
      <c r="G659" s="548"/>
      <c r="H659" s="548"/>
      <c r="I659" s="548"/>
      <c r="J659" s="548"/>
      <c r="K659" s="548"/>
      <c r="L659" s="548"/>
      <c r="M659" s="548"/>
      <c r="N659" s="548"/>
      <c r="O659" s="548"/>
      <c r="P659" s="548"/>
      <c r="Q659" s="548"/>
      <c r="R659" s="548"/>
      <c r="S659" s="548"/>
      <c r="T659" s="548"/>
      <c r="U659" s="548"/>
      <c r="V659" s="548"/>
      <c r="W659" s="548"/>
      <c r="X659" s="548"/>
      <c r="Y659" s="548"/>
      <c r="Z659" s="548"/>
    </row>
    <row r="660" ht="15.75" customHeight="1">
      <c r="A660" s="548"/>
      <c r="B660" s="548"/>
      <c r="C660" s="548"/>
      <c r="D660" s="548"/>
      <c r="E660" s="548"/>
      <c r="F660" s="549"/>
      <c r="G660" s="548"/>
      <c r="H660" s="548"/>
      <c r="I660" s="548"/>
      <c r="J660" s="548"/>
      <c r="K660" s="548"/>
      <c r="L660" s="548"/>
      <c r="M660" s="548"/>
      <c r="N660" s="548"/>
      <c r="O660" s="548"/>
      <c r="P660" s="548"/>
      <c r="Q660" s="548"/>
      <c r="R660" s="548"/>
      <c r="S660" s="548"/>
      <c r="T660" s="548"/>
      <c r="U660" s="548"/>
      <c r="V660" s="548"/>
      <c r="W660" s="548"/>
      <c r="X660" s="548"/>
      <c r="Y660" s="548"/>
      <c r="Z660" s="548"/>
    </row>
    <row r="661" ht="15.75" customHeight="1">
      <c r="A661" s="548"/>
      <c r="B661" s="548"/>
      <c r="C661" s="548"/>
      <c r="D661" s="548"/>
      <c r="E661" s="548"/>
      <c r="F661" s="549"/>
      <c r="G661" s="548"/>
      <c r="H661" s="548"/>
      <c r="I661" s="548"/>
      <c r="J661" s="548"/>
      <c r="K661" s="548"/>
      <c r="L661" s="548"/>
      <c r="M661" s="548"/>
      <c r="N661" s="548"/>
      <c r="O661" s="548"/>
      <c r="P661" s="548"/>
      <c r="Q661" s="548"/>
      <c r="R661" s="548"/>
      <c r="S661" s="548"/>
      <c r="T661" s="548"/>
      <c r="U661" s="548"/>
      <c r="V661" s="548"/>
      <c r="W661" s="548"/>
      <c r="X661" s="548"/>
      <c r="Y661" s="548"/>
      <c r="Z661" s="548"/>
    </row>
    <row r="662" ht="15.75" customHeight="1">
      <c r="A662" s="548"/>
      <c r="B662" s="548"/>
      <c r="C662" s="548"/>
      <c r="D662" s="548"/>
      <c r="E662" s="548"/>
      <c r="F662" s="549"/>
      <c r="G662" s="548"/>
      <c r="H662" s="548"/>
      <c r="I662" s="548"/>
      <c r="J662" s="548"/>
      <c r="K662" s="548"/>
      <c r="L662" s="548"/>
      <c r="M662" s="548"/>
      <c r="N662" s="548"/>
      <c r="O662" s="548"/>
      <c r="P662" s="548"/>
      <c r="Q662" s="548"/>
      <c r="R662" s="548"/>
      <c r="S662" s="548"/>
      <c r="T662" s="548"/>
      <c r="U662" s="548"/>
      <c r="V662" s="548"/>
      <c r="W662" s="548"/>
      <c r="X662" s="548"/>
      <c r="Y662" s="548"/>
      <c r="Z662" s="548"/>
    </row>
    <row r="663" ht="15.75" customHeight="1">
      <c r="A663" s="548"/>
      <c r="B663" s="548"/>
      <c r="C663" s="548"/>
      <c r="D663" s="548"/>
      <c r="E663" s="548"/>
      <c r="F663" s="549"/>
      <c r="G663" s="548"/>
      <c r="H663" s="548"/>
      <c r="I663" s="548"/>
      <c r="J663" s="548"/>
      <c r="K663" s="548"/>
      <c r="L663" s="548"/>
      <c r="M663" s="548"/>
      <c r="N663" s="548"/>
      <c r="O663" s="548"/>
      <c r="P663" s="548"/>
      <c r="Q663" s="548"/>
      <c r="R663" s="548"/>
      <c r="S663" s="548"/>
      <c r="T663" s="548"/>
      <c r="U663" s="548"/>
      <c r="V663" s="548"/>
      <c r="W663" s="548"/>
      <c r="X663" s="548"/>
      <c r="Y663" s="548"/>
      <c r="Z663" s="548"/>
    </row>
    <row r="664" ht="15.75" customHeight="1">
      <c r="A664" s="548"/>
      <c r="B664" s="548"/>
      <c r="C664" s="548"/>
      <c r="D664" s="548"/>
      <c r="E664" s="548"/>
      <c r="F664" s="549"/>
      <c r="G664" s="548"/>
      <c r="H664" s="548"/>
      <c r="I664" s="548"/>
      <c r="J664" s="548"/>
      <c r="K664" s="548"/>
      <c r="L664" s="548"/>
      <c r="M664" s="548"/>
      <c r="N664" s="548"/>
      <c r="O664" s="548"/>
      <c r="P664" s="548"/>
      <c r="Q664" s="548"/>
      <c r="R664" s="548"/>
      <c r="S664" s="548"/>
      <c r="T664" s="548"/>
      <c r="U664" s="548"/>
      <c r="V664" s="548"/>
      <c r="W664" s="548"/>
      <c r="X664" s="548"/>
      <c r="Y664" s="548"/>
      <c r="Z664" s="548"/>
    </row>
    <row r="665" ht="15.75" customHeight="1">
      <c r="A665" s="548"/>
      <c r="B665" s="548"/>
      <c r="C665" s="548"/>
      <c r="D665" s="548"/>
      <c r="E665" s="548"/>
      <c r="F665" s="549"/>
      <c r="G665" s="548"/>
      <c r="H665" s="548"/>
      <c r="I665" s="548"/>
      <c r="J665" s="548"/>
      <c r="K665" s="548"/>
      <c r="L665" s="548"/>
      <c r="M665" s="548"/>
      <c r="N665" s="548"/>
      <c r="O665" s="548"/>
      <c r="P665" s="548"/>
      <c r="Q665" s="548"/>
      <c r="R665" s="548"/>
      <c r="S665" s="548"/>
      <c r="T665" s="548"/>
      <c r="U665" s="548"/>
      <c r="V665" s="548"/>
      <c r="W665" s="548"/>
      <c r="X665" s="548"/>
      <c r="Y665" s="548"/>
      <c r="Z665" s="548"/>
    </row>
    <row r="666" ht="15.75" customHeight="1">
      <c r="A666" s="548"/>
      <c r="B666" s="548"/>
      <c r="C666" s="548"/>
      <c r="D666" s="548"/>
      <c r="E666" s="548"/>
      <c r="F666" s="549"/>
      <c r="G666" s="548"/>
      <c r="H666" s="548"/>
      <c r="I666" s="548"/>
      <c r="J666" s="548"/>
      <c r="K666" s="548"/>
      <c r="L666" s="548"/>
      <c r="M666" s="548"/>
      <c r="N666" s="548"/>
      <c r="O666" s="548"/>
      <c r="P666" s="548"/>
      <c r="Q666" s="548"/>
      <c r="R666" s="548"/>
      <c r="S666" s="548"/>
      <c r="T666" s="548"/>
      <c r="U666" s="548"/>
      <c r="V666" s="548"/>
      <c r="W666" s="548"/>
      <c r="X666" s="548"/>
      <c r="Y666" s="548"/>
      <c r="Z666" s="548"/>
    </row>
    <row r="667" ht="15.75" customHeight="1">
      <c r="A667" s="548"/>
      <c r="B667" s="548"/>
      <c r="C667" s="548"/>
      <c r="D667" s="548"/>
      <c r="E667" s="548"/>
      <c r="F667" s="549"/>
      <c r="G667" s="548"/>
      <c r="H667" s="548"/>
      <c r="I667" s="548"/>
      <c r="J667" s="548"/>
      <c r="K667" s="548"/>
      <c r="L667" s="548"/>
      <c r="M667" s="548"/>
      <c r="N667" s="548"/>
      <c r="O667" s="548"/>
      <c r="P667" s="548"/>
      <c r="Q667" s="548"/>
      <c r="R667" s="548"/>
      <c r="S667" s="548"/>
      <c r="T667" s="548"/>
      <c r="U667" s="548"/>
      <c r="V667" s="548"/>
      <c r="W667" s="548"/>
      <c r="X667" s="548"/>
      <c r="Y667" s="548"/>
      <c r="Z667" s="548"/>
    </row>
    <row r="668" ht="15.75" customHeight="1">
      <c r="A668" s="548"/>
      <c r="B668" s="548"/>
      <c r="C668" s="548"/>
      <c r="D668" s="548"/>
      <c r="E668" s="548"/>
      <c r="F668" s="549"/>
      <c r="G668" s="548"/>
      <c r="H668" s="548"/>
      <c r="I668" s="548"/>
      <c r="J668" s="548"/>
      <c r="K668" s="548"/>
      <c r="L668" s="548"/>
      <c r="M668" s="548"/>
      <c r="N668" s="548"/>
      <c r="O668" s="548"/>
      <c r="P668" s="548"/>
      <c r="Q668" s="548"/>
      <c r="R668" s="548"/>
      <c r="S668" s="548"/>
      <c r="T668" s="548"/>
      <c r="U668" s="548"/>
      <c r="V668" s="548"/>
      <c r="W668" s="548"/>
      <c r="X668" s="548"/>
      <c r="Y668" s="548"/>
      <c r="Z668" s="548"/>
    </row>
    <row r="669" ht="15.75" customHeight="1">
      <c r="A669" s="548"/>
      <c r="B669" s="548"/>
      <c r="C669" s="548"/>
      <c r="D669" s="548"/>
      <c r="E669" s="548"/>
      <c r="F669" s="549"/>
      <c r="G669" s="548"/>
      <c r="H669" s="548"/>
      <c r="I669" s="548"/>
      <c r="J669" s="548"/>
      <c r="K669" s="548"/>
      <c r="L669" s="548"/>
      <c r="M669" s="548"/>
      <c r="N669" s="548"/>
      <c r="O669" s="548"/>
      <c r="P669" s="548"/>
      <c r="Q669" s="548"/>
      <c r="R669" s="548"/>
      <c r="S669" s="548"/>
      <c r="T669" s="548"/>
      <c r="U669" s="548"/>
      <c r="V669" s="548"/>
      <c r="W669" s="548"/>
      <c r="X669" s="548"/>
      <c r="Y669" s="548"/>
      <c r="Z669" s="548"/>
    </row>
    <row r="670" ht="15.75" customHeight="1">
      <c r="A670" s="548"/>
      <c r="B670" s="548"/>
      <c r="C670" s="548"/>
      <c r="D670" s="548"/>
      <c r="E670" s="548"/>
      <c r="F670" s="549"/>
      <c r="G670" s="548"/>
      <c r="H670" s="548"/>
      <c r="I670" s="548"/>
      <c r="J670" s="548"/>
      <c r="K670" s="548"/>
      <c r="L670" s="548"/>
      <c r="M670" s="548"/>
      <c r="N670" s="548"/>
      <c r="O670" s="548"/>
      <c r="P670" s="548"/>
      <c r="Q670" s="548"/>
      <c r="R670" s="548"/>
      <c r="S670" s="548"/>
      <c r="T670" s="548"/>
      <c r="U670" s="548"/>
      <c r="V670" s="548"/>
      <c r="W670" s="548"/>
      <c r="X670" s="548"/>
      <c r="Y670" s="548"/>
      <c r="Z670" s="548"/>
    </row>
    <row r="671" ht="15.75" customHeight="1">
      <c r="A671" s="548"/>
      <c r="B671" s="548"/>
      <c r="C671" s="548"/>
      <c r="D671" s="548"/>
      <c r="E671" s="548"/>
      <c r="F671" s="549"/>
      <c r="G671" s="548"/>
      <c r="H671" s="548"/>
      <c r="I671" s="548"/>
      <c r="J671" s="548"/>
      <c r="K671" s="548"/>
      <c r="L671" s="548"/>
      <c r="M671" s="548"/>
      <c r="N671" s="548"/>
      <c r="O671" s="548"/>
      <c r="P671" s="548"/>
      <c r="Q671" s="548"/>
      <c r="R671" s="548"/>
      <c r="S671" s="548"/>
      <c r="T671" s="548"/>
      <c r="U671" s="548"/>
      <c r="V671" s="548"/>
      <c r="W671" s="548"/>
      <c r="X671" s="548"/>
      <c r="Y671" s="548"/>
      <c r="Z671" s="548"/>
    </row>
    <row r="672" ht="15.75" customHeight="1">
      <c r="A672" s="548"/>
      <c r="B672" s="548"/>
      <c r="C672" s="548"/>
      <c r="D672" s="548"/>
      <c r="E672" s="548"/>
      <c r="F672" s="549"/>
      <c r="G672" s="548"/>
      <c r="H672" s="548"/>
      <c r="I672" s="548"/>
      <c r="J672" s="548"/>
      <c r="K672" s="548"/>
      <c r="L672" s="548"/>
      <c r="M672" s="548"/>
      <c r="N672" s="548"/>
      <c r="O672" s="548"/>
      <c r="P672" s="548"/>
      <c r="Q672" s="548"/>
      <c r="R672" s="548"/>
      <c r="S672" s="548"/>
      <c r="T672" s="548"/>
      <c r="U672" s="548"/>
      <c r="V672" s="548"/>
      <c r="W672" s="548"/>
      <c r="X672" s="548"/>
      <c r="Y672" s="548"/>
      <c r="Z672" s="548"/>
    </row>
    <row r="673" ht="15.75" customHeight="1">
      <c r="A673" s="548"/>
      <c r="B673" s="548"/>
      <c r="C673" s="548"/>
      <c r="D673" s="548"/>
      <c r="E673" s="548"/>
      <c r="F673" s="549"/>
      <c r="G673" s="548"/>
      <c r="H673" s="548"/>
      <c r="I673" s="548"/>
      <c r="J673" s="548"/>
      <c r="K673" s="548"/>
      <c r="L673" s="548"/>
      <c r="M673" s="548"/>
      <c r="N673" s="548"/>
      <c r="O673" s="548"/>
      <c r="P673" s="548"/>
      <c r="Q673" s="548"/>
      <c r="R673" s="548"/>
      <c r="S673" s="548"/>
      <c r="T673" s="548"/>
      <c r="U673" s="548"/>
      <c r="V673" s="548"/>
      <c r="W673" s="548"/>
      <c r="X673" s="548"/>
      <c r="Y673" s="548"/>
      <c r="Z673" s="548"/>
    </row>
    <row r="674" ht="15.75" customHeight="1">
      <c r="A674" s="548"/>
      <c r="B674" s="548"/>
      <c r="C674" s="548"/>
      <c r="D674" s="548"/>
      <c r="E674" s="548"/>
      <c r="F674" s="549"/>
      <c r="G674" s="548"/>
      <c r="H674" s="548"/>
      <c r="I674" s="548"/>
      <c r="J674" s="548"/>
      <c r="K674" s="548"/>
      <c r="L674" s="548"/>
      <c r="M674" s="548"/>
      <c r="N674" s="548"/>
      <c r="O674" s="548"/>
      <c r="P674" s="548"/>
      <c r="Q674" s="548"/>
      <c r="R674" s="548"/>
      <c r="S674" s="548"/>
      <c r="T674" s="548"/>
      <c r="U674" s="548"/>
      <c r="V674" s="548"/>
      <c r="W674" s="548"/>
      <c r="X674" s="548"/>
      <c r="Y674" s="548"/>
      <c r="Z674" s="548"/>
    </row>
    <row r="675" ht="15.75" customHeight="1">
      <c r="A675" s="548"/>
      <c r="B675" s="548"/>
      <c r="C675" s="548"/>
      <c r="D675" s="548"/>
      <c r="E675" s="548"/>
      <c r="F675" s="549"/>
      <c r="G675" s="548"/>
      <c r="H675" s="548"/>
      <c r="I675" s="548"/>
      <c r="J675" s="548"/>
      <c r="K675" s="548"/>
      <c r="L675" s="548"/>
      <c r="M675" s="548"/>
      <c r="N675" s="548"/>
      <c r="O675" s="548"/>
      <c r="P675" s="548"/>
      <c r="Q675" s="548"/>
      <c r="R675" s="548"/>
      <c r="S675" s="548"/>
      <c r="T675" s="548"/>
      <c r="U675" s="548"/>
      <c r="V675" s="548"/>
      <c r="W675" s="548"/>
      <c r="X675" s="548"/>
      <c r="Y675" s="548"/>
      <c r="Z675" s="548"/>
    </row>
    <row r="676" ht="15.75" customHeight="1">
      <c r="A676" s="548"/>
      <c r="B676" s="548"/>
      <c r="C676" s="548"/>
      <c r="D676" s="548"/>
      <c r="E676" s="548"/>
      <c r="F676" s="549"/>
      <c r="G676" s="548"/>
      <c r="H676" s="548"/>
      <c r="I676" s="548"/>
      <c r="J676" s="548"/>
      <c r="K676" s="548"/>
      <c r="L676" s="548"/>
      <c r="M676" s="548"/>
      <c r="N676" s="548"/>
      <c r="O676" s="548"/>
      <c r="P676" s="548"/>
      <c r="Q676" s="548"/>
      <c r="R676" s="548"/>
      <c r="S676" s="548"/>
      <c r="T676" s="548"/>
      <c r="U676" s="548"/>
      <c r="V676" s="548"/>
      <c r="W676" s="548"/>
      <c r="X676" s="548"/>
      <c r="Y676" s="548"/>
      <c r="Z676" s="548"/>
    </row>
    <row r="677" ht="15.75" customHeight="1">
      <c r="A677" s="548"/>
      <c r="B677" s="548"/>
      <c r="C677" s="548"/>
      <c r="D677" s="548"/>
      <c r="E677" s="548"/>
      <c r="F677" s="549"/>
      <c r="G677" s="548"/>
      <c r="H677" s="548"/>
      <c r="I677" s="548"/>
      <c r="J677" s="548"/>
      <c r="K677" s="548"/>
      <c r="L677" s="548"/>
      <c r="M677" s="548"/>
      <c r="N677" s="548"/>
      <c r="O677" s="548"/>
      <c r="P677" s="548"/>
      <c r="Q677" s="548"/>
      <c r="R677" s="548"/>
      <c r="S677" s="548"/>
      <c r="T677" s="548"/>
      <c r="U677" s="548"/>
      <c r="V677" s="548"/>
      <c r="W677" s="548"/>
      <c r="X677" s="548"/>
      <c r="Y677" s="548"/>
      <c r="Z677" s="548"/>
    </row>
    <row r="678" ht="15.75" customHeight="1">
      <c r="A678" s="548"/>
      <c r="B678" s="548"/>
      <c r="C678" s="548"/>
      <c r="D678" s="548"/>
      <c r="E678" s="548"/>
      <c r="F678" s="549"/>
      <c r="G678" s="548"/>
      <c r="H678" s="548"/>
      <c r="I678" s="548"/>
      <c r="J678" s="548"/>
      <c r="K678" s="548"/>
      <c r="L678" s="548"/>
      <c r="M678" s="548"/>
      <c r="N678" s="548"/>
      <c r="O678" s="548"/>
      <c r="P678" s="548"/>
      <c r="Q678" s="548"/>
      <c r="R678" s="548"/>
      <c r="S678" s="548"/>
      <c r="T678" s="548"/>
      <c r="U678" s="548"/>
      <c r="V678" s="548"/>
      <c r="W678" s="548"/>
      <c r="X678" s="548"/>
      <c r="Y678" s="548"/>
      <c r="Z678" s="548"/>
    </row>
    <row r="679" ht="15.75" customHeight="1">
      <c r="A679" s="548"/>
      <c r="B679" s="548"/>
      <c r="C679" s="548"/>
      <c r="D679" s="548"/>
      <c r="E679" s="548"/>
      <c r="F679" s="549"/>
      <c r="G679" s="548"/>
      <c r="H679" s="548"/>
      <c r="I679" s="548"/>
      <c r="J679" s="548"/>
      <c r="K679" s="548"/>
      <c r="L679" s="548"/>
      <c r="M679" s="548"/>
      <c r="N679" s="548"/>
      <c r="O679" s="548"/>
      <c r="P679" s="548"/>
      <c r="Q679" s="548"/>
      <c r="R679" s="548"/>
      <c r="S679" s="548"/>
      <c r="T679" s="548"/>
      <c r="U679" s="548"/>
      <c r="V679" s="548"/>
      <c r="W679" s="548"/>
      <c r="X679" s="548"/>
      <c r="Y679" s="548"/>
      <c r="Z679" s="548"/>
    </row>
    <row r="680" ht="15.75" customHeight="1">
      <c r="A680" s="548"/>
      <c r="B680" s="548"/>
      <c r="C680" s="548"/>
      <c r="D680" s="548"/>
      <c r="E680" s="548"/>
      <c r="F680" s="549"/>
      <c r="G680" s="548"/>
      <c r="H680" s="548"/>
      <c r="I680" s="548"/>
      <c r="J680" s="548"/>
      <c r="K680" s="548"/>
      <c r="L680" s="548"/>
      <c r="M680" s="548"/>
      <c r="N680" s="548"/>
      <c r="O680" s="548"/>
      <c r="P680" s="548"/>
      <c r="Q680" s="548"/>
      <c r="R680" s="548"/>
      <c r="S680" s="548"/>
      <c r="T680" s="548"/>
      <c r="U680" s="548"/>
      <c r="V680" s="548"/>
      <c r="W680" s="548"/>
      <c r="X680" s="548"/>
      <c r="Y680" s="548"/>
      <c r="Z680" s="548"/>
    </row>
    <row r="681" ht="15.75" customHeight="1">
      <c r="A681" s="548"/>
      <c r="B681" s="548"/>
      <c r="C681" s="548"/>
      <c r="D681" s="548"/>
      <c r="E681" s="548"/>
      <c r="F681" s="549"/>
      <c r="G681" s="548"/>
      <c r="H681" s="548"/>
      <c r="I681" s="548"/>
      <c r="J681" s="548"/>
      <c r="K681" s="548"/>
      <c r="L681" s="548"/>
      <c r="M681" s="548"/>
      <c r="N681" s="548"/>
      <c r="O681" s="548"/>
      <c r="P681" s="548"/>
      <c r="Q681" s="548"/>
      <c r="R681" s="548"/>
      <c r="S681" s="548"/>
      <c r="T681" s="548"/>
      <c r="U681" s="548"/>
      <c r="V681" s="548"/>
      <c r="W681" s="548"/>
      <c r="X681" s="548"/>
      <c r="Y681" s="548"/>
      <c r="Z681" s="548"/>
    </row>
    <row r="682" ht="15.75" customHeight="1">
      <c r="A682" s="548"/>
      <c r="B682" s="548"/>
      <c r="C682" s="548"/>
      <c r="D682" s="548"/>
      <c r="E682" s="548"/>
      <c r="F682" s="549"/>
      <c r="G682" s="548"/>
      <c r="H682" s="548"/>
      <c r="I682" s="548"/>
      <c r="J682" s="548"/>
      <c r="K682" s="548"/>
      <c r="L682" s="548"/>
      <c r="M682" s="548"/>
      <c r="N682" s="548"/>
      <c r="O682" s="548"/>
      <c r="P682" s="548"/>
      <c r="Q682" s="548"/>
      <c r="R682" s="548"/>
      <c r="S682" s="548"/>
      <c r="T682" s="548"/>
      <c r="U682" s="548"/>
      <c r="V682" s="548"/>
      <c r="W682" s="548"/>
      <c r="X682" s="548"/>
      <c r="Y682" s="548"/>
      <c r="Z682" s="548"/>
    </row>
    <row r="683" ht="15.75" customHeight="1">
      <c r="A683" s="548"/>
      <c r="B683" s="548"/>
      <c r="C683" s="548"/>
      <c r="D683" s="548"/>
      <c r="E683" s="548"/>
      <c r="F683" s="549"/>
      <c r="G683" s="548"/>
      <c r="H683" s="548"/>
      <c r="I683" s="548"/>
      <c r="J683" s="548"/>
      <c r="K683" s="548"/>
      <c r="L683" s="548"/>
      <c r="M683" s="548"/>
      <c r="N683" s="548"/>
      <c r="O683" s="548"/>
      <c r="P683" s="548"/>
      <c r="Q683" s="548"/>
      <c r="R683" s="548"/>
      <c r="S683" s="548"/>
      <c r="T683" s="548"/>
      <c r="U683" s="548"/>
      <c r="V683" s="548"/>
      <c r="W683" s="548"/>
      <c r="X683" s="548"/>
      <c r="Y683" s="548"/>
      <c r="Z683" s="548"/>
    </row>
    <row r="684" ht="15.75" customHeight="1">
      <c r="A684" s="548"/>
      <c r="B684" s="548"/>
      <c r="C684" s="548"/>
      <c r="D684" s="548"/>
      <c r="E684" s="548"/>
      <c r="F684" s="549"/>
      <c r="G684" s="548"/>
      <c r="H684" s="548"/>
      <c r="I684" s="548"/>
      <c r="J684" s="548"/>
      <c r="K684" s="548"/>
      <c r="L684" s="548"/>
      <c r="M684" s="548"/>
      <c r="N684" s="548"/>
      <c r="O684" s="548"/>
      <c r="P684" s="548"/>
      <c r="Q684" s="548"/>
      <c r="R684" s="548"/>
      <c r="S684" s="548"/>
      <c r="T684" s="548"/>
      <c r="U684" s="548"/>
      <c r="V684" s="548"/>
      <c r="W684" s="548"/>
      <c r="X684" s="548"/>
      <c r="Y684" s="548"/>
      <c r="Z684" s="548"/>
    </row>
    <row r="685" ht="15.75" customHeight="1">
      <c r="A685" s="548"/>
      <c r="B685" s="548"/>
      <c r="C685" s="548"/>
      <c r="D685" s="548"/>
      <c r="E685" s="548"/>
      <c r="F685" s="549"/>
      <c r="G685" s="548"/>
      <c r="H685" s="548"/>
      <c r="I685" s="548"/>
      <c r="J685" s="548"/>
      <c r="K685" s="548"/>
      <c r="L685" s="548"/>
      <c r="M685" s="548"/>
      <c r="N685" s="548"/>
      <c r="O685" s="548"/>
      <c r="P685" s="548"/>
      <c r="Q685" s="548"/>
      <c r="R685" s="548"/>
      <c r="S685" s="548"/>
      <c r="T685" s="548"/>
      <c r="U685" s="548"/>
      <c r="V685" s="548"/>
      <c r="W685" s="548"/>
      <c r="X685" s="548"/>
      <c r="Y685" s="548"/>
      <c r="Z685" s="548"/>
    </row>
    <row r="686" ht="15.75" customHeight="1">
      <c r="A686" s="548"/>
      <c r="B686" s="548"/>
      <c r="C686" s="548"/>
      <c r="D686" s="548"/>
      <c r="E686" s="548"/>
      <c r="F686" s="549"/>
      <c r="G686" s="548"/>
      <c r="H686" s="548"/>
      <c r="I686" s="548"/>
      <c r="J686" s="548"/>
      <c r="K686" s="548"/>
      <c r="L686" s="548"/>
      <c r="M686" s="548"/>
      <c r="N686" s="548"/>
      <c r="O686" s="548"/>
      <c r="P686" s="548"/>
      <c r="Q686" s="548"/>
      <c r="R686" s="548"/>
      <c r="S686" s="548"/>
      <c r="T686" s="548"/>
      <c r="U686" s="548"/>
      <c r="V686" s="548"/>
      <c r="W686" s="548"/>
      <c r="X686" s="548"/>
      <c r="Y686" s="548"/>
      <c r="Z686" s="548"/>
    </row>
    <row r="687" ht="15.75" customHeight="1">
      <c r="A687" s="548"/>
      <c r="B687" s="548"/>
      <c r="C687" s="548"/>
      <c r="D687" s="548"/>
      <c r="E687" s="548"/>
      <c r="F687" s="549"/>
      <c r="G687" s="548"/>
      <c r="H687" s="548"/>
      <c r="I687" s="548"/>
      <c r="J687" s="548"/>
      <c r="K687" s="548"/>
      <c r="L687" s="548"/>
      <c r="M687" s="548"/>
      <c r="N687" s="548"/>
      <c r="O687" s="548"/>
      <c r="P687" s="548"/>
      <c r="Q687" s="548"/>
      <c r="R687" s="548"/>
      <c r="S687" s="548"/>
      <c r="T687" s="548"/>
      <c r="U687" s="548"/>
      <c r="V687" s="548"/>
      <c r="W687" s="548"/>
      <c r="X687" s="548"/>
      <c r="Y687" s="548"/>
      <c r="Z687" s="548"/>
    </row>
    <row r="688" ht="15.75" customHeight="1">
      <c r="A688" s="548"/>
      <c r="B688" s="548"/>
      <c r="C688" s="548"/>
      <c r="D688" s="548"/>
      <c r="E688" s="548"/>
      <c r="F688" s="549"/>
      <c r="G688" s="548"/>
      <c r="H688" s="548"/>
      <c r="I688" s="548"/>
      <c r="J688" s="548"/>
      <c r="K688" s="548"/>
      <c r="L688" s="548"/>
      <c r="M688" s="548"/>
      <c r="N688" s="548"/>
      <c r="O688" s="548"/>
      <c r="P688" s="548"/>
      <c r="Q688" s="548"/>
      <c r="R688" s="548"/>
      <c r="S688" s="548"/>
      <c r="T688" s="548"/>
      <c r="U688" s="548"/>
      <c r="V688" s="548"/>
      <c r="W688" s="548"/>
      <c r="X688" s="548"/>
      <c r="Y688" s="548"/>
      <c r="Z688" s="548"/>
    </row>
    <row r="689" ht="15.75" customHeight="1">
      <c r="A689" s="548"/>
      <c r="B689" s="548"/>
      <c r="C689" s="548"/>
      <c r="D689" s="548"/>
      <c r="E689" s="548"/>
      <c r="F689" s="549"/>
      <c r="G689" s="548"/>
      <c r="H689" s="548"/>
      <c r="I689" s="548"/>
      <c r="J689" s="548"/>
      <c r="K689" s="548"/>
      <c r="L689" s="548"/>
      <c r="M689" s="548"/>
      <c r="N689" s="548"/>
      <c r="O689" s="548"/>
      <c r="P689" s="548"/>
      <c r="Q689" s="548"/>
      <c r="R689" s="548"/>
      <c r="S689" s="548"/>
      <c r="T689" s="548"/>
      <c r="U689" s="548"/>
      <c r="V689" s="548"/>
      <c r="W689" s="548"/>
      <c r="X689" s="548"/>
      <c r="Y689" s="548"/>
      <c r="Z689" s="548"/>
    </row>
    <row r="690" ht="15.75" customHeight="1">
      <c r="A690" s="548"/>
      <c r="B690" s="548"/>
      <c r="C690" s="548"/>
      <c r="D690" s="548"/>
      <c r="E690" s="548"/>
      <c r="F690" s="549"/>
      <c r="G690" s="548"/>
      <c r="H690" s="548"/>
      <c r="I690" s="548"/>
      <c r="J690" s="548"/>
      <c r="K690" s="548"/>
      <c r="L690" s="548"/>
      <c r="M690" s="548"/>
      <c r="N690" s="548"/>
      <c r="O690" s="548"/>
      <c r="P690" s="548"/>
      <c r="Q690" s="548"/>
      <c r="R690" s="548"/>
      <c r="S690" s="548"/>
      <c r="T690" s="548"/>
      <c r="U690" s="548"/>
      <c r="V690" s="548"/>
      <c r="W690" s="548"/>
      <c r="X690" s="548"/>
      <c r="Y690" s="548"/>
      <c r="Z690" s="548"/>
    </row>
    <row r="691" ht="15.75" customHeight="1">
      <c r="A691" s="548"/>
      <c r="B691" s="548"/>
      <c r="C691" s="548"/>
      <c r="D691" s="548"/>
      <c r="E691" s="548"/>
      <c r="F691" s="549"/>
      <c r="G691" s="548"/>
      <c r="H691" s="548"/>
      <c r="I691" s="548"/>
      <c r="J691" s="548"/>
      <c r="K691" s="548"/>
      <c r="L691" s="548"/>
      <c r="M691" s="548"/>
      <c r="N691" s="548"/>
      <c r="O691" s="548"/>
      <c r="P691" s="548"/>
      <c r="Q691" s="548"/>
      <c r="R691" s="548"/>
      <c r="S691" s="548"/>
      <c r="T691" s="548"/>
      <c r="U691" s="548"/>
      <c r="V691" s="548"/>
      <c r="W691" s="548"/>
      <c r="X691" s="548"/>
      <c r="Y691" s="548"/>
      <c r="Z691" s="548"/>
    </row>
    <row r="692" ht="15.75" customHeight="1">
      <c r="A692" s="548"/>
      <c r="B692" s="548"/>
      <c r="C692" s="548"/>
      <c r="D692" s="548"/>
      <c r="E692" s="548"/>
      <c r="F692" s="549"/>
      <c r="G692" s="548"/>
      <c r="H692" s="548"/>
      <c r="I692" s="548"/>
      <c r="J692" s="548"/>
      <c r="K692" s="548"/>
      <c r="L692" s="548"/>
      <c r="M692" s="548"/>
      <c r="N692" s="548"/>
      <c r="O692" s="548"/>
      <c r="P692" s="548"/>
      <c r="Q692" s="548"/>
      <c r="R692" s="548"/>
      <c r="S692" s="548"/>
      <c r="T692" s="548"/>
      <c r="U692" s="548"/>
      <c r="V692" s="548"/>
      <c r="W692" s="548"/>
      <c r="X692" s="548"/>
      <c r="Y692" s="548"/>
      <c r="Z692" s="548"/>
    </row>
    <row r="693" ht="15.75" customHeight="1">
      <c r="A693" s="548"/>
      <c r="B693" s="548"/>
      <c r="C693" s="548"/>
      <c r="D693" s="548"/>
      <c r="E693" s="548"/>
      <c r="F693" s="549"/>
      <c r="G693" s="548"/>
      <c r="H693" s="548"/>
      <c r="I693" s="548"/>
      <c r="J693" s="548"/>
      <c r="K693" s="548"/>
      <c r="L693" s="548"/>
      <c r="M693" s="548"/>
      <c r="N693" s="548"/>
      <c r="O693" s="548"/>
      <c r="P693" s="548"/>
      <c r="Q693" s="548"/>
      <c r="R693" s="548"/>
      <c r="S693" s="548"/>
      <c r="T693" s="548"/>
      <c r="U693" s="548"/>
      <c r="V693" s="548"/>
      <c r="W693" s="548"/>
      <c r="X693" s="548"/>
      <c r="Y693" s="548"/>
      <c r="Z693" s="548"/>
    </row>
    <row r="694" ht="15.75" customHeight="1">
      <c r="A694" s="548"/>
      <c r="B694" s="548"/>
      <c r="C694" s="548"/>
      <c r="D694" s="548"/>
      <c r="E694" s="548"/>
      <c r="F694" s="549"/>
      <c r="G694" s="548"/>
      <c r="H694" s="548"/>
      <c r="I694" s="548"/>
      <c r="J694" s="548"/>
      <c r="K694" s="548"/>
      <c r="L694" s="548"/>
      <c r="M694" s="548"/>
      <c r="N694" s="548"/>
      <c r="O694" s="548"/>
      <c r="P694" s="548"/>
      <c r="Q694" s="548"/>
      <c r="R694" s="548"/>
      <c r="S694" s="548"/>
      <c r="T694" s="548"/>
      <c r="U694" s="548"/>
      <c r="V694" s="548"/>
      <c r="W694" s="548"/>
      <c r="X694" s="548"/>
      <c r="Y694" s="548"/>
      <c r="Z694" s="548"/>
    </row>
    <row r="695" ht="15.75" customHeight="1">
      <c r="A695" s="548"/>
      <c r="B695" s="548"/>
      <c r="C695" s="548"/>
      <c r="D695" s="548"/>
      <c r="E695" s="548"/>
      <c r="F695" s="549"/>
      <c r="G695" s="548"/>
      <c r="H695" s="548"/>
      <c r="I695" s="548"/>
      <c r="J695" s="548"/>
      <c r="K695" s="548"/>
      <c r="L695" s="548"/>
      <c r="M695" s="548"/>
      <c r="N695" s="548"/>
      <c r="O695" s="548"/>
      <c r="P695" s="548"/>
      <c r="Q695" s="548"/>
      <c r="R695" s="548"/>
      <c r="S695" s="548"/>
      <c r="T695" s="548"/>
      <c r="U695" s="548"/>
      <c r="V695" s="548"/>
      <c r="W695" s="548"/>
      <c r="X695" s="548"/>
      <c r="Y695" s="548"/>
      <c r="Z695" s="548"/>
    </row>
    <row r="696" ht="15.75" customHeight="1">
      <c r="A696" s="548"/>
      <c r="B696" s="548"/>
      <c r="C696" s="548"/>
      <c r="D696" s="548"/>
      <c r="E696" s="548"/>
      <c r="F696" s="549"/>
      <c r="G696" s="548"/>
      <c r="H696" s="548"/>
      <c r="I696" s="548"/>
      <c r="J696" s="548"/>
      <c r="K696" s="548"/>
      <c r="L696" s="548"/>
      <c r="M696" s="548"/>
      <c r="N696" s="548"/>
      <c r="O696" s="548"/>
      <c r="P696" s="548"/>
      <c r="Q696" s="548"/>
      <c r="R696" s="548"/>
      <c r="S696" s="548"/>
      <c r="T696" s="548"/>
      <c r="U696" s="548"/>
      <c r="V696" s="548"/>
      <c r="W696" s="548"/>
      <c r="X696" s="548"/>
      <c r="Y696" s="548"/>
      <c r="Z696" s="548"/>
    </row>
    <row r="697" ht="15.75" customHeight="1">
      <c r="A697" s="548"/>
      <c r="B697" s="548"/>
      <c r="C697" s="548"/>
      <c r="D697" s="548"/>
      <c r="E697" s="548"/>
      <c r="F697" s="549"/>
      <c r="G697" s="548"/>
      <c r="H697" s="548"/>
      <c r="I697" s="548"/>
      <c r="J697" s="548"/>
      <c r="K697" s="548"/>
      <c r="L697" s="548"/>
      <c r="M697" s="548"/>
      <c r="N697" s="548"/>
      <c r="O697" s="548"/>
      <c r="P697" s="548"/>
      <c r="Q697" s="548"/>
      <c r="R697" s="548"/>
      <c r="S697" s="548"/>
      <c r="T697" s="548"/>
      <c r="U697" s="548"/>
      <c r="V697" s="548"/>
      <c r="W697" s="548"/>
      <c r="X697" s="548"/>
      <c r="Y697" s="548"/>
      <c r="Z697" s="548"/>
    </row>
    <row r="698" ht="15.75" customHeight="1">
      <c r="A698" s="548"/>
      <c r="B698" s="548"/>
      <c r="C698" s="548"/>
      <c r="D698" s="548"/>
      <c r="E698" s="548"/>
      <c r="F698" s="549"/>
      <c r="G698" s="548"/>
      <c r="H698" s="548"/>
      <c r="I698" s="548"/>
      <c r="J698" s="548"/>
      <c r="K698" s="548"/>
      <c r="L698" s="548"/>
      <c r="M698" s="548"/>
      <c r="N698" s="548"/>
      <c r="O698" s="548"/>
      <c r="P698" s="548"/>
      <c r="Q698" s="548"/>
      <c r="R698" s="548"/>
      <c r="S698" s="548"/>
      <c r="T698" s="548"/>
      <c r="U698" s="548"/>
      <c r="V698" s="548"/>
      <c r="W698" s="548"/>
      <c r="X698" s="548"/>
      <c r="Y698" s="548"/>
      <c r="Z698" s="548"/>
    </row>
    <row r="699" ht="15.75" customHeight="1">
      <c r="A699" s="548"/>
      <c r="B699" s="548"/>
      <c r="C699" s="548"/>
      <c r="D699" s="548"/>
      <c r="E699" s="548"/>
      <c r="F699" s="549"/>
      <c r="G699" s="548"/>
      <c r="H699" s="548"/>
      <c r="I699" s="548"/>
      <c r="J699" s="548"/>
      <c r="K699" s="548"/>
      <c r="L699" s="548"/>
      <c r="M699" s="548"/>
      <c r="N699" s="548"/>
      <c r="O699" s="548"/>
      <c r="P699" s="548"/>
      <c r="Q699" s="548"/>
      <c r="R699" s="548"/>
      <c r="S699" s="548"/>
      <c r="T699" s="548"/>
      <c r="U699" s="548"/>
      <c r="V699" s="548"/>
      <c r="W699" s="548"/>
      <c r="X699" s="548"/>
      <c r="Y699" s="548"/>
      <c r="Z699" s="548"/>
    </row>
    <row r="700" ht="15.75" customHeight="1">
      <c r="A700" s="548"/>
      <c r="B700" s="548"/>
      <c r="C700" s="548"/>
      <c r="D700" s="548"/>
      <c r="E700" s="548"/>
      <c r="F700" s="549"/>
      <c r="G700" s="548"/>
      <c r="H700" s="548"/>
      <c r="I700" s="548"/>
      <c r="J700" s="548"/>
      <c r="K700" s="548"/>
      <c r="L700" s="548"/>
      <c r="M700" s="548"/>
      <c r="N700" s="548"/>
      <c r="O700" s="548"/>
      <c r="P700" s="548"/>
      <c r="Q700" s="548"/>
      <c r="R700" s="548"/>
      <c r="S700" s="548"/>
      <c r="T700" s="548"/>
      <c r="U700" s="548"/>
      <c r="V700" s="548"/>
      <c r="W700" s="548"/>
      <c r="X700" s="548"/>
      <c r="Y700" s="548"/>
      <c r="Z700" s="548"/>
    </row>
    <row r="701" ht="15.75" customHeight="1">
      <c r="A701" s="548"/>
      <c r="B701" s="548"/>
      <c r="C701" s="548"/>
      <c r="D701" s="548"/>
      <c r="E701" s="548"/>
      <c r="F701" s="549"/>
      <c r="G701" s="548"/>
      <c r="H701" s="548"/>
      <c r="I701" s="548"/>
      <c r="J701" s="548"/>
      <c r="K701" s="548"/>
      <c r="L701" s="548"/>
      <c r="M701" s="548"/>
      <c r="N701" s="548"/>
      <c r="O701" s="548"/>
      <c r="P701" s="548"/>
      <c r="Q701" s="548"/>
      <c r="R701" s="548"/>
      <c r="S701" s="548"/>
      <c r="T701" s="548"/>
      <c r="U701" s="548"/>
      <c r="V701" s="548"/>
      <c r="W701" s="548"/>
      <c r="X701" s="548"/>
      <c r="Y701" s="548"/>
      <c r="Z701" s="548"/>
    </row>
    <row r="702" ht="15.75" customHeight="1">
      <c r="A702" s="548"/>
      <c r="B702" s="548"/>
      <c r="C702" s="548"/>
      <c r="D702" s="548"/>
      <c r="E702" s="548"/>
      <c r="F702" s="549"/>
      <c r="G702" s="548"/>
      <c r="H702" s="548"/>
      <c r="I702" s="548"/>
      <c r="J702" s="548"/>
      <c r="K702" s="548"/>
      <c r="L702" s="548"/>
      <c r="M702" s="548"/>
      <c r="N702" s="548"/>
      <c r="O702" s="548"/>
      <c r="P702" s="548"/>
      <c r="Q702" s="548"/>
      <c r="R702" s="548"/>
      <c r="S702" s="548"/>
      <c r="T702" s="548"/>
      <c r="U702" s="548"/>
      <c r="V702" s="548"/>
      <c r="W702" s="548"/>
      <c r="X702" s="548"/>
      <c r="Y702" s="548"/>
      <c r="Z702" s="548"/>
    </row>
    <row r="703" ht="15.75" customHeight="1">
      <c r="A703" s="548"/>
      <c r="B703" s="548"/>
      <c r="C703" s="548"/>
      <c r="D703" s="548"/>
      <c r="E703" s="548"/>
      <c r="F703" s="549"/>
      <c r="G703" s="548"/>
      <c r="H703" s="548"/>
      <c r="I703" s="548"/>
      <c r="J703" s="548"/>
      <c r="K703" s="548"/>
      <c r="L703" s="548"/>
      <c r="M703" s="548"/>
      <c r="N703" s="548"/>
      <c r="O703" s="548"/>
      <c r="P703" s="548"/>
      <c r="Q703" s="548"/>
      <c r="R703" s="548"/>
      <c r="S703" s="548"/>
      <c r="T703" s="548"/>
      <c r="U703" s="548"/>
      <c r="V703" s="548"/>
      <c r="W703" s="548"/>
      <c r="X703" s="548"/>
      <c r="Y703" s="548"/>
      <c r="Z703" s="548"/>
    </row>
    <row r="704" ht="15.75" customHeight="1">
      <c r="A704" s="548"/>
      <c r="B704" s="548"/>
      <c r="C704" s="548"/>
      <c r="D704" s="548"/>
      <c r="E704" s="548"/>
      <c r="F704" s="549"/>
      <c r="G704" s="548"/>
      <c r="H704" s="548"/>
      <c r="I704" s="548"/>
      <c r="J704" s="548"/>
      <c r="K704" s="548"/>
      <c r="L704" s="548"/>
      <c r="M704" s="548"/>
      <c r="N704" s="548"/>
      <c r="O704" s="548"/>
      <c r="P704" s="548"/>
      <c r="Q704" s="548"/>
      <c r="R704" s="548"/>
      <c r="S704" s="548"/>
      <c r="T704" s="548"/>
      <c r="U704" s="548"/>
      <c r="V704" s="548"/>
      <c r="W704" s="548"/>
      <c r="X704" s="548"/>
      <c r="Y704" s="548"/>
      <c r="Z704" s="548"/>
    </row>
    <row r="705" ht="15.75" customHeight="1">
      <c r="A705" s="548"/>
      <c r="B705" s="548"/>
      <c r="C705" s="548"/>
      <c r="D705" s="548"/>
      <c r="E705" s="548"/>
      <c r="F705" s="549"/>
      <c r="G705" s="548"/>
      <c r="H705" s="548"/>
      <c r="I705" s="548"/>
      <c r="J705" s="548"/>
      <c r="K705" s="548"/>
      <c r="L705" s="548"/>
      <c r="M705" s="548"/>
      <c r="N705" s="548"/>
      <c r="O705" s="548"/>
      <c r="P705" s="548"/>
      <c r="Q705" s="548"/>
      <c r="R705" s="548"/>
      <c r="S705" s="548"/>
      <c r="T705" s="548"/>
      <c r="U705" s="548"/>
      <c r="V705" s="548"/>
      <c r="W705" s="548"/>
      <c r="X705" s="548"/>
      <c r="Y705" s="548"/>
      <c r="Z705" s="548"/>
    </row>
    <row r="706" ht="15.75" customHeight="1">
      <c r="A706" s="548"/>
      <c r="B706" s="548"/>
      <c r="C706" s="548"/>
      <c r="D706" s="548"/>
      <c r="E706" s="548"/>
      <c r="F706" s="549"/>
      <c r="G706" s="548"/>
      <c r="H706" s="548"/>
      <c r="I706" s="548"/>
      <c r="J706" s="548"/>
      <c r="K706" s="548"/>
      <c r="L706" s="548"/>
      <c r="M706" s="548"/>
      <c r="N706" s="548"/>
      <c r="O706" s="548"/>
      <c r="P706" s="548"/>
      <c r="Q706" s="548"/>
      <c r="R706" s="548"/>
      <c r="S706" s="548"/>
      <c r="T706" s="548"/>
      <c r="U706" s="548"/>
      <c r="V706" s="548"/>
      <c r="W706" s="548"/>
      <c r="X706" s="548"/>
      <c r="Y706" s="548"/>
      <c r="Z706" s="548"/>
    </row>
    <row r="707" ht="15.75" customHeight="1">
      <c r="A707" s="548"/>
      <c r="B707" s="548"/>
      <c r="C707" s="548"/>
      <c r="D707" s="548"/>
      <c r="E707" s="548"/>
      <c r="F707" s="549"/>
      <c r="G707" s="548"/>
      <c r="H707" s="548"/>
      <c r="I707" s="548"/>
      <c r="J707" s="548"/>
      <c r="K707" s="548"/>
      <c r="L707" s="548"/>
      <c r="M707" s="548"/>
      <c r="N707" s="548"/>
      <c r="O707" s="548"/>
      <c r="P707" s="548"/>
      <c r="Q707" s="548"/>
      <c r="R707" s="548"/>
      <c r="S707" s="548"/>
      <c r="T707" s="548"/>
      <c r="U707" s="548"/>
      <c r="V707" s="548"/>
      <c r="W707" s="548"/>
      <c r="X707" s="548"/>
      <c r="Y707" s="548"/>
      <c r="Z707" s="548"/>
    </row>
    <row r="708" ht="15.75" customHeight="1">
      <c r="A708" s="548"/>
      <c r="B708" s="548"/>
      <c r="C708" s="548"/>
      <c r="D708" s="548"/>
      <c r="E708" s="548"/>
      <c r="F708" s="549"/>
      <c r="G708" s="548"/>
      <c r="H708" s="548"/>
      <c r="I708" s="548"/>
      <c r="J708" s="548"/>
      <c r="K708" s="548"/>
      <c r="L708" s="548"/>
      <c r="M708" s="548"/>
      <c r="N708" s="548"/>
      <c r="O708" s="548"/>
      <c r="P708" s="548"/>
      <c r="Q708" s="548"/>
      <c r="R708" s="548"/>
      <c r="S708" s="548"/>
      <c r="T708" s="548"/>
      <c r="U708" s="548"/>
      <c r="V708" s="548"/>
      <c r="W708" s="548"/>
      <c r="X708" s="548"/>
      <c r="Y708" s="548"/>
      <c r="Z708" s="548"/>
    </row>
    <row r="709" ht="15.75" customHeight="1">
      <c r="A709" s="548"/>
      <c r="B709" s="548"/>
      <c r="C709" s="548"/>
      <c r="D709" s="548"/>
      <c r="E709" s="548"/>
      <c r="F709" s="549"/>
      <c r="G709" s="548"/>
      <c r="H709" s="548"/>
      <c r="I709" s="548"/>
      <c r="J709" s="548"/>
      <c r="K709" s="548"/>
      <c r="L709" s="548"/>
      <c r="M709" s="548"/>
      <c r="N709" s="548"/>
      <c r="O709" s="548"/>
      <c r="P709" s="548"/>
      <c r="Q709" s="548"/>
      <c r="R709" s="548"/>
      <c r="S709" s="548"/>
      <c r="T709" s="548"/>
      <c r="U709" s="548"/>
      <c r="V709" s="548"/>
      <c r="W709" s="548"/>
      <c r="X709" s="548"/>
      <c r="Y709" s="548"/>
      <c r="Z709" s="548"/>
    </row>
    <row r="710" ht="15.75" customHeight="1">
      <c r="A710" s="548"/>
      <c r="B710" s="548"/>
      <c r="C710" s="548"/>
      <c r="D710" s="548"/>
      <c r="E710" s="548"/>
      <c r="F710" s="549"/>
      <c r="G710" s="548"/>
      <c r="H710" s="548"/>
      <c r="I710" s="548"/>
      <c r="J710" s="548"/>
      <c r="K710" s="548"/>
      <c r="L710" s="548"/>
      <c r="M710" s="548"/>
      <c r="N710" s="548"/>
      <c r="O710" s="548"/>
      <c r="P710" s="548"/>
      <c r="Q710" s="548"/>
      <c r="R710" s="548"/>
      <c r="S710" s="548"/>
      <c r="T710" s="548"/>
      <c r="U710" s="548"/>
      <c r="V710" s="548"/>
      <c r="W710" s="548"/>
      <c r="X710" s="548"/>
      <c r="Y710" s="548"/>
      <c r="Z710" s="548"/>
    </row>
    <row r="711" ht="15.75" customHeight="1">
      <c r="A711" s="548"/>
      <c r="B711" s="548"/>
      <c r="C711" s="548"/>
      <c r="D711" s="548"/>
      <c r="E711" s="548"/>
      <c r="F711" s="549"/>
      <c r="G711" s="548"/>
      <c r="H711" s="548"/>
      <c r="I711" s="548"/>
      <c r="J711" s="548"/>
      <c r="K711" s="548"/>
      <c r="L711" s="548"/>
      <c r="M711" s="548"/>
      <c r="N711" s="548"/>
      <c r="O711" s="548"/>
      <c r="P711" s="548"/>
      <c r="Q711" s="548"/>
      <c r="R711" s="548"/>
      <c r="S711" s="548"/>
      <c r="T711" s="548"/>
      <c r="U711" s="548"/>
      <c r="V711" s="548"/>
      <c r="W711" s="548"/>
      <c r="X711" s="548"/>
      <c r="Y711" s="548"/>
      <c r="Z711" s="548"/>
    </row>
    <row r="712" ht="15.75" customHeight="1">
      <c r="A712" s="548"/>
      <c r="B712" s="548"/>
      <c r="C712" s="548"/>
      <c r="D712" s="548"/>
      <c r="E712" s="548"/>
      <c r="F712" s="549"/>
      <c r="G712" s="548"/>
      <c r="H712" s="548"/>
      <c r="I712" s="548"/>
      <c r="J712" s="548"/>
      <c r="K712" s="548"/>
      <c r="L712" s="548"/>
      <c r="M712" s="548"/>
      <c r="N712" s="548"/>
      <c r="O712" s="548"/>
      <c r="P712" s="548"/>
      <c r="Q712" s="548"/>
      <c r="R712" s="548"/>
      <c r="S712" s="548"/>
      <c r="T712" s="548"/>
      <c r="U712" s="548"/>
      <c r="V712" s="548"/>
      <c r="W712" s="548"/>
      <c r="X712" s="548"/>
      <c r="Y712" s="548"/>
      <c r="Z712" s="548"/>
    </row>
    <row r="713" ht="15.75" customHeight="1">
      <c r="A713" s="548"/>
      <c r="B713" s="548"/>
      <c r="C713" s="548"/>
      <c r="D713" s="548"/>
      <c r="E713" s="548"/>
      <c r="F713" s="549"/>
      <c r="G713" s="548"/>
      <c r="H713" s="548"/>
      <c r="I713" s="548"/>
      <c r="J713" s="548"/>
      <c r="K713" s="548"/>
      <c r="L713" s="548"/>
      <c r="M713" s="548"/>
      <c r="N713" s="548"/>
      <c r="O713" s="548"/>
      <c r="P713" s="548"/>
      <c r="Q713" s="548"/>
      <c r="R713" s="548"/>
      <c r="S713" s="548"/>
      <c r="T713" s="548"/>
      <c r="U713" s="548"/>
      <c r="V713" s="548"/>
      <c r="W713" s="548"/>
      <c r="X713" s="548"/>
      <c r="Y713" s="548"/>
      <c r="Z713" s="548"/>
    </row>
    <row r="714" ht="15.75" customHeight="1">
      <c r="A714" s="548"/>
      <c r="B714" s="548"/>
      <c r="C714" s="548"/>
      <c r="D714" s="548"/>
      <c r="E714" s="548"/>
      <c r="F714" s="549"/>
      <c r="G714" s="548"/>
      <c r="H714" s="548"/>
      <c r="I714" s="548"/>
      <c r="J714" s="548"/>
      <c r="K714" s="548"/>
      <c r="L714" s="548"/>
      <c r="M714" s="548"/>
      <c r="N714" s="548"/>
      <c r="O714" s="548"/>
      <c r="P714" s="548"/>
      <c r="Q714" s="548"/>
      <c r="R714" s="548"/>
      <c r="S714" s="548"/>
      <c r="T714" s="548"/>
      <c r="U714" s="548"/>
      <c r="V714" s="548"/>
      <c r="W714" s="548"/>
      <c r="X714" s="548"/>
      <c r="Y714" s="548"/>
      <c r="Z714" s="548"/>
    </row>
    <row r="715" ht="15.75" customHeight="1">
      <c r="A715" s="548"/>
      <c r="B715" s="548"/>
      <c r="C715" s="548"/>
      <c r="D715" s="548"/>
      <c r="E715" s="548"/>
      <c r="F715" s="549"/>
      <c r="G715" s="548"/>
      <c r="H715" s="548"/>
      <c r="I715" s="548"/>
      <c r="J715" s="548"/>
      <c r="K715" s="548"/>
      <c r="L715" s="548"/>
      <c r="M715" s="548"/>
      <c r="N715" s="548"/>
      <c r="O715" s="548"/>
      <c r="P715" s="548"/>
      <c r="Q715" s="548"/>
      <c r="R715" s="548"/>
      <c r="S715" s="548"/>
      <c r="T715" s="548"/>
      <c r="U715" s="548"/>
      <c r="V715" s="548"/>
      <c r="W715" s="548"/>
      <c r="X715" s="548"/>
      <c r="Y715" s="548"/>
      <c r="Z715" s="548"/>
    </row>
    <row r="716" ht="15.75" customHeight="1">
      <c r="A716" s="548"/>
      <c r="B716" s="548"/>
      <c r="C716" s="548"/>
      <c r="D716" s="548"/>
      <c r="E716" s="548"/>
      <c r="F716" s="549"/>
      <c r="G716" s="548"/>
      <c r="H716" s="548"/>
      <c r="I716" s="548"/>
      <c r="J716" s="548"/>
      <c r="K716" s="548"/>
      <c r="L716" s="548"/>
      <c r="M716" s="548"/>
      <c r="N716" s="548"/>
      <c r="O716" s="548"/>
      <c r="P716" s="548"/>
      <c r="Q716" s="548"/>
      <c r="R716" s="548"/>
      <c r="S716" s="548"/>
      <c r="T716" s="548"/>
      <c r="U716" s="548"/>
      <c r="V716" s="548"/>
      <c r="W716" s="548"/>
      <c r="X716" s="548"/>
      <c r="Y716" s="548"/>
      <c r="Z716" s="548"/>
    </row>
    <row r="717" ht="15.75" customHeight="1">
      <c r="A717" s="548"/>
      <c r="B717" s="548"/>
      <c r="C717" s="548"/>
      <c r="D717" s="548"/>
      <c r="E717" s="548"/>
      <c r="F717" s="549"/>
      <c r="G717" s="548"/>
      <c r="H717" s="548"/>
      <c r="I717" s="548"/>
      <c r="J717" s="548"/>
      <c r="K717" s="548"/>
      <c r="L717" s="548"/>
      <c r="M717" s="548"/>
      <c r="N717" s="548"/>
      <c r="O717" s="548"/>
      <c r="P717" s="548"/>
      <c r="Q717" s="548"/>
      <c r="R717" s="548"/>
      <c r="S717" s="548"/>
      <c r="T717" s="548"/>
      <c r="U717" s="548"/>
      <c r="V717" s="548"/>
      <c r="W717" s="548"/>
      <c r="X717" s="548"/>
      <c r="Y717" s="548"/>
      <c r="Z717" s="548"/>
    </row>
    <row r="718" ht="15.75" customHeight="1">
      <c r="A718" s="548"/>
      <c r="B718" s="548"/>
      <c r="C718" s="548"/>
      <c r="D718" s="548"/>
      <c r="E718" s="548"/>
      <c r="F718" s="549"/>
      <c r="G718" s="548"/>
      <c r="H718" s="548"/>
      <c r="I718" s="548"/>
      <c r="J718" s="548"/>
      <c r="K718" s="548"/>
      <c r="L718" s="548"/>
      <c r="M718" s="548"/>
      <c r="N718" s="548"/>
      <c r="O718" s="548"/>
      <c r="P718" s="548"/>
      <c r="Q718" s="548"/>
      <c r="R718" s="548"/>
      <c r="S718" s="548"/>
      <c r="T718" s="548"/>
      <c r="U718" s="548"/>
      <c r="V718" s="548"/>
      <c r="W718" s="548"/>
      <c r="X718" s="548"/>
      <c r="Y718" s="548"/>
      <c r="Z718" s="548"/>
    </row>
    <row r="719" ht="15.75" customHeight="1">
      <c r="A719" s="548"/>
      <c r="B719" s="548"/>
      <c r="C719" s="548"/>
      <c r="D719" s="548"/>
      <c r="E719" s="548"/>
      <c r="F719" s="549"/>
      <c r="G719" s="548"/>
      <c r="H719" s="548"/>
      <c r="I719" s="548"/>
      <c r="J719" s="548"/>
      <c r="K719" s="548"/>
      <c r="L719" s="548"/>
      <c r="M719" s="548"/>
      <c r="N719" s="548"/>
      <c r="O719" s="548"/>
      <c r="P719" s="548"/>
      <c r="Q719" s="548"/>
      <c r="R719" s="548"/>
      <c r="S719" s="548"/>
      <c r="T719" s="548"/>
      <c r="U719" s="548"/>
      <c r="V719" s="548"/>
      <c r="W719" s="548"/>
      <c r="X719" s="548"/>
      <c r="Y719" s="548"/>
      <c r="Z719" s="548"/>
    </row>
    <row r="720" ht="15.75" customHeight="1">
      <c r="A720" s="548"/>
      <c r="B720" s="548"/>
      <c r="C720" s="548"/>
      <c r="D720" s="548"/>
      <c r="E720" s="548"/>
      <c r="F720" s="549"/>
      <c r="G720" s="548"/>
      <c r="H720" s="548"/>
      <c r="I720" s="548"/>
      <c r="J720" s="548"/>
      <c r="K720" s="548"/>
      <c r="L720" s="548"/>
      <c r="M720" s="548"/>
      <c r="N720" s="548"/>
      <c r="O720" s="548"/>
      <c r="P720" s="548"/>
      <c r="Q720" s="548"/>
      <c r="R720" s="548"/>
      <c r="S720" s="548"/>
      <c r="T720" s="548"/>
      <c r="U720" s="548"/>
      <c r="V720" s="548"/>
      <c r="W720" s="548"/>
      <c r="X720" s="548"/>
      <c r="Y720" s="548"/>
      <c r="Z720" s="548"/>
    </row>
    <row r="721" ht="15.75" customHeight="1">
      <c r="A721" s="548"/>
      <c r="B721" s="548"/>
      <c r="C721" s="548"/>
      <c r="D721" s="548"/>
      <c r="E721" s="548"/>
      <c r="F721" s="549"/>
      <c r="G721" s="548"/>
      <c r="H721" s="548"/>
      <c r="I721" s="548"/>
      <c r="J721" s="548"/>
      <c r="K721" s="548"/>
      <c r="L721" s="548"/>
      <c r="M721" s="548"/>
      <c r="N721" s="548"/>
      <c r="O721" s="548"/>
      <c r="P721" s="548"/>
      <c r="Q721" s="548"/>
      <c r="R721" s="548"/>
      <c r="S721" s="548"/>
      <c r="T721" s="548"/>
      <c r="U721" s="548"/>
      <c r="V721" s="548"/>
      <c r="W721" s="548"/>
      <c r="X721" s="548"/>
      <c r="Y721" s="548"/>
      <c r="Z721" s="548"/>
    </row>
    <row r="722" ht="15.75" customHeight="1">
      <c r="A722" s="548"/>
      <c r="B722" s="548"/>
      <c r="C722" s="548"/>
      <c r="D722" s="548"/>
      <c r="E722" s="548"/>
      <c r="F722" s="549"/>
      <c r="G722" s="548"/>
      <c r="H722" s="548"/>
      <c r="I722" s="548"/>
      <c r="J722" s="548"/>
      <c r="K722" s="548"/>
      <c r="L722" s="548"/>
      <c r="M722" s="548"/>
      <c r="N722" s="548"/>
      <c r="O722" s="548"/>
      <c r="P722" s="548"/>
      <c r="Q722" s="548"/>
      <c r="R722" s="548"/>
      <c r="S722" s="548"/>
      <c r="T722" s="548"/>
      <c r="U722" s="548"/>
      <c r="V722" s="548"/>
      <c r="W722" s="548"/>
      <c r="X722" s="548"/>
      <c r="Y722" s="548"/>
      <c r="Z722" s="548"/>
    </row>
    <row r="723" ht="15.75" customHeight="1">
      <c r="A723" s="548"/>
      <c r="B723" s="548"/>
      <c r="C723" s="548"/>
      <c r="D723" s="548"/>
      <c r="E723" s="548"/>
      <c r="F723" s="549"/>
      <c r="G723" s="548"/>
      <c r="H723" s="548"/>
      <c r="I723" s="548"/>
      <c r="J723" s="548"/>
      <c r="K723" s="548"/>
      <c r="L723" s="548"/>
      <c r="M723" s="548"/>
      <c r="N723" s="548"/>
      <c r="O723" s="548"/>
      <c r="P723" s="548"/>
      <c r="Q723" s="548"/>
      <c r="R723" s="548"/>
      <c r="S723" s="548"/>
      <c r="T723" s="548"/>
      <c r="U723" s="548"/>
      <c r="V723" s="548"/>
      <c r="W723" s="548"/>
      <c r="X723" s="548"/>
      <c r="Y723" s="548"/>
      <c r="Z723" s="548"/>
    </row>
    <row r="724" ht="15.75" customHeight="1">
      <c r="A724" s="548"/>
      <c r="B724" s="548"/>
      <c r="C724" s="548"/>
      <c r="D724" s="548"/>
      <c r="E724" s="548"/>
      <c r="F724" s="549"/>
      <c r="G724" s="548"/>
      <c r="H724" s="548"/>
      <c r="I724" s="548"/>
      <c r="J724" s="548"/>
      <c r="K724" s="548"/>
      <c r="L724" s="548"/>
      <c r="M724" s="548"/>
      <c r="N724" s="548"/>
      <c r="O724" s="548"/>
      <c r="P724" s="548"/>
      <c r="Q724" s="548"/>
      <c r="R724" s="548"/>
      <c r="S724" s="548"/>
      <c r="T724" s="548"/>
      <c r="U724" s="548"/>
      <c r="V724" s="548"/>
      <c r="W724" s="548"/>
      <c r="X724" s="548"/>
      <c r="Y724" s="548"/>
      <c r="Z724" s="548"/>
    </row>
    <row r="725" ht="15.75" customHeight="1">
      <c r="A725" s="548"/>
      <c r="B725" s="548"/>
      <c r="C725" s="548"/>
      <c r="D725" s="548"/>
      <c r="E725" s="548"/>
      <c r="F725" s="549"/>
      <c r="G725" s="548"/>
      <c r="H725" s="548"/>
      <c r="I725" s="548"/>
      <c r="J725" s="548"/>
      <c r="K725" s="548"/>
      <c r="L725" s="548"/>
      <c r="M725" s="548"/>
      <c r="N725" s="548"/>
      <c r="O725" s="548"/>
      <c r="P725" s="548"/>
      <c r="Q725" s="548"/>
      <c r="R725" s="548"/>
      <c r="S725" s="548"/>
      <c r="T725" s="548"/>
      <c r="U725" s="548"/>
      <c r="V725" s="548"/>
      <c r="W725" s="548"/>
      <c r="X725" s="548"/>
      <c r="Y725" s="548"/>
      <c r="Z725" s="548"/>
    </row>
    <row r="726" ht="15.75" customHeight="1">
      <c r="A726" s="548"/>
      <c r="B726" s="548"/>
      <c r="C726" s="548"/>
      <c r="D726" s="548"/>
      <c r="E726" s="548"/>
      <c r="F726" s="549"/>
      <c r="G726" s="548"/>
      <c r="H726" s="548"/>
      <c r="I726" s="548"/>
      <c r="J726" s="548"/>
      <c r="K726" s="548"/>
      <c r="L726" s="548"/>
      <c r="M726" s="548"/>
      <c r="N726" s="548"/>
      <c r="O726" s="548"/>
      <c r="P726" s="548"/>
      <c r="Q726" s="548"/>
      <c r="R726" s="548"/>
      <c r="S726" s="548"/>
      <c r="T726" s="548"/>
      <c r="U726" s="548"/>
      <c r="V726" s="548"/>
      <c r="W726" s="548"/>
      <c r="X726" s="548"/>
      <c r="Y726" s="548"/>
      <c r="Z726" s="548"/>
    </row>
    <row r="727" ht="15.75" customHeight="1">
      <c r="A727" s="548"/>
      <c r="B727" s="548"/>
      <c r="C727" s="548"/>
      <c r="D727" s="548"/>
      <c r="E727" s="548"/>
      <c r="F727" s="549"/>
      <c r="G727" s="548"/>
      <c r="H727" s="548"/>
      <c r="I727" s="548"/>
      <c r="J727" s="548"/>
      <c r="K727" s="548"/>
      <c r="L727" s="548"/>
      <c r="M727" s="548"/>
      <c r="N727" s="548"/>
      <c r="O727" s="548"/>
      <c r="P727" s="548"/>
      <c r="Q727" s="548"/>
      <c r="R727" s="548"/>
      <c r="S727" s="548"/>
      <c r="T727" s="548"/>
      <c r="U727" s="548"/>
      <c r="V727" s="548"/>
      <c r="W727" s="548"/>
      <c r="X727" s="548"/>
      <c r="Y727" s="548"/>
      <c r="Z727" s="548"/>
    </row>
    <row r="728" ht="15.75" customHeight="1">
      <c r="A728" s="548"/>
      <c r="B728" s="548"/>
      <c r="C728" s="548"/>
      <c r="D728" s="548"/>
      <c r="E728" s="548"/>
      <c r="F728" s="549"/>
      <c r="G728" s="548"/>
      <c r="H728" s="548"/>
      <c r="I728" s="548"/>
      <c r="J728" s="548"/>
      <c r="K728" s="548"/>
      <c r="L728" s="548"/>
      <c r="M728" s="548"/>
      <c r="N728" s="548"/>
      <c r="O728" s="548"/>
      <c r="P728" s="548"/>
      <c r="Q728" s="548"/>
      <c r="R728" s="548"/>
      <c r="S728" s="548"/>
      <c r="T728" s="548"/>
      <c r="U728" s="548"/>
      <c r="V728" s="548"/>
      <c r="W728" s="548"/>
      <c r="X728" s="548"/>
      <c r="Y728" s="548"/>
      <c r="Z728" s="548"/>
    </row>
    <row r="729" ht="15.75" customHeight="1">
      <c r="A729" s="548"/>
      <c r="B729" s="548"/>
      <c r="C729" s="548"/>
      <c r="D729" s="548"/>
      <c r="E729" s="548"/>
      <c r="F729" s="549"/>
      <c r="G729" s="548"/>
      <c r="H729" s="548"/>
      <c r="I729" s="548"/>
      <c r="J729" s="548"/>
      <c r="K729" s="548"/>
      <c r="L729" s="548"/>
      <c r="M729" s="548"/>
      <c r="N729" s="548"/>
      <c r="O729" s="548"/>
      <c r="P729" s="548"/>
      <c r="Q729" s="548"/>
      <c r="R729" s="548"/>
      <c r="S729" s="548"/>
      <c r="T729" s="548"/>
      <c r="U729" s="548"/>
      <c r="V729" s="548"/>
      <c r="W729" s="548"/>
      <c r="X729" s="548"/>
      <c r="Y729" s="548"/>
      <c r="Z729" s="548"/>
    </row>
    <row r="730" ht="15.75" customHeight="1">
      <c r="A730" s="548"/>
      <c r="B730" s="548"/>
      <c r="C730" s="548"/>
      <c r="D730" s="548"/>
      <c r="E730" s="548"/>
      <c r="F730" s="549"/>
      <c r="G730" s="548"/>
      <c r="H730" s="548"/>
      <c r="I730" s="548"/>
      <c r="J730" s="548"/>
      <c r="K730" s="548"/>
      <c r="L730" s="548"/>
      <c r="M730" s="548"/>
      <c r="N730" s="548"/>
      <c r="O730" s="548"/>
      <c r="P730" s="548"/>
      <c r="Q730" s="548"/>
      <c r="R730" s="548"/>
      <c r="S730" s="548"/>
      <c r="T730" s="548"/>
      <c r="U730" s="548"/>
      <c r="V730" s="548"/>
      <c r="W730" s="548"/>
      <c r="X730" s="548"/>
      <c r="Y730" s="548"/>
      <c r="Z730" s="548"/>
    </row>
    <row r="731" ht="15.75" customHeight="1">
      <c r="A731" s="548"/>
      <c r="B731" s="548"/>
      <c r="C731" s="548"/>
      <c r="D731" s="548"/>
      <c r="E731" s="548"/>
      <c r="F731" s="549"/>
      <c r="G731" s="548"/>
      <c r="H731" s="548"/>
      <c r="I731" s="548"/>
      <c r="J731" s="548"/>
      <c r="K731" s="548"/>
      <c r="L731" s="548"/>
      <c r="M731" s="548"/>
      <c r="N731" s="548"/>
      <c r="O731" s="548"/>
      <c r="P731" s="548"/>
      <c r="Q731" s="548"/>
      <c r="R731" s="548"/>
      <c r="S731" s="548"/>
      <c r="T731" s="548"/>
      <c r="U731" s="548"/>
      <c r="V731" s="548"/>
      <c r="W731" s="548"/>
      <c r="X731" s="548"/>
      <c r="Y731" s="548"/>
      <c r="Z731" s="548"/>
    </row>
    <row r="732" ht="15.75" customHeight="1">
      <c r="A732" s="548"/>
      <c r="B732" s="548"/>
      <c r="C732" s="548"/>
      <c r="D732" s="548"/>
      <c r="E732" s="548"/>
      <c r="F732" s="549"/>
      <c r="G732" s="548"/>
      <c r="H732" s="548"/>
      <c r="I732" s="548"/>
      <c r="J732" s="548"/>
      <c r="K732" s="548"/>
      <c r="L732" s="548"/>
      <c r="M732" s="548"/>
      <c r="N732" s="548"/>
      <c r="O732" s="548"/>
      <c r="P732" s="548"/>
      <c r="Q732" s="548"/>
      <c r="R732" s="548"/>
      <c r="S732" s="548"/>
      <c r="T732" s="548"/>
      <c r="U732" s="548"/>
      <c r="V732" s="548"/>
      <c r="W732" s="548"/>
      <c r="X732" s="548"/>
      <c r="Y732" s="548"/>
      <c r="Z732" s="548"/>
    </row>
    <row r="733" ht="15.75" customHeight="1">
      <c r="A733" s="548"/>
      <c r="B733" s="548"/>
      <c r="C733" s="548"/>
      <c r="D733" s="548"/>
      <c r="E733" s="548"/>
      <c r="F733" s="549"/>
      <c r="G733" s="548"/>
      <c r="H733" s="548"/>
      <c r="I733" s="548"/>
      <c r="J733" s="548"/>
      <c r="K733" s="548"/>
      <c r="L733" s="548"/>
      <c r="M733" s="548"/>
      <c r="N733" s="548"/>
      <c r="O733" s="548"/>
      <c r="P733" s="548"/>
      <c r="Q733" s="548"/>
      <c r="R733" s="548"/>
      <c r="S733" s="548"/>
      <c r="T733" s="548"/>
      <c r="U733" s="548"/>
      <c r="V733" s="548"/>
      <c r="W733" s="548"/>
      <c r="X733" s="548"/>
      <c r="Y733" s="548"/>
      <c r="Z733" s="548"/>
    </row>
    <row r="734" ht="15.75" customHeight="1">
      <c r="A734" s="548"/>
      <c r="B734" s="548"/>
      <c r="C734" s="548"/>
      <c r="D734" s="548"/>
      <c r="E734" s="548"/>
      <c r="F734" s="549"/>
      <c r="G734" s="548"/>
      <c r="H734" s="548"/>
      <c r="I734" s="548"/>
      <c r="J734" s="548"/>
      <c r="K734" s="548"/>
      <c r="L734" s="548"/>
      <c r="M734" s="548"/>
      <c r="N734" s="548"/>
      <c r="O734" s="548"/>
      <c r="P734" s="548"/>
      <c r="Q734" s="548"/>
      <c r="R734" s="548"/>
      <c r="S734" s="548"/>
      <c r="T734" s="548"/>
      <c r="U734" s="548"/>
      <c r="V734" s="548"/>
      <c r="W734" s="548"/>
      <c r="X734" s="548"/>
      <c r="Y734" s="548"/>
      <c r="Z734" s="548"/>
    </row>
    <row r="735" ht="15.75" customHeight="1">
      <c r="A735" s="548"/>
      <c r="B735" s="548"/>
      <c r="C735" s="548"/>
      <c r="D735" s="548"/>
      <c r="E735" s="548"/>
      <c r="F735" s="549"/>
      <c r="G735" s="548"/>
      <c r="H735" s="548"/>
      <c r="I735" s="548"/>
      <c r="J735" s="548"/>
      <c r="K735" s="548"/>
      <c r="L735" s="548"/>
      <c r="M735" s="548"/>
      <c r="N735" s="548"/>
      <c r="O735" s="548"/>
      <c r="P735" s="548"/>
      <c r="Q735" s="548"/>
      <c r="R735" s="548"/>
      <c r="S735" s="548"/>
      <c r="T735" s="548"/>
      <c r="U735" s="548"/>
      <c r="V735" s="548"/>
      <c r="W735" s="548"/>
      <c r="X735" s="548"/>
      <c r="Y735" s="548"/>
      <c r="Z735" s="548"/>
    </row>
    <row r="736" ht="15.75" customHeight="1">
      <c r="A736" s="548"/>
      <c r="B736" s="548"/>
      <c r="C736" s="548"/>
      <c r="D736" s="548"/>
      <c r="E736" s="548"/>
      <c r="F736" s="549"/>
      <c r="G736" s="548"/>
      <c r="H736" s="548"/>
      <c r="I736" s="548"/>
      <c r="J736" s="548"/>
      <c r="K736" s="548"/>
      <c r="L736" s="548"/>
      <c r="M736" s="548"/>
      <c r="N736" s="548"/>
      <c r="O736" s="548"/>
      <c r="P736" s="548"/>
      <c r="Q736" s="548"/>
      <c r="R736" s="548"/>
      <c r="S736" s="548"/>
      <c r="T736" s="548"/>
      <c r="U736" s="548"/>
      <c r="V736" s="548"/>
      <c r="W736" s="548"/>
      <c r="X736" s="548"/>
      <c r="Y736" s="548"/>
      <c r="Z736" s="548"/>
    </row>
    <row r="737" ht="15.75" customHeight="1">
      <c r="A737" s="548"/>
      <c r="B737" s="548"/>
      <c r="C737" s="548"/>
      <c r="D737" s="548"/>
      <c r="E737" s="548"/>
      <c r="F737" s="549"/>
      <c r="G737" s="548"/>
      <c r="H737" s="548"/>
      <c r="I737" s="548"/>
      <c r="J737" s="548"/>
      <c r="K737" s="548"/>
      <c r="L737" s="548"/>
      <c r="M737" s="548"/>
      <c r="N737" s="548"/>
      <c r="O737" s="548"/>
      <c r="P737" s="548"/>
      <c r="Q737" s="548"/>
      <c r="R737" s="548"/>
      <c r="S737" s="548"/>
      <c r="T737" s="548"/>
      <c r="U737" s="548"/>
      <c r="V737" s="548"/>
      <c r="W737" s="548"/>
      <c r="X737" s="548"/>
      <c r="Y737" s="548"/>
      <c r="Z737" s="548"/>
    </row>
    <row r="738" ht="15.75" customHeight="1">
      <c r="A738" s="548"/>
      <c r="B738" s="548"/>
      <c r="C738" s="548"/>
      <c r="D738" s="548"/>
      <c r="E738" s="548"/>
      <c r="F738" s="549"/>
      <c r="G738" s="548"/>
      <c r="H738" s="548"/>
      <c r="I738" s="548"/>
      <c r="J738" s="548"/>
      <c r="K738" s="548"/>
      <c r="L738" s="548"/>
      <c r="M738" s="548"/>
      <c r="N738" s="548"/>
      <c r="O738" s="548"/>
      <c r="P738" s="548"/>
      <c r="Q738" s="548"/>
      <c r="R738" s="548"/>
      <c r="S738" s="548"/>
      <c r="T738" s="548"/>
      <c r="U738" s="548"/>
      <c r="V738" s="548"/>
      <c r="W738" s="548"/>
      <c r="X738" s="548"/>
      <c r="Y738" s="548"/>
      <c r="Z738" s="548"/>
    </row>
    <row r="739" ht="15.75" customHeight="1">
      <c r="A739" s="548"/>
      <c r="B739" s="548"/>
      <c r="C739" s="548"/>
      <c r="D739" s="548"/>
      <c r="E739" s="548"/>
      <c r="F739" s="549"/>
      <c r="G739" s="548"/>
      <c r="H739" s="548"/>
      <c r="I739" s="548"/>
      <c r="J739" s="548"/>
      <c r="K739" s="548"/>
      <c r="L739" s="548"/>
      <c r="M739" s="548"/>
      <c r="N739" s="548"/>
      <c r="O739" s="548"/>
      <c r="P739" s="548"/>
      <c r="Q739" s="548"/>
      <c r="R739" s="548"/>
      <c r="S739" s="548"/>
      <c r="T739" s="548"/>
      <c r="U739" s="548"/>
      <c r="V739" s="548"/>
      <c r="W739" s="548"/>
      <c r="X739" s="548"/>
      <c r="Y739" s="548"/>
      <c r="Z739" s="548"/>
    </row>
    <row r="740" ht="15.75" customHeight="1">
      <c r="A740" s="548"/>
      <c r="B740" s="548"/>
      <c r="C740" s="548"/>
      <c r="D740" s="548"/>
      <c r="E740" s="548"/>
      <c r="F740" s="549"/>
      <c r="G740" s="548"/>
      <c r="H740" s="548"/>
      <c r="I740" s="548"/>
      <c r="J740" s="548"/>
      <c r="K740" s="548"/>
      <c r="L740" s="548"/>
      <c r="M740" s="548"/>
      <c r="N740" s="548"/>
      <c r="O740" s="548"/>
      <c r="P740" s="548"/>
      <c r="Q740" s="548"/>
      <c r="R740" s="548"/>
      <c r="S740" s="548"/>
      <c r="T740" s="548"/>
      <c r="U740" s="548"/>
      <c r="V740" s="548"/>
      <c r="W740" s="548"/>
      <c r="X740" s="548"/>
      <c r="Y740" s="548"/>
      <c r="Z740" s="548"/>
    </row>
    <row r="741" ht="15.75" customHeight="1">
      <c r="A741" s="548"/>
      <c r="B741" s="548"/>
      <c r="C741" s="548"/>
      <c r="D741" s="548"/>
      <c r="E741" s="548"/>
      <c r="F741" s="549"/>
      <c r="G741" s="548"/>
      <c r="H741" s="548"/>
      <c r="I741" s="548"/>
      <c r="J741" s="548"/>
      <c r="K741" s="548"/>
      <c r="L741" s="548"/>
      <c r="M741" s="548"/>
      <c r="N741" s="548"/>
      <c r="O741" s="548"/>
      <c r="P741" s="548"/>
      <c r="Q741" s="548"/>
      <c r="R741" s="548"/>
      <c r="S741" s="548"/>
      <c r="T741" s="548"/>
      <c r="U741" s="548"/>
      <c r="V741" s="548"/>
      <c r="W741" s="548"/>
      <c r="X741" s="548"/>
      <c r="Y741" s="548"/>
      <c r="Z741" s="548"/>
    </row>
    <row r="742" ht="15.75" customHeight="1">
      <c r="A742" s="548"/>
      <c r="B742" s="548"/>
      <c r="C742" s="548"/>
      <c r="D742" s="548"/>
      <c r="E742" s="548"/>
      <c r="F742" s="549"/>
      <c r="G742" s="548"/>
      <c r="H742" s="548"/>
      <c r="I742" s="548"/>
      <c r="J742" s="548"/>
      <c r="K742" s="548"/>
      <c r="L742" s="548"/>
      <c r="M742" s="548"/>
      <c r="N742" s="548"/>
      <c r="O742" s="548"/>
      <c r="P742" s="548"/>
      <c r="Q742" s="548"/>
      <c r="R742" s="548"/>
      <c r="S742" s="548"/>
      <c r="T742" s="548"/>
      <c r="U742" s="548"/>
      <c r="V742" s="548"/>
      <c r="W742" s="548"/>
      <c r="X742" s="548"/>
      <c r="Y742" s="548"/>
      <c r="Z742" s="548"/>
    </row>
    <row r="743" ht="15.75" customHeight="1">
      <c r="A743" s="548"/>
      <c r="B743" s="548"/>
      <c r="C743" s="548"/>
      <c r="D743" s="548"/>
      <c r="E743" s="548"/>
      <c r="F743" s="549"/>
      <c r="G743" s="548"/>
      <c r="H743" s="548"/>
      <c r="I743" s="548"/>
      <c r="J743" s="548"/>
      <c r="K743" s="548"/>
      <c r="L743" s="548"/>
      <c r="M743" s="548"/>
      <c r="N743" s="548"/>
      <c r="O743" s="548"/>
      <c r="P743" s="548"/>
      <c r="Q743" s="548"/>
      <c r="R743" s="548"/>
      <c r="S743" s="548"/>
      <c r="T743" s="548"/>
      <c r="U743" s="548"/>
      <c r="V743" s="548"/>
      <c r="W743" s="548"/>
      <c r="X743" s="548"/>
      <c r="Y743" s="548"/>
      <c r="Z743" s="548"/>
    </row>
    <row r="744" ht="15.75" customHeight="1">
      <c r="A744" s="548"/>
      <c r="B744" s="548"/>
      <c r="C744" s="548"/>
      <c r="D744" s="548"/>
      <c r="E744" s="548"/>
      <c r="F744" s="549"/>
      <c r="G744" s="548"/>
      <c r="H744" s="548"/>
      <c r="I744" s="548"/>
      <c r="J744" s="548"/>
      <c r="K744" s="548"/>
      <c r="L744" s="548"/>
      <c r="M744" s="548"/>
      <c r="N744" s="548"/>
      <c r="O744" s="548"/>
      <c r="P744" s="548"/>
      <c r="Q744" s="548"/>
      <c r="R744" s="548"/>
      <c r="S744" s="548"/>
      <c r="T744" s="548"/>
      <c r="U744" s="548"/>
      <c r="V744" s="548"/>
      <c r="W744" s="548"/>
      <c r="X744" s="548"/>
      <c r="Y744" s="548"/>
      <c r="Z744" s="548"/>
    </row>
    <row r="745" ht="15.75" customHeight="1">
      <c r="A745" s="548"/>
      <c r="B745" s="548"/>
      <c r="C745" s="548"/>
      <c r="D745" s="548"/>
      <c r="E745" s="548"/>
      <c r="F745" s="549"/>
      <c r="G745" s="548"/>
      <c r="H745" s="548"/>
      <c r="I745" s="548"/>
      <c r="J745" s="548"/>
      <c r="K745" s="548"/>
      <c r="L745" s="548"/>
      <c r="M745" s="548"/>
      <c r="N745" s="548"/>
      <c r="O745" s="548"/>
      <c r="P745" s="548"/>
      <c r="Q745" s="548"/>
      <c r="R745" s="548"/>
      <c r="S745" s="548"/>
      <c r="T745" s="548"/>
      <c r="U745" s="548"/>
      <c r="V745" s="548"/>
      <c r="W745" s="548"/>
      <c r="X745" s="548"/>
      <c r="Y745" s="548"/>
      <c r="Z745" s="548"/>
    </row>
    <row r="746" ht="15.75" customHeight="1">
      <c r="A746" s="548"/>
      <c r="B746" s="548"/>
      <c r="C746" s="548"/>
      <c r="D746" s="548"/>
      <c r="E746" s="548"/>
      <c r="F746" s="549"/>
      <c r="G746" s="548"/>
      <c r="H746" s="548"/>
      <c r="I746" s="548"/>
      <c r="J746" s="548"/>
      <c r="K746" s="548"/>
      <c r="L746" s="548"/>
      <c r="M746" s="548"/>
      <c r="N746" s="548"/>
      <c r="O746" s="548"/>
      <c r="P746" s="548"/>
      <c r="Q746" s="548"/>
      <c r="R746" s="548"/>
      <c r="S746" s="548"/>
      <c r="T746" s="548"/>
      <c r="U746" s="548"/>
      <c r="V746" s="548"/>
      <c r="W746" s="548"/>
      <c r="X746" s="548"/>
      <c r="Y746" s="548"/>
      <c r="Z746" s="548"/>
    </row>
    <row r="747" ht="15.75" customHeight="1">
      <c r="A747" s="548"/>
      <c r="B747" s="548"/>
      <c r="C747" s="548"/>
      <c r="D747" s="548"/>
      <c r="E747" s="548"/>
      <c r="F747" s="549"/>
      <c r="G747" s="548"/>
      <c r="H747" s="548"/>
      <c r="I747" s="548"/>
      <c r="J747" s="548"/>
      <c r="K747" s="548"/>
      <c r="L747" s="548"/>
      <c r="M747" s="548"/>
      <c r="N747" s="548"/>
      <c r="O747" s="548"/>
      <c r="P747" s="548"/>
      <c r="Q747" s="548"/>
      <c r="R747" s="548"/>
      <c r="S747" s="548"/>
      <c r="T747" s="548"/>
      <c r="U747" s="548"/>
      <c r="V747" s="548"/>
      <c r="W747" s="548"/>
      <c r="X747" s="548"/>
      <c r="Y747" s="548"/>
      <c r="Z747" s="548"/>
    </row>
    <row r="748" ht="15.75" customHeight="1">
      <c r="A748" s="548"/>
      <c r="B748" s="548"/>
      <c r="C748" s="548"/>
      <c r="D748" s="548"/>
      <c r="E748" s="548"/>
      <c r="F748" s="549"/>
      <c r="G748" s="548"/>
      <c r="H748" s="548"/>
      <c r="I748" s="548"/>
      <c r="J748" s="548"/>
      <c r="K748" s="548"/>
      <c r="L748" s="548"/>
      <c r="M748" s="548"/>
      <c r="N748" s="548"/>
      <c r="O748" s="548"/>
      <c r="P748" s="548"/>
      <c r="Q748" s="548"/>
      <c r="R748" s="548"/>
      <c r="S748" s="548"/>
      <c r="T748" s="548"/>
      <c r="U748" s="548"/>
      <c r="V748" s="548"/>
      <c r="W748" s="548"/>
      <c r="X748" s="548"/>
      <c r="Y748" s="548"/>
      <c r="Z748" s="548"/>
    </row>
    <row r="749" ht="15.75" customHeight="1">
      <c r="A749" s="548"/>
      <c r="B749" s="548"/>
      <c r="C749" s="548"/>
      <c r="D749" s="548"/>
      <c r="E749" s="548"/>
      <c r="F749" s="549"/>
      <c r="G749" s="548"/>
      <c r="H749" s="548"/>
      <c r="I749" s="548"/>
      <c r="J749" s="548"/>
      <c r="K749" s="548"/>
      <c r="L749" s="548"/>
      <c r="M749" s="548"/>
      <c r="N749" s="548"/>
      <c r="O749" s="548"/>
      <c r="P749" s="548"/>
      <c r="Q749" s="548"/>
      <c r="R749" s="548"/>
      <c r="S749" s="548"/>
      <c r="T749" s="548"/>
      <c r="U749" s="548"/>
      <c r="V749" s="548"/>
      <c r="W749" s="548"/>
      <c r="X749" s="548"/>
      <c r="Y749" s="548"/>
      <c r="Z749" s="548"/>
    </row>
    <row r="750" ht="15.75" customHeight="1">
      <c r="A750" s="548"/>
      <c r="B750" s="548"/>
      <c r="C750" s="548"/>
      <c r="D750" s="548"/>
      <c r="E750" s="548"/>
      <c r="F750" s="549"/>
      <c r="G750" s="548"/>
      <c r="H750" s="548"/>
      <c r="I750" s="548"/>
      <c r="J750" s="548"/>
      <c r="K750" s="548"/>
      <c r="L750" s="548"/>
      <c r="M750" s="548"/>
      <c r="N750" s="548"/>
      <c r="O750" s="548"/>
      <c r="P750" s="548"/>
      <c r="Q750" s="548"/>
      <c r="R750" s="548"/>
      <c r="S750" s="548"/>
      <c r="T750" s="548"/>
      <c r="U750" s="548"/>
      <c r="V750" s="548"/>
      <c r="W750" s="548"/>
      <c r="X750" s="548"/>
      <c r="Y750" s="548"/>
      <c r="Z750" s="548"/>
    </row>
    <row r="751" ht="15.75" customHeight="1">
      <c r="A751" s="548"/>
      <c r="B751" s="548"/>
      <c r="C751" s="548"/>
      <c r="D751" s="548"/>
      <c r="E751" s="548"/>
      <c r="F751" s="549"/>
      <c r="G751" s="548"/>
      <c r="H751" s="548"/>
      <c r="I751" s="548"/>
      <c r="J751" s="548"/>
      <c r="K751" s="548"/>
      <c r="L751" s="548"/>
      <c r="M751" s="548"/>
      <c r="N751" s="548"/>
      <c r="O751" s="548"/>
      <c r="P751" s="548"/>
      <c r="Q751" s="548"/>
      <c r="R751" s="548"/>
      <c r="S751" s="548"/>
      <c r="T751" s="548"/>
      <c r="U751" s="548"/>
      <c r="V751" s="548"/>
      <c r="W751" s="548"/>
      <c r="X751" s="548"/>
      <c r="Y751" s="548"/>
      <c r="Z751" s="548"/>
    </row>
    <row r="752" ht="15.75" customHeight="1">
      <c r="A752" s="548"/>
      <c r="B752" s="548"/>
      <c r="C752" s="548"/>
      <c r="D752" s="548"/>
      <c r="E752" s="548"/>
      <c r="F752" s="549"/>
      <c r="G752" s="548"/>
      <c r="H752" s="548"/>
      <c r="I752" s="548"/>
      <c r="J752" s="548"/>
      <c r="K752" s="548"/>
      <c r="L752" s="548"/>
      <c r="M752" s="548"/>
      <c r="N752" s="548"/>
      <c r="O752" s="548"/>
      <c r="P752" s="548"/>
      <c r="Q752" s="548"/>
      <c r="R752" s="548"/>
      <c r="S752" s="548"/>
      <c r="T752" s="548"/>
      <c r="U752" s="548"/>
      <c r="V752" s="548"/>
      <c r="W752" s="548"/>
      <c r="X752" s="548"/>
      <c r="Y752" s="548"/>
      <c r="Z752" s="548"/>
    </row>
    <row r="753" ht="15.75" customHeight="1">
      <c r="A753" s="548"/>
      <c r="B753" s="548"/>
      <c r="C753" s="548"/>
      <c r="D753" s="548"/>
      <c r="E753" s="548"/>
      <c r="F753" s="549"/>
      <c r="G753" s="548"/>
      <c r="H753" s="548"/>
      <c r="I753" s="548"/>
      <c r="J753" s="548"/>
      <c r="K753" s="548"/>
      <c r="L753" s="548"/>
      <c r="M753" s="548"/>
      <c r="N753" s="548"/>
      <c r="O753" s="548"/>
      <c r="P753" s="548"/>
      <c r="Q753" s="548"/>
      <c r="R753" s="548"/>
      <c r="S753" s="548"/>
      <c r="T753" s="548"/>
      <c r="U753" s="548"/>
      <c r="V753" s="548"/>
      <c r="W753" s="548"/>
      <c r="X753" s="548"/>
      <c r="Y753" s="548"/>
      <c r="Z753" s="548"/>
    </row>
    <row r="754" ht="15.75" customHeight="1">
      <c r="A754" s="548"/>
      <c r="B754" s="548"/>
      <c r="C754" s="548"/>
      <c r="D754" s="548"/>
      <c r="E754" s="548"/>
      <c r="F754" s="549"/>
      <c r="G754" s="548"/>
      <c r="H754" s="548"/>
      <c r="I754" s="548"/>
      <c r="J754" s="548"/>
      <c r="K754" s="548"/>
      <c r="L754" s="548"/>
      <c r="M754" s="548"/>
      <c r="N754" s="548"/>
      <c r="O754" s="548"/>
      <c r="P754" s="548"/>
      <c r="Q754" s="548"/>
      <c r="R754" s="548"/>
      <c r="S754" s="548"/>
      <c r="T754" s="548"/>
      <c r="U754" s="548"/>
      <c r="V754" s="548"/>
      <c r="W754" s="548"/>
      <c r="X754" s="548"/>
      <c r="Y754" s="548"/>
      <c r="Z754" s="548"/>
    </row>
    <row r="755" ht="15.75" customHeight="1">
      <c r="A755" s="548"/>
      <c r="B755" s="548"/>
      <c r="C755" s="548"/>
      <c r="D755" s="548"/>
      <c r="E755" s="548"/>
      <c r="F755" s="549"/>
      <c r="G755" s="548"/>
      <c r="H755" s="548"/>
      <c r="I755" s="548"/>
      <c r="J755" s="548"/>
      <c r="K755" s="548"/>
      <c r="L755" s="548"/>
      <c r="M755" s="548"/>
      <c r="N755" s="548"/>
      <c r="O755" s="548"/>
      <c r="P755" s="548"/>
      <c r="Q755" s="548"/>
      <c r="R755" s="548"/>
      <c r="S755" s="548"/>
      <c r="T755" s="548"/>
      <c r="U755" s="548"/>
      <c r="V755" s="548"/>
      <c r="W755" s="548"/>
      <c r="X755" s="548"/>
      <c r="Y755" s="548"/>
      <c r="Z755" s="548"/>
    </row>
    <row r="756" ht="15.75" customHeight="1">
      <c r="A756" s="548"/>
      <c r="B756" s="548"/>
      <c r="C756" s="548"/>
      <c r="D756" s="548"/>
      <c r="E756" s="548"/>
      <c r="F756" s="549"/>
      <c r="G756" s="548"/>
      <c r="H756" s="548"/>
      <c r="I756" s="548"/>
      <c r="J756" s="548"/>
      <c r="K756" s="548"/>
      <c r="L756" s="548"/>
      <c r="M756" s="548"/>
      <c r="N756" s="548"/>
      <c r="O756" s="548"/>
      <c r="P756" s="548"/>
      <c r="Q756" s="548"/>
      <c r="R756" s="548"/>
      <c r="S756" s="548"/>
      <c r="T756" s="548"/>
      <c r="U756" s="548"/>
      <c r="V756" s="548"/>
      <c r="W756" s="548"/>
      <c r="X756" s="548"/>
      <c r="Y756" s="548"/>
      <c r="Z756" s="548"/>
    </row>
    <row r="757" ht="15.75" customHeight="1">
      <c r="A757" s="548"/>
      <c r="B757" s="548"/>
      <c r="C757" s="548"/>
      <c r="D757" s="548"/>
      <c r="E757" s="548"/>
      <c r="F757" s="549"/>
      <c r="G757" s="548"/>
      <c r="H757" s="548"/>
      <c r="I757" s="548"/>
      <c r="J757" s="548"/>
      <c r="K757" s="548"/>
      <c r="L757" s="548"/>
      <c r="M757" s="548"/>
      <c r="N757" s="548"/>
      <c r="O757" s="548"/>
      <c r="P757" s="548"/>
      <c r="Q757" s="548"/>
      <c r="R757" s="548"/>
      <c r="S757" s="548"/>
      <c r="T757" s="548"/>
      <c r="U757" s="548"/>
      <c r="V757" s="548"/>
      <c r="W757" s="548"/>
      <c r="X757" s="548"/>
      <c r="Y757" s="548"/>
      <c r="Z757" s="548"/>
    </row>
    <row r="758" ht="15.75" customHeight="1">
      <c r="A758" s="548"/>
      <c r="B758" s="548"/>
      <c r="C758" s="548"/>
      <c r="D758" s="548"/>
      <c r="E758" s="548"/>
      <c r="F758" s="549"/>
      <c r="G758" s="548"/>
      <c r="H758" s="548"/>
      <c r="I758" s="548"/>
      <c r="J758" s="548"/>
      <c r="K758" s="548"/>
      <c r="L758" s="548"/>
      <c r="M758" s="548"/>
      <c r="N758" s="548"/>
      <c r="O758" s="548"/>
      <c r="P758" s="548"/>
      <c r="Q758" s="548"/>
      <c r="R758" s="548"/>
      <c r="S758" s="548"/>
      <c r="T758" s="548"/>
      <c r="U758" s="548"/>
      <c r="V758" s="548"/>
      <c r="W758" s="548"/>
      <c r="X758" s="548"/>
      <c r="Y758" s="548"/>
      <c r="Z758" s="548"/>
    </row>
    <row r="759" ht="15.75" customHeight="1">
      <c r="A759" s="548"/>
      <c r="B759" s="548"/>
      <c r="C759" s="548"/>
      <c r="D759" s="548"/>
      <c r="E759" s="548"/>
      <c r="F759" s="549"/>
      <c r="G759" s="548"/>
      <c r="H759" s="548"/>
      <c r="I759" s="548"/>
      <c r="J759" s="548"/>
      <c r="K759" s="548"/>
      <c r="L759" s="548"/>
      <c r="M759" s="548"/>
      <c r="N759" s="548"/>
      <c r="O759" s="548"/>
      <c r="P759" s="548"/>
      <c r="Q759" s="548"/>
      <c r="R759" s="548"/>
      <c r="S759" s="548"/>
      <c r="T759" s="548"/>
      <c r="U759" s="548"/>
      <c r="V759" s="548"/>
      <c r="W759" s="548"/>
      <c r="X759" s="548"/>
      <c r="Y759" s="548"/>
      <c r="Z759" s="548"/>
    </row>
    <row r="760" ht="15.75" customHeight="1">
      <c r="A760" s="548"/>
      <c r="B760" s="548"/>
      <c r="C760" s="548"/>
      <c r="D760" s="548"/>
      <c r="E760" s="548"/>
      <c r="F760" s="549"/>
      <c r="G760" s="548"/>
      <c r="H760" s="548"/>
      <c r="I760" s="548"/>
      <c r="J760" s="548"/>
      <c r="K760" s="548"/>
      <c r="L760" s="548"/>
      <c r="M760" s="548"/>
      <c r="N760" s="548"/>
      <c r="O760" s="548"/>
      <c r="P760" s="548"/>
      <c r="Q760" s="548"/>
      <c r="R760" s="548"/>
      <c r="S760" s="548"/>
      <c r="T760" s="548"/>
      <c r="U760" s="548"/>
      <c r="V760" s="548"/>
      <c r="W760" s="548"/>
      <c r="X760" s="548"/>
      <c r="Y760" s="548"/>
      <c r="Z760" s="548"/>
    </row>
    <row r="761" ht="15.75" customHeight="1">
      <c r="A761" s="548"/>
      <c r="B761" s="548"/>
      <c r="C761" s="548"/>
      <c r="D761" s="548"/>
      <c r="E761" s="548"/>
      <c r="F761" s="549"/>
      <c r="G761" s="548"/>
      <c r="H761" s="548"/>
      <c r="I761" s="548"/>
      <c r="J761" s="548"/>
      <c r="K761" s="548"/>
      <c r="L761" s="548"/>
      <c r="M761" s="548"/>
      <c r="N761" s="548"/>
      <c r="O761" s="548"/>
      <c r="P761" s="548"/>
      <c r="Q761" s="548"/>
      <c r="R761" s="548"/>
      <c r="S761" s="548"/>
      <c r="T761" s="548"/>
      <c r="U761" s="548"/>
      <c r="V761" s="548"/>
      <c r="W761" s="548"/>
      <c r="X761" s="548"/>
      <c r="Y761" s="548"/>
      <c r="Z761" s="548"/>
    </row>
    <row r="762" ht="15.75" customHeight="1">
      <c r="A762" s="548"/>
      <c r="B762" s="548"/>
      <c r="C762" s="548"/>
      <c r="D762" s="548"/>
      <c r="E762" s="548"/>
      <c r="F762" s="549"/>
      <c r="G762" s="548"/>
      <c r="H762" s="548"/>
      <c r="I762" s="548"/>
      <c r="J762" s="548"/>
      <c r="K762" s="548"/>
      <c r="L762" s="548"/>
      <c r="M762" s="548"/>
      <c r="N762" s="548"/>
      <c r="O762" s="548"/>
      <c r="P762" s="548"/>
      <c r="Q762" s="548"/>
      <c r="R762" s="548"/>
      <c r="S762" s="548"/>
      <c r="T762" s="548"/>
      <c r="U762" s="548"/>
      <c r="V762" s="548"/>
      <c r="W762" s="548"/>
      <c r="X762" s="548"/>
      <c r="Y762" s="548"/>
      <c r="Z762" s="548"/>
    </row>
    <row r="763" ht="15.75" customHeight="1">
      <c r="A763" s="548"/>
      <c r="B763" s="548"/>
      <c r="C763" s="548"/>
      <c r="D763" s="548"/>
      <c r="E763" s="548"/>
      <c r="F763" s="549"/>
      <c r="G763" s="548"/>
      <c r="H763" s="548"/>
      <c r="I763" s="548"/>
      <c r="J763" s="548"/>
      <c r="K763" s="548"/>
      <c r="L763" s="548"/>
      <c r="M763" s="548"/>
      <c r="N763" s="548"/>
      <c r="O763" s="548"/>
      <c r="P763" s="548"/>
      <c r="Q763" s="548"/>
      <c r="R763" s="548"/>
      <c r="S763" s="548"/>
      <c r="T763" s="548"/>
      <c r="U763" s="548"/>
      <c r="V763" s="548"/>
      <c r="W763" s="548"/>
      <c r="X763" s="548"/>
      <c r="Y763" s="548"/>
      <c r="Z763" s="548"/>
    </row>
    <row r="764" ht="15.75" customHeight="1">
      <c r="A764" s="548"/>
      <c r="B764" s="548"/>
      <c r="C764" s="548"/>
      <c r="D764" s="548"/>
      <c r="E764" s="548"/>
      <c r="F764" s="549"/>
      <c r="G764" s="548"/>
      <c r="H764" s="548"/>
      <c r="I764" s="548"/>
      <c r="J764" s="548"/>
      <c r="K764" s="548"/>
      <c r="L764" s="548"/>
      <c r="M764" s="548"/>
      <c r="N764" s="548"/>
      <c r="O764" s="548"/>
      <c r="P764" s="548"/>
      <c r="Q764" s="548"/>
      <c r="R764" s="548"/>
      <c r="S764" s="548"/>
      <c r="T764" s="548"/>
      <c r="U764" s="548"/>
      <c r="V764" s="548"/>
      <c r="W764" s="548"/>
      <c r="X764" s="548"/>
      <c r="Y764" s="548"/>
      <c r="Z764" s="548"/>
    </row>
    <row r="765" ht="15.75" customHeight="1">
      <c r="A765" s="548"/>
      <c r="B765" s="548"/>
      <c r="C765" s="548"/>
      <c r="D765" s="548"/>
      <c r="E765" s="548"/>
      <c r="F765" s="549"/>
      <c r="G765" s="548"/>
      <c r="H765" s="548"/>
      <c r="I765" s="548"/>
      <c r="J765" s="548"/>
      <c r="K765" s="548"/>
      <c r="L765" s="548"/>
      <c r="M765" s="548"/>
      <c r="N765" s="548"/>
      <c r="O765" s="548"/>
      <c r="P765" s="548"/>
      <c r="Q765" s="548"/>
      <c r="R765" s="548"/>
      <c r="S765" s="548"/>
      <c r="T765" s="548"/>
      <c r="U765" s="548"/>
      <c r="V765" s="548"/>
      <c r="W765" s="548"/>
      <c r="X765" s="548"/>
      <c r="Y765" s="548"/>
      <c r="Z765" s="548"/>
    </row>
    <row r="766" ht="15.75" customHeight="1">
      <c r="A766" s="548"/>
      <c r="B766" s="548"/>
      <c r="C766" s="548"/>
      <c r="D766" s="548"/>
      <c r="E766" s="548"/>
      <c r="F766" s="549"/>
      <c r="G766" s="548"/>
      <c r="H766" s="548"/>
      <c r="I766" s="548"/>
      <c r="J766" s="548"/>
      <c r="K766" s="548"/>
      <c r="L766" s="548"/>
      <c r="M766" s="548"/>
      <c r="N766" s="548"/>
      <c r="O766" s="548"/>
      <c r="P766" s="548"/>
      <c r="Q766" s="548"/>
      <c r="R766" s="548"/>
      <c r="S766" s="548"/>
      <c r="T766" s="548"/>
      <c r="U766" s="548"/>
      <c r="V766" s="548"/>
      <c r="W766" s="548"/>
      <c r="X766" s="548"/>
      <c r="Y766" s="548"/>
      <c r="Z766" s="548"/>
    </row>
    <row r="767" ht="15.75" customHeight="1">
      <c r="A767" s="548"/>
      <c r="B767" s="548"/>
      <c r="C767" s="548"/>
      <c r="D767" s="548"/>
      <c r="E767" s="548"/>
      <c r="F767" s="549"/>
      <c r="G767" s="548"/>
      <c r="H767" s="548"/>
      <c r="I767" s="548"/>
      <c r="J767" s="548"/>
      <c r="K767" s="548"/>
      <c r="L767" s="548"/>
      <c r="M767" s="548"/>
      <c r="N767" s="548"/>
      <c r="O767" s="548"/>
      <c r="P767" s="548"/>
      <c r="Q767" s="548"/>
      <c r="R767" s="548"/>
      <c r="S767" s="548"/>
      <c r="T767" s="548"/>
      <c r="U767" s="548"/>
      <c r="V767" s="548"/>
      <c r="W767" s="548"/>
      <c r="X767" s="548"/>
      <c r="Y767" s="548"/>
      <c r="Z767" s="548"/>
    </row>
    <row r="768" ht="15.75" customHeight="1">
      <c r="A768" s="548"/>
      <c r="B768" s="548"/>
      <c r="C768" s="548"/>
      <c r="D768" s="548"/>
      <c r="E768" s="548"/>
      <c r="F768" s="549"/>
      <c r="G768" s="548"/>
      <c r="H768" s="548"/>
      <c r="I768" s="548"/>
      <c r="J768" s="548"/>
      <c r="K768" s="548"/>
      <c r="L768" s="548"/>
      <c r="M768" s="548"/>
      <c r="N768" s="548"/>
      <c r="O768" s="548"/>
      <c r="P768" s="548"/>
      <c r="Q768" s="548"/>
      <c r="R768" s="548"/>
      <c r="S768" s="548"/>
      <c r="T768" s="548"/>
      <c r="U768" s="548"/>
      <c r="V768" s="548"/>
      <c r="W768" s="548"/>
      <c r="X768" s="548"/>
      <c r="Y768" s="548"/>
      <c r="Z768" s="548"/>
    </row>
    <row r="769" ht="15.75" customHeight="1">
      <c r="A769" s="548"/>
      <c r="B769" s="548"/>
      <c r="C769" s="548"/>
      <c r="D769" s="548"/>
      <c r="E769" s="548"/>
      <c r="F769" s="549"/>
      <c r="G769" s="548"/>
      <c r="H769" s="548"/>
      <c r="I769" s="548"/>
      <c r="J769" s="548"/>
      <c r="K769" s="548"/>
      <c r="L769" s="548"/>
      <c r="M769" s="548"/>
      <c r="N769" s="548"/>
      <c r="O769" s="548"/>
      <c r="P769" s="548"/>
      <c r="Q769" s="548"/>
      <c r="R769" s="548"/>
      <c r="S769" s="548"/>
      <c r="T769" s="548"/>
      <c r="U769" s="548"/>
      <c r="V769" s="548"/>
      <c r="W769" s="548"/>
      <c r="X769" s="548"/>
      <c r="Y769" s="548"/>
      <c r="Z769" s="548"/>
    </row>
    <row r="770" ht="15.75" customHeight="1">
      <c r="A770" s="548"/>
      <c r="B770" s="548"/>
      <c r="C770" s="548"/>
      <c r="D770" s="548"/>
      <c r="E770" s="548"/>
      <c r="F770" s="549"/>
      <c r="G770" s="548"/>
      <c r="H770" s="548"/>
      <c r="I770" s="548"/>
      <c r="J770" s="548"/>
      <c r="K770" s="548"/>
      <c r="L770" s="548"/>
      <c r="M770" s="548"/>
      <c r="N770" s="548"/>
      <c r="O770" s="548"/>
      <c r="P770" s="548"/>
      <c r="Q770" s="548"/>
      <c r="R770" s="548"/>
      <c r="S770" s="548"/>
      <c r="T770" s="548"/>
      <c r="U770" s="548"/>
      <c r="V770" s="548"/>
      <c r="W770" s="548"/>
      <c r="X770" s="548"/>
      <c r="Y770" s="548"/>
      <c r="Z770" s="548"/>
    </row>
    <row r="771" ht="15.75" customHeight="1">
      <c r="A771" s="548"/>
      <c r="B771" s="548"/>
      <c r="C771" s="548"/>
      <c r="D771" s="548"/>
      <c r="E771" s="548"/>
      <c r="F771" s="549"/>
      <c r="G771" s="548"/>
      <c r="H771" s="548"/>
      <c r="I771" s="548"/>
      <c r="J771" s="548"/>
      <c r="K771" s="548"/>
      <c r="L771" s="548"/>
      <c r="M771" s="548"/>
      <c r="N771" s="548"/>
      <c r="O771" s="548"/>
      <c r="P771" s="548"/>
      <c r="Q771" s="548"/>
      <c r="R771" s="548"/>
      <c r="S771" s="548"/>
      <c r="T771" s="548"/>
      <c r="U771" s="548"/>
      <c r="V771" s="548"/>
      <c r="W771" s="548"/>
      <c r="X771" s="548"/>
      <c r="Y771" s="548"/>
      <c r="Z771" s="548"/>
    </row>
    <row r="772" ht="15.75" customHeight="1">
      <c r="A772" s="548"/>
      <c r="B772" s="548"/>
      <c r="C772" s="548"/>
      <c r="D772" s="548"/>
      <c r="E772" s="548"/>
      <c r="F772" s="549"/>
      <c r="G772" s="548"/>
      <c r="H772" s="548"/>
      <c r="I772" s="548"/>
      <c r="J772" s="548"/>
      <c r="K772" s="548"/>
      <c r="L772" s="548"/>
      <c r="M772" s="548"/>
      <c r="N772" s="548"/>
      <c r="O772" s="548"/>
      <c r="P772" s="548"/>
      <c r="Q772" s="548"/>
      <c r="R772" s="548"/>
      <c r="S772" s="548"/>
      <c r="T772" s="548"/>
      <c r="U772" s="548"/>
      <c r="V772" s="548"/>
      <c r="W772" s="548"/>
      <c r="X772" s="548"/>
      <c r="Y772" s="548"/>
      <c r="Z772" s="548"/>
    </row>
    <row r="773" ht="15.75" customHeight="1">
      <c r="A773" s="548"/>
      <c r="B773" s="548"/>
      <c r="C773" s="548"/>
      <c r="D773" s="548"/>
      <c r="E773" s="548"/>
      <c r="F773" s="549"/>
      <c r="G773" s="548"/>
      <c r="H773" s="548"/>
      <c r="I773" s="548"/>
      <c r="J773" s="548"/>
      <c r="K773" s="548"/>
      <c r="L773" s="548"/>
      <c r="M773" s="548"/>
      <c r="N773" s="548"/>
      <c r="O773" s="548"/>
      <c r="P773" s="548"/>
      <c r="Q773" s="548"/>
      <c r="R773" s="548"/>
      <c r="S773" s="548"/>
      <c r="T773" s="548"/>
      <c r="U773" s="548"/>
      <c r="V773" s="548"/>
      <c r="W773" s="548"/>
      <c r="X773" s="548"/>
      <c r="Y773" s="548"/>
      <c r="Z773" s="548"/>
    </row>
    <row r="774" ht="15.75" customHeight="1">
      <c r="A774" s="548"/>
      <c r="B774" s="548"/>
      <c r="C774" s="548"/>
      <c r="D774" s="548"/>
      <c r="E774" s="548"/>
      <c r="F774" s="549"/>
      <c r="G774" s="548"/>
      <c r="H774" s="548"/>
      <c r="I774" s="548"/>
      <c r="J774" s="548"/>
      <c r="K774" s="548"/>
      <c r="L774" s="548"/>
      <c r="M774" s="548"/>
      <c r="N774" s="548"/>
      <c r="O774" s="548"/>
      <c r="P774" s="548"/>
      <c r="Q774" s="548"/>
      <c r="R774" s="548"/>
      <c r="S774" s="548"/>
      <c r="T774" s="548"/>
      <c r="U774" s="548"/>
      <c r="V774" s="548"/>
      <c r="W774" s="548"/>
      <c r="X774" s="548"/>
      <c r="Y774" s="548"/>
      <c r="Z774" s="548"/>
    </row>
    <row r="775" ht="15.75" customHeight="1">
      <c r="A775" s="548"/>
      <c r="B775" s="548"/>
      <c r="C775" s="548"/>
      <c r="D775" s="548"/>
      <c r="E775" s="548"/>
      <c r="F775" s="549"/>
      <c r="G775" s="548"/>
      <c r="H775" s="548"/>
      <c r="I775" s="548"/>
      <c r="J775" s="548"/>
      <c r="K775" s="548"/>
      <c r="L775" s="548"/>
      <c r="M775" s="548"/>
      <c r="N775" s="548"/>
      <c r="O775" s="548"/>
      <c r="P775" s="548"/>
      <c r="Q775" s="548"/>
      <c r="R775" s="548"/>
      <c r="S775" s="548"/>
      <c r="T775" s="548"/>
      <c r="U775" s="548"/>
      <c r="V775" s="548"/>
      <c r="W775" s="548"/>
      <c r="X775" s="548"/>
      <c r="Y775" s="548"/>
      <c r="Z775" s="548"/>
    </row>
    <row r="776" ht="15.75" customHeight="1">
      <c r="A776" s="548"/>
      <c r="B776" s="548"/>
      <c r="C776" s="548"/>
      <c r="D776" s="548"/>
      <c r="E776" s="548"/>
      <c r="F776" s="549"/>
      <c r="G776" s="548"/>
      <c r="H776" s="548"/>
      <c r="I776" s="548"/>
      <c r="J776" s="548"/>
      <c r="K776" s="548"/>
      <c r="L776" s="548"/>
      <c r="M776" s="548"/>
      <c r="N776" s="548"/>
      <c r="O776" s="548"/>
      <c r="P776" s="548"/>
      <c r="Q776" s="548"/>
      <c r="R776" s="548"/>
      <c r="S776" s="548"/>
      <c r="T776" s="548"/>
      <c r="U776" s="548"/>
      <c r="V776" s="548"/>
      <c r="W776" s="548"/>
      <c r="X776" s="548"/>
      <c r="Y776" s="548"/>
      <c r="Z776" s="548"/>
    </row>
    <row r="777" ht="15.75" customHeight="1">
      <c r="A777" s="548"/>
      <c r="B777" s="548"/>
      <c r="C777" s="548"/>
      <c r="D777" s="548"/>
      <c r="E777" s="548"/>
      <c r="F777" s="549"/>
      <c r="G777" s="548"/>
      <c r="H777" s="548"/>
      <c r="I777" s="548"/>
      <c r="J777" s="548"/>
      <c r="K777" s="548"/>
      <c r="L777" s="548"/>
      <c r="M777" s="548"/>
      <c r="N777" s="548"/>
      <c r="O777" s="548"/>
      <c r="P777" s="548"/>
      <c r="Q777" s="548"/>
      <c r="R777" s="548"/>
      <c r="S777" s="548"/>
      <c r="T777" s="548"/>
      <c r="U777" s="548"/>
      <c r="V777" s="548"/>
      <c r="W777" s="548"/>
      <c r="X777" s="548"/>
      <c r="Y777" s="548"/>
      <c r="Z777" s="548"/>
    </row>
    <row r="778" ht="15.75" customHeight="1">
      <c r="A778" s="548"/>
      <c r="B778" s="548"/>
      <c r="C778" s="548"/>
      <c r="D778" s="548"/>
      <c r="E778" s="548"/>
      <c r="F778" s="549"/>
      <c r="G778" s="548"/>
      <c r="H778" s="548"/>
      <c r="I778" s="548"/>
      <c r="J778" s="548"/>
      <c r="K778" s="548"/>
      <c r="L778" s="548"/>
      <c r="M778" s="548"/>
      <c r="N778" s="548"/>
      <c r="O778" s="548"/>
      <c r="P778" s="548"/>
      <c r="Q778" s="548"/>
      <c r="R778" s="548"/>
      <c r="S778" s="548"/>
      <c r="T778" s="548"/>
      <c r="U778" s="548"/>
      <c r="V778" s="548"/>
      <c r="W778" s="548"/>
      <c r="X778" s="548"/>
      <c r="Y778" s="548"/>
      <c r="Z778" s="548"/>
    </row>
    <row r="779" ht="15.75" customHeight="1">
      <c r="A779" s="548"/>
      <c r="B779" s="548"/>
      <c r="C779" s="548"/>
      <c r="D779" s="548"/>
      <c r="E779" s="548"/>
      <c r="F779" s="549"/>
      <c r="G779" s="548"/>
      <c r="H779" s="548"/>
      <c r="I779" s="548"/>
      <c r="J779" s="548"/>
      <c r="K779" s="548"/>
      <c r="L779" s="548"/>
      <c r="M779" s="548"/>
      <c r="N779" s="548"/>
      <c r="O779" s="548"/>
      <c r="P779" s="548"/>
      <c r="Q779" s="548"/>
      <c r="R779" s="548"/>
      <c r="S779" s="548"/>
      <c r="T779" s="548"/>
      <c r="U779" s="548"/>
      <c r="V779" s="548"/>
      <c r="W779" s="548"/>
      <c r="X779" s="548"/>
      <c r="Y779" s="548"/>
      <c r="Z779" s="548"/>
    </row>
    <row r="780" ht="15.75" customHeight="1">
      <c r="A780" s="548"/>
      <c r="B780" s="548"/>
      <c r="C780" s="548"/>
      <c r="D780" s="548"/>
      <c r="E780" s="548"/>
      <c r="F780" s="549"/>
      <c r="G780" s="548"/>
      <c r="H780" s="548"/>
      <c r="I780" s="548"/>
      <c r="J780" s="548"/>
      <c r="K780" s="548"/>
      <c r="L780" s="548"/>
      <c r="M780" s="548"/>
      <c r="N780" s="548"/>
      <c r="O780" s="548"/>
      <c r="P780" s="548"/>
      <c r="Q780" s="548"/>
      <c r="R780" s="548"/>
      <c r="S780" s="548"/>
      <c r="T780" s="548"/>
      <c r="U780" s="548"/>
      <c r="V780" s="548"/>
      <c r="W780" s="548"/>
      <c r="X780" s="548"/>
      <c r="Y780" s="548"/>
      <c r="Z780" s="548"/>
    </row>
    <row r="781" ht="15.75" customHeight="1">
      <c r="A781" s="548"/>
      <c r="B781" s="548"/>
      <c r="C781" s="548"/>
      <c r="D781" s="548"/>
      <c r="E781" s="548"/>
      <c r="F781" s="549"/>
      <c r="G781" s="548"/>
      <c r="H781" s="548"/>
      <c r="I781" s="548"/>
      <c r="J781" s="548"/>
      <c r="K781" s="548"/>
      <c r="L781" s="548"/>
      <c r="M781" s="548"/>
      <c r="N781" s="548"/>
      <c r="O781" s="548"/>
      <c r="P781" s="548"/>
      <c r="Q781" s="548"/>
      <c r="R781" s="548"/>
      <c r="S781" s="548"/>
      <c r="T781" s="548"/>
      <c r="U781" s="548"/>
      <c r="V781" s="548"/>
      <c r="W781" s="548"/>
      <c r="X781" s="548"/>
      <c r="Y781" s="548"/>
      <c r="Z781" s="548"/>
    </row>
    <row r="782" ht="15.75" customHeight="1">
      <c r="A782" s="548"/>
      <c r="B782" s="548"/>
      <c r="C782" s="548"/>
      <c r="D782" s="548"/>
      <c r="E782" s="548"/>
      <c r="F782" s="549"/>
      <c r="G782" s="548"/>
      <c r="H782" s="548"/>
      <c r="I782" s="548"/>
      <c r="J782" s="548"/>
      <c r="K782" s="548"/>
      <c r="L782" s="548"/>
      <c r="M782" s="548"/>
      <c r="N782" s="548"/>
      <c r="O782" s="548"/>
      <c r="P782" s="548"/>
      <c r="Q782" s="548"/>
      <c r="R782" s="548"/>
      <c r="S782" s="548"/>
      <c r="T782" s="548"/>
      <c r="U782" s="548"/>
      <c r="V782" s="548"/>
      <c r="W782" s="548"/>
      <c r="X782" s="548"/>
      <c r="Y782" s="548"/>
      <c r="Z782" s="548"/>
    </row>
    <row r="783" ht="15.75" customHeight="1">
      <c r="A783" s="548"/>
      <c r="B783" s="548"/>
      <c r="C783" s="548"/>
      <c r="D783" s="548"/>
      <c r="E783" s="548"/>
      <c r="F783" s="549"/>
      <c r="G783" s="548"/>
      <c r="H783" s="548"/>
      <c r="I783" s="548"/>
      <c r="J783" s="548"/>
      <c r="K783" s="548"/>
      <c r="L783" s="548"/>
      <c r="M783" s="548"/>
      <c r="N783" s="548"/>
      <c r="O783" s="548"/>
      <c r="P783" s="548"/>
      <c r="Q783" s="548"/>
      <c r="R783" s="548"/>
      <c r="S783" s="548"/>
      <c r="T783" s="548"/>
      <c r="U783" s="548"/>
      <c r="V783" s="548"/>
      <c r="W783" s="548"/>
      <c r="X783" s="548"/>
      <c r="Y783" s="548"/>
      <c r="Z783" s="548"/>
    </row>
    <row r="784" ht="15.75" customHeight="1">
      <c r="A784" s="548"/>
      <c r="B784" s="548"/>
      <c r="C784" s="548"/>
      <c r="D784" s="548"/>
      <c r="E784" s="548"/>
      <c r="F784" s="549"/>
      <c r="G784" s="548"/>
      <c r="H784" s="548"/>
      <c r="I784" s="548"/>
      <c r="J784" s="548"/>
      <c r="K784" s="548"/>
      <c r="L784" s="548"/>
      <c r="M784" s="548"/>
      <c r="N784" s="548"/>
      <c r="O784" s="548"/>
      <c r="P784" s="548"/>
      <c r="Q784" s="548"/>
      <c r="R784" s="548"/>
      <c r="S784" s="548"/>
      <c r="T784" s="548"/>
      <c r="U784" s="548"/>
      <c r="V784" s="548"/>
      <c r="W784" s="548"/>
      <c r="X784" s="548"/>
      <c r="Y784" s="548"/>
      <c r="Z784" s="548"/>
    </row>
    <row r="785" ht="15.75" customHeight="1">
      <c r="A785" s="548"/>
      <c r="B785" s="548"/>
      <c r="C785" s="548"/>
      <c r="D785" s="548"/>
      <c r="E785" s="548"/>
      <c r="F785" s="549"/>
      <c r="G785" s="548"/>
      <c r="H785" s="548"/>
      <c r="I785" s="548"/>
      <c r="J785" s="548"/>
      <c r="K785" s="548"/>
      <c r="L785" s="548"/>
      <c r="M785" s="548"/>
      <c r="N785" s="548"/>
      <c r="O785" s="548"/>
      <c r="P785" s="548"/>
      <c r="Q785" s="548"/>
      <c r="R785" s="548"/>
      <c r="S785" s="548"/>
      <c r="T785" s="548"/>
      <c r="U785" s="548"/>
      <c r="V785" s="548"/>
      <c r="W785" s="548"/>
      <c r="X785" s="548"/>
      <c r="Y785" s="548"/>
      <c r="Z785" s="548"/>
    </row>
    <row r="786" ht="15.75" customHeight="1">
      <c r="A786" s="548"/>
      <c r="B786" s="548"/>
      <c r="C786" s="548"/>
      <c r="D786" s="548"/>
      <c r="E786" s="548"/>
      <c r="F786" s="549"/>
      <c r="G786" s="548"/>
      <c r="H786" s="548"/>
      <c r="I786" s="548"/>
      <c r="J786" s="548"/>
      <c r="K786" s="548"/>
      <c r="L786" s="548"/>
      <c r="M786" s="548"/>
      <c r="N786" s="548"/>
      <c r="O786" s="548"/>
      <c r="P786" s="548"/>
      <c r="Q786" s="548"/>
      <c r="R786" s="548"/>
      <c r="S786" s="548"/>
      <c r="T786" s="548"/>
      <c r="U786" s="548"/>
      <c r="V786" s="548"/>
      <c r="W786" s="548"/>
      <c r="X786" s="548"/>
      <c r="Y786" s="548"/>
      <c r="Z786" s="548"/>
    </row>
    <row r="787" ht="15.75" customHeight="1">
      <c r="A787" s="548"/>
      <c r="B787" s="548"/>
      <c r="C787" s="548"/>
      <c r="D787" s="548"/>
      <c r="E787" s="548"/>
      <c r="F787" s="549"/>
      <c r="G787" s="548"/>
      <c r="H787" s="548"/>
      <c r="I787" s="548"/>
      <c r="J787" s="548"/>
      <c r="K787" s="548"/>
      <c r="L787" s="548"/>
      <c r="M787" s="548"/>
      <c r="N787" s="548"/>
      <c r="O787" s="548"/>
      <c r="P787" s="548"/>
      <c r="Q787" s="548"/>
      <c r="R787" s="548"/>
      <c r="S787" s="548"/>
      <c r="T787" s="548"/>
      <c r="U787" s="548"/>
      <c r="V787" s="548"/>
      <c r="W787" s="548"/>
      <c r="X787" s="548"/>
      <c r="Y787" s="548"/>
      <c r="Z787" s="548"/>
    </row>
    <row r="788" ht="15.75" customHeight="1">
      <c r="A788" s="548"/>
      <c r="B788" s="548"/>
      <c r="C788" s="548"/>
      <c r="D788" s="548"/>
      <c r="E788" s="548"/>
      <c r="F788" s="549"/>
      <c r="G788" s="548"/>
      <c r="H788" s="548"/>
      <c r="I788" s="548"/>
      <c r="J788" s="548"/>
      <c r="K788" s="548"/>
      <c r="L788" s="548"/>
      <c r="M788" s="548"/>
      <c r="N788" s="548"/>
      <c r="O788" s="548"/>
      <c r="P788" s="548"/>
      <c r="Q788" s="548"/>
      <c r="R788" s="548"/>
      <c r="S788" s="548"/>
      <c r="T788" s="548"/>
      <c r="U788" s="548"/>
      <c r="V788" s="548"/>
      <c r="W788" s="548"/>
      <c r="X788" s="548"/>
      <c r="Y788" s="548"/>
      <c r="Z788" s="548"/>
    </row>
    <row r="789" ht="15.75" customHeight="1">
      <c r="A789" s="548"/>
      <c r="B789" s="548"/>
      <c r="C789" s="548"/>
      <c r="D789" s="548"/>
      <c r="E789" s="548"/>
      <c r="F789" s="549"/>
      <c r="G789" s="548"/>
      <c r="H789" s="548"/>
      <c r="I789" s="548"/>
      <c r="J789" s="548"/>
      <c r="K789" s="548"/>
      <c r="L789" s="548"/>
      <c r="M789" s="548"/>
      <c r="N789" s="548"/>
      <c r="O789" s="548"/>
      <c r="P789" s="548"/>
      <c r="Q789" s="548"/>
      <c r="R789" s="548"/>
      <c r="S789" s="548"/>
      <c r="T789" s="548"/>
      <c r="U789" s="548"/>
      <c r="V789" s="548"/>
      <c r="W789" s="548"/>
      <c r="X789" s="548"/>
      <c r="Y789" s="548"/>
      <c r="Z789" s="548"/>
    </row>
    <row r="790" ht="15.75" customHeight="1">
      <c r="A790" s="548"/>
      <c r="B790" s="548"/>
      <c r="C790" s="548"/>
      <c r="D790" s="548"/>
      <c r="E790" s="548"/>
      <c r="F790" s="549"/>
      <c r="G790" s="548"/>
      <c r="H790" s="548"/>
      <c r="I790" s="548"/>
      <c r="J790" s="548"/>
      <c r="K790" s="548"/>
      <c r="L790" s="548"/>
      <c r="M790" s="548"/>
      <c r="N790" s="548"/>
      <c r="O790" s="548"/>
      <c r="P790" s="548"/>
      <c r="Q790" s="548"/>
      <c r="R790" s="548"/>
      <c r="S790" s="548"/>
      <c r="T790" s="548"/>
      <c r="U790" s="548"/>
      <c r="V790" s="548"/>
      <c r="W790" s="548"/>
      <c r="X790" s="548"/>
      <c r="Y790" s="548"/>
      <c r="Z790" s="548"/>
    </row>
    <row r="791" ht="15.75" customHeight="1">
      <c r="A791" s="548"/>
      <c r="B791" s="548"/>
      <c r="C791" s="548"/>
      <c r="D791" s="548"/>
      <c r="E791" s="548"/>
      <c r="F791" s="549"/>
      <c r="G791" s="548"/>
      <c r="H791" s="548"/>
      <c r="I791" s="548"/>
      <c r="J791" s="548"/>
      <c r="K791" s="548"/>
      <c r="L791" s="548"/>
      <c r="M791" s="548"/>
      <c r="N791" s="548"/>
      <c r="O791" s="548"/>
      <c r="P791" s="548"/>
      <c r="Q791" s="548"/>
      <c r="R791" s="548"/>
      <c r="S791" s="548"/>
      <c r="T791" s="548"/>
      <c r="U791" s="548"/>
      <c r="V791" s="548"/>
      <c r="W791" s="548"/>
      <c r="X791" s="548"/>
      <c r="Y791" s="548"/>
      <c r="Z791" s="548"/>
    </row>
    <row r="792" ht="15.75" customHeight="1">
      <c r="A792" s="548"/>
      <c r="B792" s="548"/>
      <c r="C792" s="548"/>
      <c r="D792" s="548"/>
      <c r="E792" s="548"/>
      <c r="F792" s="549"/>
      <c r="G792" s="548"/>
      <c r="H792" s="548"/>
      <c r="I792" s="548"/>
      <c r="J792" s="548"/>
      <c r="K792" s="548"/>
      <c r="L792" s="548"/>
      <c r="M792" s="548"/>
      <c r="N792" s="548"/>
      <c r="O792" s="548"/>
      <c r="P792" s="548"/>
      <c r="Q792" s="548"/>
      <c r="R792" s="548"/>
      <c r="S792" s="548"/>
      <c r="T792" s="548"/>
      <c r="U792" s="548"/>
      <c r="V792" s="548"/>
      <c r="W792" s="548"/>
      <c r="X792" s="548"/>
      <c r="Y792" s="548"/>
      <c r="Z792" s="548"/>
    </row>
    <row r="793" ht="15.75" customHeight="1">
      <c r="A793" s="548"/>
      <c r="B793" s="548"/>
      <c r="C793" s="548"/>
      <c r="D793" s="548"/>
      <c r="E793" s="548"/>
      <c r="F793" s="549"/>
      <c r="G793" s="548"/>
      <c r="H793" s="548"/>
      <c r="I793" s="548"/>
      <c r="J793" s="548"/>
      <c r="K793" s="548"/>
      <c r="L793" s="548"/>
      <c r="M793" s="548"/>
      <c r="N793" s="548"/>
      <c r="O793" s="548"/>
      <c r="P793" s="548"/>
      <c r="Q793" s="548"/>
      <c r="R793" s="548"/>
      <c r="S793" s="548"/>
      <c r="T793" s="548"/>
      <c r="U793" s="548"/>
      <c r="V793" s="548"/>
      <c r="W793" s="548"/>
      <c r="X793" s="548"/>
      <c r="Y793" s="548"/>
      <c r="Z793" s="548"/>
    </row>
    <row r="794" ht="15.75" customHeight="1">
      <c r="A794" s="548"/>
      <c r="B794" s="548"/>
      <c r="C794" s="548"/>
      <c r="D794" s="548"/>
      <c r="E794" s="548"/>
      <c r="F794" s="549"/>
      <c r="G794" s="548"/>
      <c r="H794" s="548"/>
      <c r="I794" s="548"/>
      <c r="J794" s="548"/>
      <c r="K794" s="548"/>
      <c r="L794" s="548"/>
      <c r="M794" s="548"/>
      <c r="N794" s="548"/>
      <c r="O794" s="548"/>
      <c r="P794" s="548"/>
      <c r="Q794" s="548"/>
      <c r="R794" s="548"/>
      <c r="S794" s="548"/>
      <c r="T794" s="548"/>
      <c r="U794" s="548"/>
      <c r="V794" s="548"/>
      <c r="W794" s="548"/>
      <c r="X794" s="548"/>
      <c r="Y794" s="548"/>
      <c r="Z794" s="548"/>
    </row>
    <row r="795" ht="15.75" customHeight="1">
      <c r="A795" s="548"/>
      <c r="B795" s="548"/>
      <c r="C795" s="548"/>
      <c r="D795" s="548"/>
      <c r="E795" s="548"/>
      <c r="F795" s="549"/>
      <c r="G795" s="548"/>
      <c r="H795" s="548"/>
      <c r="I795" s="548"/>
      <c r="J795" s="548"/>
      <c r="K795" s="548"/>
      <c r="L795" s="548"/>
      <c r="M795" s="548"/>
      <c r="N795" s="548"/>
      <c r="O795" s="548"/>
      <c r="P795" s="548"/>
      <c r="Q795" s="548"/>
      <c r="R795" s="548"/>
      <c r="S795" s="548"/>
      <c r="T795" s="548"/>
      <c r="U795" s="548"/>
      <c r="V795" s="548"/>
      <c r="W795" s="548"/>
      <c r="X795" s="548"/>
      <c r="Y795" s="548"/>
      <c r="Z795" s="548"/>
    </row>
    <row r="796" ht="15.75" customHeight="1">
      <c r="A796" s="548"/>
      <c r="B796" s="548"/>
      <c r="C796" s="548"/>
      <c r="D796" s="548"/>
      <c r="E796" s="548"/>
      <c r="F796" s="549"/>
      <c r="G796" s="548"/>
      <c r="H796" s="548"/>
      <c r="I796" s="548"/>
      <c r="J796" s="548"/>
      <c r="K796" s="548"/>
      <c r="L796" s="548"/>
      <c r="M796" s="548"/>
      <c r="N796" s="548"/>
      <c r="O796" s="548"/>
      <c r="P796" s="548"/>
      <c r="Q796" s="548"/>
      <c r="R796" s="548"/>
      <c r="S796" s="548"/>
      <c r="T796" s="548"/>
      <c r="U796" s="548"/>
      <c r="V796" s="548"/>
      <c r="W796" s="548"/>
      <c r="X796" s="548"/>
      <c r="Y796" s="548"/>
      <c r="Z796" s="548"/>
    </row>
    <row r="797" ht="15.75" customHeight="1">
      <c r="A797" s="548"/>
      <c r="B797" s="548"/>
      <c r="C797" s="548"/>
      <c r="D797" s="548"/>
      <c r="E797" s="548"/>
      <c r="F797" s="549"/>
      <c r="G797" s="548"/>
      <c r="H797" s="548"/>
      <c r="I797" s="548"/>
      <c r="J797" s="548"/>
      <c r="K797" s="548"/>
      <c r="L797" s="548"/>
      <c r="M797" s="548"/>
      <c r="N797" s="548"/>
      <c r="O797" s="548"/>
      <c r="P797" s="548"/>
      <c r="Q797" s="548"/>
      <c r="R797" s="548"/>
      <c r="S797" s="548"/>
      <c r="T797" s="548"/>
      <c r="U797" s="548"/>
      <c r="V797" s="548"/>
      <c r="W797" s="548"/>
      <c r="X797" s="548"/>
      <c r="Y797" s="548"/>
      <c r="Z797" s="548"/>
    </row>
    <row r="798" ht="15.75" customHeight="1">
      <c r="A798" s="548"/>
      <c r="B798" s="548"/>
      <c r="C798" s="548"/>
      <c r="D798" s="548"/>
      <c r="E798" s="548"/>
      <c r="F798" s="549"/>
      <c r="G798" s="548"/>
      <c r="H798" s="548"/>
      <c r="I798" s="548"/>
      <c r="J798" s="548"/>
      <c r="K798" s="548"/>
      <c r="L798" s="548"/>
      <c r="M798" s="548"/>
      <c r="N798" s="548"/>
      <c r="O798" s="548"/>
      <c r="P798" s="548"/>
      <c r="Q798" s="548"/>
      <c r="R798" s="548"/>
      <c r="S798" s="548"/>
      <c r="T798" s="548"/>
      <c r="U798" s="548"/>
      <c r="V798" s="548"/>
      <c r="W798" s="548"/>
      <c r="X798" s="548"/>
      <c r="Y798" s="548"/>
      <c r="Z798" s="548"/>
    </row>
    <row r="799" ht="15.75" customHeight="1">
      <c r="A799" s="548"/>
      <c r="B799" s="548"/>
      <c r="C799" s="548"/>
      <c r="D799" s="548"/>
      <c r="E799" s="548"/>
      <c r="F799" s="549"/>
      <c r="G799" s="548"/>
      <c r="H799" s="548"/>
      <c r="I799" s="548"/>
      <c r="J799" s="548"/>
      <c r="K799" s="548"/>
      <c r="L799" s="548"/>
      <c r="M799" s="548"/>
      <c r="N799" s="548"/>
      <c r="O799" s="548"/>
      <c r="P799" s="548"/>
      <c r="Q799" s="548"/>
      <c r="R799" s="548"/>
      <c r="S799" s="548"/>
      <c r="T799" s="548"/>
      <c r="U799" s="548"/>
      <c r="V799" s="548"/>
      <c r="W799" s="548"/>
      <c r="X799" s="548"/>
      <c r="Y799" s="548"/>
      <c r="Z799" s="548"/>
    </row>
    <row r="800" ht="15.75" customHeight="1">
      <c r="A800" s="548"/>
      <c r="B800" s="548"/>
      <c r="C800" s="548"/>
      <c r="D800" s="548"/>
      <c r="E800" s="548"/>
      <c r="F800" s="549"/>
      <c r="G800" s="548"/>
      <c r="H800" s="548"/>
      <c r="I800" s="548"/>
      <c r="J800" s="548"/>
      <c r="K800" s="548"/>
      <c r="L800" s="548"/>
      <c r="M800" s="548"/>
      <c r="N800" s="548"/>
      <c r="O800" s="548"/>
      <c r="P800" s="548"/>
      <c r="Q800" s="548"/>
      <c r="R800" s="548"/>
      <c r="S800" s="548"/>
      <c r="T800" s="548"/>
      <c r="U800" s="548"/>
      <c r="V800" s="548"/>
      <c r="W800" s="548"/>
      <c r="X800" s="548"/>
      <c r="Y800" s="548"/>
      <c r="Z800" s="548"/>
    </row>
    <row r="801" ht="15.75" customHeight="1">
      <c r="A801" s="548"/>
      <c r="B801" s="548"/>
      <c r="C801" s="548"/>
      <c r="D801" s="548"/>
      <c r="E801" s="548"/>
      <c r="F801" s="549"/>
      <c r="G801" s="548"/>
      <c r="H801" s="548"/>
      <c r="I801" s="548"/>
      <c r="J801" s="548"/>
      <c r="K801" s="548"/>
      <c r="L801" s="548"/>
      <c r="M801" s="548"/>
      <c r="N801" s="548"/>
      <c r="O801" s="548"/>
      <c r="P801" s="548"/>
      <c r="Q801" s="548"/>
      <c r="R801" s="548"/>
      <c r="S801" s="548"/>
      <c r="T801" s="548"/>
      <c r="U801" s="548"/>
      <c r="V801" s="548"/>
      <c r="W801" s="548"/>
      <c r="X801" s="548"/>
      <c r="Y801" s="548"/>
      <c r="Z801" s="548"/>
    </row>
    <row r="802" ht="15.75" customHeight="1">
      <c r="A802" s="548"/>
      <c r="B802" s="548"/>
      <c r="C802" s="548"/>
      <c r="D802" s="548"/>
      <c r="E802" s="548"/>
      <c r="F802" s="549"/>
      <c r="G802" s="548"/>
      <c r="H802" s="548"/>
      <c r="I802" s="548"/>
      <c r="J802" s="548"/>
      <c r="K802" s="548"/>
      <c r="L802" s="548"/>
      <c r="M802" s="548"/>
      <c r="N802" s="548"/>
      <c r="O802" s="548"/>
      <c r="P802" s="548"/>
      <c r="Q802" s="548"/>
      <c r="R802" s="548"/>
      <c r="S802" s="548"/>
      <c r="T802" s="548"/>
      <c r="U802" s="548"/>
      <c r="V802" s="548"/>
      <c r="W802" s="548"/>
      <c r="X802" s="548"/>
      <c r="Y802" s="548"/>
      <c r="Z802" s="548"/>
    </row>
    <row r="803" ht="15.75" customHeight="1">
      <c r="A803" s="548"/>
      <c r="B803" s="548"/>
      <c r="C803" s="548"/>
      <c r="D803" s="548"/>
      <c r="E803" s="548"/>
      <c r="F803" s="549"/>
      <c r="G803" s="548"/>
      <c r="H803" s="548"/>
      <c r="I803" s="548"/>
      <c r="J803" s="548"/>
      <c r="K803" s="548"/>
      <c r="L803" s="548"/>
      <c r="M803" s="548"/>
      <c r="N803" s="548"/>
      <c r="O803" s="548"/>
      <c r="P803" s="548"/>
      <c r="Q803" s="548"/>
      <c r="R803" s="548"/>
      <c r="S803" s="548"/>
      <c r="T803" s="548"/>
      <c r="U803" s="548"/>
      <c r="V803" s="548"/>
      <c r="W803" s="548"/>
      <c r="X803" s="548"/>
      <c r="Y803" s="548"/>
      <c r="Z803" s="548"/>
    </row>
    <row r="804" ht="15.75" customHeight="1">
      <c r="A804" s="548"/>
      <c r="B804" s="548"/>
      <c r="C804" s="548"/>
      <c r="D804" s="548"/>
      <c r="E804" s="548"/>
      <c r="F804" s="549"/>
      <c r="G804" s="548"/>
      <c r="H804" s="548"/>
      <c r="I804" s="548"/>
      <c r="J804" s="548"/>
      <c r="K804" s="548"/>
      <c r="L804" s="548"/>
      <c r="M804" s="548"/>
      <c r="N804" s="548"/>
      <c r="O804" s="548"/>
      <c r="P804" s="548"/>
      <c r="Q804" s="548"/>
      <c r="R804" s="548"/>
      <c r="S804" s="548"/>
      <c r="T804" s="548"/>
      <c r="U804" s="548"/>
      <c r="V804" s="548"/>
      <c r="W804" s="548"/>
      <c r="X804" s="548"/>
      <c r="Y804" s="548"/>
      <c r="Z804" s="548"/>
    </row>
    <row r="805" ht="15.75" customHeight="1">
      <c r="A805" s="548"/>
      <c r="B805" s="548"/>
      <c r="C805" s="548"/>
      <c r="D805" s="548"/>
      <c r="E805" s="548"/>
      <c r="F805" s="549"/>
      <c r="G805" s="548"/>
      <c r="H805" s="548"/>
      <c r="I805" s="548"/>
      <c r="J805" s="548"/>
      <c r="K805" s="548"/>
      <c r="L805" s="548"/>
      <c r="M805" s="548"/>
      <c r="N805" s="548"/>
      <c r="O805" s="548"/>
      <c r="P805" s="548"/>
      <c r="Q805" s="548"/>
      <c r="R805" s="548"/>
      <c r="S805" s="548"/>
      <c r="T805" s="548"/>
      <c r="U805" s="548"/>
      <c r="V805" s="548"/>
      <c r="W805" s="548"/>
      <c r="X805" s="548"/>
      <c r="Y805" s="548"/>
      <c r="Z805" s="548"/>
    </row>
    <row r="806" ht="15.75" customHeight="1">
      <c r="A806" s="548"/>
      <c r="B806" s="548"/>
      <c r="C806" s="548"/>
      <c r="D806" s="548"/>
      <c r="E806" s="548"/>
      <c r="F806" s="549"/>
      <c r="G806" s="548"/>
      <c r="H806" s="548"/>
      <c r="I806" s="548"/>
      <c r="J806" s="548"/>
      <c r="K806" s="548"/>
      <c r="L806" s="548"/>
      <c r="M806" s="548"/>
      <c r="N806" s="548"/>
      <c r="O806" s="548"/>
      <c r="P806" s="548"/>
      <c r="Q806" s="548"/>
      <c r="R806" s="548"/>
      <c r="S806" s="548"/>
      <c r="T806" s="548"/>
      <c r="U806" s="548"/>
      <c r="V806" s="548"/>
      <c r="W806" s="548"/>
      <c r="X806" s="548"/>
      <c r="Y806" s="548"/>
      <c r="Z806" s="548"/>
    </row>
    <row r="807" ht="15.75" customHeight="1">
      <c r="A807" s="548"/>
      <c r="B807" s="548"/>
      <c r="C807" s="548"/>
      <c r="D807" s="548"/>
      <c r="E807" s="548"/>
      <c r="F807" s="549"/>
      <c r="G807" s="548"/>
      <c r="H807" s="548"/>
      <c r="I807" s="548"/>
      <c r="J807" s="548"/>
      <c r="K807" s="548"/>
      <c r="L807" s="548"/>
      <c r="M807" s="548"/>
      <c r="N807" s="548"/>
      <c r="O807" s="548"/>
      <c r="P807" s="548"/>
      <c r="Q807" s="548"/>
      <c r="R807" s="548"/>
      <c r="S807" s="548"/>
      <c r="T807" s="548"/>
      <c r="U807" s="548"/>
      <c r="V807" s="548"/>
      <c r="W807" s="548"/>
      <c r="X807" s="548"/>
      <c r="Y807" s="548"/>
      <c r="Z807" s="548"/>
    </row>
    <row r="808" ht="15.75" customHeight="1">
      <c r="A808" s="548"/>
      <c r="B808" s="548"/>
      <c r="C808" s="548"/>
      <c r="D808" s="548"/>
      <c r="E808" s="548"/>
      <c r="F808" s="549"/>
      <c r="G808" s="548"/>
      <c r="H808" s="548"/>
      <c r="I808" s="548"/>
      <c r="J808" s="548"/>
      <c r="K808" s="548"/>
      <c r="L808" s="548"/>
      <c r="M808" s="548"/>
      <c r="N808" s="548"/>
      <c r="O808" s="548"/>
      <c r="P808" s="548"/>
      <c r="Q808" s="548"/>
      <c r="R808" s="548"/>
      <c r="S808" s="548"/>
      <c r="T808" s="548"/>
      <c r="U808" s="548"/>
      <c r="V808" s="548"/>
      <c r="W808" s="548"/>
      <c r="X808" s="548"/>
      <c r="Y808" s="548"/>
      <c r="Z808" s="548"/>
    </row>
    <row r="809" ht="15.75" customHeight="1">
      <c r="A809" s="548"/>
      <c r="B809" s="548"/>
      <c r="C809" s="548"/>
      <c r="D809" s="548"/>
      <c r="E809" s="548"/>
      <c r="F809" s="549"/>
      <c r="G809" s="548"/>
      <c r="H809" s="548"/>
      <c r="I809" s="548"/>
      <c r="J809" s="548"/>
      <c r="K809" s="548"/>
      <c r="L809" s="548"/>
      <c r="M809" s="548"/>
      <c r="N809" s="548"/>
      <c r="O809" s="548"/>
      <c r="P809" s="548"/>
      <c r="Q809" s="548"/>
      <c r="R809" s="548"/>
      <c r="S809" s="548"/>
      <c r="T809" s="548"/>
      <c r="U809" s="548"/>
      <c r="V809" s="548"/>
      <c r="W809" s="548"/>
      <c r="X809" s="548"/>
      <c r="Y809" s="548"/>
      <c r="Z809" s="548"/>
    </row>
    <row r="810" ht="15.75" customHeight="1">
      <c r="A810" s="548"/>
      <c r="B810" s="548"/>
      <c r="C810" s="548"/>
      <c r="D810" s="548"/>
      <c r="E810" s="548"/>
      <c r="F810" s="549"/>
      <c r="G810" s="548"/>
      <c r="H810" s="548"/>
      <c r="I810" s="548"/>
      <c r="J810" s="548"/>
      <c r="K810" s="548"/>
      <c r="L810" s="548"/>
      <c r="M810" s="548"/>
      <c r="N810" s="548"/>
      <c r="O810" s="548"/>
      <c r="P810" s="548"/>
      <c r="Q810" s="548"/>
      <c r="R810" s="548"/>
      <c r="S810" s="548"/>
      <c r="T810" s="548"/>
      <c r="U810" s="548"/>
      <c r="V810" s="548"/>
      <c r="W810" s="548"/>
      <c r="X810" s="548"/>
      <c r="Y810" s="548"/>
      <c r="Z810" s="548"/>
    </row>
    <row r="811" ht="15.75" customHeight="1">
      <c r="A811" s="548"/>
      <c r="B811" s="548"/>
      <c r="C811" s="548"/>
      <c r="D811" s="548"/>
      <c r="E811" s="548"/>
      <c r="F811" s="549"/>
      <c r="G811" s="548"/>
      <c r="H811" s="548"/>
      <c r="I811" s="548"/>
      <c r="J811" s="548"/>
      <c r="K811" s="548"/>
      <c r="L811" s="548"/>
      <c r="M811" s="548"/>
      <c r="N811" s="548"/>
      <c r="O811" s="548"/>
      <c r="P811" s="548"/>
      <c r="Q811" s="548"/>
      <c r="R811" s="548"/>
      <c r="S811" s="548"/>
      <c r="T811" s="548"/>
      <c r="U811" s="548"/>
      <c r="V811" s="548"/>
      <c r="W811" s="548"/>
      <c r="X811" s="548"/>
      <c r="Y811" s="548"/>
      <c r="Z811" s="548"/>
    </row>
    <row r="812" ht="15.75" customHeight="1">
      <c r="A812" s="548"/>
      <c r="B812" s="548"/>
      <c r="C812" s="548"/>
      <c r="D812" s="548"/>
      <c r="E812" s="548"/>
      <c r="F812" s="549"/>
      <c r="G812" s="548"/>
      <c r="H812" s="548"/>
      <c r="I812" s="548"/>
      <c r="J812" s="548"/>
      <c r="K812" s="548"/>
      <c r="L812" s="548"/>
      <c r="M812" s="548"/>
      <c r="N812" s="548"/>
      <c r="O812" s="548"/>
      <c r="P812" s="548"/>
      <c r="Q812" s="548"/>
      <c r="R812" s="548"/>
      <c r="S812" s="548"/>
      <c r="T812" s="548"/>
      <c r="U812" s="548"/>
      <c r="V812" s="548"/>
      <c r="W812" s="548"/>
      <c r="X812" s="548"/>
      <c r="Y812" s="548"/>
      <c r="Z812" s="548"/>
    </row>
    <row r="813" ht="15.75" customHeight="1">
      <c r="A813" s="548"/>
      <c r="B813" s="548"/>
      <c r="C813" s="548"/>
      <c r="D813" s="548"/>
      <c r="E813" s="548"/>
      <c r="F813" s="549"/>
      <c r="G813" s="548"/>
      <c r="H813" s="548"/>
      <c r="I813" s="548"/>
      <c r="J813" s="548"/>
      <c r="K813" s="548"/>
      <c r="L813" s="548"/>
      <c r="M813" s="548"/>
      <c r="N813" s="548"/>
      <c r="O813" s="548"/>
      <c r="P813" s="548"/>
      <c r="Q813" s="548"/>
      <c r="R813" s="548"/>
      <c r="S813" s="548"/>
      <c r="T813" s="548"/>
      <c r="U813" s="548"/>
      <c r="V813" s="548"/>
      <c r="W813" s="548"/>
      <c r="X813" s="548"/>
      <c r="Y813" s="548"/>
      <c r="Z813" s="548"/>
    </row>
    <row r="814" ht="15.75" customHeight="1">
      <c r="A814" s="548"/>
      <c r="B814" s="548"/>
      <c r="C814" s="548"/>
      <c r="D814" s="548"/>
      <c r="E814" s="548"/>
      <c r="F814" s="549"/>
      <c r="G814" s="548"/>
      <c r="H814" s="548"/>
      <c r="I814" s="548"/>
      <c r="J814" s="548"/>
      <c r="K814" s="548"/>
      <c r="L814" s="548"/>
      <c r="M814" s="548"/>
      <c r="N814" s="548"/>
      <c r="O814" s="548"/>
      <c r="P814" s="548"/>
      <c r="Q814" s="548"/>
      <c r="R814" s="548"/>
      <c r="S814" s="548"/>
      <c r="T814" s="548"/>
      <c r="U814" s="548"/>
      <c r="V814" s="548"/>
      <c r="W814" s="548"/>
      <c r="X814" s="548"/>
      <c r="Y814" s="548"/>
      <c r="Z814" s="548"/>
    </row>
    <row r="815" ht="15.75" customHeight="1">
      <c r="A815" s="548"/>
      <c r="B815" s="548"/>
      <c r="C815" s="548"/>
      <c r="D815" s="548"/>
      <c r="E815" s="548"/>
      <c r="F815" s="549"/>
      <c r="G815" s="548"/>
      <c r="H815" s="548"/>
      <c r="I815" s="548"/>
      <c r="J815" s="548"/>
      <c r="K815" s="548"/>
      <c r="L815" s="548"/>
      <c r="M815" s="548"/>
      <c r="N815" s="548"/>
      <c r="O815" s="548"/>
      <c r="P815" s="548"/>
      <c r="Q815" s="548"/>
      <c r="R815" s="548"/>
      <c r="S815" s="548"/>
      <c r="T815" s="548"/>
      <c r="U815" s="548"/>
      <c r="V815" s="548"/>
      <c r="W815" s="548"/>
      <c r="X815" s="548"/>
      <c r="Y815" s="548"/>
      <c r="Z815" s="548"/>
    </row>
    <row r="816" ht="15.75" customHeight="1">
      <c r="A816" s="548"/>
      <c r="B816" s="548"/>
      <c r="C816" s="548"/>
      <c r="D816" s="548"/>
      <c r="E816" s="548"/>
      <c r="F816" s="549"/>
      <c r="G816" s="548"/>
      <c r="H816" s="548"/>
      <c r="I816" s="548"/>
      <c r="J816" s="548"/>
      <c r="K816" s="548"/>
      <c r="L816" s="548"/>
      <c r="M816" s="548"/>
      <c r="N816" s="548"/>
      <c r="O816" s="548"/>
      <c r="P816" s="548"/>
      <c r="Q816" s="548"/>
      <c r="R816" s="548"/>
      <c r="S816" s="548"/>
      <c r="T816" s="548"/>
      <c r="U816" s="548"/>
      <c r="V816" s="548"/>
      <c r="W816" s="548"/>
      <c r="X816" s="548"/>
      <c r="Y816" s="548"/>
      <c r="Z816" s="548"/>
    </row>
    <row r="817" ht="15.75" customHeight="1">
      <c r="A817" s="548"/>
      <c r="B817" s="548"/>
      <c r="C817" s="548"/>
      <c r="D817" s="548"/>
      <c r="E817" s="548"/>
      <c r="F817" s="549"/>
      <c r="G817" s="548"/>
      <c r="H817" s="548"/>
      <c r="I817" s="548"/>
      <c r="J817" s="548"/>
      <c r="K817" s="548"/>
      <c r="L817" s="548"/>
      <c r="M817" s="548"/>
      <c r="N817" s="548"/>
      <c r="O817" s="548"/>
      <c r="P817" s="548"/>
      <c r="Q817" s="548"/>
      <c r="R817" s="548"/>
      <c r="S817" s="548"/>
      <c r="T817" s="548"/>
      <c r="U817" s="548"/>
      <c r="V817" s="548"/>
      <c r="W817" s="548"/>
      <c r="X817" s="548"/>
      <c r="Y817" s="548"/>
      <c r="Z817" s="548"/>
    </row>
    <row r="818" ht="15.75" customHeight="1">
      <c r="A818" s="548"/>
      <c r="B818" s="548"/>
      <c r="C818" s="548"/>
      <c r="D818" s="548"/>
      <c r="E818" s="548"/>
      <c r="F818" s="549"/>
      <c r="G818" s="548"/>
      <c r="H818" s="548"/>
      <c r="I818" s="548"/>
      <c r="J818" s="548"/>
      <c r="K818" s="548"/>
      <c r="L818" s="548"/>
      <c r="M818" s="548"/>
      <c r="N818" s="548"/>
      <c r="O818" s="548"/>
      <c r="P818" s="548"/>
      <c r="Q818" s="548"/>
      <c r="R818" s="548"/>
      <c r="S818" s="548"/>
      <c r="T818" s="548"/>
      <c r="U818" s="548"/>
      <c r="V818" s="548"/>
      <c r="W818" s="548"/>
      <c r="X818" s="548"/>
      <c r="Y818" s="548"/>
      <c r="Z818" s="548"/>
    </row>
    <row r="819" ht="15.75" customHeight="1">
      <c r="A819" s="548"/>
      <c r="B819" s="548"/>
      <c r="C819" s="548"/>
      <c r="D819" s="548"/>
      <c r="E819" s="548"/>
      <c r="F819" s="549"/>
      <c r="G819" s="548"/>
      <c r="H819" s="548"/>
      <c r="I819" s="548"/>
      <c r="J819" s="548"/>
      <c r="K819" s="548"/>
      <c r="L819" s="548"/>
      <c r="M819" s="548"/>
      <c r="N819" s="548"/>
      <c r="O819" s="548"/>
      <c r="P819" s="548"/>
      <c r="Q819" s="548"/>
      <c r="R819" s="548"/>
      <c r="S819" s="548"/>
      <c r="T819" s="548"/>
      <c r="U819" s="548"/>
      <c r="V819" s="548"/>
      <c r="W819" s="548"/>
      <c r="X819" s="548"/>
      <c r="Y819" s="548"/>
      <c r="Z819" s="548"/>
    </row>
    <row r="820" ht="15.75" customHeight="1">
      <c r="A820" s="548"/>
      <c r="B820" s="548"/>
      <c r="C820" s="548"/>
      <c r="D820" s="548"/>
      <c r="E820" s="548"/>
      <c r="F820" s="549"/>
      <c r="G820" s="548"/>
      <c r="H820" s="548"/>
      <c r="I820" s="548"/>
      <c r="J820" s="548"/>
      <c r="K820" s="548"/>
      <c r="L820" s="548"/>
      <c r="M820" s="548"/>
      <c r="N820" s="548"/>
      <c r="O820" s="548"/>
      <c r="P820" s="548"/>
      <c r="Q820" s="548"/>
      <c r="R820" s="548"/>
      <c r="S820" s="548"/>
      <c r="T820" s="548"/>
      <c r="U820" s="548"/>
      <c r="V820" s="548"/>
      <c r="W820" s="548"/>
      <c r="X820" s="548"/>
      <c r="Y820" s="548"/>
      <c r="Z820" s="548"/>
    </row>
    <row r="821" ht="15.75" customHeight="1">
      <c r="A821" s="548"/>
      <c r="B821" s="548"/>
      <c r="C821" s="548"/>
      <c r="D821" s="548"/>
      <c r="E821" s="548"/>
      <c r="F821" s="549"/>
      <c r="G821" s="548"/>
      <c r="H821" s="548"/>
      <c r="I821" s="548"/>
      <c r="J821" s="548"/>
      <c r="K821" s="548"/>
      <c r="L821" s="548"/>
      <c r="M821" s="548"/>
      <c r="N821" s="548"/>
      <c r="O821" s="548"/>
      <c r="P821" s="548"/>
      <c r="Q821" s="548"/>
      <c r="R821" s="548"/>
      <c r="S821" s="548"/>
      <c r="T821" s="548"/>
      <c r="U821" s="548"/>
      <c r="V821" s="548"/>
      <c r="W821" s="548"/>
      <c r="X821" s="548"/>
      <c r="Y821" s="548"/>
      <c r="Z821" s="548"/>
    </row>
    <row r="822" ht="15.75" customHeight="1">
      <c r="A822" s="548"/>
      <c r="B822" s="548"/>
      <c r="C822" s="548"/>
      <c r="D822" s="548"/>
      <c r="E822" s="548"/>
      <c r="F822" s="549"/>
      <c r="G822" s="548"/>
      <c r="H822" s="548"/>
      <c r="I822" s="548"/>
      <c r="J822" s="548"/>
      <c r="K822" s="548"/>
      <c r="L822" s="548"/>
      <c r="M822" s="548"/>
      <c r="N822" s="548"/>
      <c r="O822" s="548"/>
      <c r="P822" s="548"/>
      <c r="Q822" s="548"/>
      <c r="R822" s="548"/>
      <c r="S822" s="548"/>
      <c r="T822" s="548"/>
      <c r="U822" s="548"/>
      <c r="V822" s="548"/>
      <c r="W822" s="548"/>
      <c r="X822" s="548"/>
      <c r="Y822" s="548"/>
      <c r="Z822" s="548"/>
    </row>
    <row r="823" ht="15.75" customHeight="1">
      <c r="A823" s="548"/>
      <c r="B823" s="548"/>
      <c r="C823" s="548"/>
      <c r="D823" s="548"/>
      <c r="E823" s="548"/>
      <c r="F823" s="549"/>
      <c r="G823" s="548"/>
      <c r="H823" s="548"/>
      <c r="I823" s="548"/>
      <c r="J823" s="548"/>
      <c r="K823" s="548"/>
      <c r="L823" s="548"/>
      <c r="M823" s="548"/>
      <c r="N823" s="548"/>
      <c r="O823" s="548"/>
      <c r="P823" s="548"/>
      <c r="Q823" s="548"/>
      <c r="R823" s="548"/>
      <c r="S823" s="548"/>
      <c r="T823" s="548"/>
      <c r="U823" s="548"/>
      <c r="V823" s="548"/>
      <c r="W823" s="548"/>
      <c r="X823" s="548"/>
      <c r="Y823" s="548"/>
      <c r="Z823" s="548"/>
    </row>
    <row r="824" ht="15.75" customHeight="1">
      <c r="A824" s="548"/>
      <c r="B824" s="548"/>
      <c r="C824" s="548"/>
      <c r="D824" s="548"/>
      <c r="E824" s="548"/>
      <c r="F824" s="549"/>
      <c r="G824" s="548"/>
      <c r="H824" s="548"/>
      <c r="I824" s="548"/>
      <c r="J824" s="548"/>
      <c r="K824" s="548"/>
      <c r="L824" s="548"/>
      <c r="M824" s="548"/>
      <c r="N824" s="548"/>
      <c r="O824" s="548"/>
      <c r="P824" s="548"/>
      <c r="Q824" s="548"/>
      <c r="R824" s="548"/>
      <c r="S824" s="548"/>
      <c r="T824" s="548"/>
      <c r="U824" s="548"/>
      <c r="V824" s="548"/>
      <c r="W824" s="548"/>
      <c r="X824" s="548"/>
      <c r="Y824" s="548"/>
      <c r="Z824" s="548"/>
    </row>
    <row r="825" ht="15.75" customHeight="1">
      <c r="A825" s="548"/>
      <c r="B825" s="548"/>
      <c r="C825" s="548"/>
      <c r="D825" s="548"/>
      <c r="E825" s="548"/>
      <c r="F825" s="549"/>
      <c r="G825" s="548"/>
      <c r="H825" s="548"/>
      <c r="I825" s="548"/>
      <c r="J825" s="548"/>
      <c r="K825" s="548"/>
      <c r="L825" s="548"/>
      <c r="M825" s="548"/>
      <c r="N825" s="548"/>
      <c r="O825" s="548"/>
      <c r="P825" s="548"/>
      <c r="Q825" s="548"/>
      <c r="R825" s="548"/>
      <c r="S825" s="548"/>
      <c r="T825" s="548"/>
      <c r="U825" s="548"/>
      <c r="V825" s="548"/>
      <c r="W825" s="548"/>
      <c r="X825" s="548"/>
      <c r="Y825" s="548"/>
      <c r="Z825" s="548"/>
    </row>
    <row r="826" ht="15.75" customHeight="1">
      <c r="A826" s="548"/>
      <c r="B826" s="548"/>
      <c r="C826" s="548"/>
      <c r="D826" s="548"/>
      <c r="E826" s="548"/>
      <c r="F826" s="549"/>
      <c r="G826" s="548"/>
      <c r="H826" s="548"/>
      <c r="I826" s="548"/>
      <c r="J826" s="548"/>
      <c r="K826" s="548"/>
      <c r="L826" s="548"/>
      <c r="M826" s="548"/>
      <c r="N826" s="548"/>
      <c r="O826" s="548"/>
      <c r="P826" s="548"/>
      <c r="Q826" s="548"/>
      <c r="R826" s="548"/>
      <c r="S826" s="548"/>
      <c r="T826" s="548"/>
      <c r="U826" s="548"/>
      <c r="V826" s="548"/>
      <c r="W826" s="548"/>
      <c r="X826" s="548"/>
      <c r="Y826" s="548"/>
      <c r="Z826" s="548"/>
    </row>
    <row r="827" ht="15.75" customHeight="1">
      <c r="A827" s="548"/>
      <c r="B827" s="548"/>
      <c r="C827" s="548"/>
      <c r="D827" s="548"/>
      <c r="E827" s="548"/>
      <c r="F827" s="549"/>
      <c r="G827" s="548"/>
      <c r="H827" s="548"/>
      <c r="I827" s="548"/>
      <c r="J827" s="548"/>
      <c r="K827" s="548"/>
      <c r="L827" s="548"/>
      <c r="M827" s="548"/>
      <c r="N827" s="548"/>
      <c r="O827" s="548"/>
      <c r="P827" s="548"/>
      <c r="Q827" s="548"/>
      <c r="R827" s="548"/>
      <c r="S827" s="548"/>
      <c r="T827" s="548"/>
      <c r="U827" s="548"/>
      <c r="V827" s="548"/>
      <c r="W827" s="548"/>
      <c r="X827" s="548"/>
      <c r="Y827" s="548"/>
      <c r="Z827" s="548"/>
    </row>
    <row r="828" ht="15.75" customHeight="1">
      <c r="A828" s="548"/>
      <c r="B828" s="548"/>
      <c r="C828" s="548"/>
      <c r="D828" s="548"/>
      <c r="E828" s="548"/>
      <c r="F828" s="549"/>
      <c r="G828" s="548"/>
      <c r="H828" s="548"/>
      <c r="I828" s="548"/>
      <c r="J828" s="548"/>
      <c r="K828" s="548"/>
      <c r="L828" s="548"/>
      <c r="M828" s="548"/>
      <c r="N828" s="548"/>
      <c r="O828" s="548"/>
      <c r="P828" s="548"/>
      <c r="Q828" s="548"/>
      <c r="R828" s="548"/>
      <c r="S828" s="548"/>
      <c r="T828" s="548"/>
      <c r="U828" s="548"/>
      <c r="V828" s="548"/>
      <c r="W828" s="548"/>
      <c r="X828" s="548"/>
      <c r="Y828" s="548"/>
      <c r="Z828" s="548"/>
    </row>
    <row r="829" ht="15.75" customHeight="1">
      <c r="A829" s="548"/>
      <c r="B829" s="548"/>
      <c r="C829" s="548"/>
      <c r="D829" s="548"/>
      <c r="E829" s="548"/>
      <c r="F829" s="549"/>
      <c r="G829" s="548"/>
      <c r="H829" s="548"/>
      <c r="I829" s="548"/>
      <c r="J829" s="548"/>
      <c r="K829" s="548"/>
      <c r="L829" s="548"/>
      <c r="M829" s="548"/>
      <c r="N829" s="548"/>
      <c r="O829" s="548"/>
      <c r="P829" s="548"/>
      <c r="Q829" s="548"/>
      <c r="R829" s="548"/>
      <c r="S829" s="548"/>
      <c r="T829" s="548"/>
      <c r="U829" s="548"/>
      <c r="V829" s="548"/>
      <c r="W829" s="548"/>
      <c r="X829" s="548"/>
      <c r="Y829" s="548"/>
      <c r="Z829" s="548"/>
    </row>
    <row r="830" ht="15.75" customHeight="1">
      <c r="A830" s="548"/>
      <c r="B830" s="548"/>
      <c r="C830" s="548"/>
      <c r="D830" s="548"/>
      <c r="E830" s="548"/>
      <c r="F830" s="549"/>
      <c r="G830" s="548"/>
      <c r="H830" s="548"/>
      <c r="I830" s="548"/>
      <c r="J830" s="548"/>
      <c r="K830" s="548"/>
      <c r="L830" s="548"/>
      <c r="M830" s="548"/>
      <c r="N830" s="548"/>
      <c r="O830" s="548"/>
      <c r="P830" s="548"/>
      <c r="Q830" s="548"/>
      <c r="R830" s="548"/>
      <c r="S830" s="548"/>
      <c r="T830" s="548"/>
      <c r="U830" s="548"/>
      <c r="V830" s="548"/>
      <c r="W830" s="548"/>
      <c r="X830" s="548"/>
      <c r="Y830" s="548"/>
      <c r="Z830" s="548"/>
    </row>
    <row r="831" ht="15.75" customHeight="1">
      <c r="A831" s="548"/>
      <c r="B831" s="548"/>
      <c r="C831" s="548"/>
      <c r="D831" s="548"/>
      <c r="E831" s="548"/>
      <c r="F831" s="549"/>
      <c r="G831" s="548"/>
      <c r="H831" s="548"/>
      <c r="I831" s="548"/>
      <c r="J831" s="548"/>
      <c r="K831" s="548"/>
      <c r="L831" s="548"/>
      <c r="M831" s="548"/>
      <c r="N831" s="548"/>
      <c r="O831" s="548"/>
      <c r="P831" s="548"/>
      <c r="Q831" s="548"/>
      <c r="R831" s="548"/>
      <c r="S831" s="548"/>
      <c r="T831" s="548"/>
      <c r="U831" s="548"/>
      <c r="V831" s="548"/>
      <c r="W831" s="548"/>
      <c r="X831" s="548"/>
      <c r="Y831" s="548"/>
      <c r="Z831" s="548"/>
    </row>
    <row r="832" ht="15.75" customHeight="1">
      <c r="A832" s="548"/>
      <c r="B832" s="548"/>
      <c r="C832" s="548"/>
      <c r="D832" s="548"/>
      <c r="E832" s="548"/>
      <c r="F832" s="549"/>
      <c r="G832" s="548"/>
      <c r="H832" s="548"/>
      <c r="I832" s="548"/>
      <c r="J832" s="548"/>
      <c r="K832" s="548"/>
      <c r="L832" s="548"/>
      <c r="M832" s="548"/>
      <c r="N832" s="548"/>
      <c r="O832" s="548"/>
      <c r="P832" s="548"/>
      <c r="Q832" s="548"/>
      <c r="R832" s="548"/>
      <c r="S832" s="548"/>
      <c r="T832" s="548"/>
      <c r="U832" s="548"/>
      <c r="V832" s="548"/>
      <c r="W832" s="548"/>
      <c r="X832" s="548"/>
      <c r="Y832" s="548"/>
      <c r="Z832" s="548"/>
    </row>
    <row r="833" ht="15.75" customHeight="1">
      <c r="A833" s="548"/>
      <c r="B833" s="548"/>
      <c r="C833" s="548"/>
      <c r="D833" s="548"/>
      <c r="E833" s="548"/>
      <c r="F833" s="549"/>
      <c r="G833" s="548"/>
      <c r="H833" s="548"/>
      <c r="I833" s="548"/>
      <c r="J833" s="548"/>
      <c r="K833" s="548"/>
      <c r="L833" s="548"/>
      <c r="M833" s="548"/>
      <c r="N833" s="548"/>
      <c r="O833" s="548"/>
      <c r="P833" s="548"/>
      <c r="Q833" s="548"/>
      <c r="R833" s="548"/>
      <c r="S833" s="548"/>
      <c r="T833" s="548"/>
      <c r="U833" s="548"/>
      <c r="V833" s="548"/>
      <c r="W833" s="548"/>
      <c r="X833" s="548"/>
      <c r="Y833" s="548"/>
      <c r="Z833" s="548"/>
    </row>
    <row r="834" ht="15.75" customHeight="1">
      <c r="A834" s="548"/>
      <c r="B834" s="548"/>
      <c r="C834" s="548"/>
      <c r="D834" s="548"/>
      <c r="E834" s="548"/>
      <c r="F834" s="549"/>
      <c r="G834" s="548"/>
      <c r="H834" s="548"/>
      <c r="I834" s="548"/>
      <c r="J834" s="548"/>
      <c r="K834" s="548"/>
      <c r="L834" s="548"/>
      <c r="M834" s="548"/>
      <c r="N834" s="548"/>
      <c r="O834" s="548"/>
      <c r="P834" s="548"/>
      <c r="Q834" s="548"/>
      <c r="R834" s="548"/>
      <c r="S834" s="548"/>
      <c r="T834" s="548"/>
      <c r="U834" s="548"/>
      <c r="V834" s="548"/>
      <c r="W834" s="548"/>
      <c r="X834" s="548"/>
      <c r="Y834" s="548"/>
      <c r="Z834" s="548"/>
    </row>
    <row r="835" ht="15.75" customHeight="1">
      <c r="A835" s="548"/>
      <c r="B835" s="548"/>
      <c r="C835" s="548"/>
      <c r="D835" s="548"/>
      <c r="E835" s="548"/>
      <c r="F835" s="549"/>
      <c r="G835" s="548"/>
      <c r="H835" s="548"/>
      <c r="I835" s="548"/>
      <c r="J835" s="548"/>
      <c r="K835" s="548"/>
      <c r="L835" s="548"/>
      <c r="M835" s="548"/>
      <c r="N835" s="548"/>
      <c r="O835" s="548"/>
      <c r="P835" s="548"/>
      <c r="Q835" s="548"/>
      <c r="R835" s="548"/>
      <c r="S835" s="548"/>
      <c r="T835" s="548"/>
      <c r="U835" s="548"/>
      <c r="V835" s="548"/>
      <c r="W835" s="548"/>
      <c r="X835" s="548"/>
      <c r="Y835" s="548"/>
      <c r="Z835" s="548"/>
    </row>
    <row r="836" ht="15.75" customHeight="1">
      <c r="A836" s="548"/>
      <c r="B836" s="548"/>
      <c r="C836" s="548"/>
      <c r="D836" s="548"/>
      <c r="E836" s="548"/>
      <c r="F836" s="549"/>
      <c r="G836" s="548"/>
      <c r="H836" s="548"/>
      <c r="I836" s="548"/>
      <c r="J836" s="548"/>
      <c r="K836" s="548"/>
      <c r="L836" s="548"/>
      <c r="M836" s="548"/>
      <c r="N836" s="548"/>
      <c r="O836" s="548"/>
      <c r="P836" s="548"/>
      <c r="Q836" s="548"/>
      <c r="R836" s="548"/>
      <c r="S836" s="548"/>
      <c r="T836" s="548"/>
      <c r="U836" s="548"/>
      <c r="V836" s="548"/>
      <c r="W836" s="548"/>
      <c r="X836" s="548"/>
      <c r="Y836" s="548"/>
      <c r="Z836" s="548"/>
    </row>
    <row r="837" ht="15.75" customHeight="1">
      <c r="A837" s="548"/>
      <c r="B837" s="548"/>
      <c r="C837" s="548"/>
      <c r="D837" s="548"/>
      <c r="E837" s="548"/>
      <c r="F837" s="549"/>
      <c r="G837" s="548"/>
      <c r="H837" s="548"/>
      <c r="I837" s="548"/>
      <c r="J837" s="548"/>
      <c r="K837" s="548"/>
      <c r="L837" s="548"/>
      <c r="M837" s="548"/>
      <c r="N837" s="548"/>
      <c r="O837" s="548"/>
      <c r="P837" s="548"/>
      <c r="Q837" s="548"/>
      <c r="R837" s="548"/>
      <c r="S837" s="548"/>
      <c r="T837" s="548"/>
      <c r="U837" s="548"/>
      <c r="V837" s="548"/>
      <c r="W837" s="548"/>
      <c r="X837" s="548"/>
      <c r="Y837" s="548"/>
      <c r="Z837" s="548"/>
    </row>
    <row r="838" ht="15.75" customHeight="1">
      <c r="A838" s="548"/>
      <c r="B838" s="548"/>
      <c r="C838" s="548"/>
      <c r="D838" s="548"/>
      <c r="E838" s="548"/>
      <c r="F838" s="549"/>
      <c r="G838" s="548"/>
      <c r="H838" s="548"/>
      <c r="I838" s="548"/>
      <c r="J838" s="548"/>
      <c r="K838" s="548"/>
      <c r="L838" s="548"/>
      <c r="M838" s="548"/>
      <c r="N838" s="548"/>
      <c r="O838" s="548"/>
      <c r="P838" s="548"/>
      <c r="Q838" s="548"/>
      <c r="R838" s="548"/>
      <c r="S838" s="548"/>
      <c r="T838" s="548"/>
      <c r="U838" s="548"/>
      <c r="V838" s="548"/>
      <c r="W838" s="548"/>
      <c r="X838" s="548"/>
      <c r="Y838" s="548"/>
      <c r="Z838" s="548"/>
    </row>
    <row r="839" ht="15.75" customHeight="1">
      <c r="A839" s="548"/>
      <c r="B839" s="548"/>
      <c r="C839" s="548"/>
      <c r="D839" s="548"/>
      <c r="E839" s="548"/>
      <c r="F839" s="549"/>
      <c r="G839" s="548"/>
      <c r="H839" s="548"/>
      <c r="I839" s="548"/>
      <c r="J839" s="548"/>
      <c r="K839" s="548"/>
      <c r="L839" s="548"/>
      <c r="M839" s="548"/>
      <c r="N839" s="548"/>
      <c r="O839" s="548"/>
      <c r="P839" s="548"/>
      <c r="Q839" s="548"/>
      <c r="R839" s="548"/>
      <c r="S839" s="548"/>
      <c r="T839" s="548"/>
      <c r="U839" s="548"/>
      <c r="V839" s="548"/>
      <c r="W839" s="548"/>
      <c r="X839" s="548"/>
      <c r="Y839" s="548"/>
      <c r="Z839" s="548"/>
    </row>
    <row r="840" ht="15.75" customHeight="1">
      <c r="A840" s="548"/>
      <c r="B840" s="548"/>
      <c r="C840" s="548"/>
      <c r="D840" s="548"/>
      <c r="E840" s="548"/>
      <c r="F840" s="549"/>
      <c r="G840" s="548"/>
      <c r="H840" s="548"/>
      <c r="I840" s="548"/>
      <c r="J840" s="548"/>
      <c r="K840" s="548"/>
      <c r="L840" s="548"/>
      <c r="M840" s="548"/>
      <c r="N840" s="548"/>
      <c r="O840" s="548"/>
      <c r="P840" s="548"/>
      <c r="Q840" s="548"/>
      <c r="R840" s="548"/>
      <c r="S840" s="548"/>
      <c r="T840" s="548"/>
      <c r="U840" s="548"/>
      <c r="V840" s="548"/>
      <c r="W840" s="548"/>
      <c r="X840" s="548"/>
      <c r="Y840" s="548"/>
      <c r="Z840" s="548"/>
    </row>
    <row r="841" ht="15.75" customHeight="1">
      <c r="A841" s="548"/>
      <c r="B841" s="548"/>
      <c r="C841" s="548"/>
      <c r="D841" s="548"/>
      <c r="E841" s="548"/>
      <c r="F841" s="549"/>
      <c r="G841" s="548"/>
      <c r="H841" s="548"/>
      <c r="I841" s="548"/>
      <c r="J841" s="548"/>
      <c r="K841" s="548"/>
      <c r="L841" s="548"/>
      <c r="M841" s="548"/>
      <c r="N841" s="548"/>
      <c r="O841" s="548"/>
      <c r="P841" s="548"/>
      <c r="Q841" s="548"/>
      <c r="R841" s="548"/>
      <c r="S841" s="548"/>
      <c r="T841" s="548"/>
      <c r="U841" s="548"/>
      <c r="V841" s="548"/>
      <c r="W841" s="548"/>
      <c r="X841" s="548"/>
      <c r="Y841" s="548"/>
      <c r="Z841" s="548"/>
    </row>
    <row r="842" ht="15.75" customHeight="1">
      <c r="A842" s="548"/>
      <c r="B842" s="548"/>
      <c r="C842" s="548"/>
      <c r="D842" s="548"/>
      <c r="E842" s="548"/>
      <c r="F842" s="549"/>
      <c r="G842" s="548"/>
      <c r="H842" s="548"/>
      <c r="I842" s="548"/>
      <c r="J842" s="548"/>
      <c r="K842" s="548"/>
      <c r="L842" s="548"/>
      <c r="M842" s="548"/>
      <c r="N842" s="548"/>
      <c r="O842" s="548"/>
      <c r="P842" s="548"/>
      <c r="Q842" s="548"/>
      <c r="R842" s="548"/>
      <c r="S842" s="548"/>
      <c r="T842" s="548"/>
      <c r="U842" s="548"/>
      <c r="V842" s="548"/>
      <c r="W842" s="548"/>
      <c r="X842" s="548"/>
      <c r="Y842" s="548"/>
      <c r="Z842" s="548"/>
    </row>
    <row r="843" ht="15.75" customHeight="1">
      <c r="A843" s="548"/>
      <c r="B843" s="548"/>
      <c r="C843" s="548"/>
      <c r="D843" s="548"/>
      <c r="E843" s="548"/>
      <c r="F843" s="549"/>
      <c r="G843" s="548"/>
      <c r="H843" s="548"/>
      <c r="I843" s="548"/>
      <c r="J843" s="548"/>
      <c r="K843" s="548"/>
      <c r="L843" s="548"/>
      <c r="M843" s="548"/>
      <c r="N843" s="548"/>
      <c r="O843" s="548"/>
      <c r="P843" s="548"/>
      <c r="Q843" s="548"/>
      <c r="R843" s="548"/>
      <c r="S843" s="548"/>
      <c r="T843" s="548"/>
      <c r="U843" s="548"/>
      <c r="V843" s="548"/>
      <c r="W843" s="548"/>
      <c r="X843" s="548"/>
      <c r="Y843" s="548"/>
      <c r="Z843" s="548"/>
    </row>
    <row r="844" ht="15.75" customHeight="1">
      <c r="A844" s="548"/>
      <c r="B844" s="548"/>
      <c r="C844" s="548"/>
      <c r="D844" s="548"/>
      <c r="E844" s="548"/>
      <c r="F844" s="549"/>
      <c r="G844" s="548"/>
      <c r="H844" s="548"/>
      <c r="I844" s="548"/>
      <c r="J844" s="548"/>
      <c r="K844" s="548"/>
      <c r="L844" s="548"/>
      <c r="M844" s="548"/>
      <c r="N844" s="548"/>
      <c r="O844" s="548"/>
      <c r="P844" s="548"/>
      <c r="Q844" s="548"/>
      <c r="R844" s="548"/>
      <c r="S844" s="548"/>
      <c r="T844" s="548"/>
      <c r="U844" s="548"/>
      <c r="V844" s="548"/>
      <c r="W844" s="548"/>
      <c r="X844" s="548"/>
      <c r="Y844" s="548"/>
      <c r="Z844" s="548"/>
    </row>
    <row r="845" ht="15.75" customHeight="1">
      <c r="A845" s="548"/>
      <c r="B845" s="548"/>
      <c r="C845" s="548"/>
      <c r="D845" s="548"/>
      <c r="E845" s="548"/>
      <c r="F845" s="549"/>
      <c r="G845" s="548"/>
      <c r="H845" s="548"/>
      <c r="I845" s="548"/>
      <c r="J845" s="548"/>
      <c r="K845" s="548"/>
      <c r="L845" s="548"/>
      <c r="M845" s="548"/>
      <c r="N845" s="548"/>
      <c r="O845" s="548"/>
      <c r="P845" s="548"/>
      <c r="Q845" s="548"/>
      <c r="R845" s="548"/>
      <c r="S845" s="548"/>
      <c r="T845" s="548"/>
      <c r="U845" s="548"/>
      <c r="V845" s="548"/>
      <c r="W845" s="548"/>
      <c r="X845" s="548"/>
      <c r="Y845" s="548"/>
      <c r="Z845" s="548"/>
    </row>
    <row r="846" ht="15.75" customHeight="1">
      <c r="A846" s="548"/>
      <c r="B846" s="548"/>
      <c r="C846" s="548"/>
      <c r="D846" s="548"/>
      <c r="E846" s="548"/>
      <c r="F846" s="549"/>
      <c r="G846" s="548"/>
      <c r="H846" s="548"/>
      <c r="I846" s="548"/>
      <c r="J846" s="548"/>
      <c r="K846" s="548"/>
      <c r="L846" s="548"/>
      <c r="M846" s="548"/>
      <c r="N846" s="548"/>
      <c r="O846" s="548"/>
      <c r="P846" s="548"/>
      <c r="Q846" s="548"/>
      <c r="R846" s="548"/>
      <c r="S846" s="548"/>
      <c r="T846" s="548"/>
      <c r="U846" s="548"/>
      <c r="V846" s="548"/>
      <c r="W846" s="548"/>
      <c r="X846" s="548"/>
      <c r="Y846" s="548"/>
      <c r="Z846" s="548"/>
    </row>
    <row r="847" ht="15.75" customHeight="1">
      <c r="A847" s="548"/>
      <c r="B847" s="548"/>
      <c r="C847" s="548"/>
      <c r="D847" s="548"/>
      <c r="E847" s="548"/>
      <c r="F847" s="549"/>
      <c r="G847" s="548"/>
      <c r="H847" s="548"/>
      <c r="I847" s="548"/>
      <c r="J847" s="548"/>
      <c r="K847" s="548"/>
      <c r="L847" s="548"/>
      <c r="M847" s="548"/>
      <c r="N847" s="548"/>
      <c r="O847" s="548"/>
      <c r="P847" s="548"/>
      <c r="Q847" s="548"/>
      <c r="R847" s="548"/>
      <c r="S847" s="548"/>
      <c r="T847" s="548"/>
      <c r="U847" s="548"/>
      <c r="V847" s="548"/>
      <c r="W847" s="548"/>
      <c r="X847" s="548"/>
      <c r="Y847" s="548"/>
      <c r="Z847" s="548"/>
    </row>
    <row r="848" ht="15.75" customHeight="1">
      <c r="A848" s="548"/>
      <c r="B848" s="548"/>
      <c r="C848" s="548"/>
      <c r="D848" s="548"/>
      <c r="E848" s="548"/>
      <c r="F848" s="549"/>
      <c r="G848" s="548"/>
      <c r="H848" s="548"/>
      <c r="I848" s="548"/>
      <c r="J848" s="548"/>
      <c r="K848" s="548"/>
      <c r="L848" s="548"/>
      <c r="M848" s="548"/>
      <c r="N848" s="548"/>
      <c r="O848" s="548"/>
      <c r="P848" s="548"/>
      <c r="Q848" s="548"/>
      <c r="R848" s="548"/>
      <c r="S848" s="548"/>
      <c r="T848" s="548"/>
      <c r="U848" s="548"/>
      <c r="V848" s="548"/>
      <c r="W848" s="548"/>
      <c r="X848" s="548"/>
      <c r="Y848" s="548"/>
      <c r="Z848" s="548"/>
    </row>
    <row r="849" ht="15.75" customHeight="1">
      <c r="A849" s="548"/>
      <c r="B849" s="548"/>
      <c r="C849" s="548"/>
      <c r="D849" s="548"/>
      <c r="E849" s="548"/>
      <c r="F849" s="549"/>
      <c r="G849" s="548"/>
      <c r="H849" s="548"/>
      <c r="I849" s="548"/>
      <c r="J849" s="548"/>
      <c r="K849" s="548"/>
      <c r="L849" s="548"/>
      <c r="M849" s="548"/>
      <c r="N849" s="548"/>
      <c r="O849" s="548"/>
      <c r="P849" s="548"/>
      <c r="Q849" s="548"/>
      <c r="R849" s="548"/>
      <c r="S849" s="548"/>
      <c r="T849" s="548"/>
      <c r="U849" s="548"/>
      <c r="V849" s="548"/>
      <c r="W849" s="548"/>
      <c r="X849" s="548"/>
      <c r="Y849" s="548"/>
      <c r="Z849" s="548"/>
    </row>
    <row r="850" ht="15.75" customHeight="1">
      <c r="A850" s="548"/>
      <c r="B850" s="548"/>
      <c r="C850" s="548"/>
      <c r="D850" s="548"/>
      <c r="E850" s="548"/>
      <c r="F850" s="549"/>
      <c r="G850" s="548"/>
      <c r="H850" s="548"/>
      <c r="I850" s="548"/>
      <c r="J850" s="548"/>
      <c r="K850" s="548"/>
      <c r="L850" s="548"/>
      <c r="M850" s="548"/>
      <c r="N850" s="548"/>
      <c r="O850" s="548"/>
      <c r="P850" s="548"/>
      <c r="Q850" s="548"/>
      <c r="R850" s="548"/>
      <c r="S850" s="548"/>
      <c r="T850" s="548"/>
      <c r="U850" s="548"/>
      <c r="V850" s="548"/>
      <c r="W850" s="548"/>
      <c r="X850" s="548"/>
      <c r="Y850" s="548"/>
      <c r="Z850" s="548"/>
    </row>
    <row r="851" ht="15.75" customHeight="1">
      <c r="A851" s="548"/>
      <c r="B851" s="548"/>
      <c r="C851" s="548"/>
      <c r="D851" s="548"/>
      <c r="E851" s="548"/>
      <c r="F851" s="549"/>
      <c r="G851" s="548"/>
      <c r="H851" s="548"/>
      <c r="I851" s="548"/>
      <c r="J851" s="548"/>
      <c r="K851" s="548"/>
      <c r="L851" s="548"/>
      <c r="M851" s="548"/>
      <c r="N851" s="548"/>
      <c r="O851" s="548"/>
      <c r="P851" s="548"/>
      <c r="Q851" s="548"/>
      <c r="R851" s="548"/>
      <c r="S851" s="548"/>
      <c r="T851" s="548"/>
      <c r="U851" s="548"/>
      <c r="V851" s="548"/>
      <c r="W851" s="548"/>
      <c r="X851" s="548"/>
      <c r="Y851" s="548"/>
      <c r="Z851" s="548"/>
    </row>
    <row r="852" ht="15.75" customHeight="1">
      <c r="A852" s="548"/>
      <c r="B852" s="548"/>
      <c r="C852" s="548"/>
      <c r="D852" s="548"/>
      <c r="E852" s="548"/>
      <c r="F852" s="549"/>
      <c r="G852" s="548"/>
      <c r="H852" s="548"/>
      <c r="I852" s="548"/>
      <c r="J852" s="548"/>
      <c r="K852" s="548"/>
      <c r="L852" s="548"/>
      <c r="M852" s="548"/>
      <c r="N852" s="548"/>
      <c r="O852" s="548"/>
      <c r="P852" s="548"/>
      <c r="Q852" s="548"/>
      <c r="R852" s="548"/>
      <c r="S852" s="548"/>
      <c r="T852" s="548"/>
      <c r="U852" s="548"/>
      <c r="V852" s="548"/>
      <c r="W852" s="548"/>
      <c r="X852" s="548"/>
      <c r="Y852" s="548"/>
      <c r="Z852" s="548"/>
    </row>
    <row r="853" ht="15.75" customHeight="1">
      <c r="A853" s="548"/>
      <c r="B853" s="548"/>
      <c r="C853" s="548"/>
      <c r="D853" s="548"/>
      <c r="E853" s="548"/>
      <c r="F853" s="549"/>
      <c r="G853" s="548"/>
      <c r="H853" s="548"/>
      <c r="I853" s="548"/>
      <c r="J853" s="548"/>
      <c r="K853" s="548"/>
      <c r="L853" s="548"/>
      <c r="M853" s="548"/>
      <c r="N853" s="548"/>
      <c r="O853" s="548"/>
      <c r="P853" s="548"/>
      <c r="Q853" s="548"/>
      <c r="R853" s="548"/>
      <c r="S853" s="548"/>
      <c r="T853" s="548"/>
      <c r="U853" s="548"/>
      <c r="V853" s="548"/>
      <c r="W853" s="548"/>
      <c r="X853" s="548"/>
      <c r="Y853" s="548"/>
      <c r="Z853" s="548"/>
    </row>
    <row r="854" ht="15.75" customHeight="1">
      <c r="A854" s="548"/>
      <c r="B854" s="548"/>
      <c r="C854" s="548"/>
      <c r="D854" s="548"/>
      <c r="E854" s="548"/>
      <c r="F854" s="549"/>
      <c r="G854" s="548"/>
      <c r="H854" s="548"/>
      <c r="I854" s="548"/>
      <c r="J854" s="548"/>
      <c r="K854" s="548"/>
      <c r="L854" s="548"/>
      <c r="M854" s="548"/>
      <c r="N854" s="548"/>
      <c r="O854" s="548"/>
      <c r="P854" s="548"/>
      <c r="Q854" s="548"/>
      <c r="R854" s="548"/>
      <c r="S854" s="548"/>
      <c r="T854" s="548"/>
      <c r="U854" s="548"/>
      <c r="V854" s="548"/>
      <c r="W854" s="548"/>
      <c r="X854" s="548"/>
      <c r="Y854" s="548"/>
      <c r="Z854" s="548"/>
    </row>
    <row r="855" ht="15.75" customHeight="1">
      <c r="A855" s="548"/>
      <c r="B855" s="548"/>
      <c r="C855" s="548"/>
      <c r="D855" s="548"/>
      <c r="E855" s="548"/>
      <c r="F855" s="549"/>
      <c r="G855" s="548"/>
      <c r="H855" s="548"/>
      <c r="I855" s="548"/>
      <c r="J855" s="548"/>
      <c r="K855" s="548"/>
      <c r="L855" s="548"/>
      <c r="M855" s="548"/>
      <c r="N855" s="548"/>
      <c r="O855" s="548"/>
      <c r="P855" s="548"/>
      <c r="Q855" s="548"/>
      <c r="R855" s="548"/>
      <c r="S855" s="548"/>
      <c r="T855" s="548"/>
      <c r="U855" s="548"/>
      <c r="V855" s="548"/>
      <c r="W855" s="548"/>
      <c r="X855" s="548"/>
      <c r="Y855" s="548"/>
      <c r="Z855" s="548"/>
    </row>
    <row r="856" ht="15.75" customHeight="1">
      <c r="A856" s="548"/>
      <c r="B856" s="548"/>
      <c r="C856" s="548"/>
      <c r="D856" s="548"/>
      <c r="E856" s="548"/>
      <c r="F856" s="549"/>
      <c r="G856" s="548"/>
      <c r="H856" s="548"/>
      <c r="I856" s="548"/>
      <c r="J856" s="548"/>
      <c r="K856" s="548"/>
      <c r="L856" s="548"/>
      <c r="M856" s="548"/>
      <c r="N856" s="548"/>
      <c r="O856" s="548"/>
      <c r="P856" s="548"/>
      <c r="Q856" s="548"/>
      <c r="R856" s="548"/>
      <c r="S856" s="548"/>
      <c r="T856" s="548"/>
      <c r="U856" s="548"/>
      <c r="V856" s="548"/>
      <c r="W856" s="548"/>
      <c r="X856" s="548"/>
      <c r="Y856" s="548"/>
      <c r="Z856" s="548"/>
    </row>
    <row r="857" ht="15.75" customHeight="1">
      <c r="A857" s="548"/>
      <c r="B857" s="548"/>
      <c r="C857" s="548"/>
      <c r="D857" s="548"/>
      <c r="E857" s="548"/>
      <c r="F857" s="549"/>
      <c r="G857" s="548"/>
      <c r="H857" s="548"/>
      <c r="I857" s="548"/>
      <c r="J857" s="548"/>
      <c r="K857" s="548"/>
      <c r="L857" s="548"/>
      <c r="M857" s="548"/>
      <c r="N857" s="548"/>
      <c r="O857" s="548"/>
      <c r="P857" s="548"/>
      <c r="Q857" s="548"/>
      <c r="R857" s="548"/>
      <c r="S857" s="548"/>
      <c r="T857" s="548"/>
      <c r="U857" s="548"/>
      <c r="V857" s="548"/>
      <c r="W857" s="548"/>
      <c r="X857" s="548"/>
      <c r="Y857" s="548"/>
      <c r="Z857" s="548"/>
    </row>
    <row r="858" ht="15.75" customHeight="1">
      <c r="A858" s="548"/>
      <c r="B858" s="548"/>
      <c r="C858" s="548"/>
      <c r="D858" s="548"/>
      <c r="E858" s="548"/>
      <c r="F858" s="549"/>
      <c r="G858" s="548"/>
      <c r="H858" s="548"/>
      <c r="I858" s="548"/>
      <c r="J858" s="548"/>
      <c r="K858" s="548"/>
      <c r="L858" s="548"/>
      <c r="M858" s="548"/>
      <c r="N858" s="548"/>
      <c r="O858" s="548"/>
      <c r="P858" s="548"/>
      <c r="Q858" s="548"/>
      <c r="R858" s="548"/>
      <c r="S858" s="548"/>
      <c r="T858" s="548"/>
      <c r="U858" s="548"/>
      <c r="V858" s="548"/>
      <c r="W858" s="548"/>
      <c r="X858" s="548"/>
      <c r="Y858" s="548"/>
      <c r="Z858" s="548"/>
    </row>
    <row r="859" ht="15.75" customHeight="1">
      <c r="A859" s="548"/>
      <c r="B859" s="548"/>
      <c r="C859" s="548"/>
      <c r="D859" s="548"/>
      <c r="E859" s="548"/>
      <c r="F859" s="549"/>
      <c r="G859" s="548"/>
      <c r="H859" s="548"/>
      <c r="I859" s="548"/>
      <c r="J859" s="548"/>
      <c r="K859" s="548"/>
      <c r="L859" s="548"/>
      <c r="M859" s="548"/>
      <c r="N859" s="548"/>
      <c r="O859" s="548"/>
      <c r="P859" s="548"/>
      <c r="Q859" s="548"/>
      <c r="R859" s="548"/>
      <c r="S859" s="548"/>
      <c r="T859" s="548"/>
      <c r="U859" s="548"/>
      <c r="V859" s="548"/>
      <c r="W859" s="548"/>
      <c r="X859" s="548"/>
      <c r="Y859" s="548"/>
      <c r="Z859" s="548"/>
    </row>
    <row r="860" ht="15.75" customHeight="1">
      <c r="A860" s="548"/>
      <c r="B860" s="548"/>
      <c r="C860" s="548"/>
      <c r="D860" s="548"/>
      <c r="E860" s="548"/>
      <c r="F860" s="549"/>
      <c r="G860" s="548"/>
      <c r="H860" s="548"/>
      <c r="I860" s="548"/>
      <c r="J860" s="548"/>
      <c r="K860" s="548"/>
      <c r="L860" s="548"/>
      <c r="M860" s="548"/>
      <c r="N860" s="548"/>
      <c r="O860" s="548"/>
      <c r="P860" s="548"/>
      <c r="Q860" s="548"/>
      <c r="R860" s="548"/>
      <c r="S860" s="548"/>
      <c r="T860" s="548"/>
      <c r="U860" s="548"/>
      <c r="V860" s="548"/>
      <c r="W860" s="548"/>
      <c r="X860" s="548"/>
      <c r="Y860" s="548"/>
      <c r="Z860" s="548"/>
    </row>
    <row r="861" ht="15.75" customHeight="1">
      <c r="A861" s="548"/>
      <c r="B861" s="548"/>
      <c r="C861" s="548"/>
      <c r="D861" s="548"/>
      <c r="E861" s="548"/>
      <c r="F861" s="549"/>
      <c r="G861" s="548"/>
      <c r="H861" s="548"/>
      <c r="I861" s="548"/>
      <c r="J861" s="548"/>
      <c r="K861" s="548"/>
      <c r="L861" s="548"/>
      <c r="M861" s="548"/>
      <c r="N861" s="548"/>
      <c r="O861" s="548"/>
      <c r="P861" s="548"/>
      <c r="Q861" s="548"/>
      <c r="R861" s="548"/>
      <c r="S861" s="548"/>
      <c r="T861" s="548"/>
      <c r="U861" s="548"/>
      <c r="V861" s="548"/>
      <c r="W861" s="548"/>
      <c r="X861" s="548"/>
      <c r="Y861" s="548"/>
      <c r="Z861" s="548"/>
    </row>
    <row r="862" ht="15.75" customHeight="1">
      <c r="A862" s="548"/>
      <c r="B862" s="548"/>
      <c r="C862" s="548"/>
      <c r="D862" s="548"/>
      <c r="E862" s="548"/>
      <c r="F862" s="549"/>
      <c r="G862" s="548"/>
      <c r="H862" s="548"/>
      <c r="I862" s="548"/>
      <c r="J862" s="548"/>
      <c r="K862" s="548"/>
      <c r="L862" s="548"/>
      <c r="M862" s="548"/>
      <c r="N862" s="548"/>
      <c r="O862" s="548"/>
      <c r="P862" s="548"/>
      <c r="Q862" s="548"/>
      <c r="R862" s="548"/>
      <c r="S862" s="548"/>
      <c r="T862" s="548"/>
      <c r="U862" s="548"/>
      <c r="V862" s="548"/>
      <c r="W862" s="548"/>
      <c r="X862" s="548"/>
      <c r="Y862" s="548"/>
      <c r="Z862" s="548"/>
    </row>
    <row r="863" ht="15.75" customHeight="1">
      <c r="A863" s="548"/>
      <c r="B863" s="548"/>
      <c r="C863" s="548"/>
      <c r="D863" s="548"/>
      <c r="E863" s="548"/>
      <c r="F863" s="549"/>
      <c r="G863" s="548"/>
      <c r="H863" s="548"/>
      <c r="I863" s="548"/>
      <c r="J863" s="548"/>
      <c r="K863" s="548"/>
      <c r="L863" s="548"/>
      <c r="M863" s="548"/>
      <c r="N863" s="548"/>
      <c r="O863" s="548"/>
      <c r="P863" s="548"/>
      <c r="Q863" s="548"/>
      <c r="R863" s="548"/>
      <c r="S863" s="548"/>
      <c r="T863" s="548"/>
      <c r="U863" s="548"/>
      <c r="V863" s="548"/>
      <c r="W863" s="548"/>
      <c r="X863" s="548"/>
      <c r="Y863" s="548"/>
      <c r="Z863" s="548"/>
    </row>
    <row r="864" ht="15.75" customHeight="1">
      <c r="A864" s="548"/>
      <c r="B864" s="548"/>
      <c r="C864" s="548"/>
      <c r="D864" s="548"/>
      <c r="E864" s="548"/>
      <c r="F864" s="549"/>
      <c r="G864" s="548"/>
      <c r="H864" s="548"/>
      <c r="I864" s="548"/>
      <c r="J864" s="548"/>
      <c r="K864" s="548"/>
      <c r="L864" s="548"/>
      <c r="M864" s="548"/>
      <c r="N864" s="548"/>
      <c r="O864" s="548"/>
      <c r="P864" s="548"/>
      <c r="Q864" s="548"/>
      <c r="R864" s="548"/>
      <c r="S864" s="548"/>
      <c r="T864" s="548"/>
      <c r="U864" s="548"/>
      <c r="V864" s="548"/>
      <c r="W864" s="548"/>
      <c r="X864" s="548"/>
      <c r="Y864" s="548"/>
      <c r="Z864" s="548"/>
    </row>
    <row r="865" ht="15.75" customHeight="1">
      <c r="A865" s="548"/>
      <c r="B865" s="548"/>
      <c r="C865" s="548"/>
      <c r="D865" s="548"/>
      <c r="E865" s="548"/>
      <c r="F865" s="549"/>
      <c r="G865" s="548"/>
      <c r="H865" s="548"/>
      <c r="I865" s="548"/>
      <c r="J865" s="548"/>
      <c r="K865" s="548"/>
      <c r="L865" s="548"/>
      <c r="M865" s="548"/>
      <c r="N865" s="548"/>
      <c r="O865" s="548"/>
      <c r="P865" s="548"/>
      <c r="Q865" s="548"/>
      <c r="R865" s="548"/>
      <c r="S865" s="548"/>
      <c r="T865" s="548"/>
      <c r="U865" s="548"/>
      <c r="V865" s="548"/>
      <c r="W865" s="548"/>
      <c r="X865" s="548"/>
      <c r="Y865" s="548"/>
      <c r="Z865" s="548"/>
    </row>
    <row r="866" ht="15.75" customHeight="1">
      <c r="A866" s="548"/>
      <c r="B866" s="548"/>
      <c r="C866" s="548"/>
      <c r="D866" s="548"/>
      <c r="E866" s="548"/>
      <c r="F866" s="549"/>
      <c r="G866" s="548"/>
      <c r="H866" s="548"/>
      <c r="I866" s="548"/>
      <c r="J866" s="548"/>
      <c r="K866" s="548"/>
      <c r="L866" s="548"/>
      <c r="M866" s="548"/>
      <c r="N866" s="548"/>
      <c r="O866" s="548"/>
      <c r="P866" s="548"/>
      <c r="Q866" s="548"/>
      <c r="R866" s="548"/>
      <c r="S866" s="548"/>
      <c r="T866" s="548"/>
      <c r="U866" s="548"/>
      <c r="V866" s="548"/>
      <c r="W866" s="548"/>
      <c r="X866" s="548"/>
      <c r="Y866" s="548"/>
      <c r="Z866" s="548"/>
    </row>
    <row r="867" ht="15.75" customHeight="1">
      <c r="A867" s="548"/>
      <c r="B867" s="548"/>
      <c r="C867" s="548"/>
      <c r="D867" s="548"/>
      <c r="E867" s="548"/>
      <c r="F867" s="549"/>
      <c r="G867" s="548"/>
      <c r="H867" s="548"/>
      <c r="I867" s="548"/>
      <c r="J867" s="548"/>
      <c r="K867" s="548"/>
      <c r="L867" s="548"/>
      <c r="M867" s="548"/>
      <c r="N867" s="548"/>
      <c r="O867" s="548"/>
      <c r="P867" s="548"/>
      <c r="Q867" s="548"/>
      <c r="R867" s="548"/>
      <c r="S867" s="548"/>
      <c r="T867" s="548"/>
      <c r="U867" s="548"/>
      <c r="V867" s="548"/>
      <c r="W867" s="548"/>
      <c r="X867" s="548"/>
      <c r="Y867" s="548"/>
      <c r="Z867" s="548"/>
    </row>
    <row r="868" ht="15.75" customHeight="1">
      <c r="A868" s="548"/>
      <c r="B868" s="548"/>
      <c r="C868" s="548"/>
      <c r="D868" s="548"/>
      <c r="E868" s="548"/>
      <c r="F868" s="549"/>
      <c r="G868" s="548"/>
      <c r="H868" s="548"/>
      <c r="I868" s="548"/>
      <c r="J868" s="548"/>
      <c r="K868" s="548"/>
      <c r="L868" s="548"/>
      <c r="M868" s="548"/>
      <c r="N868" s="548"/>
      <c r="O868" s="548"/>
      <c r="P868" s="548"/>
      <c r="Q868" s="548"/>
      <c r="R868" s="548"/>
      <c r="S868" s="548"/>
      <c r="T868" s="548"/>
      <c r="U868" s="548"/>
      <c r="V868" s="548"/>
      <c r="W868" s="548"/>
      <c r="X868" s="548"/>
      <c r="Y868" s="548"/>
      <c r="Z868" s="548"/>
    </row>
    <row r="869" ht="15.75" customHeight="1">
      <c r="A869" s="548"/>
      <c r="B869" s="548"/>
      <c r="C869" s="548"/>
      <c r="D869" s="548"/>
      <c r="E869" s="548"/>
      <c r="F869" s="549"/>
      <c r="G869" s="548"/>
      <c r="H869" s="548"/>
      <c r="I869" s="548"/>
      <c r="J869" s="548"/>
      <c r="K869" s="548"/>
      <c r="L869" s="548"/>
      <c r="M869" s="548"/>
      <c r="N869" s="548"/>
      <c r="O869" s="548"/>
      <c r="P869" s="548"/>
      <c r="Q869" s="548"/>
      <c r="R869" s="548"/>
      <c r="S869" s="548"/>
      <c r="T869" s="548"/>
      <c r="U869" s="548"/>
      <c r="V869" s="548"/>
      <c r="W869" s="548"/>
      <c r="X869" s="548"/>
      <c r="Y869" s="548"/>
      <c r="Z869" s="548"/>
    </row>
    <row r="870" ht="15.75" customHeight="1">
      <c r="A870" s="548"/>
      <c r="B870" s="548"/>
      <c r="C870" s="548"/>
      <c r="D870" s="548"/>
      <c r="E870" s="548"/>
      <c r="F870" s="549"/>
      <c r="G870" s="548"/>
      <c r="H870" s="548"/>
      <c r="I870" s="548"/>
      <c r="J870" s="548"/>
      <c r="K870" s="548"/>
      <c r="L870" s="548"/>
      <c r="M870" s="548"/>
      <c r="N870" s="548"/>
      <c r="O870" s="548"/>
      <c r="P870" s="548"/>
      <c r="Q870" s="548"/>
      <c r="R870" s="548"/>
      <c r="S870" s="548"/>
      <c r="T870" s="548"/>
      <c r="U870" s="548"/>
      <c r="V870" s="548"/>
      <c r="W870" s="548"/>
      <c r="X870" s="548"/>
      <c r="Y870" s="548"/>
      <c r="Z870" s="548"/>
    </row>
    <row r="871" ht="15.75" customHeight="1">
      <c r="A871" s="548"/>
      <c r="B871" s="548"/>
      <c r="C871" s="548"/>
      <c r="D871" s="548"/>
      <c r="E871" s="548"/>
      <c r="F871" s="549"/>
      <c r="G871" s="548"/>
      <c r="H871" s="548"/>
      <c r="I871" s="548"/>
      <c r="J871" s="548"/>
      <c r="K871" s="548"/>
      <c r="L871" s="548"/>
      <c r="M871" s="548"/>
      <c r="N871" s="548"/>
      <c r="O871" s="548"/>
      <c r="P871" s="548"/>
      <c r="Q871" s="548"/>
      <c r="R871" s="548"/>
      <c r="S871" s="548"/>
      <c r="T871" s="548"/>
      <c r="U871" s="548"/>
      <c r="V871" s="548"/>
      <c r="W871" s="548"/>
      <c r="X871" s="548"/>
      <c r="Y871" s="548"/>
      <c r="Z871" s="548"/>
    </row>
    <row r="872" ht="15.75" customHeight="1">
      <c r="A872" s="548"/>
      <c r="B872" s="548"/>
      <c r="C872" s="548"/>
      <c r="D872" s="548"/>
      <c r="E872" s="548"/>
      <c r="F872" s="549"/>
      <c r="G872" s="548"/>
      <c r="H872" s="548"/>
      <c r="I872" s="548"/>
      <c r="J872" s="548"/>
      <c r="K872" s="548"/>
      <c r="L872" s="548"/>
      <c r="M872" s="548"/>
      <c r="N872" s="548"/>
      <c r="O872" s="548"/>
      <c r="P872" s="548"/>
      <c r="Q872" s="548"/>
      <c r="R872" s="548"/>
      <c r="S872" s="548"/>
      <c r="T872" s="548"/>
      <c r="U872" s="548"/>
      <c r="V872" s="548"/>
      <c r="W872" s="548"/>
      <c r="X872" s="548"/>
      <c r="Y872" s="548"/>
      <c r="Z872" s="548"/>
    </row>
    <row r="873" ht="15.75" customHeight="1">
      <c r="A873" s="548"/>
      <c r="B873" s="548"/>
      <c r="C873" s="548"/>
      <c r="D873" s="548"/>
      <c r="E873" s="548"/>
      <c r="F873" s="549"/>
      <c r="G873" s="548"/>
      <c r="H873" s="548"/>
      <c r="I873" s="548"/>
      <c r="J873" s="548"/>
      <c r="K873" s="548"/>
      <c r="L873" s="548"/>
      <c r="M873" s="548"/>
      <c r="N873" s="548"/>
      <c r="O873" s="548"/>
      <c r="P873" s="548"/>
      <c r="Q873" s="548"/>
      <c r="R873" s="548"/>
      <c r="S873" s="548"/>
      <c r="T873" s="548"/>
      <c r="U873" s="548"/>
      <c r="V873" s="548"/>
      <c r="W873" s="548"/>
      <c r="X873" s="548"/>
      <c r="Y873" s="548"/>
      <c r="Z873" s="548"/>
    </row>
    <row r="874" ht="15.75" customHeight="1">
      <c r="A874" s="548"/>
      <c r="B874" s="548"/>
      <c r="C874" s="548"/>
      <c r="D874" s="548"/>
      <c r="E874" s="548"/>
      <c r="F874" s="549"/>
      <c r="G874" s="548"/>
      <c r="H874" s="548"/>
      <c r="I874" s="548"/>
      <c r="J874" s="548"/>
      <c r="K874" s="548"/>
      <c r="L874" s="548"/>
      <c r="M874" s="548"/>
      <c r="N874" s="548"/>
      <c r="O874" s="548"/>
      <c r="P874" s="548"/>
      <c r="Q874" s="548"/>
      <c r="R874" s="548"/>
      <c r="S874" s="548"/>
      <c r="T874" s="548"/>
      <c r="U874" s="548"/>
      <c r="V874" s="548"/>
      <c r="W874" s="548"/>
      <c r="X874" s="548"/>
      <c r="Y874" s="548"/>
      <c r="Z874" s="548"/>
    </row>
    <row r="875" ht="15.75" customHeight="1">
      <c r="A875" s="548"/>
      <c r="B875" s="548"/>
      <c r="C875" s="548"/>
      <c r="D875" s="548"/>
      <c r="E875" s="548"/>
      <c r="F875" s="549"/>
      <c r="G875" s="548"/>
      <c r="H875" s="548"/>
      <c r="I875" s="548"/>
      <c r="J875" s="548"/>
      <c r="K875" s="548"/>
      <c r="L875" s="548"/>
      <c r="M875" s="548"/>
      <c r="N875" s="548"/>
      <c r="O875" s="548"/>
      <c r="P875" s="548"/>
      <c r="Q875" s="548"/>
      <c r="R875" s="548"/>
      <c r="S875" s="548"/>
      <c r="T875" s="548"/>
      <c r="U875" s="548"/>
      <c r="V875" s="548"/>
      <c r="W875" s="548"/>
      <c r="X875" s="548"/>
      <c r="Y875" s="548"/>
      <c r="Z875" s="548"/>
    </row>
    <row r="876" ht="15.75" customHeight="1">
      <c r="A876" s="548"/>
      <c r="B876" s="548"/>
      <c r="C876" s="548"/>
      <c r="D876" s="548"/>
      <c r="E876" s="548"/>
      <c r="F876" s="549"/>
      <c r="G876" s="548"/>
      <c r="H876" s="548"/>
      <c r="I876" s="548"/>
      <c r="J876" s="548"/>
      <c r="K876" s="548"/>
      <c r="L876" s="548"/>
      <c r="M876" s="548"/>
      <c r="N876" s="548"/>
      <c r="O876" s="548"/>
      <c r="P876" s="548"/>
      <c r="Q876" s="548"/>
      <c r="R876" s="548"/>
      <c r="S876" s="548"/>
      <c r="T876" s="548"/>
      <c r="U876" s="548"/>
      <c r="V876" s="548"/>
      <c r="W876" s="548"/>
      <c r="X876" s="548"/>
      <c r="Y876" s="548"/>
      <c r="Z876" s="548"/>
    </row>
    <row r="877" ht="15.75" customHeight="1">
      <c r="A877" s="548"/>
      <c r="B877" s="548"/>
      <c r="C877" s="548"/>
      <c r="D877" s="548"/>
      <c r="E877" s="548"/>
      <c r="F877" s="549"/>
      <c r="G877" s="548"/>
      <c r="H877" s="548"/>
      <c r="I877" s="548"/>
      <c r="J877" s="548"/>
      <c r="K877" s="548"/>
      <c r="L877" s="548"/>
      <c r="M877" s="548"/>
      <c r="N877" s="548"/>
      <c r="O877" s="548"/>
      <c r="P877" s="548"/>
      <c r="Q877" s="548"/>
      <c r="R877" s="548"/>
      <c r="S877" s="548"/>
      <c r="T877" s="548"/>
      <c r="U877" s="548"/>
      <c r="V877" s="548"/>
      <c r="W877" s="548"/>
      <c r="X877" s="548"/>
      <c r="Y877" s="548"/>
      <c r="Z877" s="548"/>
    </row>
    <row r="878" ht="15.75" customHeight="1">
      <c r="A878" s="548"/>
      <c r="B878" s="548"/>
      <c r="C878" s="548"/>
      <c r="D878" s="548"/>
      <c r="E878" s="548"/>
      <c r="F878" s="549"/>
      <c r="G878" s="548"/>
      <c r="H878" s="548"/>
      <c r="I878" s="548"/>
      <c r="J878" s="548"/>
      <c r="K878" s="548"/>
      <c r="L878" s="548"/>
      <c r="M878" s="548"/>
      <c r="N878" s="548"/>
      <c r="O878" s="548"/>
      <c r="P878" s="548"/>
      <c r="Q878" s="548"/>
      <c r="R878" s="548"/>
      <c r="S878" s="548"/>
      <c r="T878" s="548"/>
      <c r="U878" s="548"/>
      <c r="V878" s="548"/>
      <c r="W878" s="548"/>
      <c r="X878" s="548"/>
      <c r="Y878" s="548"/>
      <c r="Z878" s="548"/>
    </row>
    <row r="879" ht="15.75" customHeight="1">
      <c r="A879" s="548"/>
      <c r="B879" s="548"/>
      <c r="C879" s="548"/>
      <c r="D879" s="548"/>
      <c r="E879" s="548"/>
      <c r="F879" s="549"/>
      <c r="G879" s="548"/>
      <c r="H879" s="548"/>
      <c r="I879" s="548"/>
      <c r="J879" s="548"/>
      <c r="K879" s="548"/>
      <c r="L879" s="548"/>
      <c r="M879" s="548"/>
      <c r="N879" s="548"/>
      <c r="O879" s="548"/>
      <c r="P879" s="548"/>
      <c r="Q879" s="548"/>
      <c r="R879" s="548"/>
      <c r="S879" s="548"/>
      <c r="T879" s="548"/>
      <c r="U879" s="548"/>
      <c r="V879" s="548"/>
      <c r="W879" s="548"/>
      <c r="X879" s="548"/>
      <c r="Y879" s="548"/>
      <c r="Z879" s="548"/>
    </row>
    <row r="880" ht="15.75" customHeight="1">
      <c r="A880" s="548"/>
      <c r="B880" s="548"/>
      <c r="C880" s="548"/>
      <c r="D880" s="548"/>
      <c r="E880" s="548"/>
      <c r="F880" s="549"/>
      <c r="G880" s="548"/>
      <c r="H880" s="548"/>
      <c r="I880" s="548"/>
      <c r="J880" s="548"/>
      <c r="K880" s="548"/>
      <c r="L880" s="548"/>
      <c r="M880" s="548"/>
      <c r="N880" s="548"/>
      <c r="O880" s="548"/>
      <c r="P880" s="548"/>
      <c r="Q880" s="548"/>
      <c r="R880" s="548"/>
      <c r="S880" s="548"/>
      <c r="T880" s="548"/>
      <c r="U880" s="548"/>
      <c r="V880" s="548"/>
      <c r="W880" s="548"/>
      <c r="X880" s="548"/>
      <c r="Y880" s="548"/>
      <c r="Z880" s="548"/>
    </row>
    <row r="881" ht="15.75" customHeight="1">
      <c r="A881" s="548"/>
      <c r="B881" s="548"/>
      <c r="C881" s="548"/>
      <c r="D881" s="548"/>
      <c r="E881" s="548"/>
      <c r="F881" s="549"/>
      <c r="G881" s="548"/>
      <c r="H881" s="548"/>
      <c r="I881" s="548"/>
      <c r="J881" s="548"/>
      <c r="K881" s="548"/>
      <c r="L881" s="548"/>
      <c r="M881" s="548"/>
      <c r="N881" s="548"/>
      <c r="O881" s="548"/>
      <c r="P881" s="548"/>
      <c r="Q881" s="548"/>
      <c r="R881" s="548"/>
      <c r="S881" s="548"/>
      <c r="T881" s="548"/>
      <c r="U881" s="548"/>
      <c r="V881" s="548"/>
      <c r="W881" s="548"/>
      <c r="X881" s="548"/>
      <c r="Y881" s="548"/>
      <c r="Z881" s="548"/>
    </row>
    <row r="882" ht="15.75" customHeight="1">
      <c r="A882" s="548"/>
      <c r="B882" s="548"/>
      <c r="C882" s="548"/>
      <c r="D882" s="548"/>
      <c r="E882" s="548"/>
      <c r="F882" s="549"/>
      <c r="G882" s="548"/>
      <c r="H882" s="548"/>
      <c r="I882" s="548"/>
      <c r="J882" s="548"/>
      <c r="K882" s="548"/>
      <c r="L882" s="548"/>
      <c r="M882" s="548"/>
      <c r="N882" s="548"/>
      <c r="O882" s="548"/>
      <c r="P882" s="548"/>
      <c r="Q882" s="548"/>
      <c r="R882" s="548"/>
      <c r="S882" s="548"/>
      <c r="T882" s="548"/>
      <c r="U882" s="548"/>
      <c r="V882" s="548"/>
      <c r="W882" s="548"/>
      <c r="X882" s="548"/>
      <c r="Y882" s="548"/>
      <c r="Z882" s="548"/>
    </row>
    <row r="883" ht="15.75" customHeight="1">
      <c r="A883" s="548"/>
      <c r="B883" s="548"/>
      <c r="C883" s="548"/>
      <c r="D883" s="548"/>
      <c r="E883" s="548"/>
      <c r="F883" s="549"/>
      <c r="G883" s="548"/>
      <c r="H883" s="548"/>
      <c r="I883" s="548"/>
      <c r="J883" s="548"/>
      <c r="K883" s="548"/>
      <c r="L883" s="548"/>
      <c r="M883" s="548"/>
      <c r="N883" s="548"/>
      <c r="O883" s="548"/>
      <c r="P883" s="548"/>
      <c r="Q883" s="548"/>
      <c r="R883" s="548"/>
      <c r="S883" s="548"/>
      <c r="T883" s="548"/>
      <c r="U883" s="548"/>
      <c r="V883" s="548"/>
      <c r="W883" s="548"/>
      <c r="X883" s="548"/>
      <c r="Y883" s="548"/>
      <c r="Z883" s="548"/>
    </row>
    <row r="884" ht="15.75" customHeight="1">
      <c r="A884" s="548"/>
      <c r="B884" s="548"/>
      <c r="C884" s="548"/>
      <c r="D884" s="548"/>
      <c r="E884" s="548"/>
      <c r="F884" s="549"/>
      <c r="G884" s="548"/>
      <c r="H884" s="548"/>
      <c r="I884" s="548"/>
      <c r="J884" s="548"/>
      <c r="K884" s="548"/>
      <c r="L884" s="548"/>
      <c r="M884" s="548"/>
      <c r="N884" s="548"/>
      <c r="O884" s="548"/>
      <c r="P884" s="548"/>
      <c r="Q884" s="548"/>
      <c r="R884" s="548"/>
      <c r="S884" s="548"/>
      <c r="T884" s="548"/>
      <c r="U884" s="548"/>
      <c r="V884" s="548"/>
      <c r="W884" s="548"/>
      <c r="X884" s="548"/>
      <c r="Y884" s="548"/>
      <c r="Z884" s="548"/>
    </row>
    <row r="885" ht="15.75" customHeight="1">
      <c r="A885" s="548"/>
      <c r="B885" s="548"/>
      <c r="C885" s="548"/>
      <c r="D885" s="548"/>
      <c r="E885" s="548"/>
      <c r="F885" s="549"/>
      <c r="G885" s="548"/>
      <c r="H885" s="548"/>
      <c r="I885" s="548"/>
      <c r="J885" s="548"/>
      <c r="K885" s="548"/>
      <c r="L885" s="548"/>
      <c r="M885" s="548"/>
      <c r="N885" s="548"/>
      <c r="O885" s="548"/>
      <c r="P885" s="548"/>
      <c r="Q885" s="548"/>
      <c r="R885" s="548"/>
      <c r="S885" s="548"/>
      <c r="T885" s="548"/>
      <c r="U885" s="548"/>
      <c r="V885" s="548"/>
      <c r="W885" s="548"/>
      <c r="X885" s="548"/>
      <c r="Y885" s="548"/>
      <c r="Z885" s="548"/>
    </row>
    <row r="886" ht="15.75" customHeight="1">
      <c r="A886" s="548"/>
      <c r="B886" s="548"/>
      <c r="C886" s="548"/>
      <c r="D886" s="548"/>
      <c r="E886" s="548"/>
      <c r="F886" s="549"/>
      <c r="G886" s="548"/>
      <c r="H886" s="548"/>
      <c r="I886" s="548"/>
      <c r="J886" s="548"/>
      <c r="K886" s="548"/>
      <c r="L886" s="548"/>
      <c r="M886" s="548"/>
      <c r="N886" s="548"/>
      <c r="O886" s="548"/>
      <c r="P886" s="548"/>
      <c r="Q886" s="548"/>
      <c r="R886" s="548"/>
      <c r="S886" s="548"/>
      <c r="T886" s="548"/>
      <c r="U886" s="548"/>
      <c r="V886" s="548"/>
      <c r="W886" s="548"/>
      <c r="X886" s="548"/>
      <c r="Y886" s="548"/>
      <c r="Z886" s="548"/>
    </row>
    <row r="887" ht="15.75" customHeight="1">
      <c r="A887" s="548"/>
      <c r="B887" s="548"/>
      <c r="C887" s="548"/>
      <c r="D887" s="548"/>
      <c r="E887" s="548"/>
      <c r="F887" s="549"/>
      <c r="G887" s="548"/>
      <c r="H887" s="548"/>
      <c r="I887" s="548"/>
      <c r="J887" s="548"/>
      <c r="K887" s="548"/>
      <c r="L887" s="548"/>
      <c r="M887" s="548"/>
      <c r="N887" s="548"/>
      <c r="O887" s="548"/>
      <c r="P887" s="548"/>
      <c r="Q887" s="548"/>
      <c r="R887" s="548"/>
      <c r="S887" s="548"/>
      <c r="T887" s="548"/>
      <c r="U887" s="548"/>
      <c r="V887" s="548"/>
      <c r="W887" s="548"/>
      <c r="X887" s="548"/>
      <c r="Y887" s="548"/>
      <c r="Z887" s="548"/>
    </row>
    <row r="888" ht="15.75" customHeight="1">
      <c r="A888" s="548"/>
      <c r="B888" s="548"/>
      <c r="C888" s="548"/>
      <c r="D888" s="548"/>
      <c r="E888" s="548"/>
      <c r="F888" s="549"/>
      <c r="G888" s="548"/>
      <c r="H888" s="548"/>
      <c r="I888" s="548"/>
      <c r="J888" s="548"/>
      <c r="K888" s="548"/>
      <c r="L888" s="548"/>
      <c r="M888" s="548"/>
      <c r="N888" s="548"/>
      <c r="O888" s="548"/>
      <c r="P888" s="548"/>
      <c r="Q888" s="548"/>
      <c r="R888" s="548"/>
      <c r="S888" s="548"/>
      <c r="T888" s="548"/>
      <c r="U888" s="548"/>
      <c r="V888" s="548"/>
      <c r="W888" s="548"/>
      <c r="X888" s="548"/>
      <c r="Y888" s="548"/>
      <c r="Z888" s="548"/>
    </row>
    <row r="889" ht="15.75" customHeight="1">
      <c r="A889" s="548"/>
      <c r="B889" s="548"/>
      <c r="C889" s="548"/>
      <c r="D889" s="548"/>
      <c r="E889" s="548"/>
      <c r="F889" s="549"/>
      <c r="G889" s="548"/>
      <c r="H889" s="548"/>
      <c r="I889" s="548"/>
      <c r="J889" s="548"/>
      <c r="K889" s="548"/>
      <c r="L889" s="548"/>
      <c r="M889" s="548"/>
      <c r="N889" s="548"/>
      <c r="O889" s="548"/>
      <c r="P889" s="548"/>
      <c r="Q889" s="548"/>
      <c r="R889" s="548"/>
      <c r="S889" s="548"/>
      <c r="T889" s="548"/>
      <c r="U889" s="548"/>
      <c r="V889" s="548"/>
      <c r="W889" s="548"/>
      <c r="X889" s="548"/>
      <c r="Y889" s="548"/>
      <c r="Z889" s="548"/>
    </row>
    <row r="890" ht="15.75" customHeight="1">
      <c r="A890" s="548"/>
      <c r="B890" s="548"/>
      <c r="C890" s="548"/>
      <c r="D890" s="548"/>
      <c r="E890" s="548"/>
      <c r="F890" s="549"/>
      <c r="G890" s="548"/>
      <c r="H890" s="548"/>
      <c r="I890" s="548"/>
      <c r="J890" s="548"/>
      <c r="K890" s="548"/>
      <c r="L890" s="548"/>
      <c r="M890" s="548"/>
      <c r="N890" s="548"/>
      <c r="O890" s="548"/>
      <c r="P890" s="548"/>
      <c r="Q890" s="548"/>
      <c r="R890" s="548"/>
      <c r="S890" s="548"/>
      <c r="T890" s="548"/>
      <c r="U890" s="548"/>
      <c r="V890" s="548"/>
      <c r="W890" s="548"/>
      <c r="X890" s="548"/>
      <c r="Y890" s="548"/>
      <c r="Z890" s="548"/>
    </row>
    <row r="891" ht="15.75" customHeight="1">
      <c r="A891" s="548"/>
      <c r="B891" s="548"/>
      <c r="C891" s="548"/>
      <c r="D891" s="548"/>
      <c r="E891" s="548"/>
      <c r="F891" s="549"/>
      <c r="G891" s="548"/>
      <c r="H891" s="548"/>
      <c r="I891" s="548"/>
      <c r="J891" s="548"/>
      <c r="K891" s="548"/>
      <c r="L891" s="548"/>
      <c r="M891" s="548"/>
      <c r="N891" s="548"/>
      <c r="O891" s="548"/>
      <c r="P891" s="548"/>
      <c r="Q891" s="548"/>
      <c r="R891" s="548"/>
      <c r="S891" s="548"/>
      <c r="T891" s="548"/>
      <c r="U891" s="548"/>
      <c r="V891" s="548"/>
      <c r="W891" s="548"/>
      <c r="X891" s="548"/>
      <c r="Y891" s="548"/>
      <c r="Z891" s="548"/>
    </row>
    <row r="892" ht="15.75" customHeight="1">
      <c r="A892" s="548"/>
      <c r="B892" s="548"/>
      <c r="C892" s="548"/>
      <c r="D892" s="548"/>
      <c r="E892" s="548"/>
      <c r="F892" s="549"/>
      <c r="G892" s="548"/>
      <c r="H892" s="548"/>
      <c r="I892" s="548"/>
      <c r="J892" s="548"/>
      <c r="K892" s="548"/>
      <c r="L892" s="548"/>
      <c r="M892" s="548"/>
      <c r="N892" s="548"/>
      <c r="O892" s="548"/>
      <c r="P892" s="548"/>
      <c r="Q892" s="548"/>
      <c r="R892" s="548"/>
      <c r="S892" s="548"/>
      <c r="T892" s="548"/>
      <c r="U892" s="548"/>
      <c r="V892" s="548"/>
      <c r="W892" s="548"/>
      <c r="X892" s="548"/>
      <c r="Y892" s="548"/>
      <c r="Z892" s="548"/>
    </row>
    <row r="893" ht="15.75" customHeight="1">
      <c r="A893" s="548"/>
      <c r="B893" s="548"/>
      <c r="C893" s="548"/>
      <c r="D893" s="548"/>
      <c r="E893" s="548"/>
      <c r="F893" s="549"/>
      <c r="G893" s="548"/>
      <c r="H893" s="548"/>
      <c r="I893" s="548"/>
      <c r="J893" s="548"/>
      <c r="K893" s="548"/>
      <c r="L893" s="548"/>
      <c r="M893" s="548"/>
      <c r="N893" s="548"/>
      <c r="O893" s="548"/>
      <c r="P893" s="548"/>
      <c r="Q893" s="548"/>
      <c r="R893" s="548"/>
      <c r="S893" s="548"/>
      <c r="T893" s="548"/>
      <c r="U893" s="548"/>
      <c r="V893" s="548"/>
      <c r="W893" s="548"/>
      <c r="X893" s="548"/>
      <c r="Y893" s="548"/>
      <c r="Z893" s="548"/>
    </row>
    <row r="894" ht="15.75" customHeight="1">
      <c r="A894" s="548"/>
      <c r="B894" s="548"/>
      <c r="C894" s="548"/>
      <c r="D894" s="548"/>
      <c r="E894" s="548"/>
      <c r="F894" s="549"/>
      <c r="G894" s="548"/>
      <c r="H894" s="548"/>
      <c r="I894" s="548"/>
      <c r="J894" s="548"/>
      <c r="K894" s="548"/>
      <c r="L894" s="548"/>
      <c r="M894" s="548"/>
      <c r="N894" s="548"/>
      <c r="O894" s="548"/>
      <c r="P894" s="548"/>
      <c r="Q894" s="548"/>
      <c r="R894" s="548"/>
      <c r="S894" s="548"/>
      <c r="T894" s="548"/>
      <c r="U894" s="548"/>
      <c r="V894" s="548"/>
      <c r="W894" s="548"/>
      <c r="X894" s="548"/>
      <c r="Y894" s="548"/>
      <c r="Z894" s="548"/>
    </row>
    <row r="895" ht="15.75" customHeight="1">
      <c r="A895" s="548"/>
      <c r="B895" s="548"/>
      <c r="C895" s="548"/>
      <c r="D895" s="548"/>
      <c r="E895" s="548"/>
      <c r="F895" s="549"/>
      <c r="G895" s="548"/>
      <c r="H895" s="548"/>
      <c r="I895" s="548"/>
      <c r="J895" s="548"/>
      <c r="K895" s="548"/>
      <c r="L895" s="548"/>
      <c r="M895" s="548"/>
      <c r="N895" s="548"/>
      <c r="O895" s="548"/>
      <c r="P895" s="548"/>
      <c r="Q895" s="548"/>
      <c r="R895" s="548"/>
      <c r="S895" s="548"/>
      <c r="T895" s="548"/>
      <c r="U895" s="548"/>
      <c r="V895" s="548"/>
      <c r="W895" s="548"/>
      <c r="X895" s="548"/>
      <c r="Y895" s="548"/>
      <c r="Z895" s="548"/>
    </row>
    <row r="896" ht="15.75" customHeight="1">
      <c r="A896" s="548"/>
      <c r="B896" s="548"/>
      <c r="C896" s="548"/>
      <c r="D896" s="548"/>
      <c r="E896" s="548"/>
      <c r="F896" s="549"/>
      <c r="G896" s="548"/>
      <c r="H896" s="548"/>
      <c r="I896" s="548"/>
      <c r="J896" s="548"/>
      <c r="K896" s="548"/>
      <c r="L896" s="548"/>
      <c r="M896" s="548"/>
      <c r="N896" s="548"/>
      <c r="O896" s="548"/>
      <c r="P896" s="548"/>
      <c r="Q896" s="548"/>
      <c r="R896" s="548"/>
      <c r="S896" s="548"/>
      <c r="T896" s="548"/>
      <c r="U896" s="548"/>
      <c r="V896" s="548"/>
      <c r="W896" s="548"/>
      <c r="X896" s="548"/>
      <c r="Y896" s="548"/>
      <c r="Z896" s="548"/>
    </row>
    <row r="897" ht="15.75" customHeight="1">
      <c r="A897" s="548"/>
      <c r="B897" s="548"/>
      <c r="C897" s="548"/>
      <c r="D897" s="548"/>
      <c r="E897" s="548"/>
      <c r="F897" s="549"/>
      <c r="G897" s="548"/>
      <c r="H897" s="548"/>
      <c r="I897" s="548"/>
      <c r="J897" s="548"/>
      <c r="K897" s="548"/>
      <c r="L897" s="548"/>
      <c r="M897" s="548"/>
      <c r="N897" s="548"/>
      <c r="O897" s="548"/>
      <c r="P897" s="548"/>
      <c r="Q897" s="548"/>
      <c r="R897" s="548"/>
      <c r="S897" s="548"/>
      <c r="T897" s="548"/>
      <c r="U897" s="548"/>
      <c r="V897" s="548"/>
      <c r="W897" s="548"/>
      <c r="X897" s="548"/>
      <c r="Y897" s="548"/>
      <c r="Z897" s="548"/>
    </row>
    <row r="898" ht="15.75" customHeight="1">
      <c r="A898" s="548"/>
      <c r="B898" s="548"/>
      <c r="C898" s="548"/>
      <c r="D898" s="548"/>
      <c r="E898" s="548"/>
      <c r="F898" s="549"/>
      <c r="G898" s="548"/>
      <c r="H898" s="548"/>
      <c r="I898" s="548"/>
      <c r="J898" s="548"/>
      <c r="K898" s="548"/>
      <c r="L898" s="548"/>
      <c r="M898" s="548"/>
      <c r="N898" s="548"/>
      <c r="O898" s="548"/>
      <c r="P898" s="548"/>
      <c r="Q898" s="548"/>
      <c r="R898" s="548"/>
      <c r="S898" s="548"/>
      <c r="T898" s="548"/>
      <c r="U898" s="548"/>
      <c r="V898" s="548"/>
      <c r="W898" s="548"/>
      <c r="X898" s="548"/>
      <c r="Y898" s="548"/>
      <c r="Z898" s="548"/>
    </row>
    <row r="899" ht="15.75" customHeight="1">
      <c r="A899" s="548"/>
      <c r="B899" s="548"/>
      <c r="C899" s="548"/>
      <c r="D899" s="548"/>
      <c r="E899" s="548"/>
      <c r="F899" s="549"/>
      <c r="G899" s="548"/>
      <c r="H899" s="548"/>
      <c r="I899" s="548"/>
      <c r="J899" s="548"/>
      <c r="K899" s="548"/>
      <c r="L899" s="548"/>
      <c r="M899" s="548"/>
      <c r="N899" s="548"/>
      <c r="O899" s="548"/>
      <c r="P899" s="548"/>
      <c r="Q899" s="548"/>
      <c r="R899" s="548"/>
      <c r="S899" s="548"/>
      <c r="T899" s="548"/>
      <c r="U899" s="548"/>
      <c r="V899" s="548"/>
      <c r="W899" s="548"/>
      <c r="X899" s="548"/>
      <c r="Y899" s="548"/>
      <c r="Z899" s="548"/>
    </row>
    <row r="900" ht="15.75" customHeight="1">
      <c r="A900" s="548"/>
      <c r="B900" s="548"/>
      <c r="C900" s="548"/>
      <c r="D900" s="548"/>
      <c r="E900" s="548"/>
      <c r="F900" s="549"/>
      <c r="G900" s="548"/>
      <c r="H900" s="548"/>
      <c r="I900" s="548"/>
      <c r="J900" s="548"/>
      <c r="K900" s="548"/>
      <c r="L900" s="548"/>
      <c r="M900" s="548"/>
      <c r="N900" s="548"/>
      <c r="O900" s="548"/>
      <c r="P900" s="548"/>
      <c r="Q900" s="548"/>
      <c r="R900" s="548"/>
      <c r="S900" s="548"/>
      <c r="T900" s="548"/>
      <c r="U900" s="548"/>
      <c r="V900" s="548"/>
      <c r="W900" s="548"/>
      <c r="X900" s="548"/>
      <c r="Y900" s="548"/>
      <c r="Z900" s="548"/>
    </row>
    <row r="901" ht="15.75" customHeight="1">
      <c r="A901" s="548"/>
      <c r="B901" s="548"/>
      <c r="C901" s="548"/>
      <c r="D901" s="548"/>
      <c r="E901" s="548"/>
      <c r="F901" s="549"/>
      <c r="G901" s="548"/>
      <c r="H901" s="548"/>
      <c r="I901" s="548"/>
      <c r="J901" s="548"/>
      <c r="K901" s="548"/>
      <c r="L901" s="548"/>
      <c r="M901" s="548"/>
      <c r="N901" s="548"/>
      <c r="O901" s="548"/>
      <c r="P901" s="548"/>
      <c r="Q901" s="548"/>
      <c r="R901" s="548"/>
      <c r="S901" s="548"/>
      <c r="T901" s="548"/>
      <c r="U901" s="548"/>
      <c r="V901" s="548"/>
      <c r="W901" s="548"/>
      <c r="X901" s="548"/>
      <c r="Y901" s="548"/>
      <c r="Z901" s="548"/>
    </row>
    <row r="902" ht="15.75" customHeight="1">
      <c r="A902" s="548"/>
      <c r="B902" s="548"/>
      <c r="C902" s="548"/>
      <c r="D902" s="548"/>
      <c r="E902" s="548"/>
      <c r="F902" s="549"/>
      <c r="G902" s="548"/>
      <c r="H902" s="548"/>
      <c r="I902" s="548"/>
      <c r="J902" s="548"/>
      <c r="K902" s="548"/>
      <c r="L902" s="548"/>
      <c r="M902" s="548"/>
      <c r="N902" s="548"/>
      <c r="O902" s="548"/>
      <c r="P902" s="548"/>
      <c r="Q902" s="548"/>
      <c r="R902" s="548"/>
      <c r="S902" s="548"/>
      <c r="T902" s="548"/>
      <c r="U902" s="548"/>
      <c r="V902" s="548"/>
      <c r="W902" s="548"/>
      <c r="X902" s="548"/>
      <c r="Y902" s="548"/>
      <c r="Z902" s="548"/>
    </row>
    <row r="903" ht="15.75" customHeight="1">
      <c r="A903" s="548"/>
      <c r="B903" s="548"/>
      <c r="C903" s="548"/>
      <c r="D903" s="548"/>
      <c r="E903" s="548"/>
      <c r="F903" s="549"/>
      <c r="G903" s="548"/>
      <c r="H903" s="548"/>
      <c r="I903" s="548"/>
      <c r="J903" s="548"/>
      <c r="K903" s="548"/>
      <c r="L903" s="548"/>
      <c r="M903" s="548"/>
      <c r="N903" s="548"/>
      <c r="O903" s="548"/>
      <c r="P903" s="548"/>
      <c r="Q903" s="548"/>
      <c r="R903" s="548"/>
      <c r="S903" s="548"/>
      <c r="T903" s="548"/>
      <c r="U903" s="548"/>
      <c r="V903" s="548"/>
      <c r="W903" s="548"/>
      <c r="X903" s="548"/>
      <c r="Y903" s="548"/>
      <c r="Z903" s="548"/>
    </row>
    <row r="904" ht="15.75" customHeight="1">
      <c r="A904" s="548"/>
      <c r="B904" s="548"/>
      <c r="C904" s="548"/>
      <c r="D904" s="548"/>
      <c r="E904" s="548"/>
      <c r="F904" s="549"/>
      <c r="G904" s="548"/>
      <c r="H904" s="548"/>
      <c r="I904" s="548"/>
      <c r="J904" s="548"/>
      <c r="K904" s="548"/>
      <c r="L904" s="548"/>
      <c r="M904" s="548"/>
      <c r="N904" s="548"/>
      <c r="O904" s="548"/>
      <c r="P904" s="548"/>
      <c r="Q904" s="548"/>
      <c r="R904" s="548"/>
      <c r="S904" s="548"/>
      <c r="T904" s="548"/>
      <c r="U904" s="548"/>
      <c r="V904" s="548"/>
      <c r="W904" s="548"/>
      <c r="X904" s="548"/>
      <c r="Y904" s="548"/>
      <c r="Z904" s="548"/>
    </row>
    <row r="905" ht="15.75" customHeight="1">
      <c r="A905" s="548"/>
      <c r="B905" s="548"/>
      <c r="C905" s="548"/>
      <c r="D905" s="548"/>
      <c r="E905" s="548"/>
      <c r="F905" s="549"/>
      <c r="G905" s="548"/>
      <c r="H905" s="548"/>
      <c r="I905" s="548"/>
      <c r="J905" s="548"/>
      <c r="K905" s="548"/>
      <c r="L905" s="548"/>
      <c r="M905" s="548"/>
      <c r="N905" s="548"/>
      <c r="O905" s="548"/>
      <c r="P905" s="548"/>
      <c r="Q905" s="548"/>
      <c r="R905" s="548"/>
      <c r="S905" s="548"/>
      <c r="T905" s="548"/>
      <c r="U905" s="548"/>
      <c r="V905" s="548"/>
      <c r="W905" s="548"/>
      <c r="X905" s="548"/>
      <c r="Y905" s="548"/>
      <c r="Z905" s="548"/>
    </row>
    <row r="906" ht="15.75" customHeight="1">
      <c r="A906" s="548"/>
      <c r="B906" s="548"/>
      <c r="C906" s="548"/>
      <c r="D906" s="548"/>
      <c r="E906" s="548"/>
      <c r="F906" s="549"/>
      <c r="G906" s="548"/>
      <c r="H906" s="548"/>
      <c r="I906" s="548"/>
      <c r="J906" s="548"/>
      <c r="K906" s="548"/>
      <c r="L906" s="548"/>
      <c r="M906" s="548"/>
      <c r="N906" s="548"/>
      <c r="O906" s="548"/>
      <c r="P906" s="548"/>
      <c r="Q906" s="548"/>
      <c r="R906" s="548"/>
      <c r="S906" s="548"/>
      <c r="T906" s="548"/>
      <c r="U906" s="548"/>
      <c r="V906" s="548"/>
      <c r="W906" s="548"/>
      <c r="X906" s="548"/>
      <c r="Y906" s="548"/>
      <c r="Z906" s="548"/>
    </row>
    <row r="907" ht="15.75" customHeight="1">
      <c r="A907" s="548"/>
      <c r="B907" s="548"/>
      <c r="C907" s="548"/>
      <c r="D907" s="548"/>
      <c r="E907" s="548"/>
      <c r="F907" s="549"/>
      <c r="G907" s="548"/>
      <c r="H907" s="548"/>
      <c r="I907" s="548"/>
      <c r="J907" s="548"/>
      <c r="K907" s="548"/>
      <c r="L907" s="548"/>
      <c r="M907" s="548"/>
      <c r="N907" s="548"/>
      <c r="O907" s="548"/>
      <c r="P907" s="548"/>
      <c r="Q907" s="548"/>
      <c r="R907" s="548"/>
      <c r="S907" s="548"/>
      <c r="T907" s="548"/>
      <c r="U907" s="548"/>
      <c r="V907" s="548"/>
      <c r="W907" s="548"/>
      <c r="X907" s="548"/>
      <c r="Y907" s="548"/>
      <c r="Z907" s="548"/>
    </row>
    <row r="908" ht="15.75" customHeight="1">
      <c r="A908" s="548"/>
      <c r="B908" s="548"/>
      <c r="C908" s="548"/>
      <c r="D908" s="548"/>
      <c r="E908" s="548"/>
      <c r="F908" s="549"/>
      <c r="G908" s="548"/>
      <c r="H908" s="548"/>
      <c r="I908" s="548"/>
      <c r="J908" s="548"/>
      <c r="K908" s="548"/>
      <c r="L908" s="548"/>
      <c r="M908" s="548"/>
      <c r="N908" s="548"/>
      <c r="O908" s="548"/>
      <c r="P908" s="548"/>
      <c r="Q908" s="548"/>
      <c r="R908" s="548"/>
      <c r="S908" s="548"/>
      <c r="T908" s="548"/>
      <c r="U908" s="548"/>
      <c r="V908" s="548"/>
      <c r="W908" s="548"/>
      <c r="X908" s="548"/>
      <c r="Y908" s="548"/>
      <c r="Z908" s="548"/>
    </row>
    <row r="909" ht="15.75" customHeight="1">
      <c r="A909" s="548"/>
      <c r="B909" s="548"/>
      <c r="C909" s="548"/>
      <c r="D909" s="548"/>
      <c r="E909" s="548"/>
      <c r="F909" s="549"/>
      <c r="G909" s="548"/>
      <c r="H909" s="548"/>
      <c r="I909" s="548"/>
      <c r="J909" s="548"/>
      <c r="K909" s="548"/>
      <c r="L909" s="548"/>
      <c r="M909" s="548"/>
      <c r="N909" s="548"/>
      <c r="O909" s="548"/>
      <c r="P909" s="548"/>
      <c r="Q909" s="548"/>
      <c r="R909" s="548"/>
      <c r="S909" s="548"/>
      <c r="T909" s="548"/>
      <c r="U909" s="548"/>
      <c r="V909" s="548"/>
      <c r="W909" s="548"/>
      <c r="X909" s="548"/>
      <c r="Y909" s="548"/>
      <c r="Z909" s="548"/>
    </row>
    <row r="910" ht="15.75" customHeight="1">
      <c r="A910" s="548"/>
      <c r="B910" s="548"/>
      <c r="C910" s="548"/>
      <c r="D910" s="548"/>
      <c r="E910" s="548"/>
      <c r="F910" s="549"/>
      <c r="G910" s="548"/>
      <c r="H910" s="548"/>
      <c r="I910" s="548"/>
      <c r="J910" s="548"/>
      <c r="K910" s="548"/>
      <c r="L910" s="548"/>
      <c r="M910" s="548"/>
      <c r="N910" s="548"/>
      <c r="O910" s="548"/>
      <c r="P910" s="548"/>
      <c r="Q910" s="548"/>
      <c r="R910" s="548"/>
      <c r="S910" s="548"/>
      <c r="T910" s="548"/>
      <c r="U910" s="548"/>
      <c r="V910" s="548"/>
      <c r="W910" s="548"/>
      <c r="X910" s="548"/>
      <c r="Y910" s="548"/>
      <c r="Z910" s="548"/>
    </row>
    <row r="911" ht="15.75" customHeight="1">
      <c r="A911" s="548"/>
      <c r="B911" s="548"/>
      <c r="C911" s="548"/>
      <c r="D911" s="548"/>
      <c r="E911" s="548"/>
      <c r="F911" s="549"/>
      <c r="G911" s="548"/>
      <c r="H911" s="548"/>
      <c r="I911" s="548"/>
      <c r="J911" s="548"/>
      <c r="K911" s="548"/>
      <c r="L911" s="548"/>
      <c r="M911" s="548"/>
      <c r="N911" s="548"/>
      <c r="O911" s="548"/>
      <c r="P911" s="548"/>
      <c r="Q911" s="548"/>
      <c r="R911" s="548"/>
      <c r="S911" s="548"/>
      <c r="T911" s="548"/>
      <c r="U911" s="548"/>
      <c r="V911" s="548"/>
      <c r="W911" s="548"/>
      <c r="X911" s="548"/>
      <c r="Y911" s="548"/>
      <c r="Z911" s="548"/>
    </row>
    <row r="912" ht="15.75" customHeight="1">
      <c r="A912" s="548"/>
      <c r="B912" s="548"/>
      <c r="C912" s="548"/>
      <c r="D912" s="548"/>
      <c r="E912" s="548"/>
      <c r="F912" s="549"/>
      <c r="G912" s="548"/>
      <c r="H912" s="548"/>
      <c r="I912" s="548"/>
      <c r="J912" s="548"/>
      <c r="K912" s="548"/>
      <c r="L912" s="548"/>
      <c r="M912" s="548"/>
      <c r="N912" s="548"/>
      <c r="O912" s="548"/>
      <c r="P912" s="548"/>
      <c r="Q912" s="548"/>
      <c r="R912" s="548"/>
      <c r="S912" s="548"/>
      <c r="T912" s="548"/>
      <c r="U912" s="548"/>
      <c r="V912" s="548"/>
      <c r="W912" s="548"/>
      <c r="X912" s="548"/>
      <c r="Y912" s="548"/>
      <c r="Z912" s="548"/>
    </row>
    <row r="913" ht="15.75" customHeight="1">
      <c r="A913" s="548"/>
      <c r="B913" s="548"/>
      <c r="C913" s="548"/>
      <c r="D913" s="548"/>
      <c r="E913" s="548"/>
      <c r="F913" s="549"/>
      <c r="G913" s="548"/>
      <c r="H913" s="548"/>
      <c r="I913" s="548"/>
      <c r="J913" s="548"/>
      <c r="K913" s="548"/>
      <c r="L913" s="548"/>
      <c r="M913" s="548"/>
      <c r="N913" s="548"/>
      <c r="O913" s="548"/>
      <c r="P913" s="548"/>
      <c r="Q913" s="548"/>
      <c r="R913" s="548"/>
      <c r="S913" s="548"/>
      <c r="T913" s="548"/>
      <c r="U913" s="548"/>
      <c r="V913" s="548"/>
      <c r="W913" s="548"/>
      <c r="X913" s="548"/>
      <c r="Y913" s="548"/>
      <c r="Z913" s="548"/>
    </row>
    <row r="914" ht="15.75" customHeight="1">
      <c r="A914" s="548"/>
      <c r="B914" s="548"/>
      <c r="C914" s="548"/>
      <c r="D914" s="548"/>
      <c r="E914" s="548"/>
      <c r="F914" s="549"/>
      <c r="G914" s="548"/>
      <c r="H914" s="548"/>
      <c r="I914" s="548"/>
      <c r="J914" s="548"/>
      <c r="K914" s="548"/>
      <c r="L914" s="548"/>
      <c r="M914" s="548"/>
      <c r="N914" s="548"/>
      <c r="O914" s="548"/>
      <c r="P914" s="548"/>
      <c r="Q914" s="548"/>
      <c r="R914" s="548"/>
      <c r="S914" s="548"/>
      <c r="T914" s="548"/>
      <c r="U914" s="548"/>
      <c r="V914" s="548"/>
      <c r="W914" s="548"/>
      <c r="X914" s="548"/>
      <c r="Y914" s="548"/>
      <c r="Z914" s="548"/>
    </row>
    <row r="915" ht="15.75" customHeight="1">
      <c r="A915" s="548"/>
      <c r="B915" s="548"/>
      <c r="C915" s="548"/>
      <c r="D915" s="548"/>
      <c r="E915" s="548"/>
      <c r="F915" s="549"/>
      <c r="G915" s="548"/>
      <c r="H915" s="548"/>
      <c r="I915" s="548"/>
      <c r="J915" s="548"/>
      <c r="K915" s="548"/>
      <c r="L915" s="548"/>
      <c r="M915" s="548"/>
      <c r="N915" s="548"/>
      <c r="O915" s="548"/>
      <c r="P915" s="548"/>
      <c r="Q915" s="548"/>
      <c r="R915" s="548"/>
      <c r="S915" s="548"/>
      <c r="T915" s="548"/>
      <c r="U915" s="548"/>
      <c r="V915" s="548"/>
      <c r="W915" s="548"/>
      <c r="X915" s="548"/>
      <c r="Y915" s="548"/>
      <c r="Z915" s="548"/>
    </row>
    <row r="916" ht="15.75" customHeight="1">
      <c r="A916" s="548"/>
      <c r="B916" s="548"/>
      <c r="C916" s="548"/>
      <c r="D916" s="548"/>
      <c r="E916" s="548"/>
      <c r="F916" s="549"/>
      <c r="G916" s="548"/>
      <c r="H916" s="548"/>
      <c r="I916" s="548"/>
      <c r="J916" s="548"/>
      <c r="K916" s="548"/>
      <c r="L916" s="548"/>
      <c r="M916" s="548"/>
      <c r="N916" s="548"/>
      <c r="O916" s="548"/>
      <c r="P916" s="548"/>
      <c r="Q916" s="548"/>
      <c r="R916" s="548"/>
      <c r="S916" s="548"/>
      <c r="T916" s="548"/>
      <c r="U916" s="548"/>
      <c r="V916" s="548"/>
      <c r="W916" s="548"/>
      <c r="X916" s="548"/>
      <c r="Y916" s="548"/>
      <c r="Z916" s="548"/>
    </row>
    <row r="917" ht="15.75" customHeight="1">
      <c r="A917" s="548"/>
      <c r="B917" s="548"/>
      <c r="C917" s="548"/>
      <c r="D917" s="548"/>
      <c r="E917" s="548"/>
      <c r="F917" s="549"/>
      <c r="G917" s="548"/>
      <c r="H917" s="548"/>
      <c r="I917" s="548"/>
      <c r="J917" s="548"/>
      <c r="K917" s="548"/>
      <c r="L917" s="548"/>
      <c r="M917" s="548"/>
      <c r="N917" s="548"/>
      <c r="O917" s="548"/>
      <c r="P917" s="548"/>
      <c r="Q917" s="548"/>
      <c r="R917" s="548"/>
      <c r="S917" s="548"/>
      <c r="T917" s="548"/>
      <c r="U917" s="548"/>
      <c r="V917" s="548"/>
      <c r="W917" s="548"/>
      <c r="X917" s="548"/>
      <c r="Y917" s="548"/>
      <c r="Z917" s="548"/>
    </row>
    <row r="918" ht="15.75" customHeight="1">
      <c r="A918" s="548"/>
      <c r="B918" s="548"/>
      <c r="C918" s="548"/>
      <c r="D918" s="548"/>
      <c r="E918" s="548"/>
      <c r="F918" s="549"/>
      <c r="G918" s="548"/>
      <c r="H918" s="548"/>
      <c r="I918" s="548"/>
      <c r="J918" s="548"/>
      <c r="K918" s="548"/>
      <c r="L918" s="548"/>
      <c r="M918" s="548"/>
      <c r="N918" s="548"/>
      <c r="O918" s="548"/>
      <c r="P918" s="548"/>
      <c r="Q918" s="548"/>
      <c r="R918" s="548"/>
      <c r="S918" s="548"/>
      <c r="T918" s="548"/>
      <c r="U918" s="548"/>
      <c r="V918" s="548"/>
      <c r="W918" s="548"/>
      <c r="X918" s="548"/>
      <c r="Y918" s="548"/>
      <c r="Z918" s="548"/>
    </row>
    <row r="919" ht="15.75" customHeight="1">
      <c r="A919" s="548"/>
      <c r="B919" s="548"/>
      <c r="C919" s="548"/>
      <c r="D919" s="548"/>
      <c r="E919" s="548"/>
      <c r="F919" s="549"/>
      <c r="G919" s="548"/>
      <c r="H919" s="548"/>
      <c r="I919" s="548"/>
      <c r="J919" s="548"/>
      <c r="K919" s="548"/>
      <c r="L919" s="548"/>
      <c r="M919" s="548"/>
      <c r="N919" s="548"/>
      <c r="O919" s="548"/>
      <c r="P919" s="548"/>
      <c r="Q919" s="548"/>
      <c r="R919" s="548"/>
      <c r="S919" s="548"/>
      <c r="T919" s="548"/>
      <c r="U919" s="548"/>
      <c r="V919" s="548"/>
      <c r="W919" s="548"/>
      <c r="X919" s="548"/>
      <c r="Y919" s="548"/>
      <c r="Z919" s="548"/>
    </row>
    <row r="920" ht="15.75" customHeight="1">
      <c r="A920" s="548"/>
      <c r="B920" s="548"/>
      <c r="C920" s="548"/>
      <c r="D920" s="548"/>
      <c r="E920" s="548"/>
      <c r="F920" s="549"/>
      <c r="G920" s="548"/>
      <c r="H920" s="548"/>
      <c r="I920" s="548"/>
      <c r="J920" s="548"/>
      <c r="K920" s="548"/>
      <c r="L920" s="548"/>
      <c r="M920" s="548"/>
      <c r="N920" s="548"/>
      <c r="O920" s="548"/>
      <c r="P920" s="548"/>
      <c r="Q920" s="548"/>
      <c r="R920" s="548"/>
      <c r="S920" s="548"/>
      <c r="T920" s="548"/>
      <c r="U920" s="548"/>
      <c r="V920" s="548"/>
      <c r="W920" s="548"/>
      <c r="X920" s="548"/>
      <c r="Y920" s="548"/>
      <c r="Z920" s="548"/>
    </row>
    <row r="921" ht="15.75" customHeight="1">
      <c r="A921" s="548"/>
      <c r="B921" s="548"/>
      <c r="C921" s="548"/>
      <c r="D921" s="548"/>
      <c r="E921" s="548"/>
      <c r="F921" s="549"/>
      <c r="G921" s="548"/>
      <c r="H921" s="548"/>
      <c r="I921" s="548"/>
      <c r="J921" s="548"/>
      <c r="K921" s="548"/>
      <c r="L921" s="548"/>
      <c r="M921" s="548"/>
      <c r="N921" s="548"/>
      <c r="O921" s="548"/>
      <c r="P921" s="548"/>
      <c r="Q921" s="548"/>
      <c r="R921" s="548"/>
      <c r="S921" s="548"/>
      <c r="T921" s="548"/>
      <c r="U921" s="548"/>
      <c r="V921" s="548"/>
      <c r="W921" s="548"/>
      <c r="X921" s="548"/>
      <c r="Y921" s="548"/>
      <c r="Z921" s="548"/>
    </row>
    <row r="922" ht="15.75" customHeight="1">
      <c r="A922" s="548"/>
      <c r="B922" s="548"/>
      <c r="C922" s="548"/>
      <c r="D922" s="548"/>
      <c r="E922" s="548"/>
      <c r="F922" s="549"/>
      <c r="G922" s="548"/>
      <c r="H922" s="548"/>
      <c r="I922" s="548"/>
      <c r="J922" s="548"/>
      <c r="K922" s="548"/>
      <c r="L922" s="548"/>
      <c r="M922" s="548"/>
      <c r="N922" s="548"/>
      <c r="O922" s="548"/>
      <c r="P922" s="548"/>
      <c r="Q922" s="548"/>
      <c r="R922" s="548"/>
      <c r="S922" s="548"/>
      <c r="T922" s="548"/>
      <c r="U922" s="548"/>
      <c r="V922" s="548"/>
      <c r="W922" s="548"/>
      <c r="X922" s="548"/>
      <c r="Y922" s="548"/>
      <c r="Z922" s="548"/>
    </row>
    <row r="923" ht="15.75" customHeight="1">
      <c r="A923" s="548"/>
      <c r="B923" s="548"/>
      <c r="C923" s="548"/>
      <c r="D923" s="548"/>
      <c r="E923" s="548"/>
      <c r="F923" s="549"/>
      <c r="G923" s="548"/>
      <c r="H923" s="548"/>
      <c r="I923" s="548"/>
      <c r="J923" s="548"/>
      <c r="K923" s="548"/>
      <c r="L923" s="548"/>
      <c r="M923" s="548"/>
      <c r="N923" s="548"/>
      <c r="O923" s="548"/>
      <c r="P923" s="548"/>
      <c r="Q923" s="548"/>
      <c r="R923" s="548"/>
      <c r="S923" s="548"/>
      <c r="T923" s="548"/>
      <c r="U923" s="548"/>
      <c r="V923" s="548"/>
      <c r="W923" s="548"/>
      <c r="X923" s="548"/>
      <c r="Y923" s="548"/>
      <c r="Z923" s="548"/>
    </row>
    <row r="924" ht="15.75" customHeight="1">
      <c r="A924" s="548"/>
      <c r="B924" s="548"/>
      <c r="C924" s="548"/>
      <c r="D924" s="548"/>
      <c r="E924" s="548"/>
      <c r="F924" s="549"/>
      <c r="G924" s="548"/>
      <c r="H924" s="548"/>
      <c r="I924" s="548"/>
      <c r="J924" s="548"/>
      <c r="K924" s="548"/>
      <c r="L924" s="548"/>
      <c r="M924" s="548"/>
      <c r="N924" s="548"/>
      <c r="O924" s="548"/>
      <c r="P924" s="548"/>
      <c r="Q924" s="548"/>
      <c r="R924" s="548"/>
      <c r="S924" s="548"/>
      <c r="T924" s="548"/>
      <c r="U924" s="548"/>
      <c r="V924" s="548"/>
      <c r="W924" s="548"/>
      <c r="X924" s="548"/>
      <c r="Y924" s="548"/>
      <c r="Z924" s="548"/>
    </row>
    <row r="925" ht="15.75" customHeight="1">
      <c r="A925" s="548"/>
      <c r="B925" s="548"/>
      <c r="C925" s="548"/>
      <c r="D925" s="548"/>
      <c r="E925" s="548"/>
      <c r="F925" s="549"/>
      <c r="G925" s="548"/>
      <c r="H925" s="548"/>
      <c r="I925" s="548"/>
      <c r="J925" s="548"/>
      <c r="K925" s="548"/>
      <c r="L925" s="548"/>
      <c r="M925" s="548"/>
      <c r="N925" s="548"/>
      <c r="O925" s="548"/>
      <c r="P925" s="548"/>
      <c r="Q925" s="548"/>
      <c r="R925" s="548"/>
      <c r="S925" s="548"/>
      <c r="T925" s="548"/>
      <c r="U925" s="548"/>
      <c r="V925" s="548"/>
      <c r="W925" s="548"/>
      <c r="X925" s="548"/>
      <c r="Y925" s="548"/>
      <c r="Z925" s="548"/>
    </row>
    <row r="926" ht="15.75" customHeight="1">
      <c r="A926" s="548"/>
      <c r="B926" s="548"/>
      <c r="C926" s="548"/>
      <c r="D926" s="548"/>
      <c r="E926" s="548"/>
      <c r="F926" s="549"/>
      <c r="G926" s="548"/>
      <c r="H926" s="548"/>
      <c r="I926" s="548"/>
      <c r="J926" s="548"/>
      <c r="K926" s="548"/>
      <c r="L926" s="548"/>
      <c r="M926" s="548"/>
      <c r="N926" s="548"/>
      <c r="O926" s="548"/>
      <c r="P926" s="548"/>
      <c r="Q926" s="548"/>
      <c r="R926" s="548"/>
      <c r="S926" s="548"/>
      <c r="T926" s="548"/>
      <c r="U926" s="548"/>
      <c r="V926" s="548"/>
      <c r="W926" s="548"/>
      <c r="X926" s="548"/>
      <c r="Y926" s="548"/>
      <c r="Z926" s="548"/>
    </row>
    <row r="927" ht="15.75" customHeight="1">
      <c r="A927" s="548"/>
      <c r="B927" s="548"/>
      <c r="C927" s="548"/>
      <c r="D927" s="548"/>
      <c r="E927" s="548"/>
      <c r="F927" s="549"/>
      <c r="G927" s="548"/>
      <c r="H927" s="548"/>
      <c r="I927" s="548"/>
      <c r="J927" s="548"/>
      <c r="K927" s="548"/>
      <c r="L927" s="548"/>
      <c r="M927" s="548"/>
      <c r="N927" s="548"/>
      <c r="O927" s="548"/>
      <c r="P927" s="548"/>
      <c r="Q927" s="548"/>
      <c r="R927" s="548"/>
      <c r="S927" s="548"/>
      <c r="T927" s="548"/>
      <c r="U927" s="548"/>
      <c r="V927" s="548"/>
      <c r="W927" s="548"/>
      <c r="X927" s="548"/>
      <c r="Y927" s="548"/>
      <c r="Z927" s="548"/>
    </row>
    <row r="928" ht="15.75" customHeight="1">
      <c r="A928" s="548"/>
      <c r="B928" s="548"/>
      <c r="C928" s="548"/>
      <c r="D928" s="548"/>
      <c r="E928" s="548"/>
      <c r="F928" s="549"/>
      <c r="G928" s="548"/>
      <c r="H928" s="548"/>
      <c r="I928" s="548"/>
      <c r="J928" s="548"/>
      <c r="K928" s="548"/>
      <c r="L928" s="548"/>
      <c r="M928" s="548"/>
      <c r="N928" s="548"/>
      <c r="O928" s="548"/>
      <c r="P928" s="548"/>
      <c r="Q928" s="548"/>
      <c r="R928" s="548"/>
      <c r="S928" s="548"/>
      <c r="T928" s="548"/>
      <c r="U928" s="548"/>
      <c r="V928" s="548"/>
      <c r="W928" s="548"/>
      <c r="X928" s="548"/>
      <c r="Y928" s="548"/>
      <c r="Z928" s="548"/>
    </row>
    <row r="929" ht="15.75" customHeight="1">
      <c r="A929" s="548"/>
      <c r="B929" s="548"/>
      <c r="C929" s="548"/>
      <c r="D929" s="548"/>
      <c r="E929" s="548"/>
      <c r="F929" s="549"/>
      <c r="G929" s="548"/>
      <c r="H929" s="548"/>
      <c r="I929" s="548"/>
      <c r="J929" s="548"/>
      <c r="K929" s="548"/>
      <c r="L929" s="548"/>
      <c r="M929" s="548"/>
      <c r="N929" s="548"/>
      <c r="O929" s="548"/>
      <c r="P929" s="548"/>
      <c r="Q929" s="548"/>
      <c r="R929" s="548"/>
      <c r="S929" s="548"/>
      <c r="T929" s="548"/>
      <c r="U929" s="548"/>
      <c r="V929" s="548"/>
      <c r="W929" s="548"/>
      <c r="X929" s="548"/>
      <c r="Y929" s="548"/>
      <c r="Z929" s="548"/>
    </row>
    <row r="930" ht="15.75" customHeight="1">
      <c r="A930" s="548"/>
      <c r="B930" s="548"/>
      <c r="C930" s="548"/>
      <c r="D930" s="548"/>
      <c r="E930" s="548"/>
      <c r="F930" s="549"/>
      <c r="G930" s="548"/>
      <c r="H930" s="548"/>
      <c r="I930" s="548"/>
      <c r="J930" s="548"/>
      <c r="K930" s="548"/>
      <c r="L930" s="548"/>
      <c r="M930" s="548"/>
      <c r="N930" s="548"/>
      <c r="O930" s="548"/>
      <c r="P930" s="548"/>
      <c r="Q930" s="548"/>
      <c r="R930" s="548"/>
      <c r="S930" s="548"/>
      <c r="T930" s="548"/>
      <c r="U930" s="548"/>
      <c r="V930" s="548"/>
      <c r="W930" s="548"/>
      <c r="X930" s="548"/>
      <c r="Y930" s="548"/>
      <c r="Z930" s="548"/>
    </row>
    <row r="931" ht="15.75" customHeight="1">
      <c r="A931" s="548"/>
      <c r="B931" s="548"/>
      <c r="C931" s="548"/>
      <c r="D931" s="548"/>
      <c r="E931" s="548"/>
      <c r="F931" s="549"/>
      <c r="G931" s="548"/>
      <c r="H931" s="548"/>
      <c r="I931" s="548"/>
      <c r="J931" s="548"/>
      <c r="K931" s="548"/>
      <c r="L931" s="548"/>
      <c r="M931" s="548"/>
      <c r="N931" s="548"/>
      <c r="O931" s="548"/>
      <c r="P931" s="548"/>
      <c r="Q931" s="548"/>
      <c r="R931" s="548"/>
      <c r="S931" s="548"/>
      <c r="T931" s="548"/>
      <c r="U931" s="548"/>
      <c r="V931" s="548"/>
      <c r="W931" s="548"/>
      <c r="X931" s="548"/>
      <c r="Y931" s="548"/>
      <c r="Z931" s="548"/>
    </row>
    <row r="932" ht="15.75" customHeight="1">
      <c r="A932" s="548"/>
      <c r="B932" s="548"/>
      <c r="C932" s="548"/>
      <c r="D932" s="548"/>
      <c r="E932" s="548"/>
      <c r="F932" s="549"/>
      <c r="G932" s="548"/>
      <c r="H932" s="548"/>
      <c r="I932" s="548"/>
      <c r="J932" s="548"/>
      <c r="K932" s="548"/>
      <c r="L932" s="548"/>
      <c r="M932" s="548"/>
      <c r="N932" s="548"/>
      <c r="O932" s="548"/>
      <c r="P932" s="548"/>
      <c r="Q932" s="548"/>
      <c r="R932" s="548"/>
      <c r="S932" s="548"/>
      <c r="T932" s="548"/>
      <c r="U932" s="548"/>
      <c r="V932" s="548"/>
      <c r="W932" s="548"/>
      <c r="X932" s="548"/>
      <c r="Y932" s="548"/>
      <c r="Z932" s="548"/>
    </row>
    <row r="933" ht="15.75" customHeight="1">
      <c r="A933" s="548"/>
      <c r="B933" s="548"/>
      <c r="C933" s="548"/>
      <c r="D933" s="548"/>
      <c r="E933" s="548"/>
      <c r="F933" s="549"/>
      <c r="G933" s="548"/>
      <c r="H933" s="548"/>
      <c r="I933" s="548"/>
      <c r="J933" s="548"/>
      <c r="K933" s="548"/>
      <c r="L933" s="548"/>
      <c r="M933" s="548"/>
      <c r="N933" s="548"/>
      <c r="O933" s="548"/>
      <c r="P933" s="548"/>
      <c r="Q933" s="548"/>
      <c r="R933" s="548"/>
      <c r="S933" s="548"/>
      <c r="T933" s="548"/>
      <c r="U933" s="548"/>
      <c r="V933" s="548"/>
      <c r="W933" s="548"/>
      <c r="X933" s="548"/>
      <c r="Y933" s="548"/>
      <c r="Z933" s="548"/>
    </row>
    <row r="934" ht="15.75" customHeight="1">
      <c r="A934" s="548"/>
      <c r="B934" s="548"/>
      <c r="C934" s="548"/>
      <c r="D934" s="548"/>
      <c r="E934" s="548"/>
      <c r="F934" s="549"/>
      <c r="G934" s="548"/>
      <c r="H934" s="548"/>
      <c r="I934" s="548"/>
      <c r="J934" s="548"/>
      <c r="K934" s="548"/>
      <c r="L934" s="548"/>
      <c r="M934" s="548"/>
      <c r="N934" s="548"/>
      <c r="O934" s="548"/>
      <c r="P934" s="548"/>
      <c r="Q934" s="548"/>
      <c r="R934" s="548"/>
      <c r="S934" s="548"/>
      <c r="T934" s="548"/>
      <c r="U934" s="548"/>
      <c r="V934" s="548"/>
      <c r="W934" s="548"/>
      <c r="X934" s="548"/>
      <c r="Y934" s="548"/>
      <c r="Z934" s="548"/>
    </row>
    <row r="935" ht="15.75" customHeight="1">
      <c r="A935" s="548"/>
      <c r="B935" s="548"/>
      <c r="C935" s="548"/>
      <c r="D935" s="548"/>
      <c r="E935" s="548"/>
      <c r="F935" s="549"/>
      <c r="G935" s="548"/>
      <c r="H935" s="548"/>
      <c r="I935" s="548"/>
      <c r="J935" s="548"/>
      <c r="K935" s="548"/>
      <c r="L935" s="548"/>
      <c r="M935" s="548"/>
      <c r="N935" s="548"/>
      <c r="O935" s="548"/>
      <c r="P935" s="548"/>
      <c r="Q935" s="548"/>
      <c r="R935" s="548"/>
      <c r="S935" s="548"/>
      <c r="T935" s="548"/>
      <c r="U935" s="548"/>
      <c r="V935" s="548"/>
      <c r="W935" s="548"/>
      <c r="X935" s="548"/>
      <c r="Y935" s="548"/>
      <c r="Z935" s="548"/>
    </row>
    <row r="936" ht="15.75" customHeight="1">
      <c r="A936" s="548"/>
      <c r="B936" s="548"/>
      <c r="C936" s="548"/>
      <c r="D936" s="548"/>
      <c r="E936" s="548"/>
      <c r="F936" s="549"/>
      <c r="G936" s="548"/>
      <c r="H936" s="548"/>
      <c r="I936" s="548"/>
      <c r="J936" s="548"/>
      <c r="K936" s="548"/>
      <c r="L936" s="548"/>
      <c r="M936" s="548"/>
      <c r="N936" s="548"/>
      <c r="O936" s="548"/>
      <c r="P936" s="548"/>
      <c r="Q936" s="548"/>
      <c r="R936" s="548"/>
      <c r="S936" s="548"/>
      <c r="T936" s="548"/>
      <c r="U936" s="548"/>
      <c r="V936" s="548"/>
      <c r="W936" s="548"/>
      <c r="X936" s="548"/>
      <c r="Y936" s="548"/>
      <c r="Z936" s="548"/>
    </row>
    <row r="937" ht="15.75" customHeight="1">
      <c r="A937" s="548"/>
      <c r="B937" s="548"/>
      <c r="C937" s="548"/>
      <c r="D937" s="548"/>
      <c r="E937" s="548"/>
      <c r="F937" s="549"/>
      <c r="G937" s="548"/>
      <c r="H937" s="548"/>
      <c r="I937" s="548"/>
      <c r="J937" s="548"/>
      <c r="K937" s="548"/>
      <c r="L937" s="548"/>
      <c r="M937" s="548"/>
      <c r="N937" s="548"/>
      <c r="O937" s="548"/>
      <c r="P937" s="548"/>
      <c r="Q937" s="548"/>
      <c r="R937" s="548"/>
      <c r="S937" s="548"/>
      <c r="T937" s="548"/>
      <c r="U937" s="548"/>
      <c r="V937" s="548"/>
      <c r="W937" s="548"/>
      <c r="X937" s="548"/>
      <c r="Y937" s="548"/>
      <c r="Z937" s="548"/>
    </row>
    <row r="938" ht="15.75" customHeight="1">
      <c r="A938" s="548"/>
      <c r="B938" s="548"/>
      <c r="C938" s="548"/>
      <c r="D938" s="548"/>
      <c r="E938" s="548"/>
      <c r="F938" s="549"/>
      <c r="G938" s="548"/>
      <c r="H938" s="548"/>
      <c r="I938" s="548"/>
      <c r="J938" s="548"/>
      <c r="K938" s="548"/>
      <c r="L938" s="548"/>
      <c r="M938" s="548"/>
      <c r="N938" s="548"/>
      <c r="O938" s="548"/>
      <c r="P938" s="548"/>
      <c r="Q938" s="548"/>
      <c r="R938" s="548"/>
      <c r="S938" s="548"/>
      <c r="T938" s="548"/>
      <c r="U938" s="548"/>
      <c r="V938" s="548"/>
      <c r="W938" s="548"/>
      <c r="X938" s="548"/>
      <c r="Y938" s="548"/>
      <c r="Z938" s="548"/>
    </row>
    <row r="939" ht="15.75" customHeight="1">
      <c r="A939" s="548"/>
      <c r="B939" s="548"/>
      <c r="C939" s="548"/>
      <c r="D939" s="548"/>
      <c r="E939" s="548"/>
      <c r="F939" s="549"/>
      <c r="G939" s="548"/>
      <c r="H939" s="548"/>
      <c r="I939" s="548"/>
      <c r="J939" s="548"/>
      <c r="K939" s="548"/>
      <c r="L939" s="548"/>
      <c r="M939" s="548"/>
      <c r="N939" s="548"/>
      <c r="O939" s="548"/>
      <c r="P939" s="548"/>
      <c r="Q939" s="548"/>
      <c r="R939" s="548"/>
      <c r="S939" s="548"/>
      <c r="T939" s="548"/>
      <c r="U939" s="548"/>
      <c r="V939" s="548"/>
      <c r="W939" s="548"/>
      <c r="X939" s="548"/>
      <c r="Y939" s="548"/>
      <c r="Z939" s="548"/>
    </row>
    <row r="940" ht="15.75" customHeight="1">
      <c r="A940" s="548"/>
      <c r="B940" s="548"/>
      <c r="C940" s="548"/>
      <c r="D940" s="548"/>
      <c r="E940" s="548"/>
      <c r="F940" s="549"/>
      <c r="G940" s="548"/>
      <c r="H940" s="548"/>
      <c r="I940" s="548"/>
      <c r="J940" s="548"/>
      <c r="K940" s="548"/>
      <c r="L940" s="548"/>
      <c r="M940" s="548"/>
      <c r="N940" s="548"/>
      <c r="O940" s="548"/>
      <c r="P940" s="548"/>
      <c r="Q940" s="548"/>
      <c r="R940" s="548"/>
      <c r="S940" s="548"/>
      <c r="T940" s="548"/>
      <c r="U940" s="548"/>
      <c r="V940" s="548"/>
      <c r="W940" s="548"/>
      <c r="X940" s="548"/>
      <c r="Y940" s="548"/>
      <c r="Z940" s="548"/>
    </row>
    <row r="941" ht="15.75" customHeight="1">
      <c r="A941" s="548"/>
      <c r="B941" s="548"/>
      <c r="C941" s="548"/>
      <c r="D941" s="548"/>
      <c r="E941" s="548"/>
      <c r="F941" s="549"/>
      <c r="G941" s="548"/>
      <c r="H941" s="548"/>
      <c r="I941" s="548"/>
      <c r="J941" s="548"/>
      <c r="K941" s="548"/>
      <c r="L941" s="548"/>
      <c r="M941" s="548"/>
      <c r="N941" s="548"/>
      <c r="O941" s="548"/>
      <c r="P941" s="548"/>
      <c r="Q941" s="548"/>
      <c r="R941" s="548"/>
      <c r="S941" s="548"/>
      <c r="T941" s="548"/>
      <c r="U941" s="548"/>
      <c r="V941" s="548"/>
      <c r="W941" s="548"/>
      <c r="X941" s="548"/>
      <c r="Y941" s="548"/>
      <c r="Z941" s="548"/>
    </row>
    <row r="942" ht="15.75" customHeight="1">
      <c r="A942" s="548"/>
      <c r="B942" s="548"/>
      <c r="C942" s="548"/>
      <c r="D942" s="548"/>
      <c r="E942" s="548"/>
      <c r="F942" s="549"/>
      <c r="G942" s="548"/>
      <c r="H942" s="548"/>
      <c r="I942" s="548"/>
      <c r="J942" s="548"/>
      <c r="K942" s="548"/>
      <c r="L942" s="548"/>
      <c r="M942" s="548"/>
      <c r="N942" s="548"/>
      <c r="O942" s="548"/>
      <c r="P942" s="548"/>
      <c r="Q942" s="548"/>
      <c r="R942" s="548"/>
      <c r="S942" s="548"/>
      <c r="T942" s="548"/>
      <c r="U942" s="548"/>
      <c r="V942" s="548"/>
      <c r="W942" s="548"/>
      <c r="X942" s="548"/>
      <c r="Y942" s="548"/>
      <c r="Z942" s="548"/>
    </row>
    <row r="943" ht="15.75" customHeight="1">
      <c r="A943" s="548"/>
      <c r="B943" s="548"/>
      <c r="C943" s="548"/>
      <c r="D943" s="548"/>
      <c r="E943" s="548"/>
      <c r="F943" s="549"/>
      <c r="G943" s="548"/>
      <c r="H943" s="548"/>
      <c r="I943" s="548"/>
      <c r="J943" s="548"/>
      <c r="K943" s="548"/>
      <c r="L943" s="548"/>
      <c r="M943" s="548"/>
      <c r="N943" s="548"/>
      <c r="O943" s="548"/>
      <c r="P943" s="548"/>
      <c r="Q943" s="548"/>
      <c r="R943" s="548"/>
      <c r="S943" s="548"/>
      <c r="T943" s="548"/>
      <c r="U943" s="548"/>
      <c r="V943" s="548"/>
      <c r="W943" s="548"/>
      <c r="X943" s="548"/>
      <c r="Y943" s="548"/>
      <c r="Z943" s="548"/>
    </row>
    <row r="944" ht="15.75" customHeight="1">
      <c r="A944" s="548"/>
      <c r="B944" s="548"/>
      <c r="C944" s="548"/>
      <c r="D944" s="548"/>
      <c r="E944" s="548"/>
      <c r="F944" s="549"/>
      <c r="G944" s="548"/>
      <c r="H944" s="548"/>
      <c r="I944" s="548"/>
      <c r="J944" s="548"/>
      <c r="K944" s="548"/>
      <c r="L944" s="548"/>
      <c r="M944" s="548"/>
      <c r="N944" s="548"/>
      <c r="O944" s="548"/>
      <c r="P944" s="548"/>
      <c r="Q944" s="548"/>
      <c r="R944" s="548"/>
      <c r="S944" s="548"/>
      <c r="T944" s="548"/>
      <c r="U944" s="548"/>
      <c r="V944" s="548"/>
      <c r="W944" s="548"/>
      <c r="X944" s="548"/>
      <c r="Y944" s="548"/>
      <c r="Z944" s="548"/>
    </row>
    <row r="945" ht="15.75" customHeight="1">
      <c r="A945" s="548"/>
      <c r="B945" s="548"/>
      <c r="C945" s="548"/>
      <c r="D945" s="548"/>
      <c r="E945" s="548"/>
      <c r="F945" s="549"/>
      <c r="G945" s="548"/>
      <c r="H945" s="548"/>
      <c r="I945" s="548"/>
      <c r="J945" s="548"/>
      <c r="K945" s="548"/>
      <c r="L945" s="548"/>
      <c r="M945" s="548"/>
      <c r="N945" s="548"/>
      <c r="O945" s="548"/>
      <c r="P945" s="548"/>
      <c r="Q945" s="548"/>
      <c r="R945" s="548"/>
      <c r="S945" s="548"/>
      <c r="T945" s="548"/>
      <c r="U945" s="548"/>
      <c r="V945" s="548"/>
      <c r="W945" s="548"/>
      <c r="X945" s="548"/>
      <c r="Y945" s="548"/>
      <c r="Z945" s="548"/>
    </row>
    <row r="946" ht="15.75" customHeight="1">
      <c r="A946" s="548"/>
      <c r="B946" s="548"/>
      <c r="C946" s="548"/>
      <c r="D946" s="548"/>
      <c r="E946" s="548"/>
      <c r="F946" s="549"/>
      <c r="G946" s="548"/>
      <c r="H946" s="548"/>
      <c r="I946" s="548"/>
      <c r="J946" s="548"/>
      <c r="K946" s="548"/>
      <c r="L946" s="548"/>
      <c r="M946" s="548"/>
      <c r="N946" s="548"/>
      <c r="O946" s="548"/>
      <c r="P946" s="548"/>
      <c r="Q946" s="548"/>
      <c r="R946" s="548"/>
      <c r="S946" s="548"/>
      <c r="T946" s="548"/>
      <c r="U946" s="548"/>
      <c r="V946" s="548"/>
      <c r="W946" s="548"/>
      <c r="X946" s="548"/>
      <c r="Y946" s="548"/>
      <c r="Z946" s="548"/>
    </row>
    <row r="947" ht="15.75" customHeight="1">
      <c r="A947" s="548"/>
      <c r="B947" s="548"/>
      <c r="C947" s="548"/>
      <c r="D947" s="548"/>
      <c r="E947" s="548"/>
      <c r="F947" s="549"/>
      <c r="G947" s="548"/>
      <c r="H947" s="548"/>
      <c r="I947" s="548"/>
      <c r="J947" s="548"/>
      <c r="K947" s="548"/>
      <c r="L947" s="548"/>
      <c r="M947" s="548"/>
      <c r="N947" s="548"/>
      <c r="O947" s="548"/>
      <c r="P947" s="548"/>
      <c r="Q947" s="548"/>
      <c r="R947" s="548"/>
      <c r="S947" s="548"/>
      <c r="T947" s="548"/>
      <c r="U947" s="548"/>
      <c r="V947" s="548"/>
      <c r="W947" s="548"/>
      <c r="X947" s="548"/>
      <c r="Y947" s="548"/>
      <c r="Z947" s="548"/>
    </row>
    <row r="948" ht="15.75" customHeight="1">
      <c r="A948" s="548"/>
      <c r="B948" s="548"/>
      <c r="C948" s="548"/>
      <c r="D948" s="548"/>
      <c r="E948" s="548"/>
      <c r="F948" s="549"/>
      <c r="G948" s="548"/>
      <c r="H948" s="548"/>
      <c r="I948" s="548"/>
      <c r="J948" s="548"/>
      <c r="K948" s="548"/>
      <c r="L948" s="548"/>
      <c r="M948" s="548"/>
      <c r="N948" s="548"/>
      <c r="O948" s="548"/>
      <c r="P948" s="548"/>
      <c r="Q948" s="548"/>
      <c r="R948" s="548"/>
      <c r="S948" s="548"/>
      <c r="T948" s="548"/>
      <c r="U948" s="548"/>
      <c r="V948" s="548"/>
      <c r="W948" s="548"/>
      <c r="X948" s="548"/>
      <c r="Y948" s="548"/>
      <c r="Z948" s="548"/>
    </row>
    <row r="949" ht="15.75" customHeight="1">
      <c r="A949" s="548"/>
      <c r="B949" s="548"/>
      <c r="C949" s="548"/>
      <c r="D949" s="548"/>
      <c r="E949" s="548"/>
      <c r="F949" s="549"/>
      <c r="G949" s="548"/>
      <c r="H949" s="548"/>
      <c r="I949" s="548"/>
      <c r="J949" s="548"/>
      <c r="K949" s="548"/>
      <c r="L949" s="548"/>
      <c r="M949" s="548"/>
      <c r="N949" s="548"/>
      <c r="O949" s="548"/>
      <c r="P949" s="548"/>
      <c r="Q949" s="548"/>
      <c r="R949" s="548"/>
      <c r="S949" s="548"/>
      <c r="T949" s="548"/>
      <c r="U949" s="548"/>
      <c r="V949" s="548"/>
      <c r="W949" s="548"/>
      <c r="X949" s="548"/>
      <c r="Y949" s="548"/>
      <c r="Z949" s="548"/>
    </row>
    <row r="950" ht="15.75" customHeight="1">
      <c r="A950" s="548"/>
      <c r="B950" s="548"/>
      <c r="C950" s="548"/>
      <c r="D950" s="548"/>
      <c r="E950" s="548"/>
      <c r="F950" s="549"/>
      <c r="G950" s="548"/>
      <c r="H950" s="548"/>
      <c r="I950" s="548"/>
      <c r="J950" s="548"/>
      <c r="K950" s="548"/>
      <c r="L950" s="548"/>
      <c r="M950" s="548"/>
      <c r="N950" s="548"/>
      <c r="O950" s="548"/>
      <c r="P950" s="548"/>
      <c r="Q950" s="548"/>
      <c r="R950" s="548"/>
      <c r="S950" s="548"/>
      <c r="T950" s="548"/>
      <c r="U950" s="548"/>
      <c r="V950" s="548"/>
      <c r="W950" s="548"/>
      <c r="X950" s="548"/>
      <c r="Y950" s="548"/>
      <c r="Z950" s="548"/>
    </row>
    <row r="951" ht="15.75" customHeight="1">
      <c r="A951" s="548"/>
      <c r="B951" s="548"/>
      <c r="C951" s="548"/>
      <c r="D951" s="548"/>
      <c r="E951" s="548"/>
      <c r="F951" s="549"/>
      <c r="G951" s="548"/>
      <c r="H951" s="548"/>
      <c r="I951" s="548"/>
      <c r="J951" s="548"/>
      <c r="K951" s="548"/>
      <c r="L951" s="548"/>
      <c r="M951" s="548"/>
      <c r="N951" s="548"/>
      <c r="O951" s="548"/>
      <c r="P951" s="548"/>
      <c r="Q951" s="548"/>
      <c r="R951" s="548"/>
      <c r="S951" s="548"/>
      <c r="T951" s="548"/>
      <c r="U951" s="548"/>
      <c r="V951" s="548"/>
      <c r="W951" s="548"/>
      <c r="X951" s="548"/>
      <c r="Y951" s="548"/>
      <c r="Z951" s="548"/>
    </row>
    <row r="952" ht="15.75" customHeight="1">
      <c r="A952" s="548"/>
      <c r="B952" s="548"/>
      <c r="C952" s="548"/>
      <c r="D952" s="548"/>
      <c r="E952" s="548"/>
      <c r="F952" s="549"/>
      <c r="G952" s="548"/>
      <c r="H952" s="548"/>
      <c r="I952" s="548"/>
      <c r="J952" s="548"/>
      <c r="K952" s="548"/>
      <c r="L952" s="548"/>
      <c r="M952" s="548"/>
      <c r="N952" s="548"/>
      <c r="O952" s="548"/>
      <c r="P952" s="548"/>
      <c r="Q952" s="548"/>
      <c r="R952" s="548"/>
      <c r="S952" s="548"/>
      <c r="T952" s="548"/>
      <c r="U952" s="548"/>
      <c r="V952" s="548"/>
      <c r="W952" s="548"/>
      <c r="X952" s="548"/>
      <c r="Y952" s="548"/>
      <c r="Z952" s="548"/>
    </row>
    <row r="953" ht="15.75" customHeight="1">
      <c r="A953" s="548"/>
      <c r="B953" s="548"/>
      <c r="C953" s="548"/>
      <c r="D953" s="548"/>
      <c r="E953" s="548"/>
      <c r="F953" s="549"/>
      <c r="G953" s="548"/>
      <c r="H953" s="548"/>
      <c r="I953" s="548"/>
      <c r="J953" s="548"/>
      <c r="K953" s="548"/>
      <c r="L953" s="548"/>
      <c r="M953" s="548"/>
      <c r="N953" s="548"/>
      <c r="O953" s="548"/>
      <c r="P953" s="548"/>
      <c r="Q953" s="548"/>
      <c r="R953" s="548"/>
      <c r="S953" s="548"/>
      <c r="T953" s="548"/>
      <c r="U953" s="548"/>
      <c r="V953" s="548"/>
      <c r="W953" s="548"/>
      <c r="X953" s="548"/>
      <c r="Y953" s="548"/>
      <c r="Z953" s="548"/>
    </row>
    <row r="954" ht="15.75" customHeight="1">
      <c r="A954" s="548"/>
      <c r="B954" s="548"/>
      <c r="C954" s="548"/>
      <c r="D954" s="548"/>
      <c r="E954" s="548"/>
      <c r="F954" s="549"/>
      <c r="G954" s="548"/>
      <c r="H954" s="548"/>
      <c r="I954" s="548"/>
      <c r="J954" s="548"/>
      <c r="K954" s="548"/>
      <c r="L954" s="548"/>
      <c r="M954" s="548"/>
      <c r="N954" s="548"/>
      <c r="O954" s="548"/>
      <c r="P954" s="548"/>
      <c r="Q954" s="548"/>
      <c r="R954" s="548"/>
      <c r="S954" s="548"/>
      <c r="T954" s="548"/>
      <c r="U954" s="548"/>
      <c r="V954" s="548"/>
      <c r="W954" s="548"/>
      <c r="X954" s="548"/>
      <c r="Y954" s="548"/>
      <c r="Z954" s="548"/>
    </row>
    <row r="955" ht="15.75" customHeight="1">
      <c r="A955" s="548"/>
      <c r="B955" s="548"/>
      <c r="C955" s="548"/>
      <c r="D955" s="548"/>
      <c r="E955" s="548"/>
      <c r="F955" s="549"/>
      <c r="G955" s="548"/>
      <c r="H955" s="548"/>
      <c r="I955" s="548"/>
      <c r="J955" s="548"/>
      <c r="K955" s="548"/>
      <c r="L955" s="548"/>
      <c r="M955" s="548"/>
      <c r="N955" s="548"/>
      <c r="O955" s="548"/>
      <c r="P955" s="548"/>
      <c r="Q955" s="548"/>
      <c r="R955" s="548"/>
      <c r="S955" s="548"/>
      <c r="T955" s="548"/>
      <c r="U955" s="548"/>
      <c r="V955" s="548"/>
      <c r="W955" s="548"/>
      <c r="X955" s="548"/>
      <c r="Y955" s="548"/>
      <c r="Z955" s="548"/>
    </row>
    <row r="956" ht="15.75" customHeight="1">
      <c r="A956" s="548"/>
      <c r="B956" s="548"/>
      <c r="C956" s="548"/>
      <c r="D956" s="548"/>
      <c r="E956" s="548"/>
      <c r="F956" s="549"/>
      <c r="G956" s="548"/>
      <c r="H956" s="548"/>
      <c r="I956" s="548"/>
      <c r="J956" s="548"/>
      <c r="K956" s="548"/>
      <c r="L956" s="548"/>
      <c r="M956" s="548"/>
      <c r="N956" s="548"/>
      <c r="O956" s="548"/>
      <c r="P956" s="548"/>
      <c r="Q956" s="548"/>
      <c r="R956" s="548"/>
      <c r="S956" s="548"/>
      <c r="T956" s="548"/>
      <c r="U956" s="548"/>
      <c r="V956" s="548"/>
      <c r="W956" s="548"/>
      <c r="X956" s="548"/>
      <c r="Y956" s="548"/>
      <c r="Z956" s="548"/>
    </row>
    <row r="957" ht="15.75" customHeight="1">
      <c r="A957" s="548"/>
      <c r="B957" s="548"/>
      <c r="C957" s="548"/>
      <c r="D957" s="548"/>
      <c r="E957" s="548"/>
      <c r="F957" s="549"/>
      <c r="G957" s="548"/>
      <c r="H957" s="548"/>
      <c r="I957" s="548"/>
      <c r="J957" s="548"/>
      <c r="K957" s="548"/>
      <c r="L957" s="548"/>
      <c r="M957" s="548"/>
      <c r="N957" s="548"/>
      <c r="O957" s="548"/>
      <c r="P957" s="548"/>
      <c r="Q957" s="548"/>
      <c r="R957" s="548"/>
      <c r="S957" s="548"/>
      <c r="T957" s="548"/>
      <c r="U957" s="548"/>
      <c r="V957" s="548"/>
      <c r="W957" s="548"/>
      <c r="X957" s="548"/>
      <c r="Y957" s="548"/>
      <c r="Z957" s="548"/>
    </row>
    <row r="958" ht="15.75" customHeight="1">
      <c r="A958" s="548"/>
      <c r="B958" s="548"/>
      <c r="C958" s="548"/>
      <c r="D958" s="548"/>
      <c r="E958" s="548"/>
      <c r="F958" s="549"/>
      <c r="G958" s="548"/>
      <c r="H958" s="548"/>
      <c r="I958" s="548"/>
      <c r="J958" s="548"/>
      <c r="K958" s="548"/>
      <c r="L958" s="548"/>
      <c r="M958" s="548"/>
      <c r="N958" s="548"/>
      <c r="O958" s="548"/>
      <c r="P958" s="548"/>
      <c r="Q958" s="548"/>
      <c r="R958" s="548"/>
      <c r="S958" s="548"/>
      <c r="T958" s="548"/>
      <c r="U958" s="548"/>
      <c r="V958" s="548"/>
      <c r="W958" s="548"/>
      <c r="X958" s="548"/>
      <c r="Y958" s="548"/>
      <c r="Z958" s="548"/>
    </row>
    <row r="959" ht="15.75" customHeight="1">
      <c r="A959" s="548"/>
      <c r="B959" s="548"/>
      <c r="C959" s="548"/>
      <c r="D959" s="548"/>
      <c r="E959" s="548"/>
      <c r="F959" s="549"/>
      <c r="G959" s="548"/>
      <c r="H959" s="548"/>
      <c r="I959" s="548"/>
      <c r="J959" s="548"/>
      <c r="K959" s="548"/>
      <c r="L959" s="548"/>
      <c r="M959" s="548"/>
      <c r="N959" s="548"/>
      <c r="O959" s="548"/>
      <c r="P959" s="548"/>
      <c r="Q959" s="548"/>
      <c r="R959" s="548"/>
      <c r="S959" s="548"/>
      <c r="T959" s="548"/>
      <c r="U959" s="548"/>
      <c r="V959" s="548"/>
      <c r="W959" s="548"/>
      <c r="X959" s="548"/>
      <c r="Y959" s="548"/>
      <c r="Z959" s="548"/>
    </row>
    <row r="960" ht="15.75" customHeight="1">
      <c r="A960" s="548"/>
      <c r="B960" s="548"/>
      <c r="C960" s="548"/>
      <c r="D960" s="548"/>
      <c r="E960" s="548"/>
      <c r="F960" s="549"/>
      <c r="G960" s="548"/>
      <c r="H960" s="548"/>
      <c r="I960" s="548"/>
      <c r="J960" s="548"/>
      <c r="K960" s="548"/>
      <c r="L960" s="548"/>
      <c r="M960" s="548"/>
      <c r="N960" s="548"/>
      <c r="O960" s="548"/>
      <c r="P960" s="548"/>
      <c r="Q960" s="548"/>
      <c r="R960" s="548"/>
      <c r="S960" s="548"/>
      <c r="T960" s="548"/>
      <c r="U960" s="548"/>
      <c r="V960" s="548"/>
      <c r="W960" s="548"/>
      <c r="X960" s="548"/>
      <c r="Y960" s="548"/>
      <c r="Z960" s="548"/>
    </row>
    <row r="961" ht="15.75" customHeight="1">
      <c r="A961" s="548"/>
      <c r="B961" s="548"/>
      <c r="C961" s="548"/>
      <c r="D961" s="548"/>
      <c r="E961" s="548"/>
      <c r="F961" s="549"/>
      <c r="G961" s="548"/>
      <c r="H961" s="548"/>
      <c r="I961" s="548"/>
      <c r="J961" s="548"/>
      <c r="K961" s="548"/>
      <c r="L961" s="548"/>
      <c r="M961" s="548"/>
      <c r="N961" s="548"/>
      <c r="O961" s="548"/>
      <c r="P961" s="548"/>
      <c r="Q961" s="548"/>
      <c r="R961" s="548"/>
      <c r="S961" s="548"/>
      <c r="T961" s="548"/>
      <c r="U961" s="548"/>
      <c r="V961" s="548"/>
      <c r="W961" s="548"/>
      <c r="X961" s="548"/>
      <c r="Y961" s="548"/>
      <c r="Z961" s="548"/>
    </row>
    <row r="962" ht="15.75" customHeight="1">
      <c r="A962" s="548"/>
      <c r="B962" s="548"/>
      <c r="C962" s="548"/>
      <c r="D962" s="548"/>
      <c r="E962" s="548"/>
      <c r="F962" s="549"/>
      <c r="G962" s="548"/>
      <c r="H962" s="548"/>
      <c r="I962" s="548"/>
      <c r="J962" s="548"/>
      <c r="K962" s="548"/>
      <c r="L962" s="548"/>
      <c r="M962" s="548"/>
      <c r="N962" s="548"/>
      <c r="O962" s="548"/>
      <c r="P962" s="548"/>
      <c r="Q962" s="548"/>
      <c r="R962" s="548"/>
      <c r="S962" s="548"/>
      <c r="T962" s="548"/>
      <c r="U962" s="548"/>
      <c r="V962" s="548"/>
      <c r="W962" s="548"/>
      <c r="X962" s="548"/>
      <c r="Y962" s="548"/>
      <c r="Z962" s="548"/>
    </row>
    <row r="963" ht="15.75" customHeight="1">
      <c r="A963" s="548"/>
      <c r="B963" s="548"/>
      <c r="C963" s="548"/>
      <c r="D963" s="548"/>
      <c r="E963" s="548"/>
      <c r="F963" s="549"/>
      <c r="G963" s="548"/>
      <c r="H963" s="548"/>
      <c r="I963" s="548"/>
      <c r="J963" s="548"/>
      <c r="K963" s="548"/>
      <c r="L963" s="548"/>
      <c r="M963" s="548"/>
      <c r="N963" s="548"/>
      <c r="O963" s="548"/>
      <c r="P963" s="548"/>
      <c r="Q963" s="548"/>
      <c r="R963" s="548"/>
      <c r="S963" s="548"/>
      <c r="T963" s="548"/>
      <c r="U963" s="548"/>
      <c r="V963" s="548"/>
      <c r="W963" s="548"/>
      <c r="X963" s="548"/>
      <c r="Y963" s="548"/>
      <c r="Z963" s="548"/>
    </row>
    <row r="964" ht="15.75" customHeight="1">
      <c r="A964" s="548"/>
      <c r="B964" s="548"/>
      <c r="C964" s="548"/>
      <c r="D964" s="548"/>
      <c r="E964" s="548"/>
      <c r="F964" s="549"/>
      <c r="G964" s="548"/>
      <c r="H964" s="548"/>
      <c r="I964" s="548"/>
      <c r="J964" s="548"/>
      <c r="K964" s="548"/>
      <c r="L964" s="548"/>
      <c r="M964" s="548"/>
      <c r="N964" s="548"/>
      <c r="O964" s="548"/>
      <c r="P964" s="548"/>
      <c r="Q964" s="548"/>
      <c r="R964" s="548"/>
      <c r="S964" s="548"/>
      <c r="T964" s="548"/>
      <c r="U964" s="548"/>
      <c r="V964" s="548"/>
      <c r="W964" s="548"/>
      <c r="X964" s="548"/>
      <c r="Y964" s="548"/>
      <c r="Z964" s="548"/>
    </row>
    <row r="965" ht="15.75" customHeight="1">
      <c r="A965" s="548"/>
      <c r="B965" s="548"/>
      <c r="C965" s="548"/>
      <c r="D965" s="548"/>
      <c r="E965" s="548"/>
      <c r="F965" s="549"/>
      <c r="G965" s="548"/>
      <c r="H965" s="548"/>
      <c r="I965" s="548"/>
      <c r="J965" s="548"/>
      <c r="K965" s="548"/>
      <c r="L965" s="548"/>
      <c r="M965" s="548"/>
      <c r="N965" s="548"/>
      <c r="O965" s="548"/>
      <c r="P965" s="548"/>
      <c r="Q965" s="548"/>
      <c r="R965" s="548"/>
      <c r="S965" s="548"/>
      <c r="T965" s="548"/>
      <c r="U965" s="548"/>
      <c r="V965" s="548"/>
      <c r="W965" s="548"/>
      <c r="X965" s="548"/>
      <c r="Y965" s="548"/>
      <c r="Z965" s="548"/>
    </row>
    <row r="966" ht="15.75" customHeight="1">
      <c r="A966" s="548"/>
      <c r="B966" s="548"/>
      <c r="C966" s="548"/>
      <c r="D966" s="548"/>
      <c r="E966" s="548"/>
      <c r="F966" s="549"/>
      <c r="G966" s="548"/>
      <c r="H966" s="548"/>
      <c r="I966" s="548"/>
      <c r="J966" s="548"/>
      <c r="K966" s="548"/>
      <c r="L966" s="548"/>
      <c r="M966" s="548"/>
      <c r="N966" s="548"/>
      <c r="O966" s="548"/>
      <c r="P966" s="548"/>
      <c r="Q966" s="548"/>
      <c r="R966" s="548"/>
      <c r="S966" s="548"/>
      <c r="T966" s="548"/>
      <c r="U966" s="548"/>
      <c r="V966" s="548"/>
      <c r="W966" s="548"/>
      <c r="X966" s="548"/>
      <c r="Y966" s="548"/>
      <c r="Z966" s="548"/>
    </row>
    <row r="967" ht="15.75" customHeight="1">
      <c r="A967" s="548"/>
      <c r="B967" s="548"/>
      <c r="C967" s="548"/>
      <c r="D967" s="548"/>
      <c r="E967" s="548"/>
      <c r="F967" s="549"/>
      <c r="G967" s="548"/>
      <c r="H967" s="548"/>
      <c r="I967" s="548"/>
      <c r="J967" s="548"/>
      <c r="K967" s="548"/>
      <c r="L967" s="548"/>
      <c r="M967" s="548"/>
      <c r="N967" s="548"/>
      <c r="O967" s="548"/>
      <c r="P967" s="548"/>
      <c r="Q967" s="548"/>
      <c r="R967" s="548"/>
      <c r="S967" s="548"/>
      <c r="T967" s="548"/>
      <c r="U967" s="548"/>
      <c r="V967" s="548"/>
      <c r="W967" s="548"/>
      <c r="X967" s="548"/>
      <c r="Y967" s="548"/>
      <c r="Z967" s="548"/>
    </row>
    <row r="968" ht="15.75" customHeight="1">
      <c r="A968" s="548"/>
      <c r="B968" s="548"/>
      <c r="C968" s="548"/>
      <c r="D968" s="548"/>
      <c r="E968" s="548"/>
      <c r="F968" s="549"/>
      <c r="G968" s="548"/>
      <c r="H968" s="548"/>
      <c r="I968" s="548"/>
      <c r="J968" s="548"/>
      <c r="K968" s="548"/>
      <c r="L968" s="548"/>
      <c r="M968" s="548"/>
      <c r="N968" s="548"/>
      <c r="O968" s="548"/>
      <c r="P968" s="548"/>
      <c r="Q968" s="548"/>
      <c r="R968" s="548"/>
      <c r="S968" s="548"/>
      <c r="T968" s="548"/>
      <c r="U968" s="548"/>
      <c r="V968" s="548"/>
      <c r="W968" s="548"/>
      <c r="X968" s="548"/>
      <c r="Y968" s="548"/>
      <c r="Z968" s="548"/>
    </row>
    <row r="969" ht="15.75" customHeight="1">
      <c r="A969" s="548"/>
      <c r="B969" s="548"/>
      <c r="C969" s="548"/>
      <c r="D969" s="548"/>
      <c r="E969" s="548"/>
      <c r="F969" s="549"/>
      <c r="G969" s="548"/>
      <c r="H969" s="548"/>
      <c r="I969" s="548"/>
      <c r="J969" s="548"/>
      <c r="K969" s="548"/>
      <c r="L969" s="548"/>
      <c r="M969" s="548"/>
      <c r="N969" s="548"/>
      <c r="O969" s="548"/>
      <c r="P969" s="548"/>
      <c r="Q969" s="548"/>
      <c r="R969" s="548"/>
      <c r="S969" s="548"/>
      <c r="T969" s="548"/>
      <c r="U969" s="548"/>
      <c r="V969" s="548"/>
      <c r="W969" s="548"/>
      <c r="X969" s="548"/>
      <c r="Y969" s="548"/>
      <c r="Z969" s="548"/>
    </row>
    <row r="970" ht="15.75" customHeight="1">
      <c r="A970" s="548"/>
      <c r="B970" s="548"/>
      <c r="C970" s="548"/>
      <c r="D970" s="548"/>
      <c r="E970" s="548"/>
      <c r="F970" s="549"/>
      <c r="G970" s="548"/>
      <c r="H970" s="548"/>
      <c r="I970" s="548"/>
      <c r="J970" s="548"/>
      <c r="K970" s="548"/>
      <c r="L970" s="548"/>
      <c r="M970" s="548"/>
      <c r="N970" s="548"/>
      <c r="O970" s="548"/>
      <c r="P970" s="548"/>
      <c r="Q970" s="548"/>
      <c r="R970" s="548"/>
      <c r="S970" s="548"/>
      <c r="T970" s="548"/>
      <c r="U970" s="548"/>
      <c r="V970" s="548"/>
      <c r="W970" s="548"/>
      <c r="X970" s="548"/>
      <c r="Y970" s="548"/>
      <c r="Z970" s="548"/>
    </row>
    <row r="971" ht="15.75" customHeight="1">
      <c r="A971" s="548"/>
      <c r="B971" s="548"/>
      <c r="C971" s="548"/>
      <c r="D971" s="548"/>
      <c r="E971" s="548"/>
      <c r="F971" s="549"/>
      <c r="G971" s="548"/>
      <c r="H971" s="548"/>
      <c r="I971" s="548"/>
      <c r="J971" s="548"/>
      <c r="K971" s="548"/>
      <c r="L971" s="548"/>
      <c r="M971" s="548"/>
      <c r="N971" s="548"/>
      <c r="O971" s="548"/>
      <c r="P971" s="548"/>
      <c r="Q971" s="548"/>
      <c r="R971" s="548"/>
      <c r="S971" s="548"/>
      <c r="T971" s="548"/>
      <c r="U971" s="548"/>
      <c r="V971" s="548"/>
      <c r="W971" s="548"/>
      <c r="X971" s="548"/>
      <c r="Y971" s="548"/>
      <c r="Z971" s="548"/>
    </row>
    <row r="972" ht="15.75" customHeight="1">
      <c r="A972" s="548"/>
      <c r="B972" s="548"/>
      <c r="C972" s="548"/>
      <c r="D972" s="548"/>
      <c r="E972" s="548"/>
      <c r="F972" s="549"/>
      <c r="G972" s="548"/>
      <c r="H972" s="548"/>
      <c r="I972" s="548"/>
      <c r="J972" s="548"/>
      <c r="K972" s="548"/>
      <c r="L972" s="548"/>
      <c r="M972" s="548"/>
      <c r="N972" s="548"/>
      <c r="O972" s="548"/>
      <c r="P972" s="548"/>
      <c r="Q972" s="548"/>
      <c r="R972" s="548"/>
      <c r="S972" s="548"/>
      <c r="T972" s="548"/>
      <c r="U972" s="548"/>
      <c r="V972" s="548"/>
      <c r="W972" s="548"/>
      <c r="X972" s="548"/>
      <c r="Y972" s="548"/>
      <c r="Z972" s="548"/>
    </row>
    <row r="973" ht="15.75" customHeight="1">
      <c r="A973" s="548"/>
      <c r="B973" s="548"/>
      <c r="C973" s="548"/>
      <c r="D973" s="548"/>
      <c r="E973" s="548"/>
      <c r="F973" s="549"/>
      <c r="G973" s="548"/>
      <c r="H973" s="548"/>
      <c r="I973" s="548"/>
      <c r="J973" s="548"/>
      <c r="K973" s="548"/>
      <c r="L973" s="548"/>
      <c r="M973" s="548"/>
      <c r="N973" s="548"/>
      <c r="O973" s="548"/>
      <c r="P973" s="548"/>
      <c r="Q973" s="548"/>
      <c r="R973" s="548"/>
      <c r="S973" s="548"/>
      <c r="T973" s="548"/>
      <c r="U973" s="548"/>
      <c r="V973" s="548"/>
      <c r="W973" s="548"/>
      <c r="X973" s="548"/>
      <c r="Y973" s="548"/>
      <c r="Z973" s="548"/>
    </row>
    <row r="974" ht="15.75" customHeight="1">
      <c r="A974" s="548"/>
      <c r="B974" s="548"/>
      <c r="C974" s="548"/>
      <c r="D974" s="548"/>
      <c r="E974" s="548"/>
      <c r="F974" s="549"/>
      <c r="G974" s="548"/>
      <c r="H974" s="548"/>
      <c r="I974" s="548"/>
      <c r="J974" s="548"/>
      <c r="K974" s="548"/>
      <c r="L974" s="548"/>
      <c r="M974" s="548"/>
      <c r="N974" s="548"/>
      <c r="O974" s="548"/>
      <c r="P974" s="548"/>
      <c r="Q974" s="548"/>
      <c r="R974" s="548"/>
      <c r="S974" s="548"/>
      <c r="T974" s="548"/>
      <c r="U974" s="548"/>
      <c r="V974" s="548"/>
      <c r="W974" s="548"/>
      <c r="X974" s="548"/>
      <c r="Y974" s="548"/>
      <c r="Z974" s="548"/>
    </row>
    <row r="975" ht="15.75" customHeight="1">
      <c r="A975" s="548"/>
      <c r="B975" s="548"/>
      <c r="C975" s="548"/>
      <c r="D975" s="548"/>
      <c r="E975" s="548"/>
      <c r="F975" s="549"/>
      <c r="G975" s="548"/>
      <c r="H975" s="548"/>
      <c r="I975" s="548"/>
      <c r="J975" s="548"/>
      <c r="K975" s="548"/>
      <c r="L975" s="548"/>
      <c r="M975" s="548"/>
      <c r="N975" s="548"/>
      <c r="O975" s="548"/>
      <c r="P975" s="548"/>
      <c r="Q975" s="548"/>
      <c r="R975" s="548"/>
      <c r="S975" s="548"/>
      <c r="T975" s="548"/>
      <c r="U975" s="548"/>
      <c r="V975" s="548"/>
      <c r="W975" s="548"/>
      <c r="X975" s="548"/>
      <c r="Y975" s="548"/>
      <c r="Z975" s="548"/>
    </row>
    <row r="976" ht="15.75" customHeight="1">
      <c r="A976" s="548"/>
      <c r="B976" s="548"/>
      <c r="C976" s="548"/>
      <c r="D976" s="548"/>
      <c r="E976" s="548"/>
      <c r="F976" s="549"/>
      <c r="G976" s="548"/>
      <c r="H976" s="548"/>
      <c r="I976" s="548"/>
      <c r="J976" s="548"/>
      <c r="K976" s="548"/>
      <c r="L976" s="548"/>
      <c r="M976" s="548"/>
      <c r="N976" s="548"/>
      <c r="O976" s="548"/>
      <c r="P976" s="548"/>
      <c r="Q976" s="548"/>
      <c r="R976" s="548"/>
      <c r="S976" s="548"/>
      <c r="T976" s="548"/>
      <c r="U976" s="548"/>
      <c r="V976" s="548"/>
      <c r="W976" s="548"/>
      <c r="X976" s="548"/>
      <c r="Y976" s="548"/>
      <c r="Z976" s="548"/>
    </row>
    <row r="977" ht="15.75" customHeight="1">
      <c r="A977" s="548"/>
      <c r="B977" s="548"/>
      <c r="C977" s="548"/>
      <c r="D977" s="548"/>
      <c r="E977" s="548"/>
      <c r="F977" s="549"/>
      <c r="G977" s="548"/>
      <c r="H977" s="548"/>
      <c r="I977" s="548"/>
      <c r="J977" s="548"/>
      <c r="K977" s="548"/>
      <c r="L977" s="548"/>
      <c r="M977" s="548"/>
      <c r="N977" s="548"/>
      <c r="O977" s="548"/>
      <c r="P977" s="548"/>
      <c r="Q977" s="548"/>
      <c r="R977" s="548"/>
      <c r="S977" s="548"/>
      <c r="T977" s="548"/>
      <c r="U977" s="548"/>
      <c r="V977" s="548"/>
      <c r="W977" s="548"/>
      <c r="X977" s="548"/>
      <c r="Y977" s="548"/>
      <c r="Z977" s="548"/>
    </row>
    <row r="978" ht="15.75" customHeight="1">
      <c r="A978" s="548"/>
      <c r="B978" s="548"/>
      <c r="C978" s="548"/>
      <c r="D978" s="548"/>
      <c r="E978" s="548"/>
      <c r="F978" s="549"/>
      <c r="G978" s="548"/>
      <c r="H978" s="548"/>
      <c r="I978" s="548"/>
      <c r="J978" s="548"/>
      <c r="K978" s="548"/>
      <c r="L978" s="548"/>
      <c r="M978" s="548"/>
      <c r="N978" s="548"/>
      <c r="O978" s="548"/>
      <c r="P978" s="548"/>
      <c r="Q978" s="548"/>
      <c r="R978" s="548"/>
      <c r="S978" s="548"/>
      <c r="T978" s="548"/>
      <c r="U978" s="548"/>
      <c r="V978" s="548"/>
      <c r="W978" s="548"/>
      <c r="X978" s="548"/>
      <c r="Y978" s="548"/>
      <c r="Z978" s="548"/>
    </row>
    <row r="979" ht="15.75" customHeight="1">
      <c r="A979" s="548"/>
      <c r="B979" s="548"/>
      <c r="C979" s="548"/>
      <c r="D979" s="548"/>
      <c r="E979" s="548"/>
      <c r="F979" s="549"/>
      <c r="G979" s="548"/>
      <c r="H979" s="548"/>
      <c r="I979" s="548"/>
      <c r="J979" s="548"/>
      <c r="K979" s="548"/>
      <c r="L979" s="548"/>
      <c r="M979" s="548"/>
      <c r="N979" s="548"/>
      <c r="O979" s="548"/>
      <c r="P979" s="548"/>
      <c r="Q979" s="548"/>
      <c r="R979" s="548"/>
      <c r="S979" s="548"/>
      <c r="T979" s="548"/>
      <c r="U979" s="548"/>
      <c r="V979" s="548"/>
      <c r="W979" s="548"/>
      <c r="X979" s="548"/>
      <c r="Y979" s="548"/>
      <c r="Z979" s="548"/>
    </row>
    <row r="980" ht="15.75" customHeight="1">
      <c r="A980" s="548"/>
      <c r="B980" s="548"/>
      <c r="C980" s="548"/>
      <c r="D980" s="548"/>
      <c r="E980" s="548"/>
      <c r="F980" s="549"/>
      <c r="G980" s="548"/>
      <c r="H980" s="548"/>
      <c r="I980" s="548"/>
      <c r="J980" s="548"/>
      <c r="K980" s="548"/>
      <c r="L980" s="548"/>
      <c r="M980" s="548"/>
      <c r="N980" s="548"/>
      <c r="O980" s="548"/>
      <c r="P980" s="548"/>
      <c r="Q980" s="548"/>
      <c r="R980" s="548"/>
      <c r="S980" s="548"/>
      <c r="T980" s="548"/>
      <c r="U980" s="548"/>
      <c r="V980" s="548"/>
      <c r="W980" s="548"/>
      <c r="X980" s="548"/>
      <c r="Y980" s="548"/>
      <c r="Z980" s="548"/>
    </row>
    <row r="981" ht="15.75" customHeight="1">
      <c r="A981" s="548"/>
      <c r="B981" s="548"/>
      <c r="C981" s="548"/>
      <c r="D981" s="548"/>
      <c r="E981" s="548"/>
      <c r="F981" s="549"/>
      <c r="G981" s="548"/>
      <c r="H981" s="548"/>
      <c r="I981" s="548"/>
      <c r="J981" s="548"/>
      <c r="K981" s="548"/>
      <c r="L981" s="548"/>
      <c r="M981" s="548"/>
      <c r="N981" s="548"/>
      <c r="O981" s="548"/>
      <c r="P981" s="548"/>
      <c r="Q981" s="548"/>
      <c r="R981" s="548"/>
      <c r="S981" s="548"/>
      <c r="T981" s="548"/>
      <c r="U981" s="548"/>
      <c r="V981" s="548"/>
      <c r="W981" s="548"/>
      <c r="X981" s="548"/>
      <c r="Y981" s="548"/>
      <c r="Z981" s="548"/>
    </row>
    <row r="982" ht="15.75" customHeight="1">
      <c r="A982" s="548"/>
      <c r="B982" s="548"/>
      <c r="C982" s="548"/>
      <c r="D982" s="548"/>
      <c r="E982" s="548"/>
      <c r="F982" s="549"/>
      <c r="G982" s="548"/>
      <c r="H982" s="548"/>
      <c r="I982" s="548"/>
      <c r="J982" s="548"/>
      <c r="K982" s="548"/>
      <c r="L982" s="548"/>
      <c r="M982" s="548"/>
      <c r="N982" s="548"/>
      <c r="O982" s="548"/>
      <c r="P982" s="548"/>
      <c r="Q982" s="548"/>
      <c r="R982" s="548"/>
      <c r="S982" s="548"/>
      <c r="T982" s="548"/>
      <c r="U982" s="548"/>
      <c r="V982" s="548"/>
      <c r="W982" s="548"/>
      <c r="X982" s="548"/>
      <c r="Y982" s="548"/>
      <c r="Z982" s="548"/>
    </row>
    <row r="983" ht="15.75" customHeight="1">
      <c r="A983" s="548"/>
      <c r="B983" s="548"/>
      <c r="C983" s="548"/>
      <c r="D983" s="548"/>
      <c r="E983" s="548"/>
      <c r="F983" s="549"/>
      <c r="G983" s="548"/>
      <c r="H983" s="548"/>
      <c r="I983" s="548"/>
      <c r="J983" s="548"/>
      <c r="K983" s="548"/>
      <c r="L983" s="548"/>
      <c r="M983" s="548"/>
      <c r="N983" s="548"/>
      <c r="O983" s="548"/>
      <c r="P983" s="548"/>
      <c r="Q983" s="548"/>
      <c r="R983" s="548"/>
      <c r="S983" s="548"/>
      <c r="T983" s="548"/>
      <c r="U983" s="548"/>
      <c r="V983" s="548"/>
      <c r="W983" s="548"/>
      <c r="X983" s="548"/>
      <c r="Y983" s="548"/>
      <c r="Z983" s="548"/>
    </row>
    <row r="984" ht="15.75" customHeight="1">
      <c r="A984" s="548"/>
      <c r="B984" s="548"/>
      <c r="C984" s="548"/>
      <c r="D984" s="548"/>
      <c r="E984" s="548"/>
      <c r="F984" s="549"/>
      <c r="G984" s="548"/>
      <c r="H984" s="548"/>
      <c r="I984" s="548"/>
      <c r="J984" s="548"/>
      <c r="K984" s="548"/>
      <c r="L984" s="548"/>
      <c r="M984" s="548"/>
      <c r="N984" s="548"/>
      <c r="O984" s="548"/>
      <c r="P984" s="548"/>
      <c r="Q984" s="548"/>
      <c r="R984" s="548"/>
      <c r="S984" s="548"/>
      <c r="T984" s="548"/>
      <c r="U984" s="548"/>
      <c r="V984" s="548"/>
      <c r="W984" s="548"/>
      <c r="X984" s="548"/>
      <c r="Y984" s="548"/>
      <c r="Z984" s="548"/>
    </row>
    <row r="985" ht="15.75" customHeight="1">
      <c r="A985" s="548"/>
      <c r="B985" s="548"/>
      <c r="C985" s="548"/>
      <c r="D985" s="548"/>
      <c r="E985" s="548"/>
      <c r="F985" s="549"/>
      <c r="G985" s="548"/>
      <c r="H985" s="548"/>
      <c r="I985" s="548"/>
      <c r="J985" s="548"/>
      <c r="K985" s="548"/>
      <c r="L985" s="548"/>
      <c r="M985" s="548"/>
      <c r="N985" s="548"/>
      <c r="O985" s="548"/>
      <c r="P985" s="548"/>
      <c r="Q985" s="548"/>
      <c r="R985" s="548"/>
      <c r="S985" s="548"/>
      <c r="T985" s="548"/>
      <c r="U985" s="548"/>
      <c r="V985" s="548"/>
      <c r="W985" s="548"/>
      <c r="X985" s="548"/>
      <c r="Y985" s="548"/>
      <c r="Z985" s="548"/>
    </row>
    <row r="986" ht="15.75" customHeight="1">
      <c r="A986" s="548"/>
      <c r="B986" s="548"/>
      <c r="C986" s="548"/>
      <c r="D986" s="548"/>
      <c r="E986" s="548"/>
      <c r="F986" s="549"/>
      <c r="G986" s="548"/>
      <c r="H986" s="548"/>
      <c r="I986" s="548"/>
      <c r="J986" s="548"/>
      <c r="K986" s="548"/>
      <c r="L986" s="548"/>
      <c r="M986" s="548"/>
      <c r="N986" s="548"/>
      <c r="O986" s="548"/>
      <c r="P986" s="548"/>
      <c r="Q986" s="548"/>
      <c r="R986" s="548"/>
      <c r="S986" s="548"/>
      <c r="T986" s="548"/>
      <c r="U986" s="548"/>
      <c r="V986" s="548"/>
      <c r="W986" s="548"/>
      <c r="X986" s="548"/>
      <c r="Y986" s="548"/>
      <c r="Z986" s="548"/>
    </row>
    <row r="987" ht="15.75" customHeight="1">
      <c r="A987" s="548"/>
      <c r="B987" s="548"/>
      <c r="C987" s="548"/>
      <c r="D987" s="548"/>
      <c r="E987" s="548"/>
      <c r="F987" s="549"/>
      <c r="G987" s="548"/>
      <c r="H987" s="548"/>
      <c r="I987" s="548"/>
      <c r="J987" s="548"/>
      <c r="K987" s="548"/>
      <c r="L987" s="548"/>
      <c r="M987" s="548"/>
      <c r="N987" s="548"/>
      <c r="O987" s="548"/>
      <c r="P987" s="548"/>
      <c r="Q987" s="548"/>
      <c r="R987" s="548"/>
      <c r="S987" s="548"/>
      <c r="T987" s="548"/>
      <c r="U987" s="548"/>
      <c r="V987" s="548"/>
      <c r="W987" s="548"/>
      <c r="X987" s="548"/>
      <c r="Y987" s="548"/>
      <c r="Z987" s="548"/>
    </row>
    <row r="988" ht="15.75" customHeight="1">
      <c r="A988" s="548"/>
      <c r="B988" s="548"/>
      <c r="C988" s="548"/>
      <c r="D988" s="548"/>
      <c r="E988" s="548"/>
      <c r="F988" s="549"/>
      <c r="G988" s="548"/>
      <c r="H988" s="548"/>
      <c r="I988" s="548"/>
      <c r="J988" s="548"/>
      <c r="K988" s="548"/>
      <c r="L988" s="548"/>
      <c r="M988" s="548"/>
      <c r="N988" s="548"/>
      <c r="O988" s="548"/>
      <c r="P988" s="548"/>
      <c r="Q988" s="548"/>
      <c r="R988" s="548"/>
      <c r="S988" s="548"/>
      <c r="T988" s="548"/>
      <c r="U988" s="548"/>
      <c r="V988" s="548"/>
      <c r="W988" s="548"/>
      <c r="X988" s="548"/>
      <c r="Y988" s="548"/>
      <c r="Z988" s="548"/>
    </row>
    <row r="989" ht="15.75" customHeight="1">
      <c r="A989" s="548"/>
      <c r="B989" s="548"/>
      <c r="C989" s="548"/>
      <c r="D989" s="548"/>
      <c r="E989" s="548"/>
      <c r="F989" s="549"/>
      <c r="G989" s="548"/>
      <c r="H989" s="548"/>
      <c r="I989" s="548"/>
      <c r="J989" s="548"/>
      <c r="K989" s="548"/>
      <c r="L989" s="548"/>
      <c r="M989" s="548"/>
      <c r="N989" s="548"/>
      <c r="O989" s="548"/>
      <c r="P989" s="548"/>
      <c r="Q989" s="548"/>
      <c r="R989" s="548"/>
      <c r="S989" s="548"/>
      <c r="T989" s="548"/>
      <c r="U989" s="548"/>
      <c r="V989" s="548"/>
      <c r="W989" s="548"/>
      <c r="X989" s="548"/>
      <c r="Y989" s="548"/>
      <c r="Z989" s="548"/>
    </row>
    <row r="990" ht="15.75" customHeight="1">
      <c r="A990" s="548"/>
      <c r="B990" s="548"/>
      <c r="C990" s="548"/>
      <c r="D990" s="548"/>
      <c r="E990" s="548"/>
      <c r="F990" s="549"/>
      <c r="G990" s="548"/>
      <c r="H990" s="548"/>
      <c r="I990" s="548"/>
      <c r="J990" s="548"/>
      <c r="K990" s="548"/>
      <c r="L990" s="548"/>
      <c r="M990" s="548"/>
      <c r="N990" s="548"/>
      <c r="O990" s="548"/>
      <c r="P990" s="548"/>
      <c r="Q990" s="548"/>
      <c r="R990" s="548"/>
      <c r="S990" s="548"/>
      <c r="T990" s="548"/>
      <c r="U990" s="548"/>
      <c r="V990" s="548"/>
      <c r="W990" s="548"/>
      <c r="X990" s="548"/>
      <c r="Y990" s="548"/>
      <c r="Z990" s="548"/>
    </row>
    <row r="991" ht="15.75" customHeight="1">
      <c r="A991" s="548"/>
      <c r="B991" s="548"/>
      <c r="C991" s="548"/>
      <c r="D991" s="548"/>
      <c r="E991" s="548"/>
      <c r="F991" s="549"/>
      <c r="G991" s="548"/>
      <c r="H991" s="548"/>
      <c r="I991" s="548"/>
      <c r="J991" s="548"/>
      <c r="K991" s="548"/>
      <c r="L991" s="548"/>
      <c r="M991" s="548"/>
      <c r="N991" s="548"/>
      <c r="O991" s="548"/>
      <c r="P991" s="548"/>
      <c r="Q991" s="548"/>
      <c r="R991" s="548"/>
      <c r="S991" s="548"/>
      <c r="T991" s="548"/>
      <c r="U991" s="548"/>
      <c r="V991" s="548"/>
      <c r="W991" s="548"/>
      <c r="X991" s="548"/>
      <c r="Y991" s="548"/>
      <c r="Z991" s="548"/>
    </row>
    <row r="992" ht="15.75" customHeight="1">
      <c r="A992" s="548"/>
      <c r="B992" s="548"/>
      <c r="C992" s="548"/>
      <c r="D992" s="548"/>
      <c r="E992" s="548"/>
      <c r="F992" s="549"/>
      <c r="G992" s="548"/>
      <c r="H992" s="548"/>
      <c r="I992" s="548"/>
      <c r="J992" s="548"/>
      <c r="K992" s="548"/>
      <c r="L992" s="548"/>
      <c r="M992" s="548"/>
      <c r="N992" s="548"/>
      <c r="O992" s="548"/>
      <c r="P992" s="548"/>
      <c r="Q992" s="548"/>
      <c r="R992" s="548"/>
      <c r="S992" s="548"/>
      <c r="T992" s="548"/>
      <c r="U992" s="548"/>
      <c r="V992" s="548"/>
      <c r="W992" s="548"/>
      <c r="X992" s="548"/>
      <c r="Y992" s="548"/>
      <c r="Z992" s="548"/>
    </row>
    <row r="993" ht="15.75" customHeight="1">
      <c r="A993" s="548"/>
      <c r="B993" s="548"/>
      <c r="C993" s="548"/>
      <c r="D993" s="548"/>
      <c r="E993" s="548"/>
      <c r="F993" s="549"/>
      <c r="G993" s="548"/>
      <c r="H993" s="548"/>
      <c r="I993" s="548"/>
      <c r="J993" s="548"/>
      <c r="K993" s="548"/>
      <c r="L993" s="548"/>
      <c r="M993" s="548"/>
      <c r="N993" s="548"/>
      <c r="O993" s="548"/>
      <c r="P993" s="548"/>
      <c r="Q993" s="548"/>
      <c r="R993" s="548"/>
      <c r="S993" s="548"/>
      <c r="T993" s="548"/>
      <c r="U993" s="548"/>
      <c r="V993" s="548"/>
      <c r="W993" s="548"/>
      <c r="X993" s="548"/>
      <c r="Y993" s="548"/>
      <c r="Z993" s="548"/>
    </row>
    <row r="994" ht="15.75" customHeight="1">
      <c r="A994" s="548"/>
      <c r="B994" s="548"/>
      <c r="C994" s="548"/>
      <c r="D994" s="548"/>
      <c r="E994" s="548"/>
      <c r="F994" s="549"/>
      <c r="G994" s="548"/>
      <c r="H994" s="548"/>
      <c r="I994" s="548"/>
      <c r="J994" s="548"/>
      <c r="K994" s="548"/>
      <c r="L994" s="548"/>
      <c r="M994" s="548"/>
      <c r="N994" s="548"/>
      <c r="O994" s="548"/>
      <c r="P994" s="548"/>
      <c r="Q994" s="548"/>
      <c r="R994" s="548"/>
      <c r="S994" s="548"/>
      <c r="T994" s="548"/>
      <c r="U994" s="548"/>
      <c r="V994" s="548"/>
      <c r="W994" s="548"/>
      <c r="X994" s="548"/>
      <c r="Y994" s="548"/>
      <c r="Z994" s="548"/>
    </row>
    <row r="995" ht="15.75" customHeight="1">
      <c r="A995" s="548"/>
      <c r="B995" s="548"/>
      <c r="C995" s="548"/>
      <c r="D995" s="548"/>
      <c r="E995" s="548"/>
      <c r="F995" s="549"/>
      <c r="G995" s="548"/>
      <c r="H995" s="548"/>
      <c r="I995" s="548"/>
      <c r="J995" s="548"/>
      <c r="K995" s="548"/>
      <c r="L995" s="548"/>
      <c r="M995" s="548"/>
      <c r="N995" s="548"/>
      <c r="O995" s="548"/>
      <c r="P995" s="548"/>
      <c r="Q995" s="548"/>
      <c r="R995" s="548"/>
      <c r="S995" s="548"/>
      <c r="T995" s="548"/>
      <c r="U995" s="548"/>
      <c r="V995" s="548"/>
      <c r="W995" s="548"/>
      <c r="X995" s="548"/>
      <c r="Y995" s="548"/>
      <c r="Z995" s="548"/>
    </row>
    <row r="996" ht="15.75" customHeight="1">
      <c r="A996" s="548"/>
      <c r="B996" s="548"/>
      <c r="C996" s="548"/>
      <c r="D996" s="548"/>
      <c r="E996" s="548"/>
      <c r="F996" s="549"/>
      <c r="G996" s="548"/>
      <c r="H996" s="548"/>
      <c r="I996" s="548"/>
      <c r="J996" s="548"/>
      <c r="K996" s="548"/>
      <c r="L996" s="548"/>
      <c r="M996" s="548"/>
      <c r="N996" s="548"/>
      <c r="O996" s="548"/>
      <c r="P996" s="548"/>
      <c r="Q996" s="548"/>
      <c r="R996" s="548"/>
      <c r="S996" s="548"/>
      <c r="T996" s="548"/>
      <c r="U996" s="548"/>
      <c r="V996" s="548"/>
      <c r="W996" s="548"/>
      <c r="X996" s="548"/>
      <c r="Y996" s="548"/>
      <c r="Z996" s="548"/>
    </row>
    <row r="997" ht="15.75" customHeight="1">
      <c r="A997" s="548"/>
      <c r="B997" s="548"/>
      <c r="C997" s="548"/>
      <c r="D997" s="548"/>
      <c r="E997" s="548"/>
      <c r="F997" s="549"/>
      <c r="G997" s="548"/>
      <c r="H997" s="548"/>
      <c r="I997" s="548"/>
      <c r="J997" s="548"/>
      <c r="K997" s="548"/>
      <c r="L997" s="548"/>
      <c r="M997" s="548"/>
      <c r="N997" s="548"/>
      <c r="O997" s="548"/>
      <c r="P997" s="548"/>
      <c r="Q997" s="548"/>
      <c r="R997" s="548"/>
      <c r="S997" s="548"/>
      <c r="T997" s="548"/>
      <c r="U997" s="548"/>
      <c r="V997" s="548"/>
      <c r="W997" s="548"/>
      <c r="X997" s="548"/>
      <c r="Y997" s="548"/>
      <c r="Z997" s="548"/>
    </row>
    <row r="998" ht="15.75" customHeight="1">
      <c r="A998" s="548"/>
      <c r="B998" s="548"/>
      <c r="C998" s="548"/>
      <c r="D998" s="548"/>
      <c r="E998" s="548"/>
      <c r="F998" s="549"/>
      <c r="G998" s="548"/>
      <c r="H998" s="548"/>
      <c r="I998" s="548"/>
      <c r="J998" s="548"/>
      <c r="K998" s="548"/>
      <c r="L998" s="548"/>
      <c r="M998" s="548"/>
      <c r="N998" s="548"/>
      <c r="O998" s="548"/>
      <c r="P998" s="548"/>
      <c r="Q998" s="548"/>
      <c r="R998" s="548"/>
      <c r="S998" s="548"/>
      <c r="T998" s="548"/>
      <c r="U998" s="548"/>
      <c r="V998" s="548"/>
      <c r="W998" s="548"/>
      <c r="X998" s="548"/>
      <c r="Y998" s="548"/>
      <c r="Z998" s="548"/>
    </row>
    <row r="999" ht="15.75" customHeight="1">
      <c r="A999" s="548"/>
      <c r="B999" s="548"/>
      <c r="C999" s="548"/>
      <c r="D999" s="548"/>
      <c r="E999" s="548"/>
      <c r="F999" s="549"/>
      <c r="G999" s="548"/>
      <c r="H999" s="548"/>
      <c r="I999" s="548"/>
      <c r="J999" s="548"/>
      <c r="K999" s="548"/>
      <c r="L999" s="548"/>
      <c r="M999" s="548"/>
      <c r="N999" s="548"/>
      <c r="O999" s="548"/>
      <c r="P999" s="548"/>
      <c r="Q999" s="548"/>
      <c r="R999" s="548"/>
      <c r="S999" s="548"/>
      <c r="T999" s="548"/>
      <c r="U999" s="548"/>
      <c r="V999" s="548"/>
      <c r="W999" s="548"/>
      <c r="X999" s="548"/>
      <c r="Y999" s="548"/>
      <c r="Z999" s="548"/>
    </row>
    <row r="1000" ht="15.75" customHeight="1">
      <c r="A1000" s="548"/>
      <c r="B1000" s="548"/>
      <c r="C1000" s="548"/>
      <c r="D1000" s="548"/>
      <c r="E1000" s="548"/>
      <c r="F1000" s="549"/>
      <c r="G1000" s="548"/>
      <c r="H1000" s="548"/>
      <c r="I1000" s="548"/>
      <c r="J1000" s="548"/>
      <c r="K1000" s="548"/>
      <c r="L1000" s="548"/>
      <c r="M1000" s="548"/>
      <c r="N1000" s="548"/>
      <c r="O1000" s="548"/>
      <c r="P1000" s="548"/>
      <c r="Q1000" s="548"/>
      <c r="R1000" s="548"/>
      <c r="S1000" s="548"/>
      <c r="T1000" s="548"/>
      <c r="U1000" s="548"/>
      <c r="V1000" s="548"/>
      <c r="W1000" s="548"/>
      <c r="X1000" s="548"/>
      <c r="Y1000" s="548"/>
      <c r="Z1000" s="548"/>
    </row>
    <row r="1001" ht="15.75" customHeight="1">
      <c r="A1001" s="548"/>
      <c r="B1001" s="548"/>
      <c r="C1001" s="548"/>
      <c r="D1001" s="548"/>
      <c r="E1001" s="548"/>
      <c r="F1001" s="549"/>
      <c r="G1001" s="548"/>
      <c r="H1001" s="548"/>
      <c r="I1001" s="548"/>
      <c r="J1001" s="548"/>
      <c r="K1001" s="548"/>
      <c r="L1001" s="548"/>
      <c r="M1001" s="548"/>
      <c r="N1001" s="548"/>
      <c r="O1001" s="548"/>
      <c r="P1001" s="548"/>
      <c r="Q1001" s="548"/>
      <c r="R1001" s="548"/>
      <c r="S1001" s="548"/>
      <c r="T1001" s="548"/>
      <c r="U1001" s="548"/>
      <c r="V1001" s="548"/>
      <c r="W1001" s="548"/>
      <c r="X1001" s="548"/>
      <c r="Y1001" s="548"/>
      <c r="Z1001" s="548"/>
    </row>
  </sheetData>
  <mergeCells count="11">
    <mergeCell ref="A14:B14"/>
    <mergeCell ref="C14:D14"/>
    <mergeCell ref="E14:F14"/>
    <mergeCell ref="A18:B21"/>
    <mergeCell ref="C2:H2"/>
    <mergeCell ref="A3:B3"/>
    <mergeCell ref="C3:D3"/>
    <mergeCell ref="E3:H3"/>
    <mergeCell ref="A8:B10"/>
    <mergeCell ref="A12:F12"/>
    <mergeCell ref="C13:F1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19.89"/>
    <col customWidth="1" min="4" max="4" width="31.78"/>
    <col customWidth="1" min="5" max="5" width="15.22"/>
  </cols>
  <sheetData>
    <row r="1">
      <c r="A1" s="561" t="s">
        <v>1860</v>
      </c>
      <c r="B1" s="561" t="s">
        <v>1861</v>
      </c>
      <c r="C1" s="562"/>
      <c r="D1" s="563" t="s">
        <v>1649</v>
      </c>
      <c r="E1" s="561" t="s">
        <v>3</v>
      </c>
      <c r="F1" s="561" t="s">
        <v>33</v>
      </c>
      <c r="G1" s="562"/>
      <c r="H1" s="562"/>
      <c r="I1" s="562"/>
      <c r="J1" s="562"/>
      <c r="K1" s="562"/>
      <c r="L1" s="562"/>
      <c r="M1" s="562"/>
      <c r="N1" s="562"/>
      <c r="O1" s="562"/>
      <c r="P1" s="562"/>
      <c r="Q1" s="562"/>
      <c r="R1" s="562"/>
      <c r="S1" s="562"/>
      <c r="T1" s="562"/>
      <c r="U1" s="562"/>
      <c r="V1" s="562"/>
      <c r="W1" s="562"/>
      <c r="X1" s="562"/>
      <c r="Y1" s="562"/>
      <c r="Z1" s="562"/>
    </row>
    <row r="2" ht="14.25" customHeight="1">
      <c r="B2" s="564"/>
      <c r="D2" s="564" t="s">
        <v>1862</v>
      </c>
      <c r="E2" s="564" t="s">
        <v>8</v>
      </c>
      <c r="F2" s="564" t="s">
        <v>1863</v>
      </c>
    </row>
    <row r="3">
      <c r="B3" s="564"/>
      <c r="D3" s="564" t="s">
        <v>1864</v>
      </c>
      <c r="E3" s="564" t="s">
        <v>8</v>
      </c>
      <c r="F3" s="565" t="s">
        <v>1863</v>
      </c>
    </row>
    <row r="4">
      <c r="B4" s="564"/>
      <c r="D4" s="564" t="s">
        <v>1865</v>
      </c>
      <c r="E4" s="564" t="s">
        <v>8</v>
      </c>
      <c r="F4" s="564" t="s">
        <v>1863</v>
      </c>
    </row>
    <row r="5">
      <c r="B5" s="564"/>
      <c r="D5" s="564" t="s">
        <v>1865</v>
      </c>
      <c r="E5" s="564" t="s">
        <v>8</v>
      </c>
      <c r="F5" s="564" t="s">
        <v>1863</v>
      </c>
    </row>
    <row r="6">
      <c r="B6" s="564"/>
      <c r="D6" s="564" t="s">
        <v>1866</v>
      </c>
      <c r="E6" s="564" t="s">
        <v>8</v>
      </c>
      <c r="F6" s="564" t="s">
        <v>97</v>
      </c>
    </row>
    <row r="7">
      <c r="B7" s="564"/>
      <c r="D7" s="564" t="s">
        <v>1867</v>
      </c>
      <c r="E7" s="564" t="s">
        <v>8</v>
      </c>
      <c r="F7" s="564" t="s">
        <v>97</v>
      </c>
    </row>
    <row r="8">
      <c r="B8" s="564"/>
      <c r="D8" s="564" t="s">
        <v>1868</v>
      </c>
      <c r="E8" s="564" t="s">
        <v>8</v>
      </c>
      <c r="F8" s="564" t="s">
        <v>97</v>
      </c>
    </row>
    <row r="9">
      <c r="B9" s="564"/>
      <c r="D9" s="564" t="s">
        <v>1869</v>
      </c>
      <c r="E9" s="564" t="s">
        <v>13</v>
      </c>
    </row>
    <row r="10">
      <c r="B10" s="564"/>
      <c r="D10" s="564" t="s">
        <v>1870</v>
      </c>
      <c r="E10" s="564" t="s">
        <v>13</v>
      </c>
    </row>
    <row r="11">
      <c r="B11" s="564"/>
      <c r="D11" s="564" t="s">
        <v>1871</v>
      </c>
      <c r="E11" s="564" t="s">
        <v>13</v>
      </c>
    </row>
    <row r="12">
      <c r="B12" s="564"/>
      <c r="D12" s="564" t="s">
        <v>1872</v>
      </c>
      <c r="E12" s="564" t="s">
        <v>8</v>
      </c>
      <c r="F12" s="564" t="s">
        <v>115</v>
      </c>
    </row>
    <row r="13">
      <c r="B13" s="564"/>
      <c r="D13" s="564" t="s">
        <v>1872</v>
      </c>
      <c r="E13" s="564" t="s">
        <v>8</v>
      </c>
      <c r="F13" s="564" t="s">
        <v>372</v>
      </c>
    </row>
    <row r="14">
      <c r="B14" s="564"/>
      <c r="D14" s="564"/>
      <c r="E14" s="564"/>
      <c r="F14" s="564"/>
    </row>
    <row r="15">
      <c r="B15" s="564"/>
      <c r="D15" s="564" t="s">
        <v>1873</v>
      </c>
      <c r="E15" s="564" t="s">
        <v>8</v>
      </c>
      <c r="F15" s="564" t="s">
        <v>1874</v>
      </c>
    </row>
    <row r="16">
      <c r="B16" s="564"/>
      <c r="D16" s="564" t="s">
        <v>1875</v>
      </c>
      <c r="E16" s="564" t="s">
        <v>8</v>
      </c>
    </row>
    <row r="17">
      <c r="B17" s="564"/>
      <c r="D17" s="564" t="s">
        <v>1876</v>
      </c>
      <c r="E17" s="564" t="s">
        <v>8</v>
      </c>
    </row>
    <row r="18">
      <c r="B18" s="564"/>
      <c r="D18" s="564" t="s">
        <v>1877</v>
      </c>
      <c r="E18" s="564" t="s">
        <v>13</v>
      </c>
      <c r="F18" s="564" t="s">
        <v>1878</v>
      </c>
    </row>
    <row r="19">
      <c r="B19" s="564"/>
      <c r="E19" s="564"/>
    </row>
    <row r="20">
      <c r="B20" s="564"/>
      <c r="E20" s="564"/>
    </row>
    <row r="21">
      <c r="B21" s="564"/>
      <c r="D21" s="564" t="s">
        <v>1879</v>
      </c>
      <c r="E21" s="564" t="s">
        <v>8</v>
      </c>
      <c r="F21" s="564" t="s">
        <v>1484</v>
      </c>
    </row>
    <row r="22">
      <c r="B22" s="564"/>
      <c r="D22" s="564"/>
      <c r="E22" s="564" t="s">
        <v>8</v>
      </c>
    </row>
    <row r="23">
      <c r="B23" s="564"/>
      <c r="D23" s="564"/>
      <c r="E23" s="564"/>
    </row>
    <row r="24">
      <c r="B24" s="564"/>
    </row>
    <row r="25">
      <c r="B25" s="564"/>
    </row>
    <row r="26">
      <c r="B26" s="564"/>
      <c r="D26" s="564"/>
    </row>
    <row r="27">
      <c r="B27" s="564"/>
    </row>
    <row r="28">
      <c r="B28" s="564"/>
    </row>
    <row r="29">
      <c r="B29" s="564"/>
    </row>
  </sheetData>
  <autoFilter ref="$B$1:$B$1000">
    <sortState ref="B1:B1000">
      <sortCondition ref="B1:B1000"/>
    </sortState>
  </autoFilter>
  <dataValidations>
    <dataValidation type="list" allowBlank="1" showErrorMessage="1" sqref="E2:E23">
      <formula1>"BSD,Deltamas 1,Deltamas 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1.22" defaultRowHeight="15.0"/>
  <cols>
    <col customWidth="1" min="1" max="1" width="5.11"/>
    <col customWidth="1" min="2" max="2" width="7.11"/>
    <col customWidth="1" min="3" max="5" width="10.11"/>
    <col customWidth="1" min="6" max="6" width="46.44"/>
    <col customWidth="1" min="7" max="7" width="13.67"/>
    <col customWidth="1" min="8" max="8" width="14.33"/>
    <col customWidth="1" min="9" max="9" width="18.11"/>
    <col customWidth="1" min="10" max="10" width="11.33"/>
    <col customWidth="1" min="11" max="11" width="15.33"/>
    <col customWidth="1" min="12" max="12" width="12.33"/>
    <col customWidth="1" min="13" max="13" width="7.67"/>
    <col customWidth="1" min="14" max="14" width="9.67"/>
    <col customWidth="1" min="15" max="16" width="10.78"/>
    <col customWidth="1" min="17" max="17" width="22.89"/>
    <col customWidth="1" min="18" max="18" width="13.44"/>
    <col customWidth="1" min="19" max="19" width="14.67"/>
  </cols>
  <sheetData>
    <row r="1" ht="13.5" hidden="1" customHeight="1">
      <c r="A1" s="566" t="s">
        <v>0</v>
      </c>
      <c r="C1" s="566"/>
      <c r="D1" s="566"/>
      <c r="E1" s="566"/>
      <c r="F1" s="567"/>
      <c r="G1" s="568" t="s">
        <v>1</v>
      </c>
      <c r="H1" s="569" t="s">
        <v>2</v>
      </c>
      <c r="I1" s="570"/>
      <c r="J1" s="571" t="s">
        <v>3</v>
      </c>
      <c r="K1" s="571" t="s">
        <v>4</v>
      </c>
      <c r="L1" s="572"/>
      <c r="M1" s="573"/>
      <c r="N1" s="572"/>
      <c r="O1" s="572"/>
      <c r="P1" s="572"/>
      <c r="Q1" s="572"/>
      <c r="R1" s="572"/>
      <c r="S1" s="574"/>
    </row>
    <row r="2" ht="13.5" hidden="1" customHeight="1">
      <c r="A2" s="575"/>
      <c r="B2" s="572" t="s">
        <v>5</v>
      </c>
      <c r="C2" s="572"/>
      <c r="D2" s="573"/>
      <c r="E2" s="572"/>
      <c r="F2" s="572"/>
      <c r="G2" s="576" t="s">
        <v>6</v>
      </c>
      <c r="H2" s="577" t="s">
        <v>7</v>
      </c>
      <c r="I2" s="570"/>
      <c r="J2" s="578" t="s">
        <v>8</v>
      </c>
      <c r="K2" s="579" t="s">
        <v>9</v>
      </c>
      <c r="L2" s="572"/>
      <c r="M2" s="573"/>
      <c r="N2" s="572"/>
      <c r="O2" s="572"/>
      <c r="P2" s="572"/>
      <c r="Q2" s="572"/>
      <c r="R2" s="572"/>
      <c r="S2" s="574"/>
    </row>
    <row r="3" ht="13.5" hidden="1" customHeight="1">
      <c r="A3" s="580"/>
      <c r="B3" s="572" t="s">
        <v>10</v>
      </c>
      <c r="C3" s="572"/>
      <c r="D3" s="573"/>
      <c r="E3" s="572"/>
      <c r="F3" s="572"/>
      <c r="G3" s="576" t="s">
        <v>11</v>
      </c>
      <c r="H3" s="577" t="s">
        <v>12</v>
      </c>
      <c r="I3" s="570"/>
      <c r="J3" s="578" t="s">
        <v>13</v>
      </c>
      <c r="K3" s="579" t="s">
        <v>14</v>
      </c>
      <c r="L3" s="572"/>
      <c r="M3" s="573"/>
      <c r="N3" s="572"/>
      <c r="O3" s="572"/>
      <c r="P3" s="572"/>
      <c r="Q3" s="572"/>
      <c r="R3" s="572"/>
      <c r="S3" s="574"/>
    </row>
    <row r="4" ht="13.5" hidden="1" customHeight="1">
      <c r="A4" s="581"/>
      <c r="B4" s="572" t="s">
        <v>15</v>
      </c>
      <c r="C4" s="572"/>
      <c r="D4" s="573"/>
      <c r="E4" s="572"/>
      <c r="F4" s="572"/>
      <c r="G4" s="576" t="s">
        <v>16</v>
      </c>
      <c r="H4" s="577" t="s">
        <v>17</v>
      </c>
      <c r="I4" s="570"/>
      <c r="J4" s="578" t="s">
        <v>18</v>
      </c>
      <c r="K4" s="579" t="s">
        <v>19</v>
      </c>
      <c r="L4" s="572"/>
      <c r="M4" s="573"/>
      <c r="N4" s="572"/>
      <c r="O4" s="572"/>
      <c r="P4" s="572"/>
      <c r="Q4" s="572"/>
      <c r="R4" s="572"/>
      <c r="S4" s="574"/>
    </row>
    <row r="5" ht="13.5" hidden="1" customHeight="1">
      <c r="A5" s="582"/>
      <c r="B5" s="572" t="s">
        <v>20</v>
      </c>
      <c r="C5" s="572"/>
      <c r="D5" s="573"/>
      <c r="E5" s="572"/>
      <c r="F5" s="572"/>
      <c r="G5" s="576" t="s">
        <v>21</v>
      </c>
      <c r="H5" s="577" t="s">
        <v>22</v>
      </c>
      <c r="I5" s="570"/>
      <c r="J5" s="572"/>
      <c r="K5" s="572"/>
      <c r="L5" s="572"/>
      <c r="M5" s="573"/>
      <c r="N5" s="572"/>
      <c r="O5" s="572"/>
      <c r="P5" s="572"/>
      <c r="Q5" s="572"/>
      <c r="R5" s="572"/>
      <c r="S5" s="574"/>
    </row>
    <row r="6" ht="13.5" hidden="1" customHeight="1">
      <c r="A6" s="583"/>
      <c r="B6" s="572" t="s">
        <v>23</v>
      </c>
      <c r="C6" s="572"/>
      <c r="D6" s="573"/>
      <c r="E6" s="572"/>
      <c r="F6" s="572"/>
      <c r="G6" s="576" t="s">
        <v>24</v>
      </c>
      <c r="H6" s="577" t="s">
        <v>25</v>
      </c>
      <c r="I6" s="570"/>
      <c r="J6" s="572"/>
      <c r="K6" s="572"/>
      <c r="L6" s="572"/>
      <c r="M6" s="573"/>
      <c r="N6" s="572"/>
      <c r="O6" s="572"/>
      <c r="P6" s="572"/>
      <c r="Q6" s="572"/>
      <c r="R6" s="572"/>
      <c r="S6" s="574"/>
    </row>
    <row r="7" ht="13.5" hidden="1" customHeight="1">
      <c r="A7" s="572"/>
      <c r="B7" s="572"/>
      <c r="C7" s="572"/>
      <c r="D7" s="573"/>
      <c r="E7" s="572"/>
      <c r="F7" s="572"/>
      <c r="G7" s="584"/>
      <c r="H7" s="570"/>
      <c r="I7" s="570"/>
      <c r="J7" s="572"/>
      <c r="K7" s="572"/>
      <c r="L7" s="572"/>
      <c r="M7" s="573"/>
      <c r="N7" s="572"/>
      <c r="O7" s="572"/>
      <c r="P7" s="572"/>
      <c r="Q7" s="572"/>
      <c r="R7" s="572"/>
      <c r="S7" s="574"/>
    </row>
    <row r="8" ht="13.5" hidden="1" customHeight="1">
      <c r="A8" s="572"/>
      <c r="B8" s="572"/>
      <c r="C8" s="572"/>
      <c r="D8" s="573"/>
      <c r="E8" s="572"/>
      <c r="F8" s="572"/>
      <c r="G8" s="584"/>
      <c r="H8" s="570"/>
      <c r="I8" s="570"/>
      <c r="J8" s="572"/>
      <c r="K8" s="572"/>
      <c r="L8" s="572"/>
      <c r="M8" s="573"/>
      <c r="N8" s="572"/>
      <c r="O8" s="572"/>
      <c r="P8" s="572"/>
      <c r="Q8" s="572"/>
      <c r="R8" s="572"/>
      <c r="S8" s="574"/>
    </row>
    <row r="9" ht="13.5" customHeight="1">
      <c r="A9" s="585"/>
      <c r="B9" s="586" t="s">
        <v>27</v>
      </c>
      <c r="C9" s="586" t="s">
        <v>1</v>
      </c>
      <c r="D9" s="586" t="s">
        <v>2</v>
      </c>
      <c r="E9" s="586" t="s">
        <v>28</v>
      </c>
      <c r="F9" s="585" t="s">
        <v>29</v>
      </c>
      <c r="G9" s="587" t="s">
        <v>30</v>
      </c>
      <c r="H9" s="588" t="s">
        <v>31</v>
      </c>
      <c r="I9" s="589" t="s">
        <v>32</v>
      </c>
      <c r="J9" s="585" t="s">
        <v>33</v>
      </c>
      <c r="K9" s="586" t="s">
        <v>34</v>
      </c>
      <c r="L9" s="586" t="s">
        <v>3</v>
      </c>
      <c r="M9" s="586" t="s">
        <v>4</v>
      </c>
      <c r="N9" s="585" t="s">
        <v>35</v>
      </c>
      <c r="O9" s="585" t="s">
        <v>36</v>
      </c>
      <c r="P9" s="585" t="s">
        <v>37</v>
      </c>
      <c r="Q9" s="585" t="s">
        <v>1880</v>
      </c>
      <c r="R9" s="586" t="s">
        <v>39</v>
      </c>
      <c r="S9" s="590" t="s">
        <v>40</v>
      </c>
    </row>
    <row r="10" ht="13.5" customHeight="1">
      <c r="A10" s="591">
        <v>1.0</v>
      </c>
      <c r="B10" s="592" t="s">
        <v>41</v>
      </c>
      <c r="C10" s="592" t="s">
        <v>6</v>
      </c>
      <c r="D10" s="593" t="str">
        <f t="shared" ref="D10:D750" si="1">if(C10=$G$2,$H$2, if(C10=$G$3,$H$3, if(C10=$G$4,$H$4, if(C10=$G$5,$H$5,if(C10=$G$6,$H$6, " ")))))</f>
        <v>I</v>
      </c>
      <c r="E10" s="594" t="str">
        <f t="shared" ref="E10:E202" si="2">CONCATENATE(B10,"/",D10,"/",M10)</f>
        <v>FA001/I/ </v>
      </c>
      <c r="F10" s="594" t="s">
        <v>42</v>
      </c>
      <c r="G10" s="595">
        <v>42005.0</v>
      </c>
      <c r="H10" s="596">
        <v>3150000.0</v>
      </c>
      <c r="I10" s="597"/>
      <c r="J10" s="598"/>
      <c r="K10" s="598"/>
      <c r="L10" s="599"/>
      <c r="M10" s="600" t="str">
        <f t="shared" ref="M10:M772" si="3">if(L10=$J$2,$K$2,if(L10=$J$3,$K$3,if(L10=$J$4,$K$4," ")))</f>
        <v> </v>
      </c>
      <c r="N10" s="598" t="s">
        <v>43</v>
      </c>
      <c r="O10" s="598"/>
      <c r="P10" s="598"/>
      <c r="Q10" s="598"/>
      <c r="R10" s="598" t="s">
        <v>5</v>
      </c>
      <c r="S10" s="601"/>
    </row>
    <row r="11" ht="13.5" customHeight="1">
      <c r="A11" s="591">
        <v>2.0</v>
      </c>
      <c r="B11" s="592" t="s">
        <v>44</v>
      </c>
      <c r="C11" s="592" t="s">
        <v>6</v>
      </c>
      <c r="D11" s="593" t="str">
        <f t="shared" si="1"/>
        <v>I</v>
      </c>
      <c r="E11" s="594" t="str">
        <f t="shared" si="2"/>
        <v>FA002/I/01</v>
      </c>
      <c r="F11" s="594" t="s">
        <v>45</v>
      </c>
      <c r="G11" s="595">
        <v>42135.0</v>
      </c>
      <c r="H11" s="596">
        <v>6900000.0</v>
      </c>
      <c r="I11" s="597"/>
      <c r="J11" s="598"/>
      <c r="K11" s="598"/>
      <c r="L11" s="599" t="s">
        <v>8</v>
      </c>
      <c r="M11" s="600" t="str">
        <f t="shared" si="3"/>
        <v>01</v>
      </c>
      <c r="N11" s="598"/>
      <c r="O11" s="598"/>
      <c r="P11" s="598"/>
      <c r="Q11" s="598"/>
      <c r="R11" s="598" t="s">
        <v>5</v>
      </c>
      <c r="S11" s="601"/>
    </row>
    <row r="12" ht="13.5" customHeight="1">
      <c r="A12" s="602">
        <v>3.0</v>
      </c>
      <c r="B12" s="603" t="s">
        <v>48</v>
      </c>
      <c r="C12" s="603" t="s">
        <v>6</v>
      </c>
      <c r="D12" s="604" t="str">
        <f t="shared" si="1"/>
        <v>I</v>
      </c>
      <c r="E12" s="605" t="str">
        <f t="shared" si="2"/>
        <v>FA003/I/01</v>
      </c>
      <c r="F12" s="605" t="s">
        <v>1881</v>
      </c>
      <c r="G12" s="606">
        <v>42135.0</v>
      </c>
      <c r="H12" s="607">
        <v>580000.0</v>
      </c>
      <c r="I12" s="607"/>
      <c r="J12" s="608"/>
      <c r="K12" s="608"/>
      <c r="L12" s="401" t="s">
        <v>8</v>
      </c>
      <c r="M12" s="609" t="str">
        <f t="shared" si="3"/>
        <v>01</v>
      </c>
      <c r="N12" s="608"/>
      <c r="O12" s="608"/>
      <c r="P12" s="608"/>
      <c r="Q12" s="608"/>
      <c r="R12" s="608"/>
      <c r="S12" s="610"/>
    </row>
    <row r="13" ht="13.5" customHeight="1">
      <c r="A13" s="591">
        <v>4.0</v>
      </c>
      <c r="B13" s="592" t="s">
        <v>53</v>
      </c>
      <c r="C13" s="592" t="s">
        <v>11</v>
      </c>
      <c r="D13" s="593" t="str">
        <f t="shared" si="1"/>
        <v>II</v>
      </c>
      <c r="E13" s="594" t="str">
        <f t="shared" si="2"/>
        <v>FA004/II/01</v>
      </c>
      <c r="F13" s="594" t="s">
        <v>54</v>
      </c>
      <c r="G13" s="595">
        <v>42249.0</v>
      </c>
      <c r="H13" s="596">
        <v>2500000.0</v>
      </c>
      <c r="I13" s="597"/>
      <c r="J13" s="598"/>
      <c r="K13" s="598"/>
      <c r="L13" s="599" t="s">
        <v>8</v>
      </c>
      <c r="M13" s="600" t="str">
        <f t="shared" si="3"/>
        <v>01</v>
      </c>
      <c r="N13" s="598"/>
      <c r="O13" s="598"/>
      <c r="P13" s="598"/>
      <c r="Q13" s="598"/>
      <c r="R13" s="598" t="s">
        <v>5</v>
      </c>
      <c r="S13" s="601"/>
    </row>
    <row r="14" ht="13.5" customHeight="1">
      <c r="A14" s="611">
        <v>5.0</v>
      </c>
      <c r="B14" s="612" t="s">
        <v>55</v>
      </c>
      <c r="C14" s="612" t="s">
        <v>11</v>
      </c>
      <c r="D14" s="613" t="str">
        <f t="shared" si="1"/>
        <v>II</v>
      </c>
      <c r="E14" s="614" t="str">
        <f t="shared" si="2"/>
        <v>FA005/II/01</v>
      </c>
      <c r="F14" s="614" t="s">
        <v>56</v>
      </c>
      <c r="G14" s="615">
        <v>42252.0</v>
      </c>
      <c r="H14" s="616">
        <v>1787190.0</v>
      </c>
      <c r="I14" s="617"/>
      <c r="J14" s="618"/>
      <c r="K14" s="618"/>
      <c r="L14" s="619" t="s">
        <v>8</v>
      </c>
      <c r="M14" s="620" t="str">
        <f t="shared" si="3"/>
        <v>01</v>
      </c>
      <c r="N14" s="618"/>
      <c r="O14" s="618"/>
      <c r="P14" s="618"/>
      <c r="Q14" s="618"/>
      <c r="R14" s="618" t="s">
        <v>10</v>
      </c>
      <c r="S14" s="621"/>
    </row>
    <row r="15" ht="13.5" customHeight="1">
      <c r="A15" s="622">
        <v>6.0</v>
      </c>
      <c r="B15" s="623" t="s">
        <v>57</v>
      </c>
      <c r="C15" s="623" t="s">
        <v>11</v>
      </c>
      <c r="D15" s="624" t="str">
        <f t="shared" si="1"/>
        <v>II</v>
      </c>
      <c r="E15" s="625" t="str">
        <f t="shared" si="2"/>
        <v>FA006/II/01</v>
      </c>
      <c r="F15" s="625" t="s">
        <v>1882</v>
      </c>
      <c r="G15" s="626">
        <v>42254.0</v>
      </c>
      <c r="H15" s="627">
        <v>3034500.0</v>
      </c>
      <c r="I15" s="627"/>
      <c r="J15" s="628" t="s">
        <v>1717</v>
      </c>
      <c r="K15" s="628" t="s">
        <v>51</v>
      </c>
      <c r="L15" s="628" t="s">
        <v>8</v>
      </c>
      <c r="M15" s="629" t="str">
        <f t="shared" si="3"/>
        <v>01</v>
      </c>
      <c r="N15" s="630"/>
      <c r="O15" s="630"/>
      <c r="P15" s="630"/>
      <c r="Q15" s="630"/>
      <c r="R15" s="630"/>
      <c r="S15" s="631"/>
    </row>
    <row r="16" ht="13.5" customHeight="1">
      <c r="A16" s="611">
        <v>7.0</v>
      </c>
      <c r="B16" s="612" t="s">
        <v>60</v>
      </c>
      <c r="C16" s="612" t="s">
        <v>11</v>
      </c>
      <c r="D16" s="613" t="str">
        <f t="shared" si="1"/>
        <v>II</v>
      </c>
      <c r="E16" s="614" t="str">
        <f t="shared" si="2"/>
        <v>FA007/II/01</v>
      </c>
      <c r="F16" s="614" t="s">
        <v>61</v>
      </c>
      <c r="G16" s="615">
        <v>42278.0</v>
      </c>
      <c r="H16" s="616">
        <v>570000.0</v>
      </c>
      <c r="I16" s="617"/>
      <c r="J16" s="618"/>
      <c r="K16" s="618"/>
      <c r="L16" s="619" t="s">
        <v>8</v>
      </c>
      <c r="M16" s="620" t="str">
        <f t="shared" si="3"/>
        <v>01</v>
      </c>
      <c r="N16" s="618"/>
      <c r="O16" s="618"/>
      <c r="P16" s="618"/>
      <c r="Q16" s="618"/>
      <c r="R16" s="618" t="s">
        <v>10</v>
      </c>
      <c r="S16" s="621"/>
    </row>
    <row r="17" ht="13.5" customHeight="1">
      <c r="A17" s="611">
        <v>8.0</v>
      </c>
      <c r="B17" s="612" t="s">
        <v>62</v>
      </c>
      <c r="C17" s="612" t="s">
        <v>11</v>
      </c>
      <c r="D17" s="613" t="str">
        <f t="shared" si="1"/>
        <v>II</v>
      </c>
      <c r="E17" s="614" t="str">
        <f t="shared" si="2"/>
        <v>FA008/II/01</v>
      </c>
      <c r="F17" s="614" t="s">
        <v>63</v>
      </c>
      <c r="G17" s="615">
        <v>42279.0</v>
      </c>
      <c r="H17" s="616">
        <v>220000.0</v>
      </c>
      <c r="I17" s="617"/>
      <c r="J17" s="618"/>
      <c r="K17" s="618"/>
      <c r="L17" s="619" t="s">
        <v>8</v>
      </c>
      <c r="M17" s="620" t="str">
        <f t="shared" si="3"/>
        <v>01</v>
      </c>
      <c r="N17" s="618"/>
      <c r="O17" s="618"/>
      <c r="P17" s="618"/>
      <c r="Q17" s="618"/>
      <c r="R17" s="618" t="s">
        <v>10</v>
      </c>
      <c r="S17" s="621"/>
    </row>
    <row r="18" ht="13.5" customHeight="1">
      <c r="A18" s="591">
        <v>9.0</v>
      </c>
      <c r="B18" s="592" t="s">
        <v>64</v>
      </c>
      <c r="C18" s="592" t="s">
        <v>6</v>
      </c>
      <c r="D18" s="593" t="str">
        <f t="shared" si="1"/>
        <v>I</v>
      </c>
      <c r="E18" s="594" t="str">
        <f t="shared" si="2"/>
        <v>FA009/I/01</v>
      </c>
      <c r="F18" s="594" t="s">
        <v>65</v>
      </c>
      <c r="G18" s="595">
        <v>42338.0</v>
      </c>
      <c r="H18" s="596">
        <v>2950000.0</v>
      </c>
      <c r="I18" s="597"/>
      <c r="J18" s="598"/>
      <c r="K18" s="598"/>
      <c r="L18" s="599" t="s">
        <v>8</v>
      </c>
      <c r="M18" s="600" t="str">
        <f t="shared" si="3"/>
        <v>01</v>
      </c>
      <c r="N18" s="598" t="s">
        <v>66</v>
      </c>
      <c r="O18" s="598"/>
      <c r="P18" s="598"/>
      <c r="Q18" s="598"/>
      <c r="R18" s="598" t="s">
        <v>5</v>
      </c>
      <c r="S18" s="601"/>
    </row>
    <row r="19" ht="13.5" customHeight="1">
      <c r="A19" s="591">
        <v>10.0</v>
      </c>
      <c r="B19" s="592" t="s">
        <v>67</v>
      </c>
      <c r="C19" s="592" t="s">
        <v>6</v>
      </c>
      <c r="D19" s="593" t="str">
        <f t="shared" si="1"/>
        <v>I</v>
      </c>
      <c r="E19" s="594" t="str">
        <f t="shared" si="2"/>
        <v>FA010/I/01</v>
      </c>
      <c r="F19" s="594" t="s">
        <v>68</v>
      </c>
      <c r="G19" s="595">
        <v>42403.0</v>
      </c>
      <c r="H19" s="596">
        <v>300000.0</v>
      </c>
      <c r="I19" s="597"/>
      <c r="J19" s="598"/>
      <c r="K19" s="598"/>
      <c r="L19" s="599" t="s">
        <v>8</v>
      </c>
      <c r="M19" s="600" t="str">
        <f t="shared" si="3"/>
        <v>01</v>
      </c>
      <c r="N19" s="598"/>
      <c r="O19" s="598"/>
      <c r="P19" s="598"/>
      <c r="Q19" s="598"/>
      <c r="R19" s="598" t="s">
        <v>5</v>
      </c>
      <c r="S19" s="601"/>
    </row>
    <row r="20" ht="13.5" customHeight="1">
      <c r="A20" s="632">
        <v>11.0</v>
      </c>
      <c r="B20" s="633" t="s">
        <v>69</v>
      </c>
      <c r="C20" s="633" t="s">
        <v>16</v>
      </c>
      <c r="D20" s="634" t="str">
        <f t="shared" si="1"/>
        <v>III</v>
      </c>
      <c r="E20" s="635" t="str">
        <f t="shared" si="2"/>
        <v>FA011/III/01</v>
      </c>
      <c r="F20" s="635" t="s">
        <v>70</v>
      </c>
      <c r="G20" s="636">
        <v>42675.0</v>
      </c>
      <c r="H20" s="637">
        <v>6540000.0</v>
      </c>
      <c r="I20" s="637"/>
      <c r="J20" s="638"/>
      <c r="K20" s="638"/>
      <c r="L20" s="639" t="s">
        <v>8</v>
      </c>
      <c r="M20" s="640" t="str">
        <f t="shared" si="3"/>
        <v>01</v>
      </c>
      <c r="N20" s="638" t="s">
        <v>71</v>
      </c>
      <c r="O20" s="638"/>
      <c r="P20" s="638"/>
      <c r="Q20" s="638"/>
      <c r="R20" s="638"/>
      <c r="S20" s="641"/>
    </row>
    <row r="21" ht="13.5" customHeight="1">
      <c r="A21" s="591">
        <v>12.0</v>
      </c>
      <c r="B21" s="592" t="s">
        <v>72</v>
      </c>
      <c r="C21" s="592" t="s">
        <v>6</v>
      </c>
      <c r="D21" s="593" t="str">
        <f t="shared" si="1"/>
        <v>I</v>
      </c>
      <c r="E21" s="594" t="str">
        <f t="shared" si="2"/>
        <v>FA012/I/01</v>
      </c>
      <c r="F21" s="594" t="s">
        <v>73</v>
      </c>
      <c r="G21" s="595">
        <v>42522.0</v>
      </c>
      <c r="H21" s="596">
        <v>1500000.0</v>
      </c>
      <c r="I21" s="597"/>
      <c r="J21" s="598"/>
      <c r="K21" s="598"/>
      <c r="L21" s="599" t="s">
        <v>8</v>
      </c>
      <c r="M21" s="600" t="str">
        <f t="shared" si="3"/>
        <v>01</v>
      </c>
      <c r="N21" s="598"/>
      <c r="O21" s="598"/>
      <c r="P21" s="598"/>
      <c r="Q21" s="598"/>
      <c r="R21" s="598" t="s">
        <v>5</v>
      </c>
      <c r="S21" s="601"/>
    </row>
    <row r="22" ht="13.5" customHeight="1">
      <c r="A22" s="591">
        <v>13.0</v>
      </c>
      <c r="B22" s="592" t="s">
        <v>74</v>
      </c>
      <c r="C22" s="592" t="s">
        <v>6</v>
      </c>
      <c r="D22" s="593" t="str">
        <f t="shared" si="1"/>
        <v>I</v>
      </c>
      <c r="E22" s="594" t="str">
        <f t="shared" si="2"/>
        <v>FA013/I/01</v>
      </c>
      <c r="F22" s="594" t="s">
        <v>75</v>
      </c>
      <c r="G22" s="595">
        <v>42566.0</v>
      </c>
      <c r="H22" s="596">
        <v>660000.0</v>
      </c>
      <c r="I22" s="597"/>
      <c r="J22" s="598"/>
      <c r="K22" s="598"/>
      <c r="L22" s="599" t="s">
        <v>8</v>
      </c>
      <c r="M22" s="600" t="str">
        <f t="shared" si="3"/>
        <v>01</v>
      </c>
      <c r="N22" s="598"/>
      <c r="O22" s="598"/>
      <c r="P22" s="598"/>
      <c r="Q22" s="598"/>
      <c r="R22" s="598" t="s">
        <v>5</v>
      </c>
      <c r="S22" s="601"/>
    </row>
    <row r="23" ht="13.5" customHeight="1">
      <c r="A23" s="591">
        <v>14.0</v>
      </c>
      <c r="B23" s="592" t="s">
        <v>76</v>
      </c>
      <c r="C23" s="592" t="s">
        <v>11</v>
      </c>
      <c r="D23" s="593" t="str">
        <f t="shared" si="1"/>
        <v>II</v>
      </c>
      <c r="E23" s="594" t="str">
        <f t="shared" si="2"/>
        <v>FA014/II/01</v>
      </c>
      <c r="F23" s="594" t="s">
        <v>77</v>
      </c>
      <c r="G23" s="595">
        <v>42466.0</v>
      </c>
      <c r="H23" s="596">
        <v>900000.0</v>
      </c>
      <c r="I23" s="597"/>
      <c r="J23" s="598"/>
      <c r="K23" s="598"/>
      <c r="L23" s="599" t="s">
        <v>8</v>
      </c>
      <c r="M23" s="600" t="str">
        <f t="shared" si="3"/>
        <v>01</v>
      </c>
      <c r="N23" s="598"/>
      <c r="O23" s="598"/>
      <c r="P23" s="598"/>
      <c r="Q23" s="598"/>
      <c r="R23" s="598" t="s">
        <v>5</v>
      </c>
      <c r="S23" s="601"/>
    </row>
    <row r="24" ht="13.5" customHeight="1">
      <c r="A24" s="622">
        <v>15.0</v>
      </c>
      <c r="B24" s="623" t="s">
        <v>78</v>
      </c>
      <c r="C24" s="623" t="s">
        <v>11</v>
      </c>
      <c r="D24" s="624" t="str">
        <f t="shared" si="1"/>
        <v>II</v>
      </c>
      <c r="E24" s="625" t="str">
        <f t="shared" si="2"/>
        <v>FA015/II/01</v>
      </c>
      <c r="F24" s="642" t="s">
        <v>79</v>
      </c>
      <c r="G24" s="626">
        <v>42461.0</v>
      </c>
      <c r="H24" s="627">
        <v>750000.0</v>
      </c>
      <c r="I24" s="627"/>
      <c r="J24" s="628" t="s">
        <v>80</v>
      </c>
      <c r="K24" s="628" t="s">
        <v>81</v>
      </c>
      <c r="L24" s="628" t="s">
        <v>8</v>
      </c>
      <c r="M24" s="629" t="str">
        <f t="shared" si="3"/>
        <v>01</v>
      </c>
      <c r="N24" s="630"/>
      <c r="O24" s="630"/>
      <c r="P24" s="630"/>
      <c r="Q24" s="630"/>
      <c r="R24" s="630"/>
      <c r="S24" s="631"/>
    </row>
    <row r="25" ht="13.5" customHeight="1">
      <c r="A25" s="591">
        <v>16.0</v>
      </c>
      <c r="B25" s="592" t="s">
        <v>82</v>
      </c>
      <c r="C25" s="592" t="s">
        <v>16</v>
      </c>
      <c r="D25" s="593" t="str">
        <f t="shared" si="1"/>
        <v>III</v>
      </c>
      <c r="E25" s="594" t="str">
        <f t="shared" si="2"/>
        <v>FA016/III/01</v>
      </c>
      <c r="F25" s="594" t="s">
        <v>1883</v>
      </c>
      <c r="G25" s="595">
        <v>42736.0</v>
      </c>
      <c r="H25" s="596">
        <v>2.1E7</v>
      </c>
      <c r="I25" s="597"/>
      <c r="J25" s="598" t="s">
        <v>1884</v>
      </c>
      <c r="K25" s="598" t="s">
        <v>51</v>
      </c>
      <c r="L25" s="599" t="s">
        <v>8</v>
      </c>
      <c r="M25" s="600" t="str">
        <f t="shared" si="3"/>
        <v>01</v>
      </c>
      <c r="N25" s="598"/>
      <c r="O25" s="598"/>
      <c r="P25" s="598"/>
      <c r="Q25" s="598"/>
      <c r="R25" s="598" t="s">
        <v>5</v>
      </c>
      <c r="S25" s="601"/>
    </row>
    <row r="26" ht="13.5" customHeight="1">
      <c r="A26" s="591">
        <v>17.0</v>
      </c>
      <c r="B26" s="592" t="s">
        <v>85</v>
      </c>
      <c r="C26" s="592" t="s">
        <v>6</v>
      </c>
      <c r="D26" s="593" t="str">
        <f t="shared" si="1"/>
        <v>I</v>
      </c>
      <c r="E26" s="594" t="str">
        <f t="shared" si="2"/>
        <v>FA017/I/01</v>
      </c>
      <c r="F26" s="594" t="s">
        <v>86</v>
      </c>
      <c r="G26" s="595">
        <v>42736.0</v>
      </c>
      <c r="H26" s="596">
        <v>3.7505E7</v>
      </c>
      <c r="I26" s="597"/>
      <c r="J26" s="598" t="s">
        <v>1885</v>
      </c>
      <c r="K26" s="598" t="s">
        <v>51</v>
      </c>
      <c r="L26" s="599" t="s">
        <v>8</v>
      </c>
      <c r="M26" s="600" t="str">
        <f t="shared" si="3"/>
        <v>01</v>
      </c>
      <c r="N26" s="598" t="s">
        <v>43</v>
      </c>
      <c r="O26" s="598"/>
      <c r="P26" s="598"/>
      <c r="Q26" s="598"/>
      <c r="R26" s="598" t="s">
        <v>5</v>
      </c>
      <c r="S26" s="601"/>
    </row>
    <row r="27" ht="13.5" customHeight="1">
      <c r="A27" s="632">
        <v>18.0</v>
      </c>
      <c r="B27" s="633" t="s">
        <v>87</v>
      </c>
      <c r="C27" s="633" t="s">
        <v>16</v>
      </c>
      <c r="D27" s="634" t="str">
        <f t="shared" si="1"/>
        <v>III</v>
      </c>
      <c r="E27" s="635" t="str">
        <f t="shared" si="2"/>
        <v>FA018/III/01</v>
      </c>
      <c r="F27" s="635" t="s">
        <v>88</v>
      </c>
      <c r="G27" s="636">
        <v>42979.0</v>
      </c>
      <c r="H27" s="637">
        <v>1.305E7</v>
      </c>
      <c r="I27" s="637"/>
      <c r="J27" s="638"/>
      <c r="K27" s="638"/>
      <c r="L27" s="639" t="s">
        <v>8</v>
      </c>
      <c r="M27" s="640" t="str">
        <f t="shared" si="3"/>
        <v>01</v>
      </c>
      <c r="N27" s="638" t="s">
        <v>84</v>
      </c>
      <c r="O27" s="638"/>
      <c r="P27" s="638"/>
      <c r="Q27" s="638"/>
      <c r="R27" s="638"/>
      <c r="S27" s="641"/>
    </row>
    <row r="28" ht="13.5" customHeight="1">
      <c r="A28" s="643">
        <v>19.0</v>
      </c>
      <c r="B28" s="644" t="s">
        <v>89</v>
      </c>
      <c r="C28" s="644" t="s">
        <v>24</v>
      </c>
      <c r="D28" s="645" t="str">
        <f t="shared" si="1"/>
        <v>V</v>
      </c>
      <c r="E28" s="646" t="str">
        <f t="shared" si="2"/>
        <v>FA019/V/02</v>
      </c>
      <c r="F28" s="646" t="s">
        <v>90</v>
      </c>
      <c r="G28" s="647">
        <v>42979.0</v>
      </c>
      <c r="H28" s="648">
        <v>3275000.0</v>
      </c>
      <c r="I28" s="648"/>
      <c r="J28" s="649"/>
      <c r="K28" s="649"/>
      <c r="L28" s="650" t="s">
        <v>13</v>
      </c>
      <c r="M28" s="651" t="str">
        <f t="shared" si="3"/>
        <v>02</v>
      </c>
      <c r="N28" s="649"/>
      <c r="O28" s="649"/>
      <c r="P28" s="649"/>
      <c r="Q28" s="649"/>
      <c r="R28" s="649"/>
      <c r="S28" s="652"/>
    </row>
    <row r="29" ht="13.5" customHeight="1">
      <c r="A29" s="591">
        <v>20.0</v>
      </c>
      <c r="B29" s="592" t="s">
        <v>91</v>
      </c>
      <c r="C29" s="592" t="s">
        <v>6</v>
      </c>
      <c r="D29" s="593" t="str">
        <f t="shared" si="1"/>
        <v>I</v>
      </c>
      <c r="E29" s="594" t="str">
        <f t="shared" si="2"/>
        <v>FA020/I/ </v>
      </c>
      <c r="F29" s="594" t="s">
        <v>92</v>
      </c>
      <c r="G29" s="595">
        <v>43049.0</v>
      </c>
      <c r="H29" s="596">
        <v>3000000.0</v>
      </c>
      <c r="I29" s="597"/>
      <c r="J29" s="598"/>
      <c r="K29" s="598"/>
      <c r="L29" s="599"/>
      <c r="M29" s="600" t="str">
        <f t="shared" si="3"/>
        <v> </v>
      </c>
      <c r="N29" s="598" t="s">
        <v>93</v>
      </c>
      <c r="O29" s="598"/>
      <c r="P29" s="598"/>
      <c r="Q29" s="598"/>
      <c r="R29" s="598" t="s">
        <v>5</v>
      </c>
      <c r="S29" s="601"/>
    </row>
    <row r="30" ht="12.75" customHeight="1">
      <c r="A30" s="622">
        <v>21.0</v>
      </c>
      <c r="B30" s="623" t="s">
        <v>94</v>
      </c>
      <c r="C30" s="623" t="s">
        <v>11</v>
      </c>
      <c r="D30" s="624" t="str">
        <f t="shared" si="1"/>
        <v>II</v>
      </c>
      <c r="E30" s="625" t="str">
        <f t="shared" si="2"/>
        <v>FA021/II/01</v>
      </c>
      <c r="F30" s="630" t="s">
        <v>1886</v>
      </c>
      <c r="G30" s="626">
        <v>43132.0</v>
      </c>
      <c r="H30" s="627">
        <v>1400000.0</v>
      </c>
      <c r="I30" s="627"/>
      <c r="J30" s="628" t="s">
        <v>1887</v>
      </c>
      <c r="K30" s="628" t="s">
        <v>95</v>
      </c>
      <c r="L30" s="628" t="s">
        <v>8</v>
      </c>
      <c r="M30" s="629" t="str">
        <f t="shared" si="3"/>
        <v>01</v>
      </c>
      <c r="N30" s="630"/>
      <c r="O30" s="630"/>
      <c r="P30" s="630"/>
      <c r="Q30" s="630"/>
      <c r="R30" s="630"/>
      <c r="S30" s="631"/>
    </row>
    <row r="31" ht="13.5" customHeight="1">
      <c r="A31" s="622">
        <v>22.0</v>
      </c>
      <c r="B31" s="623" t="s">
        <v>96</v>
      </c>
      <c r="C31" s="623" t="s">
        <v>16</v>
      </c>
      <c r="D31" s="624" t="str">
        <f t="shared" si="1"/>
        <v>III</v>
      </c>
      <c r="E31" s="625" t="str">
        <f t="shared" si="2"/>
        <v>FA022/III/01</v>
      </c>
      <c r="F31" s="625" t="s">
        <v>45</v>
      </c>
      <c r="G31" s="626">
        <v>43132.0</v>
      </c>
      <c r="H31" s="627">
        <v>1.45488E7</v>
      </c>
      <c r="I31" s="627"/>
      <c r="J31" s="630" t="s">
        <v>97</v>
      </c>
      <c r="K31" s="630" t="s">
        <v>51</v>
      </c>
      <c r="L31" s="628" t="s">
        <v>8</v>
      </c>
      <c r="M31" s="629" t="str">
        <f t="shared" si="3"/>
        <v>01</v>
      </c>
      <c r="N31" s="630"/>
      <c r="O31" s="630"/>
      <c r="P31" s="630"/>
      <c r="Q31" s="630"/>
      <c r="R31" s="630"/>
      <c r="S31" s="631"/>
    </row>
    <row r="32" ht="13.5" customHeight="1">
      <c r="A32" s="591">
        <v>23.0</v>
      </c>
      <c r="B32" s="592" t="s">
        <v>98</v>
      </c>
      <c r="C32" s="592" t="s">
        <v>6</v>
      </c>
      <c r="D32" s="593" t="str">
        <f t="shared" si="1"/>
        <v>I</v>
      </c>
      <c r="E32" s="594" t="str">
        <f t="shared" si="2"/>
        <v>FA023/I/01</v>
      </c>
      <c r="F32" s="594" t="s">
        <v>1888</v>
      </c>
      <c r="G32" s="595">
        <v>43160.0</v>
      </c>
      <c r="H32" s="596">
        <v>3.12E7</v>
      </c>
      <c r="I32" s="597"/>
      <c r="J32" s="598"/>
      <c r="K32" s="598"/>
      <c r="L32" s="599" t="s">
        <v>8</v>
      </c>
      <c r="M32" s="600" t="str">
        <f t="shared" si="3"/>
        <v>01</v>
      </c>
      <c r="N32" s="598" t="s">
        <v>84</v>
      </c>
      <c r="O32" s="598"/>
      <c r="P32" s="598"/>
      <c r="Q32" s="598"/>
      <c r="R32" s="598" t="s">
        <v>5</v>
      </c>
      <c r="S32" s="601"/>
    </row>
    <row r="33" ht="13.5" customHeight="1">
      <c r="A33" s="591">
        <v>24.0</v>
      </c>
      <c r="B33" s="592" t="s">
        <v>101</v>
      </c>
      <c r="C33" s="592" t="s">
        <v>16</v>
      </c>
      <c r="D33" s="593" t="str">
        <f t="shared" si="1"/>
        <v>III</v>
      </c>
      <c r="E33" s="594" t="str">
        <f t="shared" si="2"/>
        <v>FA024/III/01</v>
      </c>
      <c r="F33" s="594" t="s">
        <v>102</v>
      </c>
      <c r="G33" s="595">
        <v>43160.0</v>
      </c>
      <c r="H33" s="596">
        <v>1.0999E7</v>
      </c>
      <c r="I33" s="597"/>
      <c r="J33" s="598"/>
      <c r="K33" s="598"/>
      <c r="L33" s="599" t="s">
        <v>8</v>
      </c>
      <c r="M33" s="600" t="str">
        <f t="shared" si="3"/>
        <v>01</v>
      </c>
      <c r="N33" s="598" t="s">
        <v>103</v>
      </c>
      <c r="O33" s="598"/>
      <c r="P33" s="598"/>
      <c r="Q33" s="598"/>
      <c r="R33" s="598" t="s">
        <v>5</v>
      </c>
      <c r="S33" s="601"/>
    </row>
    <row r="34" ht="13.5" customHeight="1">
      <c r="A34" s="591">
        <v>25.0</v>
      </c>
      <c r="B34" s="592" t="s">
        <v>104</v>
      </c>
      <c r="C34" s="592" t="s">
        <v>6</v>
      </c>
      <c r="D34" s="593" t="str">
        <f t="shared" si="1"/>
        <v>I</v>
      </c>
      <c r="E34" s="594" t="str">
        <f t="shared" si="2"/>
        <v>FA025/I/ </v>
      </c>
      <c r="F34" s="594" t="s">
        <v>92</v>
      </c>
      <c r="G34" s="595">
        <v>43221.0</v>
      </c>
      <c r="H34" s="596">
        <v>3000000.0</v>
      </c>
      <c r="I34" s="597"/>
      <c r="J34" s="598"/>
      <c r="K34" s="598"/>
      <c r="L34" s="599"/>
      <c r="M34" s="600" t="str">
        <f t="shared" si="3"/>
        <v> </v>
      </c>
      <c r="N34" s="598" t="s">
        <v>93</v>
      </c>
      <c r="O34" s="598"/>
      <c r="P34" s="598"/>
      <c r="Q34" s="598"/>
      <c r="R34" s="598" t="s">
        <v>5</v>
      </c>
      <c r="S34" s="601"/>
    </row>
    <row r="35" ht="13.5" customHeight="1">
      <c r="A35" s="622">
        <v>26.0</v>
      </c>
      <c r="B35" s="623" t="s">
        <v>105</v>
      </c>
      <c r="C35" s="623" t="s">
        <v>6</v>
      </c>
      <c r="D35" s="624" t="str">
        <f t="shared" si="1"/>
        <v>I</v>
      </c>
      <c r="E35" s="625" t="str">
        <f t="shared" si="2"/>
        <v>FA026/I/01</v>
      </c>
      <c r="F35" s="625" t="s">
        <v>106</v>
      </c>
      <c r="G35" s="626">
        <v>43221.0</v>
      </c>
      <c r="H35" s="627">
        <v>4920000.0</v>
      </c>
      <c r="I35" s="627"/>
      <c r="J35" s="630"/>
      <c r="K35" s="630"/>
      <c r="L35" s="628" t="s">
        <v>8</v>
      </c>
      <c r="M35" s="629" t="str">
        <f t="shared" si="3"/>
        <v>01</v>
      </c>
      <c r="N35" s="630"/>
      <c r="O35" s="630"/>
      <c r="P35" s="630"/>
      <c r="Q35" s="630"/>
      <c r="R35" s="630"/>
      <c r="S35" s="631"/>
    </row>
    <row r="36" ht="13.5" customHeight="1">
      <c r="A36" s="622">
        <v>27.0</v>
      </c>
      <c r="B36" s="623" t="s">
        <v>113</v>
      </c>
      <c r="C36" s="623" t="s">
        <v>6</v>
      </c>
      <c r="D36" s="624" t="str">
        <f t="shared" si="1"/>
        <v>I</v>
      </c>
      <c r="E36" s="625" t="str">
        <f t="shared" si="2"/>
        <v>FA027/I/01</v>
      </c>
      <c r="F36" s="642" t="s">
        <v>114</v>
      </c>
      <c r="G36" s="626">
        <v>43256.0</v>
      </c>
      <c r="H36" s="627">
        <v>9500032.0</v>
      </c>
      <c r="I36" s="627"/>
      <c r="J36" s="628" t="s">
        <v>1889</v>
      </c>
      <c r="K36" s="628" t="s">
        <v>1890</v>
      </c>
      <c r="L36" s="630" t="s">
        <v>8</v>
      </c>
      <c r="M36" s="629" t="str">
        <f t="shared" si="3"/>
        <v>01</v>
      </c>
      <c r="N36" s="630"/>
      <c r="O36" s="630"/>
      <c r="P36" s="630"/>
      <c r="Q36" s="630"/>
      <c r="R36" s="630"/>
      <c r="S36" s="631"/>
    </row>
    <row r="37" ht="13.5" customHeight="1">
      <c r="A37" s="632">
        <v>28.0</v>
      </c>
      <c r="B37" s="633" t="s">
        <v>118</v>
      </c>
      <c r="C37" s="633" t="s">
        <v>16</v>
      </c>
      <c r="D37" s="634" t="str">
        <f t="shared" si="1"/>
        <v>III</v>
      </c>
      <c r="E37" s="635" t="str">
        <f t="shared" si="2"/>
        <v>FA028/III/01</v>
      </c>
      <c r="F37" s="638" t="s">
        <v>119</v>
      </c>
      <c r="G37" s="636">
        <v>43287.0</v>
      </c>
      <c r="H37" s="637">
        <v>3900000.0</v>
      </c>
      <c r="I37" s="637"/>
      <c r="J37" s="638"/>
      <c r="K37" s="638" t="s">
        <v>158</v>
      </c>
      <c r="L37" s="639" t="s">
        <v>8</v>
      </c>
      <c r="M37" s="640" t="str">
        <f t="shared" si="3"/>
        <v>01</v>
      </c>
      <c r="N37" s="638" t="s">
        <v>121</v>
      </c>
      <c r="O37" s="638"/>
      <c r="P37" s="638"/>
      <c r="Q37" s="638"/>
      <c r="R37" s="638"/>
      <c r="S37" s="641"/>
    </row>
    <row r="38" ht="13.5" customHeight="1">
      <c r="A38" s="643">
        <v>29.0</v>
      </c>
      <c r="B38" s="644" t="s">
        <v>123</v>
      </c>
      <c r="C38" s="644" t="s">
        <v>24</v>
      </c>
      <c r="D38" s="645" t="str">
        <f t="shared" si="1"/>
        <v>V</v>
      </c>
      <c r="E38" s="646" t="str">
        <f t="shared" si="2"/>
        <v>FA029/V/02</v>
      </c>
      <c r="F38" s="646" t="s">
        <v>124</v>
      </c>
      <c r="G38" s="647">
        <v>43314.0</v>
      </c>
      <c r="H38" s="648">
        <v>2953007.0</v>
      </c>
      <c r="I38" s="648"/>
      <c r="J38" s="649"/>
      <c r="K38" s="649"/>
      <c r="L38" s="650" t="s">
        <v>13</v>
      </c>
      <c r="M38" s="651" t="str">
        <f t="shared" si="3"/>
        <v>02</v>
      </c>
      <c r="N38" s="649"/>
      <c r="O38" s="649"/>
      <c r="P38" s="649"/>
      <c r="Q38" s="649"/>
      <c r="R38" s="649"/>
      <c r="S38" s="652"/>
    </row>
    <row r="39" ht="13.5" customHeight="1">
      <c r="A39" s="591">
        <v>30.0</v>
      </c>
      <c r="B39" s="592" t="s">
        <v>125</v>
      </c>
      <c r="C39" s="592" t="s">
        <v>6</v>
      </c>
      <c r="D39" s="593" t="str">
        <f t="shared" si="1"/>
        <v>I</v>
      </c>
      <c r="E39" s="594" t="str">
        <f t="shared" si="2"/>
        <v>FA030/I/01</v>
      </c>
      <c r="F39" s="594" t="s">
        <v>126</v>
      </c>
      <c r="G39" s="595">
        <v>43313.0</v>
      </c>
      <c r="H39" s="596">
        <v>1320000.0</v>
      </c>
      <c r="I39" s="597"/>
      <c r="J39" s="598"/>
      <c r="K39" s="599" t="s">
        <v>51</v>
      </c>
      <c r="L39" s="599" t="s">
        <v>8</v>
      </c>
      <c r="M39" s="600" t="str">
        <f t="shared" si="3"/>
        <v>01</v>
      </c>
      <c r="N39" s="598" t="s">
        <v>127</v>
      </c>
      <c r="O39" s="598"/>
      <c r="P39" s="598"/>
      <c r="Q39" s="598"/>
      <c r="R39" s="598" t="s">
        <v>5</v>
      </c>
      <c r="S39" s="601"/>
    </row>
    <row r="40" ht="13.5" customHeight="1">
      <c r="A40" s="622">
        <v>31.0</v>
      </c>
      <c r="B40" s="623" t="s">
        <v>128</v>
      </c>
      <c r="C40" s="623" t="s">
        <v>24</v>
      </c>
      <c r="D40" s="624" t="str">
        <f t="shared" si="1"/>
        <v>V</v>
      </c>
      <c r="E40" s="625" t="str">
        <f t="shared" si="2"/>
        <v>FA031/V/01</v>
      </c>
      <c r="F40" s="625" t="s">
        <v>129</v>
      </c>
      <c r="G40" s="626">
        <v>43378.0</v>
      </c>
      <c r="H40" s="627">
        <v>8190000.0</v>
      </c>
      <c r="I40" s="627"/>
      <c r="J40" s="630"/>
      <c r="K40" s="628" t="s">
        <v>51</v>
      </c>
      <c r="L40" s="628" t="s">
        <v>8</v>
      </c>
      <c r="M40" s="629" t="str">
        <f t="shared" si="3"/>
        <v>01</v>
      </c>
      <c r="N40" s="630" t="s">
        <v>130</v>
      </c>
      <c r="O40" s="630"/>
      <c r="P40" s="630"/>
      <c r="Q40" s="630"/>
      <c r="R40" s="630"/>
      <c r="S40" s="631"/>
    </row>
    <row r="41" ht="13.5" customHeight="1">
      <c r="A41" s="591">
        <v>32.0</v>
      </c>
      <c r="B41" s="592" t="s">
        <v>131</v>
      </c>
      <c r="C41" s="592" t="s">
        <v>6</v>
      </c>
      <c r="D41" s="593" t="str">
        <f t="shared" si="1"/>
        <v>I</v>
      </c>
      <c r="E41" s="594" t="str">
        <f t="shared" si="2"/>
        <v>FA032/I/01</v>
      </c>
      <c r="F41" s="594" t="s">
        <v>132</v>
      </c>
      <c r="G41" s="595">
        <v>43383.0</v>
      </c>
      <c r="H41" s="596">
        <v>898900.0</v>
      </c>
      <c r="I41" s="597"/>
      <c r="J41" s="598"/>
      <c r="K41" s="598"/>
      <c r="L41" s="598" t="s">
        <v>8</v>
      </c>
      <c r="M41" s="600" t="str">
        <f t="shared" si="3"/>
        <v>01</v>
      </c>
      <c r="N41" s="598"/>
      <c r="O41" s="598"/>
      <c r="P41" s="598"/>
      <c r="Q41" s="598"/>
      <c r="R41" s="598" t="s">
        <v>5</v>
      </c>
      <c r="S41" s="601"/>
    </row>
    <row r="42" ht="13.5" customHeight="1">
      <c r="A42" s="591">
        <v>33.0</v>
      </c>
      <c r="B42" s="592" t="s">
        <v>133</v>
      </c>
      <c r="C42" s="592" t="s">
        <v>6</v>
      </c>
      <c r="D42" s="593" t="str">
        <f t="shared" si="1"/>
        <v>I</v>
      </c>
      <c r="E42" s="594" t="str">
        <f t="shared" si="2"/>
        <v>FA033/I/01</v>
      </c>
      <c r="F42" s="594" t="s">
        <v>134</v>
      </c>
      <c r="G42" s="595">
        <v>43557.0</v>
      </c>
      <c r="H42" s="596">
        <v>1200000.0</v>
      </c>
      <c r="I42" s="597"/>
      <c r="J42" s="598"/>
      <c r="K42" s="598"/>
      <c r="L42" s="598" t="s">
        <v>8</v>
      </c>
      <c r="M42" s="600" t="str">
        <f t="shared" si="3"/>
        <v>01</v>
      </c>
      <c r="N42" s="598" t="s">
        <v>135</v>
      </c>
      <c r="O42" s="598"/>
      <c r="P42" s="598"/>
      <c r="Q42" s="598"/>
      <c r="R42" s="598" t="s">
        <v>5</v>
      </c>
      <c r="S42" s="601"/>
    </row>
    <row r="43" ht="13.5" customHeight="1">
      <c r="A43" s="622">
        <v>34.0</v>
      </c>
      <c r="B43" s="623" t="s">
        <v>136</v>
      </c>
      <c r="C43" s="623" t="s">
        <v>16</v>
      </c>
      <c r="D43" s="624" t="str">
        <f t="shared" si="1"/>
        <v>III</v>
      </c>
      <c r="E43" s="625" t="str">
        <f t="shared" si="2"/>
        <v>FA034/III/01</v>
      </c>
      <c r="F43" s="625" t="s">
        <v>137</v>
      </c>
      <c r="G43" s="626">
        <v>43563.0</v>
      </c>
      <c r="H43" s="627">
        <v>4116265.0</v>
      </c>
      <c r="I43" s="627"/>
      <c r="J43" s="628" t="s">
        <v>1679</v>
      </c>
      <c r="K43" s="628" t="s">
        <v>47</v>
      </c>
      <c r="L43" s="628" t="s">
        <v>8</v>
      </c>
      <c r="M43" s="629" t="str">
        <f t="shared" si="3"/>
        <v>01</v>
      </c>
      <c r="N43" s="630" t="s">
        <v>84</v>
      </c>
      <c r="O43" s="630"/>
      <c r="P43" s="630"/>
      <c r="Q43" s="630"/>
      <c r="R43" s="630"/>
      <c r="S43" s="631"/>
    </row>
    <row r="44" ht="13.5" customHeight="1">
      <c r="A44" s="602">
        <v>35.0</v>
      </c>
      <c r="B44" s="603" t="s">
        <v>139</v>
      </c>
      <c r="C44" s="603" t="s">
        <v>6</v>
      </c>
      <c r="D44" s="604" t="str">
        <f t="shared" si="1"/>
        <v>I</v>
      </c>
      <c r="E44" s="605" t="str">
        <f t="shared" si="2"/>
        <v>FA035/I/02</v>
      </c>
      <c r="F44" s="605" t="s">
        <v>140</v>
      </c>
      <c r="G44" s="606">
        <v>43679.0</v>
      </c>
      <c r="H44" s="607">
        <v>2799000.0</v>
      </c>
      <c r="I44" s="607"/>
      <c r="J44" s="608"/>
      <c r="K44" s="401" t="s">
        <v>95</v>
      </c>
      <c r="L44" s="401" t="s">
        <v>13</v>
      </c>
      <c r="M44" s="609" t="str">
        <f t="shared" si="3"/>
        <v>02</v>
      </c>
      <c r="N44" s="608" t="s">
        <v>141</v>
      </c>
      <c r="O44" s="608"/>
      <c r="P44" s="608"/>
      <c r="Q44" s="608"/>
      <c r="R44" s="401" t="s">
        <v>52</v>
      </c>
      <c r="S44" s="610"/>
    </row>
    <row r="45" ht="13.5" customHeight="1">
      <c r="A45" s="602">
        <v>36.0</v>
      </c>
      <c r="B45" s="603" t="s">
        <v>142</v>
      </c>
      <c r="C45" s="603" t="s">
        <v>6</v>
      </c>
      <c r="D45" s="604" t="str">
        <f t="shared" si="1"/>
        <v>I</v>
      </c>
      <c r="E45" s="605" t="str">
        <f t="shared" si="2"/>
        <v>FA036.1/I/02</v>
      </c>
      <c r="F45" s="605" t="s">
        <v>143</v>
      </c>
      <c r="G45" s="606">
        <v>43679.0</v>
      </c>
      <c r="H45" s="607">
        <v>3049000.0</v>
      </c>
      <c r="I45" s="607"/>
      <c r="J45" s="608"/>
      <c r="K45" s="401" t="s">
        <v>95</v>
      </c>
      <c r="L45" s="401" t="s">
        <v>13</v>
      </c>
      <c r="M45" s="609" t="str">
        <f t="shared" si="3"/>
        <v>02</v>
      </c>
      <c r="N45" s="608" t="s">
        <v>141</v>
      </c>
      <c r="O45" s="608"/>
      <c r="P45" s="608"/>
      <c r="Q45" s="608"/>
      <c r="R45" s="401" t="s">
        <v>52</v>
      </c>
      <c r="S45" s="610"/>
    </row>
    <row r="46" ht="13.5" customHeight="1">
      <c r="A46" s="602">
        <v>37.0</v>
      </c>
      <c r="B46" s="603" t="s">
        <v>144</v>
      </c>
      <c r="C46" s="603" t="s">
        <v>6</v>
      </c>
      <c r="D46" s="604" t="str">
        <f t="shared" si="1"/>
        <v>I</v>
      </c>
      <c r="E46" s="605" t="str">
        <f t="shared" si="2"/>
        <v>FA036.2/I/02</v>
      </c>
      <c r="F46" s="605" t="s">
        <v>143</v>
      </c>
      <c r="G46" s="606">
        <v>43679.0</v>
      </c>
      <c r="H46" s="607">
        <v>3049000.0</v>
      </c>
      <c r="I46" s="607"/>
      <c r="J46" s="608"/>
      <c r="K46" s="401" t="s">
        <v>95</v>
      </c>
      <c r="L46" s="401" t="s">
        <v>13</v>
      </c>
      <c r="M46" s="609" t="str">
        <f t="shared" si="3"/>
        <v>02</v>
      </c>
      <c r="N46" s="608" t="s">
        <v>141</v>
      </c>
      <c r="O46" s="608"/>
      <c r="P46" s="608"/>
      <c r="Q46" s="608"/>
      <c r="R46" s="401" t="s">
        <v>52</v>
      </c>
      <c r="S46" s="610"/>
    </row>
    <row r="47" ht="13.5" customHeight="1">
      <c r="A47" s="602">
        <v>38.0</v>
      </c>
      <c r="B47" s="603" t="s">
        <v>145</v>
      </c>
      <c r="C47" s="603" t="s">
        <v>6</v>
      </c>
      <c r="D47" s="604" t="str">
        <f t="shared" si="1"/>
        <v>I</v>
      </c>
      <c r="E47" s="605" t="str">
        <f t="shared" si="2"/>
        <v>FA036.3/I/03</v>
      </c>
      <c r="F47" s="605" t="s">
        <v>143</v>
      </c>
      <c r="G47" s="606">
        <v>43679.0</v>
      </c>
      <c r="H47" s="607">
        <v>3049000.0</v>
      </c>
      <c r="I47" s="607"/>
      <c r="J47" s="608"/>
      <c r="K47" s="401" t="s">
        <v>95</v>
      </c>
      <c r="L47" s="401" t="s">
        <v>18</v>
      </c>
      <c r="M47" s="609" t="str">
        <f t="shared" si="3"/>
        <v>03</v>
      </c>
      <c r="N47" s="608" t="s">
        <v>141</v>
      </c>
      <c r="O47" s="608"/>
      <c r="P47" s="608"/>
      <c r="Q47" s="608"/>
      <c r="R47" s="401" t="s">
        <v>52</v>
      </c>
      <c r="S47" s="610"/>
    </row>
    <row r="48" ht="13.5" customHeight="1">
      <c r="A48" s="653">
        <v>39.0</v>
      </c>
      <c r="B48" s="654" t="s">
        <v>146</v>
      </c>
      <c r="C48" s="654" t="s">
        <v>6</v>
      </c>
      <c r="D48" s="655" t="str">
        <f t="shared" si="1"/>
        <v>I</v>
      </c>
      <c r="E48" s="656" t="str">
        <f t="shared" si="2"/>
        <v>FA037/I/02</v>
      </c>
      <c r="F48" s="656" t="s">
        <v>147</v>
      </c>
      <c r="G48" s="657">
        <v>43679.0</v>
      </c>
      <c r="H48" s="658"/>
      <c r="I48" s="658"/>
      <c r="J48" s="659"/>
      <c r="K48" s="659"/>
      <c r="L48" s="660" t="s">
        <v>13</v>
      </c>
      <c r="M48" s="661" t="str">
        <f t="shared" si="3"/>
        <v>02</v>
      </c>
      <c r="N48" s="659" t="s">
        <v>141</v>
      </c>
      <c r="O48" s="659"/>
      <c r="P48" s="659"/>
      <c r="Q48" s="659"/>
      <c r="R48" s="659" t="s">
        <v>15</v>
      </c>
      <c r="S48" s="662">
        <v>2.25E7</v>
      </c>
    </row>
    <row r="49" ht="13.5" customHeight="1">
      <c r="A49" s="663">
        <v>40.0</v>
      </c>
      <c r="B49" s="612" t="s">
        <v>148</v>
      </c>
      <c r="C49" s="612" t="s">
        <v>11</v>
      </c>
      <c r="D49" s="613" t="str">
        <f t="shared" si="1"/>
        <v>II</v>
      </c>
      <c r="E49" s="614" t="str">
        <f t="shared" si="2"/>
        <v>FA038.1/II/02</v>
      </c>
      <c r="F49" s="614" t="s">
        <v>149</v>
      </c>
      <c r="G49" s="615">
        <v>43690.0</v>
      </c>
      <c r="H49" s="616">
        <v>2550000.0</v>
      </c>
      <c r="I49" s="616"/>
      <c r="J49" s="618"/>
      <c r="K49" s="618"/>
      <c r="L49" s="619" t="s">
        <v>13</v>
      </c>
      <c r="M49" s="620" t="str">
        <f t="shared" si="3"/>
        <v>02</v>
      </c>
      <c r="N49" s="618"/>
      <c r="O49" s="618"/>
      <c r="P49" s="618"/>
      <c r="Q49" s="618"/>
      <c r="R49" s="619" t="s">
        <v>10</v>
      </c>
      <c r="S49" s="621"/>
    </row>
    <row r="50" ht="13.5" customHeight="1">
      <c r="A50" s="602">
        <v>41.0</v>
      </c>
      <c r="B50" s="603" t="s">
        <v>150</v>
      </c>
      <c r="C50" s="603" t="s">
        <v>11</v>
      </c>
      <c r="D50" s="604" t="str">
        <f t="shared" si="1"/>
        <v>II</v>
      </c>
      <c r="E50" s="605" t="str">
        <f t="shared" si="2"/>
        <v>FA038.2/II/03</v>
      </c>
      <c r="F50" s="605" t="s">
        <v>151</v>
      </c>
      <c r="G50" s="606">
        <v>43690.0</v>
      </c>
      <c r="H50" s="664">
        <v>1500000.0</v>
      </c>
      <c r="I50" s="664"/>
      <c r="J50" s="608"/>
      <c r="K50" s="401" t="s">
        <v>95</v>
      </c>
      <c r="L50" s="401" t="s">
        <v>18</v>
      </c>
      <c r="M50" s="609" t="str">
        <f t="shared" si="3"/>
        <v>03</v>
      </c>
      <c r="N50" s="401" t="s">
        <v>152</v>
      </c>
      <c r="O50" s="608"/>
      <c r="P50" s="608"/>
      <c r="Q50" s="608"/>
      <c r="R50" s="401" t="s">
        <v>52</v>
      </c>
      <c r="S50" s="610"/>
    </row>
    <row r="51" ht="13.5" customHeight="1">
      <c r="A51" s="622">
        <v>42.0</v>
      </c>
      <c r="B51" s="623" t="s">
        <v>153</v>
      </c>
      <c r="C51" s="623" t="s">
        <v>11</v>
      </c>
      <c r="D51" s="624" t="str">
        <f t="shared" si="1"/>
        <v>II</v>
      </c>
      <c r="E51" s="625" t="str">
        <f t="shared" si="2"/>
        <v>FA039.1/II/01</v>
      </c>
      <c r="F51" s="625" t="s">
        <v>1891</v>
      </c>
      <c r="G51" s="626">
        <v>43692.0</v>
      </c>
      <c r="H51" s="627">
        <v>799500.0</v>
      </c>
      <c r="I51" s="627"/>
      <c r="J51" s="628" t="s">
        <v>59</v>
      </c>
      <c r="K51" s="628" t="s">
        <v>51</v>
      </c>
      <c r="L51" s="630" t="s">
        <v>8</v>
      </c>
      <c r="M51" s="629" t="str">
        <f t="shared" si="3"/>
        <v>01</v>
      </c>
      <c r="N51" s="630" t="s">
        <v>155</v>
      </c>
      <c r="O51" s="630"/>
      <c r="P51" s="630"/>
      <c r="Q51" s="630"/>
      <c r="R51" s="630"/>
      <c r="S51" s="631"/>
    </row>
    <row r="52" ht="13.5" customHeight="1">
      <c r="A52" s="622">
        <v>43.0</v>
      </c>
      <c r="B52" s="623" t="s">
        <v>156</v>
      </c>
      <c r="C52" s="623" t="s">
        <v>11</v>
      </c>
      <c r="D52" s="624" t="str">
        <f t="shared" si="1"/>
        <v>II</v>
      </c>
      <c r="E52" s="625" t="str">
        <f t="shared" si="2"/>
        <v>FA039.2/II/01</v>
      </c>
      <c r="F52" s="625" t="s">
        <v>1891</v>
      </c>
      <c r="G52" s="626">
        <v>43692.0</v>
      </c>
      <c r="H52" s="627">
        <v>799500.0</v>
      </c>
      <c r="I52" s="627"/>
      <c r="J52" s="628" t="s">
        <v>1892</v>
      </c>
      <c r="K52" s="628" t="s">
        <v>108</v>
      </c>
      <c r="L52" s="630" t="s">
        <v>8</v>
      </c>
      <c r="M52" s="629" t="str">
        <f t="shared" si="3"/>
        <v>01</v>
      </c>
      <c r="N52" s="630" t="s">
        <v>155</v>
      </c>
      <c r="O52" s="630"/>
      <c r="P52" s="630"/>
      <c r="Q52" s="630"/>
      <c r="R52" s="630"/>
      <c r="S52" s="631"/>
    </row>
    <row r="53" ht="13.5" customHeight="1">
      <c r="A53" s="622">
        <v>44.0</v>
      </c>
      <c r="B53" s="623" t="s">
        <v>157</v>
      </c>
      <c r="C53" s="623" t="s">
        <v>11</v>
      </c>
      <c r="D53" s="624" t="str">
        <f t="shared" si="1"/>
        <v>II</v>
      </c>
      <c r="E53" s="625" t="str">
        <f t="shared" si="2"/>
        <v>FA039.3/II/01</v>
      </c>
      <c r="F53" s="625" t="s">
        <v>1891</v>
      </c>
      <c r="G53" s="626">
        <v>43692.0</v>
      </c>
      <c r="H53" s="627">
        <v>799500.0</v>
      </c>
      <c r="I53" s="627"/>
      <c r="J53" s="628" t="s">
        <v>1893</v>
      </c>
      <c r="K53" s="628" t="s">
        <v>158</v>
      </c>
      <c r="L53" s="630" t="s">
        <v>8</v>
      </c>
      <c r="M53" s="629" t="str">
        <f t="shared" si="3"/>
        <v>01</v>
      </c>
      <c r="N53" s="630" t="s">
        <v>155</v>
      </c>
      <c r="O53" s="630"/>
      <c r="P53" s="630"/>
      <c r="Q53" s="630"/>
      <c r="R53" s="630"/>
      <c r="S53" s="631"/>
    </row>
    <row r="54" ht="13.5" customHeight="1">
      <c r="A54" s="622">
        <v>45.0</v>
      </c>
      <c r="B54" s="623" t="s">
        <v>159</v>
      </c>
      <c r="C54" s="623" t="s">
        <v>11</v>
      </c>
      <c r="D54" s="624" t="str">
        <f t="shared" si="1"/>
        <v>II</v>
      </c>
      <c r="E54" s="625" t="str">
        <f t="shared" si="2"/>
        <v>FA039.4/II/01</v>
      </c>
      <c r="F54" s="625" t="s">
        <v>1891</v>
      </c>
      <c r="G54" s="626">
        <v>43692.0</v>
      </c>
      <c r="H54" s="627">
        <v>799500.0</v>
      </c>
      <c r="I54" s="627"/>
      <c r="J54" s="628" t="s">
        <v>160</v>
      </c>
      <c r="K54" s="628" t="s">
        <v>158</v>
      </c>
      <c r="L54" s="625" t="s">
        <v>8</v>
      </c>
      <c r="M54" s="629" t="str">
        <f t="shared" si="3"/>
        <v>01</v>
      </c>
      <c r="N54" s="630" t="s">
        <v>155</v>
      </c>
      <c r="O54" s="630"/>
      <c r="P54" s="630"/>
      <c r="Q54" s="630"/>
      <c r="R54" s="630"/>
      <c r="S54" s="631"/>
    </row>
    <row r="55" ht="13.5" customHeight="1">
      <c r="A55" s="622">
        <v>46.0</v>
      </c>
      <c r="B55" s="623" t="s">
        <v>161</v>
      </c>
      <c r="C55" s="623" t="s">
        <v>11</v>
      </c>
      <c r="D55" s="624" t="str">
        <f t="shared" si="1"/>
        <v>II</v>
      </c>
      <c r="E55" s="625" t="str">
        <f t="shared" si="2"/>
        <v>FA039.5/II/01</v>
      </c>
      <c r="F55" s="625" t="s">
        <v>1891</v>
      </c>
      <c r="G55" s="626">
        <v>43692.0</v>
      </c>
      <c r="H55" s="627">
        <v>799500.0</v>
      </c>
      <c r="I55" s="627"/>
      <c r="J55" s="665" t="s">
        <v>1660</v>
      </c>
      <c r="K55" s="628" t="s">
        <v>95</v>
      </c>
      <c r="L55" s="625" t="s">
        <v>8</v>
      </c>
      <c r="M55" s="629" t="str">
        <f t="shared" si="3"/>
        <v>01</v>
      </c>
      <c r="N55" s="630" t="s">
        <v>155</v>
      </c>
      <c r="O55" s="630"/>
      <c r="P55" s="630"/>
      <c r="Q55" s="630"/>
      <c r="R55" s="630"/>
      <c r="S55" s="631"/>
    </row>
    <row r="56" ht="13.5" customHeight="1">
      <c r="A56" s="622">
        <v>47.0</v>
      </c>
      <c r="B56" s="623" t="s">
        <v>163</v>
      </c>
      <c r="C56" s="623" t="s">
        <v>11</v>
      </c>
      <c r="D56" s="624" t="str">
        <f t="shared" si="1"/>
        <v>II</v>
      </c>
      <c r="E56" s="625" t="str">
        <f t="shared" si="2"/>
        <v>FA039.6/II/01</v>
      </c>
      <c r="F56" s="625" t="s">
        <v>1891</v>
      </c>
      <c r="G56" s="626">
        <v>43692.0</v>
      </c>
      <c r="H56" s="627">
        <v>799500.0</v>
      </c>
      <c r="I56" s="627"/>
      <c r="J56" s="666" t="s">
        <v>1894</v>
      </c>
      <c r="K56" s="628" t="s">
        <v>108</v>
      </c>
      <c r="L56" s="625" t="s">
        <v>8</v>
      </c>
      <c r="M56" s="629" t="str">
        <f t="shared" si="3"/>
        <v>01</v>
      </c>
      <c r="N56" s="630" t="s">
        <v>155</v>
      </c>
      <c r="O56" s="630"/>
      <c r="P56" s="630"/>
      <c r="Q56" s="630"/>
      <c r="R56" s="630"/>
      <c r="S56" s="631"/>
    </row>
    <row r="57" ht="13.5" customHeight="1">
      <c r="A57" s="667">
        <v>48.0</v>
      </c>
      <c r="B57" s="668" t="s">
        <v>164</v>
      </c>
      <c r="C57" s="668" t="s">
        <v>11</v>
      </c>
      <c r="D57" s="669" t="str">
        <f t="shared" si="1"/>
        <v>II</v>
      </c>
      <c r="E57" s="670" t="str">
        <f t="shared" si="2"/>
        <v>FA039.7/II/01</v>
      </c>
      <c r="F57" s="670" t="s">
        <v>1891</v>
      </c>
      <c r="G57" s="671">
        <v>43692.0</v>
      </c>
      <c r="H57" s="607">
        <v>799500.0</v>
      </c>
      <c r="I57" s="607"/>
      <c r="J57" s="672"/>
      <c r="K57" s="673"/>
      <c r="L57" s="670" t="s">
        <v>8</v>
      </c>
      <c r="M57" s="674" t="str">
        <f t="shared" si="3"/>
        <v>01</v>
      </c>
      <c r="N57" s="673" t="s">
        <v>155</v>
      </c>
      <c r="O57" s="673"/>
      <c r="P57" s="673"/>
      <c r="Q57" s="673"/>
      <c r="R57" s="673"/>
      <c r="S57" s="675"/>
    </row>
    <row r="58" ht="13.5" customHeight="1">
      <c r="A58" s="622">
        <v>49.0</v>
      </c>
      <c r="B58" s="623" t="s">
        <v>165</v>
      </c>
      <c r="C58" s="623" t="s">
        <v>11</v>
      </c>
      <c r="D58" s="624" t="str">
        <f t="shared" si="1"/>
        <v>II</v>
      </c>
      <c r="E58" s="625" t="str">
        <f t="shared" si="2"/>
        <v>FA039.8/II/01</v>
      </c>
      <c r="F58" s="625" t="s">
        <v>1891</v>
      </c>
      <c r="G58" s="626">
        <v>43692.0</v>
      </c>
      <c r="H58" s="627">
        <v>799500.0</v>
      </c>
      <c r="I58" s="627"/>
      <c r="J58" s="676" t="s">
        <v>166</v>
      </c>
      <c r="K58" s="628" t="s">
        <v>95</v>
      </c>
      <c r="L58" s="625" t="s">
        <v>8</v>
      </c>
      <c r="M58" s="629" t="str">
        <f t="shared" si="3"/>
        <v>01</v>
      </c>
      <c r="N58" s="630" t="s">
        <v>155</v>
      </c>
      <c r="O58" s="630"/>
      <c r="P58" s="630"/>
      <c r="Q58" s="630"/>
      <c r="R58" s="630"/>
      <c r="S58" s="631"/>
    </row>
    <row r="59" ht="13.5" customHeight="1">
      <c r="A59" s="622">
        <v>50.0</v>
      </c>
      <c r="B59" s="623" t="s">
        <v>167</v>
      </c>
      <c r="C59" s="623" t="s">
        <v>11</v>
      </c>
      <c r="D59" s="624" t="str">
        <f t="shared" si="1"/>
        <v>II</v>
      </c>
      <c r="E59" s="625" t="str">
        <f t="shared" si="2"/>
        <v>FA039.9/II/01</v>
      </c>
      <c r="F59" s="625" t="s">
        <v>168</v>
      </c>
      <c r="G59" s="626">
        <v>43692.0</v>
      </c>
      <c r="H59" s="627">
        <v>759000.0</v>
      </c>
      <c r="I59" s="627"/>
      <c r="J59" s="677" t="s">
        <v>169</v>
      </c>
      <c r="K59" s="628" t="s">
        <v>170</v>
      </c>
      <c r="L59" s="628" t="s">
        <v>8</v>
      </c>
      <c r="M59" s="629" t="str">
        <f t="shared" si="3"/>
        <v>01</v>
      </c>
      <c r="N59" s="630" t="s">
        <v>155</v>
      </c>
      <c r="O59" s="630"/>
      <c r="P59" s="630"/>
      <c r="Q59" s="630"/>
      <c r="R59" s="630"/>
      <c r="S59" s="631"/>
    </row>
    <row r="60" ht="13.5" customHeight="1">
      <c r="A60" s="622">
        <v>51.0</v>
      </c>
      <c r="B60" s="623" t="s">
        <v>171</v>
      </c>
      <c r="C60" s="623" t="s">
        <v>11</v>
      </c>
      <c r="D60" s="624" t="str">
        <f t="shared" si="1"/>
        <v>II</v>
      </c>
      <c r="E60" s="625" t="str">
        <f t="shared" si="2"/>
        <v>FA040.1/II/01</v>
      </c>
      <c r="F60" s="625" t="s">
        <v>172</v>
      </c>
      <c r="G60" s="626">
        <v>43692.0</v>
      </c>
      <c r="H60" s="627">
        <v>899500.0</v>
      </c>
      <c r="I60" s="627"/>
      <c r="J60" s="677" t="s">
        <v>1887</v>
      </c>
      <c r="K60" s="628" t="s">
        <v>95</v>
      </c>
      <c r="L60" s="625" t="s">
        <v>8</v>
      </c>
      <c r="M60" s="629" t="str">
        <f t="shared" si="3"/>
        <v>01</v>
      </c>
      <c r="N60" s="630" t="s">
        <v>155</v>
      </c>
      <c r="O60" s="630"/>
      <c r="P60" s="630"/>
      <c r="Q60" s="630"/>
      <c r="R60" s="630"/>
      <c r="S60" s="631"/>
    </row>
    <row r="61" ht="13.5" customHeight="1">
      <c r="A61" s="622">
        <v>60.0</v>
      </c>
      <c r="B61" s="623" t="s">
        <v>183</v>
      </c>
      <c r="C61" s="623" t="s">
        <v>11</v>
      </c>
      <c r="D61" s="624" t="str">
        <f t="shared" si="1"/>
        <v>II</v>
      </c>
      <c r="E61" s="625" t="str">
        <f t="shared" si="2"/>
        <v>FA040.10/II/01</v>
      </c>
      <c r="F61" s="625" t="s">
        <v>184</v>
      </c>
      <c r="G61" s="626">
        <v>43692.0</v>
      </c>
      <c r="H61" s="627">
        <v>389000.0</v>
      </c>
      <c r="I61" s="627"/>
      <c r="J61" s="630"/>
      <c r="K61" s="628" t="s">
        <v>95</v>
      </c>
      <c r="L61" s="625" t="s">
        <v>8</v>
      </c>
      <c r="M61" s="629" t="str">
        <f t="shared" si="3"/>
        <v>01</v>
      </c>
      <c r="N61" s="630" t="s">
        <v>155</v>
      </c>
      <c r="O61" s="630"/>
      <c r="P61" s="630"/>
      <c r="Q61" s="630"/>
      <c r="R61" s="630"/>
      <c r="S61" s="631"/>
    </row>
    <row r="62" ht="13.5" customHeight="1">
      <c r="A62" s="622">
        <v>61.0</v>
      </c>
      <c r="B62" s="623" t="s">
        <v>185</v>
      </c>
      <c r="C62" s="623" t="s">
        <v>11</v>
      </c>
      <c r="D62" s="624" t="str">
        <f t="shared" si="1"/>
        <v>II</v>
      </c>
      <c r="E62" s="625" t="str">
        <f t="shared" si="2"/>
        <v>FA040.11/II/01</v>
      </c>
      <c r="F62" s="625" t="s">
        <v>184</v>
      </c>
      <c r="G62" s="626">
        <v>43692.0</v>
      </c>
      <c r="H62" s="627">
        <v>389000.0</v>
      </c>
      <c r="I62" s="627"/>
      <c r="J62" s="630"/>
      <c r="K62" s="628" t="s">
        <v>95</v>
      </c>
      <c r="L62" s="625" t="s">
        <v>8</v>
      </c>
      <c r="M62" s="629" t="str">
        <f t="shared" si="3"/>
        <v>01</v>
      </c>
      <c r="N62" s="630" t="s">
        <v>155</v>
      </c>
      <c r="O62" s="630"/>
      <c r="P62" s="630"/>
      <c r="Q62" s="630"/>
      <c r="R62" s="630"/>
      <c r="S62" s="631"/>
    </row>
    <row r="63" ht="13.5" customHeight="1">
      <c r="A63" s="622">
        <v>62.0</v>
      </c>
      <c r="B63" s="623" t="s">
        <v>186</v>
      </c>
      <c r="C63" s="623" t="s">
        <v>11</v>
      </c>
      <c r="D63" s="624" t="str">
        <f t="shared" si="1"/>
        <v>II</v>
      </c>
      <c r="E63" s="625" t="str">
        <f t="shared" si="2"/>
        <v>FA040.12/II/01</v>
      </c>
      <c r="F63" s="625" t="s">
        <v>184</v>
      </c>
      <c r="G63" s="626">
        <v>43692.0</v>
      </c>
      <c r="H63" s="627">
        <v>389000.0</v>
      </c>
      <c r="I63" s="627"/>
      <c r="J63" s="630"/>
      <c r="K63" s="628" t="s">
        <v>95</v>
      </c>
      <c r="L63" s="625" t="s">
        <v>8</v>
      </c>
      <c r="M63" s="629" t="str">
        <f t="shared" si="3"/>
        <v>01</v>
      </c>
      <c r="N63" s="630" t="s">
        <v>155</v>
      </c>
      <c r="O63" s="630"/>
      <c r="P63" s="630"/>
      <c r="Q63" s="630"/>
      <c r="R63" s="630"/>
      <c r="S63" s="631"/>
    </row>
    <row r="64" ht="13.5" customHeight="1">
      <c r="A64" s="678">
        <v>63.0</v>
      </c>
      <c r="B64" s="623" t="s">
        <v>187</v>
      </c>
      <c r="C64" s="623" t="s">
        <v>11</v>
      </c>
      <c r="D64" s="624" t="str">
        <f t="shared" si="1"/>
        <v>II</v>
      </c>
      <c r="E64" s="625" t="str">
        <f t="shared" si="2"/>
        <v>FA040.13/II/01</v>
      </c>
      <c r="F64" s="625" t="s">
        <v>184</v>
      </c>
      <c r="G64" s="626">
        <v>43692.0</v>
      </c>
      <c r="H64" s="627">
        <v>389000.0</v>
      </c>
      <c r="I64" s="627"/>
      <c r="J64" s="630"/>
      <c r="K64" s="628" t="s">
        <v>95</v>
      </c>
      <c r="L64" s="625" t="s">
        <v>8</v>
      </c>
      <c r="M64" s="629" t="str">
        <f t="shared" si="3"/>
        <v>01</v>
      </c>
      <c r="N64" s="630" t="s">
        <v>155</v>
      </c>
      <c r="O64" s="630"/>
      <c r="P64" s="630"/>
      <c r="Q64" s="630"/>
      <c r="R64" s="630"/>
      <c r="S64" s="631"/>
    </row>
    <row r="65" ht="13.5" customHeight="1">
      <c r="A65" s="678">
        <v>64.0</v>
      </c>
      <c r="B65" s="623" t="s">
        <v>188</v>
      </c>
      <c r="C65" s="623" t="s">
        <v>11</v>
      </c>
      <c r="D65" s="624" t="str">
        <f t="shared" si="1"/>
        <v>II</v>
      </c>
      <c r="E65" s="625" t="str">
        <f t="shared" si="2"/>
        <v>FA040.14/II/01</v>
      </c>
      <c r="F65" s="625" t="s">
        <v>184</v>
      </c>
      <c r="G65" s="626">
        <v>43692.0</v>
      </c>
      <c r="H65" s="627">
        <v>389000.0</v>
      </c>
      <c r="I65" s="627"/>
      <c r="J65" s="630"/>
      <c r="K65" s="628" t="s">
        <v>95</v>
      </c>
      <c r="L65" s="625" t="s">
        <v>8</v>
      </c>
      <c r="M65" s="629" t="str">
        <f t="shared" si="3"/>
        <v>01</v>
      </c>
      <c r="N65" s="630" t="s">
        <v>155</v>
      </c>
      <c r="O65" s="630"/>
      <c r="P65" s="630"/>
      <c r="Q65" s="630"/>
      <c r="R65" s="630"/>
      <c r="S65" s="631"/>
    </row>
    <row r="66" ht="13.5" customHeight="1">
      <c r="A66" s="678">
        <v>65.0</v>
      </c>
      <c r="B66" s="623" t="s">
        <v>189</v>
      </c>
      <c r="C66" s="623" t="s">
        <v>11</v>
      </c>
      <c r="D66" s="624" t="str">
        <f t="shared" si="1"/>
        <v>II</v>
      </c>
      <c r="E66" s="625" t="str">
        <f t="shared" si="2"/>
        <v>FA040.15/II/01</v>
      </c>
      <c r="F66" s="625" t="s">
        <v>184</v>
      </c>
      <c r="G66" s="626">
        <v>43692.0</v>
      </c>
      <c r="H66" s="627">
        <v>389000.0</v>
      </c>
      <c r="I66" s="627"/>
      <c r="J66" s="630"/>
      <c r="K66" s="628" t="s">
        <v>95</v>
      </c>
      <c r="L66" s="625" t="s">
        <v>8</v>
      </c>
      <c r="M66" s="629" t="str">
        <f t="shared" si="3"/>
        <v>01</v>
      </c>
      <c r="N66" s="630" t="s">
        <v>155</v>
      </c>
      <c r="O66" s="630"/>
      <c r="P66" s="630"/>
      <c r="Q66" s="630"/>
      <c r="R66" s="630"/>
      <c r="S66" s="631"/>
    </row>
    <row r="67" ht="13.5" customHeight="1">
      <c r="A67" s="678">
        <v>66.0</v>
      </c>
      <c r="B67" s="623" t="s">
        <v>190</v>
      </c>
      <c r="C67" s="623" t="s">
        <v>11</v>
      </c>
      <c r="D67" s="624" t="str">
        <f t="shared" si="1"/>
        <v>II</v>
      </c>
      <c r="E67" s="625" t="str">
        <f t="shared" si="2"/>
        <v>FA040.16/II/01</v>
      </c>
      <c r="F67" s="625" t="s">
        <v>79</v>
      </c>
      <c r="G67" s="626">
        <v>43692.0</v>
      </c>
      <c r="H67" s="627">
        <v>999000.0</v>
      </c>
      <c r="I67" s="627"/>
      <c r="J67" s="628" t="s">
        <v>97</v>
      </c>
      <c r="K67" s="628" t="s">
        <v>51</v>
      </c>
      <c r="L67" s="628" t="s">
        <v>8</v>
      </c>
      <c r="M67" s="629" t="str">
        <f t="shared" si="3"/>
        <v>01</v>
      </c>
      <c r="N67" s="630" t="s">
        <v>155</v>
      </c>
      <c r="O67" s="630"/>
      <c r="P67" s="630"/>
      <c r="Q67" s="630"/>
      <c r="R67" s="630"/>
      <c r="S67" s="631"/>
    </row>
    <row r="68" ht="13.5" customHeight="1">
      <c r="A68" s="622">
        <v>67.0</v>
      </c>
      <c r="B68" s="623" t="s">
        <v>191</v>
      </c>
      <c r="C68" s="623" t="s">
        <v>11</v>
      </c>
      <c r="D68" s="624" t="str">
        <f t="shared" si="1"/>
        <v>II</v>
      </c>
      <c r="E68" s="625" t="str">
        <f t="shared" si="2"/>
        <v>FA040.17/II/01</v>
      </c>
      <c r="F68" s="625" t="s">
        <v>79</v>
      </c>
      <c r="G68" s="626">
        <v>43692.0</v>
      </c>
      <c r="H68" s="627">
        <v>999000.0</v>
      </c>
      <c r="I68" s="627"/>
      <c r="J68" s="628" t="s">
        <v>1895</v>
      </c>
      <c r="K68" s="628" t="s">
        <v>108</v>
      </c>
      <c r="L68" s="628" t="s">
        <v>8</v>
      </c>
      <c r="M68" s="629" t="str">
        <f t="shared" si="3"/>
        <v>01</v>
      </c>
      <c r="N68" s="630" t="s">
        <v>155</v>
      </c>
      <c r="O68" s="630"/>
      <c r="P68" s="630"/>
      <c r="Q68" s="630"/>
      <c r="R68" s="630"/>
      <c r="S68" s="631"/>
    </row>
    <row r="69" ht="13.5" customHeight="1">
      <c r="A69" s="622">
        <v>68.0</v>
      </c>
      <c r="B69" s="623" t="s">
        <v>192</v>
      </c>
      <c r="C69" s="623" t="s">
        <v>11</v>
      </c>
      <c r="D69" s="624" t="str">
        <f t="shared" si="1"/>
        <v>II</v>
      </c>
      <c r="E69" s="625" t="str">
        <f t="shared" si="2"/>
        <v>FA040.18/II/01</v>
      </c>
      <c r="F69" s="625" t="s">
        <v>79</v>
      </c>
      <c r="G69" s="626">
        <v>43692.0</v>
      </c>
      <c r="H69" s="627">
        <v>999000.0</v>
      </c>
      <c r="I69" s="627"/>
      <c r="J69" s="628" t="s">
        <v>1893</v>
      </c>
      <c r="K69" s="628" t="s">
        <v>158</v>
      </c>
      <c r="L69" s="628" t="s">
        <v>8</v>
      </c>
      <c r="M69" s="629" t="str">
        <f t="shared" si="3"/>
        <v>01</v>
      </c>
      <c r="N69" s="630" t="s">
        <v>155</v>
      </c>
      <c r="O69" s="630"/>
      <c r="P69" s="630"/>
      <c r="Q69" s="630"/>
      <c r="R69" s="630"/>
      <c r="S69" s="631"/>
    </row>
    <row r="70" ht="13.5" customHeight="1">
      <c r="A70" s="622">
        <v>69.0</v>
      </c>
      <c r="B70" s="623" t="s">
        <v>193</v>
      </c>
      <c r="C70" s="623" t="s">
        <v>11</v>
      </c>
      <c r="D70" s="624" t="str">
        <f t="shared" si="1"/>
        <v>II</v>
      </c>
      <c r="E70" s="625" t="str">
        <f t="shared" si="2"/>
        <v>FA040.19/II/01</v>
      </c>
      <c r="F70" s="625" t="s">
        <v>79</v>
      </c>
      <c r="G70" s="626">
        <v>43692.0</v>
      </c>
      <c r="H70" s="627">
        <v>999000.0</v>
      </c>
      <c r="I70" s="627"/>
      <c r="J70" s="628" t="s">
        <v>175</v>
      </c>
      <c r="K70" s="628" t="s">
        <v>108</v>
      </c>
      <c r="L70" s="628" t="s">
        <v>8</v>
      </c>
      <c r="M70" s="629" t="str">
        <f t="shared" si="3"/>
        <v>01</v>
      </c>
      <c r="N70" s="630" t="s">
        <v>155</v>
      </c>
      <c r="O70" s="630"/>
      <c r="P70" s="630"/>
      <c r="Q70" s="630"/>
      <c r="R70" s="630"/>
      <c r="S70" s="631"/>
    </row>
    <row r="71" ht="13.5" customHeight="1">
      <c r="A71" s="622">
        <v>52.0</v>
      </c>
      <c r="B71" s="623" t="s">
        <v>173</v>
      </c>
      <c r="C71" s="623" t="s">
        <v>11</v>
      </c>
      <c r="D71" s="624" t="str">
        <f t="shared" si="1"/>
        <v>II</v>
      </c>
      <c r="E71" s="625" t="str">
        <f t="shared" si="2"/>
        <v>FA040.2/II/01</v>
      </c>
      <c r="F71" s="625" t="s">
        <v>172</v>
      </c>
      <c r="G71" s="626">
        <v>43692.0</v>
      </c>
      <c r="H71" s="627">
        <v>899500.0</v>
      </c>
      <c r="I71" s="627"/>
      <c r="J71" s="677" t="s">
        <v>169</v>
      </c>
      <c r="K71" s="628" t="s">
        <v>170</v>
      </c>
      <c r="L71" s="625" t="s">
        <v>8</v>
      </c>
      <c r="M71" s="629" t="str">
        <f t="shared" si="3"/>
        <v>01</v>
      </c>
      <c r="N71" s="630" t="s">
        <v>155</v>
      </c>
      <c r="O71" s="630"/>
      <c r="P71" s="630"/>
      <c r="Q71" s="630"/>
      <c r="R71" s="630"/>
      <c r="S71" s="631"/>
    </row>
    <row r="72" ht="13.5" customHeight="1">
      <c r="A72" s="622">
        <v>70.0</v>
      </c>
      <c r="B72" s="623" t="s">
        <v>194</v>
      </c>
      <c r="C72" s="623" t="s">
        <v>11</v>
      </c>
      <c r="D72" s="624" t="str">
        <f t="shared" si="1"/>
        <v>II</v>
      </c>
      <c r="E72" s="625" t="str">
        <f t="shared" si="2"/>
        <v>FA040.20/II/01</v>
      </c>
      <c r="F72" s="625" t="s">
        <v>79</v>
      </c>
      <c r="G72" s="626">
        <v>43692.0</v>
      </c>
      <c r="H72" s="627">
        <v>999000.0</v>
      </c>
      <c r="I72" s="627"/>
      <c r="J72" s="628" t="s">
        <v>195</v>
      </c>
      <c r="K72" s="628" t="s">
        <v>108</v>
      </c>
      <c r="L72" s="628" t="s">
        <v>8</v>
      </c>
      <c r="M72" s="629" t="str">
        <f t="shared" si="3"/>
        <v>01</v>
      </c>
      <c r="N72" s="630" t="s">
        <v>155</v>
      </c>
      <c r="O72" s="630"/>
      <c r="P72" s="630"/>
      <c r="Q72" s="630"/>
      <c r="R72" s="630"/>
      <c r="S72" s="631"/>
    </row>
    <row r="73" ht="13.5" customHeight="1">
      <c r="A73" s="622">
        <v>71.0</v>
      </c>
      <c r="B73" s="623" t="s">
        <v>196</v>
      </c>
      <c r="C73" s="623" t="s">
        <v>11</v>
      </c>
      <c r="D73" s="624" t="str">
        <f t="shared" si="1"/>
        <v>II</v>
      </c>
      <c r="E73" s="625" t="str">
        <f t="shared" si="2"/>
        <v>FA040.21/II/01</v>
      </c>
      <c r="F73" s="625" t="s">
        <v>79</v>
      </c>
      <c r="G73" s="626">
        <v>43692.0</v>
      </c>
      <c r="H73" s="627">
        <v>999000.0</v>
      </c>
      <c r="I73" s="627"/>
      <c r="J73" s="628" t="s">
        <v>1896</v>
      </c>
      <c r="K73" s="628" t="s">
        <v>51</v>
      </c>
      <c r="L73" s="628" t="s">
        <v>8</v>
      </c>
      <c r="M73" s="629" t="str">
        <f t="shared" si="3"/>
        <v>01</v>
      </c>
      <c r="N73" s="630" t="s">
        <v>155</v>
      </c>
      <c r="O73" s="630"/>
      <c r="P73" s="630"/>
      <c r="Q73" s="630"/>
      <c r="R73" s="630"/>
      <c r="S73" s="631"/>
    </row>
    <row r="74" ht="13.5" customHeight="1">
      <c r="A74" s="622">
        <v>72.0</v>
      </c>
      <c r="B74" s="623" t="s">
        <v>197</v>
      </c>
      <c r="C74" s="623" t="s">
        <v>11</v>
      </c>
      <c r="D74" s="624" t="str">
        <f t="shared" si="1"/>
        <v>II</v>
      </c>
      <c r="E74" s="625" t="str">
        <f t="shared" si="2"/>
        <v>FA040.22/II/01</v>
      </c>
      <c r="F74" s="625" t="s">
        <v>79</v>
      </c>
      <c r="G74" s="626">
        <v>43692.0</v>
      </c>
      <c r="H74" s="627">
        <v>999000.0</v>
      </c>
      <c r="I74" s="627"/>
      <c r="J74" s="628" t="s">
        <v>198</v>
      </c>
      <c r="K74" s="628" t="s">
        <v>158</v>
      </c>
      <c r="L74" s="628" t="s">
        <v>8</v>
      </c>
      <c r="M74" s="629" t="str">
        <f t="shared" si="3"/>
        <v>01</v>
      </c>
      <c r="N74" s="630" t="s">
        <v>155</v>
      </c>
      <c r="O74" s="630"/>
      <c r="P74" s="630"/>
      <c r="Q74" s="630"/>
      <c r="R74" s="630"/>
      <c r="S74" s="631"/>
    </row>
    <row r="75" ht="13.5" customHeight="1">
      <c r="A75" s="679">
        <v>73.0</v>
      </c>
      <c r="B75" s="592" t="s">
        <v>199</v>
      </c>
      <c r="C75" s="592" t="s">
        <v>11</v>
      </c>
      <c r="D75" s="593" t="str">
        <f t="shared" si="1"/>
        <v>II</v>
      </c>
      <c r="E75" s="594" t="str">
        <f t="shared" si="2"/>
        <v>FA040.23/II/01</v>
      </c>
      <c r="F75" s="594" t="s">
        <v>200</v>
      </c>
      <c r="G75" s="595">
        <v>43692.0</v>
      </c>
      <c r="H75" s="596">
        <v>1942000.0</v>
      </c>
      <c r="I75" s="596"/>
      <c r="J75" s="598"/>
      <c r="K75" s="598"/>
      <c r="L75" s="599" t="s">
        <v>8</v>
      </c>
      <c r="M75" s="600" t="str">
        <f t="shared" si="3"/>
        <v>01</v>
      </c>
      <c r="N75" s="598"/>
      <c r="O75" s="598"/>
      <c r="P75" s="598"/>
      <c r="Q75" s="598"/>
      <c r="R75" s="598"/>
      <c r="S75" s="601"/>
    </row>
    <row r="76" ht="13.5" customHeight="1">
      <c r="A76" s="679">
        <v>74.0</v>
      </c>
      <c r="B76" s="592" t="s">
        <v>201</v>
      </c>
      <c r="C76" s="592" t="s">
        <v>11</v>
      </c>
      <c r="D76" s="593" t="str">
        <f t="shared" si="1"/>
        <v>II</v>
      </c>
      <c r="E76" s="594" t="str">
        <f t="shared" si="2"/>
        <v>FA040.24/II/01</v>
      </c>
      <c r="F76" s="594" t="s">
        <v>202</v>
      </c>
      <c r="G76" s="595">
        <v>43692.0</v>
      </c>
      <c r="H76" s="596">
        <v>771000.0</v>
      </c>
      <c r="I76" s="597"/>
      <c r="J76" s="598"/>
      <c r="K76" s="598"/>
      <c r="L76" s="599" t="s">
        <v>8</v>
      </c>
      <c r="M76" s="600" t="str">
        <f t="shared" si="3"/>
        <v>01</v>
      </c>
      <c r="N76" s="598"/>
      <c r="O76" s="598"/>
      <c r="P76" s="598"/>
      <c r="Q76" s="598"/>
      <c r="R76" s="598" t="s">
        <v>5</v>
      </c>
      <c r="S76" s="601"/>
    </row>
    <row r="77" ht="13.5" customHeight="1">
      <c r="A77" s="679">
        <v>75.0</v>
      </c>
      <c r="B77" s="592" t="s">
        <v>203</v>
      </c>
      <c r="C77" s="592" t="s">
        <v>11</v>
      </c>
      <c r="D77" s="593" t="str">
        <f t="shared" si="1"/>
        <v>II</v>
      </c>
      <c r="E77" s="594" t="str">
        <f t="shared" si="2"/>
        <v>FA040.25/II/01</v>
      </c>
      <c r="F77" s="594" t="s">
        <v>204</v>
      </c>
      <c r="G77" s="595">
        <v>43692.0</v>
      </c>
      <c r="H77" s="596">
        <v>1286000.0</v>
      </c>
      <c r="I77" s="597"/>
      <c r="J77" s="598"/>
      <c r="K77" s="598"/>
      <c r="L77" s="599" t="s">
        <v>8</v>
      </c>
      <c r="M77" s="600" t="str">
        <f t="shared" si="3"/>
        <v>01</v>
      </c>
      <c r="N77" s="598"/>
      <c r="O77" s="598"/>
      <c r="P77" s="598"/>
      <c r="Q77" s="598"/>
      <c r="R77" s="598" t="s">
        <v>5</v>
      </c>
      <c r="S77" s="601"/>
    </row>
    <row r="78" ht="13.5" customHeight="1">
      <c r="A78" s="622">
        <v>76.0</v>
      </c>
      <c r="B78" s="623" t="s">
        <v>205</v>
      </c>
      <c r="C78" s="623" t="s">
        <v>11</v>
      </c>
      <c r="D78" s="624" t="str">
        <f t="shared" si="1"/>
        <v>II</v>
      </c>
      <c r="E78" s="625" t="str">
        <f t="shared" si="2"/>
        <v>FA040.26/II/01</v>
      </c>
      <c r="F78" s="625" t="s">
        <v>206</v>
      </c>
      <c r="G78" s="626">
        <v>43692.0</v>
      </c>
      <c r="H78" s="627">
        <v>1016000.0</v>
      </c>
      <c r="I78" s="627"/>
      <c r="J78" s="628" t="s">
        <v>207</v>
      </c>
      <c r="K78" s="628" t="s">
        <v>170</v>
      </c>
      <c r="L78" s="628" t="s">
        <v>8</v>
      </c>
      <c r="M78" s="629" t="str">
        <f t="shared" si="3"/>
        <v>01</v>
      </c>
      <c r="N78" s="630"/>
      <c r="O78" s="630"/>
      <c r="P78" s="630"/>
      <c r="Q78" s="630"/>
      <c r="R78" s="630"/>
      <c r="S78" s="631"/>
    </row>
    <row r="79" ht="13.5" customHeight="1">
      <c r="A79" s="622">
        <v>77.0</v>
      </c>
      <c r="B79" s="623" t="s">
        <v>208</v>
      </c>
      <c r="C79" s="623" t="s">
        <v>11</v>
      </c>
      <c r="D79" s="624" t="str">
        <f t="shared" si="1"/>
        <v>II</v>
      </c>
      <c r="E79" s="625" t="str">
        <f t="shared" si="2"/>
        <v>FA040.27/II/01</v>
      </c>
      <c r="F79" s="625" t="s">
        <v>209</v>
      </c>
      <c r="G79" s="626">
        <v>43692.0</v>
      </c>
      <c r="H79" s="627">
        <v>883000.0</v>
      </c>
      <c r="I79" s="627"/>
      <c r="J79" s="628" t="s">
        <v>207</v>
      </c>
      <c r="K79" s="628" t="s">
        <v>170</v>
      </c>
      <c r="L79" s="628" t="s">
        <v>8</v>
      </c>
      <c r="M79" s="629" t="str">
        <f t="shared" si="3"/>
        <v>01</v>
      </c>
      <c r="N79" s="630"/>
      <c r="O79" s="630"/>
      <c r="P79" s="630"/>
      <c r="Q79" s="630"/>
      <c r="R79" s="630"/>
      <c r="S79" s="631"/>
    </row>
    <row r="80" ht="13.5" customHeight="1">
      <c r="A80" s="622">
        <v>78.0</v>
      </c>
      <c r="B80" s="623" t="s">
        <v>210</v>
      </c>
      <c r="C80" s="623" t="s">
        <v>11</v>
      </c>
      <c r="D80" s="624" t="str">
        <f t="shared" si="1"/>
        <v>II</v>
      </c>
      <c r="E80" s="625" t="str">
        <f t="shared" si="2"/>
        <v>FA040.28/II/01</v>
      </c>
      <c r="F80" s="625" t="s">
        <v>211</v>
      </c>
      <c r="G80" s="626">
        <v>43692.0</v>
      </c>
      <c r="H80" s="627">
        <v>800000.0</v>
      </c>
      <c r="I80" s="627"/>
      <c r="J80" s="628" t="s">
        <v>207</v>
      </c>
      <c r="K80" s="628" t="s">
        <v>170</v>
      </c>
      <c r="L80" s="628" t="s">
        <v>8</v>
      </c>
      <c r="M80" s="629" t="str">
        <f t="shared" si="3"/>
        <v>01</v>
      </c>
      <c r="N80" s="630"/>
      <c r="O80" s="630"/>
      <c r="P80" s="630"/>
      <c r="Q80" s="630"/>
      <c r="R80" s="630"/>
      <c r="S80" s="631"/>
    </row>
    <row r="81" ht="13.5" customHeight="1">
      <c r="A81" s="622">
        <v>79.0</v>
      </c>
      <c r="B81" s="623" t="s">
        <v>212</v>
      </c>
      <c r="C81" s="623" t="s">
        <v>11</v>
      </c>
      <c r="D81" s="624" t="str">
        <f t="shared" si="1"/>
        <v>II</v>
      </c>
      <c r="E81" s="625" t="str">
        <f t="shared" si="2"/>
        <v>FA040.29/II/01</v>
      </c>
      <c r="F81" s="625" t="s">
        <v>213</v>
      </c>
      <c r="G81" s="626">
        <v>43692.0</v>
      </c>
      <c r="H81" s="627">
        <v>2099000.0</v>
      </c>
      <c r="I81" s="627"/>
      <c r="J81" s="628"/>
      <c r="K81" s="628" t="s">
        <v>51</v>
      </c>
      <c r="L81" s="628" t="s">
        <v>8</v>
      </c>
      <c r="M81" s="629" t="str">
        <f t="shared" si="3"/>
        <v>01</v>
      </c>
      <c r="N81" s="630"/>
      <c r="O81" s="630"/>
      <c r="P81" s="630"/>
      <c r="Q81" s="630"/>
      <c r="R81" s="630"/>
      <c r="S81" s="631"/>
    </row>
    <row r="82" ht="13.5" customHeight="1">
      <c r="A82" s="622">
        <v>53.0</v>
      </c>
      <c r="B82" s="623" t="s">
        <v>174</v>
      </c>
      <c r="C82" s="623" t="s">
        <v>11</v>
      </c>
      <c r="D82" s="624" t="str">
        <f t="shared" si="1"/>
        <v>II</v>
      </c>
      <c r="E82" s="625" t="str">
        <f t="shared" si="2"/>
        <v>FA040.3/II/01</v>
      </c>
      <c r="F82" s="625" t="s">
        <v>172</v>
      </c>
      <c r="G82" s="626">
        <v>43692.0</v>
      </c>
      <c r="H82" s="627">
        <v>899500.0</v>
      </c>
      <c r="I82" s="627"/>
      <c r="J82" s="628" t="s">
        <v>175</v>
      </c>
      <c r="K82" s="628" t="s">
        <v>108</v>
      </c>
      <c r="L82" s="625" t="s">
        <v>8</v>
      </c>
      <c r="M82" s="629" t="str">
        <f t="shared" si="3"/>
        <v>01</v>
      </c>
      <c r="N82" s="630" t="s">
        <v>155</v>
      </c>
      <c r="O82" s="630"/>
      <c r="P82" s="630"/>
      <c r="Q82" s="630"/>
      <c r="R82" s="630"/>
      <c r="S82" s="631"/>
    </row>
    <row r="83" ht="12.75" customHeight="1">
      <c r="A83" s="591">
        <v>80.0</v>
      </c>
      <c r="B83" s="592" t="s">
        <v>214</v>
      </c>
      <c r="C83" s="592" t="s">
        <v>11</v>
      </c>
      <c r="D83" s="593" t="str">
        <f t="shared" si="1"/>
        <v>II</v>
      </c>
      <c r="E83" s="594" t="str">
        <f t="shared" si="2"/>
        <v>FA040.30/II/01</v>
      </c>
      <c r="F83" s="594" t="s">
        <v>215</v>
      </c>
      <c r="G83" s="595">
        <v>43692.0</v>
      </c>
      <c r="H83" s="596">
        <v>1600000.0</v>
      </c>
      <c r="I83" s="597"/>
      <c r="J83" s="598"/>
      <c r="K83" s="598"/>
      <c r="L83" s="599" t="s">
        <v>8</v>
      </c>
      <c r="M83" s="600" t="str">
        <f t="shared" si="3"/>
        <v>01</v>
      </c>
      <c r="N83" s="598"/>
      <c r="O83" s="598"/>
      <c r="P83" s="598"/>
      <c r="Q83" s="598"/>
      <c r="R83" s="598" t="s">
        <v>5</v>
      </c>
      <c r="S83" s="601"/>
    </row>
    <row r="84" ht="13.5" customHeight="1">
      <c r="A84" s="591">
        <v>81.0</v>
      </c>
      <c r="B84" s="592" t="s">
        <v>216</v>
      </c>
      <c r="C84" s="592" t="s">
        <v>11</v>
      </c>
      <c r="D84" s="593" t="str">
        <f t="shared" si="1"/>
        <v>II</v>
      </c>
      <c r="E84" s="594" t="str">
        <f t="shared" si="2"/>
        <v>FA040.31/II/01</v>
      </c>
      <c r="F84" s="594" t="s">
        <v>217</v>
      </c>
      <c r="G84" s="595">
        <v>43692.0</v>
      </c>
      <c r="H84" s="596">
        <v>900000.0</v>
      </c>
      <c r="I84" s="597"/>
      <c r="J84" s="598"/>
      <c r="K84" s="598"/>
      <c r="L84" s="599" t="s">
        <v>8</v>
      </c>
      <c r="M84" s="600" t="str">
        <f t="shared" si="3"/>
        <v>01</v>
      </c>
      <c r="N84" s="598"/>
      <c r="O84" s="598"/>
      <c r="P84" s="598"/>
      <c r="Q84" s="598"/>
      <c r="R84" s="598" t="s">
        <v>5</v>
      </c>
      <c r="S84" s="601"/>
    </row>
    <row r="85" ht="13.5" customHeight="1">
      <c r="A85" s="622">
        <v>54.0</v>
      </c>
      <c r="B85" s="623" t="s">
        <v>176</v>
      </c>
      <c r="C85" s="623" t="s">
        <v>11</v>
      </c>
      <c r="D85" s="624" t="str">
        <f t="shared" si="1"/>
        <v>II</v>
      </c>
      <c r="E85" s="625" t="str">
        <f t="shared" si="2"/>
        <v>FA040.4/II/01</v>
      </c>
      <c r="F85" s="625" t="s">
        <v>172</v>
      </c>
      <c r="G85" s="626">
        <v>43692.0</v>
      </c>
      <c r="H85" s="627">
        <v>899500.0</v>
      </c>
      <c r="I85" s="627"/>
      <c r="J85" s="628" t="s">
        <v>1897</v>
      </c>
      <c r="K85" s="628" t="s">
        <v>1898</v>
      </c>
      <c r="L85" s="625" t="s">
        <v>8</v>
      </c>
      <c r="M85" s="629" t="str">
        <f t="shared" si="3"/>
        <v>01</v>
      </c>
      <c r="N85" s="630" t="s">
        <v>155</v>
      </c>
      <c r="O85" s="630"/>
      <c r="P85" s="630"/>
      <c r="Q85" s="630"/>
      <c r="R85" s="630"/>
      <c r="S85" s="631"/>
    </row>
    <row r="86" ht="13.5" customHeight="1">
      <c r="A86" s="663">
        <v>55.0</v>
      </c>
      <c r="B86" s="612" t="s">
        <v>177</v>
      </c>
      <c r="C86" s="612" t="s">
        <v>11</v>
      </c>
      <c r="D86" s="613" t="str">
        <f t="shared" si="1"/>
        <v>II</v>
      </c>
      <c r="E86" s="614" t="str">
        <f t="shared" si="2"/>
        <v>FA040.5/II/01</v>
      </c>
      <c r="F86" s="614" t="s">
        <v>172</v>
      </c>
      <c r="G86" s="615">
        <v>43692.0</v>
      </c>
      <c r="H86" s="616">
        <v>899500.0</v>
      </c>
      <c r="I86" s="617"/>
      <c r="J86" s="618"/>
      <c r="K86" s="618"/>
      <c r="L86" s="614" t="s">
        <v>8</v>
      </c>
      <c r="M86" s="620" t="str">
        <f t="shared" si="3"/>
        <v>01</v>
      </c>
      <c r="N86" s="618" t="s">
        <v>155</v>
      </c>
      <c r="O86" s="618"/>
      <c r="P86" s="618"/>
      <c r="Q86" s="618"/>
      <c r="R86" s="618" t="s">
        <v>10</v>
      </c>
      <c r="S86" s="621"/>
    </row>
    <row r="87" ht="13.5" customHeight="1">
      <c r="A87" s="663">
        <v>56.0</v>
      </c>
      <c r="B87" s="612" t="s">
        <v>178</v>
      </c>
      <c r="C87" s="612" t="s">
        <v>11</v>
      </c>
      <c r="D87" s="613" t="str">
        <f t="shared" si="1"/>
        <v>II</v>
      </c>
      <c r="E87" s="614" t="str">
        <f t="shared" si="2"/>
        <v>FA040.6/II/01</v>
      </c>
      <c r="F87" s="614" t="s">
        <v>172</v>
      </c>
      <c r="G87" s="615">
        <v>43692.0</v>
      </c>
      <c r="H87" s="616">
        <v>899500.0</v>
      </c>
      <c r="I87" s="617"/>
      <c r="J87" s="618"/>
      <c r="K87" s="618"/>
      <c r="L87" s="614" t="s">
        <v>8</v>
      </c>
      <c r="M87" s="620" t="str">
        <f t="shared" si="3"/>
        <v>01</v>
      </c>
      <c r="N87" s="618" t="s">
        <v>155</v>
      </c>
      <c r="O87" s="618"/>
      <c r="P87" s="618"/>
      <c r="Q87" s="618"/>
      <c r="R87" s="618" t="s">
        <v>10</v>
      </c>
      <c r="S87" s="621"/>
    </row>
    <row r="88" ht="13.5" customHeight="1">
      <c r="A88" s="663">
        <v>57.0</v>
      </c>
      <c r="B88" s="612" t="s">
        <v>179</v>
      </c>
      <c r="C88" s="612" t="s">
        <v>11</v>
      </c>
      <c r="D88" s="613" t="str">
        <f t="shared" si="1"/>
        <v>II</v>
      </c>
      <c r="E88" s="614" t="str">
        <f t="shared" si="2"/>
        <v>FA040.7/II/01</v>
      </c>
      <c r="F88" s="614" t="s">
        <v>172</v>
      </c>
      <c r="G88" s="615">
        <v>43692.0</v>
      </c>
      <c r="H88" s="616">
        <v>899500.0</v>
      </c>
      <c r="I88" s="617"/>
      <c r="J88" s="618"/>
      <c r="K88" s="618"/>
      <c r="L88" s="614" t="s">
        <v>8</v>
      </c>
      <c r="M88" s="620" t="str">
        <f t="shared" si="3"/>
        <v>01</v>
      </c>
      <c r="N88" s="618" t="s">
        <v>155</v>
      </c>
      <c r="O88" s="618"/>
      <c r="P88" s="618"/>
      <c r="Q88" s="618"/>
      <c r="R88" s="618" t="s">
        <v>10</v>
      </c>
      <c r="S88" s="621"/>
    </row>
    <row r="89" ht="13.5" customHeight="1">
      <c r="A89" s="611">
        <v>58.0</v>
      </c>
      <c r="B89" s="612" t="s">
        <v>180</v>
      </c>
      <c r="C89" s="612" t="s">
        <v>11</v>
      </c>
      <c r="D89" s="613" t="str">
        <f t="shared" si="1"/>
        <v>II</v>
      </c>
      <c r="E89" s="614" t="str">
        <f t="shared" si="2"/>
        <v>FA040.8/II/01</v>
      </c>
      <c r="F89" s="614" t="s">
        <v>172</v>
      </c>
      <c r="G89" s="615">
        <v>43692.0</v>
      </c>
      <c r="H89" s="616">
        <v>899500.0</v>
      </c>
      <c r="I89" s="617"/>
      <c r="J89" s="618"/>
      <c r="K89" s="618"/>
      <c r="L89" s="614" t="s">
        <v>8</v>
      </c>
      <c r="M89" s="620" t="str">
        <f t="shared" si="3"/>
        <v>01</v>
      </c>
      <c r="N89" s="618" t="s">
        <v>155</v>
      </c>
      <c r="O89" s="618"/>
      <c r="P89" s="618"/>
      <c r="Q89" s="618"/>
      <c r="R89" s="618" t="s">
        <v>10</v>
      </c>
      <c r="S89" s="621"/>
    </row>
    <row r="90" ht="13.5" customHeight="1">
      <c r="A90" s="678">
        <v>59.0</v>
      </c>
      <c r="B90" s="623" t="s">
        <v>181</v>
      </c>
      <c r="C90" s="623" t="s">
        <v>11</v>
      </c>
      <c r="D90" s="624" t="str">
        <f t="shared" si="1"/>
        <v>II</v>
      </c>
      <c r="E90" s="625" t="str">
        <f t="shared" si="2"/>
        <v>FA040.9/II/01</v>
      </c>
      <c r="F90" s="625" t="s">
        <v>182</v>
      </c>
      <c r="G90" s="626">
        <v>43692.0</v>
      </c>
      <c r="H90" s="627">
        <v>2999000.0</v>
      </c>
      <c r="I90" s="627"/>
      <c r="J90" s="630"/>
      <c r="K90" s="628" t="s">
        <v>95</v>
      </c>
      <c r="L90" s="625" t="s">
        <v>8</v>
      </c>
      <c r="M90" s="629" t="str">
        <f t="shared" si="3"/>
        <v>01</v>
      </c>
      <c r="N90" s="630"/>
      <c r="O90" s="630"/>
      <c r="P90" s="630"/>
      <c r="Q90" s="630"/>
      <c r="R90" s="630"/>
      <c r="S90" s="631"/>
    </row>
    <row r="91" ht="13.5" customHeight="1">
      <c r="A91" s="622">
        <v>82.0</v>
      </c>
      <c r="B91" s="623" t="s">
        <v>218</v>
      </c>
      <c r="C91" s="623" t="s">
        <v>6</v>
      </c>
      <c r="D91" s="624" t="str">
        <f t="shared" si="1"/>
        <v>I</v>
      </c>
      <c r="E91" s="625" t="str">
        <f t="shared" si="2"/>
        <v>FA041/I/01</v>
      </c>
      <c r="F91" s="625" t="s">
        <v>219</v>
      </c>
      <c r="G91" s="626">
        <v>43313.0</v>
      </c>
      <c r="H91" s="627">
        <v>1250000.0</v>
      </c>
      <c r="I91" s="627"/>
      <c r="J91" s="630"/>
      <c r="K91" s="628" t="s">
        <v>95</v>
      </c>
      <c r="L91" s="628" t="s">
        <v>8</v>
      </c>
      <c r="M91" s="629" t="str">
        <f t="shared" si="3"/>
        <v>01</v>
      </c>
      <c r="N91" s="630"/>
      <c r="O91" s="630"/>
      <c r="P91" s="630"/>
      <c r="Q91" s="630"/>
      <c r="R91" s="630"/>
      <c r="S91" s="631"/>
    </row>
    <row r="92" ht="13.5" customHeight="1">
      <c r="A92" s="611">
        <v>83.0</v>
      </c>
      <c r="B92" s="612" t="s">
        <v>220</v>
      </c>
      <c r="C92" s="612" t="s">
        <v>6</v>
      </c>
      <c r="D92" s="613" t="str">
        <f t="shared" si="1"/>
        <v>I</v>
      </c>
      <c r="E92" s="614" t="str">
        <f t="shared" si="2"/>
        <v>FA042/I/01</v>
      </c>
      <c r="F92" s="614" t="s">
        <v>221</v>
      </c>
      <c r="G92" s="615">
        <v>43678.0</v>
      </c>
      <c r="H92" s="616">
        <v>290000.0</v>
      </c>
      <c r="I92" s="617"/>
      <c r="J92" s="618"/>
      <c r="K92" s="618"/>
      <c r="L92" s="619" t="s">
        <v>8</v>
      </c>
      <c r="M92" s="620" t="str">
        <f t="shared" si="3"/>
        <v>01</v>
      </c>
      <c r="N92" s="618"/>
      <c r="O92" s="618"/>
      <c r="P92" s="618"/>
      <c r="Q92" s="618"/>
      <c r="R92" s="618" t="s">
        <v>10</v>
      </c>
      <c r="S92" s="621"/>
    </row>
    <row r="93" ht="13.5" customHeight="1">
      <c r="A93" s="663">
        <v>84.0</v>
      </c>
      <c r="B93" s="612" t="s">
        <v>223</v>
      </c>
      <c r="C93" s="612" t="s">
        <v>6</v>
      </c>
      <c r="D93" s="613" t="str">
        <f t="shared" si="1"/>
        <v>I</v>
      </c>
      <c r="E93" s="614" t="str">
        <f t="shared" si="2"/>
        <v>FA043/I/02</v>
      </c>
      <c r="F93" s="614" t="s">
        <v>224</v>
      </c>
      <c r="G93" s="615">
        <v>43711.0</v>
      </c>
      <c r="H93" s="616">
        <v>3270000.0</v>
      </c>
      <c r="I93" s="616"/>
      <c r="J93" s="618"/>
      <c r="K93" s="619"/>
      <c r="L93" s="619" t="s">
        <v>13</v>
      </c>
      <c r="M93" s="620" t="str">
        <f t="shared" si="3"/>
        <v>02</v>
      </c>
      <c r="N93" s="618"/>
      <c r="O93" s="618"/>
      <c r="P93" s="618"/>
      <c r="Q93" s="618"/>
      <c r="R93" s="619" t="s">
        <v>10</v>
      </c>
      <c r="S93" s="621"/>
    </row>
    <row r="94" ht="13.5" customHeight="1">
      <c r="A94" s="602">
        <v>85.0</v>
      </c>
      <c r="B94" s="603" t="s">
        <v>225</v>
      </c>
      <c r="C94" s="603" t="s">
        <v>6</v>
      </c>
      <c r="D94" s="604" t="str">
        <f t="shared" si="1"/>
        <v>I</v>
      </c>
      <c r="E94" s="605" t="str">
        <f t="shared" si="2"/>
        <v>FA044/I/01</v>
      </c>
      <c r="F94" s="605" t="s">
        <v>226</v>
      </c>
      <c r="G94" s="606">
        <v>43711.0</v>
      </c>
      <c r="H94" s="607">
        <v>565000.0</v>
      </c>
      <c r="I94" s="607"/>
      <c r="J94" s="401" t="s">
        <v>169</v>
      </c>
      <c r="K94" s="401" t="s">
        <v>170</v>
      </c>
      <c r="L94" s="608" t="s">
        <v>8</v>
      </c>
      <c r="M94" s="609" t="str">
        <f t="shared" si="3"/>
        <v>01</v>
      </c>
      <c r="N94" s="608" t="s">
        <v>71</v>
      </c>
      <c r="O94" s="608"/>
      <c r="P94" s="608"/>
      <c r="Q94" s="401" t="s">
        <v>227</v>
      </c>
      <c r="R94" s="608"/>
      <c r="S94" s="610"/>
    </row>
    <row r="95" ht="13.5" customHeight="1">
      <c r="A95" s="602">
        <v>86.0</v>
      </c>
      <c r="B95" s="603" t="s">
        <v>228</v>
      </c>
      <c r="C95" s="603" t="s">
        <v>24</v>
      </c>
      <c r="D95" s="604" t="str">
        <f t="shared" si="1"/>
        <v>V</v>
      </c>
      <c r="E95" s="605" t="str">
        <f t="shared" si="2"/>
        <v>FA045/V/01</v>
      </c>
      <c r="F95" s="605" t="s">
        <v>229</v>
      </c>
      <c r="G95" s="606">
        <v>43711.0</v>
      </c>
      <c r="H95" s="607">
        <v>1300000.0</v>
      </c>
      <c r="I95" s="607"/>
      <c r="J95" s="401" t="s">
        <v>169</v>
      </c>
      <c r="K95" s="401" t="s">
        <v>170</v>
      </c>
      <c r="L95" s="608" t="s">
        <v>8</v>
      </c>
      <c r="M95" s="609" t="str">
        <f t="shared" si="3"/>
        <v>01</v>
      </c>
      <c r="N95" s="608" t="s">
        <v>230</v>
      </c>
      <c r="O95" s="608"/>
      <c r="P95" s="608"/>
      <c r="Q95" s="401" t="s">
        <v>227</v>
      </c>
      <c r="R95" s="608"/>
      <c r="S95" s="610"/>
    </row>
    <row r="96" ht="13.5" customHeight="1">
      <c r="A96" s="622">
        <v>87.0</v>
      </c>
      <c r="B96" s="623" t="s">
        <v>231</v>
      </c>
      <c r="C96" s="623" t="s">
        <v>6</v>
      </c>
      <c r="D96" s="624" t="str">
        <f t="shared" si="1"/>
        <v>I</v>
      </c>
      <c r="E96" s="625" t="str">
        <f t="shared" si="2"/>
        <v>FA046/I/01</v>
      </c>
      <c r="F96" s="625" t="s">
        <v>232</v>
      </c>
      <c r="G96" s="626">
        <v>43713.0</v>
      </c>
      <c r="H96" s="627">
        <v>3860000.0</v>
      </c>
      <c r="I96" s="627"/>
      <c r="J96" s="628" t="s">
        <v>112</v>
      </c>
      <c r="K96" s="628" t="s">
        <v>95</v>
      </c>
      <c r="L96" s="628" t="s">
        <v>8</v>
      </c>
      <c r="M96" s="629" t="str">
        <f t="shared" si="3"/>
        <v>01</v>
      </c>
      <c r="N96" s="630" t="s">
        <v>66</v>
      </c>
      <c r="O96" s="630" t="s">
        <v>233</v>
      </c>
      <c r="P96" s="630"/>
      <c r="Q96" s="630"/>
      <c r="R96" s="630"/>
      <c r="S96" s="631"/>
    </row>
    <row r="97" ht="13.5" customHeight="1">
      <c r="A97" s="591">
        <v>88.0</v>
      </c>
      <c r="B97" s="592" t="s">
        <v>234</v>
      </c>
      <c r="C97" s="592" t="s">
        <v>6</v>
      </c>
      <c r="D97" s="593" t="str">
        <f t="shared" si="1"/>
        <v>I</v>
      </c>
      <c r="E97" s="594" t="str">
        <f t="shared" si="2"/>
        <v>FA047/I/01</v>
      </c>
      <c r="F97" s="594" t="s">
        <v>235</v>
      </c>
      <c r="G97" s="595">
        <v>43713.0</v>
      </c>
      <c r="H97" s="596">
        <v>4898000.0</v>
      </c>
      <c r="I97" s="597"/>
      <c r="J97" s="598"/>
      <c r="K97" s="598"/>
      <c r="L97" s="599" t="s">
        <v>8</v>
      </c>
      <c r="M97" s="600" t="str">
        <f t="shared" si="3"/>
        <v>01</v>
      </c>
      <c r="N97" s="598"/>
      <c r="O97" s="598"/>
      <c r="P97" s="598"/>
      <c r="Q97" s="598"/>
      <c r="R97" s="598" t="s">
        <v>5</v>
      </c>
      <c r="S97" s="601"/>
    </row>
    <row r="98" ht="13.5" customHeight="1">
      <c r="A98" s="591">
        <v>89.0</v>
      </c>
      <c r="B98" s="592" t="s">
        <v>240</v>
      </c>
      <c r="C98" s="592" t="s">
        <v>6</v>
      </c>
      <c r="D98" s="593" t="str">
        <f t="shared" si="1"/>
        <v>I</v>
      </c>
      <c r="E98" s="594" t="str">
        <f t="shared" si="2"/>
        <v>FA048/I/01</v>
      </c>
      <c r="F98" s="594" t="s">
        <v>241</v>
      </c>
      <c r="G98" s="595">
        <v>43720.0</v>
      </c>
      <c r="H98" s="596">
        <v>7320000.0</v>
      </c>
      <c r="I98" s="597"/>
      <c r="J98" s="598"/>
      <c r="K98" s="598"/>
      <c r="L98" s="599" t="s">
        <v>8</v>
      </c>
      <c r="M98" s="600" t="str">
        <f t="shared" si="3"/>
        <v>01</v>
      </c>
      <c r="N98" s="598" t="s">
        <v>242</v>
      </c>
      <c r="O98" s="598"/>
      <c r="P98" s="598"/>
      <c r="Q98" s="598"/>
      <c r="R98" s="598" t="s">
        <v>5</v>
      </c>
      <c r="S98" s="601"/>
    </row>
    <row r="99" ht="13.5" customHeight="1">
      <c r="A99" s="663">
        <v>90.0</v>
      </c>
      <c r="B99" s="612" t="s">
        <v>243</v>
      </c>
      <c r="C99" s="612" t="s">
        <v>24</v>
      </c>
      <c r="D99" s="613" t="str">
        <f t="shared" si="1"/>
        <v>V</v>
      </c>
      <c r="E99" s="614" t="str">
        <f t="shared" si="2"/>
        <v>FA049/V/02</v>
      </c>
      <c r="F99" s="614" t="s">
        <v>244</v>
      </c>
      <c r="G99" s="615">
        <v>43709.0</v>
      </c>
      <c r="H99" s="616">
        <v>1775427.0</v>
      </c>
      <c r="I99" s="616"/>
      <c r="J99" s="618"/>
      <c r="K99" s="619" t="s">
        <v>51</v>
      </c>
      <c r="L99" s="619" t="s">
        <v>13</v>
      </c>
      <c r="M99" s="620" t="str">
        <f t="shared" si="3"/>
        <v>02</v>
      </c>
      <c r="N99" s="618"/>
      <c r="O99" s="618"/>
      <c r="P99" s="618"/>
      <c r="Q99" s="619" t="s">
        <v>245</v>
      </c>
      <c r="R99" s="619" t="s">
        <v>10</v>
      </c>
      <c r="S99" s="621"/>
    </row>
    <row r="100" ht="13.5" customHeight="1">
      <c r="A100" s="679">
        <v>91.0</v>
      </c>
      <c r="B100" s="592" t="s">
        <v>246</v>
      </c>
      <c r="C100" s="592" t="s">
        <v>6</v>
      </c>
      <c r="D100" s="593" t="str">
        <f t="shared" si="1"/>
        <v>I</v>
      </c>
      <c r="E100" s="594" t="str">
        <f t="shared" si="2"/>
        <v>FA050/I/01</v>
      </c>
      <c r="F100" s="594" t="s">
        <v>247</v>
      </c>
      <c r="G100" s="595">
        <v>43709.0</v>
      </c>
      <c r="H100" s="596">
        <v>1605000.0</v>
      </c>
      <c r="I100" s="596"/>
      <c r="J100" s="598"/>
      <c r="K100" s="598"/>
      <c r="L100" s="598" t="s">
        <v>8</v>
      </c>
      <c r="M100" s="600" t="str">
        <f t="shared" si="3"/>
        <v>01</v>
      </c>
      <c r="N100" s="598"/>
      <c r="O100" s="598"/>
      <c r="P100" s="598"/>
      <c r="Q100" s="598"/>
      <c r="R100" s="598"/>
      <c r="S100" s="601"/>
    </row>
    <row r="101" ht="13.5" customHeight="1">
      <c r="A101" s="622">
        <v>92.0</v>
      </c>
      <c r="B101" s="623" t="s">
        <v>249</v>
      </c>
      <c r="C101" s="623" t="s">
        <v>11</v>
      </c>
      <c r="D101" s="624" t="str">
        <f t="shared" si="1"/>
        <v>II</v>
      </c>
      <c r="E101" s="625" t="str">
        <f t="shared" si="2"/>
        <v>FA051/II/01</v>
      </c>
      <c r="F101" s="625" t="s">
        <v>250</v>
      </c>
      <c r="G101" s="626">
        <v>43770.0</v>
      </c>
      <c r="H101" s="627">
        <v>1099000.0</v>
      </c>
      <c r="I101" s="627"/>
      <c r="J101" s="630"/>
      <c r="K101" s="628" t="s">
        <v>81</v>
      </c>
      <c r="L101" s="628" t="s">
        <v>8</v>
      </c>
      <c r="M101" s="629" t="str">
        <f t="shared" si="3"/>
        <v>01</v>
      </c>
      <c r="N101" s="630" t="s">
        <v>155</v>
      </c>
      <c r="O101" s="630"/>
      <c r="P101" s="630"/>
      <c r="Q101" s="630"/>
      <c r="R101" s="630"/>
      <c r="S101" s="631"/>
    </row>
    <row r="102" ht="13.5" customHeight="1">
      <c r="A102" s="663">
        <v>93.0</v>
      </c>
      <c r="B102" s="612" t="s">
        <v>251</v>
      </c>
      <c r="C102" s="612" t="s">
        <v>11</v>
      </c>
      <c r="D102" s="613" t="str">
        <f t="shared" si="1"/>
        <v>II</v>
      </c>
      <c r="E102" s="614" t="str">
        <f t="shared" si="2"/>
        <v>FA052/II/02</v>
      </c>
      <c r="F102" s="614" t="s">
        <v>252</v>
      </c>
      <c r="G102" s="615">
        <v>43809.0</v>
      </c>
      <c r="H102" s="616">
        <f t="shared" ref="H102:H103" si="4">2198000/2</f>
        <v>1099000</v>
      </c>
      <c r="I102" s="616"/>
      <c r="J102" s="618"/>
      <c r="K102" s="618"/>
      <c r="L102" s="619" t="s">
        <v>13</v>
      </c>
      <c r="M102" s="620" t="str">
        <f t="shared" si="3"/>
        <v>02</v>
      </c>
      <c r="N102" s="618" t="s">
        <v>155</v>
      </c>
      <c r="O102" s="618"/>
      <c r="P102" s="618"/>
      <c r="Q102" s="619" t="s">
        <v>253</v>
      </c>
      <c r="R102" s="619" t="s">
        <v>10</v>
      </c>
      <c r="S102" s="621"/>
    </row>
    <row r="103" ht="13.5" customHeight="1">
      <c r="A103" s="663"/>
      <c r="B103" s="612" t="s">
        <v>867</v>
      </c>
      <c r="C103" s="612" t="s">
        <v>11</v>
      </c>
      <c r="D103" s="613" t="str">
        <f t="shared" si="1"/>
        <v>II</v>
      </c>
      <c r="E103" s="614" t="str">
        <f t="shared" si="2"/>
        <v>FA398/II/02</v>
      </c>
      <c r="F103" s="614" t="s">
        <v>252</v>
      </c>
      <c r="G103" s="615">
        <v>43809.0</v>
      </c>
      <c r="H103" s="616">
        <f t="shared" si="4"/>
        <v>1099000</v>
      </c>
      <c r="I103" s="616"/>
      <c r="J103" s="618"/>
      <c r="K103" s="618"/>
      <c r="L103" s="619" t="s">
        <v>13</v>
      </c>
      <c r="M103" s="620" t="str">
        <f t="shared" si="3"/>
        <v>02</v>
      </c>
      <c r="N103" s="619" t="s">
        <v>155</v>
      </c>
      <c r="O103" s="618"/>
      <c r="P103" s="618"/>
      <c r="Q103" s="619" t="s">
        <v>253</v>
      </c>
      <c r="R103" s="619" t="s">
        <v>10</v>
      </c>
      <c r="S103" s="621"/>
    </row>
    <row r="104" ht="13.5" customHeight="1">
      <c r="A104" s="667">
        <v>94.0</v>
      </c>
      <c r="B104" s="668" t="s">
        <v>255</v>
      </c>
      <c r="C104" s="668" t="s">
        <v>24</v>
      </c>
      <c r="D104" s="669" t="str">
        <f t="shared" si="1"/>
        <v>V</v>
      </c>
      <c r="E104" s="670" t="str">
        <f t="shared" si="2"/>
        <v>FA053/V/01</v>
      </c>
      <c r="F104" s="670" t="s">
        <v>256</v>
      </c>
      <c r="G104" s="671">
        <v>43858.0</v>
      </c>
      <c r="H104" s="607">
        <v>1991700.0</v>
      </c>
      <c r="I104" s="607"/>
      <c r="J104" s="673"/>
      <c r="K104" s="673"/>
      <c r="L104" s="680" t="s">
        <v>8</v>
      </c>
      <c r="M104" s="674" t="str">
        <f t="shared" si="3"/>
        <v>01</v>
      </c>
      <c r="N104" s="680" t="s">
        <v>257</v>
      </c>
      <c r="O104" s="673"/>
      <c r="P104" s="673"/>
      <c r="Q104" s="680"/>
      <c r="R104" s="673"/>
      <c r="S104" s="675"/>
    </row>
    <row r="105" ht="13.5" customHeight="1">
      <c r="A105" s="622">
        <v>95.0</v>
      </c>
      <c r="B105" s="623" t="s">
        <v>259</v>
      </c>
      <c r="C105" s="623" t="s">
        <v>11</v>
      </c>
      <c r="D105" s="624" t="str">
        <f t="shared" si="1"/>
        <v>II</v>
      </c>
      <c r="E105" s="625" t="str">
        <f t="shared" si="2"/>
        <v>FA054.1/II/01</v>
      </c>
      <c r="F105" s="625" t="s">
        <v>79</v>
      </c>
      <c r="G105" s="626">
        <v>43871.0</v>
      </c>
      <c r="H105" s="627">
        <v>726364.0</v>
      </c>
      <c r="I105" s="627"/>
      <c r="J105" s="628" t="s">
        <v>166</v>
      </c>
      <c r="K105" s="628" t="s">
        <v>95</v>
      </c>
      <c r="L105" s="628" t="s">
        <v>8</v>
      </c>
      <c r="M105" s="629" t="str">
        <f t="shared" si="3"/>
        <v>01</v>
      </c>
      <c r="N105" s="630" t="s">
        <v>155</v>
      </c>
      <c r="O105" s="630"/>
      <c r="P105" s="630"/>
      <c r="Q105" s="630"/>
      <c r="R105" s="630"/>
      <c r="S105" s="631"/>
    </row>
    <row r="106" ht="13.5" customHeight="1">
      <c r="A106" s="622">
        <v>96.0</v>
      </c>
      <c r="B106" s="623" t="s">
        <v>260</v>
      </c>
      <c r="C106" s="623" t="s">
        <v>11</v>
      </c>
      <c r="D106" s="624" t="str">
        <f t="shared" si="1"/>
        <v>II</v>
      </c>
      <c r="E106" s="625" t="str">
        <f t="shared" si="2"/>
        <v>FA054.2/II/01</v>
      </c>
      <c r="F106" s="625" t="s">
        <v>261</v>
      </c>
      <c r="G106" s="626">
        <v>43871.0</v>
      </c>
      <c r="H106" s="627">
        <v>617728.0</v>
      </c>
      <c r="I106" s="627"/>
      <c r="J106" s="628" t="s">
        <v>1899</v>
      </c>
      <c r="K106" s="628" t="s">
        <v>170</v>
      </c>
      <c r="L106" s="628" t="s">
        <v>8</v>
      </c>
      <c r="M106" s="629" t="str">
        <f t="shared" si="3"/>
        <v>01</v>
      </c>
      <c r="N106" s="630" t="s">
        <v>155</v>
      </c>
      <c r="O106" s="630"/>
      <c r="P106" s="630"/>
      <c r="Q106" s="630"/>
      <c r="R106" s="630"/>
      <c r="S106" s="631"/>
    </row>
    <row r="107" ht="13.5" customHeight="1">
      <c r="A107" s="622">
        <v>97.0</v>
      </c>
      <c r="B107" s="623" t="s">
        <v>263</v>
      </c>
      <c r="C107" s="623" t="s">
        <v>11</v>
      </c>
      <c r="D107" s="624" t="str">
        <f t="shared" si="1"/>
        <v>II</v>
      </c>
      <c r="E107" s="625" t="str">
        <f t="shared" si="2"/>
        <v>FA054.3/II/01</v>
      </c>
      <c r="F107" s="630" t="s">
        <v>261</v>
      </c>
      <c r="G107" s="626">
        <v>43871.0</v>
      </c>
      <c r="H107" s="627">
        <v>617728.0</v>
      </c>
      <c r="I107" s="627"/>
      <c r="J107" s="628" t="s">
        <v>1900</v>
      </c>
      <c r="K107" s="628" t="s">
        <v>158</v>
      </c>
      <c r="L107" s="628" t="s">
        <v>8</v>
      </c>
      <c r="M107" s="629" t="str">
        <f t="shared" si="3"/>
        <v>01</v>
      </c>
      <c r="N107" s="630" t="s">
        <v>155</v>
      </c>
      <c r="O107" s="630"/>
      <c r="P107" s="630"/>
      <c r="Q107" s="630"/>
      <c r="R107" s="630"/>
      <c r="S107" s="631"/>
    </row>
    <row r="108" ht="13.5" customHeight="1">
      <c r="A108" s="667">
        <v>98.0</v>
      </c>
      <c r="B108" s="668" t="s">
        <v>265</v>
      </c>
      <c r="C108" s="668" t="s">
        <v>11</v>
      </c>
      <c r="D108" s="669" t="str">
        <f t="shared" si="1"/>
        <v>II</v>
      </c>
      <c r="E108" s="670" t="str">
        <f t="shared" si="2"/>
        <v>FA055/II/01</v>
      </c>
      <c r="F108" s="670" t="s">
        <v>266</v>
      </c>
      <c r="G108" s="671">
        <v>43900.0</v>
      </c>
      <c r="H108" s="607">
        <v>790000.0</v>
      </c>
      <c r="I108" s="607"/>
      <c r="J108" s="673"/>
      <c r="K108" s="673"/>
      <c r="L108" s="680" t="s">
        <v>8</v>
      </c>
      <c r="M108" s="674" t="str">
        <f t="shared" si="3"/>
        <v>01</v>
      </c>
      <c r="N108" s="673" t="s">
        <v>155</v>
      </c>
      <c r="O108" s="673"/>
      <c r="P108" s="673"/>
      <c r="Q108" s="673"/>
      <c r="R108" s="673"/>
      <c r="S108" s="675"/>
    </row>
    <row r="109" ht="13.5" customHeight="1">
      <c r="A109" s="667">
        <v>99.0</v>
      </c>
      <c r="B109" s="668" t="s">
        <v>267</v>
      </c>
      <c r="C109" s="668" t="s">
        <v>6</v>
      </c>
      <c r="D109" s="669" t="str">
        <f t="shared" si="1"/>
        <v>I</v>
      </c>
      <c r="E109" s="670" t="str">
        <f t="shared" si="2"/>
        <v>FA056/I/01</v>
      </c>
      <c r="F109" s="670" t="s">
        <v>75</v>
      </c>
      <c r="G109" s="671">
        <v>43633.0</v>
      </c>
      <c r="H109" s="607">
        <v>3.1228995E7</v>
      </c>
      <c r="I109" s="607"/>
      <c r="J109" s="673"/>
      <c r="K109" s="673"/>
      <c r="L109" s="680" t="s">
        <v>8</v>
      </c>
      <c r="M109" s="674" t="str">
        <f t="shared" si="3"/>
        <v>01</v>
      </c>
      <c r="N109" s="673"/>
      <c r="O109" s="673"/>
      <c r="P109" s="673"/>
      <c r="Q109" s="673"/>
      <c r="R109" s="673"/>
      <c r="S109" s="675"/>
    </row>
    <row r="110" ht="13.5" customHeight="1">
      <c r="A110" s="622">
        <v>105.0</v>
      </c>
      <c r="B110" s="623" t="s">
        <v>268</v>
      </c>
      <c r="C110" s="623" t="s">
        <v>6</v>
      </c>
      <c r="D110" s="624" t="str">
        <f t="shared" si="1"/>
        <v>I</v>
      </c>
      <c r="E110" s="625" t="str">
        <f t="shared" si="2"/>
        <v>FA062/I/01</v>
      </c>
      <c r="F110" s="625" t="s">
        <v>1901</v>
      </c>
      <c r="G110" s="626">
        <v>44287.0</v>
      </c>
      <c r="H110" s="627">
        <v>688000.0</v>
      </c>
      <c r="I110" s="627"/>
      <c r="J110" s="628" t="s">
        <v>50</v>
      </c>
      <c r="K110" s="628" t="s">
        <v>51</v>
      </c>
      <c r="L110" s="630" t="s">
        <v>8</v>
      </c>
      <c r="M110" s="629" t="str">
        <f t="shared" si="3"/>
        <v>01</v>
      </c>
      <c r="N110" s="630"/>
      <c r="O110" s="630"/>
      <c r="P110" s="630"/>
      <c r="Q110" s="630"/>
      <c r="R110" s="630"/>
      <c r="S110" s="631"/>
    </row>
    <row r="111" ht="13.5" customHeight="1">
      <c r="A111" s="602">
        <v>106.0</v>
      </c>
      <c r="B111" s="603" t="s">
        <v>271</v>
      </c>
      <c r="C111" s="603" t="s">
        <v>6</v>
      </c>
      <c r="D111" s="604" t="str">
        <f t="shared" si="1"/>
        <v>I</v>
      </c>
      <c r="E111" s="605" t="str">
        <f t="shared" si="2"/>
        <v>FA063/I/02</v>
      </c>
      <c r="F111" s="605" t="s">
        <v>272</v>
      </c>
      <c r="G111" s="606">
        <v>44384.0</v>
      </c>
      <c r="H111" s="664">
        <v>3218000.0</v>
      </c>
      <c r="I111" s="664"/>
      <c r="J111" s="608" t="s">
        <v>1902</v>
      </c>
      <c r="K111" s="608" t="s">
        <v>81</v>
      </c>
      <c r="L111" s="401" t="s">
        <v>13</v>
      </c>
      <c r="M111" s="609" t="str">
        <f t="shared" si="3"/>
        <v>02</v>
      </c>
      <c r="N111" s="401" t="s">
        <v>127</v>
      </c>
      <c r="O111" s="608"/>
      <c r="P111" s="608"/>
      <c r="Q111" s="608"/>
      <c r="R111" s="401" t="s">
        <v>52</v>
      </c>
      <c r="S111" s="610"/>
    </row>
    <row r="112" ht="13.5" customHeight="1">
      <c r="A112" s="632">
        <v>107.0</v>
      </c>
      <c r="B112" s="633" t="s">
        <v>274</v>
      </c>
      <c r="C112" s="633" t="s">
        <v>16</v>
      </c>
      <c r="D112" s="634" t="str">
        <f t="shared" si="1"/>
        <v>III</v>
      </c>
      <c r="E112" s="635" t="str">
        <f t="shared" si="2"/>
        <v>FA064/III/01</v>
      </c>
      <c r="F112" s="635" t="s">
        <v>275</v>
      </c>
      <c r="G112" s="636">
        <v>44510.0</v>
      </c>
      <c r="H112" s="637">
        <v>1.0239E7</v>
      </c>
      <c r="I112" s="637"/>
      <c r="J112" s="638"/>
      <c r="K112" s="638"/>
      <c r="L112" s="638" t="s">
        <v>8</v>
      </c>
      <c r="M112" s="640" t="str">
        <f t="shared" si="3"/>
        <v>01</v>
      </c>
      <c r="N112" s="638" t="s">
        <v>121</v>
      </c>
      <c r="O112" s="638"/>
      <c r="P112" s="638"/>
      <c r="Q112" s="638"/>
      <c r="R112" s="639" t="s">
        <v>52</v>
      </c>
      <c r="S112" s="641"/>
    </row>
    <row r="113" ht="13.5" customHeight="1">
      <c r="A113" s="602">
        <v>108.0</v>
      </c>
      <c r="B113" s="603" t="s">
        <v>277</v>
      </c>
      <c r="C113" s="603" t="s">
        <v>6</v>
      </c>
      <c r="D113" s="604" t="str">
        <f t="shared" si="1"/>
        <v>I</v>
      </c>
      <c r="E113" s="605" t="str">
        <f t="shared" si="2"/>
        <v>FA065/I/02</v>
      </c>
      <c r="F113" s="605" t="s">
        <v>278</v>
      </c>
      <c r="G113" s="606">
        <v>44652.0</v>
      </c>
      <c r="H113" s="607">
        <v>2325000.0</v>
      </c>
      <c r="I113" s="607"/>
      <c r="J113" s="401" t="s">
        <v>138</v>
      </c>
      <c r="K113" s="401" t="s">
        <v>95</v>
      </c>
      <c r="L113" s="401" t="s">
        <v>13</v>
      </c>
      <c r="M113" s="609" t="str">
        <f t="shared" si="3"/>
        <v>02</v>
      </c>
      <c r="N113" s="608" t="s">
        <v>279</v>
      </c>
      <c r="O113" s="608"/>
      <c r="P113" s="608"/>
      <c r="Q113" s="608"/>
      <c r="R113" s="401" t="s">
        <v>52</v>
      </c>
      <c r="S113" s="610"/>
    </row>
    <row r="114" ht="13.5" customHeight="1">
      <c r="A114" s="632">
        <v>109.0</v>
      </c>
      <c r="B114" s="633" t="s">
        <v>280</v>
      </c>
      <c r="C114" s="633" t="s">
        <v>16</v>
      </c>
      <c r="D114" s="634" t="str">
        <f t="shared" si="1"/>
        <v>III</v>
      </c>
      <c r="E114" s="635" t="str">
        <f t="shared" si="2"/>
        <v>FA066/III/01</v>
      </c>
      <c r="F114" s="635" t="s">
        <v>281</v>
      </c>
      <c r="G114" s="636">
        <v>44774.0</v>
      </c>
      <c r="H114" s="637">
        <v>1.31E7</v>
      </c>
      <c r="I114" s="637"/>
      <c r="J114" s="638"/>
      <c r="K114" s="638"/>
      <c r="L114" s="638" t="s">
        <v>8</v>
      </c>
      <c r="M114" s="640" t="str">
        <f t="shared" si="3"/>
        <v>01</v>
      </c>
      <c r="N114" s="638" t="s">
        <v>84</v>
      </c>
      <c r="O114" s="638"/>
      <c r="P114" s="638"/>
      <c r="Q114" s="638"/>
      <c r="R114" s="638"/>
      <c r="S114" s="641"/>
    </row>
    <row r="115" ht="13.5" customHeight="1">
      <c r="A115" s="622">
        <v>110.0</v>
      </c>
      <c r="B115" s="623" t="s">
        <v>282</v>
      </c>
      <c r="C115" s="681" t="s">
        <v>24</v>
      </c>
      <c r="D115" s="624" t="str">
        <f t="shared" si="1"/>
        <v>V</v>
      </c>
      <c r="E115" s="625" t="str">
        <f t="shared" si="2"/>
        <v>FA067/V/01</v>
      </c>
      <c r="F115" s="630" t="s">
        <v>1903</v>
      </c>
      <c r="G115" s="626">
        <v>44985.0</v>
      </c>
      <c r="H115" s="682"/>
      <c r="I115" s="682">
        <v>1285100.0</v>
      </c>
      <c r="J115" s="630"/>
      <c r="K115" s="628" t="s">
        <v>51</v>
      </c>
      <c r="L115" s="628" t="s">
        <v>8</v>
      </c>
      <c r="M115" s="629" t="str">
        <f t="shared" si="3"/>
        <v>01</v>
      </c>
      <c r="N115" s="630"/>
      <c r="O115" s="630"/>
      <c r="P115" s="630"/>
      <c r="Q115" s="630"/>
      <c r="R115" s="630"/>
      <c r="S115" s="631"/>
    </row>
    <row r="116" ht="13.5" customHeight="1">
      <c r="A116" s="632">
        <v>111.0</v>
      </c>
      <c r="B116" s="633" t="s">
        <v>285</v>
      </c>
      <c r="C116" s="633" t="s">
        <v>16</v>
      </c>
      <c r="D116" s="634" t="str">
        <f t="shared" si="1"/>
        <v>III</v>
      </c>
      <c r="E116" s="635" t="str">
        <f t="shared" si="2"/>
        <v>FA068/III/01</v>
      </c>
      <c r="F116" s="635" t="s">
        <v>286</v>
      </c>
      <c r="G116" s="636">
        <v>44774.0</v>
      </c>
      <c r="H116" s="637">
        <v>6799000.0</v>
      </c>
      <c r="I116" s="637"/>
      <c r="J116" s="639" t="s">
        <v>287</v>
      </c>
      <c r="K116" s="638" t="s">
        <v>158</v>
      </c>
      <c r="L116" s="638" t="s">
        <v>8</v>
      </c>
      <c r="M116" s="640" t="str">
        <f t="shared" si="3"/>
        <v>01</v>
      </c>
      <c r="N116" s="638" t="s">
        <v>121</v>
      </c>
      <c r="O116" s="638"/>
      <c r="P116" s="638"/>
      <c r="Q116" s="638"/>
      <c r="R116" s="639" t="s">
        <v>52</v>
      </c>
      <c r="S116" s="641"/>
    </row>
    <row r="117" ht="13.5" customHeight="1">
      <c r="A117" s="602">
        <v>114.0</v>
      </c>
      <c r="B117" s="603" t="s">
        <v>294</v>
      </c>
      <c r="C117" s="603" t="s">
        <v>16</v>
      </c>
      <c r="D117" s="604" t="str">
        <f t="shared" si="1"/>
        <v>III</v>
      </c>
      <c r="E117" s="605" t="str">
        <f t="shared" si="2"/>
        <v>FA069/III/01</v>
      </c>
      <c r="F117" s="605" t="s">
        <v>295</v>
      </c>
      <c r="G117" s="606">
        <v>44809.0</v>
      </c>
      <c r="H117" s="607">
        <v>3603604.0</v>
      </c>
      <c r="I117" s="607"/>
      <c r="J117" s="608" t="s">
        <v>1904</v>
      </c>
      <c r="K117" s="608" t="s">
        <v>81</v>
      </c>
      <c r="L117" s="608" t="s">
        <v>8</v>
      </c>
      <c r="M117" s="609" t="str">
        <f t="shared" si="3"/>
        <v>01</v>
      </c>
      <c r="N117" s="608" t="s">
        <v>121</v>
      </c>
      <c r="O117" s="608"/>
      <c r="P117" s="608"/>
      <c r="Q117" s="608"/>
      <c r="R117" s="401" t="s">
        <v>52</v>
      </c>
      <c r="S117" s="610"/>
    </row>
    <row r="118" ht="13.5" customHeight="1">
      <c r="A118" s="602">
        <v>115.0</v>
      </c>
      <c r="B118" s="603" t="s">
        <v>297</v>
      </c>
      <c r="C118" s="603" t="s">
        <v>16</v>
      </c>
      <c r="D118" s="604" t="str">
        <f t="shared" si="1"/>
        <v>III</v>
      </c>
      <c r="E118" s="605" t="str">
        <f t="shared" si="2"/>
        <v>FA070/III/02</v>
      </c>
      <c r="F118" s="605" t="s">
        <v>298</v>
      </c>
      <c r="G118" s="606">
        <v>44809.0</v>
      </c>
      <c r="H118" s="607">
        <v>5200000.0</v>
      </c>
      <c r="I118" s="607"/>
      <c r="J118" s="401" t="s">
        <v>457</v>
      </c>
      <c r="K118" s="608" t="s">
        <v>81</v>
      </c>
      <c r="L118" s="401" t="s">
        <v>13</v>
      </c>
      <c r="M118" s="609" t="str">
        <f t="shared" si="3"/>
        <v>02</v>
      </c>
      <c r="N118" s="608" t="s">
        <v>121</v>
      </c>
      <c r="O118" s="608"/>
      <c r="P118" s="608"/>
      <c r="Q118" s="608"/>
      <c r="R118" s="401" t="s">
        <v>52</v>
      </c>
      <c r="S118" s="610"/>
    </row>
    <row r="119" ht="13.5" customHeight="1">
      <c r="A119" s="622">
        <v>116.0</v>
      </c>
      <c r="B119" s="623" t="s">
        <v>301</v>
      </c>
      <c r="C119" s="623" t="s">
        <v>11</v>
      </c>
      <c r="D119" s="624" t="str">
        <f t="shared" si="1"/>
        <v>II</v>
      </c>
      <c r="E119" s="625" t="str">
        <f t="shared" si="2"/>
        <v>FA071/II/01</v>
      </c>
      <c r="F119" s="625" t="s">
        <v>302</v>
      </c>
      <c r="G119" s="626">
        <v>44819.0</v>
      </c>
      <c r="H119" s="627">
        <v>1530631.0</v>
      </c>
      <c r="I119" s="627"/>
      <c r="J119" s="630"/>
      <c r="K119" s="628" t="s">
        <v>95</v>
      </c>
      <c r="L119" s="628" t="s">
        <v>8</v>
      </c>
      <c r="M119" s="629" t="str">
        <f t="shared" si="3"/>
        <v>01</v>
      </c>
      <c r="N119" s="630" t="s">
        <v>303</v>
      </c>
      <c r="O119" s="630"/>
      <c r="P119" s="630"/>
      <c r="Q119" s="630"/>
      <c r="R119" s="630"/>
      <c r="S119" s="631"/>
    </row>
    <row r="120" ht="13.5" customHeight="1">
      <c r="A120" s="622">
        <v>117.0</v>
      </c>
      <c r="B120" s="623" t="s">
        <v>304</v>
      </c>
      <c r="C120" s="623" t="s">
        <v>11</v>
      </c>
      <c r="D120" s="624" t="str">
        <f t="shared" si="1"/>
        <v>II</v>
      </c>
      <c r="E120" s="625" t="str">
        <f t="shared" si="2"/>
        <v>FA072/II/01</v>
      </c>
      <c r="F120" s="625" t="s">
        <v>305</v>
      </c>
      <c r="G120" s="626">
        <v>44819.0</v>
      </c>
      <c r="H120" s="627">
        <v>2771667.0</v>
      </c>
      <c r="I120" s="627"/>
      <c r="J120" s="630"/>
      <c r="K120" s="628" t="s">
        <v>95</v>
      </c>
      <c r="L120" s="628" t="s">
        <v>8</v>
      </c>
      <c r="M120" s="629" t="str">
        <f t="shared" si="3"/>
        <v>01</v>
      </c>
      <c r="N120" s="630" t="s">
        <v>303</v>
      </c>
      <c r="O120" s="630"/>
      <c r="P120" s="630"/>
      <c r="Q120" s="630"/>
      <c r="R120" s="630"/>
      <c r="S120" s="631"/>
    </row>
    <row r="121" ht="13.5" customHeight="1">
      <c r="A121" s="622">
        <v>112.0</v>
      </c>
      <c r="B121" s="623" t="s">
        <v>288</v>
      </c>
      <c r="C121" s="623" t="s">
        <v>21</v>
      </c>
      <c r="D121" s="624" t="str">
        <f t="shared" si="1"/>
        <v>IV</v>
      </c>
      <c r="E121" s="625" t="str">
        <f t="shared" si="2"/>
        <v>FA073/IV/01</v>
      </c>
      <c r="F121" s="625" t="s">
        <v>289</v>
      </c>
      <c r="G121" s="626">
        <v>44805.0</v>
      </c>
      <c r="H121" s="627">
        <v>1.42551944E8</v>
      </c>
      <c r="I121" s="627"/>
      <c r="J121" s="628" t="s">
        <v>120</v>
      </c>
      <c r="K121" s="628" t="s">
        <v>95</v>
      </c>
      <c r="L121" s="630" t="s">
        <v>8</v>
      </c>
      <c r="M121" s="629" t="str">
        <f t="shared" si="3"/>
        <v>01</v>
      </c>
      <c r="N121" s="630" t="s">
        <v>290</v>
      </c>
      <c r="O121" s="630"/>
      <c r="P121" s="630"/>
      <c r="Q121" s="630"/>
      <c r="R121" s="628" t="s">
        <v>52</v>
      </c>
      <c r="S121" s="631"/>
    </row>
    <row r="122" ht="13.5" customHeight="1">
      <c r="A122" s="622">
        <v>113.0</v>
      </c>
      <c r="B122" s="623" t="s">
        <v>291</v>
      </c>
      <c r="C122" s="623" t="s">
        <v>21</v>
      </c>
      <c r="D122" s="624" t="str">
        <f t="shared" si="1"/>
        <v>IV</v>
      </c>
      <c r="E122" s="625" t="str">
        <f t="shared" si="2"/>
        <v>FA074/IV/01</v>
      </c>
      <c r="F122" s="625" t="s">
        <v>292</v>
      </c>
      <c r="G122" s="626">
        <v>44805.0</v>
      </c>
      <c r="H122" s="627">
        <v>2.7369055E8</v>
      </c>
      <c r="I122" s="627"/>
      <c r="J122" s="628" t="s">
        <v>120</v>
      </c>
      <c r="K122" s="628" t="s">
        <v>95</v>
      </c>
      <c r="L122" s="630" t="s">
        <v>8</v>
      </c>
      <c r="M122" s="629" t="str">
        <f t="shared" si="3"/>
        <v>01</v>
      </c>
      <c r="N122" s="630" t="s">
        <v>293</v>
      </c>
      <c r="O122" s="630"/>
      <c r="P122" s="630"/>
      <c r="Q122" s="630"/>
      <c r="R122" s="628" t="s">
        <v>52</v>
      </c>
      <c r="S122" s="631"/>
    </row>
    <row r="123" ht="13.5" customHeight="1">
      <c r="A123" s="622">
        <v>118.0</v>
      </c>
      <c r="B123" s="623" t="s">
        <v>306</v>
      </c>
      <c r="C123" s="623" t="s">
        <v>6</v>
      </c>
      <c r="D123" s="624" t="str">
        <f t="shared" si="1"/>
        <v>I</v>
      </c>
      <c r="E123" s="625" t="str">
        <f t="shared" si="2"/>
        <v>FA075/I/01</v>
      </c>
      <c r="F123" s="625" t="s">
        <v>307</v>
      </c>
      <c r="G123" s="626">
        <v>44866.0</v>
      </c>
      <c r="H123" s="627">
        <v>2930575.0</v>
      </c>
      <c r="I123" s="627"/>
      <c r="J123" s="628" t="s">
        <v>169</v>
      </c>
      <c r="K123" s="628" t="s">
        <v>170</v>
      </c>
      <c r="L123" s="628" t="s">
        <v>8</v>
      </c>
      <c r="M123" s="629" t="str">
        <f t="shared" si="3"/>
        <v>01</v>
      </c>
      <c r="N123" s="630" t="s">
        <v>308</v>
      </c>
      <c r="O123" s="630"/>
      <c r="P123" s="630"/>
      <c r="Q123" s="630"/>
      <c r="R123" s="630"/>
      <c r="S123" s="631"/>
    </row>
    <row r="124" ht="13.5" customHeight="1">
      <c r="A124" s="622">
        <v>119.0</v>
      </c>
      <c r="B124" s="623" t="s">
        <v>309</v>
      </c>
      <c r="C124" s="623" t="s">
        <v>6</v>
      </c>
      <c r="D124" s="624" t="str">
        <f t="shared" si="1"/>
        <v>I</v>
      </c>
      <c r="E124" s="625" t="str">
        <f t="shared" si="2"/>
        <v>FA076/I/01</v>
      </c>
      <c r="F124" s="625" t="s">
        <v>307</v>
      </c>
      <c r="G124" s="626">
        <v>44866.0</v>
      </c>
      <c r="H124" s="627">
        <v>2930575.0</v>
      </c>
      <c r="I124" s="627"/>
      <c r="J124" s="630"/>
      <c r="K124" s="628" t="s">
        <v>95</v>
      </c>
      <c r="L124" s="628" t="s">
        <v>8</v>
      </c>
      <c r="M124" s="629" t="str">
        <f t="shared" si="3"/>
        <v>01</v>
      </c>
      <c r="N124" s="630" t="s">
        <v>308</v>
      </c>
      <c r="O124" s="630"/>
      <c r="P124" s="630"/>
      <c r="Q124" s="630"/>
      <c r="R124" s="630"/>
      <c r="S124" s="631"/>
    </row>
    <row r="125" ht="13.5" customHeight="1">
      <c r="A125" s="602">
        <v>120.0</v>
      </c>
      <c r="B125" s="603" t="s">
        <v>310</v>
      </c>
      <c r="C125" s="603" t="s">
        <v>6</v>
      </c>
      <c r="D125" s="604" t="str">
        <f t="shared" si="1"/>
        <v>I</v>
      </c>
      <c r="E125" s="605" t="str">
        <f t="shared" si="2"/>
        <v>FA077/I/02</v>
      </c>
      <c r="F125" s="605" t="s">
        <v>307</v>
      </c>
      <c r="G125" s="606">
        <v>44866.0</v>
      </c>
      <c r="H125" s="607">
        <v>2930575.0</v>
      </c>
      <c r="I125" s="607"/>
      <c r="J125" s="608"/>
      <c r="K125" s="401" t="s">
        <v>95</v>
      </c>
      <c r="L125" s="401" t="s">
        <v>13</v>
      </c>
      <c r="M125" s="609" t="str">
        <f t="shared" si="3"/>
        <v>02</v>
      </c>
      <c r="N125" s="608" t="s">
        <v>308</v>
      </c>
      <c r="O125" s="608"/>
      <c r="P125" s="608"/>
      <c r="Q125" s="608"/>
      <c r="R125" s="401" t="s">
        <v>52</v>
      </c>
      <c r="S125" s="610"/>
    </row>
    <row r="126" ht="13.5" customHeight="1">
      <c r="A126" s="602">
        <v>121.0</v>
      </c>
      <c r="B126" s="603" t="s">
        <v>311</v>
      </c>
      <c r="C126" s="603" t="s">
        <v>6</v>
      </c>
      <c r="D126" s="604" t="str">
        <f t="shared" si="1"/>
        <v>I</v>
      </c>
      <c r="E126" s="605" t="str">
        <f t="shared" si="2"/>
        <v>FA078/I/02</v>
      </c>
      <c r="F126" s="605" t="s">
        <v>307</v>
      </c>
      <c r="G126" s="606">
        <v>44866.0</v>
      </c>
      <c r="H126" s="607">
        <v>2930575.0</v>
      </c>
      <c r="I126" s="607"/>
      <c r="J126" s="608"/>
      <c r="K126" s="401" t="s">
        <v>95</v>
      </c>
      <c r="L126" s="401" t="s">
        <v>13</v>
      </c>
      <c r="M126" s="609" t="str">
        <f t="shared" si="3"/>
        <v>02</v>
      </c>
      <c r="N126" s="608" t="s">
        <v>308</v>
      </c>
      <c r="O126" s="608"/>
      <c r="P126" s="608"/>
      <c r="Q126" s="608"/>
      <c r="R126" s="401" t="s">
        <v>52</v>
      </c>
      <c r="S126" s="610"/>
    </row>
    <row r="127" ht="13.5" customHeight="1">
      <c r="A127" s="622">
        <v>122.0</v>
      </c>
      <c r="B127" s="623" t="s">
        <v>312</v>
      </c>
      <c r="C127" s="623" t="s">
        <v>6</v>
      </c>
      <c r="D127" s="624" t="str">
        <f t="shared" si="1"/>
        <v>I</v>
      </c>
      <c r="E127" s="625" t="str">
        <f t="shared" si="2"/>
        <v>FA079/I/01</v>
      </c>
      <c r="F127" s="625" t="s">
        <v>126</v>
      </c>
      <c r="G127" s="626">
        <v>44896.0</v>
      </c>
      <c r="H127" s="627">
        <v>1719600.0</v>
      </c>
      <c r="I127" s="627"/>
      <c r="J127" s="628" t="s">
        <v>1905</v>
      </c>
      <c r="K127" s="628" t="s">
        <v>47</v>
      </c>
      <c r="L127" s="628" t="s">
        <v>8</v>
      </c>
      <c r="M127" s="629" t="str">
        <f t="shared" si="3"/>
        <v>01</v>
      </c>
      <c r="N127" s="630" t="s">
        <v>127</v>
      </c>
      <c r="O127" s="630"/>
      <c r="P127" s="630"/>
      <c r="Q127" s="630"/>
      <c r="R127" s="630"/>
      <c r="S127" s="631"/>
    </row>
    <row r="128" ht="13.5" customHeight="1">
      <c r="A128" s="622">
        <v>123.0</v>
      </c>
      <c r="B128" s="623" t="s">
        <v>315</v>
      </c>
      <c r="C128" s="623" t="s">
        <v>11</v>
      </c>
      <c r="D128" s="624" t="str">
        <f t="shared" si="1"/>
        <v>II</v>
      </c>
      <c r="E128" s="625" t="str">
        <f t="shared" si="2"/>
        <v>FA080/II/01</v>
      </c>
      <c r="F128" s="625" t="s">
        <v>316</v>
      </c>
      <c r="G128" s="626">
        <v>44896.0</v>
      </c>
      <c r="H128" s="627">
        <v>2338400.0</v>
      </c>
      <c r="I128" s="627"/>
      <c r="J128" s="630"/>
      <c r="K128" s="628" t="s">
        <v>95</v>
      </c>
      <c r="L128" s="630" t="s">
        <v>8</v>
      </c>
      <c r="M128" s="629" t="str">
        <f t="shared" si="3"/>
        <v>01</v>
      </c>
      <c r="N128" s="630"/>
      <c r="O128" s="630"/>
      <c r="P128" s="630"/>
      <c r="Q128" s="630"/>
      <c r="R128" s="628"/>
      <c r="S128" s="631"/>
    </row>
    <row r="129" ht="13.5" customHeight="1">
      <c r="A129" s="602">
        <v>128.0</v>
      </c>
      <c r="B129" s="603" t="s">
        <v>317</v>
      </c>
      <c r="C129" s="683" t="s">
        <v>6</v>
      </c>
      <c r="D129" s="604" t="str">
        <f t="shared" si="1"/>
        <v>I</v>
      </c>
      <c r="E129" s="605" t="str">
        <f t="shared" si="2"/>
        <v>FA081/I/03</v>
      </c>
      <c r="F129" s="608" t="s">
        <v>318</v>
      </c>
      <c r="G129" s="606">
        <v>44939.0</v>
      </c>
      <c r="H129" s="684">
        <v>8199000.0</v>
      </c>
      <c r="I129" s="684"/>
      <c r="J129" s="608"/>
      <c r="K129" s="401" t="s">
        <v>95</v>
      </c>
      <c r="L129" s="401" t="s">
        <v>18</v>
      </c>
      <c r="M129" s="609" t="str">
        <f t="shared" si="3"/>
        <v>03</v>
      </c>
      <c r="N129" s="608" t="s">
        <v>141</v>
      </c>
      <c r="O129" s="608"/>
      <c r="P129" s="608"/>
      <c r="Q129" s="608"/>
      <c r="R129" s="401" t="s">
        <v>52</v>
      </c>
      <c r="S129" s="610"/>
    </row>
    <row r="130" ht="13.5" customHeight="1">
      <c r="A130" s="602">
        <v>129.0</v>
      </c>
      <c r="B130" s="603" t="s">
        <v>319</v>
      </c>
      <c r="C130" s="683" t="s">
        <v>6</v>
      </c>
      <c r="D130" s="604" t="str">
        <f t="shared" si="1"/>
        <v>I</v>
      </c>
      <c r="E130" s="605" t="str">
        <f t="shared" si="2"/>
        <v>FA082/I/03</v>
      </c>
      <c r="F130" s="608" t="s">
        <v>318</v>
      </c>
      <c r="G130" s="606">
        <v>44939.0</v>
      </c>
      <c r="H130" s="684">
        <v>8199000.0</v>
      </c>
      <c r="I130" s="684"/>
      <c r="J130" s="608"/>
      <c r="K130" s="401" t="s">
        <v>95</v>
      </c>
      <c r="L130" s="401" t="s">
        <v>18</v>
      </c>
      <c r="M130" s="609" t="str">
        <f t="shared" si="3"/>
        <v>03</v>
      </c>
      <c r="N130" s="608" t="s">
        <v>141</v>
      </c>
      <c r="O130" s="608"/>
      <c r="P130" s="608"/>
      <c r="Q130" s="608"/>
      <c r="R130" s="401" t="s">
        <v>52</v>
      </c>
      <c r="S130" s="610"/>
    </row>
    <row r="131" ht="13.5" customHeight="1">
      <c r="A131" s="611">
        <v>130.0</v>
      </c>
      <c r="B131" s="612" t="s">
        <v>320</v>
      </c>
      <c r="C131" s="685" t="s">
        <v>24</v>
      </c>
      <c r="D131" s="613" t="str">
        <f t="shared" si="1"/>
        <v>V</v>
      </c>
      <c r="E131" s="614" t="str">
        <f t="shared" si="2"/>
        <v>FA083/V/02</v>
      </c>
      <c r="F131" s="618" t="s">
        <v>321</v>
      </c>
      <c r="G131" s="615">
        <v>44945.0</v>
      </c>
      <c r="H131" s="617">
        <v>839900.0</v>
      </c>
      <c r="I131" s="617"/>
      <c r="J131" s="618"/>
      <c r="K131" s="619" t="s">
        <v>622</v>
      </c>
      <c r="L131" s="619" t="s">
        <v>13</v>
      </c>
      <c r="M131" s="620" t="str">
        <f t="shared" si="3"/>
        <v>02</v>
      </c>
      <c r="N131" s="618" t="s">
        <v>324</v>
      </c>
      <c r="O131" s="618"/>
      <c r="P131" s="618"/>
      <c r="Q131" s="618"/>
      <c r="R131" s="618" t="s">
        <v>10</v>
      </c>
      <c r="S131" s="621"/>
    </row>
    <row r="132" ht="13.5" customHeight="1">
      <c r="A132" s="602">
        <v>131.0</v>
      </c>
      <c r="B132" s="603" t="s">
        <v>326</v>
      </c>
      <c r="C132" s="683" t="s">
        <v>11</v>
      </c>
      <c r="D132" s="604" t="str">
        <f t="shared" si="1"/>
        <v>II</v>
      </c>
      <c r="E132" s="605" t="str">
        <f t="shared" si="2"/>
        <v>FA084/II/02</v>
      </c>
      <c r="F132" s="608" t="s">
        <v>327</v>
      </c>
      <c r="G132" s="606">
        <v>44945.0</v>
      </c>
      <c r="H132" s="684">
        <v>490991.0</v>
      </c>
      <c r="I132" s="684"/>
      <c r="J132" s="608"/>
      <c r="K132" s="401" t="s">
        <v>95</v>
      </c>
      <c r="L132" s="401" t="s">
        <v>13</v>
      </c>
      <c r="M132" s="609" t="str">
        <f t="shared" si="3"/>
        <v>02</v>
      </c>
      <c r="N132" s="608" t="s">
        <v>328</v>
      </c>
      <c r="O132" s="608"/>
      <c r="P132" s="608"/>
      <c r="Q132" s="608"/>
      <c r="R132" s="401" t="s">
        <v>52</v>
      </c>
      <c r="S132" s="610"/>
    </row>
    <row r="133" ht="13.5" customHeight="1">
      <c r="A133" s="602">
        <v>132.0</v>
      </c>
      <c r="B133" s="603" t="s">
        <v>329</v>
      </c>
      <c r="C133" s="683" t="s">
        <v>11</v>
      </c>
      <c r="D133" s="604" t="str">
        <f t="shared" si="1"/>
        <v>II</v>
      </c>
      <c r="E133" s="605" t="str">
        <f t="shared" si="2"/>
        <v>FA085/II/02</v>
      </c>
      <c r="F133" s="608" t="s">
        <v>327</v>
      </c>
      <c r="G133" s="606">
        <v>44945.0</v>
      </c>
      <c r="H133" s="684">
        <v>490991.0</v>
      </c>
      <c r="I133" s="684"/>
      <c r="J133" s="608"/>
      <c r="K133" s="401" t="s">
        <v>95</v>
      </c>
      <c r="L133" s="401" t="s">
        <v>13</v>
      </c>
      <c r="M133" s="609" t="str">
        <f t="shared" si="3"/>
        <v>02</v>
      </c>
      <c r="N133" s="608" t="s">
        <v>328</v>
      </c>
      <c r="O133" s="608"/>
      <c r="P133" s="608"/>
      <c r="Q133" s="608"/>
      <c r="R133" s="401" t="s">
        <v>52</v>
      </c>
      <c r="S133" s="610"/>
    </row>
    <row r="134" ht="13.5" customHeight="1">
      <c r="A134" s="602">
        <v>133.0</v>
      </c>
      <c r="B134" s="603" t="s">
        <v>330</v>
      </c>
      <c r="C134" s="683" t="s">
        <v>11</v>
      </c>
      <c r="D134" s="604" t="str">
        <f t="shared" si="1"/>
        <v>II</v>
      </c>
      <c r="E134" s="605" t="str">
        <f t="shared" si="2"/>
        <v>FA086/II/02</v>
      </c>
      <c r="F134" s="608" t="s">
        <v>327</v>
      </c>
      <c r="G134" s="606">
        <v>44945.0</v>
      </c>
      <c r="H134" s="684">
        <v>490991.0</v>
      </c>
      <c r="I134" s="684"/>
      <c r="J134" s="608"/>
      <c r="K134" s="401" t="s">
        <v>95</v>
      </c>
      <c r="L134" s="401" t="s">
        <v>13</v>
      </c>
      <c r="M134" s="609" t="str">
        <f t="shared" si="3"/>
        <v>02</v>
      </c>
      <c r="N134" s="608" t="s">
        <v>328</v>
      </c>
      <c r="O134" s="608"/>
      <c r="P134" s="608"/>
      <c r="Q134" s="608"/>
      <c r="R134" s="401" t="s">
        <v>52</v>
      </c>
      <c r="S134" s="610"/>
    </row>
    <row r="135" ht="13.5" customHeight="1">
      <c r="A135" s="602">
        <v>134.0</v>
      </c>
      <c r="B135" s="603" t="s">
        <v>331</v>
      </c>
      <c r="C135" s="683" t="s">
        <v>11</v>
      </c>
      <c r="D135" s="604" t="str">
        <f t="shared" si="1"/>
        <v>II</v>
      </c>
      <c r="E135" s="605" t="str">
        <f t="shared" si="2"/>
        <v>FA087/II/02</v>
      </c>
      <c r="F135" s="608" t="s">
        <v>327</v>
      </c>
      <c r="G135" s="606">
        <v>44945.0</v>
      </c>
      <c r="H135" s="684">
        <v>490991.0</v>
      </c>
      <c r="I135" s="684"/>
      <c r="J135" s="608"/>
      <c r="K135" s="401" t="s">
        <v>95</v>
      </c>
      <c r="L135" s="401" t="s">
        <v>13</v>
      </c>
      <c r="M135" s="609" t="str">
        <f t="shared" si="3"/>
        <v>02</v>
      </c>
      <c r="N135" s="608" t="s">
        <v>328</v>
      </c>
      <c r="O135" s="608"/>
      <c r="P135" s="608"/>
      <c r="Q135" s="608"/>
      <c r="R135" s="401" t="s">
        <v>52</v>
      </c>
      <c r="S135" s="610"/>
    </row>
    <row r="136" ht="13.5" customHeight="1">
      <c r="A136" s="602">
        <v>135.0</v>
      </c>
      <c r="B136" s="603" t="s">
        <v>332</v>
      </c>
      <c r="C136" s="683" t="s">
        <v>11</v>
      </c>
      <c r="D136" s="604" t="str">
        <f t="shared" si="1"/>
        <v>II</v>
      </c>
      <c r="E136" s="605" t="str">
        <f t="shared" si="2"/>
        <v>FA088/II/02</v>
      </c>
      <c r="F136" s="608" t="s">
        <v>333</v>
      </c>
      <c r="G136" s="606">
        <v>44945.0</v>
      </c>
      <c r="H136" s="684">
        <v>490991.0</v>
      </c>
      <c r="I136" s="684"/>
      <c r="J136" s="401" t="s">
        <v>138</v>
      </c>
      <c r="K136" s="401" t="s">
        <v>95</v>
      </c>
      <c r="L136" s="401" t="s">
        <v>13</v>
      </c>
      <c r="M136" s="609" t="str">
        <f t="shared" si="3"/>
        <v>02</v>
      </c>
      <c r="N136" s="608" t="s">
        <v>334</v>
      </c>
      <c r="O136" s="608"/>
      <c r="P136" s="608"/>
      <c r="Q136" s="608"/>
      <c r="R136" s="401" t="s">
        <v>52</v>
      </c>
      <c r="S136" s="610"/>
    </row>
    <row r="137" ht="13.5" customHeight="1">
      <c r="A137" s="602">
        <v>136.0</v>
      </c>
      <c r="B137" s="603" t="s">
        <v>335</v>
      </c>
      <c r="C137" s="683" t="s">
        <v>11</v>
      </c>
      <c r="D137" s="604" t="str">
        <f t="shared" si="1"/>
        <v>II</v>
      </c>
      <c r="E137" s="605" t="str">
        <f t="shared" si="2"/>
        <v>FA089/II/02</v>
      </c>
      <c r="F137" s="608" t="s">
        <v>333</v>
      </c>
      <c r="G137" s="606">
        <v>44945.0</v>
      </c>
      <c r="H137" s="684">
        <v>490991.0</v>
      </c>
      <c r="I137" s="684"/>
      <c r="J137" s="401" t="s">
        <v>336</v>
      </c>
      <c r="K137" s="401" t="s">
        <v>95</v>
      </c>
      <c r="L137" s="401" t="s">
        <v>13</v>
      </c>
      <c r="M137" s="609" t="str">
        <f t="shared" si="3"/>
        <v>02</v>
      </c>
      <c r="N137" s="608" t="s">
        <v>334</v>
      </c>
      <c r="O137" s="608"/>
      <c r="P137" s="608"/>
      <c r="Q137" s="608"/>
      <c r="R137" s="401" t="s">
        <v>52</v>
      </c>
      <c r="S137" s="610"/>
    </row>
    <row r="138" ht="13.5" customHeight="1">
      <c r="A138" s="602">
        <v>137.0</v>
      </c>
      <c r="B138" s="603" t="s">
        <v>337</v>
      </c>
      <c r="C138" s="683" t="s">
        <v>11</v>
      </c>
      <c r="D138" s="604" t="str">
        <f t="shared" si="1"/>
        <v>II</v>
      </c>
      <c r="E138" s="605" t="str">
        <f t="shared" si="2"/>
        <v>FA090/II/02</v>
      </c>
      <c r="F138" s="608" t="s">
        <v>333</v>
      </c>
      <c r="G138" s="606">
        <v>44945.0</v>
      </c>
      <c r="H138" s="684">
        <v>490991.0</v>
      </c>
      <c r="I138" s="684"/>
      <c r="J138" s="401" t="s">
        <v>1906</v>
      </c>
      <c r="K138" s="401" t="s">
        <v>95</v>
      </c>
      <c r="L138" s="401" t="s">
        <v>13</v>
      </c>
      <c r="M138" s="609" t="str">
        <f t="shared" si="3"/>
        <v>02</v>
      </c>
      <c r="N138" s="608" t="s">
        <v>334</v>
      </c>
      <c r="O138" s="608"/>
      <c r="P138" s="608"/>
      <c r="Q138" s="608"/>
      <c r="R138" s="401" t="s">
        <v>52</v>
      </c>
      <c r="S138" s="610"/>
    </row>
    <row r="139" ht="13.5" customHeight="1">
      <c r="A139" s="602">
        <v>138.0</v>
      </c>
      <c r="B139" s="603" t="s">
        <v>339</v>
      </c>
      <c r="C139" s="683" t="s">
        <v>11</v>
      </c>
      <c r="D139" s="604" t="str">
        <f t="shared" si="1"/>
        <v>II</v>
      </c>
      <c r="E139" s="605" t="str">
        <f t="shared" si="2"/>
        <v>FA091/II/02</v>
      </c>
      <c r="F139" s="608" t="s">
        <v>333</v>
      </c>
      <c r="G139" s="606">
        <v>44945.0</v>
      </c>
      <c r="H139" s="684">
        <v>490991.0</v>
      </c>
      <c r="I139" s="684"/>
      <c r="J139" s="401" t="s">
        <v>322</v>
      </c>
      <c r="K139" s="401" t="s">
        <v>95</v>
      </c>
      <c r="L139" s="401" t="s">
        <v>13</v>
      </c>
      <c r="M139" s="609" t="str">
        <f t="shared" si="3"/>
        <v>02</v>
      </c>
      <c r="N139" s="608" t="s">
        <v>334</v>
      </c>
      <c r="O139" s="608"/>
      <c r="P139" s="608"/>
      <c r="Q139" s="608"/>
      <c r="R139" s="401" t="s">
        <v>52</v>
      </c>
      <c r="S139" s="610"/>
    </row>
    <row r="140" ht="13.5" customHeight="1">
      <c r="A140" s="602">
        <v>139.0</v>
      </c>
      <c r="B140" s="603" t="s">
        <v>340</v>
      </c>
      <c r="C140" s="683" t="s">
        <v>11</v>
      </c>
      <c r="D140" s="604" t="str">
        <f t="shared" si="1"/>
        <v>II</v>
      </c>
      <c r="E140" s="605" t="str">
        <f t="shared" si="2"/>
        <v>FA092/II/02</v>
      </c>
      <c r="F140" s="608" t="s">
        <v>341</v>
      </c>
      <c r="G140" s="606">
        <v>44945.0</v>
      </c>
      <c r="H140" s="684">
        <v>1689189.0</v>
      </c>
      <c r="I140" s="684"/>
      <c r="J140" s="608"/>
      <c r="K140" s="401" t="s">
        <v>95</v>
      </c>
      <c r="L140" s="401" t="s">
        <v>13</v>
      </c>
      <c r="M140" s="609" t="str">
        <f t="shared" si="3"/>
        <v>02</v>
      </c>
      <c r="N140" s="401" t="s">
        <v>342</v>
      </c>
      <c r="O140" s="608"/>
      <c r="P140" s="608"/>
      <c r="Q140" s="608"/>
      <c r="R140" s="401" t="s">
        <v>52</v>
      </c>
      <c r="S140" s="610"/>
    </row>
    <row r="141" ht="13.5" customHeight="1">
      <c r="A141" s="602">
        <v>140.0</v>
      </c>
      <c r="B141" s="603" t="s">
        <v>343</v>
      </c>
      <c r="C141" s="683" t="s">
        <v>11</v>
      </c>
      <c r="D141" s="604" t="str">
        <f t="shared" si="1"/>
        <v>II</v>
      </c>
      <c r="E141" s="605" t="str">
        <f t="shared" si="2"/>
        <v>FA093/II/02</v>
      </c>
      <c r="F141" s="608" t="s">
        <v>221</v>
      </c>
      <c r="G141" s="606">
        <v>44945.0</v>
      </c>
      <c r="H141" s="684">
        <v>979000.0</v>
      </c>
      <c r="I141" s="684"/>
      <c r="J141" s="608"/>
      <c r="K141" s="401" t="s">
        <v>95</v>
      </c>
      <c r="L141" s="401" t="s">
        <v>13</v>
      </c>
      <c r="M141" s="609" t="str">
        <f t="shared" si="3"/>
        <v>02</v>
      </c>
      <c r="N141" s="608" t="s">
        <v>344</v>
      </c>
      <c r="O141" s="608"/>
      <c r="P141" s="608"/>
      <c r="Q141" s="608"/>
      <c r="R141" s="401" t="s">
        <v>52</v>
      </c>
      <c r="S141" s="610"/>
    </row>
    <row r="142" ht="13.5" customHeight="1">
      <c r="A142" s="622">
        <v>141.0</v>
      </c>
      <c r="B142" s="623" t="s">
        <v>345</v>
      </c>
      <c r="C142" s="681" t="s">
        <v>16</v>
      </c>
      <c r="D142" s="624" t="str">
        <f t="shared" si="1"/>
        <v>III</v>
      </c>
      <c r="E142" s="625" t="str">
        <f t="shared" si="2"/>
        <v>FA094/III/01</v>
      </c>
      <c r="F142" s="630" t="s">
        <v>346</v>
      </c>
      <c r="G142" s="626">
        <v>44940.0</v>
      </c>
      <c r="H142" s="682">
        <v>1.0990991E7</v>
      </c>
      <c r="I142" s="682"/>
      <c r="J142" s="630" t="s">
        <v>166</v>
      </c>
      <c r="K142" s="630" t="s">
        <v>95</v>
      </c>
      <c r="L142" s="630" t="s">
        <v>8</v>
      </c>
      <c r="M142" s="629" t="str">
        <f t="shared" si="3"/>
        <v>01</v>
      </c>
      <c r="N142" s="630" t="s">
        <v>121</v>
      </c>
      <c r="O142" s="630"/>
      <c r="P142" s="630"/>
      <c r="Q142" s="630"/>
      <c r="R142" s="628" t="s">
        <v>52</v>
      </c>
      <c r="S142" s="631"/>
    </row>
    <row r="143" ht="13.5" customHeight="1">
      <c r="A143" s="632">
        <v>142.0</v>
      </c>
      <c r="B143" s="633" t="s">
        <v>347</v>
      </c>
      <c r="C143" s="686" t="s">
        <v>16</v>
      </c>
      <c r="D143" s="634" t="str">
        <f t="shared" si="1"/>
        <v>III</v>
      </c>
      <c r="E143" s="635" t="str">
        <f t="shared" si="2"/>
        <v>FA095/III/01</v>
      </c>
      <c r="F143" s="638" t="s">
        <v>348</v>
      </c>
      <c r="G143" s="636">
        <v>44942.0</v>
      </c>
      <c r="H143" s="687">
        <v>4200000.0</v>
      </c>
      <c r="I143" s="687"/>
      <c r="J143" s="639" t="s">
        <v>198</v>
      </c>
      <c r="K143" s="638" t="s">
        <v>158</v>
      </c>
      <c r="L143" s="638" t="s">
        <v>8</v>
      </c>
      <c r="M143" s="640" t="str">
        <f t="shared" si="3"/>
        <v>01</v>
      </c>
      <c r="N143" s="638" t="s">
        <v>121</v>
      </c>
      <c r="O143" s="638"/>
      <c r="P143" s="638"/>
      <c r="Q143" s="638"/>
      <c r="R143" s="638"/>
      <c r="S143" s="641"/>
    </row>
    <row r="144" ht="13.5" customHeight="1">
      <c r="A144" s="632">
        <v>143.0</v>
      </c>
      <c r="B144" s="633" t="s">
        <v>350</v>
      </c>
      <c r="C144" s="686" t="s">
        <v>16</v>
      </c>
      <c r="D144" s="634" t="str">
        <f t="shared" si="1"/>
        <v>III</v>
      </c>
      <c r="E144" s="635" t="str">
        <f t="shared" si="2"/>
        <v>FA096/III/01</v>
      </c>
      <c r="F144" s="638" t="s">
        <v>351</v>
      </c>
      <c r="G144" s="636">
        <v>44942.0</v>
      </c>
      <c r="H144" s="687">
        <v>4200000.0</v>
      </c>
      <c r="I144" s="687"/>
      <c r="J144" s="688"/>
      <c r="K144" s="638"/>
      <c r="L144" s="639" t="s">
        <v>8</v>
      </c>
      <c r="M144" s="640" t="str">
        <f t="shared" si="3"/>
        <v>01</v>
      </c>
      <c r="N144" s="638" t="s">
        <v>121</v>
      </c>
      <c r="O144" s="638"/>
      <c r="P144" s="638"/>
      <c r="Q144" s="638"/>
      <c r="R144" s="638"/>
      <c r="S144" s="641"/>
    </row>
    <row r="145" ht="13.5" customHeight="1">
      <c r="A145" s="602">
        <v>144.0</v>
      </c>
      <c r="B145" s="603" t="s">
        <v>353</v>
      </c>
      <c r="C145" s="683" t="s">
        <v>16</v>
      </c>
      <c r="D145" s="604" t="str">
        <f t="shared" si="1"/>
        <v>III</v>
      </c>
      <c r="E145" s="605" t="str">
        <f t="shared" si="2"/>
        <v>FA097/III/02</v>
      </c>
      <c r="F145" s="608" t="s">
        <v>351</v>
      </c>
      <c r="G145" s="595">
        <v>44942.0</v>
      </c>
      <c r="H145" s="684">
        <v>4200000.0</v>
      </c>
      <c r="I145" s="684"/>
      <c r="J145" s="401" t="s">
        <v>1907</v>
      </c>
      <c r="K145" s="608" t="s">
        <v>81</v>
      </c>
      <c r="L145" s="401" t="s">
        <v>13</v>
      </c>
      <c r="M145" s="609" t="str">
        <f t="shared" si="3"/>
        <v>02</v>
      </c>
      <c r="N145" s="608" t="s">
        <v>121</v>
      </c>
      <c r="O145" s="608"/>
      <c r="P145" s="608"/>
      <c r="Q145" s="608"/>
      <c r="R145" s="401" t="s">
        <v>52</v>
      </c>
      <c r="S145" s="610"/>
    </row>
    <row r="146" ht="13.5" customHeight="1">
      <c r="A146" s="622">
        <v>145.0</v>
      </c>
      <c r="B146" s="623" t="s">
        <v>355</v>
      </c>
      <c r="C146" s="681" t="s">
        <v>16</v>
      </c>
      <c r="D146" s="624" t="str">
        <f t="shared" si="1"/>
        <v>III</v>
      </c>
      <c r="E146" s="625" t="str">
        <f t="shared" si="2"/>
        <v>FA098/III/01</v>
      </c>
      <c r="F146" s="630" t="s">
        <v>356</v>
      </c>
      <c r="G146" s="626">
        <v>44942.0</v>
      </c>
      <c r="H146" s="682">
        <v>5500000.0</v>
      </c>
      <c r="I146" s="682"/>
      <c r="J146" s="630" t="s">
        <v>1908</v>
      </c>
      <c r="K146" s="630" t="s">
        <v>1898</v>
      </c>
      <c r="L146" s="630" t="s">
        <v>8</v>
      </c>
      <c r="M146" s="629" t="str">
        <f t="shared" si="3"/>
        <v>01</v>
      </c>
      <c r="N146" s="630" t="s">
        <v>43</v>
      </c>
      <c r="O146" s="630"/>
      <c r="P146" s="630"/>
      <c r="Q146" s="630"/>
      <c r="R146" s="628" t="s">
        <v>52</v>
      </c>
      <c r="S146" s="631"/>
    </row>
    <row r="147" ht="13.5" customHeight="1">
      <c r="A147" s="622">
        <v>146.0</v>
      </c>
      <c r="B147" s="623" t="s">
        <v>358</v>
      </c>
      <c r="C147" s="681" t="s">
        <v>16</v>
      </c>
      <c r="D147" s="624" t="str">
        <f t="shared" si="1"/>
        <v>III</v>
      </c>
      <c r="E147" s="625" t="str">
        <f t="shared" si="2"/>
        <v>FA099/III/01</v>
      </c>
      <c r="F147" s="630" t="s">
        <v>359</v>
      </c>
      <c r="G147" s="626">
        <v>44954.0</v>
      </c>
      <c r="H147" s="682">
        <v>5450000.0</v>
      </c>
      <c r="I147" s="682"/>
      <c r="J147" s="628" t="s">
        <v>160</v>
      </c>
      <c r="K147" s="630" t="s">
        <v>158</v>
      </c>
      <c r="L147" s="630" t="s">
        <v>8</v>
      </c>
      <c r="M147" s="629" t="str">
        <f t="shared" si="3"/>
        <v>01</v>
      </c>
      <c r="N147" s="630" t="s">
        <v>43</v>
      </c>
      <c r="O147" s="630"/>
      <c r="P147" s="630"/>
      <c r="Q147" s="630"/>
      <c r="R147" s="630"/>
      <c r="S147" s="631"/>
    </row>
    <row r="148" ht="13.5" customHeight="1">
      <c r="A148" s="602">
        <v>147.0</v>
      </c>
      <c r="B148" s="603" t="s">
        <v>360</v>
      </c>
      <c r="C148" s="683" t="s">
        <v>16</v>
      </c>
      <c r="D148" s="604" t="str">
        <f t="shared" si="1"/>
        <v>III</v>
      </c>
      <c r="E148" s="605" t="str">
        <f t="shared" si="2"/>
        <v>FA100/III/02</v>
      </c>
      <c r="F148" s="608" t="s">
        <v>351</v>
      </c>
      <c r="G148" s="615">
        <v>44954.0</v>
      </c>
      <c r="H148" s="684">
        <v>3950000.0</v>
      </c>
      <c r="I148" s="684"/>
      <c r="J148" s="401" t="s">
        <v>1909</v>
      </c>
      <c r="K148" s="401" t="s">
        <v>81</v>
      </c>
      <c r="L148" s="401" t="s">
        <v>13</v>
      </c>
      <c r="M148" s="609" t="str">
        <f t="shared" si="3"/>
        <v>02</v>
      </c>
      <c r="N148" s="608" t="s">
        <v>121</v>
      </c>
      <c r="O148" s="608"/>
      <c r="P148" s="608"/>
      <c r="Q148" s="608"/>
      <c r="R148" s="401" t="s">
        <v>52</v>
      </c>
      <c r="S148" s="610"/>
    </row>
    <row r="149" ht="13.5" customHeight="1">
      <c r="A149" s="622">
        <v>148.0</v>
      </c>
      <c r="B149" s="623" t="s">
        <v>361</v>
      </c>
      <c r="C149" s="681" t="s">
        <v>11</v>
      </c>
      <c r="D149" s="624" t="str">
        <f t="shared" si="1"/>
        <v>II</v>
      </c>
      <c r="E149" s="625" t="str">
        <f t="shared" si="2"/>
        <v>FA101/II/01</v>
      </c>
      <c r="F149" s="630" t="s">
        <v>1910</v>
      </c>
      <c r="G149" s="626">
        <v>44954.0</v>
      </c>
      <c r="H149" s="682">
        <v>783020.0</v>
      </c>
      <c r="I149" s="682"/>
      <c r="J149" s="628" t="s">
        <v>287</v>
      </c>
      <c r="K149" s="628" t="s">
        <v>158</v>
      </c>
      <c r="L149" s="628" t="s">
        <v>8</v>
      </c>
      <c r="M149" s="629" t="str">
        <f t="shared" si="3"/>
        <v>01</v>
      </c>
      <c r="N149" s="630" t="s">
        <v>155</v>
      </c>
      <c r="O149" s="630"/>
      <c r="P149" s="630"/>
      <c r="Q149" s="630"/>
      <c r="R149" s="630"/>
      <c r="S149" s="631"/>
    </row>
    <row r="150" ht="13.5" customHeight="1">
      <c r="A150" s="622">
        <v>149.0</v>
      </c>
      <c r="B150" s="623" t="s">
        <v>362</v>
      </c>
      <c r="C150" s="681" t="s">
        <v>11</v>
      </c>
      <c r="D150" s="624" t="str">
        <f t="shared" si="1"/>
        <v>II</v>
      </c>
      <c r="E150" s="625" t="str">
        <f t="shared" si="2"/>
        <v>FA102/II/01</v>
      </c>
      <c r="F150" s="630" t="s">
        <v>1910</v>
      </c>
      <c r="G150" s="626">
        <v>44954.0</v>
      </c>
      <c r="H150" s="682">
        <v>783020.0</v>
      </c>
      <c r="I150" s="682"/>
      <c r="J150" s="628" t="s">
        <v>1911</v>
      </c>
      <c r="K150" s="628" t="s">
        <v>47</v>
      </c>
      <c r="L150" s="628" t="s">
        <v>8</v>
      </c>
      <c r="M150" s="629" t="str">
        <f t="shared" si="3"/>
        <v>01</v>
      </c>
      <c r="N150" s="630" t="s">
        <v>155</v>
      </c>
      <c r="O150" s="630"/>
      <c r="P150" s="630"/>
      <c r="Q150" s="630"/>
      <c r="R150" s="630"/>
      <c r="S150" s="631"/>
    </row>
    <row r="151" ht="13.5" customHeight="1">
      <c r="A151" s="622">
        <v>150.0</v>
      </c>
      <c r="B151" s="623" t="s">
        <v>363</v>
      </c>
      <c r="C151" s="681" t="s">
        <v>11</v>
      </c>
      <c r="D151" s="624" t="str">
        <f t="shared" si="1"/>
        <v>II</v>
      </c>
      <c r="E151" s="625" t="str">
        <f t="shared" si="2"/>
        <v>FA103/II/01</v>
      </c>
      <c r="F151" s="630" t="s">
        <v>1910</v>
      </c>
      <c r="G151" s="626">
        <v>44954.0</v>
      </c>
      <c r="H151" s="682">
        <v>783020.0</v>
      </c>
      <c r="I151" s="682"/>
      <c r="J151" s="628" t="s">
        <v>1912</v>
      </c>
      <c r="K151" s="628" t="s">
        <v>1890</v>
      </c>
      <c r="L151" s="628" t="s">
        <v>8</v>
      </c>
      <c r="M151" s="629" t="str">
        <f t="shared" si="3"/>
        <v>01</v>
      </c>
      <c r="N151" s="630" t="s">
        <v>155</v>
      </c>
      <c r="O151" s="630"/>
      <c r="P151" s="630"/>
      <c r="Q151" s="630"/>
      <c r="R151" s="630"/>
      <c r="S151" s="631"/>
    </row>
    <row r="152" ht="13.5" customHeight="1">
      <c r="A152" s="622">
        <v>151.0</v>
      </c>
      <c r="B152" s="623" t="s">
        <v>364</v>
      </c>
      <c r="C152" s="681" t="s">
        <v>11</v>
      </c>
      <c r="D152" s="624" t="str">
        <f t="shared" si="1"/>
        <v>II</v>
      </c>
      <c r="E152" s="625" t="str">
        <f t="shared" si="2"/>
        <v>FA104/II/01</v>
      </c>
      <c r="F152" s="630" t="s">
        <v>1913</v>
      </c>
      <c r="G152" s="626">
        <v>44954.0</v>
      </c>
      <c r="H152" s="682">
        <v>980000.0</v>
      </c>
      <c r="I152" s="682"/>
      <c r="J152" s="628" t="s">
        <v>1894</v>
      </c>
      <c r="K152" s="628" t="s">
        <v>108</v>
      </c>
      <c r="L152" s="628" t="s">
        <v>8</v>
      </c>
      <c r="M152" s="629" t="str">
        <f t="shared" si="3"/>
        <v>01</v>
      </c>
      <c r="N152" s="630" t="s">
        <v>155</v>
      </c>
      <c r="O152" s="630"/>
      <c r="P152" s="630"/>
      <c r="Q152" s="630"/>
      <c r="R152" s="630"/>
      <c r="S152" s="631"/>
    </row>
    <row r="153" ht="13.5" customHeight="1">
      <c r="A153" s="622">
        <v>152.0</v>
      </c>
      <c r="B153" s="623" t="s">
        <v>365</v>
      </c>
      <c r="C153" s="681" t="s">
        <v>6</v>
      </c>
      <c r="D153" s="624" t="str">
        <f t="shared" si="1"/>
        <v>I</v>
      </c>
      <c r="E153" s="625" t="str">
        <f t="shared" si="2"/>
        <v>FA105/I/01</v>
      </c>
      <c r="F153" s="630" t="s">
        <v>366</v>
      </c>
      <c r="G153" s="626">
        <v>44959.0</v>
      </c>
      <c r="H153" s="682">
        <v>3037000.0</v>
      </c>
      <c r="I153" s="682"/>
      <c r="J153" s="628" t="s">
        <v>372</v>
      </c>
      <c r="K153" s="630" t="s">
        <v>1890</v>
      </c>
      <c r="L153" s="630" t="s">
        <v>8</v>
      </c>
      <c r="M153" s="629" t="str">
        <f t="shared" si="3"/>
        <v>01</v>
      </c>
      <c r="N153" s="630" t="s">
        <v>367</v>
      </c>
      <c r="O153" s="630"/>
      <c r="P153" s="630"/>
      <c r="Q153" s="630"/>
      <c r="R153" s="630"/>
      <c r="S153" s="631"/>
    </row>
    <row r="154" ht="13.5" customHeight="1">
      <c r="A154" s="667">
        <v>153.0</v>
      </c>
      <c r="B154" s="668" t="s">
        <v>368</v>
      </c>
      <c r="C154" s="689" t="s">
        <v>6</v>
      </c>
      <c r="D154" s="669" t="str">
        <f t="shared" si="1"/>
        <v>I</v>
      </c>
      <c r="E154" s="670" t="str">
        <f t="shared" si="2"/>
        <v>FA106/I/01</v>
      </c>
      <c r="F154" s="673" t="s">
        <v>369</v>
      </c>
      <c r="G154" s="671">
        <v>44959.0</v>
      </c>
      <c r="H154" s="690">
        <v>604600.0</v>
      </c>
      <c r="I154" s="690"/>
      <c r="J154" s="680" t="s">
        <v>1863</v>
      </c>
      <c r="K154" s="680" t="s">
        <v>51</v>
      </c>
      <c r="L154" s="673" t="s">
        <v>8</v>
      </c>
      <c r="M154" s="674" t="str">
        <f t="shared" si="3"/>
        <v>01</v>
      </c>
      <c r="N154" s="673" t="s">
        <v>270</v>
      </c>
      <c r="O154" s="673"/>
      <c r="P154" s="673"/>
      <c r="Q154" s="673"/>
      <c r="R154" s="673"/>
      <c r="S154" s="675"/>
    </row>
    <row r="155" ht="13.5" customHeight="1">
      <c r="A155" s="622">
        <v>154.0</v>
      </c>
      <c r="B155" s="623" t="s">
        <v>370</v>
      </c>
      <c r="C155" s="681" t="s">
        <v>6</v>
      </c>
      <c r="D155" s="624" t="str">
        <f t="shared" si="1"/>
        <v>I</v>
      </c>
      <c r="E155" s="625" t="str">
        <f t="shared" si="2"/>
        <v>FA107/I/01</v>
      </c>
      <c r="F155" s="628" t="s">
        <v>371</v>
      </c>
      <c r="G155" s="626">
        <v>44959.0</v>
      </c>
      <c r="H155" s="682">
        <v>1.33379E7</v>
      </c>
      <c r="I155" s="682"/>
      <c r="J155" s="628" t="s">
        <v>372</v>
      </c>
      <c r="K155" s="630" t="s">
        <v>1890</v>
      </c>
      <c r="L155" s="630" t="s">
        <v>8</v>
      </c>
      <c r="M155" s="629" t="str">
        <f t="shared" si="3"/>
        <v>01</v>
      </c>
      <c r="N155" s="630" t="s">
        <v>117</v>
      </c>
      <c r="O155" s="630"/>
      <c r="P155" s="630"/>
      <c r="Q155" s="630"/>
      <c r="R155" s="630"/>
      <c r="S155" s="631"/>
    </row>
    <row r="156" ht="13.5" customHeight="1">
      <c r="A156" s="622">
        <v>155.0</v>
      </c>
      <c r="B156" s="623" t="s">
        <v>373</v>
      </c>
      <c r="C156" s="681" t="s">
        <v>6</v>
      </c>
      <c r="D156" s="624" t="str">
        <f t="shared" si="1"/>
        <v>I</v>
      </c>
      <c r="E156" s="625" t="str">
        <f t="shared" si="2"/>
        <v>FA108/I/01</v>
      </c>
      <c r="F156" s="630" t="s">
        <v>374</v>
      </c>
      <c r="G156" s="626">
        <v>44959.0</v>
      </c>
      <c r="H156" s="682">
        <v>3438700.0</v>
      </c>
      <c r="I156" s="682"/>
      <c r="J156" s="628" t="s">
        <v>372</v>
      </c>
      <c r="K156" s="630" t="s">
        <v>1890</v>
      </c>
      <c r="L156" s="630" t="s">
        <v>8</v>
      </c>
      <c r="M156" s="629" t="str">
        <f t="shared" si="3"/>
        <v>01</v>
      </c>
      <c r="N156" s="630" t="s">
        <v>117</v>
      </c>
      <c r="O156" s="630"/>
      <c r="P156" s="630"/>
      <c r="Q156" s="630"/>
      <c r="R156" s="630"/>
      <c r="S156" s="631"/>
    </row>
    <row r="157" ht="13.5" customHeight="1">
      <c r="A157" s="602">
        <v>156.0</v>
      </c>
      <c r="B157" s="603" t="s">
        <v>375</v>
      </c>
      <c r="C157" s="683" t="s">
        <v>24</v>
      </c>
      <c r="D157" s="604" t="str">
        <f t="shared" si="1"/>
        <v>V</v>
      </c>
      <c r="E157" s="605" t="str">
        <f t="shared" si="2"/>
        <v>FA109/V/02</v>
      </c>
      <c r="F157" s="608" t="s">
        <v>376</v>
      </c>
      <c r="G157" s="595">
        <v>44963.0</v>
      </c>
      <c r="H157" s="684">
        <v>725000.0</v>
      </c>
      <c r="I157" s="684"/>
      <c r="J157" s="608"/>
      <c r="K157" s="401" t="s">
        <v>622</v>
      </c>
      <c r="L157" s="401" t="s">
        <v>13</v>
      </c>
      <c r="M157" s="609" t="str">
        <f t="shared" si="3"/>
        <v>02</v>
      </c>
      <c r="N157" s="608" t="s">
        <v>377</v>
      </c>
      <c r="O157" s="608"/>
      <c r="P157" s="608"/>
      <c r="Q157" s="608"/>
      <c r="R157" s="401" t="s">
        <v>52</v>
      </c>
      <c r="S157" s="610"/>
    </row>
    <row r="158" ht="13.5" customHeight="1">
      <c r="A158" s="622">
        <v>157.0</v>
      </c>
      <c r="B158" s="623" t="s">
        <v>378</v>
      </c>
      <c r="C158" s="681" t="s">
        <v>11</v>
      </c>
      <c r="D158" s="624" t="str">
        <f t="shared" si="1"/>
        <v>II</v>
      </c>
      <c r="E158" s="625" t="str">
        <f t="shared" si="2"/>
        <v>FA110/II/01</v>
      </c>
      <c r="F158" s="630" t="s">
        <v>79</v>
      </c>
      <c r="G158" s="626">
        <v>44966.0</v>
      </c>
      <c r="H158" s="682">
        <v>854955.0</v>
      </c>
      <c r="I158" s="682"/>
      <c r="J158" s="628" t="s">
        <v>1914</v>
      </c>
      <c r="K158" s="628" t="s">
        <v>1898</v>
      </c>
      <c r="L158" s="628" t="s">
        <v>8</v>
      </c>
      <c r="M158" s="629" t="str">
        <f t="shared" si="3"/>
        <v>01</v>
      </c>
      <c r="N158" s="630" t="s">
        <v>155</v>
      </c>
      <c r="O158" s="630"/>
      <c r="P158" s="630"/>
      <c r="Q158" s="630"/>
      <c r="R158" s="630"/>
      <c r="S158" s="631"/>
    </row>
    <row r="159" ht="13.5" customHeight="1">
      <c r="A159" s="622">
        <v>158.0</v>
      </c>
      <c r="B159" s="623" t="s">
        <v>379</v>
      </c>
      <c r="C159" s="681" t="s">
        <v>11</v>
      </c>
      <c r="D159" s="624" t="str">
        <f t="shared" si="1"/>
        <v>II</v>
      </c>
      <c r="E159" s="625" t="str">
        <f t="shared" si="2"/>
        <v>FA111/II/01</v>
      </c>
      <c r="F159" s="630" t="s">
        <v>79</v>
      </c>
      <c r="G159" s="626">
        <v>44966.0</v>
      </c>
      <c r="H159" s="682">
        <v>854955.0</v>
      </c>
      <c r="I159" s="682"/>
      <c r="J159" s="628" t="s">
        <v>287</v>
      </c>
      <c r="K159" s="628" t="s">
        <v>158</v>
      </c>
      <c r="L159" s="628" t="s">
        <v>8</v>
      </c>
      <c r="M159" s="629" t="str">
        <f t="shared" si="3"/>
        <v>01</v>
      </c>
      <c r="N159" s="630" t="s">
        <v>155</v>
      </c>
      <c r="O159" s="630"/>
      <c r="P159" s="630"/>
      <c r="Q159" s="630"/>
      <c r="R159" s="630"/>
      <c r="S159" s="631"/>
    </row>
    <row r="160" ht="13.5" customHeight="1">
      <c r="A160" s="667">
        <v>159.0</v>
      </c>
      <c r="B160" s="668" t="s">
        <v>380</v>
      </c>
      <c r="C160" s="689" t="s">
        <v>11</v>
      </c>
      <c r="D160" s="669" t="str">
        <f t="shared" si="1"/>
        <v>II</v>
      </c>
      <c r="E160" s="670" t="str">
        <f t="shared" si="2"/>
        <v>FA112/II/01</v>
      </c>
      <c r="F160" s="673" t="s">
        <v>381</v>
      </c>
      <c r="G160" s="671">
        <v>44966.0</v>
      </c>
      <c r="H160" s="690">
        <v>494595.0</v>
      </c>
      <c r="I160" s="690"/>
      <c r="J160" s="680" t="s">
        <v>1915</v>
      </c>
      <c r="K160" s="680" t="s">
        <v>51</v>
      </c>
      <c r="L160" s="680" t="s">
        <v>8</v>
      </c>
      <c r="M160" s="674" t="str">
        <f t="shared" si="3"/>
        <v>01</v>
      </c>
      <c r="N160" s="673" t="s">
        <v>155</v>
      </c>
      <c r="O160" s="673"/>
      <c r="P160" s="673"/>
      <c r="Q160" s="673"/>
      <c r="R160" s="673"/>
      <c r="S160" s="675"/>
    </row>
    <row r="161" ht="13.5" customHeight="1">
      <c r="A161" s="667">
        <v>160.0</v>
      </c>
      <c r="B161" s="668" t="s">
        <v>382</v>
      </c>
      <c r="C161" s="689" t="s">
        <v>11</v>
      </c>
      <c r="D161" s="669" t="str">
        <f t="shared" si="1"/>
        <v>II</v>
      </c>
      <c r="E161" s="670" t="str">
        <f t="shared" si="2"/>
        <v>FA113/II/01</v>
      </c>
      <c r="F161" s="673" t="s">
        <v>381</v>
      </c>
      <c r="G161" s="671">
        <v>44966.0</v>
      </c>
      <c r="H161" s="690">
        <v>494595.0</v>
      </c>
      <c r="I161" s="690"/>
      <c r="J161" s="680" t="s">
        <v>97</v>
      </c>
      <c r="K161" s="680" t="s">
        <v>81</v>
      </c>
      <c r="L161" s="680" t="s">
        <v>8</v>
      </c>
      <c r="M161" s="674" t="str">
        <f t="shared" si="3"/>
        <v>01</v>
      </c>
      <c r="N161" s="673" t="s">
        <v>155</v>
      </c>
      <c r="O161" s="673"/>
      <c r="P161" s="673"/>
      <c r="Q161" s="673"/>
      <c r="R161" s="673"/>
      <c r="S161" s="675"/>
    </row>
    <row r="162" ht="13.5" customHeight="1">
      <c r="A162" s="602">
        <v>161.0</v>
      </c>
      <c r="B162" s="603" t="s">
        <v>383</v>
      </c>
      <c r="C162" s="683" t="s">
        <v>11</v>
      </c>
      <c r="D162" s="604" t="str">
        <f t="shared" si="1"/>
        <v>II</v>
      </c>
      <c r="E162" s="605" t="str">
        <f t="shared" si="2"/>
        <v>FA114/II/02</v>
      </c>
      <c r="F162" s="608" t="s">
        <v>384</v>
      </c>
      <c r="G162" s="606">
        <v>44966.0</v>
      </c>
      <c r="H162" s="684">
        <v>494595.0</v>
      </c>
      <c r="I162" s="684"/>
      <c r="J162" s="608"/>
      <c r="K162" s="401" t="s">
        <v>95</v>
      </c>
      <c r="L162" s="401" t="s">
        <v>13</v>
      </c>
      <c r="M162" s="609" t="str">
        <f t="shared" si="3"/>
        <v>02</v>
      </c>
      <c r="N162" s="608" t="s">
        <v>155</v>
      </c>
      <c r="O162" s="608"/>
      <c r="P162" s="608"/>
      <c r="Q162" s="608"/>
      <c r="R162" s="401" t="s">
        <v>52</v>
      </c>
      <c r="S162" s="610"/>
    </row>
    <row r="163" ht="13.5" customHeight="1">
      <c r="A163" s="622">
        <v>162.0</v>
      </c>
      <c r="B163" s="623" t="s">
        <v>385</v>
      </c>
      <c r="C163" s="681" t="s">
        <v>11</v>
      </c>
      <c r="D163" s="624" t="str">
        <f t="shared" si="1"/>
        <v>II</v>
      </c>
      <c r="E163" s="625" t="str">
        <f t="shared" si="2"/>
        <v>FA115/II/01</v>
      </c>
      <c r="F163" s="630" t="s">
        <v>381</v>
      </c>
      <c r="G163" s="626">
        <v>44966.0</v>
      </c>
      <c r="H163" s="682">
        <v>494595.0</v>
      </c>
      <c r="I163" s="682"/>
      <c r="J163" s="628" t="s">
        <v>1916</v>
      </c>
      <c r="K163" s="628" t="s">
        <v>47</v>
      </c>
      <c r="L163" s="628" t="s">
        <v>8</v>
      </c>
      <c r="M163" s="629" t="str">
        <f t="shared" si="3"/>
        <v>01</v>
      </c>
      <c r="N163" s="630" t="s">
        <v>155</v>
      </c>
      <c r="O163" s="630"/>
      <c r="P163" s="630"/>
      <c r="Q163" s="630"/>
      <c r="R163" s="630"/>
      <c r="S163" s="631"/>
    </row>
    <row r="164" ht="13.5" customHeight="1">
      <c r="A164" s="632">
        <v>163.0</v>
      </c>
      <c r="B164" s="633" t="s">
        <v>387</v>
      </c>
      <c r="C164" s="686" t="s">
        <v>16</v>
      </c>
      <c r="D164" s="634" t="str">
        <f t="shared" si="1"/>
        <v>III</v>
      </c>
      <c r="E164" s="635" t="str">
        <f t="shared" si="2"/>
        <v>FA116/III/01</v>
      </c>
      <c r="F164" s="638" t="s">
        <v>1917</v>
      </c>
      <c r="G164" s="636">
        <v>44972.0</v>
      </c>
      <c r="H164" s="687">
        <v>8807102.0</v>
      </c>
      <c r="I164" s="687"/>
      <c r="J164" s="638"/>
      <c r="K164" s="638"/>
      <c r="L164" s="639" t="s">
        <v>8</v>
      </c>
      <c r="M164" s="640" t="str">
        <f t="shared" si="3"/>
        <v>01</v>
      </c>
      <c r="N164" s="638" t="s">
        <v>121</v>
      </c>
      <c r="O164" s="638"/>
      <c r="P164" s="638"/>
      <c r="Q164" s="638"/>
      <c r="R164" s="638"/>
      <c r="S164" s="641"/>
    </row>
    <row r="165" ht="13.5" customHeight="1">
      <c r="A165" s="622">
        <v>164.0</v>
      </c>
      <c r="B165" s="623" t="s">
        <v>390</v>
      </c>
      <c r="C165" s="681" t="s">
        <v>16</v>
      </c>
      <c r="D165" s="624" t="str">
        <f t="shared" si="1"/>
        <v>III</v>
      </c>
      <c r="E165" s="625" t="str">
        <f t="shared" si="2"/>
        <v>FA117/III/01</v>
      </c>
      <c r="F165" s="630" t="s">
        <v>391</v>
      </c>
      <c r="G165" s="626">
        <v>44973.0</v>
      </c>
      <c r="H165" s="682">
        <v>8647748.0</v>
      </c>
      <c r="I165" s="682"/>
      <c r="J165" s="630" t="s">
        <v>392</v>
      </c>
      <c r="K165" s="630" t="s">
        <v>170</v>
      </c>
      <c r="L165" s="628" t="s">
        <v>8</v>
      </c>
      <c r="M165" s="629" t="str">
        <f t="shared" si="3"/>
        <v>01</v>
      </c>
      <c r="N165" s="630" t="s">
        <v>121</v>
      </c>
      <c r="O165" s="630"/>
      <c r="P165" s="630"/>
      <c r="Q165" s="630"/>
      <c r="R165" s="628" t="s">
        <v>52</v>
      </c>
      <c r="S165" s="631"/>
    </row>
    <row r="166" ht="13.5" customHeight="1">
      <c r="A166" s="602">
        <v>165.0</v>
      </c>
      <c r="B166" s="603" t="s">
        <v>393</v>
      </c>
      <c r="C166" s="683" t="s">
        <v>16</v>
      </c>
      <c r="D166" s="604" t="str">
        <f t="shared" si="1"/>
        <v>III</v>
      </c>
      <c r="E166" s="605" t="str">
        <f t="shared" si="2"/>
        <v>FA118/III/02</v>
      </c>
      <c r="F166" s="608" t="s">
        <v>391</v>
      </c>
      <c r="G166" s="595">
        <v>44973.0</v>
      </c>
      <c r="H166" s="684">
        <v>8647748.0</v>
      </c>
      <c r="I166" s="684"/>
      <c r="J166" s="401" t="s">
        <v>1918</v>
      </c>
      <c r="K166" s="608" t="s">
        <v>622</v>
      </c>
      <c r="L166" s="401" t="s">
        <v>13</v>
      </c>
      <c r="M166" s="609" t="str">
        <f t="shared" si="3"/>
        <v>02</v>
      </c>
      <c r="N166" s="608" t="s">
        <v>121</v>
      </c>
      <c r="O166" s="608"/>
      <c r="P166" s="608"/>
      <c r="Q166" s="608"/>
      <c r="R166" s="401" t="s">
        <v>52</v>
      </c>
      <c r="S166" s="610"/>
    </row>
    <row r="167" ht="13.5" customHeight="1">
      <c r="A167" s="602">
        <v>166.0</v>
      </c>
      <c r="B167" s="603" t="s">
        <v>394</v>
      </c>
      <c r="C167" s="683" t="s">
        <v>24</v>
      </c>
      <c r="D167" s="604" t="str">
        <f t="shared" si="1"/>
        <v>V</v>
      </c>
      <c r="E167" s="605" t="str">
        <f t="shared" si="2"/>
        <v>FA119/V/02</v>
      </c>
      <c r="F167" s="608" t="s">
        <v>395</v>
      </c>
      <c r="G167" s="606">
        <v>44978.0</v>
      </c>
      <c r="H167" s="684">
        <v>4670500.0</v>
      </c>
      <c r="I167" s="684"/>
      <c r="J167" s="608"/>
      <c r="K167" s="401" t="s">
        <v>622</v>
      </c>
      <c r="L167" s="401" t="s">
        <v>13</v>
      </c>
      <c r="M167" s="609" t="str">
        <f t="shared" si="3"/>
        <v>02</v>
      </c>
      <c r="N167" s="608" t="s">
        <v>324</v>
      </c>
      <c r="O167" s="608"/>
      <c r="P167" s="608"/>
      <c r="Q167" s="608"/>
      <c r="R167" s="401" t="s">
        <v>52</v>
      </c>
      <c r="S167" s="610"/>
    </row>
    <row r="168" ht="13.5" customHeight="1">
      <c r="A168" s="622">
        <v>167.0</v>
      </c>
      <c r="B168" s="623" t="s">
        <v>396</v>
      </c>
      <c r="C168" s="681" t="s">
        <v>6</v>
      </c>
      <c r="D168" s="624" t="str">
        <f t="shared" si="1"/>
        <v>I</v>
      </c>
      <c r="E168" s="625" t="str">
        <f t="shared" si="2"/>
        <v>FA120/I/01</v>
      </c>
      <c r="F168" s="630" t="s">
        <v>397</v>
      </c>
      <c r="G168" s="626">
        <v>44977.0</v>
      </c>
      <c r="H168" s="682">
        <v>782000.0</v>
      </c>
      <c r="I168" s="682"/>
      <c r="J168" s="630"/>
      <c r="K168" s="628" t="s">
        <v>158</v>
      </c>
      <c r="L168" s="630" t="s">
        <v>8</v>
      </c>
      <c r="M168" s="629" t="str">
        <f t="shared" si="3"/>
        <v>01</v>
      </c>
      <c r="N168" s="630" t="s">
        <v>398</v>
      </c>
      <c r="O168" s="630"/>
      <c r="P168" s="630"/>
      <c r="Q168" s="630"/>
      <c r="R168" s="630"/>
      <c r="S168" s="631"/>
    </row>
    <row r="169" ht="13.5" customHeight="1">
      <c r="A169" s="602">
        <v>168.0</v>
      </c>
      <c r="B169" s="603" t="s">
        <v>399</v>
      </c>
      <c r="C169" s="683" t="s">
        <v>6</v>
      </c>
      <c r="D169" s="604" t="str">
        <f t="shared" si="1"/>
        <v>I</v>
      </c>
      <c r="E169" s="605" t="str">
        <f t="shared" si="2"/>
        <v>FA121/I/02</v>
      </c>
      <c r="F169" s="608" t="s">
        <v>400</v>
      </c>
      <c r="G169" s="606">
        <v>44977.0</v>
      </c>
      <c r="H169" s="684">
        <v>887250.0</v>
      </c>
      <c r="I169" s="684"/>
      <c r="J169" s="608"/>
      <c r="K169" s="401" t="s">
        <v>95</v>
      </c>
      <c r="L169" s="401" t="s">
        <v>13</v>
      </c>
      <c r="M169" s="609" t="str">
        <f t="shared" si="3"/>
        <v>02</v>
      </c>
      <c r="N169" s="608" t="s">
        <v>401</v>
      </c>
      <c r="O169" s="608"/>
      <c r="P169" s="608"/>
      <c r="Q169" s="608"/>
      <c r="R169" s="401" t="s">
        <v>52</v>
      </c>
      <c r="S169" s="610"/>
    </row>
    <row r="170" ht="13.5" customHeight="1">
      <c r="A170" s="602">
        <v>169.0</v>
      </c>
      <c r="B170" s="603" t="s">
        <v>402</v>
      </c>
      <c r="C170" s="683" t="s">
        <v>6</v>
      </c>
      <c r="D170" s="604" t="str">
        <f t="shared" si="1"/>
        <v>I</v>
      </c>
      <c r="E170" s="605" t="str">
        <f t="shared" si="2"/>
        <v>FA122/I/02</v>
      </c>
      <c r="F170" s="608" t="s">
        <v>400</v>
      </c>
      <c r="G170" s="606">
        <v>44977.0</v>
      </c>
      <c r="H170" s="684">
        <v>887250.0</v>
      </c>
      <c r="I170" s="684"/>
      <c r="J170" s="608"/>
      <c r="K170" s="401" t="s">
        <v>95</v>
      </c>
      <c r="L170" s="401" t="s">
        <v>13</v>
      </c>
      <c r="M170" s="609" t="str">
        <f t="shared" si="3"/>
        <v>02</v>
      </c>
      <c r="N170" s="608" t="s">
        <v>401</v>
      </c>
      <c r="O170" s="608"/>
      <c r="P170" s="608"/>
      <c r="Q170" s="608"/>
      <c r="R170" s="401" t="s">
        <v>52</v>
      </c>
      <c r="S170" s="610"/>
    </row>
    <row r="171" ht="13.5" customHeight="1">
      <c r="A171" s="602">
        <v>170.0</v>
      </c>
      <c r="B171" s="603" t="s">
        <v>403</v>
      </c>
      <c r="C171" s="683" t="s">
        <v>6</v>
      </c>
      <c r="D171" s="604" t="str">
        <f t="shared" si="1"/>
        <v>I</v>
      </c>
      <c r="E171" s="605" t="str">
        <f t="shared" si="2"/>
        <v>FA123/I/02</v>
      </c>
      <c r="F171" s="608" t="s">
        <v>400</v>
      </c>
      <c r="G171" s="595">
        <v>44977.0</v>
      </c>
      <c r="H171" s="684">
        <v>887250.0</v>
      </c>
      <c r="I171" s="684"/>
      <c r="J171" s="608"/>
      <c r="K171" s="401" t="s">
        <v>95</v>
      </c>
      <c r="L171" s="401" t="s">
        <v>13</v>
      </c>
      <c r="M171" s="609" t="str">
        <f t="shared" si="3"/>
        <v>02</v>
      </c>
      <c r="N171" s="608" t="s">
        <v>401</v>
      </c>
      <c r="O171" s="608"/>
      <c r="P171" s="608"/>
      <c r="Q171" s="608"/>
      <c r="R171" s="401" t="s">
        <v>52</v>
      </c>
      <c r="S171" s="610"/>
    </row>
    <row r="172" ht="13.5" customHeight="1">
      <c r="A172" s="602">
        <v>171.0</v>
      </c>
      <c r="B172" s="603" t="s">
        <v>404</v>
      </c>
      <c r="C172" s="683" t="s">
        <v>6</v>
      </c>
      <c r="D172" s="604" t="str">
        <f t="shared" si="1"/>
        <v>I</v>
      </c>
      <c r="E172" s="605" t="str">
        <f t="shared" si="2"/>
        <v>FA124/I/02</v>
      </c>
      <c r="F172" s="608" t="s">
        <v>400</v>
      </c>
      <c r="G172" s="606">
        <v>44977.0</v>
      </c>
      <c r="H172" s="684">
        <v>887250.0</v>
      </c>
      <c r="I172" s="684"/>
      <c r="J172" s="608"/>
      <c r="K172" s="401" t="s">
        <v>95</v>
      </c>
      <c r="L172" s="401" t="s">
        <v>13</v>
      </c>
      <c r="M172" s="609" t="str">
        <f t="shared" si="3"/>
        <v>02</v>
      </c>
      <c r="N172" s="608" t="s">
        <v>401</v>
      </c>
      <c r="O172" s="608"/>
      <c r="P172" s="608"/>
      <c r="Q172" s="608"/>
      <c r="R172" s="401" t="s">
        <v>52</v>
      </c>
      <c r="S172" s="610"/>
    </row>
    <row r="173" ht="13.5" customHeight="1">
      <c r="A173" s="602">
        <v>172.0</v>
      </c>
      <c r="B173" s="603" t="s">
        <v>405</v>
      </c>
      <c r="C173" s="683" t="s">
        <v>6</v>
      </c>
      <c r="D173" s="604" t="str">
        <f t="shared" si="1"/>
        <v>I</v>
      </c>
      <c r="E173" s="605" t="str">
        <f t="shared" si="2"/>
        <v>FA125/I/02</v>
      </c>
      <c r="F173" s="608" t="s">
        <v>400</v>
      </c>
      <c r="G173" s="595">
        <v>44977.0</v>
      </c>
      <c r="H173" s="684">
        <v>887250.0</v>
      </c>
      <c r="I173" s="684"/>
      <c r="J173" s="608"/>
      <c r="K173" s="401" t="s">
        <v>95</v>
      </c>
      <c r="L173" s="401" t="s">
        <v>13</v>
      </c>
      <c r="M173" s="609" t="str">
        <f t="shared" si="3"/>
        <v>02</v>
      </c>
      <c r="N173" s="608" t="s">
        <v>401</v>
      </c>
      <c r="O173" s="608"/>
      <c r="P173" s="608"/>
      <c r="Q173" s="608"/>
      <c r="R173" s="401" t="s">
        <v>52</v>
      </c>
      <c r="S173" s="610"/>
    </row>
    <row r="174" ht="13.5" customHeight="1">
      <c r="A174" s="602">
        <v>173.0</v>
      </c>
      <c r="B174" s="603" t="s">
        <v>406</v>
      </c>
      <c r="C174" s="683" t="s">
        <v>6</v>
      </c>
      <c r="D174" s="604" t="str">
        <f t="shared" si="1"/>
        <v>I</v>
      </c>
      <c r="E174" s="605" t="str">
        <f t="shared" si="2"/>
        <v>FA126/I/02</v>
      </c>
      <c r="F174" s="608" t="s">
        <v>400</v>
      </c>
      <c r="G174" s="595">
        <v>44977.0</v>
      </c>
      <c r="H174" s="684">
        <v>887250.0</v>
      </c>
      <c r="I174" s="684"/>
      <c r="J174" s="608"/>
      <c r="K174" s="401" t="s">
        <v>95</v>
      </c>
      <c r="L174" s="401" t="s">
        <v>13</v>
      </c>
      <c r="M174" s="609" t="str">
        <f t="shared" si="3"/>
        <v>02</v>
      </c>
      <c r="N174" s="608" t="s">
        <v>401</v>
      </c>
      <c r="O174" s="608"/>
      <c r="P174" s="608"/>
      <c r="Q174" s="608"/>
      <c r="R174" s="401" t="s">
        <v>52</v>
      </c>
      <c r="S174" s="610"/>
    </row>
    <row r="175" ht="13.5" customHeight="1">
      <c r="A175" s="602">
        <v>174.0</v>
      </c>
      <c r="B175" s="603" t="s">
        <v>407</v>
      </c>
      <c r="C175" s="683" t="s">
        <v>6</v>
      </c>
      <c r="D175" s="604" t="str">
        <f t="shared" si="1"/>
        <v>I</v>
      </c>
      <c r="E175" s="605" t="str">
        <f t="shared" si="2"/>
        <v>FA127/I/02</v>
      </c>
      <c r="F175" s="608" t="s">
        <v>400</v>
      </c>
      <c r="G175" s="606">
        <v>44977.0</v>
      </c>
      <c r="H175" s="684">
        <v>887250.0</v>
      </c>
      <c r="I175" s="684"/>
      <c r="J175" s="608"/>
      <c r="K175" s="401" t="s">
        <v>95</v>
      </c>
      <c r="L175" s="401" t="s">
        <v>13</v>
      </c>
      <c r="M175" s="609" t="str">
        <f t="shared" si="3"/>
        <v>02</v>
      </c>
      <c r="N175" s="608" t="s">
        <v>401</v>
      </c>
      <c r="O175" s="608"/>
      <c r="P175" s="608"/>
      <c r="Q175" s="608"/>
      <c r="R175" s="401" t="s">
        <v>52</v>
      </c>
      <c r="S175" s="610"/>
    </row>
    <row r="176" ht="13.5" customHeight="1">
      <c r="A176" s="602">
        <v>175.0</v>
      </c>
      <c r="B176" s="603" t="s">
        <v>408</v>
      </c>
      <c r="C176" s="683" t="s">
        <v>6</v>
      </c>
      <c r="D176" s="604" t="str">
        <f t="shared" si="1"/>
        <v>I</v>
      </c>
      <c r="E176" s="605" t="str">
        <f t="shared" si="2"/>
        <v>FA128/I/02</v>
      </c>
      <c r="F176" s="608" t="s">
        <v>400</v>
      </c>
      <c r="G176" s="606">
        <v>44977.0</v>
      </c>
      <c r="H176" s="684">
        <v>887250.0</v>
      </c>
      <c r="I176" s="684"/>
      <c r="J176" s="608"/>
      <c r="K176" s="401" t="s">
        <v>95</v>
      </c>
      <c r="L176" s="401" t="s">
        <v>13</v>
      </c>
      <c r="M176" s="609" t="str">
        <f t="shared" si="3"/>
        <v>02</v>
      </c>
      <c r="N176" s="608" t="s">
        <v>401</v>
      </c>
      <c r="O176" s="608"/>
      <c r="P176" s="608"/>
      <c r="Q176" s="608"/>
      <c r="R176" s="401" t="s">
        <v>52</v>
      </c>
      <c r="S176" s="610"/>
    </row>
    <row r="177" ht="13.5" customHeight="1">
      <c r="A177" s="602">
        <v>176.0</v>
      </c>
      <c r="B177" s="603" t="s">
        <v>409</v>
      </c>
      <c r="C177" s="683" t="s">
        <v>6</v>
      </c>
      <c r="D177" s="604" t="str">
        <f t="shared" si="1"/>
        <v>I</v>
      </c>
      <c r="E177" s="605" t="str">
        <f t="shared" si="2"/>
        <v>FA129/I/02</v>
      </c>
      <c r="F177" s="608" t="s">
        <v>400</v>
      </c>
      <c r="G177" s="606">
        <v>44977.0</v>
      </c>
      <c r="H177" s="684">
        <v>887250.0</v>
      </c>
      <c r="I177" s="684"/>
      <c r="J177" s="608"/>
      <c r="K177" s="401" t="s">
        <v>95</v>
      </c>
      <c r="L177" s="401" t="s">
        <v>13</v>
      </c>
      <c r="M177" s="609" t="str">
        <f t="shared" si="3"/>
        <v>02</v>
      </c>
      <c r="N177" s="608" t="s">
        <v>401</v>
      </c>
      <c r="O177" s="608"/>
      <c r="P177" s="608"/>
      <c r="Q177" s="608"/>
      <c r="R177" s="401" t="s">
        <v>52</v>
      </c>
      <c r="S177" s="610"/>
    </row>
    <row r="178" ht="13.5" customHeight="1">
      <c r="A178" s="602">
        <v>177.0</v>
      </c>
      <c r="B178" s="603" t="s">
        <v>410</v>
      </c>
      <c r="C178" s="683" t="s">
        <v>6</v>
      </c>
      <c r="D178" s="604" t="str">
        <f t="shared" si="1"/>
        <v>I</v>
      </c>
      <c r="E178" s="605" t="str">
        <f t="shared" si="2"/>
        <v>FA130/I/02</v>
      </c>
      <c r="F178" s="608" t="s">
        <v>400</v>
      </c>
      <c r="G178" s="606">
        <v>44977.0</v>
      </c>
      <c r="H178" s="684">
        <v>887250.0</v>
      </c>
      <c r="I178" s="684"/>
      <c r="J178" s="608"/>
      <c r="K178" s="401" t="s">
        <v>95</v>
      </c>
      <c r="L178" s="401" t="s">
        <v>13</v>
      </c>
      <c r="M178" s="609" t="str">
        <f t="shared" si="3"/>
        <v>02</v>
      </c>
      <c r="N178" s="608" t="s">
        <v>401</v>
      </c>
      <c r="O178" s="608"/>
      <c r="P178" s="608"/>
      <c r="Q178" s="608"/>
      <c r="R178" s="401" t="s">
        <v>52</v>
      </c>
      <c r="S178" s="610"/>
    </row>
    <row r="179" ht="13.5" customHeight="1">
      <c r="A179" s="602">
        <v>178.0</v>
      </c>
      <c r="B179" s="603" t="s">
        <v>411</v>
      </c>
      <c r="C179" s="683" t="s">
        <v>6</v>
      </c>
      <c r="D179" s="604" t="str">
        <f t="shared" si="1"/>
        <v>I</v>
      </c>
      <c r="E179" s="605" t="str">
        <f t="shared" si="2"/>
        <v>FA131/I/02</v>
      </c>
      <c r="F179" s="608" t="s">
        <v>400</v>
      </c>
      <c r="G179" s="606">
        <v>44977.0</v>
      </c>
      <c r="H179" s="684">
        <v>887250.0</v>
      </c>
      <c r="I179" s="684"/>
      <c r="J179" s="608"/>
      <c r="K179" s="401" t="s">
        <v>95</v>
      </c>
      <c r="L179" s="401" t="s">
        <v>13</v>
      </c>
      <c r="M179" s="609" t="str">
        <f t="shared" si="3"/>
        <v>02</v>
      </c>
      <c r="N179" s="608" t="s">
        <v>401</v>
      </c>
      <c r="O179" s="608"/>
      <c r="P179" s="608"/>
      <c r="Q179" s="608"/>
      <c r="R179" s="401" t="s">
        <v>52</v>
      </c>
      <c r="S179" s="610"/>
    </row>
    <row r="180" ht="13.5" customHeight="1">
      <c r="A180" s="602">
        <v>179.0</v>
      </c>
      <c r="B180" s="603" t="s">
        <v>412</v>
      </c>
      <c r="C180" s="683" t="s">
        <v>6</v>
      </c>
      <c r="D180" s="604" t="str">
        <f t="shared" si="1"/>
        <v>I</v>
      </c>
      <c r="E180" s="605" t="str">
        <f t="shared" si="2"/>
        <v>FA132/I/02</v>
      </c>
      <c r="F180" s="608" t="s">
        <v>400</v>
      </c>
      <c r="G180" s="657">
        <v>44977.0</v>
      </c>
      <c r="H180" s="684">
        <v>887250.0</v>
      </c>
      <c r="I180" s="684"/>
      <c r="J180" s="608"/>
      <c r="K180" s="401" t="s">
        <v>95</v>
      </c>
      <c r="L180" s="401" t="s">
        <v>13</v>
      </c>
      <c r="M180" s="609" t="str">
        <f t="shared" si="3"/>
        <v>02</v>
      </c>
      <c r="N180" s="608" t="s">
        <v>401</v>
      </c>
      <c r="O180" s="608"/>
      <c r="P180" s="608"/>
      <c r="Q180" s="608"/>
      <c r="R180" s="401" t="s">
        <v>52</v>
      </c>
      <c r="S180" s="610"/>
    </row>
    <row r="181" ht="13.5" customHeight="1">
      <c r="A181" s="602">
        <v>180.0</v>
      </c>
      <c r="B181" s="603" t="s">
        <v>413</v>
      </c>
      <c r="C181" s="683" t="s">
        <v>6</v>
      </c>
      <c r="D181" s="604" t="str">
        <f t="shared" si="1"/>
        <v>I</v>
      </c>
      <c r="E181" s="605" t="str">
        <f t="shared" si="2"/>
        <v>FA133/I/02</v>
      </c>
      <c r="F181" s="608" t="s">
        <v>400</v>
      </c>
      <c r="G181" s="606">
        <v>44977.0</v>
      </c>
      <c r="H181" s="684">
        <v>887250.0</v>
      </c>
      <c r="I181" s="684"/>
      <c r="J181" s="608"/>
      <c r="K181" s="401" t="s">
        <v>95</v>
      </c>
      <c r="L181" s="401" t="s">
        <v>13</v>
      </c>
      <c r="M181" s="609" t="str">
        <f t="shared" si="3"/>
        <v>02</v>
      </c>
      <c r="N181" s="608" t="s">
        <v>401</v>
      </c>
      <c r="O181" s="608"/>
      <c r="P181" s="608"/>
      <c r="Q181" s="608"/>
      <c r="R181" s="401" t="s">
        <v>52</v>
      </c>
      <c r="S181" s="610"/>
    </row>
    <row r="182" ht="13.5" customHeight="1">
      <c r="A182" s="602">
        <v>181.0</v>
      </c>
      <c r="B182" s="603" t="s">
        <v>414</v>
      </c>
      <c r="C182" s="683" t="s">
        <v>6</v>
      </c>
      <c r="D182" s="604" t="str">
        <f t="shared" si="1"/>
        <v>I</v>
      </c>
      <c r="E182" s="605" t="str">
        <f t="shared" si="2"/>
        <v>FA134/I/02</v>
      </c>
      <c r="F182" s="608" t="s">
        <v>400</v>
      </c>
      <c r="G182" s="691">
        <v>44977.0</v>
      </c>
      <c r="H182" s="684">
        <v>887250.0</v>
      </c>
      <c r="I182" s="684"/>
      <c r="J182" s="608"/>
      <c r="K182" s="401" t="s">
        <v>95</v>
      </c>
      <c r="L182" s="401" t="s">
        <v>13</v>
      </c>
      <c r="M182" s="609" t="str">
        <f t="shared" si="3"/>
        <v>02</v>
      </c>
      <c r="N182" s="608" t="s">
        <v>401</v>
      </c>
      <c r="O182" s="608"/>
      <c r="P182" s="608"/>
      <c r="Q182" s="608"/>
      <c r="R182" s="401" t="s">
        <v>52</v>
      </c>
      <c r="S182" s="610"/>
    </row>
    <row r="183" ht="13.5" customHeight="1">
      <c r="A183" s="602">
        <v>182.0</v>
      </c>
      <c r="B183" s="603" t="s">
        <v>415</v>
      </c>
      <c r="C183" s="683" t="s">
        <v>6</v>
      </c>
      <c r="D183" s="604" t="str">
        <f t="shared" si="1"/>
        <v>I</v>
      </c>
      <c r="E183" s="605" t="str">
        <f t="shared" si="2"/>
        <v>FA135/I/02</v>
      </c>
      <c r="F183" s="608" t="s">
        <v>400</v>
      </c>
      <c r="G183" s="606">
        <v>44977.0</v>
      </c>
      <c r="H183" s="684">
        <v>887250.0</v>
      </c>
      <c r="I183" s="684"/>
      <c r="J183" s="608"/>
      <c r="K183" s="401" t="s">
        <v>95</v>
      </c>
      <c r="L183" s="401" t="s">
        <v>13</v>
      </c>
      <c r="M183" s="609" t="str">
        <f t="shared" si="3"/>
        <v>02</v>
      </c>
      <c r="N183" s="608" t="s">
        <v>401</v>
      </c>
      <c r="O183" s="608"/>
      <c r="P183" s="608"/>
      <c r="Q183" s="608"/>
      <c r="R183" s="401" t="s">
        <v>52</v>
      </c>
      <c r="S183" s="610"/>
    </row>
    <row r="184" ht="13.5" customHeight="1">
      <c r="A184" s="602">
        <v>183.0</v>
      </c>
      <c r="B184" s="603" t="s">
        <v>416</v>
      </c>
      <c r="C184" s="683" t="s">
        <v>6</v>
      </c>
      <c r="D184" s="604" t="str">
        <f t="shared" si="1"/>
        <v>I</v>
      </c>
      <c r="E184" s="605" t="str">
        <f t="shared" si="2"/>
        <v>FA136/I/02</v>
      </c>
      <c r="F184" s="608" t="s">
        <v>400</v>
      </c>
      <c r="G184" s="606">
        <v>44977.0</v>
      </c>
      <c r="H184" s="684">
        <v>887250.0</v>
      </c>
      <c r="I184" s="684"/>
      <c r="J184" s="608"/>
      <c r="K184" s="401" t="s">
        <v>95</v>
      </c>
      <c r="L184" s="401" t="s">
        <v>13</v>
      </c>
      <c r="M184" s="609" t="str">
        <f t="shared" si="3"/>
        <v>02</v>
      </c>
      <c r="N184" s="608" t="s">
        <v>401</v>
      </c>
      <c r="O184" s="608"/>
      <c r="P184" s="608"/>
      <c r="Q184" s="608"/>
      <c r="R184" s="401" t="s">
        <v>52</v>
      </c>
      <c r="S184" s="610"/>
    </row>
    <row r="185" ht="13.5" customHeight="1">
      <c r="A185" s="602">
        <v>184.0</v>
      </c>
      <c r="B185" s="603" t="s">
        <v>417</v>
      </c>
      <c r="C185" s="683" t="s">
        <v>6</v>
      </c>
      <c r="D185" s="604" t="str">
        <f t="shared" si="1"/>
        <v>I</v>
      </c>
      <c r="E185" s="605" t="str">
        <f t="shared" si="2"/>
        <v>FA137/I/02</v>
      </c>
      <c r="F185" s="608" t="s">
        <v>418</v>
      </c>
      <c r="G185" s="606">
        <v>44977.0</v>
      </c>
      <c r="H185" s="684">
        <v>1199000.0</v>
      </c>
      <c r="I185" s="684"/>
      <c r="J185" s="608"/>
      <c r="K185" s="401" t="s">
        <v>95</v>
      </c>
      <c r="L185" s="401" t="s">
        <v>13</v>
      </c>
      <c r="M185" s="609" t="str">
        <f t="shared" si="3"/>
        <v>02</v>
      </c>
      <c r="N185" s="608" t="s">
        <v>419</v>
      </c>
      <c r="O185" s="608"/>
      <c r="P185" s="608"/>
      <c r="Q185" s="608"/>
      <c r="R185" s="401" t="s">
        <v>52</v>
      </c>
      <c r="S185" s="610"/>
    </row>
    <row r="186" ht="13.5" customHeight="1">
      <c r="A186" s="602">
        <v>185.0</v>
      </c>
      <c r="B186" s="603" t="s">
        <v>420</v>
      </c>
      <c r="C186" s="683" t="s">
        <v>6</v>
      </c>
      <c r="D186" s="604" t="str">
        <f t="shared" si="1"/>
        <v>I</v>
      </c>
      <c r="E186" s="605" t="str">
        <f t="shared" si="2"/>
        <v>FA138/I/02</v>
      </c>
      <c r="F186" s="608" t="s">
        <v>421</v>
      </c>
      <c r="G186" s="606">
        <v>44978.0</v>
      </c>
      <c r="H186" s="684">
        <v>4500000.0</v>
      </c>
      <c r="I186" s="684"/>
      <c r="J186" s="401" t="s">
        <v>138</v>
      </c>
      <c r="K186" s="401" t="s">
        <v>95</v>
      </c>
      <c r="L186" s="401" t="s">
        <v>13</v>
      </c>
      <c r="M186" s="609" t="str">
        <f t="shared" si="3"/>
        <v>02</v>
      </c>
      <c r="N186" s="608" t="s">
        <v>279</v>
      </c>
      <c r="O186" s="608"/>
      <c r="P186" s="608"/>
      <c r="Q186" s="608"/>
      <c r="R186" s="401" t="s">
        <v>52</v>
      </c>
      <c r="S186" s="610"/>
    </row>
    <row r="187" ht="13.5" customHeight="1">
      <c r="A187" s="602">
        <v>186.0</v>
      </c>
      <c r="B187" s="603" t="s">
        <v>423</v>
      </c>
      <c r="C187" s="683" t="s">
        <v>16</v>
      </c>
      <c r="D187" s="604" t="str">
        <f t="shared" si="1"/>
        <v>III</v>
      </c>
      <c r="E187" s="605" t="str">
        <f t="shared" si="2"/>
        <v>FA139/III/01</v>
      </c>
      <c r="F187" s="608" t="s">
        <v>424</v>
      </c>
      <c r="G187" s="606">
        <v>44978.0</v>
      </c>
      <c r="H187" s="684">
        <v>1.1261261E7</v>
      </c>
      <c r="I187" s="684"/>
      <c r="J187" s="608" t="s">
        <v>425</v>
      </c>
      <c r="K187" s="608" t="s">
        <v>108</v>
      </c>
      <c r="L187" s="608" t="s">
        <v>8</v>
      </c>
      <c r="M187" s="609" t="str">
        <f t="shared" si="3"/>
        <v>01</v>
      </c>
      <c r="N187" s="608" t="s">
        <v>121</v>
      </c>
      <c r="O187" s="608"/>
      <c r="P187" s="608"/>
      <c r="Q187" s="608"/>
      <c r="R187" s="401" t="s">
        <v>52</v>
      </c>
      <c r="S187" s="610"/>
    </row>
    <row r="188" ht="13.5" customHeight="1">
      <c r="A188" s="622">
        <v>187.0</v>
      </c>
      <c r="B188" s="623" t="s">
        <v>426</v>
      </c>
      <c r="C188" s="681" t="s">
        <v>16</v>
      </c>
      <c r="D188" s="624" t="str">
        <f t="shared" si="1"/>
        <v>III</v>
      </c>
      <c r="E188" s="625" t="str">
        <f t="shared" si="2"/>
        <v>FA140/III/01</v>
      </c>
      <c r="F188" s="628" t="s">
        <v>424</v>
      </c>
      <c r="G188" s="626">
        <v>44980.0</v>
      </c>
      <c r="H188" s="682">
        <v>1.1261261E7</v>
      </c>
      <c r="I188" s="682"/>
      <c r="J188" s="628" t="s">
        <v>427</v>
      </c>
      <c r="K188" s="630" t="s">
        <v>108</v>
      </c>
      <c r="L188" s="630" t="s">
        <v>8</v>
      </c>
      <c r="M188" s="629" t="str">
        <f t="shared" si="3"/>
        <v>01</v>
      </c>
      <c r="N188" s="630" t="s">
        <v>121</v>
      </c>
      <c r="O188" s="630"/>
      <c r="P188" s="630"/>
      <c r="Q188" s="630"/>
      <c r="R188" s="628" t="s">
        <v>52</v>
      </c>
      <c r="S188" s="631"/>
    </row>
    <row r="189" ht="13.5" customHeight="1">
      <c r="A189" s="602">
        <v>188.0</v>
      </c>
      <c r="B189" s="603" t="s">
        <v>428</v>
      </c>
      <c r="C189" s="683" t="s">
        <v>6</v>
      </c>
      <c r="D189" s="604" t="str">
        <f t="shared" si="1"/>
        <v>I</v>
      </c>
      <c r="E189" s="605" t="str">
        <f t="shared" si="2"/>
        <v>FA141/I/02</v>
      </c>
      <c r="F189" s="608" t="s">
        <v>429</v>
      </c>
      <c r="G189" s="606">
        <v>44978.0</v>
      </c>
      <c r="H189" s="684">
        <v>3800000.0</v>
      </c>
      <c r="I189" s="684"/>
      <c r="J189" s="608" t="s">
        <v>138</v>
      </c>
      <c r="K189" s="608" t="s">
        <v>95</v>
      </c>
      <c r="L189" s="401" t="s">
        <v>13</v>
      </c>
      <c r="M189" s="609" t="str">
        <f t="shared" si="3"/>
        <v>02</v>
      </c>
      <c r="N189" s="608"/>
      <c r="O189" s="608"/>
      <c r="P189" s="608"/>
      <c r="Q189" s="608"/>
      <c r="R189" s="401" t="s">
        <v>52</v>
      </c>
      <c r="S189" s="610"/>
    </row>
    <row r="190" ht="13.5" customHeight="1">
      <c r="A190" s="602">
        <v>189.0</v>
      </c>
      <c r="B190" s="603" t="s">
        <v>430</v>
      </c>
      <c r="C190" s="683" t="s">
        <v>6</v>
      </c>
      <c r="D190" s="604" t="str">
        <f t="shared" si="1"/>
        <v>I</v>
      </c>
      <c r="E190" s="605" t="str">
        <f t="shared" si="2"/>
        <v>FA142/I/02</v>
      </c>
      <c r="F190" s="608" t="s">
        <v>431</v>
      </c>
      <c r="G190" s="606">
        <v>44978.0</v>
      </c>
      <c r="H190" s="684">
        <v>1.1936937E7</v>
      </c>
      <c r="I190" s="684"/>
      <c r="J190" s="608"/>
      <c r="K190" s="401" t="s">
        <v>51</v>
      </c>
      <c r="L190" s="401" t="s">
        <v>13</v>
      </c>
      <c r="M190" s="609" t="str">
        <f t="shared" si="3"/>
        <v>02</v>
      </c>
      <c r="N190" s="608"/>
      <c r="O190" s="608"/>
      <c r="P190" s="608"/>
      <c r="Q190" s="608"/>
      <c r="R190" s="401" t="s">
        <v>52</v>
      </c>
      <c r="S190" s="610"/>
    </row>
    <row r="191" ht="13.5" customHeight="1">
      <c r="A191" s="622">
        <v>190.0</v>
      </c>
      <c r="B191" s="623" t="s">
        <v>432</v>
      </c>
      <c r="C191" s="681" t="s">
        <v>6</v>
      </c>
      <c r="D191" s="624" t="str">
        <f t="shared" si="1"/>
        <v>I</v>
      </c>
      <c r="E191" s="625" t="str">
        <f t="shared" si="2"/>
        <v>FA143/I/01</v>
      </c>
      <c r="F191" s="628" t="s">
        <v>433</v>
      </c>
      <c r="G191" s="626">
        <v>44980.0</v>
      </c>
      <c r="H191" s="682">
        <v>2.5675676E7</v>
      </c>
      <c r="I191" s="682"/>
      <c r="J191" s="628" t="s">
        <v>1919</v>
      </c>
      <c r="K191" s="630" t="s">
        <v>51</v>
      </c>
      <c r="L191" s="630" t="s">
        <v>8</v>
      </c>
      <c r="M191" s="629" t="str">
        <f t="shared" si="3"/>
        <v>01</v>
      </c>
      <c r="N191" s="628" t="s">
        <v>434</v>
      </c>
      <c r="O191" s="630"/>
      <c r="P191" s="630"/>
      <c r="Q191" s="630"/>
      <c r="R191" s="628" t="s">
        <v>52</v>
      </c>
      <c r="S191" s="631"/>
    </row>
    <row r="192" ht="13.5" customHeight="1">
      <c r="A192" s="622">
        <v>191.0</v>
      </c>
      <c r="B192" s="623" t="s">
        <v>435</v>
      </c>
      <c r="C192" s="681" t="s">
        <v>6</v>
      </c>
      <c r="D192" s="624" t="str">
        <f t="shared" si="1"/>
        <v>I</v>
      </c>
      <c r="E192" s="625" t="str">
        <f t="shared" si="2"/>
        <v>FA144/I/01</v>
      </c>
      <c r="F192" s="630" t="s">
        <v>436</v>
      </c>
      <c r="G192" s="626">
        <v>44960.0</v>
      </c>
      <c r="H192" s="682">
        <v>5315315.0</v>
      </c>
      <c r="I192" s="682"/>
      <c r="J192" s="628" t="s">
        <v>1896</v>
      </c>
      <c r="K192" s="628" t="s">
        <v>51</v>
      </c>
      <c r="L192" s="630" t="s">
        <v>8</v>
      </c>
      <c r="M192" s="629" t="str">
        <f t="shared" si="3"/>
        <v>01</v>
      </c>
      <c r="N192" s="630" t="s">
        <v>279</v>
      </c>
      <c r="O192" s="630"/>
      <c r="P192" s="630"/>
      <c r="Q192" s="630"/>
      <c r="R192" s="628" t="s">
        <v>52</v>
      </c>
      <c r="S192" s="631"/>
    </row>
    <row r="193" ht="13.5" customHeight="1">
      <c r="A193" s="602">
        <v>192.0</v>
      </c>
      <c r="B193" s="603" t="s">
        <v>437</v>
      </c>
      <c r="C193" s="683" t="s">
        <v>11</v>
      </c>
      <c r="D193" s="604" t="str">
        <f t="shared" si="1"/>
        <v>II</v>
      </c>
      <c r="E193" s="605" t="str">
        <f t="shared" si="2"/>
        <v>FA145/II/02</v>
      </c>
      <c r="F193" s="608" t="s">
        <v>438</v>
      </c>
      <c r="G193" s="606">
        <v>44985.0</v>
      </c>
      <c r="H193" s="684">
        <v>850000.0</v>
      </c>
      <c r="I193" s="684"/>
      <c r="J193" s="692"/>
      <c r="K193" s="401" t="s">
        <v>95</v>
      </c>
      <c r="L193" s="401" t="s">
        <v>13</v>
      </c>
      <c r="M193" s="609" t="str">
        <f t="shared" si="3"/>
        <v>02</v>
      </c>
      <c r="N193" s="608"/>
      <c r="O193" s="608"/>
      <c r="P193" s="608"/>
      <c r="Q193" s="608"/>
      <c r="R193" s="401" t="s">
        <v>52</v>
      </c>
      <c r="S193" s="610"/>
    </row>
    <row r="194" ht="13.5" customHeight="1">
      <c r="A194" s="602">
        <v>193.0</v>
      </c>
      <c r="B194" s="603" t="s">
        <v>440</v>
      </c>
      <c r="C194" s="683" t="s">
        <v>6</v>
      </c>
      <c r="D194" s="604" t="str">
        <f t="shared" si="1"/>
        <v>I</v>
      </c>
      <c r="E194" s="605" t="str">
        <f t="shared" si="2"/>
        <v>FA146/I/01</v>
      </c>
      <c r="F194" s="401" t="s">
        <v>441</v>
      </c>
      <c r="G194" s="606">
        <v>44993.0</v>
      </c>
      <c r="H194" s="684">
        <v>1621622.0</v>
      </c>
      <c r="I194" s="684"/>
      <c r="J194" s="608"/>
      <c r="K194" s="401" t="s">
        <v>51</v>
      </c>
      <c r="L194" s="401" t="s">
        <v>8</v>
      </c>
      <c r="M194" s="609" t="str">
        <f t="shared" si="3"/>
        <v>01</v>
      </c>
      <c r="N194" s="608"/>
      <c r="O194" s="608"/>
      <c r="P194" s="608"/>
      <c r="Q194" s="608"/>
      <c r="R194" s="608"/>
      <c r="S194" s="610"/>
    </row>
    <row r="195" ht="13.5" customHeight="1">
      <c r="A195" s="632">
        <v>194.0</v>
      </c>
      <c r="B195" s="633" t="s">
        <v>442</v>
      </c>
      <c r="C195" s="686" t="s">
        <v>16</v>
      </c>
      <c r="D195" s="634" t="str">
        <f t="shared" si="1"/>
        <v>III</v>
      </c>
      <c r="E195" s="635" t="str">
        <f t="shared" si="2"/>
        <v>FA147/III/01</v>
      </c>
      <c r="F195" s="638" t="s">
        <v>443</v>
      </c>
      <c r="G195" s="636">
        <v>44993.0</v>
      </c>
      <c r="H195" s="687">
        <v>1.4864872E7</v>
      </c>
      <c r="I195" s="687"/>
      <c r="J195" s="638"/>
      <c r="K195" s="638"/>
      <c r="L195" s="639" t="s">
        <v>8</v>
      </c>
      <c r="M195" s="640" t="str">
        <f t="shared" si="3"/>
        <v>01</v>
      </c>
      <c r="N195" s="638" t="s">
        <v>121</v>
      </c>
      <c r="O195" s="638"/>
      <c r="P195" s="638"/>
      <c r="Q195" s="638"/>
      <c r="R195" s="638"/>
      <c r="S195" s="641"/>
    </row>
    <row r="196" ht="13.5" customHeight="1">
      <c r="A196" s="632">
        <v>195.0</v>
      </c>
      <c r="B196" s="633" t="s">
        <v>444</v>
      </c>
      <c r="C196" s="686" t="s">
        <v>16</v>
      </c>
      <c r="D196" s="634" t="str">
        <f t="shared" si="1"/>
        <v>III</v>
      </c>
      <c r="E196" s="635" t="str">
        <f t="shared" si="2"/>
        <v>FA148/III/01</v>
      </c>
      <c r="F196" s="638" t="s">
        <v>445</v>
      </c>
      <c r="G196" s="636">
        <v>44993.0</v>
      </c>
      <c r="H196" s="687">
        <v>2.2521622E7</v>
      </c>
      <c r="I196" s="687"/>
      <c r="J196" s="638" t="s">
        <v>207</v>
      </c>
      <c r="K196" s="638" t="s">
        <v>108</v>
      </c>
      <c r="L196" s="638" t="s">
        <v>8</v>
      </c>
      <c r="M196" s="640" t="str">
        <f t="shared" si="3"/>
        <v>01</v>
      </c>
      <c r="N196" s="638" t="s">
        <v>446</v>
      </c>
      <c r="O196" s="638"/>
      <c r="P196" s="638"/>
      <c r="Q196" s="638"/>
      <c r="R196" s="639" t="s">
        <v>52</v>
      </c>
      <c r="S196" s="641"/>
    </row>
    <row r="197" ht="13.5" customHeight="1">
      <c r="A197" s="602">
        <v>196.0</v>
      </c>
      <c r="B197" s="603" t="s">
        <v>447</v>
      </c>
      <c r="C197" s="683" t="s">
        <v>6</v>
      </c>
      <c r="D197" s="604" t="str">
        <f t="shared" si="1"/>
        <v>I</v>
      </c>
      <c r="E197" s="605" t="str">
        <f t="shared" si="2"/>
        <v>FA149/I/02</v>
      </c>
      <c r="F197" s="608" t="s">
        <v>448</v>
      </c>
      <c r="G197" s="615">
        <v>44998.0</v>
      </c>
      <c r="H197" s="684">
        <v>5293874.0</v>
      </c>
      <c r="I197" s="684"/>
      <c r="J197" s="608"/>
      <c r="K197" s="401" t="s">
        <v>95</v>
      </c>
      <c r="L197" s="401" t="s">
        <v>13</v>
      </c>
      <c r="M197" s="609" t="str">
        <f t="shared" si="3"/>
        <v>02</v>
      </c>
      <c r="N197" s="608" t="s">
        <v>449</v>
      </c>
      <c r="O197" s="608"/>
      <c r="P197" s="608"/>
      <c r="Q197" s="608"/>
      <c r="R197" s="401" t="s">
        <v>52</v>
      </c>
      <c r="S197" s="610"/>
    </row>
    <row r="198" ht="13.5" customHeight="1">
      <c r="A198" s="632">
        <v>197.0</v>
      </c>
      <c r="B198" s="633" t="s">
        <v>450</v>
      </c>
      <c r="C198" s="686" t="s">
        <v>16</v>
      </c>
      <c r="D198" s="634" t="str">
        <f t="shared" si="1"/>
        <v>III</v>
      </c>
      <c r="E198" s="635" t="str">
        <f t="shared" si="2"/>
        <v>FA150/III/01</v>
      </c>
      <c r="F198" s="638" t="s">
        <v>451</v>
      </c>
      <c r="G198" s="636">
        <v>45014.0</v>
      </c>
      <c r="H198" s="687">
        <v>1.2927935E7</v>
      </c>
      <c r="I198" s="687"/>
      <c r="J198" s="638"/>
      <c r="K198" s="638" t="s">
        <v>108</v>
      </c>
      <c r="L198" s="638" t="s">
        <v>8</v>
      </c>
      <c r="M198" s="640" t="str">
        <f t="shared" si="3"/>
        <v>01</v>
      </c>
      <c r="N198" s="638" t="s">
        <v>121</v>
      </c>
      <c r="O198" s="638"/>
      <c r="P198" s="638"/>
      <c r="Q198" s="638"/>
      <c r="R198" s="639" t="s">
        <v>52</v>
      </c>
      <c r="S198" s="641"/>
    </row>
    <row r="199" ht="13.5" customHeight="1">
      <c r="A199" s="602">
        <v>198.0</v>
      </c>
      <c r="B199" s="603" t="s">
        <v>452</v>
      </c>
      <c r="C199" s="683" t="s">
        <v>6</v>
      </c>
      <c r="D199" s="604" t="str">
        <f t="shared" si="1"/>
        <v>I</v>
      </c>
      <c r="E199" s="605" t="str">
        <f t="shared" si="2"/>
        <v>FA151/I/02</v>
      </c>
      <c r="F199" s="608" t="s">
        <v>453</v>
      </c>
      <c r="G199" s="615">
        <v>44995.0</v>
      </c>
      <c r="H199" s="684">
        <v>2323900.0</v>
      </c>
      <c r="I199" s="684"/>
      <c r="J199" s="401" t="s">
        <v>1907</v>
      </c>
      <c r="K199" s="401" t="s">
        <v>81</v>
      </c>
      <c r="L199" s="401" t="s">
        <v>13</v>
      </c>
      <c r="M199" s="609" t="str">
        <f t="shared" si="3"/>
        <v>02</v>
      </c>
      <c r="N199" s="608" t="s">
        <v>127</v>
      </c>
      <c r="O199" s="608"/>
      <c r="P199" s="608"/>
      <c r="Q199" s="608"/>
      <c r="R199" s="401" t="s">
        <v>52</v>
      </c>
      <c r="S199" s="610"/>
    </row>
    <row r="200" ht="13.5" customHeight="1">
      <c r="A200" s="602">
        <v>199.0</v>
      </c>
      <c r="B200" s="603" t="s">
        <v>454</v>
      </c>
      <c r="C200" s="683" t="s">
        <v>11</v>
      </c>
      <c r="D200" s="604" t="str">
        <f t="shared" si="1"/>
        <v>II</v>
      </c>
      <c r="E200" s="605" t="str">
        <f t="shared" si="2"/>
        <v>FA153/II/03</v>
      </c>
      <c r="F200" s="608" t="s">
        <v>455</v>
      </c>
      <c r="G200" s="606">
        <v>44997.0</v>
      </c>
      <c r="H200" s="684">
        <v>617500.0</v>
      </c>
      <c r="I200" s="684"/>
      <c r="J200" s="608"/>
      <c r="K200" s="401" t="s">
        <v>95</v>
      </c>
      <c r="L200" s="401" t="s">
        <v>18</v>
      </c>
      <c r="M200" s="609" t="str">
        <f t="shared" si="3"/>
        <v>03</v>
      </c>
      <c r="N200" s="608" t="s">
        <v>155</v>
      </c>
      <c r="O200" s="608"/>
      <c r="P200" s="608"/>
      <c r="Q200" s="608"/>
      <c r="R200" s="401" t="s">
        <v>52</v>
      </c>
      <c r="S200" s="610"/>
    </row>
    <row r="201" ht="13.5" customHeight="1">
      <c r="A201" s="602">
        <v>200.0</v>
      </c>
      <c r="B201" s="683" t="s">
        <v>456</v>
      </c>
      <c r="C201" s="683" t="s">
        <v>11</v>
      </c>
      <c r="D201" s="604" t="str">
        <f t="shared" si="1"/>
        <v>II</v>
      </c>
      <c r="E201" s="605" t="str">
        <f t="shared" si="2"/>
        <v>FA154/II/02</v>
      </c>
      <c r="F201" s="608" t="s">
        <v>455</v>
      </c>
      <c r="G201" s="606">
        <v>44997.0</v>
      </c>
      <c r="H201" s="684">
        <v>617500.0</v>
      </c>
      <c r="I201" s="684"/>
      <c r="J201" s="401" t="s">
        <v>457</v>
      </c>
      <c r="K201" s="401" t="s">
        <v>95</v>
      </c>
      <c r="L201" s="401" t="s">
        <v>13</v>
      </c>
      <c r="M201" s="609" t="str">
        <f t="shared" si="3"/>
        <v>02</v>
      </c>
      <c r="N201" s="608" t="s">
        <v>155</v>
      </c>
      <c r="O201" s="608"/>
      <c r="P201" s="608"/>
      <c r="Q201" s="608"/>
      <c r="R201" s="401" t="s">
        <v>52</v>
      </c>
      <c r="S201" s="610"/>
    </row>
    <row r="202" ht="13.5" customHeight="1">
      <c r="A202" s="602">
        <v>201.0</v>
      </c>
      <c r="B202" s="683" t="s">
        <v>458</v>
      </c>
      <c r="C202" s="683" t="s">
        <v>11</v>
      </c>
      <c r="D202" s="604" t="str">
        <f t="shared" si="1"/>
        <v>II</v>
      </c>
      <c r="E202" s="605" t="str">
        <f t="shared" si="2"/>
        <v>FA155/II/02</v>
      </c>
      <c r="F202" s="608" t="s">
        <v>455</v>
      </c>
      <c r="G202" s="606">
        <v>44997.0</v>
      </c>
      <c r="H202" s="684">
        <v>617500.0</v>
      </c>
      <c r="I202" s="684"/>
      <c r="J202" s="401" t="s">
        <v>1920</v>
      </c>
      <c r="K202" s="401" t="s">
        <v>95</v>
      </c>
      <c r="L202" s="401" t="s">
        <v>13</v>
      </c>
      <c r="M202" s="609" t="str">
        <f t="shared" si="3"/>
        <v>02</v>
      </c>
      <c r="N202" s="608" t="s">
        <v>155</v>
      </c>
      <c r="O202" s="608"/>
      <c r="P202" s="608"/>
      <c r="Q202" s="608"/>
      <c r="R202" s="401" t="s">
        <v>52</v>
      </c>
      <c r="S202" s="610"/>
    </row>
    <row r="203" ht="13.5" customHeight="1">
      <c r="A203" s="602">
        <v>202.0</v>
      </c>
      <c r="B203" s="603" t="s">
        <v>459</v>
      </c>
      <c r="C203" s="683" t="s">
        <v>11</v>
      </c>
      <c r="D203" s="604" t="str">
        <f t="shared" si="1"/>
        <v>II</v>
      </c>
      <c r="E203" s="693" t="str">
        <f>CONCATENATE(B202,"/",D202,"/",M202)</f>
        <v>FA155/II/02</v>
      </c>
      <c r="F203" s="608" t="s">
        <v>455</v>
      </c>
      <c r="G203" s="606">
        <v>44997.0</v>
      </c>
      <c r="H203" s="684">
        <v>617500.0</v>
      </c>
      <c r="I203" s="684"/>
      <c r="J203" s="608"/>
      <c r="K203" s="401" t="s">
        <v>95</v>
      </c>
      <c r="L203" s="401" t="s">
        <v>18</v>
      </c>
      <c r="M203" s="609" t="str">
        <f t="shared" si="3"/>
        <v>03</v>
      </c>
      <c r="N203" s="608" t="s">
        <v>155</v>
      </c>
      <c r="O203" s="608"/>
      <c r="P203" s="608"/>
      <c r="Q203" s="608"/>
      <c r="R203" s="401" t="s">
        <v>52</v>
      </c>
      <c r="S203" s="610"/>
    </row>
    <row r="204" ht="13.5" customHeight="1">
      <c r="A204" s="602">
        <v>203.0</v>
      </c>
      <c r="B204" s="683" t="s">
        <v>460</v>
      </c>
      <c r="C204" s="683" t="s">
        <v>11</v>
      </c>
      <c r="D204" s="604" t="str">
        <f t="shared" si="1"/>
        <v>II</v>
      </c>
      <c r="E204" s="605" t="str">
        <f t="shared" ref="E204:E662" si="5">CONCATENATE(B204,"/",D204,"/",M204)</f>
        <v>FA157/II/02</v>
      </c>
      <c r="F204" s="608" t="s">
        <v>461</v>
      </c>
      <c r="G204" s="606">
        <v>44997.0</v>
      </c>
      <c r="H204" s="684">
        <v>617500.0</v>
      </c>
      <c r="I204" s="684"/>
      <c r="J204" s="608"/>
      <c r="K204" s="401" t="s">
        <v>95</v>
      </c>
      <c r="L204" s="401" t="s">
        <v>13</v>
      </c>
      <c r="M204" s="609" t="str">
        <f t="shared" si="3"/>
        <v>02</v>
      </c>
      <c r="N204" s="608"/>
      <c r="O204" s="608"/>
      <c r="P204" s="608"/>
      <c r="Q204" s="608"/>
      <c r="R204" s="401" t="s">
        <v>52</v>
      </c>
      <c r="S204" s="610"/>
    </row>
    <row r="205" ht="13.5" customHeight="1">
      <c r="A205" s="602">
        <v>204.0</v>
      </c>
      <c r="B205" s="683" t="s">
        <v>462</v>
      </c>
      <c r="C205" s="683" t="s">
        <v>11</v>
      </c>
      <c r="D205" s="604" t="str">
        <f t="shared" si="1"/>
        <v>II</v>
      </c>
      <c r="E205" s="605" t="str">
        <f t="shared" si="5"/>
        <v>FA158/II/02</v>
      </c>
      <c r="F205" s="608" t="s">
        <v>461</v>
      </c>
      <c r="G205" s="606">
        <v>44997.0</v>
      </c>
      <c r="H205" s="684">
        <v>617500.0</v>
      </c>
      <c r="I205" s="684"/>
      <c r="J205" s="608"/>
      <c r="K205" s="401" t="s">
        <v>95</v>
      </c>
      <c r="L205" s="401" t="s">
        <v>13</v>
      </c>
      <c r="M205" s="609" t="str">
        <f t="shared" si="3"/>
        <v>02</v>
      </c>
      <c r="N205" s="608"/>
      <c r="O205" s="608"/>
      <c r="P205" s="608"/>
      <c r="Q205" s="608"/>
      <c r="R205" s="401" t="s">
        <v>52</v>
      </c>
      <c r="S205" s="610"/>
    </row>
    <row r="206" ht="13.5" customHeight="1">
      <c r="A206" s="602">
        <v>205.0</v>
      </c>
      <c r="B206" s="603" t="s">
        <v>463</v>
      </c>
      <c r="C206" s="683" t="s">
        <v>11</v>
      </c>
      <c r="D206" s="604" t="str">
        <f t="shared" si="1"/>
        <v>II</v>
      </c>
      <c r="E206" s="605" t="str">
        <f t="shared" si="5"/>
        <v>FA159/II/02</v>
      </c>
      <c r="F206" s="608" t="s">
        <v>461</v>
      </c>
      <c r="G206" s="606">
        <v>44997.0</v>
      </c>
      <c r="H206" s="684">
        <v>617500.0</v>
      </c>
      <c r="I206" s="684"/>
      <c r="J206" s="608"/>
      <c r="K206" s="401" t="s">
        <v>95</v>
      </c>
      <c r="L206" s="401" t="s">
        <v>13</v>
      </c>
      <c r="M206" s="609" t="str">
        <f t="shared" si="3"/>
        <v>02</v>
      </c>
      <c r="N206" s="608"/>
      <c r="O206" s="608"/>
      <c r="P206" s="608"/>
      <c r="Q206" s="608"/>
      <c r="R206" s="401" t="s">
        <v>52</v>
      </c>
      <c r="S206" s="610"/>
    </row>
    <row r="207" ht="13.5" customHeight="1">
      <c r="A207" s="602">
        <v>206.0</v>
      </c>
      <c r="B207" s="683" t="s">
        <v>464</v>
      </c>
      <c r="C207" s="683" t="s">
        <v>11</v>
      </c>
      <c r="D207" s="604" t="str">
        <f t="shared" si="1"/>
        <v>II</v>
      </c>
      <c r="E207" s="605" t="str">
        <f t="shared" si="5"/>
        <v>FA160/II/02</v>
      </c>
      <c r="F207" s="608" t="s">
        <v>461</v>
      </c>
      <c r="G207" s="606">
        <v>44997.0</v>
      </c>
      <c r="H207" s="684">
        <v>617500.0</v>
      </c>
      <c r="I207" s="684"/>
      <c r="J207" s="608"/>
      <c r="K207" s="401" t="s">
        <v>95</v>
      </c>
      <c r="L207" s="401" t="s">
        <v>13</v>
      </c>
      <c r="M207" s="609" t="str">
        <f t="shared" si="3"/>
        <v>02</v>
      </c>
      <c r="N207" s="608"/>
      <c r="O207" s="608"/>
      <c r="P207" s="608"/>
      <c r="Q207" s="608"/>
      <c r="R207" s="401" t="s">
        <v>52</v>
      </c>
      <c r="S207" s="610"/>
    </row>
    <row r="208" ht="13.5" customHeight="1">
      <c r="A208" s="602">
        <v>207.0</v>
      </c>
      <c r="B208" s="683" t="s">
        <v>465</v>
      </c>
      <c r="C208" s="683" t="s">
        <v>11</v>
      </c>
      <c r="D208" s="604" t="str">
        <f t="shared" si="1"/>
        <v>II</v>
      </c>
      <c r="E208" s="605" t="str">
        <f t="shared" si="5"/>
        <v>FA161/II/02</v>
      </c>
      <c r="F208" s="608" t="s">
        <v>466</v>
      </c>
      <c r="G208" s="606">
        <v>44997.0</v>
      </c>
      <c r="H208" s="684">
        <v>6120475.0</v>
      </c>
      <c r="I208" s="684"/>
      <c r="J208" s="608"/>
      <c r="K208" s="401" t="s">
        <v>95</v>
      </c>
      <c r="L208" s="401" t="s">
        <v>13</v>
      </c>
      <c r="M208" s="609" t="str">
        <f t="shared" si="3"/>
        <v>02</v>
      </c>
      <c r="N208" s="608" t="s">
        <v>155</v>
      </c>
      <c r="O208" s="608"/>
      <c r="P208" s="608"/>
      <c r="Q208" s="608"/>
      <c r="R208" s="401" t="s">
        <v>52</v>
      </c>
      <c r="S208" s="610"/>
    </row>
    <row r="209" ht="13.5" customHeight="1">
      <c r="A209" s="602">
        <v>208.0</v>
      </c>
      <c r="B209" s="683" t="s">
        <v>467</v>
      </c>
      <c r="C209" s="683" t="s">
        <v>11</v>
      </c>
      <c r="D209" s="604" t="str">
        <f t="shared" si="1"/>
        <v>II</v>
      </c>
      <c r="E209" s="605" t="str">
        <f t="shared" si="5"/>
        <v>FA162/II/02</v>
      </c>
      <c r="F209" s="608" t="s">
        <v>468</v>
      </c>
      <c r="G209" s="606">
        <v>44997.0</v>
      </c>
      <c r="H209" s="684">
        <v>1181275.0</v>
      </c>
      <c r="I209" s="684"/>
      <c r="J209" s="608"/>
      <c r="K209" s="401" t="s">
        <v>95</v>
      </c>
      <c r="L209" s="401" t="s">
        <v>13</v>
      </c>
      <c r="M209" s="609" t="str">
        <f t="shared" si="3"/>
        <v>02</v>
      </c>
      <c r="N209" s="608" t="s">
        <v>469</v>
      </c>
      <c r="O209" s="608"/>
      <c r="P209" s="608"/>
      <c r="Q209" s="608"/>
      <c r="R209" s="401" t="s">
        <v>52</v>
      </c>
      <c r="S209" s="610"/>
    </row>
    <row r="210" ht="13.5" customHeight="1">
      <c r="A210" s="602">
        <v>209.0</v>
      </c>
      <c r="B210" s="603" t="s">
        <v>470</v>
      </c>
      <c r="C210" s="683" t="s">
        <v>11</v>
      </c>
      <c r="D210" s="604" t="str">
        <f t="shared" si="1"/>
        <v>II</v>
      </c>
      <c r="E210" s="605" t="str">
        <f t="shared" si="5"/>
        <v>FA163/II/02</v>
      </c>
      <c r="F210" s="608" t="s">
        <v>468</v>
      </c>
      <c r="G210" s="606">
        <v>44997.0</v>
      </c>
      <c r="H210" s="684">
        <v>1181275.0</v>
      </c>
      <c r="I210" s="684"/>
      <c r="J210" s="608"/>
      <c r="K210" s="401" t="s">
        <v>95</v>
      </c>
      <c r="L210" s="401" t="s">
        <v>13</v>
      </c>
      <c r="M210" s="609" t="str">
        <f t="shared" si="3"/>
        <v>02</v>
      </c>
      <c r="N210" s="608" t="s">
        <v>469</v>
      </c>
      <c r="O210" s="608"/>
      <c r="P210" s="608"/>
      <c r="Q210" s="608"/>
      <c r="R210" s="401" t="s">
        <v>52</v>
      </c>
      <c r="S210" s="610"/>
    </row>
    <row r="211" ht="13.5" customHeight="1">
      <c r="A211" s="602">
        <v>210.0</v>
      </c>
      <c r="B211" s="683" t="s">
        <v>471</v>
      </c>
      <c r="C211" s="683" t="s">
        <v>11</v>
      </c>
      <c r="D211" s="604" t="str">
        <f t="shared" si="1"/>
        <v>II</v>
      </c>
      <c r="E211" s="605" t="str">
        <f t="shared" si="5"/>
        <v>FA164/II/02</v>
      </c>
      <c r="F211" s="608" t="s">
        <v>468</v>
      </c>
      <c r="G211" s="606">
        <v>44997.0</v>
      </c>
      <c r="H211" s="684">
        <v>1181275.0</v>
      </c>
      <c r="I211" s="684"/>
      <c r="J211" s="608"/>
      <c r="K211" s="401" t="s">
        <v>95</v>
      </c>
      <c r="L211" s="401" t="s">
        <v>13</v>
      </c>
      <c r="M211" s="609" t="str">
        <f t="shared" si="3"/>
        <v>02</v>
      </c>
      <c r="N211" s="608" t="s">
        <v>469</v>
      </c>
      <c r="O211" s="608"/>
      <c r="P211" s="608"/>
      <c r="Q211" s="608"/>
      <c r="R211" s="401" t="s">
        <v>52</v>
      </c>
      <c r="S211" s="610"/>
    </row>
    <row r="212" ht="13.5" customHeight="1">
      <c r="A212" s="602">
        <v>211.0</v>
      </c>
      <c r="B212" s="683" t="s">
        <v>472</v>
      </c>
      <c r="C212" s="683" t="s">
        <v>11</v>
      </c>
      <c r="D212" s="604" t="str">
        <f t="shared" si="1"/>
        <v>II</v>
      </c>
      <c r="E212" s="605" t="str">
        <f t="shared" si="5"/>
        <v>FA165/II/02</v>
      </c>
      <c r="F212" s="608" t="s">
        <v>468</v>
      </c>
      <c r="G212" s="606">
        <v>44997.0</v>
      </c>
      <c r="H212" s="684">
        <v>1181275.0</v>
      </c>
      <c r="I212" s="684"/>
      <c r="J212" s="608"/>
      <c r="K212" s="401" t="s">
        <v>95</v>
      </c>
      <c r="L212" s="401" t="s">
        <v>13</v>
      </c>
      <c r="M212" s="609" t="str">
        <f t="shared" si="3"/>
        <v>02</v>
      </c>
      <c r="N212" s="608" t="s">
        <v>469</v>
      </c>
      <c r="O212" s="608"/>
      <c r="P212" s="608"/>
      <c r="Q212" s="608"/>
      <c r="R212" s="401" t="s">
        <v>52</v>
      </c>
      <c r="S212" s="610"/>
    </row>
    <row r="213" ht="13.5" customHeight="1">
      <c r="A213" s="602">
        <v>212.0</v>
      </c>
      <c r="B213" s="683" t="s">
        <v>473</v>
      </c>
      <c r="C213" s="683" t="s">
        <v>11</v>
      </c>
      <c r="D213" s="604" t="str">
        <f t="shared" si="1"/>
        <v>II</v>
      </c>
      <c r="E213" s="605" t="str">
        <f t="shared" si="5"/>
        <v>FA166/II/02</v>
      </c>
      <c r="F213" s="608" t="s">
        <v>468</v>
      </c>
      <c r="G213" s="606">
        <v>44997.0</v>
      </c>
      <c r="H213" s="684">
        <v>1181275.0</v>
      </c>
      <c r="I213" s="684"/>
      <c r="J213" s="608"/>
      <c r="K213" s="401" t="s">
        <v>95</v>
      </c>
      <c r="L213" s="401" t="s">
        <v>13</v>
      </c>
      <c r="M213" s="609" t="str">
        <f t="shared" si="3"/>
        <v>02</v>
      </c>
      <c r="N213" s="608" t="s">
        <v>469</v>
      </c>
      <c r="O213" s="608"/>
      <c r="P213" s="608"/>
      <c r="Q213" s="608"/>
      <c r="R213" s="401" t="s">
        <v>52</v>
      </c>
      <c r="S213" s="610"/>
    </row>
    <row r="214" ht="13.5" customHeight="1">
      <c r="A214" s="602">
        <v>213.0</v>
      </c>
      <c r="B214" s="603" t="s">
        <v>474</v>
      </c>
      <c r="C214" s="683" t="s">
        <v>11</v>
      </c>
      <c r="D214" s="604" t="str">
        <f t="shared" si="1"/>
        <v>II</v>
      </c>
      <c r="E214" s="605" t="str">
        <f t="shared" si="5"/>
        <v>FA167/II/02</v>
      </c>
      <c r="F214" s="608" t="s">
        <v>468</v>
      </c>
      <c r="G214" s="606">
        <v>44997.0</v>
      </c>
      <c r="H214" s="684">
        <v>1181275.0</v>
      </c>
      <c r="I214" s="684"/>
      <c r="J214" s="608"/>
      <c r="K214" s="401" t="s">
        <v>95</v>
      </c>
      <c r="L214" s="401" t="s">
        <v>13</v>
      </c>
      <c r="M214" s="609" t="str">
        <f t="shared" si="3"/>
        <v>02</v>
      </c>
      <c r="N214" s="608" t="s">
        <v>469</v>
      </c>
      <c r="O214" s="608"/>
      <c r="P214" s="608"/>
      <c r="Q214" s="608"/>
      <c r="R214" s="401" t="s">
        <v>52</v>
      </c>
      <c r="S214" s="610"/>
    </row>
    <row r="215" ht="13.5" customHeight="1">
      <c r="A215" s="602">
        <v>214.0</v>
      </c>
      <c r="B215" s="683" t="s">
        <v>475</v>
      </c>
      <c r="C215" s="683" t="s">
        <v>11</v>
      </c>
      <c r="D215" s="604" t="str">
        <f t="shared" si="1"/>
        <v>II</v>
      </c>
      <c r="E215" s="605" t="str">
        <f t="shared" si="5"/>
        <v>FA168/II/02</v>
      </c>
      <c r="F215" s="608" t="s">
        <v>476</v>
      </c>
      <c r="G215" s="595">
        <v>44997.0</v>
      </c>
      <c r="H215" s="684">
        <v>618314.0</v>
      </c>
      <c r="I215" s="684"/>
      <c r="J215" s="608"/>
      <c r="K215" s="401" t="s">
        <v>95</v>
      </c>
      <c r="L215" s="401" t="s">
        <v>13</v>
      </c>
      <c r="M215" s="609" t="str">
        <f t="shared" si="3"/>
        <v>02</v>
      </c>
      <c r="N215" s="608" t="s">
        <v>477</v>
      </c>
      <c r="O215" s="608"/>
      <c r="P215" s="608"/>
      <c r="Q215" s="608"/>
      <c r="R215" s="401" t="s">
        <v>52</v>
      </c>
      <c r="S215" s="610"/>
    </row>
    <row r="216" ht="13.5" customHeight="1">
      <c r="A216" s="602">
        <v>215.0</v>
      </c>
      <c r="B216" s="683" t="s">
        <v>478</v>
      </c>
      <c r="C216" s="683" t="s">
        <v>11</v>
      </c>
      <c r="D216" s="604" t="str">
        <f t="shared" si="1"/>
        <v>II</v>
      </c>
      <c r="E216" s="605" t="str">
        <f t="shared" si="5"/>
        <v>FA169/II/02</v>
      </c>
      <c r="F216" s="608" t="s">
        <v>476</v>
      </c>
      <c r="G216" s="595">
        <v>44997.0</v>
      </c>
      <c r="H216" s="684">
        <v>618314.0</v>
      </c>
      <c r="I216" s="684"/>
      <c r="J216" s="608"/>
      <c r="K216" s="401" t="s">
        <v>95</v>
      </c>
      <c r="L216" s="401" t="s">
        <v>13</v>
      </c>
      <c r="M216" s="609" t="str">
        <f t="shared" si="3"/>
        <v>02</v>
      </c>
      <c r="N216" s="608" t="s">
        <v>477</v>
      </c>
      <c r="O216" s="608"/>
      <c r="P216" s="608"/>
      <c r="Q216" s="608"/>
      <c r="R216" s="401" t="s">
        <v>52</v>
      </c>
      <c r="S216" s="610"/>
    </row>
    <row r="217" ht="13.5" customHeight="1">
      <c r="A217" s="602">
        <v>216.0</v>
      </c>
      <c r="B217" s="683" t="s">
        <v>479</v>
      </c>
      <c r="C217" s="683" t="s">
        <v>11</v>
      </c>
      <c r="D217" s="604" t="str">
        <f t="shared" si="1"/>
        <v>II</v>
      </c>
      <c r="E217" s="605" t="str">
        <f t="shared" si="5"/>
        <v>FA170/II/02</v>
      </c>
      <c r="F217" s="608" t="s">
        <v>480</v>
      </c>
      <c r="G217" s="606">
        <v>44997.0</v>
      </c>
      <c r="H217" s="684">
        <v>1083275.0</v>
      </c>
      <c r="I217" s="684"/>
      <c r="J217" s="608"/>
      <c r="K217" s="401" t="s">
        <v>95</v>
      </c>
      <c r="L217" s="401" t="s">
        <v>13</v>
      </c>
      <c r="M217" s="609" t="str">
        <f t="shared" si="3"/>
        <v>02</v>
      </c>
      <c r="N217" s="608" t="s">
        <v>481</v>
      </c>
      <c r="O217" s="608"/>
      <c r="P217" s="608"/>
      <c r="Q217" s="608"/>
      <c r="R217" s="401" t="s">
        <v>52</v>
      </c>
      <c r="S217" s="610"/>
    </row>
    <row r="218" ht="13.5" customHeight="1">
      <c r="A218" s="602">
        <v>217.0</v>
      </c>
      <c r="B218" s="603" t="s">
        <v>482</v>
      </c>
      <c r="C218" s="683" t="s">
        <v>11</v>
      </c>
      <c r="D218" s="604" t="str">
        <f t="shared" si="1"/>
        <v>II</v>
      </c>
      <c r="E218" s="605" t="str">
        <f t="shared" si="5"/>
        <v>FA171/II/02</v>
      </c>
      <c r="F218" s="608" t="s">
        <v>480</v>
      </c>
      <c r="G218" s="606">
        <v>44997.0</v>
      </c>
      <c r="H218" s="684">
        <v>1083275.0</v>
      </c>
      <c r="I218" s="684"/>
      <c r="J218" s="401" t="s">
        <v>439</v>
      </c>
      <c r="K218" s="401" t="s">
        <v>1898</v>
      </c>
      <c r="L218" s="401" t="s">
        <v>13</v>
      </c>
      <c r="M218" s="609" t="str">
        <f t="shared" si="3"/>
        <v>02</v>
      </c>
      <c r="N218" s="608" t="s">
        <v>481</v>
      </c>
      <c r="O218" s="608"/>
      <c r="P218" s="608"/>
      <c r="Q218" s="608"/>
      <c r="R218" s="401" t="s">
        <v>52</v>
      </c>
      <c r="S218" s="610"/>
    </row>
    <row r="219" ht="13.5" customHeight="1">
      <c r="A219" s="602">
        <v>218.0</v>
      </c>
      <c r="B219" s="683" t="s">
        <v>483</v>
      </c>
      <c r="C219" s="683" t="s">
        <v>24</v>
      </c>
      <c r="D219" s="604" t="str">
        <f t="shared" si="1"/>
        <v>V</v>
      </c>
      <c r="E219" s="605" t="str">
        <f t="shared" si="5"/>
        <v>FA172/V/02</v>
      </c>
      <c r="F219" s="608" t="s">
        <v>484</v>
      </c>
      <c r="G219" s="606">
        <v>44988.0</v>
      </c>
      <c r="H219" s="684">
        <v>1471300.0</v>
      </c>
      <c r="I219" s="684"/>
      <c r="J219" s="608"/>
      <c r="K219" s="401" t="s">
        <v>622</v>
      </c>
      <c r="L219" s="401" t="s">
        <v>13</v>
      </c>
      <c r="M219" s="609" t="str">
        <f t="shared" si="3"/>
        <v>02</v>
      </c>
      <c r="N219" s="608" t="s">
        <v>485</v>
      </c>
      <c r="O219" s="608"/>
      <c r="P219" s="608"/>
      <c r="Q219" s="608"/>
      <c r="R219" s="401" t="s">
        <v>52</v>
      </c>
      <c r="S219" s="610"/>
    </row>
    <row r="220" ht="13.5" customHeight="1">
      <c r="A220" s="622">
        <v>219.0</v>
      </c>
      <c r="B220" s="681" t="s">
        <v>486</v>
      </c>
      <c r="C220" s="681" t="s">
        <v>6</v>
      </c>
      <c r="D220" s="624" t="str">
        <f t="shared" si="1"/>
        <v>I</v>
      </c>
      <c r="E220" s="625" t="str">
        <f t="shared" si="5"/>
        <v>FA173/I/01</v>
      </c>
      <c r="F220" s="628" t="s">
        <v>487</v>
      </c>
      <c r="G220" s="626">
        <v>45020.0</v>
      </c>
      <c r="H220" s="682">
        <v>6500000.0</v>
      </c>
      <c r="I220" s="682"/>
      <c r="J220" s="630"/>
      <c r="K220" s="628" t="s">
        <v>51</v>
      </c>
      <c r="L220" s="630" t="s">
        <v>8</v>
      </c>
      <c r="M220" s="629" t="str">
        <f t="shared" si="3"/>
        <v>01</v>
      </c>
      <c r="N220" s="628" t="s">
        <v>279</v>
      </c>
      <c r="O220" s="630"/>
      <c r="P220" s="630"/>
      <c r="Q220" s="630"/>
      <c r="R220" s="630"/>
      <c r="S220" s="631"/>
    </row>
    <row r="221" ht="13.5" customHeight="1">
      <c r="A221" s="622">
        <v>220.0</v>
      </c>
      <c r="B221" s="681" t="s">
        <v>488</v>
      </c>
      <c r="C221" s="681" t="s">
        <v>11</v>
      </c>
      <c r="D221" s="624" t="str">
        <f t="shared" si="1"/>
        <v>II</v>
      </c>
      <c r="E221" s="625" t="str">
        <f t="shared" si="5"/>
        <v>FA174/II/01</v>
      </c>
      <c r="F221" s="630" t="s">
        <v>154</v>
      </c>
      <c r="G221" s="626">
        <v>45018.0</v>
      </c>
      <c r="H221" s="682">
        <v>799000.0</v>
      </c>
      <c r="I221" s="682"/>
      <c r="J221" s="628" t="s">
        <v>1679</v>
      </c>
      <c r="K221" s="628" t="s">
        <v>47</v>
      </c>
      <c r="L221" s="628" t="s">
        <v>8</v>
      </c>
      <c r="M221" s="629" t="str">
        <f t="shared" si="3"/>
        <v>01</v>
      </c>
      <c r="N221" s="630" t="s">
        <v>155</v>
      </c>
      <c r="O221" s="630"/>
      <c r="P221" s="630"/>
      <c r="Q221" s="630"/>
      <c r="R221" s="630"/>
      <c r="S221" s="631"/>
    </row>
    <row r="222" ht="13.5" customHeight="1">
      <c r="A222" s="622">
        <v>221.0</v>
      </c>
      <c r="B222" s="623" t="s">
        <v>490</v>
      </c>
      <c r="C222" s="681" t="s">
        <v>11</v>
      </c>
      <c r="D222" s="624" t="str">
        <f t="shared" si="1"/>
        <v>II</v>
      </c>
      <c r="E222" s="625" t="str">
        <f t="shared" si="5"/>
        <v>FA175/II/01</v>
      </c>
      <c r="F222" s="630" t="s">
        <v>154</v>
      </c>
      <c r="G222" s="626">
        <v>45018.0</v>
      </c>
      <c r="H222" s="682">
        <v>799000.0</v>
      </c>
      <c r="I222" s="682"/>
      <c r="J222" s="628" t="s">
        <v>389</v>
      </c>
      <c r="K222" s="628" t="s">
        <v>1890</v>
      </c>
      <c r="L222" s="628" t="s">
        <v>8</v>
      </c>
      <c r="M222" s="629" t="str">
        <f t="shared" si="3"/>
        <v>01</v>
      </c>
      <c r="N222" s="630" t="s">
        <v>155</v>
      </c>
      <c r="O222" s="630"/>
      <c r="P222" s="630"/>
      <c r="Q222" s="630"/>
      <c r="R222" s="630"/>
      <c r="S222" s="631"/>
    </row>
    <row r="223" ht="13.5" customHeight="1">
      <c r="A223" s="622">
        <v>222.0</v>
      </c>
      <c r="B223" s="681" t="s">
        <v>491</v>
      </c>
      <c r="C223" s="681" t="s">
        <v>11</v>
      </c>
      <c r="D223" s="624" t="str">
        <f t="shared" si="1"/>
        <v>II</v>
      </c>
      <c r="E223" s="625" t="str">
        <f t="shared" si="5"/>
        <v>FA176/II/01</v>
      </c>
      <c r="F223" s="630" t="s">
        <v>154</v>
      </c>
      <c r="G223" s="626">
        <v>45018.0</v>
      </c>
      <c r="H223" s="682">
        <v>799000.0</v>
      </c>
      <c r="I223" s="682"/>
      <c r="J223" s="628" t="s">
        <v>1921</v>
      </c>
      <c r="K223" s="628" t="s">
        <v>47</v>
      </c>
      <c r="L223" s="628" t="s">
        <v>8</v>
      </c>
      <c r="M223" s="629" t="str">
        <f t="shared" si="3"/>
        <v>01</v>
      </c>
      <c r="N223" s="630" t="s">
        <v>155</v>
      </c>
      <c r="O223" s="630"/>
      <c r="P223" s="630"/>
      <c r="Q223" s="630"/>
      <c r="R223" s="630"/>
      <c r="S223" s="631"/>
    </row>
    <row r="224" ht="13.5" customHeight="1">
      <c r="A224" s="622">
        <v>223.0</v>
      </c>
      <c r="B224" s="681" t="s">
        <v>492</v>
      </c>
      <c r="C224" s="681" t="s">
        <v>11</v>
      </c>
      <c r="D224" s="624" t="str">
        <f t="shared" si="1"/>
        <v>II</v>
      </c>
      <c r="E224" s="625" t="str">
        <f t="shared" si="5"/>
        <v>FA177/II/01</v>
      </c>
      <c r="F224" s="630" t="s">
        <v>154</v>
      </c>
      <c r="G224" s="626">
        <v>45018.0</v>
      </c>
      <c r="H224" s="682">
        <v>799000.0</v>
      </c>
      <c r="I224" s="682"/>
      <c r="J224" s="628" t="s">
        <v>425</v>
      </c>
      <c r="K224" s="628" t="s">
        <v>108</v>
      </c>
      <c r="L224" s="628" t="s">
        <v>8</v>
      </c>
      <c r="M224" s="629" t="str">
        <f t="shared" si="3"/>
        <v>01</v>
      </c>
      <c r="N224" s="630" t="s">
        <v>155</v>
      </c>
      <c r="O224" s="630"/>
      <c r="P224" s="630"/>
      <c r="Q224" s="630"/>
      <c r="R224" s="630"/>
      <c r="S224" s="631"/>
    </row>
    <row r="225" ht="13.5" customHeight="1">
      <c r="A225" s="622">
        <v>224.0</v>
      </c>
      <c r="B225" s="681" t="s">
        <v>493</v>
      </c>
      <c r="C225" s="681" t="s">
        <v>11</v>
      </c>
      <c r="D225" s="624" t="str">
        <f t="shared" si="1"/>
        <v>II</v>
      </c>
      <c r="E225" s="625" t="str">
        <f t="shared" si="5"/>
        <v>FA178/II/01</v>
      </c>
      <c r="F225" s="630" t="s">
        <v>154</v>
      </c>
      <c r="G225" s="626">
        <v>45018.0</v>
      </c>
      <c r="H225" s="682">
        <v>799000.0</v>
      </c>
      <c r="I225" s="682"/>
      <c r="J225" s="628" t="s">
        <v>1889</v>
      </c>
      <c r="K225" s="628" t="s">
        <v>1890</v>
      </c>
      <c r="L225" s="628" t="s">
        <v>8</v>
      </c>
      <c r="M225" s="629" t="str">
        <f t="shared" si="3"/>
        <v>01</v>
      </c>
      <c r="N225" s="630" t="s">
        <v>155</v>
      </c>
      <c r="O225" s="630"/>
      <c r="P225" s="630"/>
      <c r="Q225" s="630"/>
      <c r="R225" s="630"/>
      <c r="S225" s="631"/>
    </row>
    <row r="226" ht="13.5" customHeight="1">
      <c r="A226" s="622">
        <v>225.0</v>
      </c>
      <c r="B226" s="623" t="s">
        <v>494</v>
      </c>
      <c r="C226" s="681" t="s">
        <v>11</v>
      </c>
      <c r="D226" s="624" t="str">
        <f t="shared" si="1"/>
        <v>II</v>
      </c>
      <c r="E226" s="625" t="str">
        <f t="shared" si="5"/>
        <v>FA179/II/01</v>
      </c>
      <c r="F226" s="630" t="s">
        <v>154</v>
      </c>
      <c r="G226" s="626">
        <v>45018.0</v>
      </c>
      <c r="H226" s="682">
        <v>799000.0</v>
      </c>
      <c r="I226" s="682"/>
      <c r="J226" s="628" t="s">
        <v>1922</v>
      </c>
      <c r="K226" s="628" t="s">
        <v>51</v>
      </c>
      <c r="L226" s="628" t="s">
        <v>8</v>
      </c>
      <c r="M226" s="629" t="str">
        <f t="shared" si="3"/>
        <v>01</v>
      </c>
      <c r="N226" s="630" t="s">
        <v>155</v>
      </c>
      <c r="O226" s="630"/>
      <c r="P226" s="630"/>
      <c r="Q226" s="630"/>
      <c r="R226" s="630"/>
      <c r="S226" s="631"/>
    </row>
    <row r="227" ht="13.5" customHeight="1">
      <c r="A227" s="622">
        <v>226.0</v>
      </c>
      <c r="B227" s="681" t="s">
        <v>495</v>
      </c>
      <c r="C227" s="681" t="s">
        <v>11</v>
      </c>
      <c r="D227" s="624" t="str">
        <f t="shared" si="1"/>
        <v>II</v>
      </c>
      <c r="E227" s="625" t="str">
        <f t="shared" si="5"/>
        <v>FA180/II/01</v>
      </c>
      <c r="F227" s="630" t="s">
        <v>154</v>
      </c>
      <c r="G227" s="626">
        <v>45018.0</v>
      </c>
      <c r="H227" s="682">
        <v>799000.0</v>
      </c>
      <c r="I227" s="682"/>
      <c r="J227" s="628" t="s">
        <v>198</v>
      </c>
      <c r="K227" s="628" t="s">
        <v>158</v>
      </c>
      <c r="L227" s="628" t="s">
        <v>8</v>
      </c>
      <c r="M227" s="629" t="str">
        <f t="shared" si="3"/>
        <v>01</v>
      </c>
      <c r="N227" s="630" t="s">
        <v>155</v>
      </c>
      <c r="O227" s="630"/>
      <c r="P227" s="630"/>
      <c r="Q227" s="630"/>
      <c r="R227" s="630"/>
      <c r="S227" s="631"/>
    </row>
    <row r="228" ht="13.5" customHeight="1">
      <c r="A228" s="622">
        <v>227.0</v>
      </c>
      <c r="B228" s="681" t="s">
        <v>496</v>
      </c>
      <c r="C228" s="681" t="s">
        <v>11</v>
      </c>
      <c r="D228" s="624" t="str">
        <f t="shared" si="1"/>
        <v>II</v>
      </c>
      <c r="E228" s="625" t="str">
        <f t="shared" si="5"/>
        <v>FA181/II/01</v>
      </c>
      <c r="F228" s="630" t="s">
        <v>154</v>
      </c>
      <c r="G228" s="626">
        <v>45018.0</v>
      </c>
      <c r="H228" s="682">
        <v>799000.0</v>
      </c>
      <c r="I228" s="682"/>
      <c r="J228" s="628" t="s">
        <v>1923</v>
      </c>
      <c r="K228" s="628" t="s">
        <v>51</v>
      </c>
      <c r="L228" s="628" t="s">
        <v>8</v>
      </c>
      <c r="M228" s="629" t="str">
        <f t="shared" si="3"/>
        <v>01</v>
      </c>
      <c r="N228" s="630" t="s">
        <v>155</v>
      </c>
      <c r="O228" s="630"/>
      <c r="P228" s="630"/>
      <c r="Q228" s="630"/>
      <c r="R228" s="630"/>
      <c r="S228" s="631"/>
    </row>
    <row r="229" ht="13.5" customHeight="1">
      <c r="A229" s="622">
        <v>228.0</v>
      </c>
      <c r="B229" s="681" t="s">
        <v>497</v>
      </c>
      <c r="C229" s="681" t="s">
        <v>11</v>
      </c>
      <c r="D229" s="624" t="str">
        <f t="shared" si="1"/>
        <v>II</v>
      </c>
      <c r="E229" s="625" t="str">
        <f t="shared" si="5"/>
        <v>FA182/II/01</v>
      </c>
      <c r="F229" s="630" t="s">
        <v>154</v>
      </c>
      <c r="G229" s="626">
        <v>45018.0</v>
      </c>
      <c r="H229" s="682">
        <v>799000.0</v>
      </c>
      <c r="I229" s="682"/>
      <c r="J229" s="628" t="s">
        <v>1863</v>
      </c>
      <c r="K229" s="628" t="s">
        <v>51</v>
      </c>
      <c r="L229" s="628" t="s">
        <v>8</v>
      </c>
      <c r="M229" s="629" t="str">
        <f t="shared" si="3"/>
        <v>01</v>
      </c>
      <c r="N229" s="630" t="s">
        <v>155</v>
      </c>
      <c r="O229" s="630"/>
      <c r="P229" s="630"/>
      <c r="Q229" s="630"/>
      <c r="R229" s="630"/>
      <c r="S229" s="631"/>
    </row>
    <row r="230" ht="13.5" customHeight="1">
      <c r="A230" s="622">
        <v>229.0</v>
      </c>
      <c r="B230" s="623" t="s">
        <v>498</v>
      </c>
      <c r="C230" s="681" t="s">
        <v>11</v>
      </c>
      <c r="D230" s="624" t="str">
        <f t="shared" si="1"/>
        <v>II</v>
      </c>
      <c r="E230" s="625" t="str">
        <f t="shared" si="5"/>
        <v>FA183/II/01</v>
      </c>
      <c r="F230" s="630" t="s">
        <v>154</v>
      </c>
      <c r="G230" s="626">
        <v>45018.0</v>
      </c>
      <c r="H230" s="682">
        <v>799000.0</v>
      </c>
      <c r="I230" s="682"/>
      <c r="J230" s="628" t="s">
        <v>1896</v>
      </c>
      <c r="K230" s="628" t="s">
        <v>51</v>
      </c>
      <c r="L230" s="628" t="s">
        <v>8</v>
      </c>
      <c r="M230" s="629" t="str">
        <f t="shared" si="3"/>
        <v>01</v>
      </c>
      <c r="N230" s="630" t="s">
        <v>155</v>
      </c>
      <c r="O230" s="630"/>
      <c r="P230" s="630"/>
      <c r="Q230" s="630"/>
      <c r="R230" s="630"/>
      <c r="S230" s="631"/>
    </row>
    <row r="231" ht="13.5" customHeight="1">
      <c r="A231" s="622">
        <v>230.0</v>
      </c>
      <c r="B231" s="681" t="s">
        <v>499</v>
      </c>
      <c r="C231" s="681" t="s">
        <v>11</v>
      </c>
      <c r="D231" s="624" t="str">
        <f t="shared" si="1"/>
        <v>II</v>
      </c>
      <c r="E231" s="625" t="str">
        <f t="shared" si="5"/>
        <v>FA184/II/01</v>
      </c>
      <c r="F231" s="630" t="s">
        <v>154</v>
      </c>
      <c r="G231" s="626">
        <v>45018.0</v>
      </c>
      <c r="H231" s="682">
        <v>799000.0</v>
      </c>
      <c r="I231" s="682"/>
      <c r="J231" s="628" t="s">
        <v>276</v>
      </c>
      <c r="K231" s="628" t="s">
        <v>47</v>
      </c>
      <c r="L231" s="628" t="s">
        <v>8</v>
      </c>
      <c r="M231" s="629" t="str">
        <f t="shared" si="3"/>
        <v>01</v>
      </c>
      <c r="N231" s="630" t="s">
        <v>155</v>
      </c>
      <c r="O231" s="630"/>
      <c r="P231" s="630"/>
      <c r="Q231" s="630"/>
      <c r="R231" s="630"/>
      <c r="S231" s="631"/>
    </row>
    <row r="232" ht="13.5" customHeight="1">
      <c r="A232" s="622">
        <v>231.0</v>
      </c>
      <c r="B232" s="681" t="s">
        <v>500</v>
      </c>
      <c r="C232" s="681" t="s">
        <v>11</v>
      </c>
      <c r="D232" s="624" t="str">
        <f t="shared" si="1"/>
        <v>II</v>
      </c>
      <c r="E232" s="625" t="str">
        <f t="shared" si="5"/>
        <v>FA185/II/01</v>
      </c>
      <c r="F232" s="630" t="s">
        <v>154</v>
      </c>
      <c r="G232" s="626">
        <v>45018.0</v>
      </c>
      <c r="H232" s="682">
        <v>799000.0</v>
      </c>
      <c r="I232" s="682"/>
      <c r="J232" s="628" t="s">
        <v>1924</v>
      </c>
      <c r="K232" s="628" t="s">
        <v>81</v>
      </c>
      <c r="L232" s="628" t="s">
        <v>8</v>
      </c>
      <c r="M232" s="629" t="str">
        <f t="shared" si="3"/>
        <v>01</v>
      </c>
      <c r="N232" s="630" t="s">
        <v>155</v>
      </c>
      <c r="O232" s="630"/>
      <c r="P232" s="630"/>
      <c r="Q232" s="630"/>
      <c r="R232" s="630"/>
      <c r="S232" s="631"/>
    </row>
    <row r="233" ht="13.5" customHeight="1">
      <c r="A233" s="622">
        <v>232.0</v>
      </c>
      <c r="B233" s="623" t="s">
        <v>501</v>
      </c>
      <c r="C233" s="681" t="s">
        <v>11</v>
      </c>
      <c r="D233" s="624" t="str">
        <f t="shared" si="1"/>
        <v>II</v>
      </c>
      <c r="E233" s="625" t="str">
        <f t="shared" si="5"/>
        <v>FA186/II/01</v>
      </c>
      <c r="F233" s="630" t="s">
        <v>154</v>
      </c>
      <c r="G233" s="626">
        <v>45018.0</v>
      </c>
      <c r="H233" s="682">
        <v>799000.0</v>
      </c>
      <c r="I233" s="682"/>
      <c r="J233" s="628" t="s">
        <v>422</v>
      </c>
      <c r="K233" s="628" t="s">
        <v>47</v>
      </c>
      <c r="L233" s="628" t="s">
        <v>8</v>
      </c>
      <c r="M233" s="629" t="str">
        <f t="shared" si="3"/>
        <v>01</v>
      </c>
      <c r="N233" s="630" t="s">
        <v>155</v>
      </c>
      <c r="O233" s="630"/>
      <c r="P233" s="630"/>
      <c r="Q233" s="630"/>
      <c r="R233" s="630"/>
      <c r="S233" s="631"/>
    </row>
    <row r="234" ht="13.5" customHeight="1">
      <c r="A234" s="622">
        <v>233.0</v>
      </c>
      <c r="B234" s="681" t="s">
        <v>502</v>
      </c>
      <c r="C234" s="681" t="s">
        <v>11</v>
      </c>
      <c r="D234" s="624" t="str">
        <f t="shared" si="1"/>
        <v>II</v>
      </c>
      <c r="E234" s="625" t="str">
        <f t="shared" si="5"/>
        <v>FA187/II/01</v>
      </c>
      <c r="F234" s="630" t="s">
        <v>154</v>
      </c>
      <c r="G234" s="626">
        <v>45018.0</v>
      </c>
      <c r="H234" s="682">
        <v>799000.0</v>
      </c>
      <c r="I234" s="682"/>
      <c r="J234" s="628" t="s">
        <v>1925</v>
      </c>
      <c r="K234" s="628" t="s">
        <v>81</v>
      </c>
      <c r="L234" s="628" t="s">
        <v>8</v>
      </c>
      <c r="M234" s="629" t="str">
        <f t="shared" si="3"/>
        <v>01</v>
      </c>
      <c r="N234" s="630" t="s">
        <v>155</v>
      </c>
      <c r="O234" s="630"/>
      <c r="P234" s="630"/>
      <c r="Q234" s="630"/>
      <c r="R234" s="630"/>
      <c r="S234" s="631"/>
    </row>
    <row r="235" ht="13.5" customHeight="1">
      <c r="A235" s="622">
        <v>234.0</v>
      </c>
      <c r="B235" s="681" t="s">
        <v>503</v>
      </c>
      <c r="C235" s="681" t="s">
        <v>11</v>
      </c>
      <c r="D235" s="624" t="str">
        <f t="shared" si="1"/>
        <v>II</v>
      </c>
      <c r="E235" s="625" t="str">
        <f t="shared" si="5"/>
        <v>FA188/II/01</v>
      </c>
      <c r="F235" s="630" t="s">
        <v>154</v>
      </c>
      <c r="G235" s="626">
        <v>45018.0</v>
      </c>
      <c r="H235" s="682">
        <v>799000.0</v>
      </c>
      <c r="I235" s="682"/>
      <c r="J235" s="628" t="s">
        <v>273</v>
      </c>
      <c r="K235" s="628" t="s">
        <v>95</v>
      </c>
      <c r="L235" s="628" t="s">
        <v>8</v>
      </c>
      <c r="M235" s="629" t="str">
        <f t="shared" si="3"/>
        <v>01</v>
      </c>
      <c r="N235" s="630" t="s">
        <v>155</v>
      </c>
      <c r="O235" s="630"/>
      <c r="P235" s="630"/>
      <c r="Q235" s="630"/>
      <c r="R235" s="630"/>
      <c r="S235" s="631"/>
    </row>
    <row r="236" ht="13.5" customHeight="1">
      <c r="A236" s="622">
        <v>235.0</v>
      </c>
      <c r="B236" s="681" t="s">
        <v>504</v>
      </c>
      <c r="C236" s="681" t="s">
        <v>11</v>
      </c>
      <c r="D236" s="624" t="str">
        <f t="shared" si="1"/>
        <v>II</v>
      </c>
      <c r="E236" s="625" t="str">
        <f t="shared" si="5"/>
        <v>FA189/II/01</v>
      </c>
      <c r="F236" s="630" t="s">
        <v>1886</v>
      </c>
      <c r="G236" s="626">
        <v>45018.0</v>
      </c>
      <c r="H236" s="682">
        <v>1198800.0</v>
      </c>
      <c r="I236" s="682"/>
      <c r="J236" s="628" t="s">
        <v>1926</v>
      </c>
      <c r="K236" s="628" t="s">
        <v>81</v>
      </c>
      <c r="L236" s="630" t="s">
        <v>8</v>
      </c>
      <c r="M236" s="629" t="str">
        <f t="shared" si="3"/>
        <v>01</v>
      </c>
      <c r="N236" s="630" t="s">
        <v>155</v>
      </c>
      <c r="O236" s="630"/>
      <c r="P236" s="630"/>
      <c r="Q236" s="630"/>
      <c r="R236" s="630"/>
      <c r="S236" s="631"/>
    </row>
    <row r="237" ht="13.5" customHeight="1">
      <c r="A237" s="622">
        <v>236.0</v>
      </c>
      <c r="B237" s="623" t="s">
        <v>505</v>
      </c>
      <c r="C237" s="681" t="s">
        <v>11</v>
      </c>
      <c r="D237" s="624" t="str">
        <f t="shared" si="1"/>
        <v>II</v>
      </c>
      <c r="E237" s="625" t="str">
        <f t="shared" si="5"/>
        <v>FA190/II/01</v>
      </c>
      <c r="F237" s="630" t="s">
        <v>1886</v>
      </c>
      <c r="G237" s="626">
        <v>45018.0</v>
      </c>
      <c r="H237" s="682">
        <v>1198800.0</v>
      </c>
      <c r="I237" s="682"/>
      <c r="J237" s="628" t="s">
        <v>1863</v>
      </c>
      <c r="K237" s="628" t="s">
        <v>51</v>
      </c>
      <c r="L237" s="630" t="s">
        <v>8</v>
      </c>
      <c r="M237" s="629" t="str">
        <f t="shared" si="3"/>
        <v>01</v>
      </c>
      <c r="N237" s="630" t="s">
        <v>155</v>
      </c>
      <c r="O237" s="630"/>
      <c r="P237" s="630"/>
      <c r="Q237" s="630"/>
      <c r="R237" s="630"/>
      <c r="S237" s="631"/>
    </row>
    <row r="238" ht="13.5" customHeight="1">
      <c r="A238" s="622">
        <v>237.0</v>
      </c>
      <c r="B238" s="681" t="s">
        <v>506</v>
      </c>
      <c r="C238" s="681" t="s">
        <v>11</v>
      </c>
      <c r="D238" s="624" t="str">
        <f t="shared" si="1"/>
        <v>II</v>
      </c>
      <c r="E238" s="625" t="str">
        <f t="shared" si="5"/>
        <v>FA191/II/01</v>
      </c>
      <c r="F238" s="630" t="s">
        <v>1886</v>
      </c>
      <c r="G238" s="626">
        <v>45018.0</v>
      </c>
      <c r="H238" s="682">
        <v>1198800.0</v>
      </c>
      <c r="I238" s="682"/>
      <c r="J238" s="628" t="s">
        <v>1921</v>
      </c>
      <c r="K238" s="628" t="s">
        <v>47</v>
      </c>
      <c r="L238" s="630" t="s">
        <v>8</v>
      </c>
      <c r="M238" s="629" t="str">
        <f t="shared" si="3"/>
        <v>01</v>
      </c>
      <c r="N238" s="630" t="s">
        <v>155</v>
      </c>
      <c r="O238" s="630"/>
      <c r="P238" s="630"/>
      <c r="Q238" s="630"/>
      <c r="R238" s="630"/>
      <c r="S238" s="631"/>
    </row>
    <row r="239" ht="13.5" customHeight="1">
      <c r="A239" s="622">
        <v>238.0</v>
      </c>
      <c r="B239" s="681" t="s">
        <v>507</v>
      </c>
      <c r="C239" s="681" t="s">
        <v>11</v>
      </c>
      <c r="D239" s="624" t="str">
        <f t="shared" si="1"/>
        <v>II</v>
      </c>
      <c r="E239" s="625" t="str">
        <f t="shared" si="5"/>
        <v>FA192/II/01</v>
      </c>
      <c r="F239" s="630" t="s">
        <v>1886</v>
      </c>
      <c r="G239" s="626">
        <v>45018.0</v>
      </c>
      <c r="H239" s="682">
        <v>1198800.0</v>
      </c>
      <c r="I239" s="682"/>
      <c r="J239" s="694" t="s">
        <v>389</v>
      </c>
      <c r="K239" s="628" t="s">
        <v>1890</v>
      </c>
      <c r="L239" s="630" t="s">
        <v>8</v>
      </c>
      <c r="M239" s="629" t="str">
        <f t="shared" si="3"/>
        <v>01</v>
      </c>
      <c r="N239" s="630" t="s">
        <v>155</v>
      </c>
      <c r="O239" s="630"/>
      <c r="P239" s="630"/>
      <c r="Q239" s="630"/>
      <c r="R239" s="630"/>
      <c r="S239" s="631"/>
    </row>
    <row r="240" ht="13.5" customHeight="1">
      <c r="A240" s="622">
        <v>239.0</v>
      </c>
      <c r="B240" s="681" t="s">
        <v>508</v>
      </c>
      <c r="C240" s="681" t="s">
        <v>11</v>
      </c>
      <c r="D240" s="624" t="str">
        <f t="shared" si="1"/>
        <v>II</v>
      </c>
      <c r="E240" s="625" t="str">
        <f t="shared" si="5"/>
        <v>FA193/II/01</v>
      </c>
      <c r="F240" s="630" t="s">
        <v>1886</v>
      </c>
      <c r="G240" s="626">
        <v>45018.0</v>
      </c>
      <c r="H240" s="682">
        <v>1198800.0</v>
      </c>
      <c r="I240" s="682"/>
      <c r="J240" s="628" t="s">
        <v>1916</v>
      </c>
      <c r="K240" s="628" t="s">
        <v>158</v>
      </c>
      <c r="L240" s="630" t="s">
        <v>8</v>
      </c>
      <c r="M240" s="629" t="str">
        <f t="shared" si="3"/>
        <v>01</v>
      </c>
      <c r="N240" s="630" t="s">
        <v>155</v>
      </c>
      <c r="O240" s="630"/>
      <c r="P240" s="630"/>
      <c r="Q240" s="630"/>
      <c r="R240" s="630"/>
      <c r="S240" s="631"/>
    </row>
    <row r="241" ht="13.5" customHeight="1">
      <c r="A241" s="622">
        <v>240.0</v>
      </c>
      <c r="B241" s="623" t="s">
        <v>509</v>
      </c>
      <c r="C241" s="681" t="s">
        <v>11</v>
      </c>
      <c r="D241" s="624" t="str">
        <f t="shared" si="1"/>
        <v>II</v>
      </c>
      <c r="E241" s="625" t="str">
        <f t="shared" si="5"/>
        <v>FA194/II/01</v>
      </c>
      <c r="F241" s="630" t="s">
        <v>1886</v>
      </c>
      <c r="G241" s="626">
        <v>45018.0</v>
      </c>
      <c r="H241" s="682">
        <v>1198800.0</v>
      </c>
      <c r="I241" s="682"/>
      <c r="J241" s="628" t="s">
        <v>372</v>
      </c>
      <c r="K241" s="628" t="s">
        <v>1890</v>
      </c>
      <c r="L241" s="630" t="s">
        <v>8</v>
      </c>
      <c r="M241" s="629" t="str">
        <f t="shared" si="3"/>
        <v>01</v>
      </c>
      <c r="N241" s="630" t="s">
        <v>155</v>
      </c>
      <c r="O241" s="630"/>
      <c r="P241" s="630"/>
      <c r="Q241" s="630"/>
      <c r="R241" s="630"/>
      <c r="S241" s="631"/>
    </row>
    <row r="242" ht="13.5" customHeight="1">
      <c r="A242" s="622">
        <v>241.0</v>
      </c>
      <c r="B242" s="681" t="s">
        <v>510</v>
      </c>
      <c r="C242" s="681" t="s">
        <v>11</v>
      </c>
      <c r="D242" s="624" t="str">
        <f t="shared" si="1"/>
        <v>II</v>
      </c>
      <c r="E242" s="625" t="str">
        <f t="shared" si="5"/>
        <v>FA195/II/01</v>
      </c>
      <c r="F242" s="630" t="s">
        <v>1886</v>
      </c>
      <c r="G242" s="626">
        <v>45018.0</v>
      </c>
      <c r="H242" s="682">
        <v>1198800.0</v>
      </c>
      <c r="I242" s="682"/>
      <c r="J242" s="628" t="s">
        <v>1892</v>
      </c>
      <c r="K242" s="628" t="s">
        <v>108</v>
      </c>
      <c r="L242" s="630" t="s">
        <v>8</v>
      </c>
      <c r="M242" s="629" t="str">
        <f t="shared" si="3"/>
        <v>01</v>
      </c>
      <c r="N242" s="630" t="s">
        <v>155</v>
      </c>
      <c r="O242" s="630"/>
      <c r="P242" s="630"/>
      <c r="Q242" s="630"/>
      <c r="R242" s="630"/>
      <c r="S242" s="631"/>
    </row>
    <row r="243" ht="13.5" customHeight="1">
      <c r="A243" s="622">
        <v>242.0</v>
      </c>
      <c r="B243" s="681" t="s">
        <v>511</v>
      </c>
      <c r="C243" s="681" t="s">
        <v>11</v>
      </c>
      <c r="D243" s="624" t="str">
        <f t="shared" si="1"/>
        <v>II</v>
      </c>
      <c r="E243" s="625" t="str">
        <f t="shared" si="5"/>
        <v>FA196/II/01</v>
      </c>
      <c r="F243" s="630" t="s">
        <v>1886</v>
      </c>
      <c r="G243" s="626">
        <v>45018.0</v>
      </c>
      <c r="H243" s="682">
        <v>1198800.0</v>
      </c>
      <c r="I243" s="682"/>
      <c r="J243" s="628" t="s">
        <v>1927</v>
      </c>
      <c r="K243" s="628" t="s">
        <v>81</v>
      </c>
      <c r="L243" s="630" t="s">
        <v>8</v>
      </c>
      <c r="M243" s="629" t="str">
        <f t="shared" si="3"/>
        <v>01</v>
      </c>
      <c r="N243" s="630" t="s">
        <v>155</v>
      </c>
      <c r="O243" s="630"/>
      <c r="P243" s="630"/>
      <c r="Q243" s="630"/>
      <c r="R243" s="630"/>
      <c r="S243" s="631"/>
    </row>
    <row r="244" ht="13.5" customHeight="1">
      <c r="A244" s="622">
        <v>243.0</v>
      </c>
      <c r="B244" s="623" t="s">
        <v>512</v>
      </c>
      <c r="C244" s="681" t="s">
        <v>11</v>
      </c>
      <c r="D244" s="624" t="str">
        <f t="shared" si="1"/>
        <v>II</v>
      </c>
      <c r="E244" s="625" t="str">
        <f t="shared" si="5"/>
        <v>FA197/II/01</v>
      </c>
      <c r="F244" s="630" t="s">
        <v>1886</v>
      </c>
      <c r="G244" s="626">
        <v>45018.0</v>
      </c>
      <c r="H244" s="682">
        <v>1198800.0</v>
      </c>
      <c r="I244" s="682"/>
      <c r="J244" s="628" t="s">
        <v>1928</v>
      </c>
      <c r="K244" s="628" t="s">
        <v>51</v>
      </c>
      <c r="L244" s="630" t="s">
        <v>8</v>
      </c>
      <c r="M244" s="629" t="str">
        <f t="shared" si="3"/>
        <v>01</v>
      </c>
      <c r="N244" s="630" t="s">
        <v>155</v>
      </c>
      <c r="O244" s="630"/>
      <c r="P244" s="630"/>
      <c r="Q244" s="630"/>
      <c r="R244" s="630"/>
      <c r="S244" s="631"/>
    </row>
    <row r="245" ht="13.5" customHeight="1">
      <c r="A245" s="622">
        <v>244.0</v>
      </c>
      <c r="B245" s="681" t="s">
        <v>513</v>
      </c>
      <c r="C245" s="681" t="s">
        <v>11</v>
      </c>
      <c r="D245" s="624" t="str">
        <f t="shared" si="1"/>
        <v>II</v>
      </c>
      <c r="E245" s="625" t="str">
        <f t="shared" si="5"/>
        <v>FA198/II/01</v>
      </c>
      <c r="F245" s="630" t="s">
        <v>1886</v>
      </c>
      <c r="G245" s="626">
        <v>45018.0</v>
      </c>
      <c r="H245" s="682">
        <v>1198800.0</v>
      </c>
      <c r="I245" s="682"/>
      <c r="J245" s="628" t="s">
        <v>1929</v>
      </c>
      <c r="K245" s="628" t="s">
        <v>47</v>
      </c>
      <c r="L245" s="630" t="s">
        <v>8</v>
      </c>
      <c r="M245" s="629" t="str">
        <f t="shared" si="3"/>
        <v>01</v>
      </c>
      <c r="N245" s="630" t="s">
        <v>155</v>
      </c>
      <c r="O245" s="630"/>
      <c r="P245" s="630"/>
      <c r="Q245" s="630"/>
      <c r="R245" s="630"/>
      <c r="S245" s="631"/>
    </row>
    <row r="246" ht="13.5" customHeight="1">
      <c r="A246" s="622">
        <v>245.0</v>
      </c>
      <c r="B246" s="681" t="s">
        <v>514</v>
      </c>
      <c r="C246" s="681" t="s">
        <v>11</v>
      </c>
      <c r="D246" s="624" t="str">
        <f t="shared" si="1"/>
        <v>II</v>
      </c>
      <c r="E246" s="625" t="str">
        <f t="shared" si="5"/>
        <v>FA199/II/01</v>
      </c>
      <c r="F246" s="630" t="s">
        <v>1886</v>
      </c>
      <c r="G246" s="626">
        <v>45018.0</v>
      </c>
      <c r="H246" s="682">
        <v>1198800.0</v>
      </c>
      <c r="I246" s="682"/>
      <c r="J246" s="628" t="s">
        <v>273</v>
      </c>
      <c r="K246" s="628" t="s">
        <v>95</v>
      </c>
      <c r="L246" s="630" t="s">
        <v>8</v>
      </c>
      <c r="M246" s="629" t="str">
        <f t="shared" si="3"/>
        <v>01</v>
      </c>
      <c r="N246" s="630" t="s">
        <v>155</v>
      </c>
      <c r="O246" s="630"/>
      <c r="P246" s="630"/>
      <c r="Q246" s="630"/>
      <c r="R246" s="630"/>
      <c r="S246" s="631"/>
    </row>
    <row r="247" ht="13.5" customHeight="1">
      <c r="A247" s="622">
        <v>246.0</v>
      </c>
      <c r="B247" s="681" t="s">
        <v>515</v>
      </c>
      <c r="C247" s="681" t="s">
        <v>11</v>
      </c>
      <c r="D247" s="624" t="str">
        <f t="shared" si="1"/>
        <v>II</v>
      </c>
      <c r="E247" s="625" t="str">
        <f t="shared" si="5"/>
        <v>FA200/II/01</v>
      </c>
      <c r="F247" s="630" t="s">
        <v>1886</v>
      </c>
      <c r="G247" s="626">
        <v>45018.0</v>
      </c>
      <c r="H247" s="682">
        <v>1198800.0</v>
      </c>
      <c r="I247" s="682"/>
      <c r="J247" s="628" t="s">
        <v>1924</v>
      </c>
      <c r="K247" s="628" t="s">
        <v>81</v>
      </c>
      <c r="L247" s="630" t="s">
        <v>8</v>
      </c>
      <c r="M247" s="629" t="str">
        <f t="shared" si="3"/>
        <v>01</v>
      </c>
      <c r="N247" s="630" t="s">
        <v>155</v>
      </c>
      <c r="O247" s="630"/>
      <c r="P247" s="630"/>
      <c r="Q247" s="630"/>
      <c r="R247" s="630"/>
      <c r="S247" s="631"/>
    </row>
    <row r="248" ht="13.5" customHeight="1">
      <c r="A248" s="622">
        <v>247.0</v>
      </c>
      <c r="B248" s="623" t="s">
        <v>516</v>
      </c>
      <c r="C248" s="681" t="s">
        <v>11</v>
      </c>
      <c r="D248" s="624" t="str">
        <f t="shared" si="1"/>
        <v>II</v>
      </c>
      <c r="E248" s="625" t="str">
        <f t="shared" si="5"/>
        <v>FA201/II/01</v>
      </c>
      <c r="F248" s="630" t="s">
        <v>1886</v>
      </c>
      <c r="G248" s="626">
        <v>45018.0</v>
      </c>
      <c r="H248" s="682">
        <v>1198800.0</v>
      </c>
      <c r="I248" s="682"/>
      <c r="J248" s="628" t="s">
        <v>1679</v>
      </c>
      <c r="K248" s="628" t="s">
        <v>47</v>
      </c>
      <c r="L248" s="630" t="s">
        <v>8</v>
      </c>
      <c r="M248" s="629" t="str">
        <f t="shared" si="3"/>
        <v>01</v>
      </c>
      <c r="N248" s="630" t="s">
        <v>155</v>
      </c>
      <c r="O248" s="630"/>
      <c r="P248" s="630"/>
      <c r="Q248" s="630"/>
      <c r="R248" s="630"/>
      <c r="S248" s="631"/>
    </row>
    <row r="249" ht="13.5" customHeight="1">
      <c r="A249" s="667">
        <v>248.0</v>
      </c>
      <c r="B249" s="689" t="s">
        <v>517</v>
      </c>
      <c r="C249" s="689" t="s">
        <v>11</v>
      </c>
      <c r="D249" s="669" t="str">
        <f t="shared" si="1"/>
        <v>II</v>
      </c>
      <c r="E249" s="670" t="str">
        <f t="shared" si="5"/>
        <v>FA202/II/01</v>
      </c>
      <c r="F249" s="673" t="s">
        <v>1886</v>
      </c>
      <c r="G249" s="671">
        <v>45018.0</v>
      </c>
      <c r="H249" s="690">
        <v>1198800.0</v>
      </c>
      <c r="I249" s="690"/>
      <c r="J249" s="673"/>
      <c r="K249" s="673"/>
      <c r="L249" s="673" t="s">
        <v>8</v>
      </c>
      <c r="M249" s="674" t="str">
        <f t="shared" si="3"/>
        <v>01</v>
      </c>
      <c r="N249" s="673" t="s">
        <v>155</v>
      </c>
      <c r="O249" s="673"/>
      <c r="P249" s="673"/>
      <c r="Q249" s="673"/>
      <c r="R249" s="673"/>
      <c r="S249" s="675"/>
    </row>
    <row r="250" ht="13.5" customHeight="1">
      <c r="A250" s="667">
        <v>249.0</v>
      </c>
      <c r="B250" s="689" t="s">
        <v>518</v>
      </c>
      <c r="C250" s="689" t="s">
        <v>11</v>
      </c>
      <c r="D250" s="669" t="str">
        <f t="shared" si="1"/>
        <v>II</v>
      </c>
      <c r="E250" s="670" t="str">
        <f t="shared" si="5"/>
        <v>FA203/II/01</v>
      </c>
      <c r="F250" s="673" t="s">
        <v>1886</v>
      </c>
      <c r="G250" s="671">
        <v>45018.0</v>
      </c>
      <c r="H250" s="690">
        <v>1198800.0</v>
      </c>
      <c r="I250" s="690"/>
      <c r="J250" s="673"/>
      <c r="K250" s="673"/>
      <c r="L250" s="673" t="s">
        <v>8</v>
      </c>
      <c r="M250" s="674" t="str">
        <f t="shared" si="3"/>
        <v>01</v>
      </c>
      <c r="N250" s="673" t="s">
        <v>155</v>
      </c>
      <c r="O250" s="673"/>
      <c r="P250" s="673"/>
      <c r="Q250" s="673"/>
      <c r="R250" s="673"/>
      <c r="S250" s="675"/>
    </row>
    <row r="251" ht="13.5" customHeight="1">
      <c r="A251" s="622">
        <v>250.0</v>
      </c>
      <c r="B251" s="681" t="s">
        <v>519</v>
      </c>
      <c r="C251" s="681" t="s">
        <v>11</v>
      </c>
      <c r="D251" s="624" t="str">
        <f t="shared" si="1"/>
        <v>II</v>
      </c>
      <c r="E251" s="625" t="str">
        <f t="shared" si="5"/>
        <v>FA204/II/01</v>
      </c>
      <c r="F251" s="630" t="s">
        <v>520</v>
      </c>
      <c r="G251" s="626">
        <v>45018.0</v>
      </c>
      <c r="H251" s="682">
        <v>829500.0</v>
      </c>
      <c r="I251" s="682"/>
      <c r="J251" s="628" t="s">
        <v>392</v>
      </c>
      <c r="K251" s="628" t="s">
        <v>170</v>
      </c>
      <c r="L251" s="630" t="s">
        <v>8</v>
      </c>
      <c r="M251" s="629" t="str">
        <f t="shared" si="3"/>
        <v>01</v>
      </c>
      <c r="N251" s="630" t="s">
        <v>155</v>
      </c>
      <c r="O251" s="630"/>
      <c r="P251" s="630"/>
      <c r="Q251" s="630"/>
      <c r="R251" s="630"/>
      <c r="S251" s="631"/>
    </row>
    <row r="252" ht="13.5" customHeight="1">
      <c r="A252" s="622">
        <v>251.0</v>
      </c>
      <c r="B252" s="623" t="s">
        <v>521</v>
      </c>
      <c r="C252" s="681" t="s">
        <v>11</v>
      </c>
      <c r="D252" s="624" t="str">
        <f t="shared" si="1"/>
        <v>II</v>
      </c>
      <c r="E252" s="625" t="str">
        <f t="shared" si="5"/>
        <v>FA205/II/01</v>
      </c>
      <c r="F252" s="630" t="s">
        <v>520</v>
      </c>
      <c r="G252" s="626">
        <v>45018.0</v>
      </c>
      <c r="H252" s="682">
        <v>829500.0</v>
      </c>
      <c r="I252" s="682"/>
      <c r="J252" s="628" t="s">
        <v>439</v>
      </c>
      <c r="K252" s="628" t="s">
        <v>51</v>
      </c>
      <c r="L252" s="630" t="s">
        <v>8</v>
      </c>
      <c r="M252" s="629" t="str">
        <f t="shared" si="3"/>
        <v>01</v>
      </c>
      <c r="N252" s="630" t="s">
        <v>155</v>
      </c>
      <c r="O252" s="630"/>
      <c r="P252" s="630"/>
      <c r="Q252" s="630"/>
      <c r="R252" s="630"/>
      <c r="S252" s="631"/>
    </row>
    <row r="253" ht="13.5" customHeight="1">
      <c r="A253" s="622">
        <v>252.0</v>
      </c>
      <c r="B253" s="681" t="s">
        <v>522</v>
      </c>
      <c r="C253" s="681" t="s">
        <v>11</v>
      </c>
      <c r="D253" s="624" t="str">
        <f t="shared" si="1"/>
        <v>II</v>
      </c>
      <c r="E253" s="625" t="str">
        <f t="shared" si="5"/>
        <v>FA206/II/01</v>
      </c>
      <c r="F253" s="630" t="s">
        <v>520</v>
      </c>
      <c r="G253" s="626">
        <v>45018.0</v>
      </c>
      <c r="H253" s="682">
        <v>829500.0</v>
      </c>
      <c r="I253" s="682"/>
      <c r="J253" s="628" t="s">
        <v>169</v>
      </c>
      <c r="K253" s="628" t="s">
        <v>170</v>
      </c>
      <c r="L253" s="630" t="s">
        <v>8</v>
      </c>
      <c r="M253" s="629" t="str">
        <f t="shared" si="3"/>
        <v>01</v>
      </c>
      <c r="N253" s="630" t="s">
        <v>155</v>
      </c>
      <c r="O253" s="630"/>
      <c r="P253" s="630"/>
      <c r="Q253" s="630"/>
      <c r="R253" s="630"/>
      <c r="S253" s="631"/>
    </row>
    <row r="254" ht="13.5" customHeight="1">
      <c r="A254" s="622">
        <v>253.0</v>
      </c>
      <c r="B254" s="623" t="s">
        <v>523</v>
      </c>
      <c r="C254" s="681" t="s">
        <v>11</v>
      </c>
      <c r="D254" s="624" t="str">
        <f t="shared" si="1"/>
        <v>II</v>
      </c>
      <c r="E254" s="625" t="str">
        <f t="shared" si="5"/>
        <v>FA207/II/01</v>
      </c>
      <c r="F254" s="630" t="s">
        <v>520</v>
      </c>
      <c r="G254" s="626">
        <v>45018.0</v>
      </c>
      <c r="H254" s="682">
        <v>829500.0</v>
      </c>
      <c r="I254" s="682"/>
      <c r="J254" s="628" t="s">
        <v>207</v>
      </c>
      <c r="K254" s="628" t="s">
        <v>170</v>
      </c>
      <c r="L254" s="630" t="s">
        <v>8</v>
      </c>
      <c r="M254" s="629" t="str">
        <f t="shared" si="3"/>
        <v>01</v>
      </c>
      <c r="N254" s="630" t="s">
        <v>155</v>
      </c>
      <c r="O254" s="630"/>
      <c r="P254" s="630"/>
      <c r="Q254" s="630"/>
      <c r="R254" s="630"/>
      <c r="S254" s="631"/>
    </row>
    <row r="255" ht="13.5" customHeight="1">
      <c r="A255" s="663">
        <v>254.0</v>
      </c>
      <c r="B255" s="685" t="s">
        <v>524</v>
      </c>
      <c r="C255" s="685" t="s">
        <v>11</v>
      </c>
      <c r="D255" s="613" t="str">
        <f t="shared" si="1"/>
        <v>II</v>
      </c>
      <c r="E255" s="614" t="str">
        <f t="shared" si="5"/>
        <v>FA208/II/03</v>
      </c>
      <c r="F255" s="618" t="s">
        <v>525</v>
      </c>
      <c r="G255" s="615">
        <v>45018.0</v>
      </c>
      <c r="H255" s="617">
        <v>584550.0</v>
      </c>
      <c r="I255" s="617"/>
      <c r="J255" s="618"/>
      <c r="K255" s="619" t="s">
        <v>95</v>
      </c>
      <c r="L255" s="619" t="s">
        <v>18</v>
      </c>
      <c r="M255" s="620" t="str">
        <f t="shared" si="3"/>
        <v>03</v>
      </c>
      <c r="N255" s="618"/>
      <c r="O255" s="618"/>
      <c r="P255" s="618"/>
      <c r="Q255" s="618"/>
      <c r="R255" s="619" t="s">
        <v>10</v>
      </c>
      <c r="S255" s="621"/>
    </row>
    <row r="256" ht="13.5" customHeight="1">
      <c r="A256" s="663">
        <v>255.0</v>
      </c>
      <c r="B256" s="685" t="s">
        <v>526</v>
      </c>
      <c r="C256" s="685" t="s">
        <v>11</v>
      </c>
      <c r="D256" s="613" t="str">
        <f t="shared" si="1"/>
        <v>II</v>
      </c>
      <c r="E256" s="614" t="str">
        <f t="shared" si="5"/>
        <v>FA209/II/03</v>
      </c>
      <c r="F256" s="618" t="s">
        <v>525</v>
      </c>
      <c r="G256" s="615">
        <v>45018.0</v>
      </c>
      <c r="H256" s="617">
        <v>584550.0</v>
      </c>
      <c r="I256" s="617"/>
      <c r="J256" s="618"/>
      <c r="K256" s="619" t="s">
        <v>95</v>
      </c>
      <c r="L256" s="619" t="s">
        <v>18</v>
      </c>
      <c r="M256" s="620" t="str">
        <f t="shared" si="3"/>
        <v>03</v>
      </c>
      <c r="N256" s="618"/>
      <c r="O256" s="618"/>
      <c r="P256" s="618"/>
      <c r="Q256" s="618"/>
      <c r="R256" s="619" t="s">
        <v>10</v>
      </c>
      <c r="S256" s="621"/>
    </row>
    <row r="257" ht="13.5" customHeight="1">
      <c r="A257" s="622">
        <v>256.0</v>
      </c>
      <c r="B257" s="681" t="s">
        <v>527</v>
      </c>
      <c r="C257" s="681" t="s">
        <v>11</v>
      </c>
      <c r="D257" s="624" t="str">
        <f t="shared" si="1"/>
        <v>II</v>
      </c>
      <c r="E257" s="625" t="str">
        <f t="shared" si="5"/>
        <v>FA210/II/01</v>
      </c>
      <c r="F257" s="630" t="s">
        <v>528</v>
      </c>
      <c r="G257" s="626">
        <v>45018.0</v>
      </c>
      <c r="H257" s="682">
        <v>1959020.0</v>
      </c>
      <c r="I257" s="682"/>
      <c r="J257" s="628" t="s">
        <v>1900</v>
      </c>
      <c r="K257" s="628" t="s">
        <v>158</v>
      </c>
      <c r="L257" s="630" t="s">
        <v>8</v>
      </c>
      <c r="M257" s="629" t="str">
        <f t="shared" si="3"/>
        <v>01</v>
      </c>
      <c r="N257" s="630"/>
      <c r="O257" s="630"/>
      <c r="P257" s="630"/>
      <c r="Q257" s="630"/>
      <c r="R257" s="630"/>
      <c r="S257" s="631"/>
    </row>
    <row r="258" ht="13.5" customHeight="1">
      <c r="A258" s="622">
        <v>257.0</v>
      </c>
      <c r="B258" s="623" t="s">
        <v>529</v>
      </c>
      <c r="C258" s="681" t="s">
        <v>11</v>
      </c>
      <c r="D258" s="624" t="str">
        <f t="shared" si="1"/>
        <v>II</v>
      </c>
      <c r="E258" s="625" t="str">
        <f t="shared" si="5"/>
        <v>FA211/II/01</v>
      </c>
      <c r="F258" s="630" t="s">
        <v>528</v>
      </c>
      <c r="G258" s="626">
        <v>45018.0</v>
      </c>
      <c r="H258" s="682">
        <v>1959020.0</v>
      </c>
      <c r="I258" s="682"/>
      <c r="J258" s="628" t="s">
        <v>1899</v>
      </c>
      <c r="K258" s="628" t="s">
        <v>170</v>
      </c>
      <c r="L258" s="630" t="s">
        <v>8</v>
      </c>
      <c r="M258" s="629" t="str">
        <f t="shared" si="3"/>
        <v>01</v>
      </c>
      <c r="N258" s="630"/>
      <c r="O258" s="630"/>
      <c r="P258" s="630"/>
      <c r="Q258" s="630"/>
      <c r="R258" s="630"/>
      <c r="S258" s="631"/>
    </row>
    <row r="259" ht="13.5" customHeight="1">
      <c r="A259" s="622">
        <v>258.0</v>
      </c>
      <c r="B259" s="681" t="s">
        <v>530</v>
      </c>
      <c r="C259" s="681" t="s">
        <v>11</v>
      </c>
      <c r="D259" s="624" t="str">
        <f t="shared" si="1"/>
        <v>II</v>
      </c>
      <c r="E259" s="625" t="str">
        <f t="shared" si="5"/>
        <v>FA212/II/01</v>
      </c>
      <c r="F259" s="630" t="s">
        <v>528</v>
      </c>
      <c r="G259" s="626">
        <v>45018.0</v>
      </c>
      <c r="H259" s="682">
        <v>1959020.0</v>
      </c>
      <c r="I259" s="682"/>
      <c r="J259" s="628" t="s">
        <v>439</v>
      </c>
      <c r="K259" s="628" t="s">
        <v>51</v>
      </c>
      <c r="L259" s="630" t="s">
        <v>8</v>
      </c>
      <c r="M259" s="629" t="str">
        <f t="shared" si="3"/>
        <v>01</v>
      </c>
      <c r="N259" s="630"/>
      <c r="O259" s="630"/>
      <c r="P259" s="630"/>
      <c r="Q259" s="630"/>
      <c r="R259" s="630"/>
      <c r="S259" s="631"/>
    </row>
    <row r="260" ht="13.5" customHeight="1">
      <c r="A260" s="622">
        <v>259.0</v>
      </c>
      <c r="B260" s="681" t="s">
        <v>531</v>
      </c>
      <c r="C260" s="681" t="s">
        <v>11</v>
      </c>
      <c r="D260" s="624" t="str">
        <f t="shared" si="1"/>
        <v>II</v>
      </c>
      <c r="E260" s="625" t="str">
        <f t="shared" si="5"/>
        <v>FA213/II/01</v>
      </c>
      <c r="F260" s="630" t="s">
        <v>528</v>
      </c>
      <c r="G260" s="626">
        <v>45018.0</v>
      </c>
      <c r="H260" s="682">
        <v>1959020.0</v>
      </c>
      <c r="I260" s="682"/>
      <c r="J260" s="628" t="s">
        <v>392</v>
      </c>
      <c r="K260" s="628" t="s">
        <v>170</v>
      </c>
      <c r="L260" s="630" t="s">
        <v>8</v>
      </c>
      <c r="M260" s="629" t="str">
        <f t="shared" si="3"/>
        <v>01</v>
      </c>
      <c r="N260" s="630"/>
      <c r="O260" s="630"/>
      <c r="P260" s="630"/>
      <c r="Q260" s="630"/>
      <c r="R260" s="630"/>
      <c r="S260" s="631"/>
    </row>
    <row r="261" ht="13.5" customHeight="1">
      <c r="A261" s="622">
        <v>260.0</v>
      </c>
      <c r="B261" s="681" t="s">
        <v>532</v>
      </c>
      <c r="C261" s="681" t="s">
        <v>11</v>
      </c>
      <c r="D261" s="624" t="str">
        <f t="shared" si="1"/>
        <v>II</v>
      </c>
      <c r="E261" s="625" t="str">
        <f t="shared" si="5"/>
        <v>FA214/II/01</v>
      </c>
      <c r="F261" s="630" t="s">
        <v>533</v>
      </c>
      <c r="G261" s="626">
        <v>45018.0</v>
      </c>
      <c r="H261" s="682">
        <v>939820.0</v>
      </c>
      <c r="I261" s="682"/>
      <c r="J261" s="628" t="s">
        <v>1930</v>
      </c>
      <c r="K261" s="628" t="s">
        <v>95</v>
      </c>
      <c r="L261" s="628" t="s">
        <v>8</v>
      </c>
      <c r="M261" s="629" t="str">
        <f t="shared" si="3"/>
        <v>01</v>
      </c>
      <c r="N261" s="630"/>
      <c r="O261" s="630"/>
      <c r="P261" s="630"/>
      <c r="Q261" s="630"/>
      <c r="R261" s="630"/>
      <c r="S261" s="631"/>
    </row>
    <row r="262" ht="13.5" customHeight="1">
      <c r="A262" s="622">
        <v>261.0</v>
      </c>
      <c r="B262" s="623" t="s">
        <v>534</v>
      </c>
      <c r="C262" s="681" t="s">
        <v>11</v>
      </c>
      <c r="D262" s="624" t="str">
        <f t="shared" si="1"/>
        <v>II</v>
      </c>
      <c r="E262" s="625" t="str">
        <f t="shared" si="5"/>
        <v>FA215/II/01</v>
      </c>
      <c r="F262" s="630" t="s">
        <v>533</v>
      </c>
      <c r="G262" s="626">
        <v>45018.0</v>
      </c>
      <c r="H262" s="682">
        <v>939820.0</v>
      </c>
      <c r="I262" s="682"/>
      <c r="J262" s="630"/>
      <c r="K262" s="628" t="s">
        <v>95</v>
      </c>
      <c r="L262" s="628" t="s">
        <v>8</v>
      </c>
      <c r="M262" s="629" t="str">
        <f t="shared" si="3"/>
        <v>01</v>
      </c>
      <c r="N262" s="630"/>
      <c r="O262" s="630"/>
      <c r="P262" s="630"/>
      <c r="Q262" s="630"/>
      <c r="R262" s="630"/>
      <c r="S262" s="631"/>
    </row>
    <row r="263" ht="13.5" customHeight="1">
      <c r="A263" s="622">
        <v>262.0</v>
      </c>
      <c r="B263" s="681" t="s">
        <v>535</v>
      </c>
      <c r="C263" s="681" t="s">
        <v>11</v>
      </c>
      <c r="D263" s="624" t="str">
        <f t="shared" si="1"/>
        <v>II</v>
      </c>
      <c r="E263" s="625" t="str">
        <f t="shared" si="5"/>
        <v>FA216/II/01</v>
      </c>
      <c r="F263" s="630" t="s">
        <v>536</v>
      </c>
      <c r="G263" s="626">
        <v>45018.0</v>
      </c>
      <c r="H263" s="682">
        <v>1273020.0</v>
      </c>
      <c r="I263" s="682"/>
      <c r="J263" s="630"/>
      <c r="K263" s="628" t="s">
        <v>51</v>
      </c>
      <c r="L263" s="628" t="s">
        <v>8</v>
      </c>
      <c r="M263" s="629" t="str">
        <f t="shared" si="3"/>
        <v>01</v>
      </c>
      <c r="N263" s="630"/>
      <c r="O263" s="630"/>
      <c r="P263" s="630"/>
      <c r="Q263" s="630"/>
      <c r="R263" s="630"/>
      <c r="S263" s="631"/>
    </row>
    <row r="264" ht="13.5" customHeight="1">
      <c r="A264" s="622">
        <v>263.0</v>
      </c>
      <c r="B264" s="681" t="s">
        <v>537</v>
      </c>
      <c r="C264" s="681" t="s">
        <v>11</v>
      </c>
      <c r="D264" s="624" t="str">
        <f t="shared" si="1"/>
        <v>II</v>
      </c>
      <c r="E264" s="625" t="str">
        <f t="shared" si="5"/>
        <v>FA217/II/01</v>
      </c>
      <c r="F264" s="630" t="s">
        <v>538</v>
      </c>
      <c r="G264" s="626">
        <v>45018.0</v>
      </c>
      <c r="H264" s="682">
        <v>3135000.0</v>
      </c>
      <c r="I264" s="682"/>
      <c r="J264" s="630"/>
      <c r="K264" s="628" t="s">
        <v>1890</v>
      </c>
      <c r="L264" s="628" t="s">
        <v>8</v>
      </c>
      <c r="M264" s="629" t="str">
        <f t="shared" si="3"/>
        <v>01</v>
      </c>
      <c r="N264" s="630" t="s">
        <v>303</v>
      </c>
      <c r="O264" s="630"/>
      <c r="P264" s="630"/>
      <c r="Q264" s="630"/>
      <c r="R264" s="630"/>
      <c r="S264" s="631"/>
    </row>
    <row r="265" ht="13.5" customHeight="1">
      <c r="A265" s="622">
        <v>264.0</v>
      </c>
      <c r="B265" s="623" t="s">
        <v>539</v>
      </c>
      <c r="C265" s="681" t="s">
        <v>11</v>
      </c>
      <c r="D265" s="624" t="str">
        <f t="shared" si="1"/>
        <v>II</v>
      </c>
      <c r="E265" s="625" t="str">
        <f t="shared" si="5"/>
        <v>FA218/II/01</v>
      </c>
      <c r="F265" s="630" t="s">
        <v>538</v>
      </c>
      <c r="G265" s="626">
        <v>45018.0</v>
      </c>
      <c r="H265" s="682">
        <v>3135000.0</v>
      </c>
      <c r="I265" s="682"/>
      <c r="J265" s="630"/>
      <c r="K265" s="628" t="s">
        <v>81</v>
      </c>
      <c r="L265" s="628" t="s">
        <v>8</v>
      </c>
      <c r="M265" s="629" t="str">
        <f t="shared" si="3"/>
        <v>01</v>
      </c>
      <c r="N265" s="630" t="s">
        <v>303</v>
      </c>
      <c r="O265" s="630"/>
      <c r="P265" s="630"/>
      <c r="Q265" s="630"/>
      <c r="R265" s="630"/>
      <c r="S265" s="631"/>
    </row>
    <row r="266" ht="13.5" customHeight="1">
      <c r="A266" s="622">
        <v>265.0</v>
      </c>
      <c r="B266" s="681" t="s">
        <v>540</v>
      </c>
      <c r="C266" s="681" t="s">
        <v>6</v>
      </c>
      <c r="D266" s="624" t="str">
        <f t="shared" si="1"/>
        <v>I</v>
      </c>
      <c r="E266" s="625" t="str">
        <f t="shared" si="5"/>
        <v>FA219/I/01</v>
      </c>
      <c r="F266" s="630" t="s">
        <v>541</v>
      </c>
      <c r="G266" s="626">
        <v>45019.0</v>
      </c>
      <c r="H266" s="682">
        <v>3299000.0</v>
      </c>
      <c r="I266" s="682"/>
      <c r="J266" s="630"/>
      <c r="K266" s="628" t="s">
        <v>51</v>
      </c>
      <c r="L266" s="630" t="s">
        <v>8</v>
      </c>
      <c r="M266" s="629" t="str">
        <f t="shared" si="3"/>
        <v>01</v>
      </c>
      <c r="N266" s="630"/>
      <c r="O266" s="630"/>
      <c r="P266" s="630"/>
      <c r="Q266" s="630"/>
      <c r="R266" s="630"/>
      <c r="S266" s="631"/>
    </row>
    <row r="267" ht="13.5" customHeight="1">
      <c r="A267" s="622">
        <v>266.0</v>
      </c>
      <c r="B267" s="681" t="s">
        <v>542</v>
      </c>
      <c r="C267" s="681" t="s">
        <v>6</v>
      </c>
      <c r="D267" s="624" t="str">
        <f t="shared" si="1"/>
        <v>I</v>
      </c>
      <c r="E267" s="625" t="str">
        <f t="shared" si="5"/>
        <v>FA220/I/01</v>
      </c>
      <c r="F267" s="630" t="s">
        <v>543</v>
      </c>
      <c r="G267" s="626">
        <v>45019.0</v>
      </c>
      <c r="H267" s="682">
        <v>1469000.0</v>
      </c>
      <c r="I267" s="682"/>
      <c r="J267" s="628" t="s">
        <v>112</v>
      </c>
      <c r="K267" s="628" t="s">
        <v>95</v>
      </c>
      <c r="L267" s="630" t="s">
        <v>8</v>
      </c>
      <c r="M267" s="629" t="str">
        <f t="shared" si="3"/>
        <v>01</v>
      </c>
      <c r="N267" s="630" t="s">
        <v>324</v>
      </c>
      <c r="O267" s="630"/>
      <c r="P267" s="630"/>
      <c r="Q267" s="630"/>
      <c r="R267" s="630"/>
      <c r="S267" s="631"/>
    </row>
    <row r="268" ht="13.5" customHeight="1">
      <c r="A268" s="622">
        <v>267.0</v>
      </c>
      <c r="B268" s="623" t="s">
        <v>544</v>
      </c>
      <c r="C268" s="681" t="s">
        <v>6</v>
      </c>
      <c r="D268" s="624" t="str">
        <f t="shared" si="1"/>
        <v>I</v>
      </c>
      <c r="E268" s="625" t="str">
        <f t="shared" si="5"/>
        <v>FA222/I/01</v>
      </c>
      <c r="F268" s="630" t="s">
        <v>1931</v>
      </c>
      <c r="G268" s="626">
        <v>45020.0</v>
      </c>
      <c r="H268" s="682">
        <v>3549000.0</v>
      </c>
      <c r="I268" s="682"/>
      <c r="J268" s="630"/>
      <c r="K268" s="628" t="s">
        <v>95</v>
      </c>
      <c r="L268" s="630" t="s">
        <v>8</v>
      </c>
      <c r="M268" s="629" t="str">
        <f t="shared" si="3"/>
        <v>01</v>
      </c>
      <c r="N268" s="630" t="s">
        <v>93</v>
      </c>
      <c r="O268" s="630"/>
      <c r="P268" s="630"/>
      <c r="Q268" s="630"/>
      <c r="R268" s="630"/>
      <c r="S268" s="631"/>
    </row>
    <row r="269" ht="13.5" customHeight="1">
      <c r="A269" s="622">
        <v>268.0</v>
      </c>
      <c r="B269" s="681" t="s">
        <v>546</v>
      </c>
      <c r="C269" s="681" t="s">
        <v>6</v>
      </c>
      <c r="D269" s="624" t="str">
        <f t="shared" si="1"/>
        <v>I</v>
      </c>
      <c r="E269" s="625" t="str">
        <f t="shared" si="5"/>
        <v>FA223/I/01</v>
      </c>
      <c r="F269" s="630" t="s">
        <v>547</v>
      </c>
      <c r="G269" s="626">
        <v>45020.0</v>
      </c>
      <c r="H269" s="682">
        <v>1900000.0</v>
      </c>
      <c r="I269" s="682"/>
      <c r="J269" s="630"/>
      <c r="K269" s="628" t="s">
        <v>95</v>
      </c>
      <c r="L269" s="630" t="s">
        <v>8</v>
      </c>
      <c r="M269" s="629" t="str">
        <f t="shared" si="3"/>
        <v>01</v>
      </c>
      <c r="N269" s="630" t="s">
        <v>548</v>
      </c>
      <c r="O269" s="630"/>
      <c r="P269" s="630"/>
      <c r="Q269" s="630"/>
      <c r="R269" s="630"/>
      <c r="S269" s="631"/>
    </row>
    <row r="270" ht="13.5" customHeight="1">
      <c r="A270" s="622">
        <v>269.0</v>
      </c>
      <c r="B270" s="681" t="s">
        <v>549</v>
      </c>
      <c r="C270" s="681" t="s">
        <v>11</v>
      </c>
      <c r="D270" s="624" t="str">
        <f t="shared" si="1"/>
        <v>II</v>
      </c>
      <c r="E270" s="625" t="str">
        <f t="shared" si="5"/>
        <v>FA224/II/01</v>
      </c>
      <c r="F270" s="630" t="s">
        <v>305</v>
      </c>
      <c r="G270" s="626">
        <v>45029.0</v>
      </c>
      <c r="H270" s="682">
        <v>3199000.0</v>
      </c>
      <c r="I270" s="682"/>
      <c r="J270" s="630"/>
      <c r="K270" s="628" t="s">
        <v>95</v>
      </c>
      <c r="L270" s="628" t="s">
        <v>8</v>
      </c>
      <c r="M270" s="629" t="str">
        <f t="shared" si="3"/>
        <v>01</v>
      </c>
      <c r="N270" s="630" t="s">
        <v>303</v>
      </c>
      <c r="O270" s="630"/>
      <c r="P270" s="630"/>
      <c r="Q270" s="630"/>
      <c r="R270" s="630"/>
      <c r="S270" s="631"/>
    </row>
    <row r="271" ht="13.5" customHeight="1">
      <c r="A271" s="602">
        <v>270.0</v>
      </c>
      <c r="B271" s="603" t="s">
        <v>550</v>
      </c>
      <c r="C271" s="683" t="s">
        <v>11</v>
      </c>
      <c r="D271" s="604" t="str">
        <f t="shared" si="1"/>
        <v>II</v>
      </c>
      <c r="E271" s="605" t="str">
        <f t="shared" si="5"/>
        <v>FA225/II/03</v>
      </c>
      <c r="F271" s="608" t="s">
        <v>551</v>
      </c>
      <c r="G271" s="606">
        <v>45029.0</v>
      </c>
      <c r="H271" s="684">
        <v>584550.0</v>
      </c>
      <c r="I271" s="684"/>
      <c r="J271" s="608"/>
      <c r="K271" s="401" t="s">
        <v>95</v>
      </c>
      <c r="L271" s="401" t="s">
        <v>18</v>
      </c>
      <c r="M271" s="609" t="str">
        <f t="shared" si="3"/>
        <v>03</v>
      </c>
      <c r="N271" s="608"/>
      <c r="O271" s="608"/>
      <c r="P271" s="608"/>
      <c r="Q271" s="608"/>
      <c r="R271" s="401" t="s">
        <v>52</v>
      </c>
      <c r="S271" s="610"/>
    </row>
    <row r="272" ht="13.5" customHeight="1">
      <c r="A272" s="602">
        <v>271.0</v>
      </c>
      <c r="B272" s="683" t="s">
        <v>552</v>
      </c>
      <c r="C272" s="683" t="s">
        <v>11</v>
      </c>
      <c r="D272" s="604" t="str">
        <f t="shared" si="1"/>
        <v>II</v>
      </c>
      <c r="E272" s="605" t="str">
        <f t="shared" si="5"/>
        <v>FA226/II/03</v>
      </c>
      <c r="F272" s="608" t="s">
        <v>551</v>
      </c>
      <c r="G272" s="606">
        <v>45029.0</v>
      </c>
      <c r="H272" s="684">
        <v>584550.0</v>
      </c>
      <c r="I272" s="684"/>
      <c r="J272" s="608"/>
      <c r="K272" s="401" t="s">
        <v>95</v>
      </c>
      <c r="L272" s="401" t="s">
        <v>18</v>
      </c>
      <c r="M272" s="609" t="str">
        <f t="shared" si="3"/>
        <v>03</v>
      </c>
      <c r="N272" s="608"/>
      <c r="O272" s="608"/>
      <c r="P272" s="608"/>
      <c r="Q272" s="608"/>
      <c r="R272" s="401" t="s">
        <v>52</v>
      </c>
      <c r="S272" s="610"/>
    </row>
    <row r="273" ht="13.5" customHeight="1">
      <c r="A273" s="622">
        <v>272.0</v>
      </c>
      <c r="B273" s="681" t="s">
        <v>553</v>
      </c>
      <c r="C273" s="681" t="s">
        <v>11</v>
      </c>
      <c r="D273" s="624" t="str">
        <f t="shared" si="1"/>
        <v>II</v>
      </c>
      <c r="E273" s="625" t="str">
        <f t="shared" si="5"/>
        <v>FA227/II/01</v>
      </c>
      <c r="F273" s="630" t="s">
        <v>554</v>
      </c>
      <c r="G273" s="626">
        <v>45027.0</v>
      </c>
      <c r="H273" s="682">
        <v>1999000.0</v>
      </c>
      <c r="I273" s="682"/>
      <c r="J273" s="628" t="s">
        <v>169</v>
      </c>
      <c r="K273" s="628" t="s">
        <v>170</v>
      </c>
      <c r="L273" s="628" t="s">
        <v>8</v>
      </c>
      <c r="M273" s="629" t="str">
        <f t="shared" si="3"/>
        <v>01</v>
      </c>
      <c r="N273" s="628" t="s">
        <v>155</v>
      </c>
      <c r="O273" s="630"/>
      <c r="P273" s="630"/>
      <c r="Q273" s="630"/>
      <c r="R273" s="630"/>
      <c r="S273" s="631"/>
    </row>
    <row r="274" ht="13.5" customHeight="1">
      <c r="A274" s="667">
        <v>273.0</v>
      </c>
      <c r="B274" s="668" t="s">
        <v>555</v>
      </c>
      <c r="C274" s="689" t="s">
        <v>11</v>
      </c>
      <c r="D274" s="669" t="str">
        <f t="shared" si="1"/>
        <v>II</v>
      </c>
      <c r="E274" s="670" t="str">
        <f t="shared" si="5"/>
        <v>FA228/II/01</v>
      </c>
      <c r="F274" s="673" t="s">
        <v>556</v>
      </c>
      <c r="G274" s="671">
        <v>45027.0</v>
      </c>
      <c r="H274" s="690">
        <v>2499000.0</v>
      </c>
      <c r="I274" s="690"/>
      <c r="J274" s="680" t="s">
        <v>169</v>
      </c>
      <c r="K274" s="680" t="s">
        <v>170</v>
      </c>
      <c r="L274" s="680" t="s">
        <v>8</v>
      </c>
      <c r="M274" s="674" t="str">
        <f t="shared" si="3"/>
        <v>01</v>
      </c>
      <c r="N274" s="680" t="s">
        <v>155</v>
      </c>
      <c r="O274" s="673"/>
      <c r="P274" s="673"/>
      <c r="Q274" s="673"/>
      <c r="R274" s="673"/>
      <c r="S274" s="675"/>
    </row>
    <row r="275" ht="13.5" customHeight="1">
      <c r="A275" s="602">
        <v>274.0</v>
      </c>
      <c r="B275" s="683" t="s">
        <v>557</v>
      </c>
      <c r="C275" s="683" t="s">
        <v>11</v>
      </c>
      <c r="D275" s="604" t="str">
        <f t="shared" si="1"/>
        <v>II</v>
      </c>
      <c r="E275" s="605" t="str">
        <f t="shared" si="5"/>
        <v>FA229/II/02</v>
      </c>
      <c r="F275" s="608" t="s">
        <v>558</v>
      </c>
      <c r="G275" s="606">
        <v>45029.0</v>
      </c>
      <c r="H275" s="684">
        <v>1790200.0</v>
      </c>
      <c r="I275" s="684"/>
      <c r="J275" s="401" t="s">
        <v>138</v>
      </c>
      <c r="K275" s="401" t="s">
        <v>95</v>
      </c>
      <c r="L275" s="401" t="s">
        <v>13</v>
      </c>
      <c r="M275" s="609" t="str">
        <f t="shared" si="3"/>
        <v>02</v>
      </c>
      <c r="N275" s="608" t="s">
        <v>559</v>
      </c>
      <c r="O275" s="608"/>
      <c r="P275" s="608"/>
      <c r="Q275" s="608"/>
      <c r="R275" s="401" t="s">
        <v>52</v>
      </c>
      <c r="S275" s="610"/>
    </row>
    <row r="276" ht="13.5" customHeight="1">
      <c r="A276" s="602">
        <v>275.0</v>
      </c>
      <c r="B276" s="683" t="s">
        <v>560</v>
      </c>
      <c r="C276" s="683" t="s">
        <v>6</v>
      </c>
      <c r="D276" s="604" t="str">
        <f t="shared" si="1"/>
        <v>I</v>
      </c>
      <c r="E276" s="605" t="str">
        <f t="shared" si="5"/>
        <v>FA230/I/02</v>
      </c>
      <c r="F276" s="608" t="s">
        <v>561</v>
      </c>
      <c r="G276" s="606">
        <v>45026.0</v>
      </c>
      <c r="H276" s="684">
        <v>1585500.0</v>
      </c>
      <c r="I276" s="684"/>
      <c r="J276" s="401" t="s">
        <v>138</v>
      </c>
      <c r="K276" s="401" t="s">
        <v>95</v>
      </c>
      <c r="L276" s="401" t="s">
        <v>13</v>
      </c>
      <c r="M276" s="609" t="str">
        <f t="shared" si="3"/>
        <v>02</v>
      </c>
      <c r="N276" s="608"/>
      <c r="O276" s="608"/>
      <c r="P276" s="608"/>
      <c r="Q276" s="608"/>
      <c r="R276" s="401" t="s">
        <v>10</v>
      </c>
      <c r="S276" s="610"/>
    </row>
    <row r="277" ht="13.5" customHeight="1">
      <c r="A277" s="622">
        <v>276.0</v>
      </c>
      <c r="B277" s="623" t="s">
        <v>562</v>
      </c>
      <c r="C277" s="681" t="s">
        <v>11</v>
      </c>
      <c r="D277" s="624" t="str">
        <f t="shared" si="1"/>
        <v>II</v>
      </c>
      <c r="E277" s="625" t="str">
        <f t="shared" si="5"/>
        <v>FA231/II/01</v>
      </c>
      <c r="F277" s="630" t="s">
        <v>563</v>
      </c>
      <c r="G277" s="626">
        <v>45030.0</v>
      </c>
      <c r="H277" s="682">
        <v>584500.0</v>
      </c>
      <c r="I277" s="682"/>
      <c r="J277" s="630"/>
      <c r="K277" s="628" t="s">
        <v>95</v>
      </c>
      <c r="L277" s="642" t="s">
        <v>8</v>
      </c>
      <c r="M277" s="629" t="str">
        <f t="shared" si="3"/>
        <v>01</v>
      </c>
      <c r="N277" s="630"/>
      <c r="O277" s="630"/>
      <c r="P277" s="630"/>
      <c r="Q277" s="630"/>
      <c r="R277" s="630"/>
      <c r="S277" s="631"/>
    </row>
    <row r="278" ht="13.5" customHeight="1">
      <c r="A278" s="602">
        <v>277.0</v>
      </c>
      <c r="B278" s="683" t="s">
        <v>564</v>
      </c>
      <c r="C278" s="683" t="s">
        <v>24</v>
      </c>
      <c r="D278" s="604" t="str">
        <f t="shared" si="1"/>
        <v>V</v>
      </c>
      <c r="E278" s="605" t="str">
        <f t="shared" si="5"/>
        <v>FA232/V/02</v>
      </c>
      <c r="F278" s="608" t="s">
        <v>565</v>
      </c>
      <c r="G278" s="606">
        <v>45071.0</v>
      </c>
      <c r="H278" s="684">
        <v>1.2935E7</v>
      </c>
      <c r="I278" s="684"/>
      <c r="J278" s="401" t="s">
        <v>1906</v>
      </c>
      <c r="K278" s="401" t="s">
        <v>323</v>
      </c>
      <c r="L278" s="401" t="s">
        <v>13</v>
      </c>
      <c r="M278" s="609" t="str">
        <f t="shared" si="3"/>
        <v>02</v>
      </c>
      <c r="N278" s="608" t="s">
        <v>485</v>
      </c>
      <c r="O278" s="608"/>
      <c r="P278" s="608"/>
      <c r="Q278" s="608"/>
      <c r="R278" s="401" t="s">
        <v>52</v>
      </c>
      <c r="S278" s="610"/>
    </row>
    <row r="279" ht="13.5" customHeight="1">
      <c r="A279" s="602">
        <v>278.0</v>
      </c>
      <c r="B279" s="683" t="s">
        <v>566</v>
      </c>
      <c r="C279" s="683" t="s">
        <v>24</v>
      </c>
      <c r="D279" s="604" t="str">
        <f t="shared" si="1"/>
        <v>V</v>
      </c>
      <c r="E279" s="605" t="str">
        <f t="shared" si="5"/>
        <v>FA233/V/02</v>
      </c>
      <c r="F279" s="608" t="s">
        <v>567</v>
      </c>
      <c r="G279" s="606">
        <v>45071.0</v>
      </c>
      <c r="H279" s="684">
        <v>950000.0</v>
      </c>
      <c r="I279" s="684"/>
      <c r="J279" s="401" t="s">
        <v>1906</v>
      </c>
      <c r="K279" s="401" t="s">
        <v>323</v>
      </c>
      <c r="L279" s="695" t="s">
        <v>13</v>
      </c>
      <c r="M279" s="609" t="str">
        <f t="shared" si="3"/>
        <v>02</v>
      </c>
      <c r="N279" s="608" t="s">
        <v>485</v>
      </c>
      <c r="O279" s="608"/>
      <c r="P279" s="608"/>
      <c r="Q279" s="608"/>
      <c r="R279" s="401" t="s">
        <v>52</v>
      </c>
      <c r="S279" s="610"/>
    </row>
    <row r="280" ht="13.5" customHeight="1">
      <c r="A280" s="622">
        <v>279.0</v>
      </c>
      <c r="B280" s="623" t="s">
        <v>569</v>
      </c>
      <c r="C280" s="681" t="s">
        <v>16</v>
      </c>
      <c r="D280" s="624" t="str">
        <f t="shared" si="1"/>
        <v>III</v>
      </c>
      <c r="E280" s="625" t="str">
        <f t="shared" si="5"/>
        <v>FA234/III/01</v>
      </c>
      <c r="F280" s="630" t="s">
        <v>570</v>
      </c>
      <c r="G280" s="626">
        <v>45052.0</v>
      </c>
      <c r="H280" s="682">
        <v>1.0360368E7</v>
      </c>
      <c r="I280" s="682"/>
      <c r="J280" s="630" t="s">
        <v>175</v>
      </c>
      <c r="K280" s="630" t="s">
        <v>108</v>
      </c>
      <c r="L280" s="630" t="s">
        <v>8</v>
      </c>
      <c r="M280" s="629" t="str">
        <f t="shared" si="3"/>
        <v>01</v>
      </c>
      <c r="N280" s="630" t="s">
        <v>121</v>
      </c>
      <c r="O280" s="630"/>
      <c r="P280" s="630"/>
      <c r="Q280" s="630"/>
      <c r="R280" s="628" t="s">
        <v>52</v>
      </c>
      <c r="S280" s="631"/>
    </row>
    <row r="281" ht="13.5" customHeight="1">
      <c r="A281" s="622">
        <v>280.0</v>
      </c>
      <c r="B281" s="681" t="s">
        <v>571</v>
      </c>
      <c r="C281" s="681" t="s">
        <v>16</v>
      </c>
      <c r="D281" s="624" t="str">
        <f t="shared" si="1"/>
        <v>III</v>
      </c>
      <c r="E281" s="625" t="str">
        <f t="shared" si="5"/>
        <v>FA235/III/01</v>
      </c>
      <c r="F281" s="630" t="s">
        <v>572</v>
      </c>
      <c r="G281" s="626">
        <v>45052.0</v>
      </c>
      <c r="H281" s="682">
        <v>1.1801802E7</v>
      </c>
      <c r="I281" s="682"/>
      <c r="J281" s="628" t="s">
        <v>1889</v>
      </c>
      <c r="K281" s="630" t="s">
        <v>1890</v>
      </c>
      <c r="L281" s="625" t="s">
        <v>8</v>
      </c>
      <c r="M281" s="629" t="str">
        <f t="shared" si="3"/>
        <v>01</v>
      </c>
      <c r="N281" s="630" t="s">
        <v>121</v>
      </c>
      <c r="O281" s="630"/>
      <c r="P281" s="630"/>
      <c r="Q281" s="630"/>
      <c r="R281" s="628" t="s">
        <v>52</v>
      </c>
      <c r="S281" s="631"/>
    </row>
    <row r="282" ht="13.5" customHeight="1">
      <c r="A282" s="678">
        <v>281.0</v>
      </c>
      <c r="B282" s="681" t="s">
        <v>573</v>
      </c>
      <c r="C282" s="681" t="s">
        <v>6</v>
      </c>
      <c r="D282" s="624" t="str">
        <f t="shared" si="1"/>
        <v>I</v>
      </c>
      <c r="E282" s="625" t="str">
        <f t="shared" si="5"/>
        <v>FA236/I/01</v>
      </c>
      <c r="F282" s="630" t="s">
        <v>574</v>
      </c>
      <c r="G282" s="626">
        <v>45056.0</v>
      </c>
      <c r="H282" s="696">
        <v>1260000.0</v>
      </c>
      <c r="I282" s="682"/>
      <c r="J282" s="630"/>
      <c r="K282" s="628" t="s">
        <v>95</v>
      </c>
      <c r="L282" s="625" t="s">
        <v>8</v>
      </c>
      <c r="M282" s="629" t="str">
        <f t="shared" si="3"/>
        <v>01</v>
      </c>
      <c r="N282" s="630" t="s">
        <v>575</v>
      </c>
      <c r="O282" s="630"/>
      <c r="P282" s="630"/>
      <c r="Q282" s="630"/>
      <c r="R282" s="630"/>
      <c r="S282" s="631"/>
    </row>
    <row r="283" ht="13.5" customHeight="1">
      <c r="A283" s="622">
        <v>283.0</v>
      </c>
      <c r="B283" s="681" t="s">
        <v>577</v>
      </c>
      <c r="C283" s="681" t="s">
        <v>6</v>
      </c>
      <c r="D283" s="624" t="str">
        <f t="shared" si="1"/>
        <v>I</v>
      </c>
      <c r="E283" s="625" t="str">
        <f t="shared" si="5"/>
        <v>FA237/I/01</v>
      </c>
      <c r="F283" s="630" t="s">
        <v>578</v>
      </c>
      <c r="G283" s="626">
        <v>45056.0</v>
      </c>
      <c r="H283" s="682">
        <v>1860100.0</v>
      </c>
      <c r="I283" s="682"/>
      <c r="J283" s="630" t="s">
        <v>264</v>
      </c>
      <c r="K283" s="630" t="s">
        <v>158</v>
      </c>
      <c r="L283" s="625" t="s">
        <v>8</v>
      </c>
      <c r="M283" s="629" t="str">
        <f t="shared" si="3"/>
        <v>01</v>
      </c>
      <c r="N283" s="630" t="s">
        <v>279</v>
      </c>
      <c r="O283" s="630"/>
      <c r="P283" s="630"/>
      <c r="Q283" s="630"/>
      <c r="R283" s="628" t="s">
        <v>52</v>
      </c>
      <c r="S283" s="631"/>
    </row>
    <row r="284" ht="13.5" customHeight="1">
      <c r="A284" s="622">
        <v>284.0</v>
      </c>
      <c r="B284" s="681" t="s">
        <v>579</v>
      </c>
      <c r="C284" s="681" t="s">
        <v>16</v>
      </c>
      <c r="D284" s="624" t="str">
        <f t="shared" si="1"/>
        <v>III</v>
      </c>
      <c r="E284" s="625" t="str">
        <f t="shared" si="5"/>
        <v>FA238/III/01</v>
      </c>
      <c r="F284" s="630" t="s">
        <v>580</v>
      </c>
      <c r="G284" s="626">
        <v>45070.0</v>
      </c>
      <c r="H284" s="682">
        <v>1.4234241E7</v>
      </c>
      <c r="I284" s="682"/>
      <c r="J284" s="630" t="s">
        <v>262</v>
      </c>
      <c r="K284" s="630" t="s">
        <v>95</v>
      </c>
      <c r="L284" s="625" t="s">
        <v>8</v>
      </c>
      <c r="M284" s="629" t="str">
        <f t="shared" si="3"/>
        <v>01</v>
      </c>
      <c r="N284" s="630" t="s">
        <v>71</v>
      </c>
      <c r="O284" s="630"/>
      <c r="P284" s="630"/>
      <c r="Q284" s="630"/>
      <c r="R284" s="628" t="s">
        <v>52</v>
      </c>
      <c r="S284" s="631"/>
    </row>
    <row r="285" ht="13.5" customHeight="1">
      <c r="A285" s="622">
        <v>285.0</v>
      </c>
      <c r="B285" s="681" t="s">
        <v>581</v>
      </c>
      <c r="C285" s="681" t="s">
        <v>11</v>
      </c>
      <c r="D285" s="624" t="str">
        <f t="shared" si="1"/>
        <v>II</v>
      </c>
      <c r="E285" s="625" t="str">
        <f t="shared" si="5"/>
        <v>FA239/II/01</v>
      </c>
      <c r="F285" s="630" t="s">
        <v>1932</v>
      </c>
      <c r="G285" s="626">
        <v>45077.0</v>
      </c>
      <c r="H285" s="682">
        <v>758397.0</v>
      </c>
      <c r="I285" s="682"/>
      <c r="J285" s="628" t="s">
        <v>195</v>
      </c>
      <c r="K285" s="628" t="s">
        <v>108</v>
      </c>
      <c r="L285" s="628" t="s">
        <v>8</v>
      </c>
      <c r="M285" s="629" t="str">
        <f t="shared" si="3"/>
        <v>01</v>
      </c>
      <c r="N285" s="630" t="s">
        <v>155</v>
      </c>
      <c r="O285" s="630"/>
      <c r="P285" s="630"/>
      <c r="Q285" s="630"/>
      <c r="R285" s="630"/>
      <c r="S285" s="631"/>
    </row>
    <row r="286" ht="13.5" customHeight="1">
      <c r="A286" s="622">
        <v>286.0</v>
      </c>
      <c r="B286" s="681" t="s">
        <v>582</v>
      </c>
      <c r="C286" s="681" t="s">
        <v>11</v>
      </c>
      <c r="D286" s="624" t="str">
        <f t="shared" si="1"/>
        <v>II</v>
      </c>
      <c r="E286" s="625" t="str">
        <f t="shared" si="5"/>
        <v>FA240/II/01</v>
      </c>
      <c r="F286" s="630" t="s">
        <v>1932</v>
      </c>
      <c r="G286" s="626">
        <v>45077.0</v>
      </c>
      <c r="H286" s="682">
        <v>758397.0</v>
      </c>
      <c r="I286" s="682"/>
      <c r="J286" s="628" t="s">
        <v>372</v>
      </c>
      <c r="K286" s="628" t="s">
        <v>1890</v>
      </c>
      <c r="L286" s="628" t="s">
        <v>8</v>
      </c>
      <c r="M286" s="629" t="str">
        <f t="shared" si="3"/>
        <v>01</v>
      </c>
      <c r="N286" s="630" t="s">
        <v>155</v>
      </c>
      <c r="O286" s="630"/>
      <c r="P286" s="630"/>
      <c r="Q286" s="630"/>
      <c r="R286" s="630"/>
      <c r="S286" s="631"/>
    </row>
    <row r="287" ht="13.5" customHeight="1">
      <c r="A287" s="622">
        <v>287.0</v>
      </c>
      <c r="B287" s="681" t="s">
        <v>583</v>
      </c>
      <c r="C287" s="681" t="s">
        <v>11</v>
      </c>
      <c r="D287" s="624" t="str">
        <f t="shared" si="1"/>
        <v>II</v>
      </c>
      <c r="E287" s="625" t="str">
        <f t="shared" si="5"/>
        <v>FA241/II/01</v>
      </c>
      <c r="F287" s="630" t="s">
        <v>79</v>
      </c>
      <c r="G287" s="626">
        <v>45077.0</v>
      </c>
      <c r="H287" s="682">
        <v>882000.0</v>
      </c>
      <c r="I287" s="682"/>
      <c r="J287" s="628" t="s">
        <v>1912</v>
      </c>
      <c r="K287" s="628" t="s">
        <v>1890</v>
      </c>
      <c r="L287" s="628" t="s">
        <v>8</v>
      </c>
      <c r="M287" s="629" t="str">
        <f t="shared" si="3"/>
        <v>01</v>
      </c>
      <c r="N287" s="630" t="s">
        <v>155</v>
      </c>
      <c r="O287" s="630"/>
      <c r="P287" s="630"/>
      <c r="Q287" s="630"/>
      <c r="R287" s="630"/>
      <c r="S287" s="631"/>
    </row>
    <row r="288" ht="13.5" customHeight="1">
      <c r="A288" s="622">
        <v>288.0</v>
      </c>
      <c r="B288" s="681" t="s">
        <v>584</v>
      </c>
      <c r="C288" s="681" t="s">
        <v>11</v>
      </c>
      <c r="D288" s="624" t="str">
        <f t="shared" si="1"/>
        <v>II</v>
      </c>
      <c r="E288" s="625" t="str">
        <f t="shared" si="5"/>
        <v>FA242/II/01</v>
      </c>
      <c r="F288" s="630" t="s">
        <v>79</v>
      </c>
      <c r="G288" s="626">
        <v>45077.0</v>
      </c>
      <c r="H288" s="682">
        <v>882000.0</v>
      </c>
      <c r="I288" s="682"/>
      <c r="J288" s="628" t="s">
        <v>1915</v>
      </c>
      <c r="K288" s="628" t="s">
        <v>51</v>
      </c>
      <c r="L288" s="628" t="s">
        <v>8</v>
      </c>
      <c r="M288" s="629" t="str">
        <f t="shared" si="3"/>
        <v>01</v>
      </c>
      <c r="N288" s="630" t="s">
        <v>155</v>
      </c>
      <c r="O288" s="630"/>
      <c r="P288" s="630"/>
      <c r="Q288" s="630"/>
      <c r="R288" s="630"/>
      <c r="S288" s="631"/>
    </row>
    <row r="289" ht="13.5" customHeight="1">
      <c r="A289" s="602">
        <v>290.0</v>
      </c>
      <c r="B289" s="683" t="s">
        <v>589</v>
      </c>
      <c r="C289" s="683" t="s">
        <v>6</v>
      </c>
      <c r="D289" s="604" t="str">
        <f t="shared" si="1"/>
        <v>I</v>
      </c>
      <c r="E289" s="605" t="str">
        <f t="shared" si="5"/>
        <v>FA243/I/01</v>
      </c>
      <c r="F289" s="608" t="s">
        <v>590</v>
      </c>
      <c r="G289" s="606">
        <v>45084.0</v>
      </c>
      <c r="H289" s="684">
        <v>1250000.0</v>
      </c>
      <c r="I289" s="684"/>
      <c r="J289" s="608"/>
      <c r="K289" s="608"/>
      <c r="L289" s="401" t="s">
        <v>8</v>
      </c>
      <c r="M289" s="609" t="str">
        <f t="shared" si="3"/>
        <v>01</v>
      </c>
      <c r="N289" s="608" t="s">
        <v>66</v>
      </c>
      <c r="O289" s="608"/>
      <c r="P289" s="608"/>
      <c r="Q289" s="608"/>
      <c r="R289" s="608"/>
      <c r="S289" s="610"/>
    </row>
    <row r="290" ht="13.5" customHeight="1">
      <c r="A290" s="697">
        <v>289.0</v>
      </c>
      <c r="B290" s="683" t="s">
        <v>585</v>
      </c>
      <c r="C290" s="683" t="s">
        <v>21</v>
      </c>
      <c r="D290" s="604" t="str">
        <f t="shared" si="1"/>
        <v>IV</v>
      </c>
      <c r="E290" s="605" t="str">
        <f t="shared" si="5"/>
        <v>FA247/IV/02</v>
      </c>
      <c r="F290" s="608" t="s">
        <v>586</v>
      </c>
      <c r="G290" s="606">
        <v>45078.0</v>
      </c>
      <c r="H290" s="684">
        <v>1.4E8</v>
      </c>
      <c r="I290" s="684"/>
      <c r="J290" s="401" t="s">
        <v>1658</v>
      </c>
      <c r="K290" s="401" t="s">
        <v>622</v>
      </c>
      <c r="L290" s="401" t="s">
        <v>13</v>
      </c>
      <c r="M290" s="609" t="str">
        <f t="shared" si="3"/>
        <v>02</v>
      </c>
      <c r="N290" s="608" t="s">
        <v>588</v>
      </c>
      <c r="O290" s="608"/>
      <c r="P290" s="608"/>
      <c r="Q290" s="608"/>
      <c r="R290" s="401" t="s">
        <v>52</v>
      </c>
      <c r="S290" s="610"/>
    </row>
    <row r="291" ht="13.5" customHeight="1">
      <c r="A291" s="622">
        <v>291.0</v>
      </c>
      <c r="B291" s="681" t="s">
        <v>591</v>
      </c>
      <c r="C291" s="681" t="s">
        <v>24</v>
      </c>
      <c r="D291" s="624" t="str">
        <f t="shared" si="1"/>
        <v>V</v>
      </c>
      <c r="E291" s="625" t="str">
        <f t="shared" si="5"/>
        <v>FA244/V/01</v>
      </c>
      <c r="F291" s="630" t="s">
        <v>592</v>
      </c>
      <c r="G291" s="626">
        <v>42263.0</v>
      </c>
      <c r="H291" s="682"/>
      <c r="I291" s="682">
        <v>1.6449438E8</v>
      </c>
      <c r="J291" s="628" t="s">
        <v>50</v>
      </c>
      <c r="K291" s="628" t="s">
        <v>51</v>
      </c>
      <c r="L291" s="628" t="s">
        <v>8</v>
      </c>
      <c r="M291" s="629" t="str">
        <f t="shared" si="3"/>
        <v>01</v>
      </c>
      <c r="N291" s="630"/>
      <c r="O291" s="630"/>
      <c r="P291" s="630"/>
      <c r="Q291" s="630"/>
      <c r="R291" s="630"/>
      <c r="S291" s="631"/>
    </row>
    <row r="292" ht="13.5" customHeight="1">
      <c r="A292" s="667">
        <v>292.0</v>
      </c>
      <c r="B292" s="689" t="s">
        <v>593</v>
      </c>
      <c r="C292" s="689" t="s">
        <v>24</v>
      </c>
      <c r="D292" s="669" t="str">
        <f t="shared" si="1"/>
        <v>V</v>
      </c>
      <c r="E292" s="670" t="str">
        <f t="shared" si="5"/>
        <v>FA245/V/01</v>
      </c>
      <c r="F292" s="673" t="s">
        <v>594</v>
      </c>
      <c r="G292" s="671">
        <v>43090.0</v>
      </c>
      <c r="H292" s="690"/>
      <c r="I292" s="690">
        <v>9.952866E7</v>
      </c>
      <c r="J292" s="680" t="s">
        <v>50</v>
      </c>
      <c r="K292" s="680" t="s">
        <v>51</v>
      </c>
      <c r="L292" s="680" t="s">
        <v>8</v>
      </c>
      <c r="M292" s="674" t="str">
        <f t="shared" si="3"/>
        <v>01</v>
      </c>
      <c r="N292" s="673"/>
      <c r="O292" s="673"/>
      <c r="P292" s="673"/>
      <c r="Q292" s="673"/>
      <c r="R292" s="673"/>
      <c r="S292" s="675"/>
    </row>
    <row r="293" ht="13.5" customHeight="1">
      <c r="A293" s="622">
        <v>293.0</v>
      </c>
      <c r="B293" s="681" t="s">
        <v>595</v>
      </c>
      <c r="C293" s="681" t="s">
        <v>24</v>
      </c>
      <c r="D293" s="624" t="str">
        <f t="shared" si="1"/>
        <v>V</v>
      </c>
      <c r="E293" s="625" t="str">
        <f t="shared" si="5"/>
        <v>FA246/V/01</v>
      </c>
      <c r="F293" s="630" t="s">
        <v>596</v>
      </c>
      <c r="G293" s="626">
        <v>43600.0</v>
      </c>
      <c r="H293" s="682"/>
      <c r="I293" s="682">
        <v>2.93425E8</v>
      </c>
      <c r="J293" s="628" t="s">
        <v>50</v>
      </c>
      <c r="K293" s="628" t="s">
        <v>51</v>
      </c>
      <c r="L293" s="628" t="s">
        <v>8</v>
      </c>
      <c r="M293" s="629" t="str">
        <f t="shared" si="3"/>
        <v>01</v>
      </c>
      <c r="N293" s="630"/>
      <c r="O293" s="630"/>
      <c r="P293" s="630"/>
      <c r="Q293" s="630"/>
      <c r="R293" s="630"/>
      <c r="S293" s="631"/>
    </row>
    <row r="294" ht="13.5" customHeight="1">
      <c r="A294" s="622">
        <v>294.0</v>
      </c>
      <c r="B294" s="681" t="s">
        <v>597</v>
      </c>
      <c r="C294" s="681" t="s">
        <v>6</v>
      </c>
      <c r="D294" s="624" t="str">
        <f t="shared" si="1"/>
        <v>I</v>
      </c>
      <c r="E294" s="625" t="str">
        <f t="shared" si="5"/>
        <v>FA248/I/01</v>
      </c>
      <c r="F294" s="630" t="s">
        <v>598</v>
      </c>
      <c r="G294" s="626">
        <v>45097.0</v>
      </c>
      <c r="H294" s="682">
        <v>1836500.0</v>
      </c>
      <c r="I294" s="682"/>
      <c r="J294" s="630"/>
      <c r="K294" s="628" t="s">
        <v>1890</v>
      </c>
      <c r="L294" s="628" t="s">
        <v>8</v>
      </c>
      <c r="M294" s="629" t="str">
        <f t="shared" si="3"/>
        <v>01</v>
      </c>
      <c r="N294" s="628" t="s">
        <v>599</v>
      </c>
      <c r="O294" s="630"/>
      <c r="P294" s="630"/>
      <c r="Q294" s="630"/>
      <c r="R294" s="630"/>
      <c r="S294" s="631"/>
    </row>
    <row r="295" ht="13.5" customHeight="1">
      <c r="A295" s="622">
        <v>295.0</v>
      </c>
      <c r="B295" s="681" t="s">
        <v>600</v>
      </c>
      <c r="C295" s="681" t="s">
        <v>24</v>
      </c>
      <c r="D295" s="624" t="str">
        <f t="shared" si="1"/>
        <v>V</v>
      </c>
      <c r="E295" s="625" t="str">
        <f t="shared" si="5"/>
        <v>FA249/V/01</v>
      </c>
      <c r="F295" s="630" t="s">
        <v>601</v>
      </c>
      <c r="G295" s="626">
        <v>45099.0</v>
      </c>
      <c r="H295" s="682">
        <v>542210.0</v>
      </c>
      <c r="I295" s="682"/>
      <c r="J295" s="630"/>
      <c r="K295" s="628" t="s">
        <v>95</v>
      </c>
      <c r="L295" s="625" t="s">
        <v>8</v>
      </c>
      <c r="M295" s="629" t="str">
        <f t="shared" si="3"/>
        <v>01</v>
      </c>
      <c r="N295" s="630" t="s">
        <v>324</v>
      </c>
      <c r="O295" s="630"/>
      <c r="P295" s="630"/>
      <c r="Q295" s="630"/>
      <c r="R295" s="630"/>
      <c r="S295" s="631"/>
    </row>
    <row r="296" ht="13.5" customHeight="1">
      <c r="A296" s="622">
        <v>296.0</v>
      </c>
      <c r="B296" s="681" t="s">
        <v>602</v>
      </c>
      <c r="C296" s="681" t="s">
        <v>11</v>
      </c>
      <c r="D296" s="624" t="str">
        <f t="shared" si="1"/>
        <v>II</v>
      </c>
      <c r="E296" s="625" t="str">
        <f t="shared" si="5"/>
        <v>FA250/II/01</v>
      </c>
      <c r="F296" s="630" t="s">
        <v>603</v>
      </c>
      <c r="G296" s="626">
        <v>45112.0</v>
      </c>
      <c r="H296" s="682">
        <v>2250000.0</v>
      </c>
      <c r="I296" s="682"/>
      <c r="J296" s="628" t="s">
        <v>169</v>
      </c>
      <c r="K296" s="628" t="s">
        <v>170</v>
      </c>
      <c r="L296" s="625" t="s">
        <v>8</v>
      </c>
      <c r="M296" s="629" t="str">
        <f t="shared" si="3"/>
        <v>01</v>
      </c>
      <c r="N296" s="630"/>
      <c r="O296" s="630"/>
      <c r="P296" s="630"/>
      <c r="Q296" s="630"/>
      <c r="R296" s="630"/>
      <c r="S296" s="631"/>
    </row>
    <row r="297" ht="13.5" customHeight="1">
      <c r="A297" s="622">
        <v>298.0</v>
      </c>
      <c r="B297" s="681" t="s">
        <v>607</v>
      </c>
      <c r="C297" s="681" t="s">
        <v>6</v>
      </c>
      <c r="D297" s="624" t="str">
        <f t="shared" si="1"/>
        <v>I</v>
      </c>
      <c r="E297" s="625" t="str">
        <f t="shared" si="5"/>
        <v>FA252/I/01</v>
      </c>
      <c r="F297" s="630" t="s">
        <v>608</v>
      </c>
      <c r="G297" s="626">
        <v>45127.0</v>
      </c>
      <c r="H297" s="682">
        <v>627700.0</v>
      </c>
      <c r="I297" s="682"/>
      <c r="J297" s="630" t="s">
        <v>1885</v>
      </c>
      <c r="K297" s="630" t="s">
        <v>51</v>
      </c>
      <c r="L297" s="628" t="s">
        <v>8</v>
      </c>
      <c r="M297" s="629" t="str">
        <f t="shared" si="3"/>
        <v>01</v>
      </c>
      <c r="N297" s="628" t="s">
        <v>609</v>
      </c>
      <c r="O297" s="630"/>
      <c r="P297" s="630"/>
      <c r="Q297" s="630"/>
      <c r="R297" s="628" t="s">
        <v>52</v>
      </c>
      <c r="S297" s="631"/>
    </row>
    <row r="298" ht="13.5" customHeight="1">
      <c r="A298" s="697">
        <v>297.0</v>
      </c>
      <c r="B298" s="683" t="s">
        <v>604</v>
      </c>
      <c r="C298" s="683" t="s">
        <v>6</v>
      </c>
      <c r="D298" s="604" t="str">
        <f t="shared" si="1"/>
        <v>I</v>
      </c>
      <c r="E298" s="605" t="str">
        <f t="shared" si="5"/>
        <v>FA251/I/02</v>
      </c>
      <c r="F298" s="608" t="s">
        <v>605</v>
      </c>
      <c r="G298" s="595">
        <v>45121.0</v>
      </c>
      <c r="H298" s="684">
        <v>1500000.0</v>
      </c>
      <c r="I298" s="684"/>
      <c r="J298" s="608"/>
      <c r="K298" s="401" t="s">
        <v>95</v>
      </c>
      <c r="L298" s="401" t="s">
        <v>13</v>
      </c>
      <c r="M298" s="609" t="str">
        <f t="shared" si="3"/>
        <v>02</v>
      </c>
      <c r="N298" s="608" t="s">
        <v>606</v>
      </c>
      <c r="O298" s="608"/>
      <c r="P298" s="608"/>
      <c r="Q298" s="608"/>
      <c r="R298" s="401" t="s">
        <v>52</v>
      </c>
      <c r="S298" s="610"/>
    </row>
    <row r="299" ht="13.5" customHeight="1">
      <c r="A299" s="632">
        <v>326.0</v>
      </c>
      <c r="B299" s="686" t="s">
        <v>654</v>
      </c>
      <c r="C299" s="686" t="s">
        <v>16</v>
      </c>
      <c r="D299" s="634" t="str">
        <f t="shared" si="1"/>
        <v>III</v>
      </c>
      <c r="E299" s="635" t="str">
        <f t="shared" si="5"/>
        <v>FA280/III/01</v>
      </c>
      <c r="F299" s="638" t="s">
        <v>655</v>
      </c>
      <c r="G299" s="636">
        <v>45120.0</v>
      </c>
      <c r="H299" s="687">
        <v>1.538E7</v>
      </c>
      <c r="I299" s="687"/>
      <c r="J299" s="638" t="s">
        <v>1933</v>
      </c>
      <c r="K299" s="638" t="s">
        <v>170</v>
      </c>
      <c r="L299" s="635" t="s">
        <v>8</v>
      </c>
      <c r="M299" s="640" t="str">
        <f t="shared" si="3"/>
        <v>01</v>
      </c>
      <c r="N299" s="638" t="s">
        <v>103</v>
      </c>
      <c r="O299" s="638"/>
      <c r="P299" s="638"/>
      <c r="Q299" s="638"/>
      <c r="R299" s="639" t="s">
        <v>52</v>
      </c>
      <c r="S299" s="641"/>
    </row>
    <row r="300" ht="13.5" customHeight="1">
      <c r="A300" s="602">
        <v>299.0</v>
      </c>
      <c r="B300" s="683" t="s">
        <v>611</v>
      </c>
      <c r="C300" s="683" t="s">
        <v>11</v>
      </c>
      <c r="D300" s="604" t="str">
        <f t="shared" si="1"/>
        <v>II</v>
      </c>
      <c r="E300" s="605" t="str">
        <f t="shared" si="5"/>
        <v>FA253/II/02</v>
      </c>
      <c r="F300" s="608" t="s">
        <v>612</v>
      </c>
      <c r="G300" s="606">
        <v>45127.0</v>
      </c>
      <c r="H300" s="684">
        <v>697600.0</v>
      </c>
      <c r="I300" s="684"/>
      <c r="J300" s="608"/>
      <c r="K300" s="401" t="s">
        <v>95</v>
      </c>
      <c r="L300" s="401" t="s">
        <v>13</v>
      </c>
      <c r="M300" s="609" t="str">
        <f t="shared" si="3"/>
        <v>02</v>
      </c>
      <c r="N300" s="608"/>
      <c r="O300" s="608"/>
      <c r="P300" s="608"/>
      <c r="Q300" s="608"/>
      <c r="R300" s="401" t="s">
        <v>52</v>
      </c>
      <c r="S300" s="610"/>
    </row>
    <row r="301" ht="13.5" customHeight="1">
      <c r="A301" s="602">
        <v>300.0</v>
      </c>
      <c r="B301" s="683" t="s">
        <v>613</v>
      </c>
      <c r="C301" s="683" t="s">
        <v>11</v>
      </c>
      <c r="D301" s="604" t="str">
        <f t="shared" si="1"/>
        <v>II</v>
      </c>
      <c r="E301" s="605" t="str">
        <f t="shared" si="5"/>
        <v>FA254/II/02</v>
      </c>
      <c r="F301" s="608" t="s">
        <v>614</v>
      </c>
      <c r="G301" s="595">
        <v>45129.0</v>
      </c>
      <c r="H301" s="684">
        <v>1399000.0</v>
      </c>
      <c r="I301" s="684"/>
      <c r="J301" s="608"/>
      <c r="K301" s="401" t="s">
        <v>95</v>
      </c>
      <c r="L301" s="401" t="s">
        <v>13</v>
      </c>
      <c r="M301" s="609" t="str">
        <f t="shared" si="3"/>
        <v>02</v>
      </c>
      <c r="N301" s="608"/>
      <c r="O301" s="608"/>
      <c r="P301" s="608"/>
      <c r="Q301" s="608"/>
      <c r="R301" s="401" t="s">
        <v>52</v>
      </c>
      <c r="S301" s="610"/>
    </row>
    <row r="302" ht="13.5" customHeight="1">
      <c r="A302" s="602">
        <v>301.0</v>
      </c>
      <c r="B302" s="683" t="s">
        <v>615</v>
      </c>
      <c r="C302" s="683" t="s">
        <v>6</v>
      </c>
      <c r="D302" s="604" t="str">
        <f t="shared" si="1"/>
        <v>I</v>
      </c>
      <c r="E302" s="605" t="str">
        <f t="shared" si="5"/>
        <v>FA255/I/02</v>
      </c>
      <c r="F302" s="608" t="s">
        <v>616</v>
      </c>
      <c r="G302" s="595">
        <v>45135.0</v>
      </c>
      <c r="H302" s="684">
        <v>538450.0</v>
      </c>
      <c r="I302" s="684"/>
      <c r="J302" s="608"/>
      <c r="K302" s="401" t="s">
        <v>95</v>
      </c>
      <c r="L302" s="401" t="s">
        <v>13</v>
      </c>
      <c r="M302" s="609" t="str">
        <f t="shared" si="3"/>
        <v>02</v>
      </c>
      <c r="N302" s="608" t="s">
        <v>617</v>
      </c>
      <c r="O302" s="608"/>
      <c r="P302" s="608"/>
      <c r="Q302" s="608"/>
      <c r="R302" s="401" t="s">
        <v>52</v>
      </c>
      <c r="S302" s="610"/>
    </row>
    <row r="303" ht="13.5" customHeight="1">
      <c r="A303" s="602">
        <v>302.0</v>
      </c>
      <c r="B303" s="683" t="s">
        <v>618</v>
      </c>
      <c r="C303" s="683" t="s">
        <v>11</v>
      </c>
      <c r="D303" s="604" t="str">
        <f t="shared" si="1"/>
        <v>II</v>
      </c>
      <c r="E303" s="605" t="str">
        <f t="shared" si="5"/>
        <v>FA256/II/02</v>
      </c>
      <c r="F303" s="608" t="s">
        <v>619</v>
      </c>
      <c r="G303" s="595">
        <v>45135.0</v>
      </c>
      <c r="H303" s="684">
        <v>531600.0</v>
      </c>
      <c r="I303" s="684"/>
      <c r="J303" s="608"/>
      <c r="K303" s="401" t="s">
        <v>95</v>
      </c>
      <c r="L303" s="401" t="s">
        <v>13</v>
      </c>
      <c r="M303" s="609" t="str">
        <f t="shared" si="3"/>
        <v>02</v>
      </c>
      <c r="N303" s="608"/>
      <c r="O303" s="608"/>
      <c r="P303" s="608"/>
      <c r="Q303" s="608"/>
      <c r="R303" s="401" t="s">
        <v>52</v>
      </c>
      <c r="S303" s="610"/>
    </row>
    <row r="304" ht="13.5" customHeight="1">
      <c r="A304" s="663">
        <v>303.0</v>
      </c>
      <c r="B304" s="685" t="s">
        <v>620</v>
      </c>
      <c r="C304" s="685" t="s">
        <v>24</v>
      </c>
      <c r="D304" s="613" t="str">
        <f t="shared" si="1"/>
        <v>V</v>
      </c>
      <c r="E304" s="614" t="str">
        <f t="shared" si="5"/>
        <v>FA257/V/02</v>
      </c>
      <c r="F304" s="618" t="s">
        <v>621</v>
      </c>
      <c r="G304" s="615">
        <v>45135.0</v>
      </c>
      <c r="H304" s="617">
        <v>398634.0</v>
      </c>
      <c r="I304" s="617"/>
      <c r="J304" s="618"/>
      <c r="K304" s="619" t="s">
        <v>622</v>
      </c>
      <c r="L304" s="619" t="s">
        <v>13</v>
      </c>
      <c r="M304" s="620" t="str">
        <f t="shared" si="3"/>
        <v>02</v>
      </c>
      <c r="N304" s="618" t="s">
        <v>623</v>
      </c>
      <c r="O304" s="618"/>
      <c r="P304" s="618"/>
      <c r="Q304" s="618"/>
      <c r="R304" s="619" t="s">
        <v>10</v>
      </c>
      <c r="S304" s="621"/>
    </row>
    <row r="305" ht="13.5" customHeight="1">
      <c r="A305" s="602">
        <v>304.0</v>
      </c>
      <c r="B305" s="683" t="s">
        <v>624</v>
      </c>
      <c r="C305" s="683" t="s">
        <v>24</v>
      </c>
      <c r="D305" s="604" t="str">
        <f t="shared" si="1"/>
        <v>V</v>
      </c>
      <c r="E305" s="605" t="str">
        <f t="shared" si="5"/>
        <v>FA258/V/02</v>
      </c>
      <c r="F305" s="608" t="s">
        <v>625</v>
      </c>
      <c r="G305" s="606">
        <v>45135.0</v>
      </c>
      <c r="H305" s="684">
        <v>1074900.0</v>
      </c>
      <c r="I305" s="684"/>
      <c r="J305" s="608"/>
      <c r="K305" s="401" t="s">
        <v>95</v>
      </c>
      <c r="L305" s="401" t="s">
        <v>13</v>
      </c>
      <c r="M305" s="609" t="str">
        <f t="shared" si="3"/>
        <v>02</v>
      </c>
      <c r="N305" s="608" t="s">
        <v>626</v>
      </c>
      <c r="O305" s="608"/>
      <c r="P305" s="608"/>
      <c r="Q305" s="608"/>
      <c r="R305" s="401" t="s">
        <v>52</v>
      </c>
      <c r="S305" s="610"/>
    </row>
    <row r="306" ht="13.5" customHeight="1">
      <c r="A306" s="697">
        <v>305.0</v>
      </c>
      <c r="B306" s="683" t="s">
        <v>627</v>
      </c>
      <c r="C306" s="683" t="s">
        <v>11</v>
      </c>
      <c r="D306" s="604" t="str">
        <f t="shared" si="1"/>
        <v>II</v>
      </c>
      <c r="E306" s="605" t="str">
        <f t="shared" si="5"/>
        <v>FA259/II/02</v>
      </c>
      <c r="F306" s="608" t="s">
        <v>628</v>
      </c>
      <c r="G306" s="606">
        <v>45134.0</v>
      </c>
      <c r="H306" s="684">
        <v>999000.0</v>
      </c>
      <c r="I306" s="684"/>
      <c r="J306" s="608"/>
      <c r="K306" s="401" t="s">
        <v>95</v>
      </c>
      <c r="L306" s="401" t="s">
        <v>13</v>
      </c>
      <c r="M306" s="609" t="str">
        <f t="shared" si="3"/>
        <v>02</v>
      </c>
      <c r="N306" s="608" t="s">
        <v>155</v>
      </c>
      <c r="O306" s="608"/>
      <c r="P306" s="608"/>
      <c r="Q306" s="608"/>
      <c r="R306" s="401" t="s">
        <v>52</v>
      </c>
      <c r="S306" s="610"/>
    </row>
    <row r="307" ht="13.5" customHeight="1">
      <c r="A307" s="602">
        <v>306.0</v>
      </c>
      <c r="B307" s="683" t="s">
        <v>629</v>
      </c>
      <c r="C307" s="683" t="s">
        <v>11</v>
      </c>
      <c r="D307" s="604" t="str">
        <f t="shared" si="1"/>
        <v>II</v>
      </c>
      <c r="E307" s="605" t="str">
        <f t="shared" si="5"/>
        <v>FA260/II/02</v>
      </c>
      <c r="F307" s="608" t="s">
        <v>628</v>
      </c>
      <c r="G307" s="606">
        <v>45134.0</v>
      </c>
      <c r="H307" s="684">
        <v>999000.0</v>
      </c>
      <c r="I307" s="684"/>
      <c r="J307" s="398"/>
      <c r="K307" s="401" t="s">
        <v>95</v>
      </c>
      <c r="L307" s="401" t="s">
        <v>13</v>
      </c>
      <c r="M307" s="609" t="str">
        <f t="shared" si="3"/>
        <v>02</v>
      </c>
      <c r="N307" s="608" t="s">
        <v>155</v>
      </c>
      <c r="O307" s="608"/>
      <c r="P307" s="608"/>
      <c r="Q307" s="608"/>
      <c r="R307" s="401" t="s">
        <v>52</v>
      </c>
      <c r="S307" s="610"/>
    </row>
    <row r="308" ht="13.5" customHeight="1">
      <c r="A308" s="602">
        <v>307.0</v>
      </c>
      <c r="B308" s="683" t="s">
        <v>630</v>
      </c>
      <c r="C308" s="683" t="s">
        <v>11</v>
      </c>
      <c r="D308" s="604" t="str">
        <f t="shared" si="1"/>
        <v>II</v>
      </c>
      <c r="E308" s="605" t="str">
        <f t="shared" si="5"/>
        <v>FA261/II/02</v>
      </c>
      <c r="F308" s="608" t="s">
        <v>631</v>
      </c>
      <c r="G308" s="595">
        <v>45133.0</v>
      </c>
      <c r="H308" s="684">
        <v>379000.0</v>
      </c>
      <c r="I308" s="684"/>
      <c r="J308" s="608"/>
      <c r="K308" s="401" t="s">
        <v>95</v>
      </c>
      <c r="L308" s="401" t="s">
        <v>13</v>
      </c>
      <c r="M308" s="609" t="str">
        <f t="shared" si="3"/>
        <v>02</v>
      </c>
      <c r="N308" s="608" t="s">
        <v>155</v>
      </c>
      <c r="O308" s="608"/>
      <c r="P308" s="608"/>
      <c r="Q308" s="608"/>
      <c r="R308" s="401" t="s">
        <v>52</v>
      </c>
      <c r="S308" s="610"/>
    </row>
    <row r="309" ht="13.5" customHeight="1">
      <c r="A309" s="602">
        <v>308.0</v>
      </c>
      <c r="B309" s="683" t="s">
        <v>632</v>
      </c>
      <c r="C309" s="683" t="s">
        <v>11</v>
      </c>
      <c r="D309" s="604" t="str">
        <f t="shared" si="1"/>
        <v>II</v>
      </c>
      <c r="E309" s="605" t="str">
        <f t="shared" si="5"/>
        <v>FA262/II/02</v>
      </c>
      <c r="F309" s="608" t="s">
        <v>631</v>
      </c>
      <c r="G309" s="606">
        <v>45133.0</v>
      </c>
      <c r="H309" s="684">
        <v>379000.0</v>
      </c>
      <c r="I309" s="684"/>
      <c r="J309" s="608"/>
      <c r="K309" s="401" t="s">
        <v>95</v>
      </c>
      <c r="L309" s="401" t="s">
        <v>13</v>
      </c>
      <c r="M309" s="609" t="str">
        <f t="shared" si="3"/>
        <v>02</v>
      </c>
      <c r="N309" s="608" t="s">
        <v>155</v>
      </c>
      <c r="O309" s="608"/>
      <c r="P309" s="608"/>
      <c r="Q309" s="608"/>
      <c r="R309" s="401" t="s">
        <v>52</v>
      </c>
      <c r="S309" s="610"/>
    </row>
    <row r="310" ht="13.5" customHeight="1">
      <c r="A310" s="602">
        <v>309.0</v>
      </c>
      <c r="B310" s="683" t="s">
        <v>633</v>
      </c>
      <c r="C310" s="683" t="s">
        <v>11</v>
      </c>
      <c r="D310" s="604" t="str">
        <f t="shared" si="1"/>
        <v>II</v>
      </c>
      <c r="E310" s="605" t="str">
        <f t="shared" si="5"/>
        <v>FA263/II/02</v>
      </c>
      <c r="F310" s="608" t="s">
        <v>631</v>
      </c>
      <c r="G310" s="595">
        <v>45133.0</v>
      </c>
      <c r="H310" s="684">
        <v>379000.0</v>
      </c>
      <c r="I310" s="684"/>
      <c r="J310" s="608"/>
      <c r="K310" s="401" t="s">
        <v>95</v>
      </c>
      <c r="L310" s="401" t="s">
        <v>13</v>
      </c>
      <c r="M310" s="609" t="str">
        <f t="shared" si="3"/>
        <v>02</v>
      </c>
      <c r="N310" s="608" t="s">
        <v>155</v>
      </c>
      <c r="O310" s="608"/>
      <c r="P310" s="608"/>
      <c r="Q310" s="608"/>
      <c r="R310" s="401" t="s">
        <v>52</v>
      </c>
      <c r="S310" s="610"/>
    </row>
    <row r="311" ht="13.5" customHeight="1">
      <c r="A311" s="602">
        <v>310.0</v>
      </c>
      <c r="B311" s="683" t="s">
        <v>634</v>
      </c>
      <c r="C311" s="683" t="s">
        <v>11</v>
      </c>
      <c r="D311" s="604" t="str">
        <f t="shared" si="1"/>
        <v>II</v>
      </c>
      <c r="E311" s="605" t="str">
        <f t="shared" si="5"/>
        <v>FA264/II/02</v>
      </c>
      <c r="F311" s="608" t="s">
        <v>631</v>
      </c>
      <c r="G311" s="595">
        <v>45133.0</v>
      </c>
      <c r="H311" s="684">
        <v>379000.0</v>
      </c>
      <c r="I311" s="684"/>
      <c r="J311" s="608"/>
      <c r="K311" s="401" t="s">
        <v>95</v>
      </c>
      <c r="L311" s="401" t="s">
        <v>13</v>
      </c>
      <c r="M311" s="609" t="str">
        <f t="shared" si="3"/>
        <v>02</v>
      </c>
      <c r="N311" s="608" t="s">
        <v>155</v>
      </c>
      <c r="O311" s="608"/>
      <c r="P311" s="608"/>
      <c r="Q311" s="608"/>
      <c r="R311" s="401" t="s">
        <v>52</v>
      </c>
      <c r="S311" s="610"/>
    </row>
    <row r="312" ht="13.5" customHeight="1">
      <c r="A312" s="602">
        <v>311.0</v>
      </c>
      <c r="B312" s="683" t="s">
        <v>635</v>
      </c>
      <c r="C312" s="683" t="s">
        <v>11</v>
      </c>
      <c r="D312" s="604" t="str">
        <f t="shared" si="1"/>
        <v>II</v>
      </c>
      <c r="E312" s="605" t="str">
        <f t="shared" si="5"/>
        <v>FA265/II/02</v>
      </c>
      <c r="F312" s="608" t="s">
        <v>631</v>
      </c>
      <c r="G312" s="606">
        <v>45133.0</v>
      </c>
      <c r="H312" s="684">
        <v>379000.0</v>
      </c>
      <c r="I312" s="684"/>
      <c r="J312" s="608"/>
      <c r="K312" s="401" t="s">
        <v>95</v>
      </c>
      <c r="L312" s="401" t="s">
        <v>13</v>
      </c>
      <c r="M312" s="609" t="str">
        <f t="shared" si="3"/>
        <v>02</v>
      </c>
      <c r="N312" s="608" t="s">
        <v>155</v>
      </c>
      <c r="O312" s="608"/>
      <c r="P312" s="608"/>
      <c r="Q312" s="608"/>
      <c r="R312" s="401" t="s">
        <v>52</v>
      </c>
      <c r="S312" s="610"/>
    </row>
    <row r="313" ht="13.5" customHeight="1">
      <c r="A313" s="602">
        <v>312.0</v>
      </c>
      <c r="B313" s="683" t="s">
        <v>636</v>
      </c>
      <c r="C313" s="683" t="s">
        <v>11</v>
      </c>
      <c r="D313" s="604" t="str">
        <f t="shared" si="1"/>
        <v>II</v>
      </c>
      <c r="E313" s="605" t="str">
        <f t="shared" si="5"/>
        <v>FA266/II/02</v>
      </c>
      <c r="F313" s="608" t="s">
        <v>631</v>
      </c>
      <c r="G313" s="606">
        <v>45133.0</v>
      </c>
      <c r="H313" s="684">
        <v>379000.0</v>
      </c>
      <c r="I313" s="684"/>
      <c r="J313" s="608"/>
      <c r="K313" s="401" t="s">
        <v>95</v>
      </c>
      <c r="L313" s="401" t="s">
        <v>13</v>
      </c>
      <c r="M313" s="609" t="str">
        <f t="shared" si="3"/>
        <v>02</v>
      </c>
      <c r="N313" s="608" t="s">
        <v>155</v>
      </c>
      <c r="O313" s="608"/>
      <c r="P313" s="608"/>
      <c r="Q313" s="608"/>
      <c r="R313" s="401" t="s">
        <v>52</v>
      </c>
      <c r="S313" s="610"/>
    </row>
    <row r="314" ht="13.5" customHeight="1">
      <c r="A314" s="697">
        <v>313.0</v>
      </c>
      <c r="B314" s="683" t="s">
        <v>637</v>
      </c>
      <c r="C314" s="683" t="s">
        <v>11</v>
      </c>
      <c r="D314" s="604" t="str">
        <f t="shared" si="1"/>
        <v>II</v>
      </c>
      <c r="E314" s="605" t="str">
        <f t="shared" si="5"/>
        <v>FA267/II/02</v>
      </c>
      <c r="F314" s="608" t="s">
        <v>631</v>
      </c>
      <c r="G314" s="606">
        <v>45133.0</v>
      </c>
      <c r="H314" s="684">
        <v>379000.0</v>
      </c>
      <c r="I314" s="684"/>
      <c r="J314" s="608"/>
      <c r="K314" s="401" t="s">
        <v>95</v>
      </c>
      <c r="L314" s="401" t="s">
        <v>13</v>
      </c>
      <c r="M314" s="609" t="str">
        <f t="shared" si="3"/>
        <v>02</v>
      </c>
      <c r="N314" s="608" t="s">
        <v>155</v>
      </c>
      <c r="O314" s="608"/>
      <c r="P314" s="608"/>
      <c r="Q314" s="608"/>
      <c r="R314" s="401" t="s">
        <v>52</v>
      </c>
      <c r="S314" s="610"/>
    </row>
    <row r="315" ht="13.5" customHeight="1">
      <c r="A315" s="602">
        <v>314.0</v>
      </c>
      <c r="B315" s="683" t="s">
        <v>638</v>
      </c>
      <c r="C315" s="683" t="s">
        <v>11</v>
      </c>
      <c r="D315" s="604" t="str">
        <f t="shared" si="1"/>
        <v>II</v>
      </c>
      <c r="E315" s="605" t="str">
        <f t="shared" si="5"/>
        <v>FA268/II/02</v>
      </c>
      <c r="F315" s="608" t="s">
        <v>631</v>
      </c>
      <c r="G315" s="606">
        <v>45133.0</v>
      </c>
      <c r="H315" s="684">
        <v>379000.0</v>
      </c>
      <c r="I315" s="684"/>
      <c r="J315" s="608"/>
      <c r="K315" s="401" t="s">
        <v>95</v>
      </c>
      <c r="L315" s="401" t="s">
        <v>13</v>
      </c>
      <c r="M315" s="609" t="str">
        <f t="shared" si="3"/>
        <v>02</v>
      </c>
      <c r="N315" s="608" t="s">
        <v>155</v>
      </c>
      <c r="O315" s="608"/>
      <c r="P315" s="608"/>
      <c r="Q315" s="608"/>
      <c r="R315" s="401" t="s">
        <v>52</v>
      </c>
      <c r="S315" s="610"/>
    </row>
    <row r="316" ht="13.5" customHeight="1">
      <c r="A316" s="602">
        <v>315.0</v>
      </c>
      <c r="B316" s="683" t="s">
        <v>639</v>
      </c>
      <c r="C316" s="683" t="s">
        <v>11</v>
      </c>
      <c r="D316" s="604" t="str">
        <f t="shared" si="1"/>
        <v>II</v>
      </c>
      <c r="E316" s="605" t="str">
        <f t="shared" si="5"/>
        <v>FA269/II/02</v>
      </c>
      <c r="F316" s="608" t="s">
        <v>631</v>
      </c>
      <c r="G316" s="606">
        <v>45133.0</v>
      </c>
      <c r="H316" s="684">
        <v>379000.0</v>
      </c>
      <c r="I316" s="684"/>
      <c r="J316" s="608"/>
      <c r="K316" s="401" t="s">
        <v>95</v>
      </c>
      <c r="L316" s="401" t="s">
        <v>13</v>
      </c>
      <c r="M316" s="609" t="str">
        <f t="shared" si="3"/>
        <v>02</v>
      </c>
      <c r="N316" s="608" t="s">
        <v>155</v>
      </c>
      <c r="O316" s="608"/>
      <c r="P316" s="608"/>
      <c r="Q316" s="608"/>
      <c r="R316" s="401" t="s">
        <v>52</v>
      </c>
      <c r="S316" s="610"/>
    </row>
    <row r="317" ht="13.5" customHeight="1">
      <c r="A317" s="602">
        <v>316.0</v>
      </c>
      <c r="B317" s="683" t="s">
        <v>640</v>
      </c>
      <c r="C317" s="683" t="s">
        <v>11</v>
      </c>
      <c r="D317" s="604" t="str">
        <f t="shared" si="1"/>
        <v>II</v>
      </c>
      <c r="E317" s="605" t="str">
        <f t="shared" si="5"/>
        <v>FA270/II/02</v>
      </c>
      <c r="F317" s="608" t="s">
        <v>631</v>
      </c>
      <c r="G317" s="657">
        <v>45133.0</v>
      </c>
      <c r="H317" s="684">
        <v>379000.0</v>
      </c>
      <c r="I317" s="684"/>
      <c r="J317" s="608"/>
      <c r="K317" s="401" t="s">
        <v>95</v>
      </c>
      <c r="L317" s="401" t="s">
        <v>13</v>
      </c>
      <c r="M317" s="609" t="str">
        <f t="shared" si="3"/>
        <v>02</v>
      </c>
      <c r="N317" s="608" t="s">
        <v>155</v>
      </c>
      <c r="O317" s="608"/>
      <c r="P317" s="608"/>
      <c r="Q317" s="608"/>
      <c r="R317" s="401" t="s">
        <v>52</v>
      </c>
      <c r="S317" s="610"/>
    </row>
    <row r="318" ht="13.5" customHeight="1">
      <c r="A318" s="602">
        <v>317.0</v>
      </c>
      <c r="B318" s="683" t="s">
        <v>641</v>
      </c>
      <c r="C318" s="683" t="s">
        <v>11</v>
      </c>
      <c r="D318" s="604" t="str">
        <f t="shared" si="1"/>
        <v>II</v>
      </c>
      <c r="E318" s="605" t="str">
        <f t="shared" si="5"/>
        <v>FA271/II/02</v>
      </c>
      <c r="F318" s="608" t="s">
        <v>631</v>
      </c>
      <c r="G318" s="606">
        <v>45133.0</v>
      </c>
      <c r="H318" s="684">
        <v>379000.0</v>
      </c>
      <c r="I318" s="684"/>
      <c r="J318" s="608"/>
      <c r="K318" s="401" t="s">
        <v>95</v>
      </c>
      <c r="L318" s="401" t="s">
        <v>13</v>
      </c>
      <c r="M318" s="609" t="str">
        <f t="shared" si="3"/>
        <v>02</v>
      </c>
      <c r="N318" s="608" t="s">
        <v>155</v>
      </c>
      <c r="O318" s="608"/>
      <c r="P318" s="608"/>
      <c r="Q318" s="608"/>
      <c r="R318" s="401" t="s">
        <v>52</v>
      </c>
      <c r="S318" s="610"/>
    </row>
    <row r="319" ht="13.5" customHeight="1">
      <c r="A319" s="602">
        <v>318.0</v>
      </c>
      <c r="B319" s="683" t="s">
        <v>642</v>
      </c>
      <c r="C319" s="683" t="s">
        <v>11</v>
      </c>
      <c r="D319" s="604" t="str">
        <f t="shared" si="1"/>
        <v>II</v>
      </c>
      <c r="E319" s="605" t="str">
        <f t="shared" si="5"/>
        <v>FA272/II/02</v>
      </c>
      <c r="F319" s="608" t="s">
        <v>631</v>
      </c>
      <c r="G319" s="691">
        <v>45133.0</v>
      </c>
      <c r="H319" s="684">
        <v>379000.0</v>
      </c>
      <c r="I319" s="684"/>
      <c r="J319" s="608"/>
      <c r="K319" s="401" t="s">
        <v>95</v>
      </c>
      <c r="L319" s="401" t="s">
        <v>13</v>
      </c>
      <c r="M319" s="609" t="str">
        <f t="shared" si="3"/>
        <v>02</v>
      </c>
      <c r="N319" s="608" t="s">
        <v>155</v>
      </c>
      <c r="O319" s="608"/>
      <c r="P319" s="608"/>
      <c r="Q319" s="608"/>
      <c r="R319" s="401" t="s">
        <v>52</v>
      </c>
      <c r="S319" s="610"/>
    </row>
    <row r="320" ht="13.5" customHeight="1">
      <c r="A320" s="602">
        <v>319.0</v>
      </c>
      <c r="B320" s="683" t="s">
        <v>643</v>
      </c>
      <c r="C320" s="683" t="s">
        <v>11</v>
      </c>
      <c r="D320" s="604" t="str">
        <f t="shared" si="1"/>
        <v>II</v>
      </c>
      <c r="E320" s="605" t="str">
        <f t="shared" si="5"/>
        <v>FA273/II/02</v>
      </c>
      <c r="F320" s="608" t="s">
        <v>631</v>
      </c>
      <c r="G320" s="606">
        <v>45133.0</v>
      </c>
      <c r="H320" s="684">
        <v>379000.0</v>
      </c>
      <c r="I320" s="684"/>
      <c r="J320" s="608"/>
      <c r="K320" s="401" t="s">
        <v>95</v>
      </c>
      <c r="L320" s="401" t="s">
        <v>13</v>
      </c>
      <c r="M320" s="609" t="str">
        <f t="shared" si="3"/>
        <v>02</v>
      </c>
      <c r="N320" s="608" t="s">
        <v>155</v>
      </c>
      <c r="O320" s="608"/>
      <c r="P320" s="608"/>
      <c r="Q320" s="608"/>
      <c r="R320" s="401" t="s">
        <v>52</v>
      </c>
      <c r="S320" s="610"/>
    </row>
    <row r="321" ht="13.5" customHeight="1">
      <c r="A321" s="602">
        <v>320.0</v>
      </c>
      <c r="B321" s="683" t="s">
        <v>644</v>
      </c>
      <c r="C321" s="683" t="s">
        <v>11</v>
      </c>
      <c r="D321" s="604" t="str">
        <f t="shared" si="1"/>
        <v>II</v>
      </c>
      <c r="E321" s="605" t="str">
        <f t="shared" si="5"/>
        <v>FA274/II/02</v>
      </c>
      <c r="F321" s="608" t="s">
        <v>631</v>
      </c>
      <c r="G321" s="606">
        <v>45133.0</v>
      </c>
      <c r="H321" s="684">
        <v>379000.0</v>
      </c>
      <c r="I321" s="684"/>
      <c r="J321" s="608"/>
      <c r="K321" s="401" t="s">
        <v>95</v>
      </c>
      <c r="L321" s="401" t="s">
        <v>13</v>
      </c>
      <c r="M321" s="609" t="str">
        <f t="shared" si="3"/>
        <v>02</v>
      </c>
      <c r="N321" s="608" t="s">
        <v>155</v>
      </c>
      <c r="O321" s="608"/>
      <c r="P321" s="608"/>
      <c r="Q321" s="608"/>
      <c r="R321" s="401" t="s">
        <v>52</v>
      </c>
      <c r="S321" s="610"/>
    </row>
    <row r="322" ht="13.5" customHeight="1">
      <c r="A322" s="697">
        <v>321.0</v>
      </c>
      <c r="B322" s="683" t="s">
        <v>645</v>
      </c>
      <c r="C322" s="683" t="s">
        <v>11</v>
      </c>
      <c r="D322" s="604" t="str">
        <f t="shared" si="1"/>
        <v>II</v>
      </c>
      <c r="E322" s="605" t="str">
        <f t="shared" si="5"/>
        <v>FA275/II/02</v>
      </c>
      <c r="F322" s="608" t="s">
        <v>631</v>
      </c>
      <c r="G322" s="606">
        <v>45133.0</v>
      </c>
      <c r="H322" s="684">
        <v>379000.0</v>
      </c>
      <c r="I322" s="684"/>
      <c r="J322" s="608"/>
      <c r="K322" s="401" t="s">
        <v>95</v>
      </c>
      <c r="L322" s="401" t="s">
        <v>13</v>
      </c>
      <c r="M322" s="609" t="str">
        <f t="shared" si="3"/>
        <v>02</v>
      </c>
      <c r="N322" s="608" t="s">
        <v>155</v>
      </c>
      <c r="O322" s="608"/>
      <c r="P322" s="608"/>
      <c r="Q322" s="608"/>
      <c r="R322" s="401" t="s">
        <v>52</v>
      </c>
      <c r="S322" s="610"/>
    </row>
    <row r="323" ht="13.5" customHeight="1">
      <c r="A323" s="602">
        <v>322.0</v>
      </c>
      <c r="B323" s="683" t="s">
        <v>646</v>
      </c>
      <c r="C323" s="683" t="s">
        <v>11</v>
      </c>
      <c r="D323" s="604" t="str">
        <f t="shared" si="1"/>
        <v>II</v>
      </c>
      <c r="E323" s="605" t="str">
        <f t="shared" si="5"/>
        <v>FA276/II/02</v>
      </c>
      <c r="F323" s="608" t="s">
        <v>647</v>
      </c>
      <c r="G323" s="606">
        <v>45134.0</v>
      </c>
      <c r="H323" s="684">
        <v>3200000.0</v>
      </c>
      <c r="I323" s="684"/>
      <c r="J323" s="608"/>
      <c r="K323" s="401" t="s">
        <v>95</v>
      </c>
      <c r="L323" s="401" t="s">
        <v>13</v>
      </c>
      <c r="M323" s="609" t="str">
        <f t="shared" si="3"/>
        <v>02</v>
      </c>
      <c r="N323" s="608" t="s">
        <v>155</v>
      </c>
      <c r="O323" s="608"/>
      <c r="P323" s="608"/>
      <c r="Q323" s="608"/>
      <c r="R323" s="401" t="s">
        <v>52</v>
      </c>
      <c r="S323" s="610"/>
    </row>
    <row r="324" ht="13.5" customHeight="1">
      <c r="A324" s="602">
        <v>323.0</v>
      </c>
      <c r="B324" s="683" t="s">
        <v>648</v>
      </c>
      <c r="C324" s="683" t="s">
        <v>11</v>
      </c>
      <c r="D324" s="604" t="str">
        <f t="shared" si="1"/>
        <v>II</v>
      </c>
      <c r="E324" s="605" t="str">
        <f t="shared" si="5"/>
        <v>FA277/II/02</v>
      </c>
      <c r="F324" s="608" t="s">
        <v>649</v>
      </c>
      <c r="G324" s="606">
        <v>45134.0</v>
      </c>
      <c r="H324" s="684">
        <v>599000.0</v>
      </c>
      <c r="I324" s="684"/>
      <c r="J324" s="608"/>
      <c r="K324" s="401" t="s">
        <v>95</v>
      </c>
      <c r="L324" s="401" t="s">
        <v>13</v>
      </c>
      <c r="M324" s="609" t="str">
        <f t="shared" si="3"/>
        <v>02</v>
      </c>
      <c r="N324" s="608" t="s">
        <v>155</v>
      </c>
      <c r="O324" s="608"/>
      <c r="P324" s="608"/>
      <c r="Q324" s="608"/>
      <c r="R324" s="401" t="s">
        <v>52</v>
      </c>
      <c r="S324" s="610"/>
    </row>
    <row r="325" ht="13.5" customHeight="1">
      <c r="A325" s="602">
        <v>324.0</v>
      </c>
      <c r="B325" s="683" t="s">
        <v>650</v>
      </c>
      <c r="C325" s="683" t="s">
        <v>11</v>
      </c>
      <c r="D325" s="604" t="str">
        <f t="shared" si="1"/>
        <v>II</v>
      </c>
      <c r="E325" s="605" t="str">
        <f t="shared" si="5"/>
        <v>FA278/II/02</v>
      </c>
      <c r="F325" s="608" t="s">
        <v>651</v>
      </c>
      <c r="G325" s="606">
        <v>45134.0</v>
      </c>
      <c r="H325" s="684">
        <v>1799000.0</v>
      </c>
      <c r="I325" s="684"/>
      <c r="J325" s="608"/>
      <c r="K325" s="401" t="s">
        <v>95</v>
      </c>
      <c r="L325" s="401" t="s">
        <v>13</v>
      </c>
      <c r="M325" s="609" t="str">
        <f t="shared" si="3"/>
        <v>02</v>
      </c>
      <c r="N325" s="608" t="s">
        <v>155</v>
      </c>
      <c r="O325" s="608"/>
      <c r="P325" s="608"/>
      <c r="Q325" s="608"/>
      <c r="R325" s="401" t="s">
        <v>52</v>
      </c>
      <c r="S325" s="610"/>
    </row>
    <row r="326" ht="13.5" customHeight="1">
      <c r="A326" s="602">
        <v>325.0</v>
      </c>
      <c r="B326" s="683" t="s">
        <v>652</v>
      </c>
      <c r="C326" s="683" t="s">
        <v>11</v>
      </c>
      <c r="D326" s="604" t="str">
        <f t="shared" si="1"/>
        <v>II</v>
      </c>
      <c r="E326" s="605" t="str">
        <f t="shared" si="5"/>
        <v>FA279/II/02</v>
      </c>
      <c r="F326" s="608" t="s">
        <v>653</v>
      </c>
      <c r="G326" s="606">
        <v>45134.0</v>
      </c>
      <c r="H326" s="684">
        <v>2199000.0</v>
      </c>
      <c r="I326" s="684"/>
      <c r="J326" s="608"/>
      <c r="K326" s="401" t="s">
        <v>95</v>
      </c>
      <c r="L326" s="401" t="s">
        <v>13</v>
      </c>
      <c r="M326" s="609" t="str">
        <f t="shared" si="3"/>
        <v>02</v>
      </c>
      <c r="N326" s="608" t="s">
        <v>155</v>
      </c>
      <c r="O326" s="608"/>
      <c r="P326" s="608"/>
      <c r="Q326" s="608"/>
      <c r="R326" s="401" t="s">
        <v>52</v>
      </c>
      <c r="S326" s="610"/>
    </row>
    <row r="327" ht="13.5" customHeight="1">
      <c r="A327" s="622">
        <v>335.0</v>
      </c>
      <c r="B327" s="681" t="s">
        <v>676</v>
      </c>
      <c r="C327" s="681" t="s">
        <v>16</v>
      </c>
      <c r="D327" s="624" t="str">
        <f t="shared" si="1"/>
        <v>III</v>
      </c>
      <c r="E327" s="625" t="str">
        <f t="shared" si="5"/>
        <v>FA291/III/01</v>
      </c>
      <c r="F327" s="630" t="s">
        <v>677</v>
      </c>
      <c r="G327" s="626">
        <v>45170.0</v>
      </c>
      <c r="H327" s="682">
        <v>5675676.0</v>
      </c>
      <c r="I327" s="682"/>
      <c r="J327" s="628" t="s">
        <v>422</v>
      </c>
      <c r="K327" s="628" t="s">
        <v>47</v>
      </c>
      <c r="L327" s="630" t="s">
        <v>8</v>
      </c>
      <c r="M327" s="629" t="str">
        <f t="shared" si="3"/>
        <v>01</v>
      </c>
      <c r="N327" s="628" t="s">
        <v>121</v>
      </c>
      <c r="O327" s="630"/>
      <c r="P327" s="630"/>
      <c r="Q327" s="630"/>
      <c r="R327" s="628" t="s">
        <v>52</v>
      </c>
      <c r="S327" s="631"/>
    </row>
    <row r="328" ht="13.5" customHeight="1">
      <c r="A328" s="663">
        <v>327.0</v>
      </c>
      <c r="B328" s="685" t="s">
        <v>656</v>
      </c>
      <c r="C328" s="685" t="s">
        <v>24</v>
      </c>
      <c r="D328" s="613" t="str">
        <f t="shared" si="1"/>
        <v>V</v>
      </c>
      <c r="E328" s="614" t="str">
        <f t="shared" si="5"/>
        <v>FA281/V/02</v>
      </c>
      <c r="F328" s="618" t="s">
        <v>657</v>
      </c>
      <c r="G328" s="615">
        <v>45142.0</v>
      </c>
      <c r="H328" s="617">
        <v>4.0E7</v>
      </c>
      <c r="I328" s="617"/>
      <c r="J328" s="619"/>
      <c r="K328" s="619" t="s">
        <v>622</v>
      </c>
      <c r="L328" s="619" t="s">
        <v>13</v>
      </c>
      <c r="M328" s="620" t="str">
        <f t="shared" si="3"/>
        <v>02</v>
      </c>
      <c r="N328" s="618" t="s">
        <v>658</v>
      </c>
      <c r="O328" s="618"/>
      <c r="P328" s="618"/>
      <c r="Q328" s="618"/>
      <c r="R328" s="619" t="s">
        <v>10</v>
      </c>
      <c r="S328" s="621"/>
    </row>
    <row r="329" ht="13.5" customHeight="1">
      <c r="A329" s="602">
        <v>328.0</v>
      </c>
      <c r="B329" s="683" t="s">
        <v>659</v>
      </c>
      <c r="C329" s="683" t="s">
        <v>11</v>
      </c>
      <c r="D329" s="604" t="str">
        <f t="shared" si="1"/>
        <v>II</v>
      </c>
      <c r="E329" s="605" t="str">
        <f t="shared" si="5"/>
        <v>FA282/II/02</v>
      </c>
      <c r="F329" s="608" t="s">
        <v>660</v>
      </c>
      <c r="G329" s="606">
        <v>45148.0</v>
      </c>
      <c r="H329" s="684">
        <v>1.06875E7</v>
      </c>
      <c r="I329" s="684"/>
      <c r="J329" s="401" t="s">
        <v>138</v>
      </c>
      <c r="K329" s="401" t="s">
        <v>95</v>
      </c>
      <c r="L329" s="401" t="s">
        <v>13</v>
      </c>
      <c r="M329" s="609" t="str">
        <f t="shared" si="3"/>
        <v>02</v>
      </c>
      <c r="N329" s="401" t="s">
        <v>661</v>
      </c>
      <c r="O329" s="608"/>
      <c r="P329" s="608"/>
      <c r="Q329" s="608"/>
      <c r="R329" s="401" t="s">
        <v>52</v>
      </c>
      <c r="S329" s="610"/>
    </row>
    <row r="330" ht="13.5" customHeight="1">
      <c r="A330" s="697">
        <v>329.0</v>
      </c>
      <c r="B330" s="683" t="s">
        <v>662</v>
      </c>
      <c r="C330" s="683" t="s">
        <v>6</v>
      </c>
      <c r="D330" s="604" t="str">
        <f t="shared" si="1"/>
        <v>I</v>
      </c>
      <c r="E330" s="605" t="str">
        <f t="shared" si="5"/>
        <v>FA283/I/02</v>
      </c>
      <c r="F330" s="608" t="s">
        <v>663</v>
      </c>
      <c r="G330" s="606">
        <v>45152.0</v>
      </c>
      <c r="H330" s="684">
        <v>950000.0</v>
      </c>
      <c r="I330" s="684"/>
      <c r="J330" s="401" t="s">
        <v>1906</v>
      </c>
      <c r="K330" s="401" t="s">
        <v>95</v>
      </c>
      <c r="L330" s="401" t="s">
        <v>13</v>
      </c>
      <c r="M330" s="609" t="str">
        <f t="shared" si="3"/>
        <v>02</v>
      </c>
      <c r="N330" s="608" t="s">
        <v>344</v>
      </c>
      <c r="O330" s="608"/>
      <c r="P330" s="608"/>
      <c r="Q330" s="608"/>
      <c r="R330" s="401" t="s">
        <v>52</v>
      </c>
      <c r="S330" s="610"/>
    </row>
    <row r="331" ht="13.5" customHeight="1">
      <c r="A331" s="602">
        <v>330.0</v>
      </c>
      <c r="B331" s="683" t="s">
        <v>664</v>
      </c>
      <c r="C331" s="683" t="s">
        <v>24</v>
      </c>
      <c r="D331" s="604" t="str">
        <f t="shared" si="1"/>
        <v>V</v>
      </c>
      <c r="E331" s="605" t="str">
        <f t="shared" si="5"/>
        <v>FA284/V/02</v>
      </c>
      <c r="F331" s="608" t="s">
        <v>665</v>
      </c>
      <c r="G331" s="606">
        <v>45159.0</v>
      </c>
      <c r="H331" s="684">
        <v>1.1483E7</v>
      </c>
      <c r="I331" s="684"/>
      <c r="J331" s="401"/>
      <c r="K331" s="401" t="s">
        <v>622</v>
      </c>
      <c r="L331" s="401" t="s">
        <v>13</v>
      </c>
      <c r="M331" s="609" t="str">
        <f t="shared" si="3"/>
        <v>02</v>
      </c>
      <c r="N331" s="608" t="s">
        <v>666</v>
      </c>
      <c r="O331" s="608"/>
      <c r="P331" s="608"/>
      <c r="Q331" s="608"/>
      <c r="R331" s="401" t="s">
        <v>52</v>
      </c>
      <c r="S331" s="610"/>
    </row>
    <row r="332" ht="13.5" customHeight="1">
      <c r="A332" s="602">
        <v>331.0</v>
      </c>
      <c r="B332" s="683" t="s">
        <v>667</v>
      </c>
      <c r="C332" s="683" t="s">
        <v>24</v>
      </c>
      <c r="D332" s="604" t="str">
        <f t="shared" si="1"/>
        <v>V</v>
      </c>
      <c r="E332" s="605" t="str">
        <f t="shared" si="5"/>
        <v>FA285/V/02</v>
      </c>
      <c r="F332" s="608" t="s">
        <v>668</v>
      </c>
      <c r="G332" s="606">
        <v>45159.0</v>
      </c>
      <c r="H332" s="684">
        <v>1.2883E7</v>
      </c>
      <c r="I332" s="684"/>
      <c r="J332" s="401"/>
      <c r="K332" s="401" t="s">
        <v>622</v>
      </c>
      <c r="L332" s="401" t="s">
        <v>13</v>
      </c>
      <c r="M332" s="609" t="str">
        <f t="shared" si="3"/>
        <v>02</v>
      </c>
      <c r="N332" s="608"/>
      <c r="O332" s="608"/>
      <c r="P332" s="608"/>
      <c r="Q332" s="608"/>
      <c r="R332" s="401" t="s">
        <v>52</v>
      </c>
      <c r="S332" s="610"/>
    </row>
    <row r="333" ht="13.5" customHeight="1">
      <c r="A333" s="663">
        <v>332.0</v>
      </c>
      <c r="B333" s="685" t="s">
        <v>669</v>
      </c>
      <c r="C333" s="685" t="s">
        <v>24</v>
      </c>
      <c r="D333" s="613" t="str">
        <f t="shared" si="1"/>
        <v>V</v>
      </c>
      <c r="E333" s="614" t="str">
        <f t="shared" si="5"/>
        <v>FA286/V/02</v>
      </c>
      <c r="F333" s="618" t="s">
        <v>670</v>
      </c>
      <c r="G333" s="615">
        <v>45159.0</v>
      </c>
      <c r="H333" s="617">
        <v>1607700.0</v>
      </c>
      <c r="I333" s="617"/>
      <c r="J333" s="619" t="s">
        <v>1934</v>
      </c>
      <c r="K333" s="619" t="s">
        <v>622</v>
      </c>
      <c r="L333" s="619" t="s">
        <v>13</v>
      </c>
      <c r="M333" s="620" t="str">
        <f t="shared" si="3"/>
        <v>02</v>
      </c>
      <c r="N333" s="618" t="s">
        <v>485</v>
      </c>
      <c r="O333" s="618"/>
      <c r="P333" s="618"/>
      <c r="Q333" s="618"/>
      <c r="R333" s="619" t="s">
        <v>10</v>
      </c>
      <c r="S333" s="621"/>
    </row>
    <row r="334" ht="13.5" customHeight="1">
      <c r="A334" s="602">
        <v>333.0</v>
      </c>
      <c r="B334" s="683" t="s">
        <v>671</v>
      </c>
      <c r="C334" s="683" t="s">
        <v>24</v>
      </c>
      <c r="D334" s="604" t="str">
        <f t="shared" si="1"/>
        <v>V</v>
      </c>
      <c r="E334" s="605" t="str">
        <f t="shared" si="5"/>
        <v>FA287/V/02</v>
      </c>
      <c r="F334" s="608" t="s">
        <v>672</v>
      </c>
      <c r="G334" s="615">
        <v>45161.0</v>
      </c>
      <c r="H334" s="684">
        <v>2820000.0</v>
      </c>
      <c r="I334" s="684"/>
      <c r="J334" s="401"/>
      <c r="K334" s="401" t="s">
        <v>622</v>
      </c>
      <c r="L334" s="401" t="s">
        <v>13</v>
      </c>
      <c r="M334" s="609" t="str">
        <f t="shared" si="3"/>
        <v>02</v>
      </c>
      <c r="N334" s="608" t="s">
        <v>673</v>
      </c>
      <c r="O334" s="608"/>
      <c r="P334" s="608"/>
      <c r="Q334" s="608"/>
      <c r="R334" s="401" t="s">
        <v>52</v>
      </c>
      <c r="S334" s="610"/>
    </row>
    <row r="335" ht="13.5" customHeight="1">
      <c r="A335" s="663">
        <v>334.0</v>
      </c>
      <c r="B335" s="685" t="s">
        <v>674</v>
      </c>
      <c r="C335" s="685" t="s">
        <v>24</v>
      </c>
      <c r="D335" s="613" t="str">
        <f t="shared" si="1"/>
        <v>V</v>
      </c>
      <c r="E335" s="614" t="str">
        <f t="shared" si="5"/>
        <v>FA288/V/02</v>
      </c>
      <c r="F335" s="618" t="s">
        <v>675</v>
      </c>
      <c r="G335" s="615">
        <v>45161.0</v>
      </c>
      <c r="H335" s="617">
        <v>1856000.0</v>
      </c>
      <c r="I335" s="617"/>
      <c r="J335" s="618"/>
      <c r="K335" s="619" t="s">
        <v>622</v>
      </c>
      <c r="L335" s="619" t="s">
        <v>13</v>
      </c>
      <c r="M335" s="620" t="str">
        <f t="shared" si="3"/>
        <v>02</v>
      </c>
      <c r="N335" s="619" t="s">
        <v>377</v>
      </c>
      <c r="O335" s="618"/>
      <c r="P335" s="618"/>
      <c r="Q335" s="618"/>
      <c r="R335" s="619" t="s">
        <v>10</v>
      </c>
      <c r="S335" s="621"/>
    </row>
    <row r="336" ht="13.5" customHeight="1">
      <c r="A336" s="622">
        <v>340.0</v>
      </c>
      <c r="B336" s="681" t="s">
        <v>685</v>
      </c>
      <c r="C336" s="681" t="s">
        <v>16</v>
      </c>
      <c r="D336" s="624" t="str">
        <f t="shared" si="1"/>
        <v>III</v>
      </c>
      <c r="E336" s="625" t="str">
        <f t="shared" si="5"/>
        <v>FA296/III/01</v>
      </c>
      <c r="F336" s="630" t="s">
        <v>686</v>
      </c>
      <c r="G336" s="626">
        <v>45213.0</v>
      </c>
      <c r="H336" s="682">
        <v>1.0495496E7</v>
      </c>
      <c r="I336" s="682"/>
      <c r="J336" s="630" t="s">
        <v>264</v>
      </c>
      <c r="K336" s="630" t="s">
        <v>158</v>
      </c>
      <c r="L336" s="630" t="s">
        <v>8</v>
      </c>
      <c r="M336" s="629" t="str">
        <f t="shared" si="3"/>
        <v>01</v>
      </c>
      <c r="N336" s="630" t="s">
        <v>71</v>
      </c>
      <c r="O336" s="630"/>
      <c r="P336" s="630"/>
      <c r="Q336" s="630"/>
      <c r="R336" s="628" t="s">
        <v>52</v>
      </c>
      <c r="S336" s="631"/>
    </row>
    <row r="337" ht="13.5" customHeight="1">
      <c r="A337" s="602">
        <v>336.0</v>
      </c>
      <c r="B337" s="683" t="s">
        <v>678</v>
      </c>
      <c r="C337" s="683" t="s">
        <v>11</v>
      </c>
      <c r="D337" s="604" t="str">
        <f t="shared" si="1"/>
        <v>II</v>
      </c>
      <c r="E337" s="605" t="str">
        <f t="shared" si="5"/>
        <v>FA292/II/02</v>
      </c>
      <c r="F337" s="608" t="s">
        <v>679</v>
      </c>
      <c r="G337" s="606">
        <v>45175.0</v>
      </c>
      <c r="H337" s="684">
        <v>1275000.0</v>
      </c>
      <c r="I337" s="684"/>
      <c r="J337" s="401" t="s">
        <v>138</v>
      </c>
      <c r="K337" s="608" t="s">
        <v>95</v>
      </c>
      <c r="L337" s="401" t="s">
        <v>13</v>
      </c>
      <c r="M337" s="609" t="str">
        <f t="shared" si="3"/>
        <v>02</v>
      </c>
      <c r="N337" s="608"/>
      <c r="O337" s="608"/>
      <c r="P337" s="608"/>
      <c r="Q337" s="608"/>
      <c r="R337" s="401" t="s">
        <v>52</v>
      </c>
      <c r="S337" s="610"/>
    </row>
    <row r="338" ht="13.5" customHeight="1">
      <c r="A338" s="697">
        <v>337.0</v>
      </c>
      <c r="B338" s="683" t="s">
        <v>680</v>
      </c>
      <c r="C338" s="683" t="s">
        <v>11</v>
      </c>
      <c r="D338" s="604" t="str">
        <f t="shared" si="1"/>
        <v>II</v>
      </c>
      <c r="E338" s="605" t="str">
        <f t="shared" si="5"/>
        <v>FA293/II/02</v>
      </c>
      <c r="F338" s="608" t="s">
        <v>679</v>
      </c>
      <c r="G338" s="606">
        <v>45175.0</v>
      </c>
      <c r="H338" s="684">
        <v>1275000.0</v>
      </c>
      <c r="I338" s="684"/>
      <c r="J338" s="401" t="s">
        <v>138</v>
      </c>
      <c r="K338" s="608" t="s">
        <v>95</v>
      </c>
      <c r="L338" s="401" t="s">
        <v>13</v>
      </c>
      <c r="M338" s="609" t="str">
        <f t="shared" si="3"/>
        <v>02</v>
      </c>
      <c r="N338" s="608"/>
      <c r="O338" s="608"/>
      <c r="P338" s="608"/>
      <c r="Q338" s="608"/>
      <c r="R338" s="401" t="s">
        <v>52</v>
      </c>
      <c r="S338" s="610"/>
    </row>
    <row r="339" ht="13.5" customHeight="1">
      <c r="A339" s="602">
        <v>338.0</v>
      </c>
      <c r="B339" s="683" t="s">
        <v>681</v>
      </c>
      <c r="C339" s="683" t="s">
        <v>6</v>
      </c>
      <c r="D339" s="604" t="str">
        <f t="shared" si="1"/>
        <v>I</v>
      </c>
      <c r="E339" s="605" t="str">
        <f t="shared" si="5"/>
        <v>FA294/I/02</v>
      </c>
      <c r="F339" s="608" t="s">
        <v>682</v>
      </c>
      <c r="G339" s="606">
        <v>45176.0</v>
      </c>
      <c r="H339" s="684">
        <v>5115400.0</v>
      </c>
      <c r="I339" s="684"/>
      <c r="J339" s="401" t="s">
        <v>336</v>
      </c>
      <c r="K339" s="608" t="s">
        <v>95</v>
      </c>
      <c r="L339" s="401" t="s">
        <v>13</v>
      </c>
      <c r="M339" s="609" t="str">
        <f t="shared" si="3"/>
        <v>02</v>
      </c>
      <c r="N339" s="608"/>
      <c r="O339" s="608"/>
      <c r="P339" s="608"/>
      <c r="Q339" s="608"/>
      <c r="R339" s="401" t="s">
        <v>52</v>
      </c>
      <c r="S339" s="610"/>
    </row>
    <row r="340" ht="13.5" customHeight="1">
      <c r="A340" s="602">
        <v>339.0</v>
      </c>
      <c r="B340" s="683" t="s">
        <v>683</v>
      </c>
      <c r="C340" s="683" t="s">
        <v>6</v>
      </c>
      <c r="D340" s="604" t="str">
        <f t="shared" si="1"/>
        <v>I</v>
      </c>
      <c r="E340" s="605" t="str">
        <f t="shared" si="5"/>
        <v>FA295/I/02</v>
      </c>
      <c r="F340" s="608" t="s">
        <v>684</v>
      </c>
      <c r="G340" s="606">
        <v>45183.0</v>
      </c>
      <c r="H340" s="684">
        <v>1390000.0</v>
      </c>
      <c r="I340" s="684"/>
      <c r="J340" s="401" t="s">
        <v>336</v>
      </c>
      <c r="K340" s="401" t="s">
        <v>95</v>
      </c>
      <c r="L340" s="401" t="s">
        <v>13</v>
      </c>
      <c r="M340" s="609" t="str">
        <f t="shared" si="3"/>
        <v>02</v>
      </c>
      <c r="N340" s="608" t="s">
        <v>127</v>
      </c>
      <c r="O340" s="608"/>
      <c r="P340" s="608"/>
      <c r="Q340" s="608"/>
      <c r="R340" s="401" t="s">
        <v>52</v>
      </c>
      <c r="S340" s="610"/>
    </row>
    <row r="341" ht="13.5" customHeight="1">
      <c r="A341" s="632">
        <v>341.0</v>
      </c>
      <c r="B341" s="686" t="s">
        <v>687</v>
      </c>
      <c r="C341" s="686" t="s">
        <v>16</v>
      </c>
      <c r="D341" s="634" t="str">
        <f t="shared" si="1"/>
        <v>III</v>
      </c>
      <c r="E341" s="635" t="str">
        <f t="shared" si="5"/>
        <v>FA297/III/01</v>
      </c>
      <c r="F341" s="638" t="s">
        <v>688</v>
      </c>
      <c r="G341" s="636">
        <v>45213.0</v>
      </c>
      <c r="H341" s="687">
        <v>1.1351351E7</v>
      </c>
      <c r="I341" s="687"/>
      <c r="J341" s="638" t="s">
        <v>107</v>
      </c>
      <c r="K341" s="638" t="s">
        <v>108</v>
      </c>
      <c r="L341" s="638" t="s">
        <v>8</v>
      </c>
      <c r="M341" s="640" t="str">
        <f t="shared" si="3"/>
        <v>01</v>
      </c>
      <c r="N341" s="638" t="s">
        <v>71</v>
      </c>
      <c r="O341" s="638"/>
      <c r="P341" s="638"/>
      <c r="Q341" s="638"/>
      <c r="R341" s="639" t="s">
        <v>52</v>
      </c>
      <c r="S341" s="641"/>
    </row>
    <row r="342" ht="13.5" customHeight="1">
      <c r="A342" s="632">
        <v>342.0</v>
      </c>
      <c r="B342" s="686" t="s">
        <v>689</v>
      </c>
      <c r="C342" s="686" t="s">
        <v>16</v>
      </c>
      <c r="D342" s="634" t="str">
        <f t="shared" si="1"/>
        <v>III</v>
      </c>
      <c r="E342" s="635" t="str">
        <f t="shared" si="5"/>
        <v>FA298/III/01</v>
      </c>
      <c r="F342" s="638" t="s">
        <v>690</v>
      </c>
      <c r="G342" s="636">
        <v>45213.0</v>
      </c>
      <c r="H342" s="687">
        <v>1.1351351E7</v>
      </c>
      <c r="I342" s="687"/>
      <c r="J342" s="638" t="s">
        <v>1935</v>
      </c>
      <c r="K342" s="638" t="s">
        <v>108</v>
      </c>
      <c r="L342" s="638" t="s">
        <v>8</v>
      </c>
      <c r="M342" s="640" t="str">
        <f t="shared" si="3"/>
        <v>01</v>
      </c>
      <c r="N342" s="638" t="s">
        <v>71</v>
      </c>
      <c r="O342" s="638"/>
      <c r="P342" s="638"/>
      <c r="Q342" s="638"/>
      <c r="R342" s="639" t="s">
        <v>52</v>
      </c>
      <c r="S342" s="641"/>
    </row>
    <row r="343" ht="13.5" customHeight="1">
      <c r="A343" s="622">
        <v>343.0</v>
      </c>
      <c r="B343" s="681" t="s">
        <v>691</v>
      </c>
      <c r="C343" s="681" t="s">
        <v>6</v>
      </c>
      <c r="D343" s="624" t="str">
        <f t="shared" si="1"/>
        <v>I</v>
      </c>
      <c r="E343" s="625" t="str">
        <f t="shared" si="5"/>
        <v>FA299/I/01</v>
      </c>
      <c r="F343" s="630" t="s">
        <v>692</v>
      </c>
      <c r="G343" s="626">
        <v>45223.0</v>
      </c>
      <c r="H343" s="682">
        <v>1749000.0</v>
      </c>
      <c r="I343" s="682"/>
      <c r="J343" s="630" t="s">
        <v>198</v>
      </c>
      <c r="K343" s="630" t="s">
        <v>158</v>
      </c>
      <c r="L343" s="630" t="s">
        <v>8</v>
      </c>
      <c r="M343" s="629" t="str">
        <f t="shared" si="3"/>
        <v>01</v>
      </c>
      <c r="N343" s="630" t="s">
        <v>127</v>
      </c>
      <c r="O343" s="630"/>
      <c r="P343" s="630"/>
      <c r="Q343" s="630"/>
      <c r="R343" s="628" t="s">
        <v>52</v>
      </c>
      <c r="S343" s="631"/>
    </row>
    <row r="344" ht="13.5" customHeight="1">
      <c r="A344" s="622">
        <v>344.0</v>
      </c>
      <c r="B344" s="681" t="s">
        <v>693</v>
      </c>
      <c r="C344" s="681" t="s">
        <v>11</v>
      </c>
      <c r="D344" s="624" t="str">
        <f t="shared" si="1"/>
        <v>II</v>
      </c>
      <c r="E344" s="625" t="str">
        <f t="shared" si="5"/>
        <v>FA300/II/01</v>
      </c>
      <c r="F344" s="630" t="s">
        <v>1936</v>
      </c>
      <c r="G344" s="626">
        <v>45212.0</v>
      </c>
      <c r="H344" s="682">
        <v>1099000.0</v>
      </c>
      <c r="I344" s="682"/>
      <c r="J344" s="628" t="s">
        <v>1937</v>
      </c>
      <c r="K344" s="628" t="s">
        <v>108</v>
      </c>
      <c r="L344" s="628" t="s">
        <v>8</v>
      </c>
      <c r="M344" s="629" t="str">
        <f t="shared" si="3"/>
        <v>01</v>
      </c>
      <c r="N344" s="630" t="s">
        <v>155</v>
      </c>
      <c r="O344" s="630"/>
      <c r="P344" s="630"/>
      <c r="Q344" s="630"/>
      <c r="R344" s="630"/>
      <c r="S344" s="631"/>
    </row>
    <row r="345" ht="13.5" customHeight="1">
      <c r="A345" s="622">
        <v>345.0</v>
      </c>
      <c r="B345" s="681" t="s">
        <v>694</v>
      </c>
      <c r="C345" s="681" t="s">
        <v>11</v>
      </c>
      <c r="D345" s="624" t="str">
        <f t="shared" si="1"/>
        <v>II</v>
      </c>
      <c r="E345" s="625" t="str">
        <f t="shared" si="5"/>
        <v>FA301/II/01</v>
      </c>
      <c r="F345" s="630" t="s">
        <v>1936</v>
      </c>
      <c r="G345" s="626">
        <v>45212.0</v>
      </c>
      <c r="H345" s="682">
        <v>1099000.0</v>
      </c>
      <c r="I345" s="682"/>
      <c r="J345" s="628" t="s">
        <v>1938</v>
      </c>
      <c r="K345" s="628" t="s">
        <v>81</v>
      </c>
      <c r="L345" s="628" t="s">
        <v>8</v>
      </c>
      <c r="M345" s="629" t="str">
        <f t="shared" si="3"/>
        <v>01</v>
      </c>
      <c r="N345" s="630" t="s">
        <v>155</v>
      </c>
      <c r="O345" s="630"/>
      <c r="P345" s="630"/>
      <c r="Q345" s="630"/>
      <c r="R345" s="630"/>
      <c r="S345" s="631"/>
    </row>
    <row r="346" ht="13.5" customHeight="1">
      <c r="A346" s="678">
        <v>346.0</v>
      </c>
      <c r="B346" s="681" t="s">
        <v>695</v>
      </c>
      <c r="C346" s="681" t="s">
        <v>11</v>
      </c>
      <c r="D346" s="624" t="str">
        <f t="shared" si="1"/>
        <v>II</v>
      </c>
      <c r="E346" s="625" t="str">
        <f t="shared" si="5"/>
        <v>FA302/II/01</v>
      </c>
      <c r="F346" s="630" t="s">
        <v>1936</v>
      </c>
      <c r="G346" s="626">
        <v>45212.0</v>
      </c>
      <c r="H346" s="682">
        <v>1099000.0</v>
      </c>
      <c r="I346" s="682"/>
      <c r="J346" s="630"/>
      <c r="K346" s="628" t="s">
        <v>1890</v>
      </c>
      <c r="L346" s="628" t="s">
        <v>8</v>
      </c>
      <c r="M346" s="629" t="str">
        <f t="shared" si="3"/>
        <v>01</v>
      </c>
      <c r="N346" s="630" t="s">
        <v>155</v>
      </c>
      <c r="O346" s="630"/>
      <c r="P346" s="630"/>
      <c r="Q346" s="630"/>
      <c r="R346" s="630"/>
      <c r="S346" s="631"/>
    </row>
    <row r="347" ht="13.5" customHeight="1">
      <c r="A347" s="622">
        <v>347.0</v>
      </c>
      <c r="B347" s="681" t="s">
        <v>696</v>
      </c>
      <c r="C347" s="681" t="s">
        <v>11</v>
      </c>
      <c r="D347" s="624" t="str">
        <f t="shared" si="1"/>
        <v>II</v>
      </c>
      <c r="E347" s="625" t="str">
        <f t="shared" si="5"/>
        <v>FA303/II/01</v>
      </c>
      <c r="F347" s="630" t="s">
        <v>1939</v>
      </c>
      <c r="G347" s="626">
        <v>45212.0</v>
      </c>
      <c r="H347" s="682">
        <v>1599000.0</v>
      </c>
      <c r="I347" s="696"/>
      <c r="J347" s="628" t="s">
        <v>1660</v>
      </c>
      <c r="K347" s="630" t="s">
        <v>95</v>
      </c>
      <c r="L347" s="628" t="s">
        <v>8</v>
      </c>
      <c r="M347" s="629" t="str">
        <f t="shared" si="3"/>
        <v>01</v>
      </c>
      <c r="N347" s="630" t="s">
        <v>155</v>
      </c>
      <c r="O347" s="630"/>
      <c r="P347" s="630"/>
      <c r="Q347" s="630"/>
      <c r="R347" s="630"/>
      <c r="S347" s="631"/>
    </row>
    <row r="348" ht="13.5" customHeight="1">
      <c r="A348" s="622">
        <v>348.0</v>
      </c>
      <c r="B348" s="681" t="s">
        <v>697</v>
      </c>
      <c r="C348" s="681" t="s">
        <v>11</v>
      </c>
      <c r="D348" s="624" t="str">
        <f t="shared" si="1"/>
        <v>II</v>
      </c>
      <c r="E348" s="625" t="str">
        <f t="shared" si="5"/>
        <v>FA304/II/01</v>
      </c>
      <c r="F348" s="630" t="s">
        <v>1940</v>
      </c>
      <c r="G348" s="626">
        <v>45212.0</v>
      </c>
      <c r="H348" s="682">
        <v>1599000.0</v>
      </c>
      <c r="I348" s="682"/>
      <c r="J348" s="628" t="s">
        <v>1889</v>
      </c>
      <c r="K348" s="628" t="s">
        <v>1890</v>
      </c>
      <c r="L348" s="628" t="s">
        <v>8</v>
      </c>
      <c r="M348" s="629" t="str">
        <f t="shared" si="3"/>
        <v>01</v>
      </c>
      <c r="N348" s="630" t="s">
        <v>155</v>
      </c>
      <c r="O348" s="630"/>
      <c r="P348" s="630"/>
      <c r="Q348" s="630"/>
      <c r="R348" s="630"/>
      <c r="S348" s="631"/>
    </row>
    <row r="349" ht="13.5" customHeight="1">
      <c r="A349" s="622">
        <v>349.0</v>
      </c>
      <c r="B349" s="681" t="s">
        <v>698</v>
      </c>
      <c r="C349" s="681" t="s">
        <v>11</v>
      </c>
      <c r="D349" s="624" t="str">
        <f t="shared" si="1"/>
        <v>II</v>
      </c>
      <c r="E349" s="625" t="str">
        <f t="shared" si="5"/>
        <v>FA305/II/01</v>
      </c>
      <c r="F349" s="630" t="s">
        <v>1940</v>
      </c>
      <c r="G349" s="626">
        <v>45212.0</v>
      </c>
      <c r="H349" s="682">
        <v>1599000.0</v>
      </c>
      <c r="I349" s="682"/>
      <c r="J349" s="630"/>
      <c r="K349" s="630" t="s">
        <v>95</v>
      </c>
      <c r="L349" s="628" t="s">
        <v>8</v>
      </c>
      <c r="M349" s="629" t="str">
        <f t="shared" si="3"/>
        <v>01</v>
      </c>
      <c r="N349" s="630" t="s">
        <v>155</v>
      </c>
      <c r="O349" s="630"/>
      <c r="P349" s="630"/>
      <c r="Q349" s="630"/>
      <c r="R349" s="630"/>
      <c r="S349" s="631"/>
    </row>
    <row r="350" ht="13.5" customHeight="1">
      <c r="A350" s="622">
        <v>350.0</v>
      </c>
      <c r="B350" s="681" t="s">
        <v>699</v>
      </c>
      <c r="C350" s="681" t="s">
        <v>24</v>
      </c>
      <c r="D350" s="624" t="str">
        <f t="shared" si="1"/>
        <v>V</v>
      </c>
      <c r="E350" s="625" t="str">
        <f t="shared" si="5"/>
        <v>FA306/V/01</v>
      </c>
      <c r="F350" s="630" t="s">
        <v>700</v>
      </c>
      <c r="G350" s="626">
        <v>45229.0</v>
      </c>
      <c r="H350" s="682">
        <v>2.5E8</v>
      </c>
      <c r="I350" s="682"/>
      <c r="J350" s="628" t="s">
        <v>50</v>
      </c>
      <c r="K350" s="628" t="s">
        <v>51</v>
      </c>
      <c r="L350" s="628" t="s">
        <v>8</v>
      </c>
      <c r="M350" s="629" t="str">
        <f t="shared" si="3"/>
        <v>01</v>
      </c>
      <c r="N350" s="630" t="s">
        <v>701</v>
      </c>
      <c r="O350" s="630"/>
      <c r="P350" s="630"/>
      <c r="Q350" s="630"/>
      <c r="R350" s="630"/>
      <c r="S350" s="631"/>
    </row>
    <row r="351" ht="22.5" customHeight="1">
      <c r="A351" s="622">
        <v>357.0</v>
      </c>
      <c r="B351" s="681" t="s">
        <v>712</v>
      </c>
      <c r="C351" s="681" t="s">
        <v>6</v>
      </c>
      <c r="D351" s="624" t="str">
        <f t="shared" si="1"/>
        <v>I</v>
      </c>
      <c r="E351" s="625" t="str">
        <f t="shared" si="5"/>
        <v>FA313/I/01</v>
      </c>
      <c r="F351" s="630" t="s">
        <v>713</v>
      </c>
      <c r="G351" s="626">
        <v>45257.0</v>
      </c>
      <c r="H351" s="682">
        <v>2034200.0</v>
      </c>
      <c r="I351" s="682"/>
      <c r="J351" s="628" t="s">
        <v>162</v>
      </c>
      <c r="K351" s="628" t="s">
        <v>95</v>
      </c>
      <c r="L351" s="628" t="s">
        <v>8</v>
      </c>
      <c r="M351" s="629" t="str">
        <f t="shared" si="3"/>
        <v>01</v>
      </c>
      <c r="N351" s="630" t="s">
        <v>127</v>
      </c>
      <c r="O351" s="630"/>
      <c r="P351" s="630"/>
      <c r="Q351" s="630"/>
      <c r="R351" s="630"/>
      <c r="S351" s="631"/>
    </row>
    <row r="352" ht="13.5" customHeight="1">
      <c r="A352" s="602">
        <v>351.0</v>
      </c>
      <c r="B352" s="683" t="s">
        <v>702</v>
      </c>
      <c r="C352" s="683" t="s">
        <v>11</v>
      </c>
      <c r="D352" s="604" t="str">
        <f t="shared" si="1"/>
        <v>II</v>
      </c>
      <c r="E352" s="605" t="str">
        <f t="shared" si="5"/>
        <v>FA307/II/02</v>
      </c>
      <c r="F352" s="608" t="s">
        <v>703</v>
      </c>
      <c r="G352" s="606">
        <v>45232.0</v>
      </c>
      <c r="H352" s="684">
        <v>1526000.0</v>
      </c>
      <c r="I352" s="684"/>
      <c r="J352" s="608"/>
      <c r="K352" s="608" t="s">
        <v>95</v>
      </c>
      <c r="L352" s="401" t="s">
        <v>13</v>
      </c>
      <c r="M352" s="609" t="str">
        <f t="shared" si="3"/>
        <v>02</v>
      </c>
      <c r="N352" s="608"/>
      <c r="O352" s="608"/>
      <c r="P352" s="608"/>
      <c r="Q352" s="608"/>
      <c r="R352" s="401" t="s">
        <v>52</v>
      </c>
      <c r="S352" s="610"/>
    </row>
    <row r="353" ht="13.5" customHeight="1">
      <c r="A353" s="602">
        <v>352.0</v>
      </c>
      <c r="B353" s="683" t="s">
        <v>704</v>
      </c>
      <c r="C353" s="683" t="s">
        <v>11</v>
      </c>
      <c r="D353" s="604" t="str">
        <f t="shared" si="1"/>
        <v>II</v>
      </c>
      <c r="E353" s="605" t="str">
        <f t="shared" si="5"/>
        <v>FA308/II/02</v>
      </c>
      <c r="F353" s="608" t="s">
        <v>705</v>
      </c>
      <c r="G353" s="606">
        <v>45233.0</v>
      </c>
      <c r="H353" s="684">
        <v>907350.0</v>
      </c>
      <c r="I353" s="684"/>
      <c r="J353" s="608"/>
      <c r="K353" s="608" t="s">
        <v>95</v>
      </c>
      <c r="L353" s="401" t="s">
        <v>13</v>
      </c>
      <c r="M353" s="609" t="str">
        <f t="shared" si="3"/>
        <v>02</v>
      </c>
      <c r="N353" s="608"/>
      <c r="O353" s="608"/>
      <c r="P353" s="608"/>
      <c r="Q353" s="608"/>
      <c r="R353" s="401" t="s">
        <v>52</v>
      </c>
      <c r="S353" s="610"/>
    </row>
    <row r="354" ht="13.5" customHeight="1">
      <c r="A354" s="697">
        <v>353.0</v>
      </c>
      <c r="B354" s="683" t="s">
        <v>706</v>
      </c>
      <c r="C354" s="683" t="s">
        <v>11</v>
      </c>
      <c r="D354" s="604" t="str">
        <f t="shared" si="1"/>
        <v>II</v>
      </c>
      <c r="E354" s="605" t="str">
        <f t="shared" si="5"/>
        <v>FA309/II/03</v>
      </c>
      <c r="F354" s="608" t="s">
        <v>705</v>
      </c>
      <c r="G354" s="606">
        <v>45233.0</v>
      </c>
      <c r="H354" s="684">
        <v>907350.0</v>
      </c>
      <c r="I354" s="684"/>
      <c r="J354" s="608"/>
      <c r="K354" s="608" t="s">
        <v>95</v>
      </c>
      <c r="L354" s="401" t="s">
        <v>18</v>
      </c>
      <c r="M354" s="609" t="str">
        <f t="shared" si="3"/>
        <v>03</v>
      </c>
      <c r="N354" s="608"/>
      <c r="O354" s="608"/>
      <c r="P354" s="608"/>
      <c r="Q354" s="608"/>
      <c r="R354" s="401" t="s">
        <v>52</v>
      </c>
      <c r="S354" s="610"/>
    </row>
    <row r="355" ht="13.5" customHeight="1">
      <c r="A355" s="663">
        <v>354.0</v>
      </c>
      <c r="B355" s="685" t="s">
        <v>707</v>
      </c>
      <c r="C355" s="685" t="s">
        <v>6</v>
      </c>
      <c r="D355" s="613" t="str">
        <f t="shared" si="1"/>
        <v>I</v>
      </c>
      <c r="E355" s="614" t="str">
        <f t="shared" si="5"/>
        <v>FA310/I/02</v>
      </c>
      <c r="F355" s="618" t="s">
        <v>708</v>
      </c>
      <c r="G355" s="615">
        <v>45233.0</v>
      </c>
      <c r="H355" s="617">
        <v>242467.0</v>
      </c>
      <c r="I355" s="617"/>
      <c r="J355" s="618"/>
      <c r="K355" s="619" t="s">
        <v>622</v>
      </c>
      <c r="L355" s="619" t="s">
        <v>13</v>
      </c>
      <c r="M355" s="620" t="str">
        <f t="shared" si="3"/>
        <v>02</v>
      </c>
      <c r="N355" s="618" t="s">
        <v>709</v>
      </c>
      <c r="O355" s="618"/>
      <c r="P355" s="618"/>
      <c r="Q355" s="618"/>
      <c r="R355" s="619" t="s">
        <v>10</v>
      </c>
      <c r="S355" s="621"/>
    </row>
    <row r="356" ht="13.5" customHeight="1">
      <c r="A356" s="663">
        <v>355.0</v>
      </c>
      <c r="B356" s="685" t="s">
        <v>710</v>
      </c>
      <c r="C356" s="685" t="s">
        <v>6</v>
      </c>
      <c r="D356" s="613" t="str">
        <f t="shared" si="1"/>
        <v>I</v>
      </c>
      <c r="E356" s="614" t="str">
        <f t="shared" si="5"/>
        <v>FA311/I/02</v>
      </c>
      <c r="F356" s="618" t="s">
        <v>708</v>
      </c>
      <c r="G356" s="615">
        <v>45233.0</v>
      </c>
      <c r="H356" s="617">
        <v>242467.0</v>
      </c>
      <c r="I356" s="617"/>
      <c r="J356" s="618"/>
      <c r="K356" s="619" t="s">
        <v>622</v>
      </c>
      <c r="L356" s="619" t="s">
        <v>13</v>
      </c>
      <c r="M356" s="620" t="str">
        <f t="shared" si="3"/>
        <v>02</v>
      </c>
      <c r="N356" s="618" t="s">
        <v>709</v>
      </c>
      <c r="O356" s="618"/>
      <c r="P356" s="618"/>
      <c r="Q356" s="618"/>
      <c r="R356" s="619" t="s">
        <v>10</v>
      </c>
      <c r="S356" s="621"/>
    </row>
    <row r="357" ht="13.5" customHeight="1">
      <c r="A357" s="602">
        <v>356.0</v>
      </c>
      <c r="B357" s="683" t="s">
        <v>711</v>
      </c>
      <c r="C357" s="683" t="s">
        <v>6</v>
      </c>
      <c r="D357" s="604" t="str">
        <f t="shared" si="1"/>
        <v>I</v>
      </c>
      <c r="E357" s="605" t="str">
        <f t="shared" si="5"/>
        <v>FA312/I/02</v>
      </c>
      <c r="F357" s="608" t="s">
        <v>708</v>
      </c>
      <c r="G357" s="606">
        <v>45233.0</v>
      </c>
      <c r="H357" s="684">
        <v>242467.0</v>
      </c>
      <c r="I357" s="684"/>
      <c r="J357" s="608"/>
      <c r="K357" s="401" t="s">
        <v>622</v>
      </c>
      <c r="L357" s="401" t="s">
        <v>13</v>
      </c>
      <c r="M357" s="609" t="str">
        <f t="shared" si="3"/>
        <v>02</v>
      </c>
      <c r="N357" s="608" t="s">
        <v>709</v>
      </c>
      <c r="O357" s="608"/>
      <c r="P357" s="608"/>
      <c r="Q357" s="608"/>
      <c r="R357" s="401" t="s">
        <v>52</v>
      </c>
      <c r="S357" s="610"/>
    </row>
    <row r="358" ht="13.5" customHeight="1">
      <c r="A358" s="622">
        <v>358.0</v>
      </c>
      <c r="B358" s="681" t="s">
        <v>714</v>
      </c>
      <c r="C358" s="681" t="s">
        <v>6</v>
      </c>
      <c r="D358" s="624" t="str">
        <f t="shared" si="1"/>
        <v>I</v>
      </c>
      <c r="E358" s="625" t="str">
        <f t="shared" si="5"/>
        <v>FA314/I/01</v>
      </c>
      <c r="F358" s="630" t="s">
        <v>715</v>
      </c>
      <c r="G358" s="626">
        <v>45258.0</v>
      </c>
      <c r="H358" s="682">
        <v>1318900.0</v>
      </c>
      <c r="I358" s="682"/>
      <c r="J358" s="628" t="s">
        <v>372</v>
      </c>
      <c r="K358" s="628" t="s">
        <v>1890</v>
      </c>
      <c r="L358" s="628" t="s">
        <v>8</v>
      </c>
      <c r="M358" s="629" t="str">
        <f t="shared" si="3"/>
        <v>01</v>
      </c>
      <c r="N358" s="630" t="s">
        <v>66</v>
      </c>
      <c r="O358" s="630"/>
      <c r="P358" s="630"/>
      <c r="Q358" s="630"/>
      <c r="R358" s="630"/>
      <c r="S358" s="631"/>
    </row>
    <row r="359" ht="13.5" customHeight="1">
      <c r="A359" s="632">
        <v>361.0</v>
      </c>
      <c r="B359" s="686" t="s">
        <v>721</v>
      </c>
      <c r="C359" s="686" t="s">
        <v>16</v>
      </c>
      <c r="D359" s="634" t="str">
        <f t="shared" si="1"/>
        <v>III</v>
      </c>
      <c r="E359" s="635" t="str">
        <f t="shared" si="5"/>
        <v>FA317/III/01</v>
      </c>
      <c r="F359" s="638" t="s">
        <v>722</v>
      </c>
      <c r="G359" s="636">
        <v>45284.0</v>
      </c>
      <c r="H359" s="687">
        <v>7657658.0</v>
      </c>
      <c r="I359" s="687"/>
      <c r="J359" s="638"/>
      <c r="K359" s="638"/>
      <c r="L359" s="639" t="s">
        <v>8</v>
      </c>
      <c r="M359" s="640" t="str">
        <f t="shared" si="3"/>
        <v>01</v>
      </c>
      <c r="N359" s="638" t="s">
        <v>121</v>
      </c>
      <c r="O359" s="638"/>
      <c r="P359" s="638"/>
      <c r="Q359" s="638"/>
      <c r="R359" s="638"/>
      <c r="S359" s="641"/>
    </row>
    <row r="360" ht="13.5" customHeight="1">
      <c r="A360" s="602">
        <v>359.0</v>
      </c>
      <c r="B360" s="683" t="s">
        <v>716</v>
      </c>
      <c r="C360" s="683" t="s">
        <v>24</v>
      </c>
      <c r="D360" s="604" t="str">
        <f t="shared" si="1"/>
        <v>V</v>
      </c>
      <c r="E360" s="605" t="str">
        <f t="shared" si="5"/>
        <v>FA315/V/02</v>
      </c>
      <c r="F360" s="608" t="s">
        <v>717</v>
      </c>
      <c r="G360" s="606">
        <v>45254.0</v>
      </c>
      <c r="H360" s="684">
        <v>4.5E8</v>
      </c>
      <c r="I360" s="684"/>
      <c r="J360" s="401"/>
      <c r="K360" s="401" t="s">
        <v>622</v>
      </c>
      <c r="L360" s="401" t="s">
        <v>13</v>
      </c>
      <c r="M360" s="609" t="str">
        <f t="shared" si="3"/>
        <v>02</v>
      </c>
      <c r="N360" s="401" t="s">
        <v>718</v>
      </c>
      <c r="O360" s="608"/>
      <c r="P360" s="608"/>
      <c r="Q360" s="608"/>
      <c r="R360" s="401" t="s">
        <v>52</v>
      </c>
      <c r="S360" s="610"/>
    </row>
    <row r="361" ht="13.5" customHeight="1">
      <c r="A361" s="602">
        <v>360.0</v>
      </c>
      <c r="B361" s="683" t="s">
        <v>719</v>
      </c>
      <c r="C361" s="683" t="s">
        <v>16</v>
      </c>
      <c r="D361" s="604" t="str">
        <f t="shared" si="1"/>
        <v>III</v>
      </c>
      <c r="E361" s="605" t="str">
        <f t="shared" si="5"/>
        <v>FA316/III/02</v>
      </c>
      <c r="F361" s="608" t="s">
        <v>720</v>
      </c>
      <c r="G361" s="606">
        <v>45284.0</v>
      </c>
      <c r="H361" s="684">
        <v>5000000.0</v>
      </c>
      <c r="I361" s="684"/>
      <c r="J361" s="401" t="s">
        <v>1941</v>
      </c>
      <c r="K361" s="401" t="s">
        <v>81</v>
      </c>
      <c r="L361" s="401" t="s">
        <v>13</v>
      </c>
      <c r="M361" s="609" t="str">
        <f t="shared" si="3"/>
        <v>02</v>
      </c>
      <c r="N361" s="608" t="s">
        <v>121</v>
      </c>
      <c r="O361" s="608"/>
      <c r="P361" s="608"/>
      <c r="Q361" s="608"/>
      <c r="R361" s="401" t="s">
        <v>52</v>
      </c>
      <c r="S361" s="610"/>
    </row>
    <row r="362" ht="13.5" customHeight="1">
      <c r="A362" s="698">
        <v>362.0</v>
      </c>
      <c r="B362" s="686" t="s">
        <v>723</v>
      </c>
      <c r="C362" s="686" t="s">
        <v>16</v>
      </c>
      <c r="D362" s="634" t="str">
        <f t="shared" si="1"/>
        <v>III</v>
      </c>
      <c r="E362" s="635" t="str">
        <f t="shared" si="5"/>
        <v>FA318/III/01</v>
      </c>
      <c r="F362" s="638" t="s">
        <v>724</v>
      </c>
      <c r="G362" s="636">
        <v>45284.0</v>
      </c>
      <c r="H362" s="687">
        <v>1.1981982E7</v>
      </c>
      <c r="I362" s="687"/>
      <c r="J362" s="638"/>
      <c r="K362" s="638"/>
      <c r="L362" s="639" t="s">
        <v>8</v>
      </c>
      <c r="M362" s="640" t="str">
        <f t="shared" si="3"/>
        <v>01</v>
      </c>
      <c r="N362" s="638" t="s">
        <v>71</v>
      </c>
      <c r="O362" s="638"/>
      <c r="P362" s="638"/>
      <c r="Q362" s="638"/>
      <c r="R362" s="638"/>
      <c r="S362" s="641"/>
    </row>
    <row r="363" ht="13.5" customHeight="1">
      <c r="A363" s="622">
        <v>282.0</v>
      </c>
      <c r="B363" s="681" t="s">
        <v>576</v>
      </c>
      <c r="C363" s="681" t="s">
        <v>6</v>
      </c>
      <c r="D363" s="624" t="str">
        <f t="shared" si="1"/>
        <v>I</v>
      </c>
      <c r="E363" s="625" t="str">
        <f t="shared" si="5"/>
        <v>FA320/I/01</v>
      </c>
      <c r="F363" s="630" t="s">
        <v>574</v>
      </c>
      <c r="G363" s="626">
        <v>45056.0</v>
      </c>
      <c r="H363" s="696">
        <v>1260000.0</v>
      </c>
      <c r="I363" s="682"/>
      <c r="J363" s="630"/>
      <c r="K363" s="628" t="s">
        <v>51</v>
      </c>
      <c r="L363" s="642" t="s">
        <v>8</v>
      </c>
      <c r="M363" s="629" t="str">
        <f t="shared" si="3"/>
        <v>01</v>
      </c>
      <c r="N363" s="630"/>
      <c r="O363" s="630"/>
      <c r="P363" s="630"/>
      <c r="Q363" s="630"/>
      <c r="R363" s="630"/>
      <c r="S363" s="631"/>
    </row>
    <row r="364" ht="13.5" customHeight="1">
      <c r="A364" s="643">
        <v>363.0</v>
      </c>
      <c r="B364" s="699" t="s">
        <v>725</v>
      </c>
      <c r="C364" s="699" t="s">
        <v>24</v>
      </c>
      <c r="D364" s="645" t="str">
        <f t="shared" si="1"/>
        <v>V</v>
      </c>
      <c r="E364" s="646" t="str">
        <f t="shared" si="5"/>
        <v>FA319/V/02</v>
      </c>
      <c r="F364" s="649" t="s">
        <v>726</v>
      </c>
      <c r="G364" s="700">
        <v>45291.0</v>
      </c>
      <c r="H364" s="701">
        <v>2.0001E8</v>
      </c>
      <c r="I364" s="701"/>
      <c r="J364" s="650" t="s">
        <v>1942</v>
      </c>
      <c r="K364" s="650" t="s">
        <v>47</v>
      </c>
      <c r="L364" s="650" t="s">
        <v>13</v>
      </c>
      <c r="M364" s="651" t="str">
        <f t="shared" si="3"/>
        <v>02</v>
      </c>
      <c r="N364" s="649"/>
      <c r="O364" s="649"/>
      <c r="P364" s="649"/>
      <c r="Q364" s="649"/>
      <c r="R364" s="649"/>
      <c r="S364" s="652"/>
    </row>
    <row r="365" ht="13.5" customHeight="1">
      <c r="A365" s="602">
        <v>364.0</v>
      </c>
      <c r="B365" s="683" t="s">
        <v>728</v>
      </c>
      <c r="C365" s="683" t="s">
        <v>6</v>
      </c>
      <c r="D365" s="604" t="str">
        <f t="shared" si="1"/>
        <v>I</v>
      </c>
      <c r="E365" s="605" t="str">
        <f t="shared" si="5"/>
        <v>FA321/I/02</v>
      </c>
      <c r="F365" s="695" t="s">
        <v>729</v>
      </c>
      <c r="G365" s="606">
        <v>45295.0</v>
      </c>
      <c r="H365" s="684">
        <v>3128020.0</v>
      </c>
      <c r="I365" s="702"/>
      <c r="J365" s="401" t="s">
        <v>138</v>
      </c>
      <c r="K365" s="608" t="s">
        <v>95</v>
      </c>
      <c r="L365" s="401" t="s">
        <v>13</v>
      </c>
      <c r="M365" s="609" t="str">
        <f t="shared" si="3"/>
        <v>02</v>
      </c>
      <c r="N365" s="608" t="s">
        <v>434</v>
      </c>
      <c r="O365" s="608"/>
      <c r="P365" s="608"/>
      <c r="Q365" s="608"/>
      <c r="R365" s="401" t="s">
        <v>52</v>
      </c>
      <c r="S365" s="610"/>
    </row>
    <row r="366" ht="13.5" customHeight="1">
      <c r="A366" s="622">
        <v>365.0</v>
      </c>
      <c r="B366" s="681" t="s">
        <v>730</v>
      </c>
      <c r="C366" s="681" t="s">
        <v>21</v>
      </c>
      <c r="D366" s="624" t="str">
        <f t="shared" si="1"/>
        <v>IV</v>
      </c>
      <c r="E366" s="625" t="str">
        <f t="shared" si="5"/>
        <v>FA322/IV/01</v>
      </c>
      <c r="F366" s="703" t="s">
        <v>731</v>
      </c>
      <c r="G366" s="626">
        <v>45309.0</v>
      </c>
      <c r="H366" s="682">
        <v>2.1478311E7</v>
      </c>
      <c r="I366" s="682"/>
      <c r="J366" s="630" t="s">
        <v>120</v>
      </c>
      <c r="K366" s="630" t="s">
        <v>95</v>
      </c>
      <c r="L366" s="630" t="s">
        <v>8</v>
      </c>
      <c r="M366" s="629" t="str">
        <f t="shared" si="3"/>
        <v>01</v>
      </c>
      <c r="N366" s="630" t="s">
        <v>732</v>
      </c>
      <c r="O366" s="630"/>
      <c r="P366" s="630"/>
      <c r="Q366" s="630"/>
      <c r="R366" s="628" t="s">
        <v>52</v>
      </c>
      <c r="S366" s="631"/>
    </row>
    <row r="367" ht="13.5" customHeight="1">
      <c r="A367" s="602">
        <v>366.0</v>
      </c>
      <c r="B367" s="683" t="s">
        <v>733</v>
      </c>
      <c r="C367" s="683" t="s">
        <v>21</v>
      </c>
      <c r="D367" s="604" t="str">
        <f t="shared" si="1"/>
        <v>IV</v>
      </c>
      <c r="E367" s="605" t="str">
        <f t="shared" si="5"/>
        <v>FA323/IV/02</v>
      </c>
      <c r="F367" s="608" t="s">
        <v>734</v>
      </c>
      <c r="G367" s="595">
        <v>45309.0</v>
      </c>
      <c r="H367" s="684">
        <v>2.1175619E8</v>
      </c>
      <c r="I367" s="684"/>
      <c r="J367" s="608" t="s">
        <v>1658</v>
      </c>
      <c r="K367" s="608" t="s">
        <v>95</v>
      </c>
      <c r="L367" s="401" t="s">
        <v>13</v>
      </c>
      <c r="M367" s="609" t="str">
        <f t="shared" si="3"/>
        <v>02</v>
      </c>
      <c r="N367" s="401" t="s">
        <v>735</v>
      </c>
      <c r="O367" s="608"/>
      <c r="P367" s="608"/>
      <c r="Q367" s="608"/>
      <c r="R367" s="401" t="s">
        <v>52</v>
      </c>
      <c r="S367" s="610"/>
    </row>
    <row r="368" ht="13.5" customHeight="1">
      <c r="A368" s="602">
        <v>367.0</v>
      </c>
      <c r="B368" s="683" t="s">
        <v>736</v>
      </c>
      <c r="C368" s="683" t="s">
        <v>6</v>
      </c>
      <c r="D368" s="604" t="str">
        <f t="shared" si="1"/>
        <v>I</v>
      </c>
      <c r="E368" s="605" t="str">
        <f t="shared" si="5"/>
        <v>FA324/I/02</v>
      </c>
      <c r="F368" s="608" t="s">
        <v>737</v>
      </c>
      <c r="G368" s="606">
        <v>45310.0</v>
      </c>
      <c r="H368" s="704">
        <v>255000.0</v>
      </c>
      <c r="I368" s="684"/>
      <c r="J368" s="401" t="s">
        <v>336</v>
      </c>
      <c r="K368" s="608" t="s">
        <v>47</v>
      </c>
      <c r="L368" s="401" t="s">
        <v>13</v>
      </c>
      <c r="M368" s="609" t="str">
        <f t="shared" si="3"/>
        <v>02</v>
      </c>
      <c r="N368" s="401" t="s">
        <v>738</v>
      </c>
      <c r="O368" s="608"/>
      <c r="P368" s="608"/>
      <c r="Q368" s="608"/>
      <c r="R368" s="401" t="s">
        <v>52</v>
      </c>
      <c r="S368" s="610"/>
    </row>
    <row r="369" ht="13.5" customHeight="1">
      <c r="A369" s="602">
        <v>368.0</v>
      </c>
      <c r="B369" s="683" t="s">
        <v>739</v>
      </c>
      <c r="C369" s="683" t="s">
        <v>6</v>
      </c>
      <c r="D369" s="604" t="str">
        <f t="shared" si="1"/>
        <v>I</v>
      </c>
      <c r="E369" s="605" t="str">
        <f t="shared" si="5"/>
        <v>FA325/I/02</v>
      </c>
      <c r="F369" s="608" t="s">
        <v>737</v>
      </c>
      <c r="G369" s="606">
        <v>45310.0</v>
      </c>
      <c r="H369" s="704">
        <v>255000.0</v>
      </c>
      <c r="I369" s="684"/>
      <c r="J369" s="401" t="s">
        <v>138</v>
      </c>
      <c r="K369" s="401" t="s">
        <v>95</v>
      </c>
      <c r="L369" s="401" t="s">
        <v>13</v>
      </c>
      <c r="M369" s="609" t="str">
        <f t="shared" si="3"/>
        <v>02</v>
      </c>
      <c r="N369" s="401" t="s">
        <v>738</v>
      </c>
      <c r="O369" s="608"/>
      <c r="P369" s="608"/>
      <c r="Q369" s="608"/>
      <c r="R369" s="401" t="s">
        <v>52</v>
      </c>
      <c r="S369" s="610"/>
    </row>
    <row r="370" ht="13.5" customHeight="1">
      <c r="A370" s="697">
        <v>369.0</v>
      </c>
      <c r="B370" s="683" t="s">
        <v>740</v>
      </c>
      <c r="C370" s="683" t="s">
        <v>11</v>
      </c>
      <c r="D370" s="604" t="str">
        <f t="shared" si="1"/>
        <v>II</v>
      </c>
      <c r="E370" s="605" t="str">
        <f t="shared" si="5"/>
        <v>FA326/II/03</v>
      </c>
      <c r="F370" s="608" t="s">
        <v>741</v>
      </c>
      <c r="G370" s="606">
        <v>45335.0</v>
      </c>
      <c r="H370" s="704">
        <v>417500.0</v>
      </c>
      <c r="I370" s="684"/>
      <c r="J370" s="401" t="s">
        <v>138</v>
      </c>
      <c r="K370" s="608" t="s">
        <v>95</v>
      </c>
      <c r="L370" s="401" t="s">
        <v>18</v>
      </c>
      <c r="M370" s="609" t="str">
        <f t="shared" si="3"/>
        <v>03</v>
      </c>
      <c r="N370" s="608"/>
      <c r="O370" s="608"/>
      <c r="P370" s="608"/>
      <c r="Q370" s="608"/>
      <c r="R370" s="401" t="s">
        <v>52</v>
      </c>
      <c r="S370" s="610"/>
    </row>
    <row r="371" ht="13.5" customHeight="1">
      <c r="A371" s="602">
        <v>370.0</v>
      </c>
      <c r="B371" s="683" t="s">
        <v>742</v>
      </c>
      <c r="C371" s="683" t="s">
        <v>11</v>
      </c>
      <c r="D371" s="604" t="str">
        <f t="shared" si="1"/>
        <v>II</v>
      </c>
      <c r="E371" s="605" t="str">
        <f t="shared" si="5"/>
        <v>FA327/II/03</v>
      </c>
      <c r="F371" s="608" t="s">
        <v>741</v>
      </c>
      <c r="G371" s="606">
        <v>45335.0</v>
      </c>
      <c r="H371" s="704">
        <v>417500.0</v>
      </c>
      <c r="I371" s="684"/>
      <c r="J371" s="401" t="s">
        <v>138</v>
      </c>
      <c r="K371" s="608" t="s">
        <v>95</v>
      </c>
      <c r="L371" s="401" t="s">
        <v>18</v>
      </c>
      <c r="M371" s="609" t="str">
        <f t="shared" si="3"/>
        <v>03</v>
      </c>
      <c r="N371" s="608"/>
      <c r="O371" s="608"/>
      <c r="P371" s="608"/>
      <c r="Q371" s="608"/>
      <c r="R371" s="401" t="s">
        <v>52</v>
      </c>
      <c r="S371" s="610"/>
    </row>
    <row r="372" ht="13.5" customHeight="1">
      <c r="A372" s="602">
        <v>371.0</v>
      </c>
      <c r="B372" s="683" t="s">
        <v>743</v>
      </c>
      <c r="C372" s="683" t="s">
        <v>11</v>
      </c>
      <c r="D372" s="604" t="str">
        <f t="shared" si="1"/>
        <v>II</v>
      </c>
      <c r="E372" s="605" t="str">
        <f t="shared" si="5"/>
        <v>FA328/II/02</v>
      </c>
      <c r="F372" s="608" t="s">
        <v>744</v>
      </c>
      <c r="G372" s="606">
        <v>45335.0</v>
      </c>
      <c r="H372" s="704">
        <v>587550.0</v>
      </c>
      <c r="I372" s="684"/>
      <c r="J372" s="401" t="s">
        <v>1943</v>
      </c>
      <c r="K372" s="608" t="s">
        <v>95</v>
      </c>
      <c r="L372" s="401" t="s">
        <v>13</v>
      </c>
      <c r="M372" s="609" t="str">
        <f t="shared" si="3"/>
        <v>02</v>
      </c>
      <c r="N372" s="608"/>
      <c r="O372" s="608"/>
      <c r="P372" s="608"/>
      <c r="Q372" s="608"/>
      <c r="R372" s="401" t="s">
        <v>52</v>
      </c>
      <c r="S372" s="610"/>
    </row>
    <row r="373" ht="13.5" customHeight="1">
      <c r="A373" s="602">
        <v>372.0</v>
      </c>
      <c r="B373" s="683" t="s">
        <v>745</v>
      </c>
      <c r="C373" s="683" t="s">
        <v>11</v>
      </c>
      <c r="D373" s="604" t="str">
        <f t="shared" si="1"/>
        <v>II</v>
      </c>
      <c r="E373" s="605" t="str">
        <f t="shared" si="5"/>
        <v>FA329/II/02</v>
      </c>
      <c r="F373" s="608" t="s">
        <v>744</v>
      </c>
      <c r="G373" s="606">
        <v>45335.0</v>
      </c>
      <c r="H373" s="704">
        <v>587550.0</v>
      </c>
      <c r="I373" s="684"/>
      <c r="J373" s="401" t="s">
        <v>1941</v>
      </c>
      <c r="K373" s="608" t="s">
        <v>95</v>
      </c>
      <c r="L373" s="401" t="s">
        <v>13</v>
      </c>
      <c r="M373" s="609" t="str">
        <f t="shared" si="3"/>
        <v>02</v>
      </c>
      <c r="N373" s="608"/>
      <c r="O373" s="608"/>
      <c r="P373" s="608"/>
      <c r="Q373" s="608"/>
      <c r="R373" s="401" t="s">
        <v>52</v>
      </c>
      <c r="S373" s="610"/>
    </row>
    <row r="374" ht="13.5" customHeight="1">
      <c r="A374" s="602">
        <v>374.0</v>
      </c>
      <c r="B374" s="683" t="s">
        <v>746</v>
      </c>
      <c r="C374" s="683" t="s">
        <v>24</v>
      </c>
      <c r="D374" s="604" t="str">
        <f t="shared" si="1"/>
        <v>V</v>
      </c>
      <c r="E374" s="605" t="str">
        <f t="shared" si="5"/>
        <v>FA330/V/02</v>
      </c>
      <c r="F374" s="608" t="s">
        <v>747</v>
      </c>
      <c r="G374" s="606">
        <v>45342.0</v>
      </c>
      <c r="H374" s="704">
        <v>6.006E7</v>
      </c>
      <c r="I374" s="684"/>
      <c r="J374" s="401"/>
      <c r="K374" s="401" t="s">
        <v>622</v>
      </c>
      <c r="L374" s="401" t="s">
        <v>13</v>
      </c>
      <c r="M374" s="609" t="str">
        <f t="shared" si="3"/>
        <v>02</v>
      </c>
      <c r="N374" s="401" t="s">
        <v>666</v>
      </c>
      <c r="O374" s="608"/>
      <c r="P374" s="608"/>
      <c r="Q374" s="608"/>
      <c r="R374" s="401" t="s">
        <v>52</v>
      </c>
      <c r="S374" s="610"/>
    </row>
    <row r="375" ht="13.5" customHeight="1">
      <c r="A375" s="622">
        <v>375.0</v>
      </c>
      <c r="B375" s="681" t="s">
        <v>748</v>
      </c>
      <c r="C375" s="681" t="s">
        <v>11</v>
      </c>
      <c r="D375" s="624" t="str">
        <f t="shared" si="1"/>
        <v>II</v>
      </c>
      <c r="E375" s="625" t="str">
        <f t="shared" si="5"/>
        <v>FA331/II/01</v>
      </c>
      <c r="F375" s="630" t="s">
        <v>749</v>
      </c>
      <c r="G375" s="626">
        <v>45344.0</v>
      </c>
      <c r="H375" s="696">
        <v>777900.0</v>
      </c>
      <c r="I375" s="682"/>
      <c r="J375" s="628" t="s">
        <v>97</v>
      </c>
      <c r="K375" s="628" t="s">
        <v>158</v>
      </c>
      <c r="L375" s="630" t="s">
        <v>8</v>
      </c>
      <c r="M375" s="629" t="str">
        <f t="shared" si="3"/>
        <v>01</v>
      </c>
      <c r="N375" s="630"/>
      <c r="O375" s="630"/>
      <c r="P375" s="630"/>
      <c r="Q375" s="630"/>
      <c r="R375" s="628" t="s">
        <v>52</v>
      </c>
      <c r="S375" s="631"/>
    </row>
    <row r="376" ht="13.5" customHeight="1">
      <c r="A376" s="622">
        <v>376.0</v>
      </c>
      <c r="B376" s="681" t="s">
        <v>750</v>
      </c>
      <c r="C376" s="681" t="s">
        <v>6</v>
      </c>
      <c r="D376" s="624" t="str">
        <f t="shared" si="1"/>
        <v>I</v>
      </c>
      <c r="E376" s="625" t="str">
        <f t="shared" si="5"/>
        <v>FA332/I/01</v>
      </c>
      <c r="F376" s="630" t="s">
        <v>751</v>
      </c>
      <c r="G376" s="626">
        <v>45344.0</v>
      </c>
      <c r="H376" s="696">
        <v>963400.0</v>
      </c>
      <c r="I376" s="682"/>
      <c r="J376" s="630" t="s">
        <v>372</v>
      </c>
      <c r="K376" s="630" t="s">
        <v>1890</v>
      </c>
      <c r="L376" s="630" t="s">
        <v>8</v>
      </c>
      <c r="M376" s="629" t="str">
        <f t="shared" si="3"/>
        <v>01</v>
      </c>
      <c r="N376" s="630" t="s">
        <v>752</v>
      </c>
      <c r="O376" s="630"/>
      <c r="P376" s="630"/>
      <c r="Q376" s="630"/>
      <c r="R376" s="628" t="s">
        <v>52</v>
      </c>
      <c r="S376" s="631"/>
    </row>
    <row r="377" ht="13.5" customHeight="1">
      <c r="A377" s="678">
        <v>377.0</v>
      </c>
      <c r="B377" s="681" t="s">
        <v>753</v>
      </c>
      <c r="C377" s="681" t="s">
        <v>6</v>
      </c>
      <c r="D377" s="624" t="str">
        <f t="shared" si="1"/>
        <v>I</v>
      </c>
      <c r="E377" s="625" t="str">
        <f t="shared" si="5"/>
        <v>FA333/I/01</v>
      </c>
      <c r="F377" s="630" t="s">
        <v>751</v>
      </c>
      <c r="G377" s="626">
        <v>45344.0</v>
      </c>
      <c r="H377" s="696">
        <v>963400.0</v>
      </c>
      <c r="I377" s="682"/>
      <c r="J377" s="630" t="s">
        <v>372</v>
      </c>
      <c r="K377" s="630" t="s">
        <v>1890</v>
      </c>
      <c r="L377" s="630" t="s">
        <v>8</v>
      </c>
      <c r="M377" s="629" t="str">
        <f t="shared" si="3"/>
        <v>01</v>
      </c>
      <c r="N377" s="630" t="s">
        <v>752</v>
      </c>
      <c r="O377" s="630"/>
      <c r="P377" s="630"/>
      <c r="Q377" s="630"/>
      <c r="R377" s="628" t="s">
        <v>52</v>
      </c>
      <c r="S377" s="631"/>
    </row>
    <row r="378" ht="13.5" customHeight="1">
      <c r="A378" s="622">
        <v>378.0</v>
      </c>
      <c r="B378" s="681" t="s">
        <v>754</v>
      </c>
      <c r="C378" s="681" t="s">
        <v>11</v>
      </c>
      <c r="D378" s="624" t="str">
        <f t="shared" si="1"/>
        <v>II</v>
      </c>
      <c r="E378" s="625" t="str">
        <f t="shared" si="5"/>
        <v>FA334/II/01</v>
      </c>
      <c r="F378" s="628" t="s">
        <v>1944</v>
      </c>
      <c r="G378" s="626">
        <v>45345.0</v>
      </c>
      <c r="H378" s="696">
        <v>859000.0</v>
      </c>
      <c r="I378" s="682"/>
      <c r="J378" s="628" t="s">
        <v>1945</v>
      </c>
      <c r="K378" s="628" t="s">
        <v>81</v>
      </c>
      <c r="L378" s="630" t="s">
        <v>8</v>
      </c>
      <c r="M378" s="629" t="str">
        <f t="shared" si="3"/>
        <v>01</v>
      </c>
      <c r="N378" s="630" t="s">
        <v>155</v>
      </c>
      <c r="O378" s="630"/>
      <c r="P378" s="630"/>
      <c r="Q378" s="630"/>
      <c r="R378" s="628" t="s">
        <v>52</v>
      </c>
      <c r="S378" s="631"/>
    </row>
    <row r="379" ht="13.5" customHeight="1">
      <c r="A379" s="622">
        <v>379.0</v>
      </c>
      <c r="B379" s="681" t="s">
        <v>755</v>
      </c>
      <c r="C379" s="681" t="s">
        <v>11</v>
      </c>
      <c r="D379" s="624" t="str">
        <f t="shared" si="1"/>
        <v>II</v>
      </c>
      <c r="E379" s="625" t="str">
        <f t="shared" si="5"/>
        <v>FA335/II/01</v>
      </c>
      <c r="F379" s="628" t="s">
        <v>1944</v>
      </c>
      <c r="G379" s="626">
        <v>45345.0</v>
      </c>
      <c r="H379" s="696">
        <v>859000.0</v>
      </c>
      <c r="I379" s="682"/>
      <c r="J379" s="628" t="s">
        <v>1895</v>
      </c>
      <c r="K379" s="628" t="s">
        <v>108</v>
      </c>
      <c r="L379" s="630" t="s">
        <v>8</v>
      </c>
      <c r="M379" s="629" t="str">
        <f t="shared" si="3"/>
        <v>01</v>
      </c>
      <c r="N379" s="630" t="s">
        <v>155</v>
      </c>
      <c r="O379" s="630"/>
      <c r="P379" s="630"/>
      <c r="Q379" s="630"/>
      <c r="R379" s="628" t="s">
        <v>52</v>
      </c>
      <c r="S379" s="631"/>
    </row>
    <row r="380" ht="13.5" customHeight="1">
      <c r="A380" s="622">
        <v>380.0</v>
      </c>
      <c r="B380" s="681" t="s">
        <v>756</v>
      </c>
      <c r="C380" s="681" t="s">
        <v>11</v>
      </c>
      <c r="D380" s="624" t="str">
        <f t="shared" si="1"/>
        <v>II</v>
      </c>
      <c r="E380" s="625" t="str">
        <f t="shared" si="5"/>
        <v>FA336/II/01</v>
      </c>
      <c r="F380" s="628" t="s">
        <v>1944</v>
      </c>
      <c r="G380" s="626">
        <v>45345.0</v>
      </c>
      <c r="H380" s="696">
        <v>859000.0</v>
      </c>
      <c r="I380" s="682"/>
      <c r="J380" s="628" t="s">
        <v>1904</v>
      </c>
      <c r="K380" s="628" t="s">
        <v>81</v>
      </c>
      <c r="L380" s="630" t="s">
        <v>8</v>
      </c>
      <c r="M380" s="629" t="str">
        <f t="shared" si="3"/>
        <v>01</v>
      </c>
      <c r="N380" s="630" t="s">
        <v>155</v>
      </c>
      <c r="O380" s="630"/>
      <c r="P380" s="630"/>
      <c r="Q380" s="630"/>
      <c r="R380" s="628" t="s">
        <v>52</v>
      </c>
      <c r="S380" s="631"/>
    </row>
    <row r="381" ht="13.5" customHeight="1">
      <c r="A381" s="622">
        <v>381.0</v>
      </c>
      <c r="B381" s="681" t="s">
        <v>757</v>
      </c>
      <c r="C381" s="681" t="s">
        <v>11</v>
      </c>
      <c r="D381" s="624" t="str">
        <f t="shared" si="1"/>
        <v>II</v>
      </c>
      <c r="E381" s="625" t="str">
        <f t="shared" si="5"/>
        <v>FA337/II/01</v>
      </c>
      <c r="F381" s="628" t="s">
        <v>1946</v>
      </c>
      <c r="G381" s="626">
        <v>45345.0</v>
      </c>
      <c r="H381" s="696">
        <v>899000.0</v>
      </c>
      <c r="I381" s="682"/>
      <c r="J381" s="628" t="s">
        <v>276</v>
      </c>
      <c r="K381" s="628" t="s">
        <v>47</v>
      </c>
      <c r="L381" s="628" t="s">
        <v>8</v>
      </c>
      <c r="M381" s="629" t="str">
        <f t="shared" si="3"/>
        <v>01</v>
      </c>
      <c r="N381" s="628" t="s">
        <v>155</v>
      </c>
      <c r="O381" s="630"/>
      <c r="P381" s="630"/>
      <c r="Q381" s="630"/>
      <c r="R381" s="628"/>
      <c r="S381" s="631"/>
    </row>
    <row r="382" ht="13.5" customHeight="1">
      <c r="A382" s="678">
        <v>382.0</v>
      </c>
      <c r="B382" s="681" t="s">
        <v>758</v>
      </c>
      <c r="C382" s="681" t="s">
        <v>11</v>
      </c>
      <c r="D382" s="624" t="str">
        <f t="shared" si="1"/>
        <v>II</v>
      </c>
      <c r="E382" s="625" t="str">
        <f t="shared" si="5"/>
        <v>FA338/II/01</v>
      </c>
      <c r="F382" s="628" t="s">
        <v>1946</v>
      </c>
      <c r="G382" s="626">
        <v>45345.0</v>
      </c>
      <c r="H382" s="696">
        <v>899000.0</v>
      </c>
      <c r="I382" s="682"/>
      <c r="J382" s="628" t="s">
        <v>1911</v>
      </c>
      <c r="K382" s="628" t="s">
        <v>47</v>
      </c>
      <c r="L382" s="628" t="s">
        <v>8</v>
      </c>
      <c r="M382" s="629" t="str">
        <f t="shared" si="3"/>
        <v>01</v>
      </c>
      <c r="N382" s="628" t="s">
        <v>155</v>
      </c>
      <c r="O382" s="630"/>
      <c r="P382" s="630"/>
      <c r="Q382" s="630"/>
      <c r="R382" s="628"/>
      <c r="S382" s="631"/>
    </row>
    <row r="383" ht="13.5" customHeight="1">
      <c r="A383" s="602">
        <v>383.0</v>
      </c>
      <c r="B383" s="683" t="s">
        <v>759</v>
      </c>
      <c r="C383" s="683" t="s">
        <v>16</v>
      </c>
      <c r="D383" s="604" t="str">
        <f t="shared" si="1"/>
        <v>III</v>
      </c>
      <c r="E383" s="605" t="str">
        <f t="shared" si="5"/>
        <v>FA339/III/02</v>
      </c>
      <c r="F383" s="608" t="s">
        <v>760</v>
      </c>
      <c r="G383" s="606">
        <v>45351.0</v>
      </c>
      <c r="H383" s="684">
        <v>1.225E7</v>
      </c>
      <c r="I383" s="684"/>
      <c r="J383" s="608" t="s">
        <v>1906</v>
      </c>
      <c r="K383" s="608" t="s">
        <v>323</v>
      </c>
      <c r="L383" s="401" t="s">
        <v>13</v>
      </c>
      <c r="M383" s="609" t="str">
        <f t="shared" si="3"/>
        <v>02</v>
      </c>
      <c r="N383" s="608" t="s">
        <v>121</v>
      </c>
      <c r="O383" s="608"/>
      <c r="P383" s="608"/>
      <c r="Q383" s="608"/>
      <c r="R383" s="401" t="s">
        <v>52</v>
      </c>
      <c r="S383" s="610"/>
    </row>
    <row r="384" ht="13.5" customHeight="1">
      <c r="A384" s="667">
        <v>384.0</v>
      </c>
      <c r="B384" s="689" t="s">
        <v>761</v>
      </c>
      <c r="C384" s="689" t="s">
        <v>6</v>
      </c>
      <c r="D384" s="669" t="str">
        <f t="shared" si="1"/>
        <v>I</v>
      </c>
      <c r="E384" s="670" t="str">
        <f t="shared" si="5"/>
        <v>FA340/I/01</v>
      </c>
      <c r="F384" s="673" t="s">
        <v>762</v>
      </c>
      <c r="G384" s="671">
        <v>45351.0</v>
      </c>
      <c r="H384" s="690">
        <v>2068400.0</v>
      </c>
      <c r="I384" s="690"/>
      <c r="J384" s="673" t="s">
        <v>439</v>
      </c>
      <c r="K384" s="673" t="s">
        <v>51</v>
      </c>
      <c r="L384" s="673" t="s">
        <v>8</v>
      </c>
      <c r="M384" s="674" t="str">
        <f t="shared" si="3"/>
        <v>01</v>
      </c>
      <c r="N384" s="673" t="s">
        <v>127</v>
      </c>
      <c r="O384" s="673"/>
      <c r="P384" s="673"/>
      <c r="Q384" s="673"/>
      <c r="R384" s="680" t="s">
        <v>52</v>
      </c>
      <c r="S384" s="675"/>
    </row>
    <row r="385" ht="13.5" customHeight="1">
      <c r="A385" s="622">
        <v>385.0</v>
      </c>
      <c r="B385" s="681" t="s">
        <v>763</v>
      </c>
      <c r="C385" s="681" t="s">
        <v>24</v>
      </c>
      <c r="D385" s="624" t="str">
        <f t="shared" si="1"/>
        <v>V</v>
      </c>
      <c r="E385" s="625" t="str">
        <f t="shared" si="5"/>
        <v>FA341/V/01</v>
      </c>
      <c r="F385" s="705" t="s">
        <v>764</v>
      </c>
      <c r="G385" s="626">
        <v>45355.0</v>
      </c>
      <c r="H385" s="682">
        <v>3.1E9</v>
      </c>
      <c r="I385" s="682"/>
      <c r="J385" s="630" t="s">
        <v>97</v>
      </c>
      <c r="K385" s="630" t="s">
        <v>51</v>
      </c>
      <c r="L385" s="630" t="s">
        <v>8</v>
      </c>
      <c r="M385" s="629" t="str">
        <f t="shared" si="3"/>
        <v>01</v>
      </c>
      <c r="N385" s="628" t="s">
        <v>765</v>
      </c>
      <c r="O385" s="630"/>
      <c r="P385" s="630"/>
      <c r="Q385" s="630"/>
      <c r="R385" s="628" t="s">
        <v>52</v>
      </c>
      <c r="S385" s="631"/>
    </row>
    <row r="386" ht="13.5" customHeight="1">
      <c r="A386" s="622">
        <v>386.0</v>
      </c>
      <c r="B386" s="681" t="s">
        <v>766</v>
      </c>
      <c r="C386" s="681" t="s">
        <v>6</v>
      </c>
      <c r="D386" s="624" t="str">
        <f t="shared" si="1"/>
        <v>I</v>
      </c>
      <c r="E386" s="625" t="str">
        <f t="shared" si="5"/>
        <v>FA342/I/01</v>
      </c>
      <c r="F386" s="705" t="s">
        <v>767</v>
      </c>
      <c r="G386" s="626">
        <v>45365.0</v>
      </c>
      <c r="H386" s="682">
        <v>1370850.4504504504</v>
      </c>
      <c r="I386" s="682"/>
      <c r="J386" s="628" t="s">
        <v>1660</v>
      </c>
      <c r="K386" s="630" t="s">
        <v>95</v>
      </c>
      <c r="L386" s="630" t="s">
        <v>8</v>
      </c>
      <c r="M386" s="629" t="str">
        <f t="shared" si="3"/>
        <v>01</v>
      </c>
      <c r="N386" s="630" t="s">
        <v>768</v>
      </c>
      <c r="O386" s="630"/>
      <c r="P386" s="630"/>
      <c r="Q386" s="630"/>
      <c r="R386" s="628" t="s">
        <v>52</v>
      </c>
      <c r="S386" s="631"/>
    </row>
    <row r="387" ht="13.5" customHeight="1">
      <c r="A387" s="678">
        <v>387.0</v>
      </c>
      <c r="B387" s="681" t="s">
        <v>769</v>
      </c>
      <c r="C387" s="681" t="s">
        <v>6</v>
      </c>
      <c r="D387" s="624" t="str">
        <f t="shared" si="1"/>
        <v>I</v>
      </c>
      <c r="E387" s="625" t="str">
        <f t="shared" si="5"/>
        <v>FA343/I/01</v>
      </c>
      <c r="F387" s="705" t="s">
        <v>767</v>
      </c>
      <c r="G387" s="626">
        <v>45365.0</v>
      </c>
      <c r="H387" s="682">
        <v>1370850.4504504504</v>
      </c>
      <c r="I387" s="682"/>
      <c r="J387" s="628" t="s">
        <v>1887</v>
      </c>
      <c r="K387" s="628" t="s">
        <v>95</v>
      </c>
      <c r="L387" s="630" t="s">
        <v>8</v>
      </c>
      <c r="M387" s="629" t="str">
        <f t="shared" si="3"/>
        <v>01</v>
      </c>
      <c r="N387" s="630" t="s">
        <v>768</v>
      </c>
      <c r="O387" s="630"/>
      <c r="P387" s="630"/>
      <c r="Q387" s="630"/>
      <c r="R387" s="628" t="s">
        <v>52</v>
      </c>
      <c r="S387" s="631"/>
    </row>
    <row r="388" ht="13.5" customHeight="1">
      <c r="A388" s="622">
        <v>388.0</v>
      </c>
      <c r="B388" s="681" t="s">
        <v>770</v>
      </c>
      <c r="C388" s="681" t="s">
        <v>6</v>
      </c>
      <c r="D388" s="624" t="str">
        <f t="shared" si="1"/>
        <v>I</v>
      </c>
      <c r="E388" s="625" t="str">
        <f t="shared" si="5"/>
        <v>FA344/I/01</v>
      </c>
      <c r="F388" s="705" t="s">
        <v>767</v>
      </c>
      <c r="G388" s="626">
        <v>45365.0</v>
      </c>
      <c r="H388" s="682">
        <v>1370850.4504504504</v>
      </c>
      <c r="I388" s="682"/>
      <c r="J388" s="628" t="s">
        <v>160</v>
      </c>
      <c r="K388" s="628" t="s">
        <v>158</v>
      </c>
      <c r="L388" s="630" t="s">
        <v>8</v>
      </c>
      <c r="M388" s="629" t="str">
        <f t="shared" si="3"/>
        <v>01</v>
      </c>
      <c r="N388" s="630" t="s">
        <v>768</v>
      </c>
      <c r="O388" s="630"/>
      <c r="P388" s="630"/>
      <c r="Q388" s="630"/>
      <c r="R388" s="628" t="s">
        <v>52</v>
      </c>
      <c r="S388" s="631"/>
    </row>
    <row r="389" ht="13.5" customHeight="1">
      <c r="A389" s="622">
        <v>389.0</v>
      </c>
      <c r="B389" s="681" t="s">
        <v>771</v>
      </c>
      <c r="C389" s="681" t="s">
        <v>6</v>
      </c>
      <c r="D389" s="624" t="str">
        <f t="shared" si="1"/>
        <v>I</v>
      </c>
      <c r="E389" s="625" t="str">
        <f t="shared" si="5"/>
        <v>FA345/I/01</v>
      </c>
      <c r="F389" s="705" t="s">
        <v>767</v>
      </c>
      <c r="G389" s="626">
        <v>45365.0</v>
      </c>
      <c r="H389" s="682">
        <v>1370850.4504504504</v>
      </c>
      <c r="I389" s="682"/>
      <c r="J389" s="628" t="s">
        <v>1911</v>
      </c>
      <c r="K389" s="628" t="s">
        <v>47</v>
      </c>
      <c r="L389" s="630" t="s">
        <v>8</v>
      </c>
      <c r="M389" s="629" t="str">
        <f t="shared" si="3"/>
        <v>01</v>
      </c>
      <c r="N389" s="630" t="s">
        <v>768</v>
      </c>
      <c r="O389" s="630"/>
      <c r="P389" s="630"/>
      <c r="Q389" s="630"/>
      <c r="R389" s="628" t="s">
        <v>52</v>
      </c>
      <c r="S389" s="631"/>
    </row>
    <row r="390" ht="13.5" customHeight="1">
      <c r="A390" s="622">
        <v>390.0</v>
      </c>
      <c r="B390" s="681" t="s">
        <v>772</v>
      </c>
      <c r="C390" s="681" t="s">
        <v>6</v>
      </c>
      <c r="D390" s="624" t="str">
        <f t="shared" si="1"/>
        <v>I</v>
      </c>
      <c r="E390" s="625" t="str">
        <f t="shared" si="5"/>
        <v>FA346/I/01</v>
      </c>
      <c r="F390" s="630" t="s">
        <v>773</v>
      </c>
      <c r="G390" s="626">
        <v>45365.0</v>
      </c>
      <c r="H390" s="682">
        <v>1370850.4504504504</v>
      </c>
      <c r="I390" s="682"/>
      <c r="J390" s="628" t="s">
        <v>357</v>
      </c>
      <c r="K390" s="628" t="s">
        <v>81</v>
      </c>
      <c r="L390" s="630" t="s">
        <v>8</v>
      </c>
      <c r="M390" s="629" t="str">
        <f t="shared" si="3"/>
        <v>01</v>
      </c>
      <c r="N390" s="630" t="s">
        <v>768</v>
      </c>
      <c r="O390" s="630"/>
      <c r="P390" s="630"/>
      <c r="Q390" s="630"/>
      <c r="R390" s="628" t="s">
        <v>52</v>
      </c>
      <c r="S390" s="631"/>
    </row>
    <row r="391" ht="13.5" customHeight="1">
      <c r="A391" s="622">
        <v>391.0</v>
      </c>
      <c r="B391" s="681" t="s">
        <v>774</v>
      </c>
      <c r="C391" s="681" t="s">
        <v>24</v>
      </c>
      <c r="D391" s="624" t="str">
        <f t="shared" si="1"/>
        <v>V</v>
      </c>
      <c r="E391" s="625" t="str">
        <f t="shared" si="5"/>
        <v>FA347/V/01</v>
      </c>
      <c r="F391" s="705" t="s">
        <v>775</v>
      </c>
      <c r="G391" s="626">
        <v>45366.0</v>
      </c>
      <c r="H391" s="682">
        <v>1.6E9</v>
      </c>
      <c r="I391" s="682"/>
      <c r="J391" s="630" t="s">
        <v>97</v>
      </c>
      <c r="K391" s="630" t="s">
        <v>51</v>
      </c>
      <c r="L391" s="630" t="s">
        <v>8</v>
      </c>
      <c r="M391" s="629" t="str">
        <f t="shared" si="3"/>
        <v>01</v>
      </c>
      <c r="N391" s="630" t="s">
        <v>293</v>
      </c>
      <c r="O391" s="630"/>
      <c r="P391" s="630"/>
      <c r="Q391" s="630"/>
      <c r="R391" s="628" t="s">
        <v>52</v>
      </c>
      <c r="S391" s="631"/>
    </row>
    <row r="392" ht="13.5" customHeight="1">
      <c r="A392" s="678">
        <v>392.0</v>
      </c>
      <c r="B392" s="681" t="s">
        <v>776</v>
      </c>
      <c r="C392" s="681" t="s">
        <v>6</v>
      </c>
      <c r="D392" s="624" t="str">
        <f t="shared" si="1"/>
        <v>I</v>
      </c>
      <c r="E392" s="625" t="str">
        <f t="shared" si="5"/>
        <v>FA348/I/02</v>
      </c>
      <c r="F392" s="630" t="s">
        <v>777</v>
      </c>
      <c r="G392" s="706">
        <v>45365.0</v>
      </c>
      <c r="H392" s="696">
        <v>1531532.0</v>
      </c>
      <c r="I392" s="682"/>
      <c r="J392" s="630" t="s">
        <v>120</v>
      </c>
      <c r="K392" s="630" t="s">
        <v>95</v>
      </c>
      <c r="L392" s="628" t="s">
        <v>13</v>
      </c>
      <c r="M392" s="629" t="str">
        <f t="shared" si="3"/>
        <v>02</v>
      </c>
      <c r="N392" s="630" t="s">
        <v>778</v>
      </c>
      <c r="O392" s="630"/>
      <c r="P392" s="630"/>
      <c r="Q392" s="630"/>
      <c r="R392" s="628" t="s">
        <v>52</v>
      </c>
      <c r="S392" s="631"/>
    </row>
    <row r="393" ht="13.5" customHeight="1">
      <c r="A393" s="622">
        <v>393.0</v>
      </c>
      <c r="B393" s="681" t="s">
        <v>779</v>
      </c>
      <c r="C393" s="681" t="s">
        <v>6</v>
      </c>
      <c r="D393" s="624" t="str">
        <f t="shared" si="1"/>
        <v>I</v>
      </c>
      <c r="E393" s="625" t="str">
        <f t="shared" si="5"/>
        <v>FA349/I/01</v>
      </c>
      <c r="F393" s="630" t="s">
        <v>777</v>
      </c>
      <c r="G393" s="706">
        <v>45366.0</v>
      </c>
      <c r="H393" s="696">
        <v>1531532.0</v>
      </c>
      <c r="I393" s="682"/>
      <c r="J393" s="630" t="s">
        <v>120</v>
      </c>
      <c r="K393" s="630" t="s">
        <v>95</v>
      </c>
      <c r="L393" s="628" t="s">
        <v>8</v>
      </c>
      <c r="M393" s="629" t="str">
        <f t="shared" si="3"/>
        <v>01</v>
      </c>
      <c r="N393" s="630" t="s">
        <v>778</v>
      </c>
      <c r="O393" s="630"/>
      <c r="P393" s="630"/>
      <c r="Q393" s="630"/>
      <c r="R393" s="628" t="s">
        <v>52</v>
      </c>
      <c r="S393" s="631"/>
    </row>
    <row r="394" ht="13.5" customHeight="1">
      <c r="A394" s="622">
        <v>394.0</v>
      </c>
      <c r="B394" s="681" t="s">
        <v>780</v>
      </c>
      <c r="C394" s="681" t="s">
        <v>24</v>
      </c>
      <c r="D394" s="624" t="str">
        <f t="shared" si="1"/>
        <v>V</v>
      </c>
      <c r="E394" s="625" t="str">
        <f t="shared" si="5"/>
        <v>FA350/V/01</v>
      </c>
      <c r="F394" s="705" t="s">
        <v>781</v>
      </c>
      <c r="G394" s="626">
        <v>45378.0</v>
      </c>
      <c r="H394" s="696">
        <v>3.1E7</v>
      </c>
      <c r="I394" s="682"/>
      <c r="J394" s="630" t="s">
        <v>97</v>
      </c>
      <c r="K394" s="630" t="s">
        <v>51</v>
      </c>
      <c r="L394" s="628" t="s">
        <v>8</v>
      </c>
      <c r="M394" s="629" t="str">
        <f t="shared" si="3"/>
        <v>01</v>
      </c>
      <c r="N394" s="630"/>
      <c r="O394" s="630"/>
      <c r="P394" s="630"/>
      <c r="Q394" s="630"/>
      <c r="R394" s="628" t="s">
        <v>52</v>
      </c>
      <c r="S394" s="631"/>
    </row>
    <row r="395" ht="13.5" customHeight="1">
      <c r="A395" s="622">
        <v>395.0</v>
      </c>
      <c r="B395" s="681" t="s">
        <v>782</v>
      </c>
      <c r="C395" s="681" t="s">
        <v>24</v>
      </c>
      <c r="D395" s="624" t="str">
        <f t="shared" si="1"/>
        <v>V</v>
      </c>
      <c r="E395" s="625" t="str">
        <f t="shared" si="5"/>
        <v>FA351/V/01</v>
      </c>
      <c r="F395" s="707" t="s">
        <v>783</v>
      </c>
      <c r="G395" s="626">
        <v>45378.0</v>
      </c>
      <c r="H395" s="682">
        <v>7000000.0</v>
      </c>
      <c r="I395" s="682"/>
      <c r="J395" s="630" t="s">
        <v>97</v>
      </c>
      <c r="K395" s="630" t="s">
        <v>51</v>
      </c>
      <c r="L395" s="628" t="s">
        <v>8</v>
      </c>
      <c r="M395" s="629" t="str">
        <f t="shared" si="3"/>
        <v>01</v>
      </c>
      <c r="N395" s="630"/>
      <c r="O395" s="630"/>
      <c r="P395" s="630"/>
      <c r="Q395" s="630"/>
      <c r="R395" s="628" t="s">
        <v>52</v>
      </c>
      <c r="S395" s="631"/>
    </row>
    <row r="396" ht="13.5" customHeight="1">
      <c r="A396" s="622">
        <v>396.0</v>
      </c>
      <c r="B396" s="681" t="s">
        <v>784</v>
      </c>
      <c r="C396" s="681" t="s">
        <v>24</v>
      </c>
      <c r="D396" s="624" t="str">
        <f t="shared" si="1"/>
        <v>V</v>
      </c>
      <c r="E396" s="625" t="str">
        <f t="shared" si="5"/>
        <v>FA352/V/01</v>
      </c>
      <c r="F396" s="707" t="s">
        <v>785</v>
      </c>
      <c r="G396" s="626">
        <v>45378.0</v>
      </c>
      <c r="H396" s="682">
        <v>7000000.0</v>
      </c>
      <c r="I396" s="682"/>
      <c r="J396" s="630" t="s">
        <v>97</v>
      </c>
      <c r="K396" s="630" t="s">
        <v>51</v>
      </c>
      <c r="L396" s="628" t="s">
        <v>8</v>
      </c>
      <c r="M396" s="629" t="str">
        <f t="shared" si="3"/>
        <v>01</v>
      </c>
      <c r="N396" s="630"/>
      <c r="O396" s="630"/>
      <c r="P396" s="630"/>
      <c r="Q396" s="630"/>
      <c r="R396" s="628" t="s">
        <v>52</v>
      </c>
      <c r="S396" s="631"/>
    </row>
    <row r="397" ht="13.5" customHeight="1">
      <c r="A397" s="697">
        <v>397.0</v>
      </c>
      <c r="B397" s="683" t="s">
        <v>786</v>
      </c>
      <c r="C397" s="683" t="s">
        <v>6</v>
      </c>
      <c r="D397" s="604" t="str">
        <f t="shared" si="1"/>
        <v>I</v>
      </c>
      <c r="E397" s="605" t="str">
        <f t="shared" si="5"/>
        <v>FA353/I/02</v>
      </c>
      <c r="F397" s="608" t="s">
        <v>787</v>
      </c>
      <c r="G397" s="606">
        <v>45412.0</v>
      </c>
      <c r="H397" s="684">
        <v>6780000.0</v>
      </c>
      <c r="I397" s="684"/>
      <c r="J397" s="608" t="s">
        <v>1906</v>
      </c>
      <c r="K397" s="605" t="s">
        <v>51</v>
      </c>
      <c r="L397" s="401" t="s">
        <v>13</v>
      </c>
      <c r="M397" s="609" t="str">
        <f t="shared" si="3"/>
        <v>02</v>
      </c>
      <c r="N397" s="608" t="s">
        <v>788</v>
      </c>
      <c r="O397" s="608"/>
      <c r="P397" s="608"/>
      <c r="Q397" s="608"/>
      <c r="R397" s="401" t="s">
        <v>52</v>
      </c>
      <c r="S397" s="610"/>
    </row>
    <row r="398" ht="13.5" customHeight="1">
      <c r="A398" s="622">
        <v>398.0</v>
      </c>
      <c r="B398" s="681" t="s">
        <v>789</v>
      </c>
      <c r="C398" s="681" t="s">
        <v>6</v>
      </c>
      <c r="D398" s="624" t="str">
        <f t="shared" si="1"/>
        <v>I</v>
      </c>
      <c r="E398" s="625" t="str">
        <f t="shared" si="5"/>
        <v>FA354/I/01</v>
      </c>
      <c r="F398" s="630" t="s">
        <v>790</v>
      </c>
      <c r="G398" s="626">
        <v>45412.0</v>
      </c>
      <c r="H398" s="682">
        <v>3975000.0</v>
      </c>
      <c r="I398" s="682"/>
      <c r="J398" s="630"/>
      <c r="K398" s="628" t="s">
        <v>158</v>
      </c>
      <c r="L398" s="630" t="s">
        <v>8</v>
      </c>
      <c r="M398" s="629" t="str">
        <f t="shared" si="3"/>
        <v>01</v>
      </c>
      <c r="N398" s="630" t="s">
        <v>791</v>
      </c>
      <c r="O398" s="630"/>
      <c r="P398" s="630"/>
      <c r="Q398" s="630"/>
      <c r="R398" s="628" t="s">
        <v>52</v>
      </c>
      <c r="S398" s="631"/>
    </row>
    <row r="399" ht="13.5" customHeight="1">
      <c r="A399" s="602">
        <v>399.0</v>
      </c>
      <c r="B399" s="683" t="s">
        <v>792</v>
      </c>
      <c r="C399" s="683" t="s">
        <v>11</v>
      </c>
      <c r="D399" s="604" t="str">
        <f t="shared" si="1"/>
        <v>II</v>
      </c>
      <c r="E399" s="605" t="str">
        <f t="shared" si="5"/>
        <v>FA355/II/02</v>
      </c>
      <c r="F399" s="608" t="s">
        <v>793</v>
      </c>
      <c r="G399" s="606">
        <v>45412.0</v>
      </c>
      <c r="H399" s="704">
        <v>1600000.0</v>
      </c>
      <c r="I399" s="684"/>
      <c r="J399" s="401" t="s">
        <v>1906</v>
      </c>
      <c r="K399" s="608" t="s">
        <v>95</v>
      </c>
      <c r="L399" s="401" t="s">
        <v>13</v>
      </c>
      <c r="M399" s="609" t="str">
        <f t="shared" si="3"/>
        <v>02</v>
      </c>
      <c r="N399" s="608"/>
      <c r="O399" s="608"/>
      <c r="P399" s="608"/>
      <c r="Q399" s="608"/>
      <c r="R399" s="401" t="s">
        <v>52</v>
      </c>
      <c r="S399" s="610"/>
    </row>
    <row r="400" ht="13.5" customHeight="1">
      <c r="A400" s="602">
        <v>400.0</v>
      </c>
      <c r="B400" s="683" t="s">
        <v>794</v>
      </c>
      <c r="C400" s="683" t="s">
        <v>11</v>
      </c>
      <c r="D400" s="604" t="str">
        <f t="shared" si="1"/>
        <v>II</v>
      </c>
      <c r="E400" s="605" t="str">
        <f t="shared" si="5"/>
        <v>FA356/II/02</v>
      </c>
      <c r="F400" s="608" t="s">
        <v>793</v>
      </c>
      <c r="G400" s="606">
        <v>45412.0</v>
      </c>
      <c r="H400" s="704">
        <v>1600000.0</v>
      </c>
      <c r="I400" s="684"/>
      <c r="J400" s="401" t="s">
        <v>1906</v>
      </c>
      <c r="K400" s="608" t="s">
        <v>95</v>
      </c>
      <c r="L400" s="401" t="s">
        <v>13</v>
      </c>
      <c r="M400" s="609" t="str">
        <f t="shared" si="3"/>
        <v>02</v>
      </c>
      <c r="N400" s="608"/>
      <c r="O400" s="608"/>
      <c r="P400" s="608"/>
      <c r="Q400" s="608"/>
      <c r="R400" s="401" t="s">
        <v>52</v>
      </c>
      <c r="S400" s="610"/>
    </row>
    <row r="401" ht="13.5" customHeight="1">
      <c r="A401" s="602">
        <v>401.0</v>
      </c>
      <c r="B401" s="683" t="s">
        <v>795</v>
      </c>
      <c r="C401" s="683" t="s">
        <v>24</v>
      </c>
      <c r="D401" s="604" t="str">
        <f t="shared" si="1"/>
        <v>V</v>
      </c>
      <c r="E401" s="605" t="str">
        <f t="shared" si="5"/>
        <v>FA357/V/02</v>
      </c>
      <c r="F401" s="605" t="s">
        <v>796</v>
      </c>
      <c r="G401" s="606">
        <v>45412.0</v>
      </c>
      <c r="H401" s="684">
        <v>1328700.0</v>
      </c>
      <c r="I401" s="684"/>
      <c r="J401" s="401" t="s">
        <v>1906</v>
      </c>
      <c r="K401" s="401" t="s">
        <v>323</v>
      </c>
      <c r="L401" s="401" t="s">
        <v>13</v>
      </c>
      <c r="M401" s="609" t="str">
        <f t="shared" si="3"/>
        <v>02</v>
      </c>
      <c r="N401" s="608" t="s">
        <v>485</v>
      </c>
      <c r="O401" s="608"/>
      <c r="P401" s="608"/>
      <c r="Q401" s="608"/>
      <c r="R401" s="401" t="s">
        <v>52</v>
      </c>
      <c r="S401" s="610"/>
    </row>
    <row r="402" ht="13.5" customHeight="1">
      <c r="A402" s="678">
        <v>402.0</v>
      </c>
      <c r="B402" s="681" t="s">
        <v>797</v>
      </c>
      <c r="C402" s="681" t="s">
        <v>6</v>
      </c>
      <c r="D402" s="624" t="str">
        <f t="shared" si="1"/>
        <v>I</v>
      </c>
      <c r="E402" s="625" t="str">
        <f t="shared" si="5"/>
        <v>FA358/I/01</v>
      </c>
      <c r="F402" s="628" t="s">
        <v>798</v>
      </c>
      <c r="G402" s="706">
        <v>45420.0</v>
      </c>
      <c r="H402" s="696">
        <v>642100.0</v>
      </c>
      <c r="I402" s="696"/>
      <c r="J402" s="628"/>
      <c r="K402" s="628" t="s">
        <v>95</v>
      </c>
      <c r="L402" s="628" t="s">
        <v>8</v>
      </c>
      <c r="M402" s="629" t="str">
        <f t="shared" si="3"/>
        <v>01</v>
      </c>
      <c r="N402" s="628" t="s">
        <v>799</v>
      </c>
      <c r="O402" s="630"/>
      <c r="P402" s="630"/>
      <c r="Q402" s="630"/>
      <c r="R402" s="628" t="s">
        <v>52</v>
      </c>
      <c r="S402" s="631"/>
    </row>
    <row r="403" ht="13.5" customHeight="1">
      <c r="A403" s="622">
        <v>403.0</v>
      </c>
      <c r="B403" s="681" t="s">
        <v>800</v>
      </c>
      <c r="C403" s="681" t="s">
        <v>6</v>
      </c>
      <c r="D403" s="624" t="str">
        <f t="shared" si="1"/>
        <v>I</v>
      </c>
      <c r="E403" s="625" t="str">
        <f t="shared" si="5"/>
        <v>FA359/I/01</v>
      </c>
      <c r="F403" s="628" t="s">
        <v>798</v>
      </c>
      <c r="G403" s="706">
        <v>45420.0</v>
      </c>
      <c r="H403" s="696">
        <v>642100.0</v>
      </c>
      <c r="I403" s="696"/>
      <c r="J403" s="628"/>
      <c r="K403" s="628" t="s">
        <v>95</v>
      </c>
      <c r="L403" s="628" t="s">
        <v>8</v>
      </c>
      <c r="M403" s="629" t="str">
        <f t="shared" si="3"/>
        <v>01</v>
      </c>
      <c r="N403" s="628" t="s">
        <v>799</v>
      </c>
      <c r="O403" s="630"/>
      <c r="P403" s="630"/>
      <c r="Q403" s="630"/>
      <c r="R403" s="628" t="s">
        <v>52</v>
      </c>
      <c r="S403" s="631"/>
    </row>
    <row r="404" ht="13.5" customHeight="1">
      <c r="A404" s="622">
        <v>404.0</v>
      </c>
      <c r="B404" s="681" t="s">
        <v>801</v>
      </c>
      <c r="C404" s="681" t="s">
        <v>6</v>
      </c>
      <c r="D404" s="624" t="str">
        <f t="shared" si="1"/>
        <v>I</v>
      </c>
      <c r="E404" s="625" t="str">
        <f t="shared" si="5"/>
        <v>FA360/I/01</v>
      </c>
      <c r="F404" s="628" t="s">
        <v>798</v>
      </c>
      <c r="G404" s="706">
        <v>45420.0</v>
      </c>
      <c r="H404" s="696">
        <v>642100.0</v>
      </c>
      <c r="I404" s="696"/>
      <c r="J404" s="628"/>
      <c r="K404" s="628" t="s">
        <v>95</v>
      </c>
      <c r="L404" s="628" t="s">
        <v>8</v>
      </c>
      <c r="M404" s="629" t="str">
        <f t="shared" si="3"/>
        <v>01</v>
      </c>
      <c r="N404" s="628" t="s">
        <v>799</v>
      </c>
      <c r="O404" s="630"/>
      <c r="P404" s="630"/>
      <c r="Q404" s="630"/>
      <c r="R404" s="628" t="s">
        <v>52</v>
      </c>
      <c r="S404" s="631"/>
    </row>
    <row r="405" ht="13.5" customHeight="1">
      <c r="A405" s="622">
        <v>405.0</v>
      </c>
      <c r="B405" s="681" t="s">
        <v>802</v>
      </c>
      <c r="C405" s="681" t="s">
        <v>6</v>
      </c>
      <c r="D405" s="624" t="str">
        <f t="shared" si="1"/>
        <v>I</v>
      </c>
      <c r="E405" s="625" t="str">
        <f t="shared" si="5"/>
        <v>FA361/I/01</v>
      </c>
      <c r="F405" s="628" t="s">
        <v>798</v>
      </c>
      <c r="G405" s="706">
        <v>45420.0</v>
      </c>
      <c r="H405" s="696">
        <v>642100.0</v>
      </c>
      <c r="I405" s="696"/>
      <c r="J405" s="628"/>
      <c r="K405" s="628" t="s">
        <v>95</v>
      </c>
      <c r="L405" s="628" t="s">
        <v>8</v>
      </c>
      <c r="M405" s="629" t="str">
        <f t="shared" si="3"/>
        <v>01</v>
      </c>
      <c r="N405" s="628" t="s">
        <v>799</v>
      </c>
      <c r="O405" s="630"/>
      <c r="P405" s="630"/>
      <c r="Q405" s="630"/>
      <c r="R405" s="628" t="s">
        <v>52</v>
      </c>
      <c r="S405" s="631"/>
    </row>
    <row r="406" ht="13.5" customHeight="1">
      <c r="A406" s="622">
        <v>406.0</v>
      </c>
      <c r="B406" s="681" t="s">
        <v>803</v>
      </c>
      <c r="C406" s="681" t="s">
        <v>6</v>
      </c>
      <c r="D406" s="624" t="str">
        <f t="shared" si="1"/>
        <v>I</v>
      </c>
      <c r="E406" s="625" t="str">
        <f t="shared" si="5"/>
        <v>FA362/I/01</v>
      </c>
      <c r="F406" s="628" t="s">
        <v>798</v>
      </c>
      <c r="G406" s="706">
        <v>45420.0</v>
      </c>
      <c r="H406" s="696">
        <v>642100.0</v>
      </c>
      <c r="I406" s="696"/>
      <c r="J406" s="628"/>
      <c r="K406" s="628" t="s">
        <v>95</v>
      </c>
      <c r="L406" s="628" t="s">
        <v>8</v>
      </c>
      <c r="M406" s="629" t="str">
        <f t="shared" si="3"/>
        <v>01</v>
      </c>
      <c r="N406" s="628" t="s">
        <v>799</v>
      </c>
      <c r="O406" s="630"/>
      <c r="P406" s="630"/>
      <c r="Q406" s="630"/>
      <c r="R406" s="628" t="s">
        <v>52</v>
      </c>
      <c r="S406" s="631"/>
    </row>
    <row r="407" ht="13.5" customHeight="1">
      <c r="A407" s="678">
        <v>407.0</v>
      </c>
      <c r="B407" s="681" t="s">
        <v>804</v>
      </c>
      <c r="C407" s="681" t="s">
        <v>6</v>
      </c>
      <c r="D407" s="624" t="str">
        <f t="shared" si="1"/>
        <v>I</v>
      </c>
      <c r="E407" s="625" t="str">
        <f t="shared" si="5"/>
        <v>FA363/I/01</v>
      </c>
      <c r="F407" s="628" t="s">
        <v>798</v>
      </c>
      <c r="G407" s="706">
        <v>45420.0</v>
      </c>
      <c r="H407" s="696">
        <v>642100.0</v>
      </c>
      <c r="I407" s="696"/>
      <c r="J407" s="628"/>
      <c r="K407" s="628" t="s">
        <v>95</v>
      </c>
      <c r="L407" s="628" t="s">
        <v>8</v>
      </c>
      <c r="M407" s="629" t="str">
        <f t="shared" si="3"/>
        <v>01</v>
      </c>
      <c r="N407" s="628" t="s">
        <v>799</v>
      </c>
      <c r="O407" s="630"/>
      <c r="P407" s="630"/>
      <c r="Q407" s="630"/>
      <c r="R407" s="628" t="s">
        <v>52</v>
      </c>
      <c r="S407" s="631"/>
    </row>
    <row r="408" ht="13.5" customHeight="1">
      <c r="A408" s="622">
        <v>408.0</v>
      </c>
      <c r="B408" s="681" t="s">
        <v>805</v>
      </c>
      <c r="C408" s="681" t="s">
        <v>6</v>
      </c>
      <c r="D408" s="624" t="str">
        <f t="shared" si="1"/>
        <v>I</v>
      </c>
      <c r="E408" s="625" t="str">
        <f t="shared" si="5"/>
        <v>FA364/I/01</v>
      </c>
      <c r="F408" s="628" t="s">
        <v>798</v>
      </c>
      <c r="G408" s="706">
        <v>45420.0</v>
      </c>
      <c r="H408" s="696">
        <v>642100.0</v>
      </c>
      <c r="I408" s="696"/>
      <c r="J408" s="628"/>
      <c r="K408" s="628" t="s">
        <v>95</v>
      </c>
      <c r="L408" s="628" t="s">
        <v>8</v>
      </c>
      <c r="M408" s="629" t="str">
        <f t="shared" si="3"/>
        <v>01</v>
      </c>
      <c r="N408" s="628" t="s">
        <v>799</v>
      </c>
      <c r="O408" s="630"/>
      <c r="P408" s="630"/>
      <c r="Q408" s="630"/>
      <c r="R408" s="628" t="s">
        <v>52</v>
      </c>
      <c r="S408" s="631"/>
    </row>
    <row r="409" ht="13.5" customHeight="1">
      <c r="A409" s="622">
        <v>409.0</v>
      </c>
      <c r="B409" s="681" t="s">
        <v>806</v>
      </c>
      <c r="C409" s="681" t="s">
        <v>6</v>
      </c>
      <c r="D409" s="624" t="str">
        <f t="shared" si="1"/>
        <v>I</v>
      </c>
      <c r="E409" s="625" t="str">
        <f t="shared" si="5"/>
        <v>FA365/I/01</v>
      </c>
      <c r="F409" s="628" t="s">
        <v>798</v>
      </c>
      <c r="G409" s="706">
        <v>45420.0</v>
      </c>
      <c r="H409" s="696">
        <v>642100.0</v>
      </c>
      <c r="I409" s="696"/>
      <c r="J409" s="628"/>
      <c r="K409" s="628" t="s">
        <v>95</v>
      </c>
      <c r="L409" s="628" t="s">
        <v>8</v>
      </c>
      <c r="M409" s="629" t="str">
        <f t="shared" si="3"/>
        <v>01</v>
      </c>
      <c r="N409" s="628" t="s">
        <v>799</v>
      </c>
      <c r="O409" s="630"/>
      <c r="P409" s="630"/>
      <c r="Q409" s="630"/>
      <c r="R409" s="628" t="s">
        <v>52</v>
      </c>
      <c r="S409" s="631"/>
    </row>
    <row r="410" ht="13.5" customHeight="1">
      <c r="A410" s="622">
        <v>410.0</v>
      </c>
      <c r="B410" s="681" t="s">
        <v>807</v>
      </c>
      <c r="C410" s="681" t="s">
        <v>6</v>
      </c>
      <c r="D410" s="624" t="str">
        <f t="shared" si="1"/>
        <v>I</v>
      </c>
      <c r="E410" s="625" t="str">
        <f t="shared" si="5"/>
        <v>FA366/I/01</v>
      </c>
      <c r="F410" s="628" t="s">
        <v>798</v>
      </c>
      <c r="G410" s="706">
        <v>45420.0</v>
      </c>
      <c r="H410" s="696">
        <v>642100.0</v>
      </c>
      <c r="I410" s="696"/>
      <c r="J410" s="628"/>
      <c r="K410" s="628" t="s">
        <v>95</v>
      </c>
      <c r="L410" s="628" t="s">
        <v>8</v>
      </c>
      <c r="M410" s="629" t="str">
        <f t="shared" si="3"/>
        <v>01</v>
      </c>
      <c r="N410" s="628" t="s">
        <v>799</v>
      </c>
      <c r="O410" s="630"/>
      <c r="P410" s="630"/>
      <c r="Q410" s="630"/>
      <c r="R410" s="628" t="s">
        <v>52</v>
      </c>
      <c r="S410" s="631"/>
    </row>
    <row r="411" ht="13.5" customHeight="1">
      <c r="A411" s="622">
        <v>411.0</v>
      </c>
      <c r="B411" s="681" t="s">
        <v>808</v>
      </c>
      <c r="C411" s="681" t="s">
        <v>6</v>
      </c>
      <c r="D411" s="624" t="str">
        <f t="shared" si="1"/>
        <v>I</v>
      </c>
      <c r="E411" s="625" t="str">
        <f t="shared" si="5"/>
        <v>FA367/I/01</v>
      </c>
      <c r="F411" s="628" t="s">
        <v>798</v>
      </c>
      <c r="G411" s="706">
        <v>45420.0</v>
      </c>
      <c r="H411" s="696">
        <v>642100.0</v>
      </c>
      <c r="I411" s="696"/>
      <c r="J411" s="628"/>
      <c r="K411" s="628" t="s">
        <v>95</v>
      </c>
      <c r="L411" s="628" t="s">
        <v>8</v>
      </c>
      <c r="M411" s="629" t="str">
        <f t="shared" si="3"/>
        <v>01</v>
      </c>
      <c r="N411" s="628" t="s">
        <v>799</v>
      </c>
      <c r="O411" s="630"/>
      <c r="P411" s="630"/>
      <c r="Q411" s="630"/>
      <c r="R411" s="628" t="s">
        <v>52</v>
      </c>
      <c r="S411" s="631"/>
    </row>
    <row r="412" ht="13.5" customHeight="1">
      <c r="A412" s="678">
        <v>412.0</v>
      </c>
      <c r="B412" s="681" t="s">
        <v>809</v>
      </c>
      <c r="C412" s="681" t="s">
        <v>6</v>
      </c>
      <c r="D412" s="624" t="str">
        <f t="shared" si="1"/>
        <v>I</v>
      </c>
      <c r="E412" s="625" t="str">
        <f t="shared" si="5"/>
        <v>FA368/I/01</v>
      </c>
      <c r="F412" s="628" t="s">
        <v>798</v>
      </c>
      <c r="G412" s="706">
        <v>45420.0</v>
      </c>
      <c r="H412" s="696">
        <v>642100.0</v>
      </c>
      <c r="I412" s="696"/>
      <c r="J412" s="628"/>
      <c r="K412" s="628" t="s">
        <v>95</v>
      </c>
      <c r="L412" s="628" t="s">
        <v>8</v>
      </c>
      <c r="M412" s="629" t="str">
        <f t="shared" si="3"/>
        <v>01</v>
      </c>
      <c r="N412" s="628" t="s">
        <v>799</v>
      </c>
      <c r="O412" s="630"/>
      <c r="P412" s="630"/>
      <c r="Q412" s="630"/>
      <c r="R412" s="628" t="s">
        <v>52</v>
      </c>
      <c r="S412" s="631"/>
    </row>
    <row r="413" ht="13.5" customHeight="1">
      <c r="A413" s="622">
        <v>413.0</v>
      </c>
      <c r="B413" s="681" t="s">
        <v>810</v>
      </c>
      <c r="C413" s="681" t="s">
        <v>6</v>
      </c>
      <c r="D413" s="624" t="str">
        <f t="shared" si="1"/>
        <v>I</v>
      </c>
      <c r="E413" s="625" t="str">
        <f t="shared" si="5"/>
        <v>FA369/I/01</v>
      </c>
      <c r="F413" s="628" t="s">
        <v>798</v>
      </c>
      <c r="G413" s="706">
        <v>45420.0</v>
      </c>
      <c r="H413" s="696">
        <v>642100.0</v>
      </c>
      <c r="I413" s="696"/>
      <c r="J413" s="628"/>
      <c r="K413" s="628" t="s">
        <v>95</v>
      </c>
      <c r="L413" s="628" t="s">
        <v>8</v>
      </c>
      <c r="M413" s="629" t="str">
        <f t="shared" si="3"/>
        <v>01</v>
      </c>
      <c r="N413" s="628" t="s">
        <v>799</v>
      </c>
      <c r="O413" s="630"/>
      <c r="P413" s="630"/>
      <c r="Q413" s="630"/>
      <c r="R413" s="628" t="s">
        <v>52</v>
      </c>
      <c r="S413" s="631"/>
    </row>
    <row r="414" ht="13.5" customHeight="1">
      <c r="A414" s="622">
        <v>414.0</v>
      </c>
      <c r="B414" s="681" t="s">
        <v>811</v>
      </c>
      <c r="C414" s="681" t="s">
        <v>6</v>
      </c>
      <c r="D414" s="624" t="str">
        <f t="shared" si="1"/>
        <v>I</v>
      </c>
      <c r="E414" s="625" t="str">
        <f t="shared" si="5"/>
        <v>FA370/I/01</v>
      </c>
      <c r="F414" s="630" t="s">
        <v>812</v>
      </c>
      <c r="G414" s="626">
        <v>45420.0</v>
      </c>
      <c r="H414" s="696">
        <v>1210200.0</v>
      </c>
      <c r="I414" s="682"/>
      <c r="J414" s="628"/>
      <c r="K414" s="630" t="s">
        <v>95</v>
      </c>
      <c r="L414" s="630" t="s">
        <v>8</v>
      </c>
      <c r="M414" s="629" t="str">
        <f t="shared" si="3"/>
        <v>01</v>
      </c>
      <c r="N414" s="630" t="s">
        <v>813</v>
      </c>
      <c r="O414" s="630"/>
      <c r="P414" s="630"/>
      <c r="Q414" s="630"/>
      <c r="R414" s="630" t="s">
        <v>52</v>
      </c>
      <c r="S414" s="631"/>
    </row>
    <row r="415" ht="13.5" customHeight="1">
      <c r="A415" s="622">
        <v>415.0</v>
      </c>
      <c r="B415" s="681" t="s">
        <v>814</v>
      </c>
      <c r="C415" s="681" t="s">
        <v>6</v>
      </c>
      <c r="D415" s="624" t="str">
        <f t="shared" si="1"/>
        <v>I</v>
      </c>
      <c r="E415" s="625" t="str">
        <f t="shared" si="5"/>
        <v>FA371/I/01</v>
      </c>
      <c r="F415" s="630" t="s">
        <v>815</v>
      </c>
      <c r="G415" s="626">
        <v>45420.0</v>
      </c>
      <c r="H415" s="696">
        <v>816900.0</v>
      </c>
      <c r="I415" s="682"/>
      <c r="J415" s="628" t="s">
        <v>1660</v>
      </c>
      <c r="K415" s="630" t="s">
        <v>95</v>
      </c>
      <c r="L415" s="630" t="s">
        <v>8</v>
      </c>
      <c r="M415" s="629" t="str">
        <f t="shared" si="3"/>
        <v>01</v>
      </c>
      <c r="N415" s="630"/>
      <c r="O415" s="630"/>
      <c r="P415" s="630"/>
      <c r="Q415" s="630"/>
      <c r="R415" s="628" t="s">
        <v>52</v>
      </c>
      <c r="S415" s="631"/>
    </row>
    <row r="416" ht="13.5" customHeight="1">
      <c r="A416" s="622">
        <v>416.0</v>
      </c>
      <c r="B416" s="681" t="s">
        <v>816</v>
      </c>
      <c r="C416" s="681" t="s">
        <v>6</v>
      </c>
      <c r="D416" s="624" t="str">
        <f t="shared" si="1"/>
        <v>I</v>
      </c>
      <c r="E416" s="625" t="str">
        <f t="shared" si="5"/>
        <v>FA372/I/01</v>
      </c>
      <c r="F416" s="630" t="s">
        <v>815</v>
      </c>
      <c r="G416" s="626">
        <v>45420.0</v>
      </c>
      <c r="H416" s="696">
        <v>816900.0</v>
      </c>
      <c r="I416" s="682"/>
      <c r="J416" s="628" t="s">
        <v>1660</v>
      </c>
      <c r="K416" s="628" t="s">
        <v>51</v>
      </c>
      <c r="L416" s="630" t="s">
        <v>8</v>
      </c>
      <c r="M416" s="629" t="str">
        <f t="shared" si="3"/>
        <v>01</v>
      </c>
      <c r="N416" s="630"/>
      <c r="O416" s="630"/>
      <c r="P416" s="630"/>
      <c r="Q416" s="630"/>
      <c r="R416" s="628" t="s">
        <v>52</v>
      </c>
      <c r="S416" s="631"/>
    </row>
    <row r="417" ht="13.5" customHeight="1">
      <c r="A417" s="678">
        <v>417.0</v>
      </c>
      <c r="B417" s="681" t="s">
        <v>817</v>
      </c>
      <c r="C417" s="681" t="s">
        <v>11</v>
      </c>
      <c r="D417" s="624" t="str">
        <f t="shared" si="1"/>
        <v>II</v>
      </c>
      <c r="E417" s="625" t="str">
        <f t="shared" si="5"/>
        <v>FA373/II/01</v>
      </c>
      <c r="F417" s="630" t="s">
        <v>1947</v>
      </c>
      <c r="G417" s="626">
        <v>45443.0</v>
      </c>
      <c r="H417" s="696">
        <v>799000.0</v>
      </c>
      <c r="I417" s="682"/>
      <c r="J417" s="628"/>
      <c r="K417" s="628" t="s">
        <v>1890</v>
      </c>
      <c r="L417" s="630" t="s">
        <v>8</v>
      </c>
      <c r="M417" s="629" t="str">
        <f t="shared" si="3"/>
        <v>01</v>
      </c>
      <c r="N417" s="630" t="s">
        <v>155</v>
      </c>
      <c r="O417" s="630"/>
      <c r="P417" s="630"/>
      <c r="Q417" s="630"/>
      <c r="R417" s="628" t="s">
        <v>52</v>
      </c>
      <c r="S417" s="631"/>
    </row>
    <row r="418" ht="13.5" customHeight="1">
      <c r="A418" s="622">
        <v>418.0</v>
      </c>
      <c r="B418" s="681" t="s">
        <v>818</v>
      </c>
      <c r="C418" s="681" t="s">
        <v>11</v>
      </c>
      <c r="D418" s="624" t="str">
        <f t="shared" si="1"/>
        <v>II</v>
      </c>
      <c r="E418" s="625" t="str">
        <f t="shared" si="5"/>
        <v>FA374/II/01</v>
      </c>
      <c r="F418" s="630" t="s">
        <v>1947</v>
      </c>
      <c r="G418" s="626">
        <v>45443.0</v>
      </c>
      <c r="H418" s="696">
        <v>799000.0</v>
      </c>
      <c r="I418" s="682"/>
      <c r="J418" s="628" t="s">
        <v>1925</v>
      </c>
      <c r="K418" s="628" t="s">
        <v>81</v>
      </c>
      <c r="L418" s="630" t="s">
        <v>8</v>
      </c>
      <c r="M418" s="629" t="str">
        <f t="shared" si="3"/>
        <v>01</v>
      </c>
      <c r="N418" s="630" t="s">
        <v>155</v>
      </c>
      <c r="O418" s="630"/>
      <c r="P418" s="630"/>
      <c r="Q418" s="630"/>
      <c r="R418" s="628" t="s">
        <v>52</v>
      </c>
      <c r="S418" s="631"/>
    </row>
    <row r="419" ht="13.5" customHeight="1">
      <c r="A419" s="622">
        <v>419.0</v>
      </c>
      <c r="B419" s="681" t="s">
        <v>819</v>
      </c>
      <c r="C419" s="681" t="s">
        <v>11</v>
      </c>
      <c r="D419" s="624" t="str">
        <f t="shared" si="1"/>
        <v>II</v>
      </c>
      <c r="E419" s="625" t="str">
        <f t="shared" si="5"/>
        <v>FA375/II/01</v>
      </c>
      <c r="F419" s="630" t="s">
        <v>1947</v>
      </c>
      <c r="G419" s="626">
        <v>45443.0</v>
      </c>
      <c r="H419" s="696">
        <v>799000.0</v>
      </c>
      <c r="I419" s="682"/>
      <c r="J419" s="628" t="s">
        <v>1937</v>
      </c>
      <c r="K419" s="628" t="s">
        <v>108</v>
      </c>
      <c r="L419" s="630" t="s">
        <v>8</v>
      </c>
      <c r="M419" s="629" t="str">
        <f t="shared" si="3"/>
        <v>01</v>
      </c>
      <c r="N419" s="630" t="s">
        <v>155</v>
      </c>
      <c r="O419" s="630"/>
      <c r="P419" s="630"/>
      <c r="Q419" s="630"/>
      <c r="R419" s="628" t="s">
        <v>52</v>
      </c>
      <c r="S419" s="631"/>
    </row>
    <row r="420" ht="13.5" customHeight="1">
      <c r="A420" s="622">
        <v>420.0</v>
      </c>
      <c r="B420" s="681" t="s">
        <v>820</v>
      </c>
      <c r="C420" s="681" t="s">
        <v>6</v>
      </c>
      <c r="D420" s="624" t="str">
        <f t="shared" si="1"/>
        <v>I</v>
      </c>
      <c r="E420" s="625" t="str">
        <f t="shared" si="5"/>
        <v>FA376/I/01</v>
      </c>
      <c r="F420" s="628" t="s">
        <v>798</v>
      </c>
      <c r="G420" s="706">
        <v>45447.0</v>
      </c>
      <c r="H420" s="696">
        <v>651200.0</v>
      </c>
      <c r="I420" s="696"/>
      <c r="J420" s="630"/>
      <c r="K420" s="628" t="s">
        <v>95</v>
      </c>
      <c r="L420" s="628" t="s">
        <v>8</v>
      </c>
      <c r="M420" s="629" t="str">
        <f t="shared" si="3"/>
        <v>01</v>
      </c>
      <c r="N420" s="628" t="s">
        <v>799</v>
      </c>
      <c r="O420" s="630"/>
      <c r="P420" s="630"/>
      <c r="Q420" s="630"/>
      <c r="R420" s="628" t="s">
        <v>52</v>
      </c>
      <c r="S420" s="631"/>
    </row>
    <row r="421" ht="13.5" customHeight="1">
      <c r="A421" s="622">
        <v>421.0</v>
      </c>
      <c r="B421" s="681" t="s">
        <v>821</v>
      </c>
      <c r="C421" s="681" t="s">
        <v>16</v>
      </c>
      <c r="D421" s="624" t="str">
        <f t="shared" si="1"/>
        <v>III</v>
      </c>
      <c r="E421" s="625" t="str">
        <f t="shared" si="5"/>
        <v>FA377/III/01</v>
      </c>
      <c r="F421" s="628" t="s">
        <v>822</v>
      </c>
      <c r="G421" s="706">
        <v>45450.0</v>
      </c>
      <c r="H421" s="696">
        <v>5396175.0</v>
      </c>
      <c r="I421" s="696"/>
      <c r="J421" s="628" t="s">
        <v>1887</v>
      </c>
      <c r="K421" s="628" t="s">
        <v>95</v>
      </c>
      <c r="L421" s="628" t="s">
        <v>8</v>
      </c>
      <c r="M421" s="629" t="str">
        <f t="shared" si="3"/>
        <v>01</v>
      </c>
      <c r="N421" s="628" t="s">
        <v>121</v>
      </c>
      <c r="O421" s="630"/>
      <c r="P421" s="630"/>
      <c r="Q421" s="630"/>
      <c r="R421" s="628" t="s">
        <v>52</v>
      </c>
      <c r="S421" s="631"/>
    </row>
    <row r="422" ht="13.5" customHeight="1">
      <c r="A422" s="678">
        <v>422.0</v>
      </c>
      <c r="B422" s="681" t="s">
        <v>823</v>
      </c>
      <c r="C422" s="681" t="s">
        <v>11</v>
      </c>
      <c r="D422" s="624" t="str">
        <f t="shared" si="1"/>
        <v>II</v>
      </c>
      <c r="E422" s="625" t="str">
        <f t="shared" si="5"/>
        <v>FA378/II/01</v>
      </c>
      <c r="F422" s="628" t="s">
        <v>824</v>
      </c>
      <c r="G422" s="706">
        <v>45462.0</v>
      </c>
      <c r="H422" s="696">
        <v>576340.0</v>
      </c>
      <c r="I422" s="696"/>
      <c r="J422" s="628" t="s">
        <v>1916</v>
      </c>
      <c r="K422" s="628" t="s">
        <v>47</v>
      </c>
      <c r="L422" s="628" t="s">
        <v>8</v>
      </c>
      <c r="M422" s="629" t="str">
        <f t="shared" si="3"/>
        <v>01</v>
      </c>
      <c r="N422" s="630"/>
      <c r="O422" s="630"/>
      <c r="P422" s="630"/>
      <c r="Q422" s="630"/>
      <c r="R422" s="628" t="s">
        <v>52</v>
      </c>
      <c r="S422" s="631"/>
    </row>
    <row r="423" ht="13.5" customHeight="1">
      <c r="A423" s="622">
        <v>423.0</v>
      </c>
      <c r="B423" s="681" t="s">
        <v>825</v>
      </c>
      <c r="C423" s="681" t="s">
        <v>24</v>
      </c>
      <c r="D423" s="624" t="str">
        <f t="shared" si="1"/>
        <v>V</v>
      </c>
      <c r="E423" s="625" t="str">
        <f t="shared" si="5"/>
        <v>FA379/V/01</v>
      </c>
      <c r="F423" s="708" t="s">
        <v>826</v>
      </c>
      <c r="G423" s="709">
        <v>45471.0</v>
      </c>
      <c r="H423" s="710">
        <v>983900.0</v>
      </c>
      <c r="I423" s="710"/>
      <c r="J423" s="630"/>
      <c r="K423" s="628" t="s">
        <v>51</v>
      </c>
      <c r="L423" s="628" t="s">
        <v>8</v>
      </c>
      <c r="M423" s="629" t="str">
        <f t="shared" si="3"/>
        <v>01</v>
      </c>
      <c r="N423" s="628" t="s">
        <v>827</v>
      </c>
      <c r="O423" s="630"/>
      <c r="P423" s="630"/>
      <c r="Q423" s="630"/>
      <c r="R423" s="628" t="s">
        <v>52</v>
      </c>
      <c r="S423" s="631"/>
    </row>
    <row r="424">
      <c r="A424" s="622">
        <v>424.0</v>
      </c>
      <c r="B424" s="681" t="s">
        <v>828</v>
      </c>
      <c r="C424" s="681" t="s">
        <v>24</v>
      </c>
      <c r="D424" s="624" t="str">
        <f t="shared" si="1"/>
        <v>V</v>
      </c>
      <c r="E424" s="625" t="str">
        <f t="shared" si="5"/>
        <v>FA380/V/01</v>
      </c>
      <c r="F424" s="708" t="s">
        <v>829</v>
      </c>
      <c r="G424" s="709">
        <v>45471.0</v>
      </c>
      <c r="H424" s="711">
        <v>563000.0</v>
      </c>
      <c r="I424" s="710"/>
      <c r="J424" s="630"/>
      <c r="K424" s="628" t="s">
        <v>51</v>
      </c>
      <c r="L424" s="628" t="s">
        <v>8</v>
      </c>
      <c r="M424" s="629" t="str">
        <f t="shared" si="3"/>
        <v>01</v>
      </c>
      <c r="N424" s="628"/>
      <c r="O424" s="630"/>
      <c r="P424" s="630"/>
      <c r="Q424" s="630"/>
      <c r="R424" s="628" t="s">
        <v>52</v>
      </c>
      <c r="S424" s="631"/>
    </row>
    <row r="425" ht="13.5" customHeight="1">
      <c r="A425" s="622">
        <v>425.0</v>
      </c>
      <c r="B425" s="681" t="s">
        <v>830</v>
      </c>
      <c r="C425" s="681" t="s">
        <v>6</v>
      </c>
      <c r="D425" s="624" t="str">
        <f t="shared" si="1"/>
        <v>I</v>
      </c>
      <c r="E425" s="625" t="str">
        <f t="shared" si="5"/>
        <v>FA381/I/01</v>
      </c>
      <c r="F425" s="628" t="s">
        <v>831</v>
      </c>
      <c r="G425" s="706">
        <v>45478.0</v>
      </c>
      <c r="H425" s="696">
        <v>1150000.0</v>
      </c>
      <c r="I425" s="696"/>
      <c r="J425" s="630"/>
      <c r="K425" s="628" t="s">
        <v>51</v>
      </c>
      <c r="L425" s="628" t="s">
        <v>8</v>
      </c>
      <c r="M425" s="629" t="str">
        <f t="shared" si="3"/>
        <v>01</v>
      </c>
      <c r="N425" s="628" t="s">
        <v>832</v>
      </c>
      <c r="O425" s="630"/>
      <c r="P425" s="630"/>
      <c r="Q425" s="630"/>
      <c r="R425" s="628" t="s">
        <v>52</v>
      </c>
      <c r="S425" s="631"/>
    </row>
    <row r="426" ht="13.5" customHeight="1">
      <c r="A426" s="622">
        <v>426.0</v>
      </c>
      <c r="B426" s="681" t="s">
        <v>833</v>
      </c>
      <c r="C426" s="681" t="s">
        <v>11</v>
      </c>
      <c r="D426" s="624" t="str">
        <f t="shared" si="1"/>
        <v>II</v>
      </c>
      <c r="E426" s="625" t="str">
        <f t="shared" si="5"/>
        <v>FA382/II/01</v>
      </c>
      <c r="F426" s="628" t="s">
        <v>834</v>
      </c>
      <c r="G426" s="706">
        <v>45455.0</v>
      </c>
      <c r="H426" s="696">
        <v>1399000.0</v>
      </c>
      <c r="I426" s="696"/>
      <c r="J426" s="630"/>
      <c r="K426" s="628" t="s">
        <v>95</v>
      </c>
      <c r="L426" s="628" t="s">
        <v>8</v>
      </c>
      <c r="M426" s="629" t="str">
        <f t="shared" si="3"/>
        <v>01</v>
      </c>
      <c r="N426" s="628" t="s">
        <v>155</v>
      </c>
      <c r="O426" s="630"/>
      <c r="P426" s="630"/>
      <c r="Q426" s="630"/>
      <c r="R426" s="628" t="s">
        <v>52</v>
      </c>
      <c r="S426" s="631"/>
    </row>
    <row r="427" ht="13.5" customHeight="1">
      <c r="A427" s="678">
        <v>427.0</v>
      </c>
      <c r="B427" s="681" t="s">
        <v>835</v>
      </c>
      <c r="C427" s="681" t="s">
        <v>24</v>
      </c>
      <c r="D427" s="624" t="str">
        <f t="shared" si="1"/>
        <v>V</v>
      </c>
      <c r="E427" s="625" t="str">
        <f t="shared" si="5"/>
        <v>FA383/V/01</v>
      </c>
      <c r="F427" s="712" t="s">
        <v>836</v>
      </c>
      <c r="G427" s="713">
        <v>45476.0</v>
      </c>
      <c r="H427" s="714">
        <v>1350000.0</v>
      </c>
      <c r="I427" s="714"/>
      <c r="J427" s="630"/>
      <c r="K427" s="628" t="s">
        <v>51</v>
      </c>
      <c r="L427" s="628" t="s">
        <v>8</v>
      </c>
      <c r="M427" s="629" t="str">
        <f t="shared" si="3"/>
        <v>01</v>
      </c>
      <c r="N427" s="628" t="s">
        <v>837</v>
      </c>
      <c r="O427" s="630"/>
      <c r="P427" s="630"/>
      <c r="Q427" s="630"/>
      <c r="R427" s="628" t="s">
        <v>52</v>
      </c>
      <c r="S427" s="631"/>
    </row>
    <row r="428" ht="13.5" customHeight="1">
      <c r="A428" s="622">
        <v>428.0</v>
      </c>
      <c r="B428" s="681" t="s">
        <v>838</v>
      </c>
      <c r="C428" s="681" t="s">
        <v>24</v>
      </c>
      <c r="D428" s="624" t="str">
        <f t="shared" si="1"/>
        <v>V</v>
      </c>
      <c r="E428" s="625" t="str">
        <f t="shared" si="5"/>
        <v>FA384/V/01</v>
      </c>
      <c r="F428" s="715" t="s">
        <v>839</v>
      </c>
      <c r="G428" s="713">
        <v>45485.0</v>
      </c>
      <c r="H428" s="714">
        <v>880000.0</v>
      </c>
      <c r="I428" s="714"/>
      <c r="J428" s="630"/>
      <c r="K428" s="628" t="s">
        <v>51</v>
      </c>
      <c r="L428" s="628" t="s">
        <v>8</v>
      </c>
      <c r="M428" s="629" t="str">
        <f t="shared" si="3"/>
        <v>01</v>
      </c>
      <c r="N428" s="628" t="s">
        <v>827</v>
      </c>
      <c r="O428" s="630"/>
      <c r="P428" s="630"/>
      <c r="Q428" s="630"/>
      <c r="R428" s="628" t="s">
        <v>52</v>
      </c>
      <c r="S428" s="631"/>
    </row>
    <row r="429" ht="13.5" customHeight="1">
      <c r="A429" s="622">
        <v>429.0</v>
      </c>
      <c r="B429" s="681" t="s">
        <v>840</v>
      </c>
      <c r="C429" s="681" t="s">
        <v>24</v>
      </c>
      <c r="D429" s="624" t="str">
        <f t="shared" si="1"/>
        <v>V</v>
      </c>
      <c r="E429" s="625" t="str">
        <f t="shared" si="5"/>
        <v>FA385/V/01</v>
      </c>
      <c r="F429" s="712" t="s">
        <v>841</v>
      </c>
      <c r="G429" s="709">
        <v>45492.0</v>
      </c>
      <c r="H429" s="714">
        <v>2500000.0</v>
      </c>
      <c r="I429" s="714"/>
      <c r="J429" s="630"/>
      <c r="K429" s="628" t="s">
        <v>51</v>
      </c>
      <c r="L429" s="628" t="s">
        <v>8</v>
      </c>
      <c r="M429" s="629" t="str">
        <f t="shared" si="3"/>
        <v>01</v>
      </c>
      <c r="N429" s="628" t="s">
        <v>837</v>
      </c>
      <c r="O429" s="630"/>
      <c r="P429" s="630"/>
      <c r="Q429" s="630"/>
      <c r="R429" s="628" t="s">
        <v>52</v>
      </c>
      <c r="S429" s="631"/>
    </row>
    <row r="430" ht="13.5" customHeight="1">
      <c r="A430" s="622">
        <v>430.0</v>
      </c>
      <c r="B430" s="681" t="s">
        <v>842</v>
      </c>
      <c r="C430" s="716" t="s">
        <v>11</v>
      </c>
      <c r="D430" s="624" t="str">
        <f t="shared" si="1"/>
        <v>II</v>
      </c>
      <c r="E430" s="625" t="str">
        <f t="shared" si="5"/>
        <v>FA386/II/01</v>
      </c>
      <c r="F430" s="717" t="s">
        <v>843</v>
      </c>
      <c r="G430" s="718">
        <v>45496.0</v>
      </c>
      <c r="H430" s="719">
        <v>424900.0</v>
      </c>
      <c r="I430" s="719"/>
      <c r="J430" s="717" t="s">
        <v>166</v>
      </c>
      <c r="K430" s="717" t="s">
        <v>95</v>
      </c>
      <c r="L430" s="717" t="s">
        <v>8</v>
      </c>
      <c r="M430" s="629" t="str">
        <f t="shared" si="3"/>
        <v>01</v>
      </c>
      <c r="N430" s="720"/>
      <c r="O430" s="720"/>
      <c r="P430" s="720"/>
      <c r="Q430" s="720"/>
      <c r="R430" s="717" t="s">
        <v>52</v>
      </c>
      <c r="S430" s="721"/>
    </row>
    <row r="431" ht="13.5" customHeight="1">
      <c r="A431" s="622">
        <v>431.0</v>
      </c>
      <c r="B431" s="681" t="s">
        <v>844</v>
      </c>
      <c r="C431" s="681" t="s">
        <v>6</v>
      </c>
      <c r="D431" s="624" t="str">
        <f t="shared" si="1"/>
        <v>I</v>
      </c>
      <c r="E431" s="625" t="str">
        <f t="shared" si="5"/>
        <v>FA387/I/01</v>
      </c>
      <c r="F431" s="628" t="s">
        <v>831</v>
      </c>
      <c r="G431" s="706">
        <v>45499.0</v>
      </c>
      <c r="H431" s="696">
        <v>1150000.0</v>
      </c>
      <c r="I431" s="696"/>
      <c r="J431" s="630"/>
      <c r="K431" s="628" t="s">
        <v>95</v>
      </c>
      <c r="L431" s="628" t="s">
        <v>8</v>
      </c>
      <c r="M431" s="629" t="str">
        <f t="shared" si="3"/>
        <v>01</v>
      </c>
      <c r="N431" s="628" t="s">
        <v>832</v>
      </c>
      <c r="O431" s="630"/>
      <c r="P431" s="630"/>
      <c r="Q431" s="630"/>
      <c r="R431" s="628" t="s">
        <v>52</v>
      </c>
      <c r="S431" s="631"/>
    </row>
    <row r="432" ht="13.5" customHeight="1">
      <c r="A432" s="722">
        <v>432.0</v>
      </c>
      <c r="B432" s="689" t="s">
        <v>845</v>
      </c>
      <c r="C432" s="689" t="s">
        <v>24</v>
      </c>
      <c r="D432" s="669" t="str">
        <f t="shared" si="1"/>
        <v>V</v>
      </c>
      <c r="E432" s="670" t="str">
        <f t="shared" si="5"/>
        <v>FA388/V/03</v>
      </c>
      <c r="F432" s="680" t="s">
        <v>846</v>
      </c>
      <c r="G432" s="723">
        <v>45513.0</v>
      </c>
      <c r="H432" s="724">
        <v>1.05E7</v>
      </c>
      <c r="I432" s="724">
        <v>1.05E7</v>
      </c>
      <c r="J432" s="673"/>
      <c r="K432" s="680" t="s">
        <v>51</v>
      </c>
      <c r="L432" s="680" t="s">
        <v>18</v>
      </c>
      <c r="M432" s="674" t="str">
        <f t="shared" si="3"/>
        <v>03</v>
      </c>
      <c r="N432" s="673"/>
      <c r="O432" s="673"/>
      <c r="P432" s="673"/>
      <c r="Q432" s="673"/>
      <c r="R432" s="680" t="s">
        <v>52</v>
      </c>
      <c r="S432" s="675"/>
    </row>
    <row r="433" ht="13.5" customHeight="1">
      <c r="A433" s="667">
        <v>433.0</v>
      </c>
      <c r="B433" s="689" t="s">
        <v>847</v>
      </c>
      <c r="C433" s="689" t="s">
        <v>24</v>
      </c>
      <c r="D433" s="669" t="str">
        <f t="shared" si="1"/>
        <v>V</v>
      </c>
      <c r="E433" s="670" t="str">
        <f t="shared" si="5"/>
        <v>FA389/V/03</v>
      </c>
      <c r="F433" s="680" t="s">
        <v>848</v>
      </c>
      <c r="G433" s="723">
        <v>45513.0</v>
      </c>
      <c r="H433" s="724">
        <v>5.6E7</v>
      </c>
      <c r="I433" s="724">
        <v>5.6E7</v>
      </c>
      <c r="J433" s="673"/>
      <c r="K433" s="680" t="s">
        <v>51</v>
      </c>
      <c r="L433" s="680" t="s">
        <v>18</v>
      </c>
      <c r="M433" s="674" t="str">
        <f t="shared" si="3"/>
        <v>03</v>
      </c>
      <c r="N433" s="680" t="s">
        <v>666</v>
      </c>
      <c r="O433" s="673"/>
      <c r="P433" s="673"/>
      <c r="Q433" s="673"/>
      <c r="R433" s="680" t="s">
        <v>52</v>
      </c>
      <c r="S433" s="675"/>
    </row>
    <row r="434" ht="13.5" customHeight="1">
      <c r="A434" s="667">
        <v>434.0</v>
      </c>
      <c r="B434" s="689" t="s">
        <v>849</v>
      </c>
      <c r="C434" s="689" t="s">
        <v>24</v>
      </c>
      <c r="D434" s="669" t="str">
        <f t="shared" si="1"/>
        <v>V</v>
      </c>
      <c r="E434" s="670" t="str">
        <f t="shared" si="5"/>
        <v>FA390/V/03</v>
      </c>
      <c r="F434" s="680" t="s">
        <v>850</v>
      </c>
      <c r="G434" s="723">
        <v>45513.0</v>
      </c>
      <c r="H434" s="724">
        <v>1.25E7</v>
      </c>
      <c r="I434" s="724">
        <v>1.25E7</v>
      </c>
      <c r="J434" s="673"/>
      <c r="K434" s="680" t="s">
        <v>51</v>
      </c>
      <c r="L434" s="680" t="s">
        <v>18</v>
      </c>
      <c r="M434" s="674" t="str">
        <f t="shared" si="3"/>
        <v>03</v>
      </c>
      <c r="N434" s="673"/>
      <c r="O434" s="673"/>
      <c r="P434" s="673"/>
      <c r="Q434" s="673"/>
      <c r="R434" s="680" t="s">
        <v>52</v>
      </c>
      <c r="S434" s="675"/>
    </row>
    <row r="435" ht="13.5" customHeight="1">
      <c r="A435" s="667">
        <v>435.0</v>
      </c>
      <c r="B435" s="689" t="s">
        <v>851</v>
      </c>
      <c r="C435" s="689" t="s">
        <v>24</v>
      </c>
      <c r="D435" s="669" t="str">
        <f t="shared" si="1"/>
        <v>V</v>
      </c>
      <c r="E435" s="670" t="str">
        <f t="shared" si="5"/>
        <v>FA391/V/03</v>
      </c>
      <c r="F435" s="680" t="s">
        <v>852</v>
      </c>
      <c r="G435" s="723">
        <v>45524.0</v>
      </c>
      <c r="H435" s="724">
        <v>2700000.0</v>
      </c>
      <c r="I435" s="724">
        <v>2700000.0</v>
      </c>
      <c r="J435" s="673"/>
      <c r="K435" s="680" t="s">
        <v>51</v>
      </c>
      <c r="L435" s="680" t="s">
        <v>18</v>
      </c>
      <c r="M435" s="674" t="str">
        <f t="shared" si="3"/>
        <v>03</v>
      </c>
      <c r="N435" s="680" t="s">
        <v>853</v>
      </c>
      <c r="O435" s="673"/>
      <c r="P435" s="673"/>
      <c r="Q435" s="673"/>
      <c r="R435" s="680" t="s">
        <v>52</v>
      </c>
      <c r="S435" s="675"/>
    </row>
    <row r="436" ht="13.5" customHeight="1">
      <c r="A436" s="667">
        <v>436.0</v>
      </c>
      <c r="B436" s="689" t="s">
        <v>854</v>
      </c>
      <c r="C436" s="689" t="s">
        <v>24</v>
      </c>
      <c r="D436" s="669" t="str">
        <f t="shared" si="1"/>
        <v>V</v>
      </c>
      <c r="E436" s="670" t="str">
        <f t="shared" si="5"/>
        <v>FA392/V/03</v>
      </c>
      <c r="F436" s="680" t="s">
        <v>855</v>
      </c>
      <c r="G436" s="723">
        <v>45524.0</v>
      </c>
      <c r="H436" s="724">
        <v>7000000.0</v>
      </c>
      <c r="I436" s="724">
        <v>7000000.0</v>
      </c>
      <c r="J436" s="673"/>
      <c r="K436" s="680" t="s">
        <v>51</v>
      </c>
      <c r="L436" s="680" t="s">
        <v>18</v>
      </c>
      <c r="M436" s="674" t="str">
        <f t="shared" si="3"/>
        <v>03</v>
      </c>
      <c r="N436" s="680" t="s">
        <v>853</v>
      </c>
      <c r="O436" s="673"/>
      <c r="P436" s="673"/>
      <c r="Q436" s="673"/>
      <c r="R436" s="680" t="s">
        <v>52</v>
      </c>
      <c r="S436" s="675"/>
    </row>
    <row r="437" ht="13.5" customHeight="1">
      <c r="A437" s="722">
        <v>437.0</v>
      </c>
      <c r="B437" s="689" t="s">
        <v>856</v>
      </c>
      <c r="C437" s="689" t="s">
        <v>24</v>
      </c>
      <c r="D437" s="669" t="str">
        <f t="shared" si="1"/>
        <v>V</v>
      </c>
      <c r="E437" s="670" t="str">
        <f t="shared" si="5"/>
        <v>FA393/V/03</v>
      </c>
      <c r="F437" s="680" t="s">
        <v>857</v>
      </c>
      <c r="G437" s="723">
        <v>45524.0</v>
      </c>
      <c r="H437" s="724">
        <v>484500.0</v>
      </c>
      <c r="I437" s="724">
        <v>484500.0</v>
      </c>
      <c r="J437" s="673"/>
      <c r="K437" s="680" t="s">
        <v>51</v>
      </c>
      <c r="L437" s="680" t="s">
        <v>18</v>
      </c>
      <c r="M437" s="674" t="str">
        <f t="shared" si="3"/>
        <v>03</v>
      </c>
      <c r="N437" s="673"/>
      <c r="O437" s="673"/>
      <c r="P437" s="673"/>
      <c r="Q437" s="673"/>
      <c r="R437" s="680" t="s">
        <v>52</v>
      </c>
      <c r="S437" s="675"/>
    </row>
    <row r="438" ht="13.5" customHeight="1">
      <c r="A438" s="722">
        <v>437.0</v>
      </c>
      <c r="B438" s="689" t="s">
        <v>858</v>
      </c>
      <c r="C438" s="689" t="s">
        <v>24</v>
      </c>
      <c r="D438" s="669" t="str">
        <f t="shared" si="1"/>
        <v>V</v>
      </c>
      <c r="E438" s="670" t="str">
        <f t="shared" si="5"/>
        <v>FA394/V/03</v>
      </c>
      <c r="F438" s="680" t="s">
        <v>857</v>
      </c>
      <c r="G438" s="723">
        <v>45524.0</v>
      </c>
      <c r="H438" s="724">
        <v>484500.0</v>
      </c>
      <c r="I438" s="724">
        <v>484500.0</v>
      </c>
      <c r="J438" s="673"/>
      <c r="K438" s="680" t="s">
        <v>51</v>
      </c>
      <c r="L438" s="680" t="s">
        <v>18</v>
      </c>
      <c r="M438" s="674" t="str">
        <f t="shared" si="3"/>
        <v>03</v>
      </c>
      <c r="N438" s="673"/>
      <c r="O438" s="673"/>
      <c r="P438" s="673"/>
      <c r="Q438" s="673"/>
      <c r="R438" s="680" t="s">
        <v>52</v>
      </c>
      <c r="S438" s="675"/>
    </row>
    <row r="439" ht="13.5" customHeight="1">
      <c r="A439" s="667">
        <v>438.0</v>
      </c>
      <c r="B439" s="689" t="s">
        <v>859</v>
      </c>
      <c r="C439" s="689" t="s">
        <v>24</v>
      </c>
      <c r="D439" s="669" t="str">
        <f t="shared" si="1"/>
        <v>V</v>
      </c>
      <c r="E439" s="670" t="str">
        <f t="shared" si="5"/>
        <v>FA395/V/03</v>
      </c>
      <c r="F439" s="680" t="s">
        <v>860</v>
      </c>
      <c r="G439" s="723">
        <v>45530.0</v>
      </c>
      <c r="H439" s="724">
        <v>683375.0</v>
      </c>
      <c r="I439" s="724">
        <v>683375.0</v>
      </c>
      <c r="J439" s="673"/>
      <c r="K439" s="680" t="s">
        <v>51</v>
      </c>
      <c r="L439" s="680" t="s">
        <v>18</v>
      </c>
      <c r="M439" s="674" t="str">
        <f t="shared" si="3"/>
        <v>03</v>
      </c>
      <c r="N439" s="680" t="s">
        <v>861</v>
      </c>
      <c r="O439" s="673"/>
      <c r="P439" s="673"/>
      <c r="Q439" s="673"/>
      <c r="R439" s="680" t="s">
        <v>52</v>
      </c>
      <c r="S439" s="675"/>
    </row>
    <row r="440" ht="13.5" customHeight="1">
      <c r="A440" s="622">
        <v>439.0</v>
      </c>
      <c r="B440" s="681" t="s">
        <v>862</v>
      </c>
      <c r="C440" s="681" t="s">
        <v>24</v>
      </c>
      <c r="D440" s="624" t="str">
        <f t="shared" si="1"/>
        <v>V</v>
      </c>
      <c r="E440" s="625" t="str">
        <f t="shared" si="5"/>
        <v>FA396/V/01</v>
      </c>
      <c r="F440" s="628" t="s">
        <v>863</v>
      </c>
      <c r="G440" s="725">
        <v>45559.0</v>
      </c>
      <c r="H440" s="696">
        <v>1430000.0</v>
      </c>
      <c r="I440" s="696">
        <v>1430000.0</v>
      </c>
      <c r="J440" s="628" t="s">
        <v>97</v>
      </c>
      <c r="K440" s="628" t="s">
        <v>51</v>
      </c>
      <c r="L440" s="628" t="s">
        <v>8</v>
      </c>
      <c r="M440" s="629" t="str">
        <f t="shared" si="3"/>
        <v>01</v>
      </c>
      <c r="N440" s="628" t="s">
        <v>864</v>
      </c>
      <c r="O440" s="630"/>
      <c r="P440" s="630"/>
      <c r="Q440" s="630"/>
      <c r="R440" s="628" t="s">
        <v>52</v>
      </c>
      <c r="S440" s="631"/>
    </row>
    <row r="441" ht="13.5" customHeight="1">
      <c r="A441" s="622">
        <v>440.0</v>
      </c>
      <c r="B441" s="681" t="s">
        <v>865</v>
      </c>
      <c r="C441" s="681" t="s">
        <v>6</v>
      </c>
      <c r="D441" s="624" t="str">
        <f t="shared" si="1"/>
        <v>I</v>
      </c>
      <c r="E441" s="625" t="str">
        <f t="shared" si="5"/>
        <v>FA397/I/01</v>
      </c>
      <c r="F441" s="628" t="s">
        <v>866</v>
      </c>
      <c r="G441" s="706">
        <v>45561.0</v>
      </c>
      <c r="H441" s="696">
        <v>350000.0</v>
      </c>
      <c r="I441" s="696">
        <v>350000.0</v>
      </c>
      <c r="J441" s="628" t="s">
        <v>97</v>
      </c>
      <c r="K441" s="628" t="s">
        <v>51</v>
      </c>
      <c r="L441" s="628" t="s">
        <v>8</v>
      </c>
      <c r="M441" s="629" t="str">
        <f t="shared" si="3"/>
        <v>01</v>
      </c>
      <c r="N441" s="628" t="s">
        <v>84</v>
      </c>
      <c r="O441" s="630"/>
      <c r="P441" s="630"/>
      <c r="Q441" s="630"/>
      <c r="R441" s="628" t="s">
        <v>52</v>
      </c>
      <c r="S441" s="631"/>
    </row>
    <row r="442" ht="13.5" customHeight="1">
      <c r="A442" s="726">
        <v>441.0</v>
      </c>
      <c r="B442" s="727" t="s">
        <v>867</v>
      </c>
      <c r="C442" s="727" t="s">
        <v>16</v>
      </c>
      <c r="D442" s="728" t="str">
        <f t="shared" si="1"/>
        <v>III</v>
      </c>
      <c r="E442" s="729" t="str">
        <f t="shared" si="5"/>
        <v>FA398/III/01</v>
      </c>
      <c r="F442" s="727" t="s">
        <v>868</v>
      </c>
      <c r="G442" s="730" t="s">
        <v>869</v>
      </c>
      <c r="H442" s="731">
        <v>1.996E7</v>
      </c>
      <c r="I442" s="732"/>
      <c r="J442" s="727" t="s">
        <v>97</v>
      </c>
      <c r="K442" s="727" t="s">
        <v>51</v>
      </c>
      <c r="L442" s="727" t="s">
        <v>8</v>
      </c>
      <c r="M442" s="733" t="str">
        <f t="shared" si="3"/>
        <v>01</v>
      </c>
      <c r="N442" s="727" t="s">
        <v>103</v>
      </c>
      <c r="O442" s="734"/>
      <c r="P442" s="734"/>
      <c r="Q442" s="734"/>
      <c r="R442" s="727" t="s">
        <v>52</v>
      </c>
      <c r="S442" s="735"/>
    </row>
    <row r="443" ht="13.5" customHeight="1">
      <c r="A443" s="726">
        <v>442.0</v>
      </c>
      <c r="B443" s="727" t="s">
        <v>870</v>
      </c>
      <c r="C443" s="727" t="s">
        <v>11</v>
      </c>
      <c r="D443" s="728" t="str">
        <f t="shared" si="1"/>
        <v>II</v>
      </c>
      <c r="E443" s="729" t="str">
        <f t="shared" si="5"/>
        <v>FA399/II/01</v>
      </c>
      <c r="F443" s="727" t="s">
        <v>843</v>
      </c>
      <c r="G443" s="736">
        <v>45589.0</v>
      </c>
      <c r="H443" s="732"/>
      <c r="I443" s="731">
        <v>390000.0</v>
      </c>
      <c r="J443" s="727" t="s">
        <v>287</v>
      </c>
      <c r="K443" s="727" t="s">
        <v>158</v>
      </c>
      <c r="L443" s="727" t="s">
        <v>8</v>
      </c>
      <c r="M443" s="733" t="str">
        <f t="shared" si="3"/>
        <v>01</v>
      </c>
      <c r="N443" s="734"/>
      <c r="O443" s="734"/>
      <c r="P443" s="734"/>
      <c r="Q443" s="734"/>
      <c r="R443" s="727" t="s">
        <v>52</v>
      </c>
      <c r="S443" s="735"/>
    </row>
    <row r="444" ht="13.5" customHeight="1">
      <c r="A444" s="572"/>
      <c r="B444" s="572"/>
      <c r="C444" s="737"/>
      <c r="D444" s="738" t="str">
        <f t="shared" si="1"/>
        <v> </v>
      </c>
      <c r="E444" s="605" t="str">
        <f t="shared" si="5"/>
        <v>/ / </v>
      </c>
      <c r="F444" s="572"/>
      <c r="G444" s="739"/>
      <c r="H444" s="570"/>
      <c r="I444" s="570"/>
      <c r="J444" s="572"/>
      <c r="K444" s="572"/>
      <c r="L444" s="737"/>
      <c r="M444" s="609" t="str">
        <f t="shared" si="3"/>
        <v> </v>
      </c>
      <c r="N444" s="572"/>
      <c r="O444" s="572"/>
      <c r="P444" s="572"/>
      <c r="Q444" s="572"/>
      <c r="R444" s="572"/>
      <c r="S444" s="574"/>
    </row>
    <row r="445" ht="13.5" customHeight="1">
      <c r="A445" s="572"/>
      <c r="B445" s="572"/>
      <c r="C445" s="572"/>
      <c r="D445" s="738" t="str">
        <f t="shared" si="1"/>
        <v> </v>
      </c>
      <c r="E445" s="605" t="str">
        <f t="shared" si="5"/>
        <v>/ / </v>
      </c>
      <c r="F445" s="737"/>
      <c r="G445" s="739"/>
      <c r="H445" s="570"/>
      <c r="I445" s="570"/>
      <c r="J445" s="572"/>
      <c r="K445" s="572"/>
      <c r="L445" s="572"/>
      <c r="M445" s="609" t="str">
        <f t="shared" si="3"/>
        <v> </v>
      </c>
      <c r="N445" s="572"/>
      <c r="O445" s="572"/>
      <c r="P445" s="572"/>
      <c r="Q445" s="572"/>
      <c r="R445" s="572"/>
      <c r="S445" s="574"/>
    </row>
    <row r="446" ht="13.5" customHeight="1">
      <c r="A446" s="572"/>
      <c r="B446" s="572"/>
      <c r="C446" s="572"/>
      <c r="D446" s="738" t="str">
        <f t="shared" si="1"/>
        <v> </v>
      </c>
      <c r="E446" s="605" t="str">
        <f t="shared" si="5"/>
        <v>/ / </v>
      </c>
      <c r="F446" s="572"/>
      <c r="G446" s="739"/>
      <c r="H446" s="570"/>
      <c r="I446" s="570"/>
      <c r="J446" s="572"/>
      <c r="K446" s="572"/>
      <c r="L446" s="572"/>
      <c r="M446" s="609" t="str">
        <f t="shared" si="3"/>
        <v> </v>
      </c>
      <c r="N446" s="572"/>
      <c r="O446" s="572"/>
      <c r="P446" s="572"/>
      <c r="Q446" s="572"/>
      <c r="R446" s="572"/>
      <c r="S446" s="574"/>
    </row>
    <row r="447" ht="13.5" customHeight="1">
      <c r="A447" s="572"/>
      <c r="B447" s="572"/>
      <c r="C447" s="572"/>
      <c r="D447" s="738" t="str">
        <f t="shared" si="1"/>
        <v> </v>
      </c>
      <c r="E447" s="605" t="str">
        <f t="shared" si="5"/>
        <v>/ / </v>
      </c>
      <c r="F447" s="737"/>
      <c r="G447" s="739"/>
      <c r="H447" s="570"/>
      <c r="I447" s="570"/>
      <c r="J447" s="572"/>
      <c r="K447" s="572"/>
      <c r="L447" s="572"/>
      <c r="M447" s="609" t="str">
        <f t="shared" si="3"/>
        <v> </v>
      </c>
      <c r="N447" s="572"/>
      <c r="O447" s="572"/>
      <c r="P447" s="572"/>
      <c r="Q447" s="572"/>
      <c r="R447" s="572"/>
      <c r="S447" s="574"/>
    </row>
    <row r="448" ht="13.5" customHeight="1">
      <c r="A448" s="572"/>
      <c r="B448" s="572"/>
      <c r="C448" s="572"/>
      <c r="D448" s="738" t="str">
        <f t="shared" si="1"/>
        <v> </v>
      </c>
      <c r="E448" s="605" t="str">
        <f t="shared" si="5"/>
        <v>/ / </v>
      </c>
      <c r="F448" s="572"/>
      <c r="G448" s="739"/>
      <c r="H448" s="570"/>
      <c r="I448" s="570"/>
      <c r="J448" s="572"/>
      <c r="K448" s="572"/>
      <c r="L448" s="572"/>
      <c r="M448" s="609" t="str">
        <f t="shared" si="3"/>
        <v> </v>
      </c>
      <c r="N448" s="572"/>
      <c r="O448" s="572"/>
      <c r="P448" s="572"/>
      <c r="Q448" s="572"/>
      <c r="R448" s="572"/>
      <c r="S448" s="574"/>
    </row>
    <row r="449" ht="13.5" customHeight="1">
      <c r="A449" s="572"/>
      <c r="B449" s="572"/>
      <c r="C449" s="572"/>
      <c r="D449" s="738" t="str">
        <f t="shared" si="1"/>
        <v> </v>
      </c>
      <c r="E449" s="605" t="str">
        <f t="shared" si="5"/>
        <v>/ / </v>
      </c>
      <c r="F449" s="572"/>
      <c r="G449" s="739"/>
      <c r="H449" s="570"/>
      <c r="I449" s="570"/>
      <c r="J449" s="572"/>
      <c r="K449" s="572"/>
      <c r="L449" s="572"/>
      <c r="M449" s="609" t="str">
        <f t="shared" si="3"/>
        <v> </v>
      </c>
      <c r="N449" s="572"/>
      <c r="O449" s="572"/>
      <c r="P449" s="572"/>
      <c r="Q449" s="572"/>
      <c r="R449" s="572"/>
      <c r="S449" s="574"/>
    </row>
    <row r="450" ht="13.5" customHeight="1">
      <c r="A450" s="572"/>
      <c r="B450" s="572"/>
      <c r="C450" s="572"/>
      <c r="D450" s="738" t="str">
        <f t="shared" si="1"/>
        <v> </v>
      </c>
      <c r="E450" s="605" t="str">
        <f t="shared" si="5"/>
        <v>/ / </v>
      </c>
      <c r="F450" s="572"/>
      <c r="G450" s="739"/>
      <c r="H450" s="570"/>
      <c r="I450" s="570"/>
      <c r="J450" s="572"/>
      <c r="K450" s="572"/>
      <c r="L450" s="572"/>
      <c r="M450" s="609" t="str">
        <f t="shared" si="3"/>
        <v> </v>
      </c>
      <c r="N450" s="572"/>
      <c r="O450" s="572"/>
      <c r="P450" s="572"/>
      <c r="Q450" s="572"/>
      <c r="R450" s="572"/>
      <c r="S450" s="574"/>
    </row>
    <row r="451" ht="13.5" customHeight="1">
      <c r="A451" s="572"/>
      <c r="B451" s="572"/>
      <c r="C451" s="572"/>
      <c r="D451" s="738" t="str">
        <f t="shared" si="1"/>
        <v> </v>
      </c>
      <c r="E451" s="605" t="str">
        <f t="shared" si="5"/>
        <v>/ / </v>
      </c>
      <c r="F451" s="737"/>
      <c r="G451" s="739"/>
      <c r="H451" s="570"/>
      <c r="I451" s="570"/>
      <c r="J451" s="572"/>
      <c r="K451" s="572"/>
      <c r="L451" s="572"/>
      <c r="M451" s="609" t="str">
        <f t="shared" si="3"/>
        <v> </v>
      </c>
      <c r="N451" s="572"/>
      <c r="O451" s="572"/>
      <c r="P451" s="572"/>
      <c r="Q451" s="572"/>
      <c r="R451" s="572"/>
      <c r="S451" s="574"/>
    </row>
    <row r="452" ht="13.5" customHeight="1">
      <c r="A452" s="572"/>
      <c r="B452" s="572"/>
      <c r="C452" s="572"/>
      <c r="D452" s="738" t="str">
        <f t="shared" si="1"/>
        <v> </v>
      </c>
      <c r="E452" s="605" t="str">
        <f t="shared" si="5"/>
        <v>/ / </v>
      </c>
      <c r="F452" s="572"/>
      <c r="G452" s="739"/>
      <c r="H452" s="570"/>
      <c r="I452" s="570"/>
      <c r="J452" s="572"/>
      <c r="K452" s="572"/>
      <c r="L452" s="572"/>
      <c r="M452" s="609" t="str">
        <f t="shared" si="3"/>
        <v> </v>
      </c>
      <c r="N452" s="572"/>
      <c r="O452" s="572"/>
      <c r="P452" s="572"/>
      <c r="Q452" s="572"/>
      <c r="R452" s="572"/>
      <c r="S452" s="574"/>
    </row>
    <row r="453" ht="13.5" customHeight="1">
      <c r="A453" s="572"/>
      <c r="B453" s="572"/>
      <c r="C453" s="572"/>
      <c r="D453" s="738" t="str">
        <f t="shared" si="1"/>
        <v> </v>
      </c>
      <c r="E453" s="605" t="str">
        <f t="shared" si="5"/>
        <v>/ / </v>
      </c>
      <c r="F453" s="572"/>
      <c r="G453" s="739"/>
      <c r="H453" s="570"/>
      <c r="I453" s="570"/>
      <c r="J453" s="572"/>
      <c r="K453" s="572"/>
      <c r="L453" s="572"/>
      <c r="M453" s="609" t="str">
        <f t="shared" si="3"/>
        <v> </v>
      </c>
      <c r="N453" s="572"/>
      <c r="O453" s="572"/>
      <c r="P453" s="572"/>
      <c r="Q453" s="572"/>
      <c r="R453" s="572"/>
      <c r="S453" s="574"/>
    </row>
    <row r="454" ht="13.5" customHeight="1">
      <c r="A454" s="572"/>
      <c r="B454" s="572"/>
      <c r="C454" s="572"/>
      <c r="D454" s="738" t="str">
        <f t="shared" si="1"/>
        <v> </v>
      </c>
      <c r="E454" s="605" t="str">
        <f t="shared" si="5"/>
        <v>/ / </v>
      </c>
      <c r="F454" s="572"/>
      <c r="G454" s="739"/>
      <c r="H454" s="570"/>
      <c r="I454" s="570"/>
      <c r="J454" s="572"/>
      <c r="K454" s="572"/>
      <c r="L454" s="572"/>
      <c r="M454" s="609" t="str">
        <f t="shared" si="3"/>
        <v> </v>
      </c>
      <c r="N454" s="572"/>
      <c r="O454" s="572"/>
      <c r="P454" s="572"/>
      <c r="Q454" s="572"/>
      <c r="R454" s="572"/>
      <c r="S454" s="574"/>
    </row>
    <row r="455" ht="13.5" customHeight="1">
      <c r="A455" s="572"/>
      <c r="B455" s="572"/>
      <c r="C455" s="572"/>
      <c r="D455" s="738" t="str">
        <f t="shared" si="1"/>
        <v> </v>
      </c>
      <c r="E455" s="605" t="str">
        <f t="shared" si="5"/>
        <v>/ / </v>
      </c>
      <c r="F455" s="572"/>
      <c r="G455" s="739"/>
      <c r="H455" s="570"/>
      <c r="I455" s="570"/>
      <c r="J455" s="572"/>
      <c r="K455" s="572"/>
      <c r="L455" s="572"/>
      <c r="M455" s="609" t="str">
        <f t="shared" si="3"/>
        <v> </v>
      </c>
      <c r="N455" s="572"/>
      <c r="O455" s="572"/>
      <c r="P455" s="572"/>
      <c r="Q455" s="572"/>
      <c r="R455" s="572"/>
      <c r="S455" s="574"/>
    </row>
    <row r="456" ht="13.5" customHeight="1">
      <c r="A456" s="572"/>
      <c r="B456" s="572"/>
      <c r="C456" s="572"/>
      <c r="D456" s="738" t="str">
        <f t="shared" si="1"/>
        <v> </v>
      </c>
      <c r="E456" s="605" t="str">
        <f t="shared" si="5"/>
        <v>/ / </v>
      </c>
      <c r="F456" s="572"/>
      <c r="G456" s="739"/>
      <c r="H456" s="570"/>
      <c r="I456" s="570"/>
      <c r="J456" s="572"/>
      <c r="K456" s="572"/>
      <c r="L456" s="572"/>
      <c r="M456" s="609" t="str">
        <f t="shared" si="3"/>
        <v> </v>
      </c>
      <c r="N456" s="572"/>
      <c r="O456" s="572"/>
      <c r="P456" s="572"/>
      <c r="Q456" s="572"/>
      <c r="R456" s="572"/>
      <c r="S456" s="574"/>
    </row>
    <row r="457" ht="13.5" customHeight="1">
      <c r="A457" s="572"/>
      <c r="B457" s="572"/>
      <c r="C457" s="572"/>
      <c r="D457" s="738" t="str">
        <f t="shared" si="1"/>
        <v> </v>
      </c>
      <c r="E457" s="605" t="str">
        <f t="shared" si="5"/>
        <v>/ / </v>
      </c>
      <c r="F457" s="572"/>
      <c r="G457" s="739"/>
      <c r="H457" s="570"/>
      <c r="I457" s="570"/>
      <c r="J457" s="572"/>
      <c r="K457" s="572"/>
      <c r="L457" s="572"/>
      <c r="M457" s="609" t="str">
        <f t="shared" si="3"/>
        <v> </v>
      </c>
      <c r="N457" s="572"/>
      <c r="O457" s="572"/>
      <c r="P457" s="572"/>
      <c r="Q457" s="572"/>
      <c r="R457" s="572"/>
      <c r="S457" s="574"/>
    </row>
    <row r="458" ht="13.5" customHeight="1">
      <c r="A458" s="572"/>
      <c r="B458" s="572"/>
      <c r="C458" s="572"/>
      <c r="D458" s="738" t="str">
        <f t="shared" si="1"/>
        <v> </v>
      </c>
      <c r="E458" s="605" t="str">
        <f t="shared" si="5"/>
        <v>/ / </v>
      </c>
      <c r="F458" s="572"/>
      <c r="G458" s="739"/>
      <c r="H458" s="570"/>
      <c r="I458" s="570"/>
      <c r="J458" s="572"/>
      <c r="K458" s="572"/>
      <c r="L458" s="572"/>
      <c r="M458" s="609" t="str">
        <f t="shared" si="3"/>
        <v> </v>
      </c>
      <c r="N458" s="572"/>
      <c r="O458" s="572"/>
      <c r="P458" s="572"/>
      <c r="Q458" s="572"/>
      <c r="R458" s="572"/>
      <c r="S458" s="574"/>
    </row>
    <row r="459" ht="13.5" customHeight="1">
      <c r="A459" s="572"/>
      <c r="B459" s="572"/>
      <c r="C459" s="572"/>
      <c r="D459" s="738" t="str">
        <f t="shared" si="1"/>
        <v> </v>
      </c>
      <c r="E459" s="605" t="str">
        <f t="shared" si="5"/>
        <v>/ / </v>
      </c>
      <c r="F459" s="572"/>
      <c r="G459" s="739"/>
      <c r="H459" s="570"/>
      <c r="I459" s="570"/>
      <c r="J459" s="572"/>
      <c r="K459" s="572"/>
      <c r="L459" s="572"/>
      <c r="M459" s="609" t="str">
        <f t="shared" si="3"/>
        <v> </v>
      </c>
      <c r="N459" s="572"/>
      <c r="O459" s="572"/>
      <c r="P459" s="572"/>
      <c r="Q459" s="572"/>
      <c r="R459" s="572"/>
      <c r="S459" s="574"/>
    </row>
    <row r="460" ht="13.5" customHeight="1">
      <c r="A460" s="572"/>
      <c r="B460" s="572"/>
      <c r="C460" s="572"/>
      <c r="D460" s="738" t="str">
        <f t="shared" si="1"/>
        <v> </v>
      </c>
      <c r="E460" s="605" t="str">
        <f t="shared" si="5"/>
        <v>/ / </v>
      </c>
      <c r="F460" s="572"/>
      <c r="G460" s="739"/>
      <c r="H460" s="570"/>
      <c r="I460" s="570"/>
      <c r="J460" s="572"/>
      <c r="K460" s="572"/>
      <c r="L460" s="572"/>
      <c r="M460" s="609" t="str">
        <f t="shared" si="3"/>
        <v> </v>
      </c>
      <c r="N460" s="572"/>
      <c r="O460" s="572"/>
      <c r="P460" s="572"/>
      <c r="Q460" s="572"/>
      <c r="R460" s="572"/>
      <c r="S460" s="574"/>
    </row>
    <row r="461" ht="13.5" customHeight="1">
      <c r="A461" s="572"/>
      <c r="B461" s="572"/>
      <c r="C461" s="572"/>
      <c r="D461" s="738" t="str">
        <f t="shared" si="1"/>
        <v> </v>
      </c>
      <c r="E461" s="605" t="str">
        <f t="shared" si="5"/>
        <v>/ / </v>
      </c>
      <c r="F461" s="572"/>
      <c r="G461" s="739"/>
      <c r="H461" s="570"/>
      <c r="I461" s="570"/>
      <c r="J461" s="572"/>
      <c r="K461" s="572"/>
      <c r="L461" s="572"/>
      <c r="M461" s="609" t="str">
        <f t="shared" si="3"/>
        <v> </v>
      </c>
      <c r="N461" s="572"/>
      <c r="O461" s="572"/>
      <c r="P461" s="572"/>
      <c r="Q461" s="572"/>
      <c r="R461" s="572"/>
      <c r="S461" s="574"/>
    </row>
    <row r="462" ht="13.5" customHeight="1">
      <c r="A462" s="572"/>
      <c r="B462" s="572"/>
      <c r="C462" s="572"/>
      <c r="D462" s="738" t="str">
        <f t="shared" si="1"/>
        <v> </v>
      </c>
      <c r="E462" s="605" t="str">
        <f t="shared" si="5"/>
        <v>/ / </v>
      </c>
      <c r="F462" s="572"/>
      <c r="G462" s="739"/>
      <c r="H462" s="570"/>
      <c r="I462" s="570"/>
      <c r="J462" s="572"/>
      <c r="K462" s="572"/>
      <c r="L462" s="572"/>
      <c r="M462" s="609" t="str">
        <f t="shared" si="3"/>
        <v> </v>
      </c>
      <c r="N462" s="572"/>
      <c r="O462" s="572"/>
      <c r="P462" s="572"/>
      <c r="Q462" s="572"/>
      <c r="R462" s="572"/>
      <c r="S462" s="574"/>
    </row>
    <row r="463" ht="13.5" customHeight="1">
      <c r="A463" s="572"/>
      <c r="B463" s="572"/>
      <c r="C463" s="572"/>
      <c r="D463" s="738" t="str">
        <f t="shared" si="1"/>
        <v> </v>
      </c>
      <c r="E463" s="605" t="str">
        <f t="shared" si="5"/>
        <v>/ / </v>
      </c>
      <c r="F463" s="572"/>
      <c r="G463" s="739"/>
      <c r="H463" s="570"/>
      <c r="I463" s="570"/>
      <c r="J463" s="572"/>
      <c r="K463" s="572"/>
      <c r="L463" s="572"/>
      <c r="M463" s="609" t="str">
        <f t="shared" si="3"/>
        <v> </v>
      </c>
      <c r="N463" s="572"/>
      <c r="O463" s="572"/>
      <c r="P463" s="572"/>
      <c r="Q463" s="572"/>
      <c r="R463" s="572"/>
      <c r="S463" s="574"/>
    </row>
    <row r="464" ht="13.5" customHeight="1">
      <c r="A464" s="572"/>
      <c r="B464" s="572"/>
      <c r="C464" s="572"/>
      <c r="D464" s="738" t="str">
        <f t="shared" si="1"/>
        <v> </v>
      </c>
      <c r="E464" s="605" t="str">
        <f t="shared" si="5"/>
        <v>/ / </v>
      </c>
      <c r="F464" s="572"/>
      <c r="G464" s="739"/>
      <c r="H464" s="570"/>
      <c r="I464" s="570"/>
      <c r="J464" s="572"/>
      <c r="K464" s="572"/>
      <c r="L464" s="572"/>
      <c r="M464" s="609" t="str">
        <f t="shared" si="3"/>
        <v> </v>
      </c>
      <c r="N464" s="572"/>
      <c r="O464" s="572"/>
      <c r="P464" s="572"/>
      <c r="Q464" s="572"/>
      <c r="R464" s="572"/>
      <c r="S464" s="574"/>
    </row>
    <row r="465" ht="13.5" customHeight="1">
      <c r="A465" s="572"/>
      <c r="B465" s="572"/>
      <c r="C465" s="572"/>
      <c r="D465" s="738" t="str">
        <f t="shared" si="1"/>
        <v> </v>
      </c>
      <c r="E465" s="605" t="str">
        <f t="shared" si="5"/>
        <v>/ / </v>
      </c>
      <c r="F465" s="572"/>
      <c r="G465" s="739"/>
      <c r="H465" s="570"/>
      <c r="I465" s="570"/>
      <c r="J465" s="572"/>
      <c r="K465" s="572"/>
      <c r="L465" s="572"/>
      <c r="M465" s="609" t="str">
        <f t="shared" si="3"/>
        <v> </v>
      </c>
      <c r="N465" s="572"/>
      <c r="O465" s="572"/>
      <c r="P465" s="572"/>
      <c r="Q465" s="572"/>
      <c r="R465" s="572"/>
      <c r="S465" s="574"/>
    </row>
    <row r="466" ht="13.5" customHeight="1">
      <c r="A466" s="572"/>
      <c r="B466" s="572"/>
      <c r="C466" s="572"/>
      <c r="D466" s="738" t="str">
        <f t="shared" si="1"/>
        <v> </v>
      </c>
      <c r="E466" s="605" t="str">
        <f t="shared" si="5"/>
        <v>/ / </v>
      </c>
      <c r="F466" s="572"/>
      <c r="G466" s="739"/>
      <c r="H466" s="570"/>
      <c r="I466" s="570"/>
      <c r="J466" s="572"/>
      <c r="K466" s="572"/>
      <c r="L466" s="572"/>
      <c r="M466" s="609" t="str">
        <f t="shared" si="3"/>
        <v> </v>
      </c>
      <c r="N466" s="572"/>
      <c r="O466" s="572"/>
      <c r="P466" s="572"/>
      <c r="Q466" s="572"/>
      <c r="R466" s="572"/>
      <c r="S466" s="574"/>
    </row>
    <row r="467" ht="13.5" customHeight="1">
      <c r="A467" s="572"/>
      <c r="B467" s="572"/>
      <c r="C467" s="572"/>
      <c r="D467" s="738" t="str">
        <f t="shared" si="1"/>
        <v> </v>
      </c>
      <c r="E467" s="605" t="str">
        <f t="shared" si="5"/>
        <v>/ / </v>
      </c>
      <c r="F467" s="572"/>
      <c r="G467" s="739"/>
      <c r="H467" s="570"/>
      <c r="I467" s="570"/>
      <c r="J467" s="572"/>
      <c r="K467" s="572"/>
      <c r="L467" s="572"/>
      <c r="M467" s="609" t="str">
        <f t="shared" si="3"/>
        <v> </v>
      </c>
      <c r="N467" s="572"/>
      <c r="O467" s="572"/>
      <c r="P467" s="572"/>
      <c r="Q467" s="572"/>
      <c r="R467" s="572"/>
      <c r="S467" s="574"/>
    </row>
    <row r="468" ht="13.5" customHeight="1">
      <c r="A468" s="572"/>
      <c r="B468" s="572"/>
      <c r="C468" s="572"/>
      <c r="D468" s="738" t="str">
        <f t="shared" si="1"/>
        <v> </v>
      </c>
      <c r="E468" s="605" t="str">
        <f t="shared" si="5"/>
        <v>/ / </v>
      </c>
      <c r="F468" s="572"/>
      <c r="G468" s="739"/>
      <c r="H468" s="570"/>
      <c r="I468" s="570"/>
      <c r="J468" s="572"/>
      <c r="K468" s="572"/>
      <c r="L468" s="572"/>
      <c r="M468" s="609" t="str">
        <f t="shared" si="3"/>
        <v> </v>
      </c>
      <c r="N468" s="572"/>
      <c r="O468" s="572"/>
      <c r="P468" s="572"/>
      <c r="Q468" s="572"/>
      <c r="R468" s="572"/>
      <c r="S468" s="574"/>
    </row>
    <row r="469" ht="13.5" customHeight="1">
      <c r="A469" s="572"/>
      <c r="B469" s="572"/>
      <c r="C469" s="572"/>
      <c r="D469" s="738" t="str">
        <f t="shared" si="1"/>
        <v> </v>
      </c>
      <c r="E469" s="605" t="str">
        <f t="shared" si="5"/>
        <v>/ / </v>
      </c>
      <c r="F469" s="572"/>
      <c r="G469" s="739"/>
      <c r="H469" s="570"/>
      <c r="I469" s="570"/>
      <c r="J469" s="572"/>
      <c r="K469" s="572"/>
      <c r="L469" s="572"/>
      <c r="M469" s="609" t="str">
        <f t="shared" si="3"/>
        <v> </v>
      </c>
      <c r="N469" s="572"/>
      <c r="O469" s="572"/>
      <c r="P469" s="572"/>
      <c r="Q469" s="572"/>
      <c r="R469" s="572"/>
      <c r="S469" s="574"/>
    </row>
    <row r="470" ht="13.5" customHeight="1">
      <c r="A470" s="572"/>
      <c r="B470" s="572"/>
      <c r="C470" s="572"/>
      <c r="D470" s="738" t="str">
        <f t="shared" si="1"/>
        <v> </v>
      </c>
      <c r="E470" s="605" t="str">
        <f t="shared" si="5"/>
        <v>/ / </v>
      </c>
      <c r="F470" s="572"/>
      <c r="G470" s="739"/>
      <c r="H470" s="570"/>
      <c r="I470" s="570"/>
      <c r="J470" s="572"/>
      <c r="K470" s="572"/>
      <c r="L470" s="572"/>
      <c r="M470" s="609" t="str">
        <f t="shared" si="3"/>
        <v> </v>
      </c>
      <c r="N470" s="572"/>
      <c r="O470" s="572"/>
      <c r="P470" s="572"/>
      <c r="Q470" s="572"/>
      <c r="R470" s="572"/>
      <c r="S470" s="574"/>
    </row>
    <row r="471" ht="13.5" customHeight="1">
      <c r="A471" s="572"/>
      <c r="B471" s="572"/>
      <c r="C471" s="572"/>
      <c r="D471" s="738" t="str">
        <f t="shared" si="1"/>
        <v> </v>
      </c>
      <c r="E471" s="605" t="str">
        <f t="shared" si="5"/>
        <v>/ / </v>
      </c>
      <c r="F471" s="572"/>
      <c r="G471" s="739"/>
      <c r="H471" s="570"/>
      <c r="I471" s="570"/>
      <c r="J471" s="572"/>
      <c r="K471" s="572"/>
      <c r="L471" s="572"/>
      <c r="M471" s="609" t="str">
        <f t="shared" si="3"/>
        <v> </v>
      </c>
      <c r="N471" s="572"/>
      <c r="O471" s="572"/>
      <c r="P471" s="572"/>
      <c r="Q471" s="572"/>
      <c r="R471" s="572"/>
      <c r="S471" s="574"/>
    </row>
    <row r="472" ht="13.5" customHeight="1">
      <c r="A472" s="572"/>
      <c r="B472" s="572"/>
      <c r="C472" s="572"/>
      <c r="D472" s="738" t="str">
        <f t="shared" si="1"/>
        <v> </v>
      </c>
      <c r="E472" s="605" t="str">
        <f t="shared" si="5"/>
        <v>/ / </v>
      </c>
      <c r="F472" s="572"/>
      <c r="G472" s="739"/>
      <c r="H472" s="570"/>
      <c r="I472" s="570"/>
      <c r="J472" s="572"/>
      <c r="K472" s="572"/>
      <c r="L472" s="572"/>
      <c r="M472" s="609" t="str">
        <f t="shared" si="3"/>
        <v> </v>
      </c>
      <c r="N472" s="572"/>
      <c r="O472" s="572"/>
      <c r="P472" s="572"/>
      <c r="Q472" s="572"/>
      <c r="R472" s="572"/>
      <c r="S472" s="574"/>
    </row>
    <row r="473" ht="13.5" customHeight="1">
      <c r="A473" s="572"/>
      <c r="B473" s="572"/>
      <c r="C473" s="572"/>
      <c r="D473" s="738" t="str">
        <f t="shared" si="1"/>
        <v> </v>
      </c>
      <c r="E473" s="605" t="str">
        <f t="shared" si="5"/>
        <v>/ / </v>
      </c>
      <c r="F473" s="572"/>
      <c r="G473" s="739"/>
      <c r="H473" s="570"/>
      <c r="I473" s="570"/>
      <c r="J473" s="572"/>
      <c r="K473" s="572"/>
      <c r="L473" s="572"/>
      <c r="M473" s="609" t="str">
        <f t="shared" si="3"/>
        <v> </v>
      </c>
      <c r="N473" s="572"/>
      <c r="O473" s="572"/>
      <c r="P473" s="572"/>
      <c r="Q473" s="572"/>
      <c r="R473" s="572"/>
      <c r="S473" s="574"/>
    </row>
    <row r="474" ht="13.5" customHeight="1">
      <c r="A474" s="572"/>
      <c r="B474" s="572"/>
      <c r="C474" s="572"/>
      <c r="D474" s="738" t="str">
        <f t="shared" si="1"/>
        <v> </v>
      </c>
      <c r="E474" s="605" t="str">
        <f t="shared" si="5"/>
        <v>/ / </v>
      </c>
      <c r="F474" s="572"/>
      <c r="G474" s="739"/>
      <c r="H474" s="570"/>
      <c r="I474" s="570"/>
      <c r="J474" s="572"/>
      <c r="K474" s="572"/>
      <c r="L474" s="572"/>
      <c r="M474" s="609" t="str">
        <f t="shared" si="3"/>
        <v> </v>
      </c>
      <c r="N474" s="572"/>
      <c r="O474" s="572"/>
      <c r="P474" s="572"/>
      <c r="Q474" s="572"/>
      <c r="R474" s="572"/>
      <c r="S474" s="574"/>
    </row>
    <row r="475" ht="13.5" customHeight="1">
      <c r="A475" s="572"/>
      <c r="B475" s="572"/>
      <c r="C475" s="572"/>
      <c r="D475" s="738" t="str">
        <f t="shared" si="1"/>
        <v> </v>
      </c>
      <c r="E475" s="605" t="str">
        <f t="shared" si="5"/>
        <v>/ / </v>
      </c>
      <c r="F475" s="572"/>
      <c r="G475" s="739"/>
      <c r="H475" s="570"/>
      <c r="I475" s="570"/>
      <c r="J475" s="572"/>
      <c r="K475" s="572"/>
      <c r="L475" s="572"/>
      <c r="M475" s="609" t="str">
        <f t="shared" si="3"/>
        <v> </v>
      </c>
      <c r="N475" s="572"/>
      <c r="O475" s="572"/>
      <c r="P475" s="572"/>
      <c r="Q475" s="572"/>
      <c r="R475" s="572"/>
      <c r="S475" s="574"/>
    </row>
    <row r="476" ht="13.5" customHeight="1">
      <c r="A476" s="572"/>
      <c r="B476" s="572"/>
      <c r="C476" s="572"/>
      <c r="D476" s="738" t="str">
        <f t="shared" si="1"/>
        <v> </v>
      </c>
      <c r="E476" s="605" t="str">
        <f t="shared" si="5"/>
        <v>/ / </v>
      </c>
      <c r="F476" s="572"/>
      <c r="G476" s="739"/>
      <c r="H476" s="570"/>
      <c r="I476" s="570"/>
      <c r="J476" s="572"/>
      <c r="K476" s="572"/>
      <c r="L476" s="572"/>
      <c r="M476" s="609" t="str">
        <f t="shared" si="3"/>
        <v> </v>
      </c>
      <c r="N476" s="572"/>
      <c r="O476" s="572"/>
      <c r="P476" s="572"/>
      <c r="Q476" s="572"/>
      <c r="R476" s="572"/>
      <c r="S476" s="574"/>
    </row>
    <row r="477" ht="13.5" customHeight="1">
      <c r="A477" s="572"/>
      <c r="B477" s="572"/>
      <c r="C477" s="572"/>
      <c r="D477" s="738" t="str">
        <f t="shared" si="1"/>
        <v> </v>
      </c>
      <c r="E477" s="605" t="str">
        <f t="shared" si="5"/>
        <v>/ / </v>
      </c>
      <c r="F477" s="572"/>
      <c r="G477" s="739"/>
      <c r="H477" s="570"/>
      <c r="I477" s="570"/>
      <c r="J477" s="572"/>
      <c r="K477" s="572"/>
      <c r="L477" s="572"/>
      <c r="M477" s="609" t="str">
        <f t="shared" si="3"/>
        <v> </v>
      </c>
      <c r="N477" s="572"/>
      <c r="O477" s="572"/>
      <c r="P477" s="572"/>
      <c r="Q477" s="572"/>
      <c r="R477" s="572"/>
      <c r="S477" s="574"/>
    </row>
    <row r="478" ht="13.5" customHeight="1">
      <c r="A478" s="572"/>
      <c r="B478" s="572"/>
      <c r="C478" s="572"/>
      <c r="D478" s="738" t="str">
        <f t="shared" si="1"/>
        <v> </v>
      </c>
      <c r="E478" s="605" t="str">
        <f t="shared" si="5"/>
        <v>/ / </v>
      </c>
      <c r="F478" s="572"/>
      <c r="G478" s="739"/>
      <c r="H478" s="570"/>
      <c r="I478" s="570"/>
      <c r="J478" s="572"/>
      <c r="K478" s="572"/>
      <c r="L478" s="572"/>
      <c r="M478" s="609" t="str">
        <f t="shared" si="3"/>
        <v> </v>
      </c>
      <c r="N478" s="572"/>
      <c r="O478" s="572"/>
      <c r="P478" s="572"/>
      <c r="Q478" s="572"/>
      <c r="R478" s="572"/>
      <c r="S478" s="574"/>
    </row>
    <row r="479" ht="13.5" customHeight="1">
      <c r="A479" s="572"/>
      <c r="B479" s="572"/>
      <c r="C479" s="572"/>
      <c r="D479" s="738" t="str">
        <f t="shared" si="1"/>
        <v> </v>
      </c>
      <c r="E479" s="605" t="str">
        <f t="shared" si="5"/>
        <v>/ / </v>
      </c>
      <c r="F479" s="572"/>
      <c r="G479" s="739"/>
      <c r="H479" s="570"/>
      <c r="I479" s="570"/>
      <c r="J479" s="572"/>
      <c r="K479" s="572"/>
      <c r="L479" s="572"/>
      <c r="M479" s="609" t="str">
        <f t="shared" si="3"/>
        <v> </v>
      </c>
      <c r="N479" s="572"/>
      <c r="O479" s="572"/>
      <c r="P479" s="572"/>
      <c r="Q479" s="572"/>
      <c r="R479" s="572"/>
      <c r="S479" s="574"/>
    </row>
    <row r="480" ht="13.5" customHeight="1">
      <c r="A480" s="572"/>
      <c r="B480" s="572"/>
      <c r="C480" s="572"/>
      <c r="D480" s="738" t="str">
        <f t="shared" si="1"/>
        <v> </v>
      </c>
      <c r="E480" s="605" t="str">
        <f t="shared" si="5"/>
        <v>/ / </v>
      </c>
      <c r="F480" s="572"/>
      <c r="G480" s="739"/>
      <c r="H480" s="570"/>
      <c r="I480" s="570"/>
      <c r="J480" s="572"/>
      <c r="K480" s="572"/>
      <c r="L480" s="572"/>
      <c r="M480" s="609" t="str">
        <f t="shared" si="3"/>
        <v> </v>
      </c>
      <c r="N480" s="572"/>
      <c r="O480" s="572"/>
      <c r="P480" s="572"/>
      <c r="Q480" s="572"/>
      <c r="R480" s="572"/>
      <c r="S480" s="574"/>
    </row>
    <row r="481" ht="13.5" customHeight="1">
      <c r="A481" s="572"/>
      <c r="B481" s="572"/>
      <c r="C481" s="572"/>
      <c r="D481" s="738" t="str">
        <f t="shared" si="1"/>
        <v> </v>
      </c>
      <c r="E481" s="605" t="str">
        <f t="shared" si="5"/>
        <v>/ / </v>
      </c>
      <c r="F481" s="572"/>
      <c r="G481" s="739"/>
      <c r="H481" s="570"/>
      <c r="I481" s="570"/>
      <c r="J481" s="572"/>
      <c r="K481" s="572"/>
      <c r="L481" s="572"/>
      <c r="M481" s="609" t="str">
        <f t="shared" si="3"/>
        <v> </v>
      </c>
      <c r="N481" s="572"/>
      <c r="O481" s="572"/>
      <c r="P481" s="572"/>
      <c r="Q481" s="572"/>
      <c r="R481" s="572"/>
      <c r="S481" s="574"/>
    </row>
    <row r="482" ht="13.5" customHeight="1">
      <c r="A482" s="572"/>
      <c r="B482" s="572"/>
      <c r="C482" s="572"/>
      <c r="D482" s="738" t="str">
        <f t="shared" si="1"/>
        <v> </v>
      </c>
      <c r="E482" s="605" t="str">
        <f t="shared" si="5"/>
        <v>/ / </v>
      </c>
      <c r="F482" s="572"/>
      <c r="G482" s="739"/>
      <c r="H482" s="570"/>
      <c r="I482" s="570"/>
      <c r="J482" s="572"/>
      <c r="K482" s="572"/>
      <c r="L482" s="572"/>
      <c r="M482" s="609" t="str">
        <f t="shared" si="3"/>
        <v> </v>
      </c>
      <c r="N482" s="572"/>
      <c r="O482" s="572"/>
      <c r="P482" s="572"/>
      <c r="Q482" s="572"/>
      <c r="R482" s="572"/>
      <c r="S482" s="574"/>
    </row>
    <row r="483" ht="13.5" customHeight="1">
      <c r="A483" s="572"/>
      <c r="B483" s="572"/>
      <c r="C483" s="572"/>
      <c r="D483" s="738" t="str">
        <f t="shared" si="1"/>
        <v> </v>
      </c>
      <c r="E483" s="605" t="str">
        <f t="shared" si="5"/>
        <v>/ / </v>
      </c>
      <c r="F483" s="572"/>
      <c r="G483" s="739"/>
      <c r="H483" s="570"/>
      <c r="I483" s="570"/>
      <c r="J483" s="572"/>
      <c r="K483" s="572"/>
      <c r="L483" s="572"/>
      <c r="M483" s="609" t="str">
        <f t="shared" si="3"/>
        <v> </v>
      </c>
      <c r="N483" s="572"/>
      <c r="O483" s="572"/>
      <c r="P483" s="572"/>
      <c r="Q483" s="572"/>
      <c r="R483" s="572"/>
      <c r="S483" s="574"/>
    </row>
    <row r="484" ht="13.5" customHeight="1">
      <c r="A484" s="572"/>
      <c r="B484" s="572"/>
      <c r="C484" s="572"/>
      <c r="D484" s="738" t="str">
        <f t="shared" si="1"/>
        <v> </v>
      </c>
      <c r="E484" s="605" t="str">
        <f t="shared" si="5"/>
        <v>/ / </v>
      </c>
      <c r="F484" s="572"/>
      <c r="G484" s="739"/>
      <c r="H484" s="570"/>
      <c r="I484" s="570"/>
      <c r="J484" s="572"/>
      <c r="K484" s="572"/>
      <c r="L484" s="572"/>
      <c r="M484" s="609" t="str">
        <f t="shared" si="3"/>
        <v> </v>
      </c>
      <c r="N484" s="572"/>
      <c r="O484" s="572"/>
      <c r="P484" s="572"/>
      <c r="Q484" s="572"/>
      <c r="R484" s="572"/>
      <c r="S484" s="574"/>
    </row>
    <row r="485" ht="13.5" customHeight="1">
      <c r="A485" s="572"/>
      <c r="B485" s="572"/>
      <c r="C485" s="572"/>
      <c r="D485" s="738" t="str">
        <f t="shared" si="1"/>
        <v> </v>
      </c>
      <c r="E485" s="605" t="str">
        <f t="shared" si="5"/>
        <v>/ / </v>
      </c>
      <c r="F485" s="572"/>
      <c r="G485" s="739"/>
      <c r="H485" s="570"/>
      <c r="I485" s="570"/>
      <c r="J485" s="572"/>
      <c r="K485" s="572"/>
      <c r="L485" s="572"/>
      <c r="M485" s="609" t="str">
        <f t="shared" si="3"/>
        <v> </v>
      </c>
      <c r="N485" s="572"/>
      <c r="O485" s="572"/>
      <c r="P485" s="572"/>
      <c r="Q485" s="572"/>
      <c r="R485" s="572"/>
      <c r="S485" s="574"/>
    </row>
    <row r="486" ht="13.5" customHeight="1">
      <c r="A486" s="572"/>
      <c r="B486" s="572"/>
      <c r="C486" s="572"/>
      <c r="D486" s="738" t="str">
        <f t="shared" si="1"/>
        <v> </v>
      </c>
      <c r="E486" s="605" t="str">
        <f t="shared" si="5"/>
        <v>/ / </v>
      </c>
      <c r="F486" s="572"/>
      <c r="G486" s="739"/>
      <c r="H486" s="570"/>
      <c r="I486" s="570"/>
      <c r="J486" s="572"/>
      <c r="K486" s="572"/>
      <c r="L486" s="572"/>
      <c r="M486" s="609" t="str">
        <f t="shared" si="3"/>
        <v> </v>
      </c>
      <c r="N486" s="572"/>
      <c r="O486" s="572"/>
      <c r="P486" s="572"/>
      <c r="Q486" s="572"/>
      <c r="R486" s="572"/>
      <c r="S486" s="574"/>
    </row>
    <row r="487" ht="13.5" customHeight="1">
      <c r="A487" s="572"/>
      <c r="B487" s="572"/>
      <c r="C487" s="572"/>
      <c r="D487" s="738" t="str">
        <f t="shared" si="1"/>
        <v> </v>
      </c>
      <c r="E487" s="605" t="str">
        <f t="shared" si="5"/>
        <v>/ / </v>
      </c>
      <c r="F487" s="572"/>
      <c r="G487" s="739"/>
      <c r="H487" s="570"/>
      <c r="I487" s="570"/>
      <c r="J487" s="572"/>
      <c r="K487" s="572"/>
      <c r="L487" s="572"/>
      <c r="M487" s="609" t="str">
        <f t="shared" si="3"/>
        <v> </v>
      </c>
      <c r="N487" s="572"/>
      <c r="O487" s="572"/>
      <c r="P487" s="572"/>
      <c r="Q487" s="572"/>
      <c r="R487" s="572"/>
      <c r="S487" s="574"/>
    </row>
    <row r="488" ht="13.5" customHeight="1">
      <c r="A488" s="572"/>
      <c r="B488" s="572"/>
      <c r="C488" s="572"/>
      <c r="D488" s="738" t="str">
        <f t="shared" si="1"/>
        <v> </v>
      </c>
      <c r="E488" s="605" t="str">
        <f t="shared" si="5"/>
        <v>/ / </v>
      </c>
      <c r="F488" s="572"/>
      <c r="G488" s="739"/>
      <c r="H488" s="570"/>
      <c r="I488" s="570"/>
      <c r="J488" s="572"/>
      <c r="K488" s="572"/>
      <c r="L488" s="572"/>
      <c r="M488" s="609" t="str">
        <f t="shared" si="3"/>
        <v> </v>
      </c>
      <c r="N488" s="572"/>
      <c r="O488" s="572"/>
      <c r="P488" s="572"/>
      <c r="Q488" s="572"/>
      <c r="R488" s="572"/>
      <c r="S488" s="574"/>
    </row>
    <row r="489" ht="13.5" customHeight="1">
      <c r="A489" s="572"/>
      <c r="B489" s="572"/>
      <c r="C489" s="572"/>
      <c r="D489" s="738" t="str">
        <f t="shared" si="1"/>
        <v> </v>
      </c>
      <c r="E489" s="605" t="str">
        <f t="shared" si="5"/>
        <v>/ / </v>
      </c>
      <c r="F489" s="572"/>
      <c r="G489" s="739"/>
      <c r="H489" s="570"/>
      <c r="I489" s="570"/>
      <c r="J489" s="572"/>
      <c r="K489" s="572"/>
      <c r="L489" s="572"/>
      <c r="M489" s="609" t="str">
        <f t="shared" si="3"/>
        <v> </v>
      </c>
      <c r="N489" s="572"/>
      <c r="O489" s="572"/>
      <c r="P489" s="572"/>
      <c r="Q489" s="572"/>
      <c r="R489" s="572"/>
      <c r="S489" s="574"/>
    </row>
    <row r="490" ht="13.5" customHeight="1">
      <c r="A490" s="572"/>
      <c r="B490" s="572"/>
      <c r="C490" s="572"/>
      <c r="D490" s="738" t="str">
        <f t="shared" si="1"/>
        <v> </v>
      </c>
      <c r="E490" s="605" t="str">
        <f t="shared" si="5"/>
        <v>/ / </v>
      </c>
      <c r="F490" s="572"/>
      <c r="G490" s="739"/>
      <c r="H490" s="570"/>
      <c r="I490" s="570"/>
      <c r="J490" s="572"/>
      <c r="K490" s="572"/>
      <c r="L490" s="572"/>
      <c r="M490" s="609" t="str">
        <f t="shared" si="3"/>
        <v> </v>
      </c>
      <c r="N490" s="572"/>
      <c r="O490" s="572"/>
      <c r="P490" s="572"/>
      <c r="Q490" s="572"/>
      <c r="R490" s="572"/>
      <c r="S490" s="574"/>
    </row>
    <row r="491" ht="13.5" customHeight="1">
      <c r="A491" s="572"/>
      <c r="B491" s="572"/>
      <c r="C491" s="572"/>
      <c r="D491" s="738" t="str">
        <f t="shared" si="1"/>
        <v> </v>
      </c>
      <c r="E491" s="605" t="str">
        <f t="shared" si="5"/>
        <v>/ / </v>
      </c>
      <c r="F491" s="572"/>
      <c r="G491" s="739"/>
      <c r="H491" s="570"/>
      <c r="I491" s="570"/>
      <c r="J491" s="572"/>
      <c r="K491" s="572"/>
      <c r="L491" s="572"/>
      <c r="M491" s="609" t="str">
        <f t="shared" si="3"/>
        <v> </v>
      </c>
      <c r="N491" s="572"/>
      <c r="O491" s="572"/>
      <c r="P491" s="572"/>
      <c r="Q491" s="572"/>
      <c r="R491" s="572"/>
      <c r="S491" s="574"/>
    </row>
    <row r="492" ht="13.5" customHeight="1">
      <c r="A492" s="572"/>
      <c r="B492" s="572"/>
      <c r="C492" s="572"/>
      <c r="D492" s="738" t="str">
        <f t="shared" si="1"/>
        <v> </v>
      </c>
      <c r="E492" s="605" t="str">
        <f t="shared" si="5"/>
        <v>/ / </v>
      </c>
      <c r="F492" s="572"/>
      <c r="G492" s="739"/>
      <c r="H492" s="570"/>
      <c r="I492" s="570"/>
      <c r="J492" s="572"/>
      <c r="K492" s="572"/>
      <c r="L492" s="572"/>
      <c r="M492" s="609" t="str">
        <f t="shared" si="3"/>
        <v> </v>
      </c>
      <c r="N492" s="572"/>
      <c r="O492" s="572"/>
      <c r="P492" s="572"/>
      <c r="Q492" s="572"/>
      <c r="R492" s="572"/>
      <c r="S492" s="574"/>
    </row>
    <row r="493" ht="13.5" customHeight="1">
      <c r="A493" s="572"/>
      <c r="B493" s="572"/>
      <c r="C493" s="572"/>
      <c r="D493" s="738" t="str">
        <f t="shared" si="1"/>
        <v> </v>
      </c>
      <c r="E493" s="605" t="str">
        <f t="shared" si="5"/>
        <v>/ / </v>
      </c>
      <c r="F493" s="572"/>
      <c r="G493" s="739"/>
      <c r="H493" s="570"/>
      <c r="I493" s="570"/>
      <c r="J493" s="572"/>
      <c r="K493" s="572"/>
      <c r="L493" s="572"/>
      <c r="M493" s="609" t="str">
        <f t="shared" si="3"/>
        <v> </v>
      </c>
      <c r="N493" s="572"/>
      <c r="O493" s="572"/>
      <c r="P493" s="572"/>
      <c r="Q493" s="572"/>
      <c r="R493" s="572"/>
      <c r="S493" s="574"/>
    </row>
    <row r="494" ht="13.5" customHeight="1">
      <c r="A494" s="572"/>
      <c r="B494" s="572"/>
      <c r="C494" s="572"/>
      <c r="D494" s="738" t="str">
        <f t="shared" si="1"/>
        <v> </v>
      </c>
      <c r="E494" s="605" t="str">
        <f t="shared" si="5"/>
        <v>/ / </v>
      </c>
      <c r="F494" s="572"/>
      <c r="G494" s="739"/>
      <c r="H494" s="570"/>
      <c r="I494" s="570"/>
      <c r="J494" s="572"/>
      <c r="K494" s="572"/>
      <c r="L494" s="572"/>
      <c r="M494" s="609" t="str">
        <f t="shared" si="3"/>
        <v> </v>
      </c>
      <c r="N494" s="572"/>
      <c r="O494" s="572"/>
      <c r="P494" s="572"/>
      <c r="Q494" s="572"/>
      <c r="R494" s="572"/>
      <c r="S494" s="574"/>
    </row>
    <row r="495" ht="13.5" customHeight="1">
      <c r="A495" s="572"/>
      <c r="B495" s="572"/>
      <c r="C495" s="572"/>
      <c r="D495" s="738" t="str">
        <f t="shared" si="1"/>
        <v> </v>
      </c>
      <c r="E495" s="605" t="str">
        <f t="shared" si="5"/>
        <v>/ / </v>
      </c>
      <c r="F495" s="572"/>
      <c r="G495" s="739"/>
      <c r="H495" s="570"/>
      <c r="I495" s="570"/>
      <c r="J495" s="572"/>
      <c r="K495" s="572"/>
      <c r="L495" s="572"/>
      <c r="M495" s="609" t="str">
        <f t="shared" si="3"/>
        <v> </v>
      </c>
      <c r="N495" s="572"/>
      <c r="O495" s="572"/>
      <c r="P495" s="572"/>
      <c r="Q495" s="572"/>
      <c r="R495" s="572"/>
      <c r="S495" s="574"/>
    </row>
    <row r="496" ht="13.5" customHeight="1">
      <c r="A496" s="572"/>
      <c r="B496" s="572"/>
      <c r="C496" s="572"/>
      <c r="D496" s="738" t="str">
        <f t="shared" si="1"/>
        <v> </v>
      </c>
      <c r="E496" s="605" t="str">
        <f t="shared" si="5"/>
        <v>/ / </v>
      </c>
      <c r="F496" s="572"/>
      <c r="G496" s="739"/>
      <c r="H496" s="570"/>
      <c r="I496" s="570"/>
      <c r="J496" s="572"/>
      <c r="K496" s="572"/>
      <c r="L496" s="572"/>
      <c r="M496" s="609" t="str">
        <f t="shared" si="3"/>
        <v> </v>
      </c>
      <c r="N496" s="572"/>
      <c r="O496" s="572"/>
      <c r="P496" s="572"/>
      <c r="Q496" s="572"/>
      <c r="R496" s="572"/>
      <c r="S496" s="574"/>
    </row>
    <row r="497" ht="13.5" customHeight="1">
      <c r="A497" s="572"/>
      <c r="B497" s="572"/>
      <c r="C497" s="572"/>
      <c r="D497" s="738" t="str">
        <f t="shared" si="1"/>
        <v> </v>
      </c>
      <c r="E497" s="605" t="str">
        <f t="shared" si="5"/>
        <v>/ / </v>
      </c>
      <c r="F497" s="572"/>
      <c r="G497" s="739"/>
      <c r="H497" s="570"/>
      <c r="I497" s="570"/>
      <c r="J497" s="572"/>
      <c r="K497" s="572"/>
      <c r="L497" s="572"/>
      <c r="M497" s="609" t="str">
        <f t="shared" si="3"/>
        <v> </v>
      </c>
      <c r="N497" s="572"/>
      <c r="O497" s="572"/>
      <c r="P497" s="572"/>
      <c r="Q497" s="572"/>
      <c r="R497" s="572"/>
      <c r="S497" s="574"/>
    </row>
    <row r="498" ht="13.5" customHeight="1">
      <c r="A498" s="572"/>
      <c r="B498" s="572"/>
      <c r="C498" s="572"/>
      <c r="D498" s="738" t="str">
        <f t="shared" si="1"/>
        <v> </v>
      </c>
      <c r="E498" s="605" t="str">
        <f t="shared" si="5"/>
        <v>/ / </v>
      </c>
      <c r="F498" s="572"/>
      <c r="G498" s="739"/>
      <c r="H498" s="570"/>
      <c r="I498" s="570"/>
      <c r="J498" s="572"/>
      <c r="K498" s="572"/>
      <c r="L498" s="572"/>
      <c r="M498" s="609" t="str">
        <f t="shared" si="3"/>
        <v> </v>
      </c>
      <c r="N498" s="572"/>
      <c r="O498" s="572"/>
      <c r="P498" s="572"/>
      <c r="Q498" s="572"/>
      <c r="R498" s="572"/>
      <c r="S498" s="574"/>
    </row>
    <row r="499" ht="13.5" customHeight="1">
      <c r="A499" s="572"/>
      <c r="B499" s="572"/>
      <c r="C499" s="572"/>
      <c r="D499" s="738" t="str">
        <f t="shared" si="1"/>
        <v> </v>
      </c>
      <c r="E499" s="605" t="str">
        <f t="shared" si="5"/>
        <v>/ / </v>
      </c>
      <c r="F499" s="572"/>
      <c r="G499" s="739"/>
      <c r="H499" s="570"/>
      <c r="I499" s="570"/>
      <c r="J499" s="572"/>
      <c r="K499" s="572"/>
      <c r="L499" s="572"/>
      <c r="M499" s="609" t="str">
        <f t="shared" si="3"/>
        <v> </v>
      </c>
      <c r="N499" s="572"/>
      <c r="O499" s="572"/>
      <c r="P499" s="572"/>
      <c r="Q499" s="572"/>
      <c r="R499" s="572"/>
      <c r="S499" s="574"/>
    </row>
    <row r="500" ht="13.5" customHeight="1">
      <c r="A500" s="572"/>
      <c r="B500" s="572"/>
      <c r="C500" s="572"/>
      <c r="D500" s="738" t="str">
        <f t="shared" si="1"/>
        <v> </v>
      </c>
      <c r="E500" s="605" t="str">
        <f t="shared" si="5"/>
        <v>/ / </v>
      </c>
      <c r="F500" s="572"/>
      <c r="G500" s="739"/>
      <c r="H500" s="570"/>
      <c r="I500" s="570"/>
      <c r="J500" s="572"/>
      <c r="K500" s="572"/>
      <c r="L500" s="572"/>
      <c r="M500" s="609" t="str">
        <f t="shared" si="3"/>
        <v> </v>
      </c>
      <c r="N500" s="572"/>
      <c r="O500" s="572"/>
      <c r="P500" s="572"/>
      <c r="Q500" s="572"/>
      <c r="R500" s="572"/>
      <c r="S500" s="574"/>
    </row>
    <row r="501" ht="13.5" customHeight="1">
      <c r="A501" s="572"/>
      <c r="B501" s="572"/>
      <c r="C501" s="572"/>
      <c r="D501" s="738" t="str">
        <f t="shared" si="1"/>
        <v> </v>
      </c>
      <c r="E501" s="605" t="str">
        <f t="shared" si="5"/>
        <v>/ / </v>
      </c>
      <c r="F501" s="572"/>
      <c r="G501" s="739"/>
      <c r="H501" s="570"/>
      <c r="I501" s="570"/>
      <c r="J501" s="572"/>
      <c r="K501" s="572"/>
      <c r="L501" s="572"/>
      <c r="M501" s="609" t="str">
        <f t="shared" si="3"/>
        <v> </v>
      </c>
      <c r="N501" s="572"/>
      <c r="O501" s="572"/>
      <c r="P501" s="572"/>
      <c r="Q501" s="572"/>
      <c r="R501" s="572"/>
      <c r="S501" s="574"/>
    </row>
    <row r="502" ht="13.5" customHeight="1">
      <c r="A502" s="572"/>
      <c r="B502" s="572"/>
      <c r="C502" s="572"/>
      <c r="D502" s="738" t="str">
        <f t="shared" si="1"/>
        <v> </v>
      </c>
      <c r="E502" s="605" t="str">
        <f t="shared" si="5"/>
        <v>/ / </v>
      </c>
      <c r="F502" s="572"/>
      <c r="G502" s="739"/>
      <c r="H502" s="570"/>
      <c r="I502" s="570"/>
      <c r="J502" s="572"/>
      <c r="K502" s="572"/>
      <c r="L502" s="572"/>
      <c r="M502" s="609" t="str">
        <f t="shared" si="3"/>
        <v> </v>
      </c>
      <c r="N502" s="572"/>
      <c r="O502" s="572"/>
      <c r="P502" s="572"/>
      <c r="Q502" s="572"/>
      <c r="R502" s="572"/>
      <c r="S502" s="574"/>
    </row>
    <row r="503" ht="13.5" customHeight="1">
      <c r="A503" s="572"/>
      <c r="B503" s="572"/>
      <c r="C503" s="572"/>
      <c r="D503" s="738" t="str">
        <f t="shared" si="1"/>
        <v> </v>
      </c>
      <c r="E503" s="605" t="str">
        <f t="shared" si="5"/>
        <v>/ / </v>
      </c>
      <c r="F503" s="572"/>
      <c r="G503" s="739"/>
      <c r="H503" s="570"/>
      <c r="I503" s="570"/>
      <c r="J503" s="572"/>
      <c r="K503" s="572"/>
      <c r="L503" s="572"/>
      <c r="M503" s="609" t="str">
        <f t="shared" si="3"/>
        <v> </v>
      </c>
      <c r="N503" s="572"/>
      <c r="O503" s="572"/>
      <c r="P503" s="572"/>
      <c r="Q503" s="572"/>
      <c r="R503" s="572"/>
      <c r="S503" s="574"/>
    </row>
    <row r="504" ht="13.5" customHeight="1">
      <c r="A504" s="572"/>
      <c r="B504" s="572"/>
      <c r="C504" s="572"/>
      <c r="D504" s="738" t="str">
        <f t="shared" si="1"/>
        <v> </v>
      </c>
      <c r="E504" s="605" t="str">
        <f t="shared" si="5"/>
        <v>/ / </v>
      </c>
      <c r="F504" s="572"/>
      <c r="G504" s="739"/>
      <c r="H504" s="570"/>
      <c r="I504" s="570"/>
      <c r="J504" s="572"/>
      <c r="K504" s="572"/>
      <c r="L504" s="572"/>
      <c r="M504" s="609" t="str">
        <f t="shared" si="3"/>
        <v> </v>
      </c>
      <c r="N504" s="572"/>
      <c r="O504" s="572"/>
      <c r="P504" s="572"/>
      <c r="Q504" s="572"/>
      <c r="R504" s="572"/>
      <c r="S504" s="574"/>
    </row>
    <row r="505" ht="13.5" customHeight="1">
      <c r="A505" s="572"/>
      <c r="B505" s="572"/>
      <c r="C505" s="572"/>
      <c r="D505" s="738" t="str">
        <f t="shared" si="1"/>
        <v> </v>
      </c>
      <c r="E505" s="605" t="str">
        <f t="shared" si="5"/>
        <v>/ / </v>
      </c>
      <c r="F505" s="572"/>
      <c r="G505" s="739"/>
      <c r="H505" s="570"/>
      <c r="I505" s="570"/>
      <c r="J505" s="572"/>
      <c r="K505" s="572"/>
      <c r="L505" s="572"/>
      <c r="M505" s="609" t="str">
        <f t="shared" si="3"/>
        <v> </v>
      </c>
      <c r="N505" s="572"/>
      <c r="O505" s="572"/>
      <c r="P505" s="572"/>
      <c r="Q505" s="572"/>
      <c r="R505" s="572"/>
      <c r="S505" s="574"/>
    </row>
    <row r="506" ht="13.5" customHeight="1">
      <c r="A506" s="572"/>
      <c r="B506" s="572"/>
      <c r="C506" s="572"/>
      <c r="D506" s="738" t="str">
        <f t="shared" si="1"/>
        <v> </v>
      </c>
      <c r="E506" s="605" t="str">
        <f t="shared" si="5"/>
        <v>/ / </v>
      </c>
      <c r="F506" s="572"/>
      <c r="G506" s="739"/>
      <c r="H506" s="570"/>
      <c r="I506" s="570"/>
      <c r="J506" s="572"/>
      <c r="K506" s="572"/>
      <c r="L506" s="572"/>
      <c r="M506" s="609" t="str">
        <f t="shared" si="3"/>
        <v> </v>
      </c>
      <c r="N506" s="572"/>
      <c r="O506" s="572"/>
      <c r="P506" s="572"/>
      <c r="Q506" s="572"/>
      <c r="R506" s="572"/>
      <c r="S506" s="574"/>
    </row>
    <row r="507" ht="13.5" customHeight="1">
      <c r="A507" s="572"/>
      <c r="B507" s="572"/>
      <c r="C507" s="572"/>
      <c r="D507" s="738" t="str">
        <f t="shared" si="1"/>
        <v> </v>
      </c>
      <c r="E507" s="605" t="str">
        <f t="shared" si="5"/>
        <v>/ / </v>
      </c>
      <c r="F507" s="572"/>
      <c r="G507" s="739"/>
      <c r="H507" s="570"/>
      <c r="I507" s="570"/>
      <c r="J507" s="572"/>
      <c r="K507" s="572"/>
      <c r="L507" s="572"/>
      <c r="M507" s="609" t="str">
        <f t="shared" si="3"/>
        <v> </v>
      </c>
      <c r="N507" s="572"/>
      <c r="O507" s="572"/>
      <c r="P507" s="572"/>
      <c r="Q507" s="572"/>
      <c r="R507" s="572"/>
      <c r="S507" s="574"/>
    </row>
    <row r="508" ht="13.5" customHeight="1">
      <c r="A508" s="572"/>
      <c r="B508" s="572"/>
      <c r="C508" s="572"/>
      <c r="D508" s="738" t="str">
        <f t="shared" si="1"/>
        <v> </v>
      </c>
      <c r="E508" s="605" t="str">
        <f t="shared" si="5"/>
        <v>/ / </v>
      </c>
      <c r="F508" s="572"/>
      <c r="G508" s="739"/>
      <c r="H508" s="570"/>
      <c r="I508" s="570"/>
      <c r="J508" s="572"/>
      <c r="K508" s="572"/>
      <c r="L508" s="572"/>
      <c r="M508" s="609" t="str">
        <f t="shared" si="3"/>
        <v> </v>
      </c>
      <c r="N508" s="572"/>
      <c r="O508" s="572"/>
      <c r="P508" s="572"/>
      <c r="Q508" s="572"/>
      <c r="R508" s="572"/>
      <c r="S508" s="574"/>
    </row>
    <row r="509" ht="13.5" customHeight="1">
      <c r="A509" s="572"/>
      <c r="B509" s="572"/>
      <c r="C509" s="572"/>
      <c r="D509" s="738" t="str">
        <f t="shared" si="1"/>
        <v> </v>
      </c>
      <c r="E509" s="605" t="str">
        <f t="shared" si="5"/>
        <v>/ / </v>
      </c>
      <c r="F509" s="572"/>
      <c r="G509" s="739"/>
      <c r="H509" s="570"/>
      <c r="I509" s="570"/>
      <c r="J509" s="572"/>
      <c r="K509" s="572"/>
      <c r="L509" s="572"/>
      <c r="M509" s="609" t="str">
        <f t="shared" si="3"/>
        <v> </v>
      </c>
      <c r="N509" s="572"/>
      <c r="O509" s="572"/>
      <c r="P509" s="572"/>
      <c r="Q509" s="572"/>
      <c r="R509" s="572"/>
      <c r="S509" s="574"/>
    </row>
    <row r="510" ht="13.5" customHeight="1">
      <c r="A510" s="572"/>
      <c r="B510" s="572"/>
      <c r="C510" s="572"/>
      <c r="D510" s="738" t="str">
        <f t="shared" si="1"/>
        <v> </v>
      </c>
      <c r="E510" s="605" t="str">
        <f t="shared" si="5"/>
        <v>/ / </v>
      </c>
      <c r="F510" s="572"/>
      <c r="G510" s="739"/>
      <c r="H510" s="570"/>
      <c r="I510" s="570"/>
      <c r="J510" s="572"/>
      <c r="K510" s="572"/>
      <c r="L510" s="572"/>
      <c r="M510" s="609" t="str">
        <f t="shared" si="3"/>
        <v> </v>
      </c>
      <c r="N510" s="572"/>
      <c r="O510" s="572"/>
      <c r="P510" s="572"/>
      <c r="Q510" s="572"/>
      <c r="R510" s="572"/>
      <c r="S510" s="574"/>
    </row>
    <row r="511" ht="13.5" customHeight="1">
      <c r="A511" s="572"/>
      <c r="B511" s="572"/>
      <c r="C511" s="572"/>
      <c r="D511" s="738" t="str">
        <f t="shared" si="1"/>
        <v> </v>
      </c>
      <c r="E511" s="605" t="str">
        <f t="shared" si="5"/>
        <v>/ / </v>
      </c>
      <c r="F511" s="572"/>
      <c r="G511" s="739"/>
      <c r="H511" s="570"/>
      <c r="I511" s="570"/>
      <c r="J511" s="572"/>
      <c r="K511" s="572"/>
      <c r="L511" s="572"/>
      <c r="M511" s="609" t="str">
        <f t="shared" si="3"/>
        <v> </v>
      </c>
      <c r="N511" s="572"/>
      <c r="O511" s="572"/>
      <c r="P511" s="572"/>
      <c r="Q511" s="572"/>
      <c r="R511" s="572"/>
      <c r="S511" s="574"/>
    </row>
    <row r="512" ht="13.5" customHeight="1">
      <c r="A512" s="572"/>
      <c r="B512" s="572"/>
      <c r="C512" s="572"/>
      <c r="D512" s="738" t="str">
        <f t="shared" si="1"/>
        <v> </v>
      </c>
      <c r="E512" s="605" t="str">
        <f t="shared" si="5"/>
        <v>/ / </v>
      </c>
      <c r="F512" s="572"/>
      <c r="G512" s="739"/>
      <c r="H512" s="570"/>
      <c r="I512" s="570"/>
      <c r="J512" s="572"/>
      <c r="K512" s="572"/>
      <c r="L512" s="572"/>
      <c r="M512" s="609" t="str">
        <f t="shared" si="3"/>
        <v> </v>
      </c>
      <c r="N512" s="572"/>
      <c r="O512" s="572"/>
      <c r="P512" s="572"/>
      <c r="Q512" s="572"/>
      <c r="R512" s="572"/>
      <c r="S512" s="574"/>
    </row>
    <row r="513" ht="13.5" customHeight="1">
      <c r="A513" s="572"/>
      <c r="B513" s="572"/>
      <c r="C513" s="572"/>
      <c r="D513" s="738" t="str">
        <f t="shared" si="1"/>
        <v> </v>
      </c>
      <c r="E513" s="605" t="str">
        <f t="shared" si="5"/>
        <v>/ / </v>
      </c>
      <c r="F513" s="572"/>
      <c r="G513" s="739"/>
      <c r="H513" s="570"/>
      <c r="I513" s="570"/>
      <c r="J513" s="572"/>
      <c r="K513" s="572"/>
      <c r="L513" s="572"/>
      <c r="M513" s="609" t="str">
        <f t="shared" si="3"/>
        <v> </v>
      </c>
      <c r="N513" s="572"/>
      <c r="O513" s="572"/>
      <c r="P513" s="572"/>
      <c r="Q513" s="572"/>
      <c r="R513" s="572"/>
      <c r="S513" s="574"/>
    </row>
    <row r="514" ht="13.5" customHeight="1">
      <c r="A514" s="572"/>
      <c r="B514" s="572"/>
      <c r="C514" s="572"/>
      <c r="D514" s="738" t="str">
        <f t="shared" si="1"/>
        <v> </v>
      </c>
      <c r="E514" s="605" t="str">
        <f t="shared" si="5"/>
        <v>/ / </v>
      </c>
      <c r="F514" s="572"/>
      <c r="G514" s="739"/>
      <c r="H514" s="570"/>
      <c r="I514" s="570"/>
      <c r="J514" s="572"/>
      <c r="K514" s="572"/>
      <c r="L514" s="572"/>
      <c r="M514" s="609" t="str">
        <f t="shared" si="3"/>
        <v> </v>
      </c>
      <c r="N514" s="572"/>
      <c r="O514" s="572"/>
      <c r="P514" s="572"/>
      <c r="Q514" s="572"/>
      <c r="R514" s="572"/>
      <c r="S514" s="574"/>
    </row>
    <row r="515" ht="13.5" customHeight="1">
      <c r="A515" s="572"/>
      <c r="B515" s="572"/>
      <c r="C515" s="572"/>
      <c r="D515" s="738" t="str">
        <f t="shared" si="1"/>
        <v> </v>
      </c>
      <c r="E515" s="605" t="str">
        <f t="shared" si="5"/>
        <v>/ / </v>
      </c>
      <c r="F515" s="572"/>
      <c r="G515" s="739"/>
      <c r="H515" s="570"/>
      <c r="I515" s="570"/>
      <c r="J515" s="572"/>
      <c r="K515" s="572"/>
      <c r="L515" s="572"/>
      <c r="M515" s="609" t="str">
        <f t="shared" si="3"/>
        <v> </v>
      </c>
      <c r="N515" s="572"/>
      <c r="O515" s="572"/>
      <c r="P515" s="572"/>
      <c r="Q515" s="572"/>
      <c r="R515" s="572"/>
      <c r="S515" s="574"/>
    </row>
    <row r="516" ht="13.5" customHeight="1">
      <c r="A516" s="572"/>
      <c r="B516" s="572"/>
      <c r="C516" s="572"/>
      <c r="D516" s="738" t="str">
        <f t="shared" si="1"/>
        <v> </v>
      </c>
      <c r="E516" s="605" t="str">
        <f t="shared" si="5"/>
        <v>/ / </v>
      </c>
      <c r="F516" s="572"/>
      <c r="G516" s="739"/>
      <c r="H516" s="570"/>
      <c r="I516" s="570"/>
      <c r="J516" s="572"/>
      <c r="K516" s="572"/>
      <c r="L516" s="572"/>
      <c r="M516" s="609" t="str">
        <f t="shared" si="3"/>
        <v> </v>
      </c>
      <c r="N516" s="572"/>
      <c r="O516" s="572"/>
      <c r="P516" s="572"/>
      <c r="Q516" s="572"/>
      <c r="R516" s="572"/>
      <c r="S516" s="574"/>
    </row>
    <row r="517" ht="13.5" customHeight="1">
      <c r="A517" s="572"/>
      <c r="B517" s="572"/>
      <c r="C517" s="572"/>
      <c r="D517" s="738" t="str">
        <f t="shared" si="1"/>
        <v> </v>
      </c>
      <c r="E517" s="605" t="str">
        <f t="shared" si="5"/>
        <v>/ / </v>
      </c>
      <c r="F517" s="572"/>
      <c r="G517" s="739"/>
      <c r="H517" s="570"/>
      <c r="I517" s="570"/>
      <c r="J517" s="572"/>
      <c r="K517" s="572"/>
      <c r="L517" s="572"/>
      <c r="M517" s="609" t="str">
        <f t="shared" si="3"/>
        <v> </v>
      </c>
      <c r="N517" s="572"/>
      <c r="O517" s="572"/>
      <c r="P517" s="572"/>
      <c r="Q517" s="572"/>
      <c r="R517" s="572"/>
      <c r="S517" s="574"/>
    </row>
    <row r="518" ht="13.5" customHeight="1">
      <c r="A518" s="572"/>
      <c r="B518" s="572"/>
      <c r="C518" s="572"/>
      <c r="D518" s="738" t="str">
        <f t="shared" si="1"/>
        <v> </v>
      </c>
      <c r="E518" s="605" t="str">
        <f t="shared" si="5"/>
        <v>/ / </v>
      </c>
      <c r="F518" s="572"/>
      <c r="G518" s="739"/>
      <c r="H518" s="570"/>
      <c r="I518" s="570"/>
      <c r="J518" s="572"/>
      <c r="K518" s="572"/>
      <c r="L518" s="572"/>
      <c r="M518" s="609" t="str">
        <f t="shared" si="3"/>
        <v> </v>
      </c>
      <c r="N518" s="572"/>
      <c r="O518" s="572"/>
      <c r="P518" s="572"/>
      <c r="Q518" s="572"/>
      <c r="R518" s="572"/>
      <c r="S518" s="574"/>
    </row>
    <row r="519" ht="13.5" customHeight="1">
      <c r="A519" s="572"/>
      <c r="B519" s="572"/>
      <c r="C519" s="572"/>
      <c r="D519" s="738" t="str">
        <f t="shared" si="1"/>
        <v> </v>
      </c>
      <c r="E519" s="605" t="str">
        <f t="shared" si="5"/>
        <v>/ / </v>
      </c>
      <c r="F519" s="572"/>
      <c r="G519" s="739"/>
      <c r="H519" s="570"/>
      <c r="I519" s="570"/>
      <c r="J519" s="572"/>
      <c r="K519" s="572"/>
      <c r="L519" s="572"/>
      <c r="M519" s="609" t="str">
        <f t="shared" si="3"/>
        <v> </v>
      </c>
      <c r="N519" s="572"/>
      <c r="O519" s="572"/>
      <c r="P519" s="572"/>
      <c r="Q519" s="572"/>
      <c r="R519" s="572"/>
      <c r="S519" s="574"/>
    </row>
    <row r="520" ht="13.5" customHeight="1">
      <c r="A520" s="572"/>
      <c r="B520" s="572"/>
      <c r="C520" s="572"/>
      <c r="D520" s="738" t="str">
        <f t="shared" si="1"/>
        <v> </v>
      </c>
      <c r="E520" s="605" t="str">
        <f t="shared" si="5"/>
        <v>/ / </v>
      </c>
      <c r="F520" s="572"/>
      <c r="G520" s="739"/>
      <c r="H520" s="570"/>
      <c r="I520" s="570"/>
      <c r="J520" s="572"/>
      <c r="K520" s="572"/>
      <c r="L520" s="572"/>
      <c r="M520" s="609" t="str">
        <f t="shared" si="3"/>
        <v> </v>
      </c>
      <c r="N520" s="572"/>
      <c r="O520" s="572"/>
      <c r="P520" s="572"/>
      <c r="Q520" s="572"/>
      <c r="R520" s="572"/>
      <c r="S520" s="574"/>
    </row>
    <row r="521" ht="13.5" customHeight="1">
      <c r="A521" s="572"/>
      <c r="B521" s="572"/>
      <c r="C521" s="572"/>
      <c r="D521" s="738" t="str">
        <f t="shared" si="1"/>
        <v> </v>
      </c>
      <c r="E521" s="605" t="str">
        <f t="shared" si="5"/>
        <v>/ / </v>
      </c>
      <c r="F521" s="572"/>
      <c r="G521" s="739"/>
      <c r="H521" s="570"/>
      <c r="I521" s="570"/>
      <c r="J521" s="572"/>
      <c r="K521" s="572"/>
      <c r="L521" s="572"/>
      <c r="M521" s="609" t="str">
        <f t="shared" si="3"/>
        <v> </v>
      </c>
      <c r="N521" s="572"/>
      <c r="O521" s="572"/>
      <c r="P521" s="572"/>
      <c r="Q521" s="572"/>
      <c r="R521" s="572"/>
      <c r="S521" s="574"/>
    </row>
    <row r="522" ht="13.5" customHeight="1">
      <c r="A522" s="572"/>
      <c r="B522" s="572"/>
      <c r="C522" s="572"/>
      <c r="D522" s="738" t="str">
        <f t="shared" si="1"/>
        <v> </v>
      </c>
      <c r="E522" s="605" t="str">
        <f t="shared" si="5"/>
        <v>/ / </v>
      </c>
      <c r="F522" s="572"/>
      <c r="G522" s="739"/>
      <c r="H522" s="570"/>
      <c r="I522" s="570"/>
      <c r="J522" s="572"/>
      <c r="K522" s="572"/>
      <c r="L522" s="572"/>
      <c r="M522" s="609" t="str">
        <f t="shared" si="3"/>
        <v> </v>
      </c>
      <c r="N522" s="572"/>
      <c r="O522" s="572"/>
      <c r="P522" s="572"/>
      <c r="Q522" s="572"/>
      <c r="R522" s="572"/>
      <c r="S522" s="574"/>
    </row>
    <row r="523" ht="13.5" customHeight="1">
      <c r="A523" s="572"/>
      <c r="B523" s="572"/>
      <c r="C523" s="572"/>
      <c r="D523" s="738" t="str">
        <f t="shared" si="1"/>
        <v> </v>
      </c>
      <c r="E523" s="605" t="str">
        <f t="shared" si="5"/>
        <v>/ / </v>
      </c>
      <c r="F523" s="572"/>
      <c r="G523" s="739"/>
      <c r="H523" s="570"/>
      <c r="I523" s="570"/>
      <c r="J523" s="572"/>
      <c r="K523" s="572"/>
      <c r="L523" s="572"/>
      <c r="M523" s="609" t="str">
        <f t="shared" si="3"/>
        <v> </v>
      </c>
      <c r="N523" s="572"/>
      <c r="O523" s="572"/>
      <c r="P523" s="572"/>
      <c r="Q523" s="572"/>
      <c r="R523" s="572"/>
      <c r="S523" s="574"/>
    </row>
    <row r="524" ht="13.5" customHeight="1">
      <c r="A524" s="572"/>
      <c r="B524" s="572"/>
      <c r="C524" s="572"/>
      <c r="D524" s="738" t="str">
        <f t="shared" si="1"/>
        <v> </v>
      </c>
      <c r="E524" s="605" t="str">
        <f t="shared" si="5"/>
        <v>/ / </v>
      </c>
      <c r="F524" s="572"/>
      <c r="G524" s="739"/>
      <c r="H524" s="570"/>
      <c r="I524" s="570"/>
      <c r="J524" s="572"/>
      <c r="K524" s="572"/>
      <c r="L524" s="572"/>
      <c r="M524" s="609" t="str">
        <f t="shared" si="3"/>
        <v> </v>
      </c>
      <c r="N524" s="572"/>
      <c r="O524" s="572"/>
      <c r="P524" s="572"/>
      <c r="Q524" s="572"/>
      <c r="R524" s="572"/>
      <c r="S524" s="574"/>
    </row>
    <row r="525" ht="13.5" customHeight="1">
      <c r="A525" s="572"/>
      <c r="B525" s="572"/>
      <c r="C525" s="572"/>
      <c r="D525" s="738" t="str">
        <f t="shared" si="1"/>
        <v> </v>
      </c>
      <c r="E525" s="605" t="str">
        <f t="shared" si="5"/>
        <v>/ / </v>
      </c>
      <c r="F525" s="572"/>
      <c r="G525" s="739"/>
      <c r="H525" s="570"/>
      <c r="I525" s="570"/>
      <c r="J525" s="572"/>
      <c r="K525" s="572"/>
      <c r="L525" s="572"/>
      <c r="M525" s="609" t="str">
        <f t="shared" si="3"/>
        <v> </v>
      </c>
      <c r="N525" s="572"/>
      <c r="O525" s="572"/>
      <c r="P525" s="572"/>
      <c r="Q525" s="572"/>
      <c r="R525" s="572"/>
      <c r="S525" s="574"/>
    </row>
    <row r="526" ht="13.5" customHeight="1">
      <c r="A526" s="572"/>
      <c r="B526" s="572"/>
      <c r="C526" s="572"/>
      <c r="D526" s="738" t="str">
        <f t="shared" si="1"/>
        <v> </v>
      </c>
      <c r="E526" s="605" t="str">
        <f t="shared" si="5"/>
        <v>/ / </v>
      </c>
      <c r="F526" s="572"/>
      <c r="G526" s="739"/>
      <c r="H526" s="570"/>
      <c r="I526" s="570"/>
      <c r="J526" s="572"/>
      <c r="K526" s="572"/>
      <c r="L526" s="572"/>
      <c r="M526" s="609" t="str">
        <f t="shared" si="3"/>
        <v> </v>
      </c>
      <c r="N526" s="572"/>
      <c r="O526" s="572"/>
      <c r="P526" s="572"/>
      <c r="Q526" s="572"/>
      <c r="R526" s="572"/>
      <c r="S526" s="574"/>
    </row>
    <row r="527" ht="13.5" customHeight="1">
      <c r="A527" s="572"/>
      <c r="B527" s="572"/>
      <c r="C527" s="572"/>
      <c r="D527" s="738" t="str">
        <f t="shared" si="1"/>
        <v> </v>
      </c>
      <c r="E527" s="605" t="str">
        <f t="shared" si="5"/>
        <v>/ / </v>
      </c>
      <c r="F527" s="572"/>
      <c r="G527" s="739"/>
      <c r="H527" s="570"/>
      <c r="I527" s="570"/>
      <c r="J527" s="572"/>
      <c r="K527" s="572"/>
      <c r="L527" s="572"/>
      <c r="M527" s="609" t="str">
        <f t="shared" si="3"/>
        <v> </v>
      </c>
      <c r="N527" s="572"/>
      <c r="O527" s="572"/>
      <c r="P527" s="572"/>
      <c r="Q527" s="572"/>
      <c r="R527" s="572"/>
      <c r="S527" s="574"/>
    </row>
    <row r="528" ht="13.5" customHeight="1">
      <c r="A528" s="572"/>
      <c r="B528" s="572"/>
      <c r="C528" s="572"/>
      <c r="D528" s="738" t="str">
        <f t="shared" si="1"/>
        <v> </v>
      </c>
      <c r="E528" s="605" t="str">
        <f t="shared" si="5"/>
        <v>/ / </v>
      </c>
      <c r="F528" s="572"/>
      <c r="G528" s="739"/>
      <c r="H528" s="570"/>
      <c r="I528" s="570"/>
      <c r="J528" s="572"/>
      <c r="K528" s="572"/>
      <c r="L528" s="572"/>
      <c r="M528" s="609" t="str">
        <f t="shared" si="3"/>
        <v> </v>
      </c>
      <c r="N528" s="572"/>
      <c r="O528" s="572"/>
      <c r="P528" s="572"/>
      <c r="Q528" s="572"/>
      <c r="R528" s="572"/>
      <c r="S528" s="574"/>
    </row>
    <row r="529" ht="13.5" customHeight="1">
      <c r="A529" s="572"/>
      <c r="B529" s="572"/>
      <c r="C529" s="572"/>
      <c r="D529" s="738" t="str">
        <f t="shared" si="1"/>
        <v> </v>
      </c>
      <c r="E529" s="605" t="str">
        <f t="shared" si="5"/>
        <v>/ / </v>
      </c>
      <c r="F529" s="572"/>
      <c r="G529" s="739"/>
      <c r="H529" s="570"/>
      <c r="I529" s="570"/>
      <c r="J529" s="572"/>
      <c r="K529" s="572"/>
      <c r="L529" s="572"/>
      <c r="M529" s="609" t="str">
        <f t="shared" si="3"/>
        <v> </v>
      </c>
      <c r="N529" s="572"/>
      <c r="O529" s="572"/>
      <c r="P529" s="572"/>
      <c r="Q529" s="572"/>
      <c r="R529" s="572"/>
      <c r="S529" s="574"/>
    </row>
    <row r="530" ht="13.5" customHeight="1">
      <c r="A530" s="572"/>
      <c r="B530" s="572"/>
      <c r="C530" s="572"/>
      <c r="D530" s="738" t="str">
        <f t="shared" si="1"/>
        <v> </v>
      </c>
      <c r="E530" s="605" t="str">
        <f t="shared" si="5"/>
        <v>/ / </v>
      </c>
      <c r="F530" s="572"/>
      <c r="G530" s="739"/>
      <c r="H530" s="570"/>
      <c r="I530" s="570"/>
      <c r="J530" s="572"/>
      <c r="K530" s="572"/>
      <c r="L530" s="572"/>
      <c r="M530" s="609" t="str">
        <f t="shared" si="3"/>
        <v> </v>
      </c>
      <c r="N530" s="572"/>
      <c r="O530" s="572"/>
      <c r="P530" s="572"/>
      <c r="Q530" s="572"/>
      <c r="R530" s="572"/>
      <c r="S530" s="574"/>
    </row>
    <row r="531" ht="13.5" customHeight="1">
      <c r="A531" s="572"/>
      <c r="B531" s="572"/>
      <c r="C531" s="572"/>
      <c r="D531" s="738" t="str">
        <f t="shared" si="1"/>
        <v> </v>
      </c>
      <c r="E531" s="605" t="str">
        <f t="shared" si="5"/>
        <v>/ / </v>
      </c>
      <c r="F531" s="572"/>
      <c r="G531" s="739"/>
      <c r="H531" s="570"/>
      <c r="I531" s="570"/>
      <c r="J531" s="572"/>
      <c r="K531" s="572"/>
      <c r="L531" s="572"/>
      <c r="M531" s="609" t="str">
        <f t="shared" si="3"/>
        <v> </v>
      </c>
      <c r="N531" s="572"/>
      <c r="O531" s="572"/>
      <c r="P531" s="572"/>
      <c r="Q531" s="572"/>
      <c r="R531" s="572"/>
      <c r="S531" s="574"/>
    </row>
    <row r="532" ht="13.5" customHeight="1">
      <c r="A532" s="572"/>
      <c r="B532" s="572"/>
      <c r="C532" s="572"/>
      <c r="D532" s="738" t="str">
        <f t="shared" si="1"/>
        <v> </v>
      </c>
      <c r="E532" s="605" t="str">
        <f t="shared" si="5"/>
        <v>/ / </v>
      </c>
      <c r="F532" s="572"/>
      <c r="G532" s="584"/>
      <c r="H532" s="570"/>
      <c r="I532" s="570"/>
      <c r="J532" s="572"/>
      <c r="K532" s="572"/>
      <c r="L532" s="572"/>
      <c r="M532" s="609" t="str">
        <f t="shared" si="3"/>
        <v> </v>
      </c>
      <c r="N532" s="572"/>
      <c r="O532" s="572"/>
      <c r="P532" s="572"/>
      <c r="Q532" s="572"/>
      <c r="R532" s="572"/>
      <c r="S532" s="574"/>
    </row>
    <row r="533" ht="13.5" customHeight="1">
      <c r="A533" s="572"/>
      <c r="B533" s="572"/>
      <c r="C533" s="572"/>
      <c r="D533" s="738" t="str">
        <f t="shared" si="1"/>
        <v> </v>
      </c>
      <c r="E533" s="605" t="str">
        <f t="shared" si="5"/>
        <v>/ / </v>
      </c>
      <c r="F533" s="572"/>
      <c r="G533" s="584"/>
      <c r="H533" s="570"/>
      <c r="I533" s="570"/>
      <c r="J533" s="572"/>
      <c r="K533" s="572"/>
      <c r="L533" s="572"/>
      <c r="M533" s="609" t="str">
        <f t="shared" si="3"/>
        <v> </v>
      </c>
      <c r="N533" s="572"/>
      <c r="O533" s="572"/>
      <c r="P533" s="572"/>
      <c r="Q533" s="572"/>
      <c r="R533" s="572"/>
      <c r="S533" s="574"/>
    </row>
    <row r="534" ht="13.5" customHeight="1">
      <c r="A534" s="572"/>
      <c r="B534" s="572"/>
      <c r="C534" s="572"/>
      <c r="D534" s="738" t="str">
        <f t="shared" si="1"/>
        <v> </v>
      </c>
      <c r="E534" s="605" t="str">
        <f t="shared" si="5"/>
        <v>/ / </v>
      </c>
      <c r="F534" s="572"/>
      <c r="G534" s="584"/>
      <c r="H534" s="570"/>
      <c r="I534" s="570"/>
      <c r="J534" s="572"/>
      <c r="K534" s="572"/>
      <c r="L534" s="572"/>
      <c r="M534" s="609" t="str">
        <f t="shared" si="3"/>
        <v> </v>
      </c>
      <c r="N534" s="572"/>
      <c r="O534" s="572"/>
      <c r="P534" s="572"/>
      <c r="Q534" s="572"/>
      <c r="R534" s="572"/>
      <c r="S534" s="574"/>
    </row>
    <row r="535" ht="13.5" customHeight="1">
      <c r="A535" s="572"/>
      <c r="B535" s="572"/>
      <c r="C535" s="572"/>
      <c r="D535" s="738" t="str">
        <f t="shared" si="1"/>
        <v> </v>
      </c>
      <c r="E535" s="605" t="str">
        <f t="shared" si="5"/>
        <v>/ / </v>
      </c>
      <c r="F535" s="572"/>
      <c r="G535" s="584"/>
      <c r="H535" s="570"/>
      <c r="I535" s="570"/>
      <c r="J535" s="572"/>
      <c r="K535" s="572"/>
      <c r="L535" s="572"/>
      <c r="M535" s="609" t="str">
        <f t="shared" si="3"/>
        <v> </v>
      </c>
      <c r="N535" s="572"/>
      <c r="O535" s="572"/>
      <c r="P535" s="572"/>
      <c r="Q535" s="572"/>
      <c r="R535" s="572"/>
      <c r="S535" s="574"/>
    </row>
    <row r="536" ht="13.5" customHeight="1">
      <c r="A536" s="572"/>
      <c r="B536" s="572"/>
      <c r="C536" s="572"/>
      <c r="D536" s="738" t="str">
        <f t="shared" si="1"/>
        <v> </v>
      </c>
      <c r="E536" s="605" t="str">
        <f t="shared" si="5"/>
        <v>/ / </v>
      </c>
      <c r="F536" s="572"/>
      <c r="G536" s="584"/>
      <c r="H536" s="570"/>
      <c r="I536" s="570"/>
      <c r="J536" s="572"/>
      <c r="K536" s="572"/>
      <c r="L536" s="572"/>
      <c r="M536" s="609" t="str">
        <f t="shared" si="3"/>
        <v> </v>
      </c>
      <c r="N536" s="572"/>
      <c r="O536" s="572"/>
      <c r="P536" s="572"/>
      <c r="Q536" s="572"/>
      <c r="R536" s="572"/>
      <c r="S536" s="574"/>
    </row>
    <row r="537" ht="13.5" customHeight="1">
      <c r="A537" s="572"/>
      <c r="B537" s="572"/>
      <c r="C537" s="572"/>
      <c r="D537" s="738" t="str">
        <f t="shared" si="1"/>
        <v> </v>
      </c>
      <c r="E537" s="605" t="str">
        <f t="shared" si="5"/>
        <v>/ / </v>
      </c>
      <c r="F537" s="572"/>
      <c r="G537" s="584"/>
      <c r="H537" s="570"/>
      <c r="I537" s="570"/>
      <c r="J537" s="572"/>
      <c r="K537" s="572"/>
      <c r="L537" s="572"/>
      <c r="M537" s="609" t="str">
        <f t="shared" si="3"/>
        <v> </v>
      </c>
      <c r="N537" s="572"/>
      <c r="O537" s="572"/>
      <c r="P537" s="572"/>
      <c r="Q537" s="572"/>
      <c r="R537" s="572"/>
      <c r="S537" s="574"/>
    </row>
    <row r="538" ht="13.5" customHeight="1">
      <c r="A538" s="572"/>
      <c r="B538" s="572"/>
      <c r="C538" s="572"/>
      <c r="D538" s="738" t="str">
        <f t="shared" si="1"/>
        <v> </v>
      </c>
      <c r="E538" s="605" t="str">
        <f t="shared" si="5"/>
        <v>/ / </v>
      </c>
      <c r="F538" s="572"/>
      <c r="G538" s="584"/>
      <c r="H538" s="570"/>
      <c r="I538" s="570"/>
      <c r="J538" s="572"/>
      <c r="K538" s="572"/>
      <c r="L538" s="572"/>
      <c r="M538" s="609" t="str">
        <f t="shared" si="3"/>
        <v> </v>
      </c>
      <c r="N538" s="572"/>
      <c r="O538" s="572"/>
      <c r="P538" s="572"/>
      <c r="Q538" s="572"/>
      <c r="R538" s="572"/>
      <c r="S538" s="574"/>
    </row>
    <row r="539" ht="13.5" customHeight="1">
      <c r="A539" s="572"/>
      <c r="B539" s="572"/>
      <c r="C539" s="572"/>
      <c r="D539" s="738" t="str">
        <f t="shared" si="1"/>
        <v> </v>
      </c>
      <c r="E539" s="605" t="str">
        <f t="shared" si="5"/>
        <v>/ / </v>
      </c>
      <c r="F539" s="572"/>
      <c r="G539" s="584"/>
      <c r="H539" s="570"/>
      <c r="I539" s="570"/>
      <c r="J539" s="572"/>
      <c r="K539" s="572"/>
      <c r="L539" s="572"/>
      <c r="M539" s="609" t="str">
        <f t="shared" si="3"/>
        <v> </v>
      </c>
      <c r="N539" s="572"/>
      <c r="O539" s="572"/>
      <c r="P539" s="572"/>
      <c r="Q539" s="572"/>
      <c r="R539" s="572"/>
      <c r="S539" s="574"/>
    </row>
    <row r="540" ht="13.5" customHeight="1">
      <c r="A540" s="572"/>
      <c r="B540" s="572"/>
      <c r="C540" s="572"/>
      <c r="D540" s="738" t="str">
        <f t="shared" si="1"/>
        <v> </v>
      </c>
      <c r="E540" s="605" t="str">
        <f t="shared" si="5"/>
        <v>/ / </v>
      </c>
      <c r="F540" s="572"/>
      <c r="G540" s="584"/>
      <c r="H540" s="570"/>
      <c r="I540" s="570"/>
      <c r="J540" s="572"/>
      <c r="K540" s="572"/>
      <c r="L540" s="572"/>
      <c r="M540" s="609" t="str">
        <f t="shared" si="3"/>
        <v> </v>
      </c>
      <c r="N540" s="572"/>
      <c r="O540" s="572"/>
      <c r="P540" s="572"/>
      <c r="Q540" s="572"/>
      <c r="R540" s="572"/>
      <c r="S540" s="574"/>
    </row>
    <row r="541" ht="13.5" customHeight="1">
      <c r="A541" s="572"/>
      <c r="B541" s="572"/>
      <c r="C541" s="572"/>
      <c r="D541" s="738" t="str">
        <f t="shared" si="1"/>
        <v> </v>
      </c>
      <c r="E541" s="605" t="str">
        <f t="shared" si="5"/>
        <v>/ / </v>
      </c>
      <c r="F541" s="572"/>
      <c r="G541" s="584"/>
      <c r="H541" s="570"/>
      <c r="I541" s="570"/>
      <c r="J541" s="572"/>
      <c r="K541" s="572"/>
      <c r="L541" s="572"/>
      <c r="M541" s="609" t="str">
        <f t="shared" si="3"/>
        <v> </v>
      </c>
      <c r="N541" s="572"/>
      <c r="O541" s="572"/>
      <c r="P541" s="572"/>
      <c r="Q541" s="572"/>
      <c r="R541" s="572"/>
      <c r="S541" s="574"/>
    </row>
    <row r="542" ht="13.5" customHeight="1">
      <c r="A542" s="572"/>
      <c r="B542" s="572"/>
      <c r="C542" s="572"/>
      <c r="D542" s="738" t="str">
        <f t="shared" si="1"/>
        <v> </v>
      </c>
      <c r="E542" s="605" t="str">
        <f t="shared" si="5"/>
        <v>/ / </v>
      </c>
      <c r="F542" s="572"/>
      <c r="G542" s="584"/>
      <c r="H542" s="570"/>
      <c r="I542" s="570"/>
      <c r="J542" s="572"/>
      <c r="K542" s="572"/>
      <c r="L542" s="572"/>
      <c r="M542" s="609" t="str">
        <f t="shared" si="3"/>
        <v> </v>
      </c>
      <c r="N542" s="572"/>
      <c r="O542" s="572"/>
      <c r="P542" s="572"/>
      <c r="Q542" s="572"/>
      <c r="R542" s="572"/>
      <c r="S542" s="574"/>
    </row>
    <row r="543" ht="13.5" customHeight="1">
      <c r="A543" s="572"/>
      <c r="B543" s="572"/>
      <c r="C543" s="572"/>
      <c r="D543" s="738" t="str">
        <f t="shared" si="1"/>
        <v> </v>
      </c>
      <c r="E543" s="605" t="str">
        <f t="shared" si="5"/>
        <v>/ / </v>
      </c>
      <c r="F543" s="572"/>
      <c r="G543" s="584"/>
      <c r="H543" s="570"/>
      <c r="I543" s="570"/>
      <c r="J543" s="572"/>
      <c r="K543" s="572"/>
      <c r="L543" s="572"/>
      <c r="M543" s="609" t="str">
        <f t="shared" si="3"/>
        <v> </v>
      </c>
      <c r="N543" s="572"/>
      <c r="O543" s="572"/>
      <c r="P543" s="572"/>
      <c r="Q543" s="572"/>
      <c r="R543" s="572"/>
      <c r="S543" s="574"/>
    </row>
    <row r="544" ht="13.5" customHeight="1">
      <c r="A544" s="572"/>
      <c r="B544" s="572"/>
      <c r="C544" s="572"/>
      <c r="D544" s="738" t="str">
        <f t="shared" si="1"/>
        <v> </v>
      </c>
      <c r="E544" s="605" t="str">
        <f t="shared" si="5"/>
        <v>/ / </v>
      </c>
      <c r="F544" s="572"/>
      <c r="G544" s="584"/>
      <c r="H544" s="570"/>
      <c r="I544" s="570"/>
      <c r="J544" s="572"/>
      <c r="K544" s="572"/>
      <c r="L544" s="572"/>
      <c r="M544" s="609" t="str">
        <f t="shared" si="3"/>
        <v> </v>
      </c>
      <c r="N544" s="572"/>
      <c r="O544" s="572"/>
      <c r="P544" s="572"/>
      <c r="Q544" s="572"/>
      <c r="R544" s="572"/>
      <c r="S544" s="574"/>
    </row>
    <row r="545" ht="13.5" customHeight="1">
      <c r="A545" s="572"/>
      <c r="B545" s="572"/>
      <c r="C545" s="572"/>
      <c r="D545" s="738" t="str">
        <f t="shared" si="1"/>
        <v> </v>
      </c>
      <c r="E545" s="605" t="str">
        <f t="shared" si="5"/>
        <v>/ / </v>
      </c>
      <c r="F545" s="572"/>
      <c r="G545" s="584"/>
      <c r="H545" s="570"/>
      <c r="I545" s="570"/>
      <c r="J545" s="572"/>
      <c r="K545" s="572"/>
      <c r="L545" s="572"/>
      <c r="M545" s="609" t="str">
        <f t="shared" si="3"/>
        <v> </v>
      </c>
      <c r="N545" s="572"/>
      <c r="O545" s="572"/>
      <c r="P545" s="572"/>
      <c r="Q545" s="572"/>
      <c r="R545" s="572"/>
      <c r="S545" s="574"/>
    </row>
    <row r="546" ht="13.5" customHeight="1">
      <c r="A546" s="572"/>
      <c r="B546" s="572"/>
      <c r="C546" s="572"/>
      <c r="D546" s="738" t="str">
        <f t="shared" si="1"/>
        <v> </v>
      </c>
      <c r="E546" s="605" t="str">
        <f t="shared" si="5"/>
        <v>/ / </v>
      </c>
      <c r="F546" s="572"/>
      <c r="G546" s="584"/>
      <c r="H546" s="570"/>
      <c r="I546" s="570"/>
      <c r="J546" s="572"/>
      <c r="K546" s="572"/>
      <c r="L546" s="572"/>
      <c r="M546" s="609" t="str">
        <f t="shared" si="3"/>
        <v> </v>
      </c>
      <c r="N546" s="572"/>
      <c r="O546" s="572"/>
      <c r="P546" s="572"/>
      <c r="Q546" s="572"/>
      <c r="R546" s="572"/>
      <c r="S546" s="574"/>
    </row>
    <row r="547" ht="13.5" customHeight="1">
      <c r="A547" s="572"/>
      <c r="B547" s="572"/>
      <c r="C547" s="572"/>
      <c r="D547" s="738" t="str">
        <f t="shared" si="1"/>
        <v> </v>
      </c>
      <c r="E547" s="605" t="str">
        <f t="shared" si="5"/>
        <v>/ / </v>
      </c>
      <c r="F547" s="572"/>
      <c r="G547" s="584"/>
      <c r="H547" s="570"/>
      <c r="I547" s="570"/>
      <c r="J547" s="572"/>
      <c r="K547" s="572"/>
      <c r="L547" s="572"/>
      <c r="M547" s="609" t="str">
        <f t="shared" si="3"/>
        <v> </v>
      </c>
      <c r="N547" s="572"/>
      <c r="O547" s="572"/>
      <c r="P547" s="572"/>
      <c r="Q547" s="572"/>
      <c r="R547" s="572"/>
      <c r="S547" s="574"/>
    </row>
    <row r="548" ht="13.5" customHeight="1">
      <c r="A548" s="572"/>
      <c r="B548" s="572"/>
      <c r="C548" s="572"/>
      <c r="D548" s="738" t="str">
        <f t="shared" si="1"/>
        <v> </v>
      </c>
      <c r="E548" s="605" t="str">
        <f t="shared" si="5"/>
        <v>/ / </v>
      </c>
      <c r="F548" s="572"/>
      <c r="G548" s="584"/>
      <c r="H548" s="570"/>
      <c r="I548" s="570"/>
      <c r="J548" s="572"/>
      <c r="K548" s="572"/>
      <c r="L548" s="572"/>
      <c r="M548" s="609" t="str">
        <f t="shared" si="3"/>
        <v> </v>
      </c>
      <c r="N548" s="572"/>
      <c r="O548" s="572"/>
      <c r="P548" s="572"/>
      <c r="Q548" s="572"/>
      <c r="R548" s="572"/>
      <c r="S548" s="574"/>
    </row>
    <row r="549" ht="13.5" customHeight="1">
      <c r="A549" s="572"/>
      <c r="B549" s="572"/>
      <c r="C549" s="572"/>
      <c r="D549" s="738" t="str">
        <f t="shared" si="1"/>
        <v> </v>
      </c>
      <c r="E549" s="605" t="str">
        <f t="shared" si="5"/>
        <v>/ / </v>
      </c>
      <c r="F549" s="572"/>
      <c r="G549" s="584"/>
      <c r="H549" s="570"/>
      <c r="I549" s="570"/>
      <c r="J549" s="572"/>
      <c r="K549" s="572"/>
      <c r="L549" s="572"/>
      <c r="M549" s="609" t="str">
        <f t="shared" si="3"/>
        <v> </v>
      </c>
      <c r="N549" s="572"/>
      <c r="O549" s="572"/>
      <c r="P549" s="572"/>
      <c r="Q549" s="572"/>
      <c r="R549" s="572"/>
      <c r="S549" s="574"/>
    </row>
    <row r="550" ht="13.5" customHeight="1">
      <c r="A550" s="572"/>
      <c r="B550" s="572"/>
      <c r="C550" s="572"/>
      <c r="D550" s="738" t="str">
        <f t="shared" si="1"/>
        <v> </v>
      </c>
      <c r="E550" s="605" t="str">
        <f t="shared" si="5"/>
        <v>/ / </v>
      </c>
      <c r="F550" s="572"/>
      <c r="G550" s="584"/>
      <c r="H550" s="570"/>
      <c r="I550" s="570"/>
      <c r="J550" s="572"/>
      <c r="K550" s="572"/>
      <c r="L550" s="572"/>
      <c r="M550" s="609" t="str">
        <f t="shared" si="3"/>
        <v> </v>
      </c>
      <c r="N550" s="572"/>
      <c r="O550" s="572"/>
      <c r="P550" s="572"/>
      <c r="Q550" s="572"/>
      <c r="R550" s="572"/>
      <c r="S550" s="574"/>
    </row>
    <row r="551" ht="13.5" customHeight="1">
      <c r="A551" s="572"/>
      <c r="B551" s="572"/>
      <c r="C551" s="572"/>
      <c r="D551" s="738" t="str">
        <f t="shared" si="1"/>
        <v> </v>
      </c>
      <c r="E551" s="605" t="str">
        <f t="shared" si="5"/>
        <v>/ / </v>
      </c>
      <c r="F551" s="572"/>
      <c r="G551" s="584"/>
      <c r="H551" s="570"/>
      <c r="I551" s="570"/>
      <c r="J551" s="572"/>
      <c r="K551" s="572"/>
      <c r="L551" s="572"/>
      <c r="M551" s="609" t="str">
        <f t="shared" si="3"/>
        <v> </v>
      </c>
      <c r="N551" s="572"/>
      <c r="O551" s="572"/>
      <c r="P551" s="572"/>
      <c r="Q551" s="572"/>
      <c r="R551" s="572"/>
      <c r="S551" s="574"/>
    </row>
    <row r="552" ht="13.5" customHeight="1">
      <c r="A552" s="572"/>
      <c r="B552" s="572"/>
      <c r="C552" s="572"/>
      <c r="D552" s="738" t="str">
        <f t="shared" si="1"/>
        <v> </v>
      </c>
      <c r="E552" s="605" t="str">
        <f t="shared" si="5"/>
        <v>/ / </v>
      </c>
      <c r="F552" s="572"/>
      <c r="G552" s="584"/>
      <c r="H552" s="570"/>
      <c r="I552" s="570"/>
      <c r="J552" s="572"/>
      <c r="K552" s="572"/>
      <c r="L552" s="572"/>
      <c r="M552" s="609" t="str">
        <f t="shared" si="3"/>
        <v> </v>
      </c>
      <c r="N552" s="572"/>
      <c r="O552" s="572"/>
      <c r="P552" s="572"/>
      <c r="Q552" s="572"/>
      <c r="R552" s="572"/>
      <c r="S552" s="574"/>
    </row>
    <row r="553" ht="13.5" customHeight="1">
      <c r="A553" s="572"/>
      <c r="B553" s="572"/>
      <c r="C553" s="572"/>
      <c r="D553" s="738" t="str">
        <f t="shared" si="1"/>
        <v> </v>
      </c>
      <c r="E553" s="605" t="str">
        <f t="shared" si="5"/>
        <v>/ / </v>
      </c>
      <c r="F553" s="572"/>
      <c r="G553" s="584"/>
      <c r="H553" s="570"/>
      <c r="I553" s="570"/>
      <c r="J553" s="572"/>
      <c r="K553" s="572"/>
      <c r="L553" s="572"/>
      <c r="M553" s="609" t="str">
        <f t="shared" si="3"/>
        <v> </v>
      </c>
      <c r="N553" s="572"/>
      <c r="O553" s="572"/>
      <c r="P553" s="572"/>
      <c r="Q553" s="572"/>
      <c r="R553" s="572"/>
      <c r="S553" s="574"/>
    </row>
    <row r="554" ht="13.5" customHeight="1">
      <c r="A554" s="572"/>
      <c r="B554" s="572"/>
      <c r="C554" s="572"/>
      <c r="D554" s="738" t="str">
        <f t="shared" si="1"/>
        <v> </v>
      </c>
      <c r="E554" s="605" t="str">
        <f t="shared" si="5"/>
        <v>/ / </v>
      </c>
      <c r="F554" s="572"/>
      <c r="G554" s="584"/>
      <c r="H554" s="570"/>
      <c r="I554" s="570"/>
      <c r="J554" s="572"/>
      <c r="K554" s="572"/>
      <c r="L554" s="572"/>
      <c r="M554" s="609" t="str">
        <f t="shared" si="3"/>
        <v> </v>
      </c>
      <c r="N554" s="572"/>
      <c r="O554" s="572"/>
      <c r="P554" s="572"/>
      <c r="Q554" s="572"/>
      <c r="R554" s="572"/>
      <c r="S554" s="574"/>
    </row>
    <row r="555" ht="13.5" customHeight="1">
      <c r="A555" s="572"/>
      <c r="B555" s="572"/>
      <c r="C555" s="572"/>
      <c r="D555" s="738" t="str">
        <f t="shared" si="1"/>
        <v> </v>
      </c>
      <c r="E555" s="605" t="str">
        <f t="shared" si="5"/>
        <v>/ / </v>
      </c>
      <c r="F555" s="572"/>
      <c r="G555" s="584"/>
      <c r="H555" s="570"/>
      <c r="I555" s="570"/>
      <c r="J555" s="572"/>
      <c r="K555" s="572"/>
      <c r="L555" s="572"/>
      <c r="M555" s="609" t="str">
        <f t="shared" si="3"/>
        <v> </v>
      </c>
      <c r="N555" s="572"/>
      <c r="O555" s="572"/>
      <c r="P555" s="572"/>
      <c r="Q555" s="572"/>
      <c r="R555" s="572"/>
      <c r="S555" s="574"/>
    </row>
    <row r="556" ht="13.5" customHeight="1">
      <c r="A556" s="572"/>
      <c r="B556" s="572"/>
      <c r="C556" s="572"/>
      <c r="D556" s="738" t="str">
        <f t="shared" si="1"/>
        <v> </v>
      </c>
      <c r="E556" s="605" t="str">
        <f t="shared" si="5"/>
        <v>/ / </v>
      </c>
      <c r="F556" s="572"/>
      <c r="G556" s="584"/>
      <c r="H556" s="570"/>
      <c r="I556" s="570"/>
      <c r="J556" s="572"/>
      <c r="K556" s="572"/>
      <c r="L556" s="572"/>
      <c r="M556" s="609" t="str">
        <f t="shared" si="3"/>
        <v> </v>
      </c>
      <c r="N556" s="572"/>
      <c r="O556" s="572"/>
      <c r="P556" s="572"/>
      <c r="Q556" s="572"/>
      <c r="R556" s="572"/>
      <c r="S556" s="574"/>
    </row>
    <row r="557" ht="13.5" customHeight="1">
      <c r="A557" s="572"/>
      <c r="B557" s="572"/>
      <c r="C557" s="572"/>
      <c r="D557" s="738" t="str">
        <f t="shared" si="1"/>
        <v> </v>
      </c>
      <c r="E557" s="605" t="str">
        <f t="shared" si="5"/>
        <v>/ / </v>
      </c>
      <c r="F557" s="572"/>
      <c r="G557" s="584"/>
      <c r="H557" s="570"/>
      <c r="I557" s="570"/>
      <c r="J557" s="572"/>
      <c r="K557" s="572"/>
      <c r="L557" s="572"/>
      <c r="M557" s="609" t="str">
        <f t="shared" si="3"/>
        <v> </v>
      </c>
      <c r="N557" s="572"/>
      <c r="O557" s="572"/>
      <c r="P557" s="572"/>
      <c r="Q557" s="572"/>
      <c r="R557" s="572"/>
      <c r="S557" s="574"/>
    </row>
    <row r="558" ht="13.5" customHeight="1">
      <c r="A558" s="572"/>
      <c r="B558" s="572"/>
      <c r="C558" s="572"/>
      <c r="D558" s="738" t="str">
        <f t="shared" si="1"/>
        <v> </v>
      </c>
      <c r="E558" s="605" t="str">
        <f t="shared" si="5"/>
        <v>/ / </v>
      </c>
      <c r="F558" s="572"/>
      <c r="G558" s="584"/>
      <c r="H558" s="570"/>
      <c r="I558" s="570"/>
      <c r="J558" s="572"/>
      <c r="K558" s="572"/>
      <c r="L558" s="572"/>
      <c r="M558" s="609" t="str">
        <f t="shared" si="3"/>
        <v> </v>
      </c>
      <c r="N558" s="572"/>
      <c r="O558" s="572"/>
      <c r="P558" s="572"/>
      <c r="Q558" s="572"/>
      <c r="R558" s="572"/>
      <c r="S558" s="574"/>
    </row>
    <row r="559" ht="13.5" customHeight="1">
      <c r="A559" s="572"/>
      <c r="B559" s="572"/>
      <c r="C559" s="572"/>
      <c r="D559" s="738" t="str">
        <f t="shared" si="1"/>
        <v> </v>
      </c>
      <c r="E559" s="605" t="str">
        <f t="shared" si="5"/>
        <v>/ / </v>
      </c>
      <c r="F559" s="572"/>
      <c r="G559" s="584"/>
      <c r="H559" s="570"/>
      <c r="I559" s="570"/>
      <c r="J559" s="572"/>
      <c r="K559" s="572"/>
      <c r="L559" s="572"/>
      <c r="M559" s="609" t="str">
        <f t="shared" si="3"/>
        <v> </v>
      </c>
      <c r="N559" s="572"/>
      <c r="O559" s="572"/>
      <c r="P559" s="572"/>
      <c r="Q559" s="572"/>
      <c r="R559" s="572"/>
      <c r="S559" s="574"/>
    </row>
    <row r="560" ht="13.5" customHeight="1">
      <c r="A560" s="572"/>
      <c r="B560" s="572"/>
      <c r="C560" s="572"/>
      <c r="D560" s="738" t="str">
        <f t="shared" si="1"/>
        <v> </v>
      </c>
      <c r="E560" s="605" t="str">
        <f t="shared" si="5"/>
        <v>/ / </v>
      </c>
      <c r="F560" s="572"/>
      <c r="G560" s="584"/>
      <c r="H560" s="570"/>
      <c r="I560" s="570"/>
      <c r="J560" s="572"/>
      <c r="K560" s="572"/>
      <c r="L560" s="572"/>
      <c r="M560" s="609" t="str">
        <f t="shared" si="3"/>
        <v> </v>
      </c>
      <c r="N560" s="572"/>
      <c r="O560" s="572"/>
      <c r="P560" s="572"/>
      <c r="Q560" s="572"/>
      <c r="R560" s="572"/>
      <c r="S560" s="574"/>
    </row>
    <row r="561" ht="13.5" customHeight="1">
      <c r="A561" s="572"/>
      <c r="B561" s="572"/>
      <c r="C561" s="572"/>
      <c r="D561" s="738" t="str">
        <f t="shared" si="1"/>
        <v> </v>
      </c>
      <c r="E561" s="605" t="str">
        <f t="shared" si="5"/>
        <v>/ / </v>
      </c>
      <c r="F561" s="572"/>
      <c r="G561" s="584"/>
      <c r="H561" s="570"/>
      <c r="I561" s="570"/>
      <c r="J561" s="572"/>
      <c r="K561" s="572"/>
      <c r="L561" s="572"/>
      <c r="M561" s="609" t="str">
        <f t="shared" si="3"/>
        <v> </v>
      </c>
      <c r="N561" s="572"/>
      <c r="O561" s="572"/>
      <c r="P561" s="572"/>
      <c r="Q561" s="572"/>
      <c r="R561" s="572"/>
      <c r="S561" s="574"/>
    </row>
    <row r="562" ht="13.5" customHeight="1">
      <c r="A562" s="572"/>
      <c r="B562" s="572"/>
      <c r="C562" s="572"/>
      <c r="D562" s="738" t="str">
        <f t="shared" si="1"/>
        <v> </v>
      </c>
      <c r="E562" s="605" t="str">
        <f t="shared" si="5"/>
        <v>/ / </v>
      </c>
      <c r="F562" s="572"/>
      <c r="G562" s="584"/>
      <c r="H562" s="570"/>
      <c r="I562" s="570"/>
      <c r="J562" s="572"/>
      <c r="K562" s="572"/>
      <c r="L562" s="572"/>
      <c r="M562" s="609" t="str">
        <f t="shared" si="3"/>
        <v> </v>
      </c>
      <c r="N562" s="572"/>
      <c r="O562" s="572"/>
      <c r="P562" s="572"/>
      <c r="Q562" s="572"/>
      <c r="R562" s="572"/>
      <c r="S562" s="574"/>
    </row>
    <row r="563" ht="13.5" customHeight="1">
      <c r="A563" s="572"/>
      <c r="B563" s="572"/>
      <c r="C563" s="572"/>
      <c r="D563" s="738" t="str">
        <f t="shared" si="1"/>
        <v> </v>
      </c>
      <c r="E563" s="605" t="str">
        <f t="shared" si="5"/>
        <v>/ / </v>
      </c>
      <c r="F563" s="572"/>
      <c r="G563" s="584"/>
      <c r="H563" s="570"/>
      <c r="I563" s="570"/>
      <c r="J563" s="572"/>
      <c r="K563" s="572"/>
      <c r="L563" s="572"/>
      <c r="M563" s="609" t="str">
        <f t="shared" si="3"/>
        <v> </v>
      </c>
      <c r="N563" s="572"/>
      <c r="O563" s="572"/>
      <c r="P563" s="572"/>
      <c r="Q563" s="572"/>
      <c r="R563" s="572"/>
      <c r="S563" s="574"/>
    </row>
    <row r="564" ht="13.5" customHeight="1">
      <c r="A564" s="572"/>
      <c r="B564" s="572"/>
      <c r="C564" s="572"/>
      <c r="D564" s="738" t="str">
        <f t="shared" si="1"/>
        <v> </v>
      </c>
      <c r="E564" s="605" t="str">
        <f t="shared" si="5"/>
        <v>/ / </v>
      </c>
      <c r="F564" s="572"/>
      <c r="G564" s="584"/>
      <c r="H564" s="570"/>
      <c r="I564" s="570"/>
      <c r="J564" s="572"/>
      <c r="K564" s="572"/>
      <c r="L564" s="572"/>
      <c r="M564" s="609" t="str">
        <f t="shared" si="3"/>
        <v> </v>
      </c>
      <c r="N564" s="572"/>
      <c r="O564" s="572"/>
      <c r="P564" s="572"/>
      <c r="Q564" s="572"/>
      <c r="R564" s="572"/>
      <c r="S564" s="574"/>
    </row>
    <row r="565" ht="13.5" customHeight="1">
      <c r="A565" s="572"/>
      <c r="B565" s="572"/>
      <c r="C565" s="572"/>
      <c r="D565" s="738" t="str">
        <f t="shared" si="1"/>
        <v> </v>
      </c>
      <c r="E565" s="605" t="str">
        <f t="shared" si="5"/>
        <v>/ / </v>
      </c>
      <c r="F565" s="572"/>
      <c r="G565" s="584"/>
      <c r="H565" s="570"/>
      <c r="I565" s="570"/>
      <c r="J565" s="572"/>
      <c r="K565" s="572"/>
      <c r="L565" s="572"/>
      <c r="M565" s="609" t="str">
        <f t="shared" si="3"/>
        <v> </v>
      </c>
      <c r="N565" s="572"/>
      <c r="O565" s="572"/>
      <c r="P565" s="572"/>
      <c r="Q565" s="572"/>
      <c r="R565" s="572"/>
      <c r="S565" s="574"/>
    </row>
    <row r="566" ht="13.5" customHeight="1">
      <c r="A566" s="572"/>
      <c r="B566" s="572"/>
      <c r="C566" s="572"/>
      <c r="D566" s="738" t="str">
        <f t="shared" si="1"/>
        <v> </v>
      </c>
      <c r="E566" s="605" t="str">
        <f t="shared" si="5"/>
        <v>/ / </v>
      </c>
      <c r="F566" s="572"/>
      <c r="G566" s="584"/>
      <c r="H566" s="570"/>
      <c r="I566" s="570"/>
      <c r="J566" s="572"/>
      <c r="K566" s="572"/>
      <c r="L566" s="572"/>
      <c r="M566" s="609" t="str">
        <f t="shared" si="3"/>
        <v> </v>
      </c>
      <c r="N566" s="572"/>
      <c r="O566" s="572"/>
      <c r="P566" s="572"/>
      <c r="Q566" s="572"/>
      <c r="R566" s="572"/>
      <c r="S566" s="574"/>
    </row>
    <row r="567" ht="13.5" customHeight="1">
      <c r="A567" s="572"/>
      <c r="B567" s="572"/>
      <c r="C567" s="572"/>
      <c r="D567" s="738" t="str">
        <f t="shared" si="1"/>
        <v> </v>
      </c>
      <c r="E567" s="605" t="str">
        <f t="shared" si="5"/>
        <v>/ / </v>
      </c>
      <c r="F567" s="572"/>
      <c r="G567" s="584"/>
      <c r="H567" s="570"/>
      <c r="I567" s="570"/>
      <c r="J567" s="572"/>
      <c r="K567" s="572"/>
      <c r="L567" s="572"/>
      <c r="M567" s="609" t="str">
        <f t="shared" si="3"/>
        <v> </v>
      </c>
      <c r="N567" s="572"/>
      <c r="O567" s="572"/>
      <c r="P567" s="572"/>
      <c r="Q567" s="572"/>
      <c r="R567" s="572"/>
      <c r="S567" s="574"/>
    </row>
    <row r="568" ht="13.5" customHeight="1">
      <c r="A568" s="572"/>
      <c r="B568" s="572"/>
      <c r="C568" s="572"/>
      <c r="D568" s="738" t="str">
        <f t="shared" si="1"/>
        <v> </v>
      </c>
      <c r="E568" s="605" t="str">
        <f t="shared" si="5"/>
        <v>/ / </v>
      </c>
      <c r="F568" s="572"/>
      <c r="G568" s="584"/>
      <c r="H568" s="570"/>
      <c r="I568" s="570"/>
      <c r="J568" s="572"/>
      <c r="K568" s="572"/>
      <c r="L568" s="572"/>
      <c r="M568" s="609" t="str">
        <f t="shared" si="3"/>
        <v> </v>
      </c>
      <c r="N568" s="572"/>
      <c r="O568" s="572"/>
      <c r="P568" s="572"/>
      <c r="Q568" s="572"/>
      <c r="R568" s="572"/>
      <c r="S568" s="574"/>
    </row>
    <row r="569" ht="13.5" customHeight="1">
      <c r="A569" s="572"/>
      <c r="B569" s="572"/>
      <c r="C569" s="572"/>
      <c r="D569" s="738" t="str">
        <f t="shared" si="1"/>
        <v> </v>
      </c>
      <c r="E569" s="605" t="str">
        <f t="shared" si="5"/>
        <v>/ / </v>
      </c>
      <c r="F569" s="572"/>
      <c r="G569" s="584"/>
      <c r="H569" s="570"/>
      <c r="I569" s="570"/>
      <c r="J569" s="572"/>
      <c r="K569" s="572"/>
      <c r="L569" s="572"/>
      <c r="M569" s="609" t="str">
        <f t="shared" si="3"/>
        <v> </v>
      </c>
      <c r="N569" s="572"/>
      <c r="O569" s="572"/>
      <c r="P569" s="572"/>
      <c r="Q569" s="572"/>
      <c r="R569" s="572"/>
      <c r="S569" s="574"/>
    </row>
    <row r="570" ht="13.5" customHeight="1">
      <c r="A570" s="572"/>
      <c r="B570" s="572"/>
      <c r="C570" s="572"/>
      <c r="D570" s="738" t="str">
        <f t="shared" si="1"/>
        <v> </v>
      </c>
      <c r="E570" s="605" t="str">
        <f t="shared" si="5"/>
        <v>/ / </v>
      </c>
      <c r="F570" s="572"/>
      <c r="G570" s="584"/>
      <c r="H570" s="570"/>
      <c r="I570" s="570"/>
      <c r="J570" s="572"/>
      <c r="K570" s="572"/>
      <c r="L570" s="572"/>
      <c r="M570" s="609" t="str">
        <f t="shared" si="3"/>
        <v> </v>
      </c>
      <c r="N570" s="572"/>
      <c r="O570" s="572"/>
      <c r="P570" s="572"/>
      <c r="Q570" s="572"/>
      <c r="R570" s="572"/>
      <c r="S570" s="574"/>
    </row>
    <row r="571" ht="13.5" customHeight="1">
      <c r="A571" s="572"/>
      <c r="B571" s="572"/>
      <c r="C571" s="572"/>
      <c r="D571" s="738" t="str">
        <f t="shared" si="1"/>
        <v> </v>
      </c>
      <c r="E571" s="605" t="str">
        <f t="shared" si="5"/>
        <v>/ / </v>
      </c>
      <c r="F571" s="572"/>
      <c r="G571" s="584"/>
      <c r="H571" s="570"/>
      <c r="I571" s="570"/>
      <c r="J571" s="572"/>
      <c r="K571" s="572"/>
      <c r="L571" s="572"/>
      <c r="M571" s="609" t="str">
        <f t="shared" si="3"/>
        <v> </v>
      </c>
      <c r="N571" s="572"/>
      <c r="O571" s="572"/>
      <c r="P571" s="572"/>
      <c r="Q571" s="572"/>
      <c r="R571" s="572"/>
      <c r="S571" s="574"/>
    </row>
    <row r="572" ht="13.5" customHeight="1">
      <c r="A572" s="572"/>
      <c r="B572" s="572"/>
      <c r="C572" s="572"/>
      <c r="D572" s="738" t="str">
        <f t="shared" si="1"/>
        <v> </v>
      </c>
      <c r="E572" s="605" t="str">
        <f t="shared" si="5"/>
        <v>/ / </v>
      </c>
      <c r="F572" s="572"/>
      <c r="G572" s="584"/>
      <c r="H572" s="570"/>
      <c r="I572" s="570"/>
      <c r="J572" s="572"/>
      <c r="K572" s="572"/>
      <c r="L572" s="572"/>
      <c r="M572" s="609" t="str">
        <f t="shared" si="3"/>
        <v> </v>
      </c>
      <c r="N572" s="572"/>
      <c r="O572" s="572"/>
      <c r="P572" s="572"/>
      <c r="Q572" s="572"/>
      <c r="R572" s="572"/>
      <c r="S572" s="574"/>
    </row>
    <row r="573" ht="13.5" customHeight="1">
      <c r="A573" s="572"/>
      <c r="B573" s="572"/>
      <c r="C573" s="572"/>
      <c r="D573" s="738" t="str">
        <f t="shared" si="1"/>
        <v> </v>
      </c>
      <c r="E573" s="605" t="str">
        <f t="shared" si="5"/>
        <v>/ / </v>
      </c>
      <c r="F573" s="572"/>
      <c r="G573" s="584"/>
      <c r="H573" s="570"/>
      <c r="I573" s="570"/>
      <c r="J573" s="572"/>
      <c r="K573" s="572"/>
      <c r="L573" s="572"/>
      <c r="M573" s="609" t="str">
        <f t="shared" si="3"/>
        <v> </v>
      </c>
      <c r="N573" s="572"/>
      <c r="O573" s="572"/>
      <c r="P573" s="572"/>
      <c r="Q573" s="572"/>
      <c r="R573" s="572"/>
      <c r="S573" s="574"/>
    </row>
    <row r="574" ht="13.5" customHeight="1">
      <c r="A574" s="572"/>
      <c r="B574" s="572"/>
      <c r="C574" s="572"/>
      <c r="D574" s="738" t="str">
        <f t="shared" si="1"/>
        <v> </v>
      </c>
      <c r="E574" s="605" t="str">
        <f t="shared" si="5"/>
        <v>/ / </v>
      </c>
      <c r="F574" s="572"/>
      <c r="G574" s="584"/>
      <c r="H574" s="570"/>
      <c r="I574" s="570"/>
      <c r="J574" s="572"/>
      <c r="K574" s="572"/>
      <c r="L574" s="572"/>
      <c r="M574" s="609" t="str">
        <f t="shared" si="3"/>
        <v> </v>
      </c>
      <c r="N574" s="572"/>
      <c r="O574" s="572"/>
      <c r="P574" s="572"/>
      <c r="Q574" s="572"/>
      <c r="R574" s="572"/>
      <c r="S574" s="574"/>
    </row>
    <row r="575" ht="13.5" customHeight="1">
      <c r="A575" s="572"/>
      <c r="B575" s="572"/>
      <c r="C575" s="572"/>
      <c r="D575" s="738" t="str">
        <f t="shared" si="1"/>
        <v> </v>
      </c>
      <c r="E575" s="605" t="str">
        <f t="shared" si="5"/>
        <v>/ / </v>
      </c>
      <c r="F575" s="572"/>
      <c r="G575" s="584"/>
      <c r="H575" s="570"/>
      <c r="I575" s="570"/>
      <c r="J575" s="572"/>
      <c r="K575" s="572"/>
      <c r="L575" s="572"/>
      <c r="M575" s="609" t="str">
        <f t="shared" si="3"/>
        <v> </v>
      </c>
      <c r="N575" s="572"/>
      <c r="O575" s="572"/>
      <c r="P575" s="572"/>
      <c r="Q575" s="572"/>
      <c r="R575" s="572"/>
      <c r="S575" s="574"/>
    </row>
    <row r="576" ht="13.5" customHeight="1">
      <c r="A576" s="572"/>
      <c r="B576" s="572"/>
      <c r="C576" s="572"/>
      <c r="D576" s="738" t="str">
        <f t="shared" si="1"/>
        <v> </v>
      </c>
      <c r="E576" s="605" t="str">
        <f t="shared" si="5"/>
        <v>/ / </v>
      </c>
      <c r="F576" s="572"/>
      <c r="G576" s="584"/>
      <c r="H576" s="570"/>
      <c r="I576" s="570"/>
      <c r="J576" s="572"/>
      <c r="K576" s="572"/>
      <c r="L576" s="572"/>
      <c r="M576" s="609" t="str">
        <f t="shared" si="3"/>
        <v> </v>
      </c>
      <c r="N576" s="572"/>
      <c r="O576" s="572"/>
      <c r="P576" s="572"/>
      <c r="Q576" s="572"/>
      <c r="R576" s="572"/>
      <c r="S576" s="574"/>
    </row>
    <row r="577" ht="13.5" customHeight="1">
      <c r="A577" s="572"/>
      <c r="B577" s="572"/>
      <c r="C577" s="572"/>
      <c r="D577" s="738" t="str">
        <f t="shared" si="1"/>
        <v> </v>
      </c>
      <c r="E577" s="605" t="str">
        <f t="shared" si="5"/>
        <v>/ / </v>
      </c>
      <c r="F577" s="572"/>
      <c r="G577" s="584"/>
      <c r="H577" s="570"/>
      <c r="I577" s="570"/>
      <c r="J577" s="572"/>
      <c r="K577" s="572"/>
      <c r="L577" s="572"/>
      <c r="M577" s="609" t="str">
        <f t="shared" si="3"/>
        <v> </v>
      </c>
      <c r="N577" s="572"/>
      <c r="O577" s="572"/>
      <c r="P577" s="572"/>
      <c r="Q577" s="572"/>
      <c r="R577" s="572"/>
      <c r="S577" s="574"/>
    </row>
    <row r="578" ht="13.5" customHeight="1">
      <c r="A578" s="572"/>
      <c r="B578" s="572"/>
      <c r="C578" s="572"/>
      <c r="D578" s="738" t="str">
        <f t="shared" si="1"/>
        <v> </v>
      </c>
      <c r="E578" s="605" t="str">
        <f t="shared" si="5"/>
        <v>/ / </v>
      </c>
      <c r="F578" s="572"/>
      <c r="G578" s="584"/>
      <c r="H578" s="570"/>
      <c r="I578" s="570"/>
      <c r="J578" s="572"/>
      <c r="K578" s="572"/>
      <c r="L578" s="572"/>
      <c r="M578" s="609" t="str">
        <f t="shared" si="3"/>
        <v> </v>
      </c>
      <c r="N578" s="572"/>
      <c r="O578" s="572"/>
      <c r="P578" s="572"/>
      <c r="Q578" s="572"/>
      <c r="R578" s="572"/>
      <c r="S578" s="574"/>
    </row>
    <row r="579" ht="13.5" customHeight="1">
      <c r="A579" s="572"/>
      <c r="B579" s="572"/>
      <c r="C579" s="572"/>
      <c r="D579" s="738" t="str">
        <f t="shared" si="1"/>
        <v> </v>
      </c>
      <c r="E579" s="605" t="str">
        <f t="shared" si="5"/>
        <v>/ / </v>
      </c>
      <c r="F579" s="572"/>
      <c r="G579" s="584"/>
      <c r="H579" s="570"/>
      <c r="I579" s="570"/>
      <c r="J579" s="572"/>
      <c r="K579" s="572"/>
      <c r="L579" s="572"/>
      <c r="M579" s="609" t="str">
        <f t="shared" si="3"/>
        <v> </v>
      </c>
      <c r="N579" s="572"/>
      <c r="O579" s="572"/>
      <c r="P579" s="572"/>
      <c r="Q579" s="572"/>
      <c r="R579" s="572"/>
      <c r="S579" s="574"/>
    </row>
    <row r="580" ht="13.5" customHeight="1">
      <c r="A580" s="572"/>
      <c r="B580" s="572"/>
      <c r="C580" s="572"/>
      <c r="D580" s="738" t="str">
        <f t="shared" si="1"/>
        <v> </v>
      </c>
      <c r="E580" s="605" t="str">
        <f t="shared" si="5"/>
        <v>/ / </v>
      </c>
      <c r="F580" s="572"/>
      <c r="G580" s="584"/>
      <c r="H580" s="570"/>
      <c r="I580" s="570"/>
      <c r="J580" s="572"/>
      <c r="K580" s="572"/>
      <c r="L580" s="572"/>
      <c r="M580" s="609" t="str">
        <f t="shared" si="3"/>
        <v> </v>
      </c>
      <c r="N580" s="572"/>
      <c r="O580" s="572"/>
      <c r="P580" s="572"/>
      <c r="Q580" s="572"/>
      <c r="R580" s="572"/>
      <c r="S580" s="574"/>
    </row>
    <row r="581" ht="13.5" customHeight="1">
      <c r="A581" s="572"/>
      <c r="B581" s="572"/>
      <c r="C581" s="572"/>
      <c r="D581" s="738" t="str">
        <f t="shared" si="1"/>
        <v> </v>
      </c>
      <c r="E581" s="605" t="str">
        <f t="shared" si="5"/>
        <v>/ / </v>
      </c>
      <c r="F581" s="572"/>
      <c r="G581" s="584"/>
      <c r="H581" s="570"/>
      <c r="I581" s="570"/>
      <c r="J581" s="572"/>
      <c r="K581" s="572"/>
      <c r="L581" s="572"/>
      <c r="M581" s="609" t="str">
        <f t="shared" si="3"/>
        <v> </v>
      </c>
      <c r="N581" s="572"/>
      <c r="O581" s="572"/>
      <c r="P581" s="572"/>
      <c r="Q581" s="572"/>
      <c r="R581" s="572"/>
      <c r="S581" s="574"/>
    </row>
    <row r="582" ht="13.5" customHeight="1">
      <c r="A582" s="572"/>
      <c r="B582" s="572"/>
      <c r="C582" s="572"/>
      <c r="D582" s="738" t="str">
        <f t="shared" si="1"/>
        <v> </v>
      </c>
      <c r="E582" s="605" t="str">
        <f t="shared" si="5"/>
        <v>/ / </v>
      </c>
      <c r="F582" s="572"/>
      <c r="G582" s="584"/>
      <c r="H582" s="570"/>
      <c r="I582" s="570"/>
      <c r="J582" s="572"/>
      <c r="K582" s="572"/>
      <c r="L582" s="572"/>
      <c r="M582" s="609" t="str">
        <f t="shared" si="3"/>
        <v> </v>
      </c>
      <c r="N582" s="572"/>
      <c r="O582" s="572"/>
      <c r="P582" s="572"/>
      <c r="Q582" s="572"/>
      <c r="R582" s="572"/>
      <c r="S582" s="574"/>
    </row>
    <row r="583" ht="13.5" customHeight="1">
      <c r="A583" s="572"/>
      <c r="B583" s="572"/>
      <c r="C583" s="572"/>
      <c r="D583" s="738" t="str">
        <f t="shared" si="1"/>
        <v> </v>
      </c>
      <c r="E583" s="605" t="str">
        <f t="shared" si="5"/>
        <v>/ / </v>
      </c>
      <c r="F583" s="572"/>
      <c r="G583" s="584"/>
      <c r="H583" s="570"/>
      <c r="I583" s="570"/>
      <c r="J583" s="572"/>
      <c r="K583" s="572"/>
      <c r="L583" s="572"/>
      <c r="M583" s="609" t="str">
        <f t="shared" si="3"/>
        <v> </v>
      </c>
      <c r="N583" s="572"/>
      <c r="O583" s="572"/>
      <c r="P583" s="572"/>
      <c r="Q583" s="572"/>
      <c r="R583" s="572"/>
      <c r="S583" s="574"/>
    </row>
    <row r="584" ht="13.5" customHeight="1">
      <c r="A584" s="572"/>
      <c r="B584" s="572"/>
      <c r="C584" s="572"/>
      <c r="D584" s="738" t="str">
        <f t="shared" si="1"/>
        <v> </v>
      </c>
      <c r="E584" s="605" t="str">
        <f t="shared" si="5"/>
        <v>/ / </v>
      </c>
      <c r="F584" s="572"/>
      <c r="G584" s="584"/>
      <c r="H584" s="570"/>
      <c r="I584" s="570"/>
      <c r="J584" s="572"/>
      <c r="K584" s="572"/>
      <c r="L584" s="572"/>
      <c r="M584" s="609" t="str">
        <f t="shared" si="3"/>
        <v> </v>
      </c>
      <c r="N584" s="572"/>
      <c r="O584" s="572"/>
      <c r="P584" s="572"/>
      <c r="Q584" s="572"/>
      <c r="R584" s="572"/>
      <c r="S584" s="574"/>
    </row>
    <row r="585" ht="13.5" customHeight="1">
      <c r="A585" s="572"/>
      <c r="B585" s="572"/>
      <c r="C585" s="572"/>
      <c r="D585" s="738" t="str">
        <f t="shared" si="1"/>
        <v> </v>
      </c>
      <c r="E585" s="605" t="str">
        <f t="shared" si="5"/>
        <v>/ / </v>
      </c>
      <c r="F585" s="572"/>
      <c r="G585" s="584"/>
      <c r="H585" s="570"/>
      <c r="I585" s="570"/>
      <c r="J585" s="572"/>
      <c r="K585" s="572"/>
      <c r="L585" s="572"/>
      <c r="M585" s="609" t="str">
        <f t="shared" si="3"/>
        <v> </v>
      </c>
      <c r="N585" s="572"/>
      <c r="O585" s="572"/>
      <c r="P585" s="572"/>
      <c r="Q585" s="572"/>
      <c r="R585" s="572"/>
      <c r="S585" s="574"/>
    </row>
    <row r="586" ht="13.5" customHeight="1">
      <c r="A586" s="572"/>
      <c r="B586" s="572"/>
      <c r="C586" s="572"/>
      <c r="D586" s="738" t="str">
        <f t="shared" si="1"/>
        <v> </v>
      </c>
      <c r="E586" s="605" t="str">
        <f t="shared" si="5"/>
        <v>/ / </v>
      </c>
      <c r="F586" s="572"/>
      <c r="G586" s="584"/>
      <c r="H586" s="570"/>
      <c r="I586" s="570"/>
      <c r="J586" s="572"/>
      <c r="K586" s="572"/>
      <c r="L586" s="572"/>
      <c r="M586" s="609" t="str">
        <f t="shared" si="3"/>
        <v> </v>
      </c>
      <c r="N586" s="572"/>
      <c r="O586" s="572"/>
      <c r="P586" s="572"/>
      <c r="Q586" s="572"/>
      <c r="R586" s="572"/>
      <c r="S586" s="574"/>
    </row>
    <row r="587" ht="13.5" customHeight="1">
      <c r="A587" s="572"/>
      <c r="B587" s="572"/>
      <c r="C587" s="572"/>
      <c r="D587" s="738" t="str">
        <f t="shared" si="1"/>
        <v> </v>
      </c>
      <c r="E587" s="605" t="str">
        <f t="shared" si="5"/>
        <v>/ / </v>
      </c>
      <c r="F587" s="572"/>
      <c r="G587" s="584"/>
      <c r="H587" s="570"/>
      <c r="I587" s="570"/>
      <c r="J587" s="572"/>
      <c r="K587" s="572"/>
      <c r="L587" s="572"/>
      <c r="M587" s="609" t="str">
        <f t="shared" si="3"/>
        <v> </v>
      </c>
      <c r="N587" s="572"/>
      <c r="O587" s="572"/>
      <c r="P587" s="572"/>
      <c r="Q587" s="572"/>
      <c r="R587" s="572"/>
      <c r="S587" s="574"/>
    </row>
    <row r="588" ht="13.5" customHeight="1">
      <c r="A588" s="572"/>
      <c r="B588" s="572"/>
      <c r="C588" s="572"/>
      <c r="D588" s="738" t="str">
        <f t="shared" si="1"/>
        <v> </v>
      </c>
      <c r="E588" s="605" t="str">
        <f t="shared" si="5"/>
        <v>/ / </v>
      </c>
      <c r="F588" s="572"/>
      <c r="G588" s="584"/>
      <c r="H588" s="570"/>
      <c r="I588" s="570"/>
      <c r="J588" s="572"/>
      <c r="K588" s="572"/>
      <c r="L588" s="572"/>
      <c r="M588" s="609" t="str">
        <f t="shared" si="3"/>
        <v> </v>
      </c>
      <c r="N588" s="572"/>
      <c r="O588" s="572"/>
      <c r="P588" s="572"/>
      <c r="Q588" s="572"/>
      <c r="R588" s="572"/>
      <c r="S588" s="574"/>
    </row>
    <row r="589" ht="13.5" customHeight="1">
      <c r="A589" s="572"/>
      <c r="B589" s="572"/>
      <c r="C589" s="572"/>
      <c r="D589" s="738" t="str">
        <f t="shared" si="1"/>
        <v> </v>
      </c>
      <c r="E589" s="605" t="str">
        <f t="shared" si="5"/>
        <v>/ / </v>
      </c>
      <c r="F589" s="572"/>
      <c r="G589" s="584"/>
      <c r="H589" s="570"/>
      <c r="I589" s="570"/>
      <c r="J589" s="572"/>
      <c r="K589" s="572"/>
      <c r="L589" s="572"/>
      <c r="M589" s="609" t="str">
        <f t="shared" si="3"/>
        <v> </v>
      </c>
      <c r="N589" s="572"/>
      <c r="O589" s="572"/>
      <c r="P589" s="572"/>
      <c r="Q589" s="572"/>
      <c r="R589" s="572"/>
      <c r="S589" s="574"/>
    </row>
    <row r="590" ht="13.5" customHeight="1">
      <c r="A590" s="572"/>
      <c r="B590" s="572"/>
      <c r="C590" s="572"/>
      <c r="D590" s="738" t="str">
        <f t="shared" si="1"/>
        <v> </v>
      </c>
      <c r="E590" s="605" t="str">
        <f t="shared" si="5"/>
        <v>/ / </v>
      </c>
      <c r="F590" s="572"/>
      <c r="G590" s="584"/>
      <c r="H590" s="570"/>
      <c r="I590" s="570"/>
      <c r="J590" s="572"/>
      <c r="K590" s="572"/>
      <c r="L590" s="572"/>
      <c r="M590" s="609" t="str">
        <f t="shared" si="3"/>
        <v> </v>
      </c>
      <c r="N590" s="572"/>
      <c r="O590" s="572"/>
      <c r="P590" s="572"/>
      <c r="Q590" s="572"/>
      <c r="R590" s="572"/>
      <c r="S590" s="574"/>
    </row>
    <row r="591" ht="13.5" customHeight="1">
      <c r="A591" s="572"/>
      <c r="B591" s="572"/>
      <c r="C591" s="572"/>
      <c r="D591" s="738" t="str">
        <f t="shared" si="1"/>
        <v> </v>
      </c>
      <c r="E591" s="605" t="str">
        <f t="shared" si="5"/>
        <v>/ / </v>
      </c>
      <c r="F591" s="572"/>
      <c r="G591" s="584"/>
      <c r="H591" s="570"/>
      <c r="I591" s="570"/>
      <c r="J591" s="572"/>
      <c r="K591" s="572"/>
      <c r="L591" s="572"/>
      <c r="M591" s="609" t="str">
        <f t="shared" si="3"/>
        <v> </v>
      </c>
      <c r="N591" s="572"/>
      <c r="O591" s="572"/>
      <c r="P591" s="572"/>
      <c r="Q591" s="572"/>
      <c r="R591" s="572"/>
      <c r="S591" s="574"/>
    </row>
    <row r="592" ht="13.5" customHeight="1">
      <c r="A592" s="572"/>
      <c r="B592" s="572"/>
      <c r="C592" s="572"/>
      <c r="D592" s="738" t="str">
        <f t="shared" si="1"/>
        <v> </v>
      </c>
      <c r="E592" s="605" t="str">
        <f t="shared" si="5"/>
        <v>/ / </v>
      </c>
      <c r="F592" s="572"/>
      <c r="G592" s="584"/>
      <c r="H592" s="570"/>
      <c r="I592" s="570"/>
      <c r="J592" s="572"/>
      <c r="K592" s="572"/>
      <c r="L592" s="572"/>
      <c r="M592" s="609" t="str">
        <f t="shared" si="3"/>
        <v> </v>
      </c>
      <c r="N592" s="572"/>
      <c r="O592" s="572"/>
      <c r="P592" s="572"/>
      <c r="Q592" s="572"/>
      <c r="R592" s="572"/>
      <c r="S592" s="574"/>
    </row>
    <row r="593" ht="13.5" customHeight="1">
      <c r="A593" s="572"/>
      <c r="B593" s="572"/>
      <c r="C593" s="572"/>
      <c r="D593" s="738" t="str">
        <f t="shared" si="1"/>
        <v> </v>
      </c>
      <c r="E593" s="605" t="str">
        <f t="shared" si="5"/>
        <v>/ / </v>
      </c>
      <c r="F593" s="572"/>
      <c r="G593" s="584"/>
      <c r="H593" s="570"/>
      <c r="I593" s="570"/>
      <c r="J593" s="572"/>
      <c r="K593" s="572"/>
      <c r="L593" s="572"/>
      <c r="M593" s="609" t="str">
        <f t="shared" si="3"/>
        <v> </v>
      </c>
      <c r="N593" s="572"/>
      <c r="O593" s="572"/>
      <c r="P593" s="572"/>
      <c r="Q593" s="572"/>
      <c r="R593" s="572"/>
      <c r="S593" s="574"/>
    </row>
    <row r="594" ht="13.5" customHeight="1">
      <c r="A594" s="572"/>
      <c r="B594" s="572"/>
      <c r="C594" s="572"/>
      <c r="D594" s="738" t="str">
        <f t="shared" si="1"/>
        <v> </v>
      </c>
      <c r="E594" s="605" t="str">
        <f t="shared" si="5"/>
        <v>/ / </v>
      </c>
      <c r="F594" s="572"/>
      <c r="G594" s="584"/>
      <c r="H594" s="570"/>
      <c r="I594" s="570"/>
      <c r="J594" s="572"/>
      <c r="K594" s="572"/>
      <c r="L594" s="572"/>
      <c r="M594" s="609" t="str">
        <f t="shared" si="3"/>
        <v> </v>
      </c>
      <c r="N594" s="572"/>
      <c r="O594" s="572"/>
      <c r="P594" s="572"/>
      <c r="Q594" s="572"/>
      <c r="R594" s="572"/>
      <c r="S594" s="574"/>
    </row>
    <row r="595" ht="13.5" customHeight="1">
      <c r="A595" s="572"/>
      <c r="B595" s="572"/>
      <c r="C595" s="572"/>
      <c r="D595" s="738" t="str">
        <f t="shared" si="1"/>
        <v> </v>
      </c>
      <c r="E595" s="605" t="str">
        <f t="shared" si="5"/>
        <v>/ / </v>
      </c>
      <c r="F595" s="572"/>
      <c r="G595" s="584"/>
      <c r="H595" s="570"/>
      <c r="I595" s="570"/>
      <c r="J595" s="572"/>
      <c r="K595" s="572"/>
      <c r="L595" s="572"/>
      <c r="M595" s="609" t="str">
        <f t="shared" si="3"/>
        <v> </v>
      </c>
      <c r="N595" s="572"/>
      <c r="O595" s="572"/>
      <c r="P595" s="572"/>
      <c r="Q595" s="572"/>
      <c r="R595" s="572"/>
      <c r="S595" s="574"/>
    </row>
    <row r="596" ht="13.5" customHeight="1">
      <c r="A596" s="572"/>
      <c r="B596" s="572"/>
      <c r="C596" s="572"/>
      <c r="D596" s="738" t="str">
        <f t="shared" si="1"/>
        <v> </v>
      </c>
      <c r="E596" s="605" t="str">
        <f t="shared" si="5"/>
        <v>/ / </v>
      </c>
      <c r="F596" s="572"/>
      <c r="G596" s="584"/>
      <c r="H596" s="570"/>
      <c r="I596" s="570"/>
      <c r="J596" s="572"/>
      <c r="K596" s="572"/>
      <c r="L596" s="572"/>
      <c r="M596" s="609" t="str">
        <f t="shared" si="3"/>
        <v> </v>
      </c>
      <c r="N596" s="572"/>
      <c r="O596" s="572"/>
      <c r="P596" s="572"/>
      <c r="Q596" s="572"/>
      <c r="R596" s="572"/>
      <c r="S596" s="574"/>
    </row>
    <row r="597" ht="13.5" customHeight="1">
      <c r="A597" s="572"/>
      <c r="B597" s="572"/>
      <c r="C597" s="572"/>
      <c r="D597" s="738" t="str">
        <f t="shared" si="1"/>
        <v> </v>
      </c>
      <c r="E597" s="605" t="str">
        <f t="shared" si="5"/>
        <v>/ / </v>
      </c>
      <c r="F597" s="572"/>
      <c r="G597" s="584"/>
      <c r="H597" s="570"/>
      <c r="I597" s="570"/>
      <c r="J597" s="572"/>
      <c r="K597" s="572"/>
      <c r="L597" s="572"/>
      <c r="M597" s="609" t="str">
        <f t="shared" si="3"/>
        <v> </v>
      </c>
      <c r="N597" s="572"/>
      <c r="O597" s="572"/>
      <c r="P597" s="572"/>
      <c r="Q597" s="572"/>
      <c r="R597" s="572"/>
      <c r="S597" s="574"/>
    </row>
    <row r="598" ht="13.5" customHeight="1">
      <c r="A598" s="572"/>
      <c r="B598" s="572"/>
      <c r="C598" s="572"/>
      <c r="D598" s="738" t="str">
        <f t="shared" si="1"/>
        <v> </v>
      </c>
      <c r="E598" s="605" t="str">
        <f t="shared" si="5"/>
        <v>/ / </v>
      </c>
      <c r="F598" s="572"/>
      <c r="G598" s="584"/>
      <c r="H598" s="570"/>
      <c r="I598" s="570"/>
      <c r="J598" s="572"/>
      <c r="K598" s="572"/>
      <c r="L598" s="572"/>
      <c r="M598" s="609" t="str">
        <f t="shared" si="3"/>
        <v> </v>
      </c>
      <c r="N598" s="572"/>
      <c r="O598" s="572"/>
      <c r="P598" s="572"/>
      <c r="Q598" s="572"/>
      <c r="R598" s="572"/>
      <c r="S598" s="574"/>
    </row>
    <row r="599" ht="13.5" customHeight="1">
      <c r="A599" s="572"/>
      <c r="B599" s="572"/>
      <c r="C599" s="572"/>
      <c r="D599" s="738" t="str">
        <f t="shared" si="1"/>
        <v> </v>
      </c>
      <c r="E599" s="605" t="str">
        <f t="shared" si="5"/>
        <v>/ / </v>
      </c>
      <c r="F599" s="572"/>
      <c r="G599" s="584"/>
      <c r="H599" s="570"/>
      <c r="I599" s="570"/>
      <c r="J599" s="572"/>
      <c r="K599" s="572"/>
      <c r="L599" s="572"/>
      <c r="M599" s="609" t="str">
        <f t="shared" si="3"/>
        <v> </v>
      </c>
      <c r="N599" s="572"/>
      <c r="O599" s="572"/>
      <c r="P599" s="572"/>
      <c r="Q599" s="572"/>
      <c r="R599" s="572"/>
      <c r="S599" s="574"/>
    </row>
    <row r="600" ht="13.5" customHeight="1">
      <c r="A600" s="572"/>
      <c r="B600" s="572"/>
      <c r="C600" s="572"/>
      <c r="D600" s="738" t="str">
        <f t="shared" si="1"/>
        <v> </v>
      </c>
      <c r="E600" s="605" t="str">
        <f t="shared" si="5"/>
        <v>/ / </v>
      </c>
      <c r="F600" s="572"/>
      <c r="G600" s="584"/>
      <c r="H600" s="570"/>
      <c r="I600" s="570"/>
      <c r="J600" s="572"/>
      <c r="K600" s="572"/>
      <c r="L600" s="572"/>
      <c r="M600" s="609" t="str">
        <f t="shared" si="3"/>
        <v> </v>
      </c>
      <c r="N600" s="572"/>
      <c r="O600" s="572"/>
      <c r="P600" s="572"/>
      <c r="Q600" s="572"/>
      <c r="R600" s="572"/>
      <c r="S600" s="574"/>
    </row>
    <row r="601" ht="13.5" customHeight="1">
      <c r="A601" s="572"/>
      <c r="B601" s="572"/>
      <c r="C601" s="572"/>
      <c r="D601" s="738" t="str">
        <f t="shared" si="1"/>
        <v> </v>
      </c>
      <c r="E601" s="605" t="str">
        <f t="shared" si="5"/>
        <v>/ / </v>
      </c>
      <c r="F601" s="572"/>
      <c r="G601" s="584"/>
      <c r="H601" s="570"/>
      <c r="I601" s="570"/>
      <c r="J601" s="572"/>
      <c r="K601" s="572"/>
      <c r="L601" s="572"/>
      <c r="M601" s="609" t="str">
        <f t="shared" si="3"/>
        <v> </v>
      </c>
      <c r="N601" s="572"/>
      <c r="O601" s="572"/>
      <c r="P601" s="572"/>
      <c r="Q601" s="572"/>
      <c r="R601" s="572"/>
      <c r="S601" s="574"/>
    </row>
    <row r="602" ht="13.5" customHeight="1">
      <c r="A602" s="572"/>
      <c r="B602" s="572"/>
      <c r="C602" s="572"/>
      <c r="D602" s="738" t="str">
        <f t="shared" si="1"/>
        <v> </v>
      </c>
      <c r="E602" s="605" t="str">
        <f t="shared" si="5"/>
        <v>/ / </v>
      </c>
      <c r="F602" s="572"/>
      <c r="G602" s="584"/>
      <c r="H602" s="570"/>
      <c r="I602" s="570"/>
      <c r="J602" s="572"/>
      <c r="K602" s="572"/>
      <c r="L602" s="572"/>
      <c r="M602" s="609" t="str">
        <f t="shared" si="3"/>
        <v> </v>
      </c>
      <c r="N602" s="572"/>
      <c r="O602" s="572"/>
      <c r="P602" s="572"/>
      <c r="Q602" s="572"/>
      <c r="R602" s="572"/>
      <c r="S602" s="574"/>
    </row>
    <row r="603" ht="13.5" customHeight="1">
      <c r="A603" s="572"/>
      <c r="B603" s="572"/>
      <c r="C603" s="572"/>
      <c r="D603" s="738" t="str">
        <f t="shared" si="1"/>
        <v> </v>
      </c>
      <c r="E603" s="605" t="str">
        <f t="shared" si="5"/>
        <v>/ / </v>
      </c>
      <c r="F603" s="572"/>
      <c r="G603" s="584"/>
      <c r="H603" s="570"/>
      <c r="I603" s="570"/>
      <c r="J603" s="572"/>
      <c r="K603" s="572"/>
      <c r="L603" s="572"/>
      <c r="M603" s="609" t="str">
        <f t="shared" si="3"/>
        <v> </v>
      </c>
      <c r="N603" s="572"/>
      <c r="O603" s="572"/>
      <c r="P603" s="572"/>
      <c r="Q603" s="572"/>
      <c r="R603" s="572"/>
      <c r="S603" s="574"/>
    </row>
    <row r="604" ht="13.5" customHeight="1">
      <c r="A604" s="572"/>
      <c r="B604" s="572"/>
      <c r="C604" s="572"/>
      <c r="D604" s="738" t="str">
        <f t="shared" si="1"/>
        <v> </v>
      </c>
      <c r="E604" s="605" t="str">
        <f t="shared" si="5"/>
        <v>/ / </v>
      </c>
      <c r="F604" s="572"/>
      <c r="G604" s="584"/>
      <c r="H604" s="570"/>
      <c r="I604" s="570"/>
      <c r="J604" s="572"/>
      <c r="K604" s="572"/>
      <c r="L604" s="572"/>
      <c r="M604" s="609" t="str">
        <f t="shared" si="3"/>
        <v> </v>
      </c>
      <c r="N604" s="572"/>
      <c r="O604" s="572"/>
      <c r="P604" s="572"/>
      <c r="Q604" s="572"/>
      <c r="R604" s="572"/>
      <c r="S604" s="574"/>
    </row>
    <row r="605" ht="13.5" customHeight="1">
      <c r="A605" s="572"/>
      <c r="B605" s="572"/>
      <c r="C605" s="572"/>
      <c r="D605" s="738" t="str">
        <f t="shared" si="1"/>
        <v> </v>
      </c>
      <c r="E605" s="605" t="str">
        <f t="shared" si="5"/>
        <v>/ / </v>
      </c>
      <c r="F605" s="572"/>
      <c r="G605" s="584"/>
      <c r="H605" s="570"/>
      <c r="I605" s="570"/>
      <c r="J605" s="572"/>
      <c r="K605" s="572"/>
      <c r="L605" s="572"/>
      <c r="M605" s="609" t="str">
        <f t="shared" si="3"/>
        <v> </v>
      </c>
      <c r="N605" s="572"/>
      <c r="O605" s="572"/>
      <c r="P605" s="572"/>
      <c r="Q605" s="572"/>
      <c r="R605" s="572"/>
      <c r="S605" s="574"/>
    </row>
    <row r="606" ht="13.5" customHeight="1">
      <c r="A606" s="572"/>
      <c r="B606" s="572"/>
      <c r="C606" s="572"/>
      <c r="D606" s="738" t="str">
        <f t="shared" si="1"/>
        <v> </v>
      </c>
      <c r="E606" s="605" t="str">
        <f t="shared" si="5"/>
        <v>/ / </v>
      </c>
      <c r="F606" s="572"/>
      <c r="G606" s="584"/>
      <c r="H606" s="570"/>
      <c r="I606" s="570"/>
      <c r="J606" s="572"/>
      <c r="K606" s="572"/>
      <c r="L606" s="572"/>
      <c r="M606" s="609" t="str">
        <f t="shared" si="3"/>
        <v> </v>
      </c>
      <c r="N606" s="572"/>
      <c r="O606" s="572"/>
      <c r="P606" s="572"/>
      <c r="Q606" s="572"/>
      <c r="R606" s="572"/>
      <c r="S606" s="574"/>
    </row>
    <row r="607" ht="13.5" customHeight="1">
      <c r="A607" s="572"/>
      <c r="B607" s="572"/>
      <c r="C607" s="572"/>
      <c r="D607" s="738" t="str">
        <f t="shared" si="1"/>
        <v> </v>
      </c>
      <c r="E607" s="605" t="str">
        <f t="shared" si="5"/>
        <v>/ / </v>
      </c>
      <c r="F607" s="572"/>
      <c r="G607" s="584"/>
      <c r="H607" s="570"/>
      <c r="I607" s="570"/>
      <c r="J607" s="572"/>
      <c r="K607" s="572"/>
      <c r="L607" s="572"/>
      <c r="M607" s="609" t="str">
        <f t="shared" si="3"/>
        <v> </v>
      </c>
      <c r="N607" s="572"/>
      <c r="O607" s="572"/>
      <c r="P607" s="572"/>
      <c r="Q607" s="572"/>
      <c r="R607" s="572"/>
      <c r="S607" s="574"/>
    </row>
    <row r="608" ht="13.5" customHeight="1">
      <c r="A608" s="572"/>
      <c r="B608" s="572"/>
      <c r="C608" s="572"/>
      <c r="D608" s="738" t="str">
        <f t="shared" si="1"/>
        <v> </v>
      </c>
      <c r="E608" s="605" t="str">
        <f t="shared" si="5"/>
        <v>/ / </v>
      </c>
      <c r="F608" s="572"/>
      <c r="G608" s="584"/>
      <c r="H608" s="570"/>
      <c r="I608" s="570"/>
      <c r="J608" s="572"/>
      <c r="K608" s="572"/>
      <c r="L608" s="572"/>
      <c r="M608" s="609" t="str">
        <f t="shared" si="3"/>
        <v> </v>
      </c>
      <c r="N608" s="572"/>
      <c r="O608" s="572"/>
      <c r="P608" s="572"/>
      <c r="Q608" s="572"/>
      <c r="R608" s="572"/>
      <c r="S608" s="574"/>
    </row>
    <row r="609" ht="13.5" customHeight="1">
      <c r="A609" s="572"/>
      <c r="B609" s="572"/>
      <c r="C609" s="572"/>
      <c r="D609" s="738" t="str">
        <f t="shared" si="1"/>
        <v> </v>
      </c>
      <c r="E609" s="605" t="str">
        <f t="shared" si="5"/>
        <v>/ / </v>
      </c>
      <c r="F609" s="572"/>
      <c r="G609" s="584"/>
      <c r="H609" s="570"/>
      <c r="I609" s="570"/>
      <c r="J609" s="572"/>
      <c r="K609" s="572"/>
      <c r="L609" s="572"/>
      <c r="M609" s="609" t="str">
        <f t="shared" si="3"/>
        <v> </v>
      </c>
      <c r="N609" s="572"/>
      <c r="O609" s="572"/>
      <c r="P609" s="572"/>
      <c r="Q609" s="572"/>
      <c r="R609" s="572"/>
      <c r="S609" s="574"/>
    </row>
    <row r="610" ht="13.5" customHeight="1">
      <c r="A610" s="572"/>
      <c r="B610" s="572"/>
      <c r="C610" s="572"/>
      <c r="D610" s="738" t="str">
        <f t="shared" si="1"/>
        <v> </v>
      </c>
      <c r="E610" s="605" t="str">
        <f t="shared" si="5"/>
        <v>/ / </v>
      </c>
      <c r="F610" s="572"/>
      <c r="G610" s="584"/>
      <c r="H610" s="570"/>
      <c r="I610" s="570"/>
      <c r="J610" s="572"/>
      <c r="K610" s="572"/>
      <c r="L610" s="572"/>
      <c r="M610" s="609" t="str">
        <f t="shared" si="3"/>
        <v> </v>
      </c>
      <c r="N610" s="572"/>
      <c r="O610" s="572"/>
      <c r="P610" s="572"/>
      <c r="Q610" s="572"/>
      <c r="R610" s="572"/>
      <c r="S610" s="574"/>
    </row>
    <row r="611" ht="13.5" customHeight="1">
      <c r="A611" s="572"/>
      <c r="B611" s="572"/>
      <c r="C611" s="572"/>
      <c r="D611" s="738" t="str">
        <f t="shared" si="1"/>
        <v> </v>
      </c>
      <c r="E611" s="605" t="str">
        <f t="shared" si="5"/>
        <v>/ / </v>
      </c>
      <c r="F611" s="572"/>
      <c r="G611" s="584"/>
      <c r="H611" s="570"/>
      <c r="I611" s="570"/>
      <c r="J611" s="572"/>
      <c r="K611" s="572"/>
      <c r="L611" s="572"/>
      <c r="M611" s="609" t="str">
        <f t="shared" si="3"/>
        <v> </v>
      </c>
      <c r="N611" s="572"/>
      <c r="O611" s="572"/>
      <c r="P611" s="572"/>
      <c r="Q611" s="572"/>
      <c r="R611" s="572"/>
      <c r="S611" s="574"/>
    </row>
    <row r="612" ht="13.5" customHeight="1">
      <c r="A612" s="572"/>
      <c r="B612" s="572"/>
      <c r="C612" s="572"/>
      <c r="D612" s="738" t="str">
        <f t="shared" si="1"/>
        <v> </v>
      </c>
      <c r="E612" s="605" t="str">
        <f t="shared" si="5"/>
        <v>/ / </v>
      </c>
      <c r="F612" s="572"/>
      <c r="G612" s="584"/>
      <c r="H612" s="570"/>
      <c r="I612" s="570"/>
      <c r="J612" s="572"/>
      <c r="K612" s="572"/>
      <c r="L612" s="572"/>
      <c r="M612" s="609" t="str">
        <f t="shared" si="3"/>
        <v> </v>
      </c>
      <c r="N612" s="572"/>
      <c r="O612" s="572"/>
      <c r="P612" s="572"/>
      <c r="Q612" s="572"/>
      <c r="R612" s="572"/>
      <c r="S612" s="574"/>
    </row>
    <row r="613" ht="13.5" customHeight="1">
      <c r="A613" s="572"/>
      <c r="B613" s="572"/>
      <c r="C613" s="572"/>
      <c r="D613" s="738" t="str">
        <f t="shared" si="1"/>
        <v> </v>
      </c>
      <c r="E613" s="605" t="str">
        <f t="shared" si="5"/>
        <v>/ / </v>
      </c>
      <c r="F613" s="572"/>
      <c r="G613" s="584"/>
      <c r="H613" s="570"/>
      <c r="I613" s="570"/>
      <c r="J613" s="572"/>
      <c r="K613" s="572"/>
      <c r="L613" s="572"/>
      <c r="M613" s="609" t="str">
        <f t="shared" si="3"/>
        <v> </v>
      </c>
      <c r="N613" s="572"/>
      <c r="O613" s="572"/>
      <c r="P613" s="572"/>
      <c r="Q613" s="572"/>
      <c r="R613" s="572"/>
      <c r="S613" s="574"/>
    </row>
    <row r="614" ht="13.5" customHeight="1">
      <c r="A614" s="572"/>
      <c r="B614" s="572"/>
      <c r="C614" s="572"/>
      <c r="D614" s="738" t="str">
        <f t="shared" si="1"/>
        <v> </v>
      </c>
      <c r="E614" s="605" t="str">
        <f t="shared" si="5"/>
        <v>/ / </v>
      </c>
      <c r="F614" s="572"/>
      <c r="G614" s="584"/>
      <c r="H614" s="570"/>
      <c r="I614" s="570"/>
      <c r="J614" s="572"/>
      <c r="K614" s="572"/>
      <c r="L614" s="572"/>
      <c r="M614" s="609" t="str">
        <f t="shared" si="3"/>
        <v> </v>
      </c>
      <c r="N614" s="572"/>
      <c r="O614" s="572"/>
      <c r="P614" s="572"/>
      <c r="Q614" s="572"/>
      <c r="R614" s="572"/>
      <c r="S614" s="574"/>
    </row>
    <row r="615" ht="13.5" customHeight="1">
      <c r="A615" s="572"/>
      <c r="B615" s="572"/>
      <c r="C615" s="572"/>
      <c r="D615" s="738" t="str">
        <f t="shared" si="1"/>
        <v> </v>
      </c>
      <c r="E615" s="605" t="str">
        <f t="shared" si="5"/>
        <v>/ / </v>
      </c>
      <c r="F615" s="572"/>
      <c r="G615" s="584"/>
      <c r="H615" s="570"/>
      <c r="I615" s="570"/>
      <c r="J615" s="572"/>
      <c r="K615" s="572"/>
      <c r="L615" s="572"/>
      <c r="M615" s="609" t="str">
        <f t="shared" si="3"/>
        <v> </v>
      </c>
      <c r="N615" s="572"/>
      <c r="O615" s="572"/>
      <c r="P615" s="572"/>
      <c r="Q615" s="572"/>
      <c r="R615" s="572"/>
      <c r="S615" s="574"/>
    </row>
    <row r="616" ht="13.5" customHeight="1">
      <c r="A616" s="572"/>
      <c r="B616" s="572"/>
      <c r="C616" s="572"/>
      <c r="D616" s="738" t="str">
        <f t="shared" si="1"/>
        <v> </v>
      </c>
      <c r="E616" s="605" t="str">
        <f t="shared" si="5"/>
        <v>/ / </v>
      </c>
      <c r="F616" s="572"/>
      <c r="G616" s="584"/>
      <c r="H616" s="570"/>
      <c r="I616" s="570"/>
      <c r="J616" s="572"/>
      <c r="K616" s="572"/>
      <c r="L616" s="572"/>
      <c r="M616" s="609" t="str">
        <f t="shared" si="3"/>
        <v> </v>
      </c>
      <c r="N616" s="572"/>
      <c r="O616" s="572"/>
      <c r="P616" s="572"/>
      <c r="Q616" s="572"/>
      <c r="R616" s="572"/>
      <c r="S616" s="574"/>
    </row>
    <row r="617" ht="13.5" customHeight="1">
      <c r="A617" s="572"/>
      <c r="B617" s="572"/>
      <c r="C617" s="572"/>
      <c r="D617" s="738" t="str">
        <f t="shared" si="1"/>
        <v> </v>
      </c>
      <c r="E617" s="605" t="str">
        <f t="shared" si="5"/>
        <v>/ / </v>
      </c>
      <c r="F617" s="572"/>
      <c r="G617" s="584"/>
      <c r="H617" s="570"/>
      <c r="I617" s="570"/>
      <c r="J617" s="572"/>
      <c r="K617" s="572"/>
      <c r="L617" s="572"/>
      <c r="M617" s="609" t="str">
        <f t="shared" si="3"/>
        <v> </v>
      </c>
      <c r="N617" s="572"/>
      <c r="O617" s="572"/>
      <c r="P617" s="572"/>
      <c r="Q617" s="572"/>
      <c r="R617" s="572"/>
      <c r="S617" s="574"/>
    </row>
    <row r="618" ht="13.5" customHeight="1">
      <c r="A618" s="572"/>
      <c r="B618" s="572"/>
      <c r="C618" s="572"/>
      <c r="D618" s="738" t="str">
        <f t="shared" si="1"/>
        <v> </v>
      </c>
      <c r="E618" s="605" t="str">
        <f t="shared" si="5"/>
        <v>/ / </v>
      </c>
      <c r="F618" s="572"/>
      <c r="G618" s="584"/>
      <c r="H618" s="570"/>
      <c r="I618" s="570"/>
      <c r="J618" s="572"/>
      <c r="K618" s="572"/>
      <c r="L618" s="572"/>
      <c r="M618" s="609" t="str">
        <f t="shared" si="3"/>
        <v> </v>
      </c>
      <c r="N618" s="572"/>
      <c r="O618" s="572"/>
      <c r="P618" s="572"/>
      <c r="Q618" s="572"/>
      <c r="R618" s="572"/>
      <c r="S618" s="574"/>
    </row>
    <row r="619" ht="13.5" customHeight="1">
      <c r="A619" s="572"/>
      <c r="B619" s="572"/>
      <c r="C619" s="572"/>
      <c r="D619" s="738" t="str">
        <f t="shared" si="1"/>
        <v> </v>
      </c>
      <c r="E619" s="605" t="str">
        <f t="shared" si="5"/>
        <v>/ / </v>
      </c>
      <c r="F619" s="572"/>
      <c r="G619" s="584"/>
      <c r="H619" s="570"/>
      <c r="I619" s="570"/>
      <c r="J619" s="572"/>
      <c r="K619" s="572"/>
      <c r="L619" s="572"/>
      <c r="M619" s="609" t="str">
        <f t="shared" si="3"/>
        <v> </v>
      </c>
      <c r="N619" s="572"/>
      <c r="O619" s="572"/>
      <c r="P619" s="572"/>
      <c r="Q619" s="572"/>
      <c r="R619" s="572"/>
      <c r="S619" s="574"/>
    </row>
    <row r="620" ht="13.5" customHeight="1">
      <c r="A620" s="572"/>
      <c r="B620" s="572"/>
      <c r="C620" s="572"/>
      <c r="D620" s="738" t="str">
        <f t="shared" si="1"/>
        <v> </v>
      </c>
      <c r="E620" s="605" t="str">
        <f t="shared" si="5"/>
        <v>/ / </v>
      </c>
      <c r="F620" s="572"/>
      <c r="G620" s="584"/>
      <c r="H620" s="570"/>
      <c r="I620" s="570"/>
      <c r="J620" s="572"/>
      <c r="K620" s="572"/>
      <c r="L620" s="572"/>
      <c r="M620" s="609" t="str">
        <f t="shared" si="3"/>
        <v> </v>
      </c>
      <c r="N620" s="572"/>
      <c r="O620" s="572"/>
      <c r="P620" s="572"/>
      <c r="Q620" s="572"/>
      <c r="R620" s="572"/>
      <c r="S620" s="574"/>
    </row>
    <row r="621" ht="13.5" customHeight="1">
      <c r="A621" s="572"/>
      <c r="B621" s="572"/>
      <c r="C621" s="572"/>
      <c r="D621" s="738" t="str">
        <f t="shared" si="1"/>
        <v> </v>
      </c>
      <c r="E621" s="605" t="str">
        <f t="shared" si="5"/>
        <v>/ / </v>
      </c>
      <c r="F621" s="572"/>
      <c r="G621" s="584"/>
      <c r="H621" s="570"/>
      <c r="I621" s="570"/>
      <c r="J621" s="572"/>
      <c r="K621" s="572"/>
      <c r="L621" s="572"/>
      <c r="M621" s="609" t="str">
        <f t="shared" si="3"/>
        <v> </v>
      </c>
      <c r="N621" s="572"/>
      <c r="O621" s="572"/>
      <c r="P621" s="572"/>
      <c r="Q621" s="572"/>
      <c r="R621" s="572"/>
      <c r="S621" s="574"/>
    </row>
    <row r="622" ht="13.5" customHeight="1">
      <c r="A622" s="572"/>
      <c r="B622" s="572"/>
      <c r="C622" s="572"/>
      <c r="D622" s="738" t="str">
        <f t="shared" si="1"/>
        <v> </v>
      </c>
      <c r="E622" s="605" t="str">
        <f t="shared" si="5"/>
        <v>/ / </v>
      </c>
      <c r="F622" s="572"/>
      <c r="G622" s="584"/>
      <c r="H622" s="570"/>
      <c r="I622" s="570"/>
      <c r="J622" s="572"/>
      <c r="K622" s="572"/>
      <c r="L622" s="572"/>
      <c r="M622" s="609" t="str">
        <f t="shared" si="3"/>
        <v> </v>
      </c>
      <c r="N622" s="572"/>
      <c r="O622" s="572"/>
      <c r="P622" s="572"/>
      <c r="Q622" s="572"/>
      <c r="R622" s="572"/>
      <c r="S622" s="574"/>
    </row>
    <row r="623" ht="13.5" customHeight="1">
      <c r="A623" s="572"/>
      <c r="B623" s="572"/>
      <c r="C623" s="572"/>
      <c r="D623" s="738" t="str">
        <f t="shared" si="1"/>
        <v> </v>
      </c>
      <c r="E623" s="605" t="str">
        <f t="shared" si="5"/>
        <v>/ / </v>
      </c>
      <c r="F623" s="572"/>
      <c r="G623" s="584"/>
      <c r="H623" s="570"/>
      <c r="I623" s="570"/>
      <c r="J623" s="572"/>
      <c r="K623" s="572"/>
      <c r="L623" s="572"/>
      <c r="M623" s="609" t="str">
        <f t="shared" si="3"/>
        <v> </v>
      </c>
      <c r="N623" s="572"/>
      <c r="O623" s="572"/>
      <c r="P623" s="572"/>
      <c r="Q623" s="572"/>
      <c r="R623" s="572"/>
      <c r="S623" s="574"/>
    </row>
    <row r="624" ht="13.5" customHeight="1">
      <c r="A624" s="572"/>
      <c r="B624" s="572"/>
      <c r="C624" s="572"/>
      <c r="D624" s="738" t="str">
        <f t="shared" si="1"/>
        <v> </v>
      </c>
      <c r="E624" s="605" t="str">
        <f t="shared" si="5"/>
        <v>/ / </v>
      </c>
      <c r="F624" s="572"/>
      <c r="G624" s="584"/>
      <c r="H624" s="570"/>
      <c r="I624" s="570"/>
      <c r="J624" s="572"/>
      <c r="K624" s="572"/>
      <c r="L624" s="572"/>
      <c r="M624" s="609" t="str">
        <f t="shared" si="3"/>
        <v> </v>
      </c>
      <c r="N624" s="572"/>
      <c r="O624" s="572"/>
      <c r="P624" s="572"/>
      <c r="Q624" s="572"/>
      <c r="R624" s="572"/>
      <c r="S624" s="574"/>
    </row>
    <row r="625" ht="13.5" customHeight="1">
      <c r="A625" s="572"/>
      <c r="B625" s="572"/>
      <c r="C625" s="572"/>
      <c r="D625" s="738" t="str">
        <f t="shared" si="1"/>
        <v> </v>
      </c>
      <c r="E625" s="605" t="str">
        <f t="shared" si="5"/>
        <v>/ / </v>
      </c>
      <c r="F625" s="572"/>
      <c r="G625" s="584"/>
      <c r="H625" s="570"/>
      <c r="I625" s="570"/>
      <c r="J625" s="572"/>
      <c r="K625" s="572"/>
      <c r="L625" s="572"/>
      <c r="M625" s="609" t="str">
        <f t="shared" si="3"/>
        <v> </v>
      </c>
      <c r="N625" s="572"/>
      <c r="O625" s="572"/>
      <c r="P625" s="572"/>
      <c r="Q625" s="572"/>
      <c r="R625" s="572"/>
      <c r="S625" s="574"/>
    </row>
    <row r="626" ht="13.5" customHeight="1">
      <c r="A626" s="572"/>
      <c r="B626" s="572"/>
      <c r="C626" s="572"/>
      <c r="D626" s="738" t="str">
        <f t="shared" si="1"/>
        <v> </v>
      </c>
      <c r="E626" s="605" t="str">
        <f t="shared" si="5"/>
        <v>/ / </v>
      </c>
      <c r="F626" s="572"/>
      <c r="G626" s="584"/>
      <c r="H626" s="570"/>
      <c r="I626" s="570"/>
      <c r="J626" s="572"/>
      <c r="K626" s="572"/>
      <c r="L626" s="572"/>
      <c r="M626" s="609" t="str">
        <f t="shared" si="3"/>
        <v> </v>
      </c>
      <c r="N626" s="572"/>
      <c r="O626" s="572"/>
      <c r="P626" s="572"/>
      <c r="Q626" s="572"/>
      <c r="R626" s="572"/>
      <c r="S626" s="574"/>
    </row>
    <row r="627" ht="13.5" customHeight="1">
      <c r="A627" s="572"/>
      <c r="B627" s="572"/>
      <c r="C627" s="572"/>
      <c r="D627" s="738" t="str">
        <f t="shared" si="1"/>
        <v> </v>
      </c>
      <c r="E627" s="605" t="str">
        <f t="shared" si="5"/>
        <v>/ / </v>
      </c>
      <c r="F627" s="572"/>
      <c r="G627" s="584"/>
      <c r="H627" s="570"/>
      <c r="I627" s="570"/>
      <c r="J627" s="572"/>
      <c r="K627" s="572"/>
      <c r="L627" s="572"/>
      <c r="M627" s="609" t="str">
        <f t="shared" si="3"/>
        <v> </v>
      </c>
      <c r="N627" s="572"/>
      <c r="O627" s="572"/>
      <c r="P627" s="572"/>
      <c r="Q627" s="572"/>
      <c r="R627" s="572"/>
      <c r="S627" s="574"/>
    </row>
    <row r="628" ht="13.5" customHeight="1">
      <c r="A628" s="572"/>
      <c r="B628" s="572"/>
      <c r="C628" s="572"/>
      <c r="D628" s="738" t="str">
        <f t="shared" si="1"/>
        <v> </v>
      </c>
      <c r="E628" s="605" t="str">
        <f t="shared" si="5"/>
        <v>/ / </v>
      </c>
      <c r="F628" s="572"/>
      <c r="G628" s="584"/>
      <c r="H628" s="570"/>
      <c r="I628" s="570"/>
      <c r="J628" s="572"/>
      <c r="K628" s="572"/>
      <c r="L628" s="572"/>
      <c r="M628" s="609" t="str">
        <f t="shared" si="3"/>
        <v> </v>
      </c>
      <c r="N628" s="572"/>
      <c r="O628" s="572"/>
      <c r="P628" s="572"/>
      <c r="Q628" s="572"/>
      <c r="R628" s="572"/>
      <c r="S628" s="574"/>
    </row>
    <row r="629" ht="13.5" customHeight="1">
      <c r="A629" s="572"/>
      <c r="B629" s="572"/>
      <c r="C629" s="572"/>
      <c r="D629" s="738" t="str">
        <f t="shared" si="1"/>
        <v> </v>
      </c>
      <c r="E629" s="605" t="str">
        <f t="shared" si="5"/>
        <v>/ / </v>
      </c>
      <c r="F629" s="572"/>
      <c r="G629" s="584"/>
      <c r="H629" s="570"/>
      <c r="I629" s="570"/>
      <c r="J629" s="572"/>
      <c r="K629" s="572"/>
      <c r="L629" s="572"/>
      <c r="M629" s="609" t="str">
        <f t="shared" si="3"/>
        <v> </v>
      </c>
      <c r="N629" s="572"/>
      <c r="O629" s="572"/>
      <c r="P629" s="572"/>
      <c r="Q629" s="572"/>
      <c r="R629" s="572"/>
      <c r="S629" s="574"/>
    </row>
    <row r="630" ht="13.5" customHeight="1">
      <c r="A630" s="572"/>
      <c r="B630" s="572"/>
      <c r="C630" s="572"/>
      <c r="D630" s="738" t="str">
        <f t="shared" si="1"/>
        <v> </v>
      </c>
      <c r="E630" s="605" t="str">
        <f t="shared" si="5"/>
        <v>/ / </v>
      </c>
      <c r="F630" s="572"/>
      <c r="G630" s="584"/>
      <c r="H630" s="570"/>
      <c r="I630" s="570"/>
      <c r="J630" s="572"/>
      <c r="K630" s="572"/>
      <c r="L630" s="572"/>
      <c r="M630" s="609" t="str">
        <f t="shared" si="3"/>
        <v> </v>
      </c>
      <c r="N630" s="572"/>
      <c r="O630" s="572"/>
      <c r="P630" s="572"/>
      <c r="Q630" s="572"/>
      <c r="R630" s="572"/>
      <c r="S630" s="574"/>
    </row>
    <row r="631" ht="13.5" customHeight="1">
      <c r="A631" s="572"/>
      <c r="B631" s="572"/>
      <c r="C631" s="572"/>
      <c r="D631" s="738" t="str">
        <f t="shared" si="1"/>
        <v> </v>
      </c>
      <c r="E631" s="605" t="str">
        <f t="shared" si="5"/>
        <v>/ / </v>
      </c>
      <c r="F631" s="572"/>
      <c r="G631" s="584"/>
      <c r="H631" s="570"/>
      <c r="I631" s="570"/>
      <c r="J631" s="572"/>
      <c r="K631" s="572"/>
      <c r="L631" s="572"/>
      <c r="M631" s="609" t="str">
        <f t="shared" si="3"/>
        <v> </v>
      </c>
      <c r="N631" s="572"/>
      <c r="O631" s="572"/>
      <c r="P631" s="572"/>
      <c r="Q631" s="572"/>
      <c r="R631" s="572"/>
      <c r="S631" s="574"/>
    </row>
    <row r="632" ht="13.5" customHeight="1">
      <c r="A632" s="572"/>
      <c r="B632" s="572"/>
      <c r="C632" s="572"/>
      <c r="D632" s="738" t="str">
        <f t="shared" si="1"/>
        <v> </v>
      </c>
      <c r="E632" s="605" t="str">
        <f t="shared" si="5"/>
        <v>/ / </v>
      </c>
      <c r="F632" s="572"/>
      <c r="G632" s="584"/>
      <c r="H632" s="570"/>
      <c r="I632" s="570"/>
      <c r="J632" s="572"/>
      <c r="K632" s="572"/>
      <c r="L632" s="572"/>
      <c r="M632" s="609" t="str">
        <f t="shared" si="3"/>
        <v> </v>
      </c>
      <c r="N632" s="572"/>
      <c r="O632" s="572"/>
      <c r="P632" s="572"/>
      <c r="Q632" s="572"/>
      <c r="R632" s="572"/>
      <c r="S632" s="574"/>
    </row>
    <row r="633" ht="13.5" customHeight="1">
      <c r="A633" s="572"/>
      <c r="B633" s="572"/>
      <c r="C633" s="572"/>
      <c r="D633" s="738" t="str">
        <f t="shared" si="1"/>
        <v> </v>
      </c>
      <c r="E633" s="605" t="str">
        <f t="shared" si="5"/>
        <v>/ / </v>
      </c>
      <c r="F633" s="572"/>
      <c r="G633" s="584"/>
      <c r="H633" s="570"/>
      <c r="I633" s="570"/>
      <c r="J633" s="572"/>
      <c r="K633" s="572"/>
      <c r="L633" s="572"/>
      <c r="M633" s="609" t="str">
        <f t="shared" si="3"/>
        <v> </v>
      </c>
      <c r="N633" s="572"/>
      <c r="O633" s="572"/>
      <c r="P633" s="572"/>
      <c r="Q633" s="572"/>
      <c r="R633" s="572"/>
      <c r="S633" s="574"/>
    </row>
    <row r="634" ht="13.5" customHeight="1">
      <c r="A634" s="572"/>
      <c r="B634" s="572"/>
      <c r="C634" s="572"/>
      <c r="D634" s="738" t="str">
        <f t="shared" si="1"/>
        <v> </v>
      </c>
      <c r="E634" s="605" t="str">
        <f t="shared" si="5"/>
        <v>/ / </v>
      </c>
      <c r="F634" s="572"/>
      <c r="G634" s="584"/>
      <c r="H634" s="570"/>
      <c r="I634" s="570"/>
      <c r="J634" s="572"/>
      <c r="K634" s="572"/>
      <c r="L634" s="572"/>
      <c r="M634" s="609" t="str">
        <f t="shared" si="3"/>
        <v> </v>
      </c>
      <c r="N634" s="572"/>
      <c r="O634" s="572"/>
      <c r="P634" s="572"/>
      <c r="Q634" s="572"/>
      <c r="R634" s="572"/>
      <c r="S634" s="574"/>
    </row>
    <row r="635" ht="13.5" customHeight="1">
      <c r="A635" s="572"/>
      <c r="B635" s="572"/>
      <c r="C635" s="572"/>
      <c r="D635" s="738" t="str">
        <f t="shared" si="1"/>
        <v> </v>
      </c>
      <c r="E635" s="605" t="str">
        <f t="shared" si="5"/>
        <v>/ / </v>
      </c>
      <c r="F635" s="572"/>
      <c r="G635" s="584"/>
      <c r="H635" s="570"/>
      <c r="I635" s="570"/>
      <c r="J635" s="572"/>
      <c r="K635" s="572"/>
      <c r="L635" s="572"/>
      <c r="M635" s="609" t="str">
        <f t="shared" si="3"/>
        <v> </v>
      </c>
      <c r="N635" s="572"/>
      <c r="O635" s="572"/>
      <c r="P635" s="572"/>
      <c r="Q635" s="572"/>
      <c r="R635" s="572"/>
      <c r="S635" s="574"/>
    </row>
    <row r="636" ht="13.5" customHeight="1">
      <c r="A636" s="572"/>
      <c r="B636" s="572"/>
      <c r="C636" s="572"/>
      <c r="D636" s="738" t="str">
        <f t="shared" si="1"/>
        <v> </v>
      </c>
      <c r="E636" s="605" t="str">
        <f t="shared" si="5"/>
        <v>/ / </v>
      </c>
      <c r="F636" s="572"/>
      <c r="G636" s="584"/>
      <c r="H636" s="570"/>
      <c r="I636" s="570"/>
      <c r="J636" s="572"/>
      <c r="K636" s="572"/>
      <c r="L636" s="572"/>
      <c r="M636" s="609" t="str">
        <f t="shared" si="3"/>
        <v> </v>
      </c>
      <c r="N636" s="572"/>
      <c r="O636" s="572"/>
      <c r="P636" s="572"/>
      <c r="Q636" s="572"/>
      <c r="R636" s="572"/>
      <c r="S636" s="574"/>
    </row>
    <row r="637" ht="13.5" customHeight="1">
      <c r="A637" s="572"/>
      <c r="B637" s="572"/>
      <c r="C637" s="572"/>
      <c r="D637" s="738" t="str">
        <f t="shared" si="1"/>
        <v> </v>
      </c>
      <c r="E637" s="605" t="str">
        <f t="shared" si="5"/>
        <v>/ / </v>
      </c>
      <c r="F637" s="572"/>
      <c r="G637" s="584"/>
      <c r="H637" s="570"/>
      <c r="I637" s="570"/>
      <c r="J637" s="572"/>
      <c r="K637" s="572"/>
      <c r="L637" s="572"/>
      <c r="M637" s="609" t="str">
        <f t="shared" si="3"/>
        <v> </v>
      </c>
      <c r="N637" s="572"/>
      <c r="O637" s="572"/>
      <c r="P637" s="572"/>
      <c r="Q637" s="572"/>
      <c r="R637" s="572"/>
      <c r="S637" s="574"/>
    </row>
    <row r="638" ht="13.5" customHeight="1">
      <c r="A638" s="572"/>
      <c r="B638" s="572"/>
      <c r="C638" s="572"/>
      <c r="D638" s="738" t="str">
        <f t="shared" si="1"/>
        <v> </v>
      </c>
      <c r="E638" s="605" t="str">
        <f t="shared" si="5"/>
        <v>/ / </v>
      </c>
      <c r="F638" s="572"/>
      <c r="G638" s="584"/>
      <c r="H638" s="570"/>
      <c r="I638" s="570"/>
      <c r="J638" s="572"/>
      <c r="K638" s="572"/>
      <c r="L638" s="572"/>
      <c r="M638" s="609" t="str">
        <f t="shared" si="3"/>
        <v> </v>
      </c>
      <c r="N638" s="572"/>
      <c r="O638" s="572"/>
      <c r="P638" s="572"/>
      <c r="Q638" s="572"/>
      <c r="R638" s="572"/>
      <c r="S638" s="574"/>
    </row>
    <row r="639" ht="13.5" customHeight="1">
      <c r="A639" s="572"/>
      <c r="B639" s="572"/>
      <c r="C639" s="572"/>
      <c r="D639" s="738" t="str">
        <f t="shared" si="1"/>
        <v> </v>
      </c>
      <c r="E639" s="605" t="str">
        <f t="shared" si="5"/>
        <v>/ / </v>
      </c>
      <c r="F639" s="572"/>
      <c r="G639" s="584"/>
      <c r="H639" s="570"/>
      <c r="I639" s="570"/>
      <c r="J639" s="572"/>
      <c r="K639" s="572"/>
      <c r="L639" s="572"/>
      <c r="M639" s="609" t="str">
        <f t="shared" si="3"/>
        <v> </v>
      </c>
      <c r="N639" s="572"/>
      <c r="O639" s="572"/>
      <c r="P639" s="572"/>
      <c r="Q639" s="572"/>
      <c r="R639" s="572"/>
      <c r="S639" s="574"/>
    </row>
    <row r="640" ht="13.5" customHeight="1">
      <c r="A640" s="572"/>
      <c r="B640" s="572"/>
      <c r="C640" s="572"/>
      <c r="D640" s="738" t="str">
        <f t="shared" si="1"/>
        <v> </v>
      </c>
      <c r="E640" s="605" t="str">
        <f t="shared" si="5"/>
        <v>/ / </v>
      </c>
      <c r="F640" s="572"/>
      <c r="G640" s="584"/>
      <c r="H640" s="570"/>
      <c r="I640" s="570"/>
      <c r="J640" s="572"/>
      <c r="K640" s="572"/>
      <c r="L640" s="572"/>
      <c r="M640" s="609" t="str">
        <f t="shared" si="3"/>
        <v> </v>
      </c>
      <c r="N640" s="572"/>
      <c r="O640" s="572"/>
      <c r="P640" s="572"/>
      <c r="Q640" s="572"/>
      <c r="R640" s="572"/>
      <c r="S640" s="574"/>
    </row>
    <row r="641" ht="13.5" customHeight="1">
      <c r="A641" s="572"/>
      <c r="B641" s="572"/>
      <c r="C641" s="572"/>
      <c r="D641" s="738" t="str">
        <f t="shared" si="1"/>
        <v> </v>
      </c>
      <c r="E641" s="605" t="str">
        <f t="shared" si="5"/>
        <v>/ / </v>
      </c>
      <c r="F641" s="572"/>
      <c r="G641" s="584"/>
      <c r="H641" s="570"/>
      <c r="I641" s="570"/>
      <c r="J641" s="572"/>
      <c r="K641" s="572"/>
      <c r="L641" s="572"/>
      <c r="M641" s="609" t="str">
        <f t="shared" si="3"/>
        <v> </v>
      </c>
      <c r="N641" s="572"/>
      <c r="O641" s="572"/>
      <c r="P641" s="572"/>
      <c r="Q641" s="572"/>
      <c r="R641" s="572"/>
      <c r="S641" s="574"/>
    </row>
    <row r="642" ht="13.5" customHeight="1">
      <c r="A642" s="572"/>
      <c r="B642" s="572"/>
      <c r="C642" s="572"/>
      <c r="D642" s="738" t="str">
        <f t="shared" si="1"/>
        <v> </v>
      </c>
      <c r="E642" s="605" t="str">
        <f t="shared" si="5"/>
        <v>/ / </v>
      </c>
      <c r="F642" s="572"/>
      <c r="G642" s="584"/>
      <c r="H642" s="570"/>
      <c r="I642" s="570"/>
      <c r="J642" s="572"/>
      <c r="K642" s="572"/>
      <c r="L642" s="572"/>
      <c r="M642" s="609" t="str">
        <f t="shared" si="3"/>
        <v> </v>
      </c>
      <c r="N642" s="572"/>
      <c r="O642" s="572"/>
      <c r="P642" s="572"/>
      <c r="Q642" s="572"/>
      <c r="R642" s="572"/>
      <c r="S642" s="574"/>
    </row>
    <row r="643" ht="13.5" customHeight="1">
      <c r="A643" s="572"/>
      <c r="B643" s="572"/>
      <c r="C643" s="572"/>
      <c r="D643" s="738" t="str">
        <f t="shared" si="1"/>
        <v> </v>
      </c>
      <c r="E643" s="605" t="str">
        <f t="shared" si="5"/>
        <v>/ / </v>
      </c>
      <c r="F643" s="572"/>
      <c r="G643" s="584"/>
      <c r="H643" s="570"/>
      <c r="I643" s="570"/>
      <c r="J643" s="572"/>
      <c r="K643" s="572"/>
      <c r="L643" s="572"/>
      <c r="M643" s="609" t="str">
        <f t="shared" si="3"/>
        <v> </v>
      </c>
      <c r="N643" s="572"/>
      <c r="O643" s="572"/>
      <c r="P643" s="572"/>
      <c r="Q643" s="572"/>
      <c r="R643" s="572"/>
      <c r="S643" s="574"/>
    </row>
    <row r="644" ht="13.5" customHeight="1">
      <c r="A644" s="572"/>
      <c r="B644" s="572"/>
      <c r="C644" s="572"/>
      <c r="D644" s="738" t="str">
        <f t="shared" si="1"/>
        <v> </v>
      </c>
      <c r="E644" s="605" t="str">
        <f t="shared" si="5"/>
        <v>/ / </v>
      </c>
      <c r="F644" s="572"/>
      <c r="G644" s="584"/>
      <c r="H644" s="570"/>
      <c r="I644" s="570"/>
      <c r="J644" s="572"/>
      <c r="K644" s="572"/>
      <c r="L644" s="572"/>
      <c r="M644" s="609" t="str">
        <f t="shared" si="3"/>
        <v> </v>
      </c>
      <c r="N644" s="572"/>
      <c r="O644" s="572"/>
      <c r="P644" s="572"/>
      <c r="Q644" s="572"/>
      <c r="R644" s="572"/>
      <c r="S644" s="574"/>
    </row>
    <row r="645" ht="13.5" customHeight="1">
      <c r="A645" s="572"/>
      <c r="B645" s="572"/>
      <c r="C645" s="572"/>
      <c r="D645" s="738" t="str">
        <f t="shared" si="1"/>
        <v> </v>
      </c>
      <c r="E645" s="605" t="str">
        <f t="shared" si="5"/>
        <v>/ / </v>
      </c>
      <c r="F645" s="572"/>
      <c r="G645" s="584"/>
      <c r="H645" s="570"/>
      <c r="I645" s="570"/>
      <c r="J645" s="572"/>
      <c r="K645" s="572"/>
      <c r="L645" s="572"/>
      <c r="M645" s="609" t="str">
        <f t="shared" si="3"/>
        <v> </v>
      </c>
      <c r="N645" s="572"/>
      <c r="O645" s="572"/>
      <c r="P645" s="572"/>
      <c r="Q645" s="572"/>
      <c r="R645" s="572"/>
      <c r="S645" s="574"/>
    </row>
    <row r="646" ht="13.5" customHeight="1">
      <c r="A646" s="572"/>
      <c r="B646" s="572"/>
      <c r="C646" s="572"/>
      <c r="D646" s="738" t="str">
        <f t="shared" si="1"/>
        <v> </v>
      </c>
      <c r="E646" s="605" t="str">
        <f t="shared" si="5"/>
        <v>/ / </v>
      </c>
      <c r="F646" s="572"/>
      <c r="G646" s="584"/>
      <c r="H646" s="570"/>
      <c r="I646" s="570"/>
      <c r="J646" s="572"/>
      <c r="K646" s="572"/>
      <c r="L646" s="572"/>
      <c r="M646" s="609" t="str">
        <f t="shared" si="3"/>
        <v> </v>
      </c>
      <c r="N646" s="572"/>
      <c r="O646" s="572"/>
      <c r="P646" s="572"/>
      <c r="Q646" s="572"/>
      <c r="R646" s="572"/>
      <c r="S646" s="574"/>
    </row>
    <row r="647" ht="13.5" customHeight="1">
      <c r="A647" s="572"/>
      <c r="B647" s="572"/>
      <c r="C647" s="572"/>
      <c r="D647" s="738" t="str">
        <f t="shared" si="1"/>
        <v> </v>
      </c>
      <c r="E647" s="605" t="str">
        <f t="shared" si="5"/>
        <v>/ / </v>
      </c>
      <c r="F647" s="572"/>
      <c r="G647" s="584"/>
      <c r="H647" s="570"/>
      <c r="I647" s="570"/>
      <c r="J647" s="572"/>
      <c r="K647" s="572"/>
      <c r="L647" s="572"/>
      <c r="M647" s="609" t="str">
        <f t="shared" si="3"/>
        <v> </v>
      </c>
      <c r="N647" s="572"/>
      <c r="O647" s="572"/>
      <c r="P647" s="572"/>
      <c r="Q647" s="572"/>
      <c r="R647" s="572"/>
      <c r="S647" s="574"/>
    </row>
    <row r="648" ht="13.5" customHeight="1">
      <c r="A648" s="572"/>
      <c r="B648" s="572"/>
      <c r="C648" s="572"/>
      <c r="D648" s="738" t="str">
        <f t="shared" si="1"/>
        <v> </v>
      </c>
      <c r="E648" s="605" t="str">
        <f t="shared" si="5"/>
        <v>/ / </v>
      </c>
      <c r="F648" s="572"/>
      <c r="G648" s="584"/>
      <c r="H648" s="570"/>
      <c r="I648" s="570"/>
      <c r="J648" s="572"/>
      <c r="K648" s="572"/>
      <c r="L648" s="572"/>
      <c r="M648" s="609" t="str">
        <f t="shared" si="3"/>
        <v> </v>
      </c>
      <c r="N648" s="572"/>
      <c r="O648" s="572"/>
      <c r="P648" s="572"/>
      <c r="Q648" s="572"/>
      <c r="R648" s="572"/>
      <c r="S648" s="574"/>
    </row>
    <row r="649" ht="13.5" customHeight="1">
      <c r="A649" s="572"/>
      <c r="B649" s="572"/>
      <c r="C649" s="572"/>
      <c r="D649" s="738" t="str">
        <f t="shared" si="1"/>
        <v> </v>
      </c>
      <c r="E649" s="605" t="str">
        <f t="shared" si="5"/>
        <v>/ / </v>
      </c>
      <c r="F649" s="572"/>
      <c r="G649" s="584"/>
      <c r="H649" s="570"/>
      <c r="I649" s="570"/>
      <c r="J649" s="572"/>
      <c r="K649" s="572"/>
      <c r="L649" s="572"/>
      <c r="M649" s="609" t="str">
        <f t="shared" si="3"/>
        <v> </v>
      </c>
      <c r="N649" s="572"/>
      <c r="O649" s="572"/>
      <c r="P649" s="572"/>
      <c r="Q649" s="572"/>
      <c r="R649" s="572"/>
      <c r="S649" s="574"/>
    </row>
    <row r="650" ht="13.5" customHeight="1">
      <c r="A650" s="572"/>
      <c r="B650" s="572"/>
      <c r="C650" s="572"/>
      <c r="D650" s="738" t="str">
        <f t="shared" si="1"/>
        <v> </v>
      </c>
      <c r="E650" s="605" t="str">
        <f t="shared" si="5"/>
        <v>/ / </v>
      </c>
      <c r="F650" s="572"/>
      <c r="G650" s="584"/>
      <c r="H650" s="570"/>
      <c r="I650" s="570"/>
      <c r="J650" s="572"/>
      <c r="K650" s="572"/>
      <c r="L650" s="572"/>
      <c r="M650" s="609" t="str">
        <f t="shared" si="3"/>
        <v> </v>
      </c>
      <c r="N650" s="572"/>
      <c r="O650" s="572"/>
      <c r="P650" s="572"/>
      <c r="Q650" s="572"/>
      <c r="R650" s="572"/>
      <c r="S650" s="574"/>
    </row>
    <row r="651" ht="13.5" customHeight="1">
      <c r="A651" s="572"/>
      <c r="B651" s="572"/>
      <c r="C651" s="572"/>
      <c r="D651" s="738" t="str">
        <f t="shared" si="1"/>
        <v> </v>
      </c>
      <c r="E651" s="605" t="str">
        <f t="shared" si="5"/>
        <v>/ / </v>
      </c>
      <c r="F651" s="572"/>
      <c r="G651" s="584"/>
      <c r="H651" s="570"/>
      <c r="I651" s="570"/>
      <c r="J651" s="572"/>
      <c r="K651" s="572"/>
      <c r="L651" s="572"/>
      <c r="M651" s="609" t="str">
        <f t="shared" si="3"/>
        <v> </v>
      </c>
      <c r="N651" s="572"/>
      <c r="O651" s="572"/>
      <c r="P651" s="572"/>
      <c r="Q651" s="572"/>
      <c r="R651" s="572"/>
      <c r="S651" s="574"/>
    </row>
    <row r="652" ht="13.5" customHeight="1">
      <c r="A652" s="572"/>
      <c r="B652" s="572"/>
      <c r="C652" s="572"/>
      <c r="D652" s="738" t="str">
        <f t="shared" si="1"/>
        <v> </v>
      </c>
      <c r="E652" s="605" t="str">
        <f t="shared" si="5"/>
        <v>/ / </v>
      </c>
      <c r="F652" s="572"/>
      <c r="G652" s="584"/>
      <c r="H652" s="570"/>
      <c r="I652" s="570"/>
      <c r="J652" s="572"/>
      <c r="K652" s="572"/>
      <c r="L652" s="572"/>
      <c r="M652" s="609" t="str">
        <f t="shared" si="3"/>
        <v> </v>
      </c>
      <c r="N652" s="572"/>
      <c r="O652" s="572"/>
      <c r="P652" s="572"/>
      <c r="Q652" s="572"/>
      <c r="R652" s="572"/>
      <c r="S652" s="574"/>
    </row>
    <row r="653" ht="13.5" customHeight="1">
      <c r="A653" s="572"/>
      <c r="B653" s="572"/>
      <c r="C653" s="572"/>
      <c r="D653" s="738" t="str">
        <f t="shared" si="1"/>
        <v> </v>
      </c>
      <c r="E653" s="605" t="str">
        <f t="shared" si="5"/>
        <v>/ / </v>
      </c>
      <c r="F653" s="572"/>
      <c r="G653" s="584"/>
      <c r="H653" s="570"/>
      <c r="I653" s="570"/>
      <c r="J653" s="572"/>
      <c r="K653" s="572"/>
      <c r="L653" s="572"/>
      <c r="M653" s="609" t="str">
        <f t="shared" si="3"/>
        <v> </v>
      </c>
      <c r="N653" s="572"/>
      <c r="O653" s="572"/>
      <c r="P653" s="572"/>
      <c r="Q653" s="572"/>
      <c r="R653" s="572"/>
      <c r="S653" s="574"/>
    </row>
    <row r="654" ht="13.5" customHeight="1">
      <c r="A654" s="572"/>
      <c r="B654" s="572"/>
      <c r="C654" s="572"/>
      <c r="D654" s="738" t="str">
        <f t="shared" si="1"/>
        <v> </v>
      </c>
      <c r="E654" s="605" t="str">
        <f t="shared" si="5"/>
        <v>/ / </v>
      </c>
      <c r="F654" s="572"/>
      <c r="G654" s="584"/>
      <c r="H654" s="570"/>
      <c r="I654" s="570"/>
      <c r="J654" s="572"/>
      <c r="K654" s="572"/>
      <c r="L654" s="572"/>
      <c r="M654" s="609" t="str">
        <f t="shared" si="3"/>
        <v> </v>
      </c>
      <c r="N654" s="572"/>
      <c r="O654" s="572"/>
      <c r="P654" s="572"/>
      <c r="Q654" s="572"/>
      <c r="R654" s="572"/>
      <c r="S654" s="574"/>
    </row>
    <row r="655" ht="13.5" customHeight="1">
      <c r="A655" s="572"/>
      <c r="B655" s="572"/>
      <c r="C655" s="572"/>
      <c r="D655" s="738" t="str">
        <f t="shared" si="1"/>
        <v> </v>
      </c>
      <c r="E655" s="605" t="str">
        <f t="shared" si="5"/>
        <v>/ / </v>
      </c>
      <c r="F655" s="572"/>
      <c r="G655" s="584"/>
      <c r="H655" s="570"/>
      <c r="I655" s="570"/>
      <c r="J655" s="572"/>
      <c r="K655" s="572"/>
      <c r="L655" s="572"/>
      <c r="M655" s="609" t="str">
        <f t="shared" si="3"/>
        <v> </v>
      </c>
      <c r="N655" s="572"/>
      <c r="O655" s="572"/>
      <c r="P655" s="572"/>
      <c r="Q655" s="572"/>
      <c r="R655" s="572"/>
      <c r="S655" s="574"/>
    </row>
    <row r="656" ht="13.5" customHeight="1">
      <c r="A656" s="572"/>
      <c r="B656" s="572"/>
      <c r="C656" s="572"/>
      <c r="D656" s="738" t="str">
        <f t="shared" si="1"/>
        <v> </v>
      </c>
      <c r="E656" s="605" t="str">
        <f t="shared" si="5"/>
        <v>/ / </v>
      </c>
      <c r="F656" s="572"/>
      <c r="G656" s="584"/>
      <c r="H656" s="570"/>
      <c r="I656" s="570"/>
      <c r="J656" s="572"/>
      <c r="K656" s="572"/>
      <c r="L656" s="572"/>
      <c r="M656" s="609" t="str">
        <f t="shared" si="3"/>
        <v> </v>
      </c>
      <c r="N656" s="572"/>
      <c r="O656" s="572"/>
      <c r="P656" s="572"/>
      <c r="Q656" s="572"/>
      <c r="R656" s="572"/>
      <c r="S656" s="574"/>
    </row>
    <row r="657" ht="13.5" customHeight="1">
      <c r="A657" s="572"/>
      <c r="B657" s="572"/>
      <c r="C657" s="572"/>
      <c r="D657" s="738" t="str">
        <f t="shared" si="1"/>
        <v> </v>
      </c>
      <c r="E657" s="605" t="str">
        <f t="shared" si="5"/>
        <v>/ / </v>
      </c>
      <c r="F657" s="572"/>
      <c r="G657" s="584"/>
      <c r="H657" s="570"/>
      <c r="I657" s="570"/>
      <c r="J657" s="572"/>
      <c r="K657" s="572"/>
      <c r="L657" s="572"/>
      <c r="M657" s="609" t="str">
        <f t="shared" si="3"/>
        <v> </v>
      </c>
      <c r="N657" s="572"/>
      <c r="O657" s="572"/>
      <c r="P657" s="572"/>
      <c r="Q657" s="572"/>
      <c r="R657" s="572"/>
      <c r="S657" s="574"/>
    </row>
    <row r="658" ht="13.5" customHeight="1">
      <c r="A658" s="572"/>
      <c r="B658" s="572"/>
      <c r="C658" s="572"/>
      <c r="D658" s="738" t="str">
        <f t="shared" si="1"/>
        <v> </v>
      </c>
      <c r="E658" s="605" t="str">
        <f t="shared" si="5"/>
        <v>/ / </v>
      </c>
      <c r="F658" s="572"/>
      <c r="G658" s="584"/>
      <c r="H658" s="570"/>
      <c r="I658" s="570"/>
      <c r="J658" s="572"/>
      <c r="K658" s="572"/>
      <c r="L658" s="572"/>
      <c r="M658" s="609" t="str">
        <f t="shared" si="3"/>
        <v> </v>
      </c>
      <c r="N658" s="572"/>
      <c r="O658" s="572"/>
      <c r="P658" s="572"/>
      <c r="Q658" s="572"/>
      <c r="R658" s="572"/>
      <c r="S658" s="574"/>
    </row>
    <row r="659" ht="13.5" customHeight="1">
      <c r="A659" s="572"/>
      <c r="B659" s="572"/>
      <c r="C659" s="572"/>
      <c r="D659" s="738" t="str">
        <f t="shared" si="1"/>
        <v> </v>
      </c>
      <c r="E659" s="605" t="str">
        <f t="shared" si="5"/>
        <v>/ / </v>
      </c>
      <c r="F659" s="572"/>
      <c r="G659" s="584"/>
      <c r="H659" s="570"/>
      <c r="I659" s="570"/>
      <c r="J659" s="572"/>
      <c r="K659" s="572"/>
      <c r="L659" s="572"/>
      <c r="M659" s="609" t="str">
        <f t="shared" si="3"/>
        <v> </v>
      </c>
      <c r="N659" s="572"/>
      <c r="O659" s="572"/>
      <c r="P659" s="572"/>
      <c r="Q659" s="572"/>
      <c r="R659" s="572"/>
      <c r="S659" s="574"/>
    </row>
    <row r="660" ht="13.5" customHeight="1">
      <c r="A660" s="572"/>
      <c r="B660" s="572"/>
      <c r="C660" s="572"/>
      <c r="D660" s="738" t="str">
        <f t="shared" si="1"/>
        <v> </v>
      </c>
      <c r="E660" s="605" t="str">
        <f t="shared" si="5"/>
        <v>/ / </v>
      </c>
      <c r="F660" s="572"/>
      <c r="G660" s="584"/>
      <c r="H660" s="570"/>
      <c r="I660" s="570"/>
      <c r="J660" s="572"/>
      <c r="K660" s="572"/>
      <c r="L660" s="572"/>
      <c r="M660" s="609" t="str">
        <f t="shared" si="3"/>
        <v> </v>
      </c>
      <c r="N660" s="572"/>
      <c r="O660" s="572"/>
      <c r="P660" s="572"/>
      <c r="Q660" s="572"/>
      <c r="R660" s="572"/>
      <c r="S660" s="574"/>
    </row>
    <row r="661" ht="13.5" customHeight="1">
      <c r="A661" s="572"/>
      <c r="B661" s="572"/>
      <c r="C661" s="572"/>
      <c r="D661" s="738" t="str">
        <f t="shared" si="1"/>
        <v> </v>
      </c>
      <c r="E661" s="605" t="str">
        <f t="shared" si="5"/>
        <v>/ / </v>
      </c>
      <c r="F661" s="572"/>
      <c r="G661" s="584"/>
      <c r="H661" s="570"/>
      <c r="I661" s="570"/>
      <c r="J661" s="572"/>
      <c r="K661" s="572"/>
      <c r="L661" s="572"/>
      <c r="M661" s="609" t="str">
        <f t="shared" si="3"/>
        <v> </v>
      </c>
      <c r="N661" s="572"/>
      <c r="O661" s="572"/>
      <c r="P661" s="572"/>
      <c r="Q661" s="572"/>
      <c r="R661" s="572"/>
      <c r="S661" s="574"/>
    </row>
    <row r="662" ht="13.5" customHeight="1">
      <c r="A662" s="572"/>
      <c r="B662" s="572"/>
      <c r="C662" s="572"/>
      <c r="D662" s="738" t="str">
        <f t="shared" si="1"/>
        <v> </v>
      </c>
      <c r="E662" s="605" t="str">
        <f t="shared" si="5"/>
        <v>/ / </v>
      </c>
      <c r="F662" s="572"/>
      <c r="G662" s="584"/>
      <c r="H662" s="570"/>
      <c r="I662" s="570"/>
      <c r="J662" s="572"/>
      <c r="K662" s="572"/>
      <c r="L662" s="572"/>
      <c r="M662" s="609" t="str">
        <f t="shared" si="3"/>
        <v> </v>
      </c>
      <c r="N662" s="572"/>
      <c r="O662" s="572"/>
      <c r="P662" s="572"/>
      <c r="Q662" s="572"/>
      <c r="R662" s="572"/>
      <c r="S662" s="574"/>
    </row>
    <row r="663" ht="13.5" customHeight="1">
      <c r="A663" s="572"/>
      <c r="B663" s="572"/>
      <c r="C663" s="572"/>
      <c r="D663" s="738" t="str">
        <f t="shared" si="1"/>
        <v> </v>
      </c>
      <c r="E663" s="572"/>
      <c r="F663" s="572"/>
      <c r="G663" s="584"/>
      <c r="H663" s="570"/>
      <c r="I663" s="570"/>
      <c r="J663" s="572"/>
      <c r="K663" s="572"/>
      <c r="L663" s="572"/>
      <c r="M663" s="609" t="str">
        <f t="shared" si="3"/>
        <v> </v>
      </c>
      <c r="N663" s="572"/>
      <c r="O663" s="572"/>
      <c r="P663" s="572"/>
      <c r="Q663" s="572"/>
      <c r="R663" s="572"/>
      <c r="S663" s="574"/>
    </row>
    <row r="664" ht="13.5" customHeight="1">
      <c r="A664" s="572"/>
      <c r="B664" s="572"/>
      <c r="C664" s="572"/>
      <c r="D664" s="738" t="str">
        <f t="shared" si="1"/>
        <v> </v>
      </c>
      <c r="E664" s="572"/>
      <c r="F664" s="572"/>
      <c r="G664" s="584"/>
      <c r="H664" s="570"/>
      <c r="I664" s="570"/>
      <c r="J664" s="572"/>
      <c r="K664" s="572"/>
      <c r="L664" s="572"/>
      <c r="M664" s="609" t="str">
        <f t="shared" si="3"/>
        <v> </v>
      </c>
      <c r="N664" s="572"/>
      <c r="O664" s="572"/>
      <c r="P664" s="572"/>
      <c r="Q664" s="572"/>
      <c r="R664" s="572"/>
      <c r="S664" s="574"/>
    </row>
    <row r="665" ht="13.5" customHeight="1">
      <c r="A665" s="572"/>
      <c r="B665" s="572"/>
      <c r="C665" s="572"/>
      <c r="D665" s="738" t="str">
        <f t="shared" si="1"/>
        <v> </v>
      </c>
      <c r="E665" s="572"/>
      <c r="F665" s="572"/>
      <c r="G665" s="584"/>
      <c r="H665" s="570"/>
      <c r="I665" s="570"/>
      <c r="J665" s="572"/>
      <c r="K665" s="572"/>
      <c r="L665" s="572"/>
      <c r="M665" s="609" t="str">
        <f t="shared" si="3"/>
        <v> </v>
      </c>
      <c r="N665" s="572"/>
      <c r="O665" s="572"/>
      <c r="P665" s="572"/>
      <c r="Q665" s="572"/>
      <c r="R665" s="572"/>
      <c r="S665" s="574"/>
    </row>
    <row r="666" ht="13.5" customHeight="1">
      <c r="A666" s="572"/>
      <c r="B666" s="572"/>
      <c r="C666" s="572"/>
      <c r="D666" s="738" t="str">
        <f t="shared" si="1"/>
        <v> </v>
      </c>
      <c r="E666" s="572"/>
      <c r="F666" s="572"/>
      <c r="G666" s="584"/>
      <c r="H666" s="570"/>
      <c r="I666" s="570"/>
      <c r="J666" s="572"/>
      <c r="K666" s="572"/>
      <c r="L666" s="572"/>
      <c r="M666" s="609" t="str">
        <f t="shared" si="3"/>
        <v> </v>
      </c>
      <c r="N666" s="572"/>
      <c r="O666" s="572"/>
      <c r="P666" s="572"/>
      <c r="Q666" s="572"/>
      <c r="R666" s="572"/>
      <c r="S666" s="574"/>
    </row>
    <row r="667" ht="13.5" customHeight="1">
      <c r="A667" s="572"/>
      <c r="B667" s="572"/>
      <c r="C667" s="572"/>
      <c r="D667" s="738" t="str">
        <f t="shared" si="1"/>
        <v> </v>
      </c>
      <c r="E667" s="572"/>
      <c r="F667" s="572"/>
      <c r="G667" s="584"/>
      <c r="H667" s="570"/>
      <c r="I667" s="570"/>
      <c r="J667" s="572"/>
      <c r="K667" s="572"/>
      <c r="L667" s="572"/>
      <c r="M667" s="609" t="str">
        <f t="shared" si="3"/>
        <v> </v>
      </c>
      <c r="N667" s="572"/>
      <c r="O667" s="572"/>
      <c r="P667" s="572"/>
      <c r="Q667" s="572"/>
      <c r="R667" s="572"/>
      <c r="S667" s="574"/>
    </row>
    <row r="668" ht="13.5" customHeight="1">
      <c r="A668" s="572"/>
      <c r="B668" s="572"/>
      <c r="C668" s="572"/>
      <c r="D668" s="738" t="str">
        <f t="shared" si="1"/>
        <v> </v>
      </c>
      <c r="E668" s="572"/>
      <c r="F668" s="572"/>
      <c r="G668" s="584"/>
      <c r="H668" s="570"/>
      <c r="I668" s="570"/>
      <c r="J668" s="572"/>
      <c r="K668" s="572"/>
      <c r="L668" s="572"/>
      <c r="M668" s="609" t="str">
        <f t="shared" si="3"/>
        <v> </v>
      </c>
      <c r="N668" s="572"/>
      <c r="O668" s="572"/>
      <c r="P668" s="572"/>
      <c r="Q668" s="572"/>
      <c r="R668" s="572"/>
      <c r="S668" s="574"/>
    </row>
    <row r="669" ht="13.5" customHeight="1">
      <c r="A669" s="572"/>
      <c r="B669" s="572"/>
      <c r="C669" s="572"/>
      <c r="D669" s="738" t="str">
        <f t="shared" si="1"/>
        <v> </v>
      </c>
      <c r="E669" s="572"/>
      <c r="F669" s="572"/>
      <c r="G669" s="584"/>
      <c r="H669" s="570"/>
      <c r="I669" s="570"/>
      <c r="J669" s="572"/>
      <c r="K669" s="572"/>
      <c r="L669" s="572"/>
      <c r="M669" s="609" t="str">
        <f t="shared" si="3"/>
        <v> </v>
      </c>
      <c r="N669" s="572"/>
      <c r="O669" s="572"/>
      <c r="P669" s="572"/>
      <c r="Q669" s="572"/>
      <c r="R669" s="572"/>
      <c r="S669" s="574"/>
    </row>
    <row r="670" ht="13.5" customHeight="1">
      <c r="A670" s="572"/>
      <c r="B670" s="572"/>
      <c r="C670" s="572"/>
      <c r="D670" s="738" t="str">
        <f t="shared" si="1"/>
        <v> </v>
      </c>
      <c r="E670" s="572"/>
      <c r="F670" s="572"/>
      <c r="G670" s="584"/>
      <c r="H670" s="570"/>
      <c r="I670" s="570"/>
      <c r="J670" s="572"/>
      <c r="K670" s="572"/>
      <c r="L670" s="572"/>
      <c r="M670" s="609" t="str">
        <f t="shared" si="3"/>
        <v> </v>
      </c>
      <c r="N670" s="572"/>
      <c r="O670" s="572"/>
      <c r="P670" s="572"/>
      <c r="Q670" s="572"/>
      <c r="R670" s="572"/>
      <c r="S670" s="574"/>
    </row>
    <row r="671" ht="13.5" customHeight="1">
      <c r="A671" s="572"/>
      <c r="B671" s="572"/>
      <c r="C671" s="572"/>
      <c r="D671" s="738" t="str">
        <f t="shared" si="1"/>
        <v> </v>
      </c>
      <c r="E671" s="572"/>
      <c r="F671" s="572"/>
      <c r="G671" s="584"/>
      <c r="H671" s="570"/>
      <c r="I671" s="570"/>
      <c r="J671" s="572"/>
      <c r="K671" s="572"/>
      <c r="L671" s="572"/>
      <c r="M671" s="609" t="str">
        <f t="shared" si="3"/>
        <v> </v>
      </c>
      <c r="N671" s="572"/>
      <c r="O671" s="572"/>
      <c r="P671" s="572"/>
      <c r="Q671" s="572"/>
      <c r="R671" s="572"/>
      <c r="S671" s="574"/>
    </row>
    <row r="672" ht="13.5" customHeight="1">
      <c r="A672" s="572"/>
      <c r="B672" s="572"/>
      <c r="C672" s="572"/>
      <c r="D672" s="738" t="str">
        <f t="shared" si="1"/>
        <v> </v>
      </c>
      <c r="E672" s="572"/>
      <c r="F672" s="572"/>
      <c r="G672" s="584"/>
      <c r="H672" s="570"/>
      <c r="I672" s="570"/>
      <c r="J672" s="572"/>
      <c r="K672" s="572"/>
      <c r="L672" s="572"/>
      <c r="M672" s="609" t="str">
        <f t="shared" si="3"/>
        <v> </v>
      </c>
      <c r="N672" s="572"/>
      <c r="O672" s="572"/>
      <c r="P672" s="572"/>
      <c r="Q672" s="572"/>
      <c r="R672" s="572"/>
      <c r="S672" s="574"/>
    </row>
    <row r="673" ht="13.5" customHeight="1">
      <c r="A673" s="572"/>
      <c r="B673" s="572"/>
      <c r="C673" s="572"/>
      <c r="D673" s="738" t="str">
        <f t="shared" si="1"/>
        <v> </v>
      </c>
      <c r="E673" s="572"/>
      <c r="F673" s="572"/>
      <c r="G673" s="584"/>
      <c r="H673" s="570"/>
      <c r="I673" s="570"/>
      <c r="J673" s="572"/>
      <c r="K673" s="572"/>
      <c r="L673" s="572"/>
      <c r="M673" s="609" t="str">
        <f t="shared" si="3"/>
        <v> </v>
      </c>
      <c r="N673" s="572"/>
      <c r="O673" s="572"/>
      <c r="P673" s="572"/>
      <c r="Q673" s="572"/>
      <c r="R673" s="572"/>
      <c r="S673" s="574"/>
    </row>
    <row r="674" ht="13.5" customHeight="1">
      <c r="A674" s="572"/>
      <c r="B674" s="572"/>
      <c r="C674" s="572"/>
      <c r="D674" s="738" t="str">
        <f t="shared" si="1"/>
        <v> </v>
      </c>
      <c r="E674" s="572"/>
      <c r="F674" s="572"/>
      <c r="G674" s="584"/>
      <c r="H674" s="570"/>
      <c r="I674" s="570"/>
      <c r="J674" s="572"/>
      <c r="K674" s="572"/>
      <c r="L674" s="572"/>
      <c r="M674" s="609" t="str">
        <f t="shared" si="3"/>
        <v> </v>
      </c>
      <c r="N674" s="572"/>
      <c r="O674" s="572"/>
      <c r="P674" s="572"/>
      <c r="Q674" s="572"/>
      <c r="R674" s="572"/>
      <c r="S674" s="574"/>
    </row>
    <row r="675" ht="13.5" customHeight="1">
      <c r="A675" s="572"/>
      <c r="B675" s="572"/>
      <c r="C675" s="572"/>
      <c r="D675" s="738" t="str">
        <f t="shared" si="1"/>
        <v> </v>
      </c>
      <c r="E675" s="572"/>
      <c r="F675" s="572"/>
      <c r="G675" s="584"/>
      <c r="H675" s="570"/>
      <c r="I675" s="570"/>
      <c r="J675" s="572"/>
      <c r="K675" s="572"/>
      <c r="L675" s="572"/>
      <c r="M675" s="609" t="str">
        <f t="shared" si="3"/>
        <v> </v>
      </c>
      <c r="N675" s="572"/>
      <c r="O675" s="572"/>
      <c r="P675" s="572"/>
      <c r="Q675" s="572"/>
      <c r="R675" s="572"/>
      <c r="S675" s="574"/>
    </row>
    <row r="676" ht="13.5" customHeight="1">
      <c r="A676" s="572"/>
      <c r="B676" s="572"/>
      <c r="C676" s="572"/>
      <c r="D676" s="738" t="str">
        <f t="shared" si="1"/>
        <v> </v>
      </c>
      <c r="E676" s="572"/>
      <c r="F676" s="572"/>
      <c r="G676" s="584"/>
      <c r="H676" s="570"/>
      <c r="I676" s="570"/>
      <c r="J676" s="572"/>
      <c r="K676" s="572"/>
      <c r="L676" s="572"/>
      <c r="M676" s="609" t="str">
        <f t="shared" si="3"/>
        <v> </v>
      </c>
      <c r="N676" s="572"/>
      <c r="O676" s="572"/>
      <c r="P676" s="572"/>
      <c r="Q676" s="572"/>
      <c r="R676" s="572"/>
      <c r="S676" s="574"/>
    </row>
    <row r="677" ht="13.5" customHeight="1">
      <c r="A677" s="572"/>
      <c r="B677" s="572"/>
      <c r="C677" s="572"/>
      <c r="D677" s="738" t="str">
        <f t="shared" si="1"/>
        <v> </v>
      </c>
      <c r="E677" s="572"/>
      <c r="F677" s="572"/>
      <c r="G677" s="584"/>
      <c r="H677" s="570"/>
      <c r="I677" s="570"/>
      <c r="J677" s="572"/>
      <c r="K677" s="572"/>
      <c r="L677" s="572"/>
      <c r="M677" s="609" t="str">
        <f t="shared" si="3"/>
        <v> </v>
      </c>
      <c r="N677" s="572"/>
      <c r="O677" s="572"/>
      <c r="P677" s="572"/>
      <c r="Q677" s="572"/>
      <c r="R677" s="572"/>
      <c r="S677" s="574"/>
    </row>
    <row r="678" ht="13.5" customHeight="1">
      <c r="A678" s="572"/>
      <c r="B678" s="572"/>
      <c r="C678" s="572"/>
      <c r="D678" s="738" t="str">
        <f t="shared" si="1"/>
        <v> </v>
      </c>
      <c r="E678" s="572"/>
      <c r="F678" s="572"/>
      <c r="G678" s="584"/>
      <c r="H678" s="570"/>
      <c r="I678" s="570"/>
      <c r="J678" s="572"/>
      <c r="K678" s="572"/>
      <c r="L678" s="572"/>
      <c r="M678" s="609" t="str">
        <f t="shared" si="3"/>
        <v> </v>
      </c>
      <c r="N678" s="572"/>
      <c r="O678" s="572"/>
      <c r="P678" s="572"/>
      <c r="Q678" s="572"/>
      <c r="R678" s="572"/>
      <c r="S678" s="574"/>
    </row>
    <row r="679" ht="13.5" customHeight="1">
      <c r="A679" s="572"/>
      <c r="B679" s="572"/>
      <c r="C679" s="572"/>
      <c r="D679" s="738" t="str">
        <f t="shared" si="1"/>
        <v> </v>
      </c>
      <c r="E679" s="572"/>
      <c r="F679" s="572"/>
      <c r="G679" s="584"/>
      <c r="H679" s="570"/>
      <c r="I679" s="570"/>
      <c r="J679" s="572"/>
      <c r="K679" s="572"/>
      <c r="L679" s="572"/>
      <c r="M679" s="609" t="str">
        <f t="shared" si="3"/>
        <v> </v>
      </c>
      <c r="N679" s="572"/>
      <c r="O679" s="572"/>
      <c r="P679" s="572"/>
      <c r="Q679" s="572"/>
      <c r="R679" s="572"/>
      <c r="S679" s="574"/>
    </row>
    <row r="680" ht="13.5" customHeight="1">
      <c r="A680" s="572"/>
      <c r="B680" s="572"/>
      <c r="C680" s="572"/>
      <c r="D680" s="738" t="str">
        <f t="shared" si="1"/>
        <v> </v>
      </c>
      <c r="E680" s="572"/>
      <c r="F680" s="572"/>
      <c r="G680" s="584"/>
      <c r="H680" s="570"/>
      <c r="I680" s="570"/>
      <c r="J680" s="572"/>
      <c r="K680" s="572"/>
      <c r="L680" s="572"/>
      <c r="M680" s="609" t="str">
        <f t="shared" si="3"/>
        <v> </v>
      </c>
      <c r="N680" s="572"/>
      <c r="O680" s="572"/>
      <c r="P680" s="572"/>
      <c r="Q680" s="572"/>
      <c r="R680" s="572"/>
      <c r="S680" s="574"/>
    </row>
    <row r="681" ht="13.5" customHeight="1">
      <c r="A681" s="572"/>
      <c r="B681" s="572"/>
      <c r="C681" s="572"/>
      <c r="D681" s="738" t="str">
        <f t="shared" si="1"/>
        <v> </v>
      </c>
      <c r="E681" s="572"/>
      <c r="F681" s="572"/>
      <c r="G681" s="584"/>
      <c r="H681" s="570"/>
      <c r="I681" s="570"/>
      <c r="J681" s="572"/>
      <c r="K681" s="572"/>
      <c r="L681" s="572"/>
      <c r="M681" s="609" t="str">
        <f t="shared" si="3"/>
        <v> </v>
      </c>
      <c r="N681" s="572"/>
      <c r="O681" s="572"/>
      <c r="P681" s="572"/>
      <c r="Q681" s="572"/>
      <c r="R681" s="572"/>
      <c r="S681" s="574"/>
    </row>
    <row r="682" ht="13.5" customHeight="1">
      <c r="A682" s="572"/>
      <c r="B682" s="572"/>
      <c r="C682" s="572"/>
      <c r="D682" s="738" t="str">
        <f t="shared" si="1"/>
        <v> </v>
      </c>
      <c r="E682" s="572"/>
      <c r="F682" s="572"/>
      <c r="G682" s="584"/>
      <c r="H682" s="570"/>
      <c r="I682" s="570"/>
      <c r="J682" s="572"/>
      <c r="K682" s="572"/>
      <c r="L682" s="572"/>
      <c r="M682" s="609" t="str">
        <f t="shared" si="3"/>
        <v> </v>
      </c>
      <c r="N682" s="572"/>
      <c r="O682" s="572"/>
      <c r="P682" s="572"/>
      <c r="Q682" s="572"/>
      <c r="R682" s="572"/>
      <c r="S682" s="574"/>
    </row>
    <row r="683" ht="13.5" customHeight="1">
      <c r="A683" s="572"/>
      <c r="B683" s="572"/>
      <c r="C683" s="572"/>
      <c r="D683" s="738" t="str">
        <f t="shared" si="1"/>
        <v> </v>
      </c>
      <c r="E683" s="572"/>
      <c r="F683" s="572"/>
      <c r="G683" s="584"/>
      <c r="H683" s="570"/>
      <c r="I683" s="570"/>
      <c r="J683" s="572"/>
      <c r="K683" s="572"/>
      <c r="L683" s="572"/>
      <c r="M683" s="609" t="str">
        <f t="shared" si="3"/>
        <v> </v>
      </c>
      <c r="N683" s="572"/>
      <c r="O683" s="572"/>
      <c r="P683" s="572"/>
      <c r="Q683" s="572"/>
      <c r="R683" s="572"/>
      <c r="S683" s="574"/>
    </row>
    <row r="684" ht="13.5" customHeight="1">
      <c r="A684" s="572"/>
      <c r="B684" s="572"/>
      <c r="C684" s="572"/>
      <c r="D684" s="738" t="str">
        <f t="shared" si="1"/>
        <v> </v>
      </c>
      <c r="E684" s="572"/>
      <c r="F684" s="572"/>
      <c r="G684" s="584"/>
      <c r="H684" s="570"/>
      <c r="I684" s="570"/>
      <c r="J684" s="572"/>
      <c r="K684" s="572"/>
      <c r="L684" s="572"/>
      <c r="M684" s="609" t="str">
        <f t="shared" si="3"/>
        <v> </v>
      </c>
      <c r="N684" s="572"/>
      <c r="O684" s="572"/>
      <c r="P684" s="572"/>
      <c r="Q684" s="572"/>
      <c r="R684" s="572"/>
      <c r="S684" s="574"/>
    </row>
    <row r="685" ht="13.5" customHeight="1">
      <c r="A685" s="572"/>
      <c r="B685" s="572"/>
      <c r="C685" s="572"/>
      <c r="D685" s="738" t="str">
        <f t="shared" si="1"/>
        <v> </v>
      </c>
      <c r="E685" s="572"/>
      <c r="F685" s="572"/>
      <c r="G685" s="584"/>
      <c r="H685" s="570"/>
      <c r="I685" s="570"/>
      <c r="J685" s="572"/>
      <c r="K685" s="572"/>
      <c r="L685" s="572"/>
      <c r="M685" s="609" t="str">
        <f t="shared" si="3"/>
        <v> </v>
      </c>
      <c r="N685" s="572"/>
      <c r="O685" s="572"/>
      <c r="P685" s="572"/>
      <c r="Q685" s="572"/>
      <c r="R685" s="572"/>
      <c r="S685" s="574"/>
    </row>
    <row r="686" ht="13.5" customHeight="1">
      <c r="A686" s="572"/>
      <c r="B686" s="572"/>
      <c r="C686" s="572"/>
      <c r="D686" s="738" t="str">
        <f t="shared" si="1"/>
        <v> </v>
      </c>
      <c r="E686" s="572"/>
      <c r="F686" s="572"/>
      <c r="G686" s="584"/>
      <c r="H686" s="570"/>
      <c r="I686" s="570"/>
      <c r="J686" s="572"/>
      <c r="K686" s="572"/>
      <c r="L686" s="572"/>
      <c r="M686" s="609" t="str">
        <f t="shared" si="3"/>
        <v> </v>
      </c>
      <c r="N686" s="572"/>
      <c r="O686" s="572"/>
      <c r="P686" s="572"/>
      <c r="Q686" s="572"/>
      <c r="R686" s="572"/>
      <c r="S686" s="574"/>
    </row>
    <row r="687" ht="13.5" customHeight="1">
      <c r="A687" s="572"/>
      <c r="B687" s="572"/>
      <c r="C687" s="572"/>
      <c r="D687" s="738" t="str">
        <f t="shared" si="1"/>
        <v> </v>
      </c>
      <c r="E687" s="572"/>
      <c r="F687" s="572"/>
      <c r="G687" s="584"/>
      <c r="H687" s="570"/>
      <c r="I687" s="570"/>
      <c r="J687" s="572"/>
      <c r="K687" s="572"/>
      <c r="L687" s="572"/>
      <c r="M687" s="609" t="str">
        <f t="shared" si="3"/>
        <v> </v>
      </c>
      <c r="N687" s="572"/>
      <c r="O687" s="572"/>
      <c r="P687" s="572"/>
      <c r="Q687" s="572"/>
      <c r="R687" s="572"/>
      <c r="S687" s="574"/>
    </row>
    <row r="688" ht="13.5" customHeight="1">
      <c r="A688" s="572"/>
      <c r="B688" s="572"/>
      <c r="C688" s="572"/>
      <c r="D688" s="738" t="str">
        <f t="shared" si="1"/>
        <v> </v>
      </c>
      <c r="E688" s="572"/>
      <c r="F688" s="572"/>
      <c r="G688" s="584"/>
      <c r="H688" s="570"/>
      <c r="I688" s="570"/>
      <c r="J688" s="572"/>
      <c r="K688" s="572"/>
      <c r="L688" s="572"/>
      <c r="M688" s="609" t="str">
        <f t="shared" si="3"/>
        <v> </v>
      </c>
      <c r="N688" s="572"/>
      <c r="O688" s="572"/>
      <c r="P688" s="572"/>
      <c r="Q688" s="572"/>
      <c r="R688" s="572"/>
      <c r="S688" s="574"/>
    </row>
    <row r="689" ht="13.5" customHeight="1">
      <c r="A689" s="572"/>
      <c r="B689" s="572"/>
      <c r="C689" s="572"/>
      <c r="D689" s="738" t="str">
        <f t="shared" si="1"/>
        <v> </v>
      </c>
      <c r="E689" s="572"/>
      <c r="F689" s="572"/>
      <c r="G689" s="584"/>
      <c r="H689" s="570"/>
      <c r="I689" s="570"/>
      <c r="J689" s="572"/>
      <c r="K689" s="572"/>
      <c r="L689" s="572"/>
      <c r="M689" s="609" t="str">
        <f t="shared" si="3"/>
        <v> </v>
      </c>
      <c r="N689" s="572"/>
      <c r="O689" s="572"/>
      <c r="P689" s="572"/>
      <c r="Q689" s="572"/>
      <c r="R689" s="572"/>
      <c r="S689" s="574"/>
    </row>
    <row r="690" ht="13.5" customHeight="1">
      <c r="A690" s="572"/>
      <c r="B690" s="572"/>
      <c r="C690" s="572"/>
      <c r="D690" s="738" t="str">
        <f t="shared" si="1"/>
        <v> </v>
      </c>
      <c r="E690" s="572"/>
      <c r="F690" s="572"/>
      <c r="G690" s="584"/>
      <c r="H690" s="570"/>
      <c r="I690" s="570"/>
      <c r="J690" s="572"/>
      <c r="K690" s="572"/>
      <c r="L690" s="572"/>
      <c r="M690" s="609" t="str">
        <f t="shared" si="3"/>
        <v> </v>
      </c>
      <c r="N690" s="572"/>
      <c r="O690" s="572"/>
      <c r="P690" s="572"/>
      <c r="Q690" s="572"/>
      <c r="R690" s="572"/>
      <c r="S690" s="574"/>
    </row>
    <row r="691" ht="13.5" customHeight="1">
      <c r="A691" s="572"/>
      <c r="B691" s="572"/>
      <c r="C691" s="572"/>
      <c r="D691" s="738" t="str">
        <f t="shared" si="1"/>
        <v> </v>
      </c>
      <c r="E691" s="572"/>
      <c r="F691" s="572"/>
      <c r="G691" s="584"/>
      <c r="H691" s="570"/>
      <c r="I691" s="570"/>
      <c r="J691" s="572"/>
      <c r="K691" s="572"/>
      <c r="L691" s="572"/>
      <c r="M691" s="609" t="str">
        <f t="shared" si="3"/>
        <v> </v>
      </c>
      <c r="N691" s="572"/>
      <c r="O691" s="572"/>
      <c r="P691" s="572"/>
      <c r="Q691" s="572"/>
      <c r="R691" s="572"/>
      <c r="S691" s="574"/>
    </row>
    <row r="692" ht="13.5" customHeight="1">
      <c r="A692" s="572"/>
      <c r="B692" s="572"/>
      <c r="C692" s="572"/>
      <c r="D692" s="738" t="str">
        <f t="shared" si="1"/>
        <v> </v>
      </c>
      <c r="E692" s="572"/>
      <c r="F692" s="572"/>
      <c r="G692" s="584"/>
      <c r="H692" s="570"/>
      <c r="I692" s="570"/>
      <c r="J692" s="572"/>
      <c r="K692" s="572"/>
      <c r="L692" s="572"/>
      <c r="M692" s="609" t="str">
        <f t="shared" si="3"/>
        <v> </v>
      </c>
      <c r="N692" s="572"/>
      <c r="O692" s="572"/>
      <c r="P692" s="572"/>
      <c r="Q692" s="572"/>
      <c r="R692" s="572"/>
      <c r="S692" s="574"/>
    </row>
    <row r="693" ht="13.5" customHeight="1">
      <c r="A693" s="572"/>
      <c r="B693" s="572"/>
      <c r="C693" s="572"/>
      <c r="D693" s="738" t="str">
        <f t="shared" si="1"/>
        <v> </v>
      </c>
      <c r="E693" s="572"/>
      <c r="F693" s="572"/>
      <c r="G693" s="584"/>
      <c r="H693" s="570"/>
      <c r="I693" s="570"/>
      <c r="J693" s="572"/>
      <c r="K693" s="572"/>
      <c r="L693" s="572"/>
      <c r="M693" s="609" t="str">
        <f t="shared" si="3"/>
        <v> </v>
      </c>
      <c r="N693" s="572"/>
      <c r="O693" s="572"/>
      <c r="P693" s="572"/>
      <c r="Q693" s="572"/>
      <c r="R693" s="572"/>
      <c r="S693" s="574"/>
    </row>
    <row r="694" ht="13.5" customHeight="1">
      <c r="A694" s="572"/>
      <c r="B694" s="572"/>
      <c r="C694" s="572"/>
      <c r="D694" s="738" t="str">
        <f t="shared" si="1"/>
        <v> </v>
      </c>
      <c r="E694" s="572"/>
      <c r="F694" s="572"/>
      <c r="G694" s="584"/>
      <c r="H694" s="570"/>
      <c r="I694" s="570"/>
      <c r="J694" s="572"/>
      <c r="K694" s="572"/>
      <c r="L694" s="572"/>
      <c r="M694" s="609" t="str">
        <f t="shared" si="3"/>
        <v> </v>
      </c>
      <c r="N694" s="572"/>
      <c r="O694" s="572"/>
      <c r="P694" s="572"/>
      <c r="Q694" s="572"/>
      <c r="R694" s="572"/>
      <c r="S694" s="574"/>
    </row>
    <row r="695" ht="13.5" customHeight="1">
      <c r="A695" s="572"/>
      <c r="B695" s="572"/>
      <c r="C695" s="572"/>
      <c r="D695" s="738" t="str">
        <f t="shared" si="1"/>
        <v> </v>
      </c>
      <c r="E695" s="572"/>
      <c r="F695" s="572"/>
      <c r="G695" s="584"/>
      <c r="H695" s="570"/>
      <c r="I695" s="570"/>
      <c r="J695" s="572"/>
      <c r="K695" s="572"/>
      <c r="L695" s="572"/>
      <c r="M695" s="609" t="str">
        <f t="shared" si="3"/>
        <v> </v>
      </c>
      <c r="N695" s="572"/>
      <c r="O695" s="572"/>
      <c r="P695" s="572"/>
      <c r="Q695" s="572"/>
      <c r="R695" s="572"/>
      <c r="S695" s="574"/>
    </row>
    <row r="696" ht="13.5" customHeight="1">
      <c r="A696" s="572"/>
      <c r="B696" s="572"/>
      <c r="C696" s="572"/>
      <c r="D696" s="738" t="str">
        <f t="shared" si="1"/>
        <v> </v>
      </c>
      <c r="E696" s="572"/>
      <c r="F696" s="572"/>
      <c r="G696" s="584"/>
      <c r="H696" s="570"/>
      <c r="I696" s="570"/>
      <c r="J696" s="572"/>
      <c r="K696" s="572"/>
      <c r="L696" s="572"/>
      <c r="M696" s="609" t="str">
        <f t="shared" si="3"/>
        <v> </v>
      </c>
      <c r="N696" s="572"/>
      <c r="O696" s="572"/>
      <c r="P696" s="572"/>
      <c r="Q696" s="572"/>
      <c r="R696" s="572"/>
      <c r="S696" s="574"/>
    </row>
    <row r="697" ht="13.5" customHeight="1">
      <c r="A697" s="572"/>
      <c r="B697" s="572"/>
      <c r="C697" s="572"/>
      <c r="D697" s="738" t="str">
        <f t="shared" si="1"/>
        <v> </v>
      </c>
      <c r="E697" s="572"/>
      <c r="F697" s="572"/>
      <c r="G697" s="584"/>
      <c r="H697" s="570"/>
      <c r="I697" s="570"/>
      <c r="J697" s="572"/>
      <c r="K697" s="572"/>
      <c r="L697" s="572"/>
      <c r="M697" s="609" t="str">
        <f t="shared" si="3"/>
        <v> </v>
      </c>
      <c r="N697" s="572"/>
      <c r="O697" s="572"/>
      <c r="P697" s="572"/>
      <c r="Q697" s="572"/>
      <c r="R697" s="572"/>
      <c r="S697" s="574"/>
    </row>
    <row r="698" ht="13.5" customHeight="1">
      <c r="A698" s="572"/>
      <c r="B698" s="572"/>
      <c r="C698" s="572"/>
      <c r="D698" s="738" t="str">
        <f t="shared" si="1"/>
        <v> </v>
      </c>
      <c r="E698" s="572"/>
      <c r="F698" s="572"/>
      <c r="G698" s="584"/>
      <c r="H698" s="570"/>
      <c r="I698" s="570"/>
      <c r="J698" s="572"/>
      <c r="K698" s="572"/>
      <c r="L698" s="572"/>
      <c r="M698" s="609" t="str">
        <f t="shared" si="3"/>
        <v> </v>
      </c>
      <c r="N698" s="572"/>
      <c r="O698" s="572"/>
      <c r="P698" s="572"/>
      <c r="Q698" s="572"/>
      <c r="R698" s="572"/>
      <c r="S698" s="574"/>
    </row>
    <row r="699" ht="13.5" customHeight="1">
      <c r="A699" s="572"/>
      <c r="B699" s="572"/>
      <c r="C699" s="572"/>
      <c r="D699" s="738" t="str">
        <f t="shared" si="1"/>
        <v> </v>
      </c>
      <c r="E699" s="572"/>
      <c r="F699" s="572"/>
      <c r="G699" s="584"/>
      <c r="H699" s="570"/>
      <c r="I699" s="570"/>
      <c r="J699" s="572"/>
      <c r="K699" s="572"/>
      <c r="L699" s="572"/>
      <c r="M699" s="609" t="str">
        <f t="shared" si="3"/>
        <v> </v>
      </c>
      <c r="N699" s="572"/>
      <c r="O699" s="572"/>
      <c r="P699" s="572"/>
      <c r="Q699" s="572"/>
      <c r="R699" s="572"/>
      <c r="S699" s="574"/>
    </row>
    <row r="700" ht="13.5" customHeight="1">
      <c r="A700" s="572"/>
      <c r="B700" s="572"/>
      <c r="C700" s="572"/>
      <c r="D700" s="738" t="str">
        <f t="shared" si="1"/>
        <v> </v>
      </c>
      <c r="E700" s="572"/>
      <c r="F700" s="572"/>
      <c r="G700" s="584"/>
      <c r="H700" s="570"/>
      <c r="I700" s="570"/>
      <c r="J700" s="572"/>
      <c r="K700" s="572"/>
      <c r="L700" s="572"/>
      <c r="M700" s="609" t="str">
        <f t="shared" si="3"/>
        <v> </v>
      </c>
      <c r="N700" s="572"/>
      <c r="O700" s="572"/>
      <c r="P700" s="572"/>
      <c r="Q700" s="572"/>
      <c r="R700" s="572"/>
      <c r="S700" s="574"/>
    </row>
    <row r="701" ht="13.5" customHeight="1">
      <c r="A701" s="572"/>
      <c r="B701" s="572"/>
      <c r="C701" s="572"/>
      <c r="D701" s="738" t="str">
        <f t="shared" si="1"/>
        <v> </v>
      </c>
      <c r="E701" s="572"/>
      <c r="F701" s="572"/>
      <c r="G701" s="584"/>
      <c r="H701" s="570"/>
      <c r="I701" s="570"/>
      <c r="J701" s="572"/>
      <c r="K701" s="572"/>
      <c r="L701" s="572"/>
      <c r="M701" s="609" t="str">
        <f t="shared" si="3"/>
        <v> </v>
      </c>
      <c r="N701" s="572"/>
      <c r="O701" s="572"/>
      <c r="P701" s="572"/>
      <c r="Q701" s="572"/>
      <c r="R701" s="572"/>
      <c r="S701" s="574"/>
    </row>
    <row r="702" ht="13.5" customHeight="1">
      <c r="A702" s="572"/>
      <c r="B702" s="572"/>
      <c r="C702" s="572"/>
      <c r="D702" s="738" t="str">
        <f t="shared" si="1"/>
        <v> </v>
      </c>
      <c r="E702" s="572"/>
      <c r="F702" s="572"/>
      <c r="G702" s="584"/>
      <c r="H702" s="570"/>
      <c r="I702" s="570"/>
      <c r="J702" s="572"/>
      <c r="K702" s="572"/>
      <c r="L702" s="572"/>
      <c r="M702" s="609" t="str">
        <f t="shared" si="3"/>
        <v> </v>
      </c>
      <c r="N702" s="572"/>
      <c r="O702" s="572"/>
      <c r="P702" s="572"/>
      <c r="Q702" s="572"/>
      <c r="R702" s="572"/>
      <c r="S702" s="574"/>
    </row>
    <row r="703" ht="13.5" customHeight="1">
      <c r="A703" s="572"/>
      <c r="B703" s="572"/>
      <c r="C703" s="572"/>
      <c r="D703" s="738" t="str">
        <f t="shared" si="1"/>
        <v> </v>
      </c>
      <c r="E703" s="572"/>
      <c r="F703" s="572"/>
      <c r="G703" s="584"/>
      <c r="H703" s="570"/>
      <c r="I703" s="570"/>
      <c r="J703" s="572"/>
      <c r="K703" s="572"/>
      <c r="L703" s="572"/>
      <c r="M703" s="609" t="str">
        <f t="shared" si="3"/>
        <v> </v>
      </c>
      <c r="N703" s="572"/>
      <c r="O703" s="572"/>
      <c r="P703" s="572"/>
      <c r="Q703" s="572"/>
      <c r="R703" s="572"/>
      <c r="S703" s="574"/>
    </row>
    <row r="704" ht="13.5" customHeight="1">
      <c r="A704" s="572"/>
      <c r="B704" s="572"/>
      <c r="C704" s="572"/>
      <c r="D704" s="738" t="str">
        <f t="shared" si="1"/>
        <v> </v>
      </c>
      <c r="E704" s="572"/>
      <c r="F704" s="572"/>
      <c r="G704" s="584"/>
      <c r="H704" s="570"/>
      <c r="I704" s="570"/>
      <c r="J704" s="572"/>
      <c r="K704" s="572"/>
      <c r="L704" s="572"/>
      <c r="M704" s="609" t="str">
        <f t="shared" si="3"/>
        <v> </v>
      </c>
      <c r="N704" s="572"/>
      <c r="O704" s="572"/>
      <c r="P704" s="572"/>
      <c r="Q704" s="572"/>
      <c r="R704" s="572"/>
      <c r="S704" s="574"/>
    </row>
    <row r="705" ht="13.5" customHeight="1">
      <c r="A705" s="572"/>
      <c r="B705" s="572"/>
      <c r="C705" s="572"/>
      <c r="D705" s="738" t="str">
        <f t="shared" si="1"/>
        <v> </v>
      </c>
      <c r="E705" s="572"/>
      <c r="F705" s="572"/>
      <c r="G705" s="584"/>
      <c r="H705" s="570"/>
      <c r="I705" s="570"/>
      <c r="J705" s="572"/>
      <c r="K705" s="572"/>
      <c r="L705" s="572"/>
      <c r="M705" s="609" t="str">
        <f t="shared" si="3"/>
        <v> </v>
      </c>
      <c r="N705" s="572"/>
      <c r="O705" s="572"/>
      <c r="P705" s="572"/>
      <c r="Q705" s="572"/>
      <c r="R705" s="572"/>
      <c r="S705" s="574"/>
    </row>
    <row r="706" ht="13.5" customHeight="1">
      <c r="A706" s="572"/>
      <c r="B706" s="572"/>
      <c r="C706" s="572"/>
      <c r="D706" s="738" t="str">
        <f t="shared" si="1"/>
        <v> </v>
      </c>
      <c r="E706" s="572"/>
      <c r="F706" s="572"/>
      <c r="G706" s="584"/>
      <c r="H706" s="570"/>
      <c r="I706" s="570"/>
      <c r="J706" s="572"/>
      <c r="K706" s="572"/>
      <c r="L706" s="572"/>
      <c r="M706" s="609" t="str">
        <f t="shared" si="3"/>
        <v> </v>
      </c>
      <c r="N706" s="572"/>
      <c r="O706" s="572"/>
      <c r="P706" s="572"/>
      <c r="Q706" s="572"/>
      <c r="R706" s="572"/>
      <c r="S706" s="574"/>
    </row>
    <row r="707" ht="13.5" customHeight="1">
      <c r="A707" s="572"/>
      <c r="B707" s="572"/>
      <c r="C707" s="572"/>
      <c r="D707" s="738" t="str">
        <f t="shared" si="1"/>
        <v> </v>
      </c>
      <c r="E707" s="572"/>
      <c r="F707" s="572"/>
      <c r="G707" s="584"/>
      <c r="H707" s="570"/>
      <c r="I707" s="570"/>
      <c r="J707" s="572"/>
      <c r="K707" s="572"/>
      <c r="L707" s="572"/>
      <c r="M707" s="609" t="str">
        <f t="shared" si="3"/>
        <v> </v>
      </c>
      <c r="N707" s="572"/>
      <c r="O707" s="572"/>
      <c r="P707" s="572"/>
      <c r="Q707" s="572"/>
      <c r="R707" s="572"/>
      <c r="S707" s="574"/>
    </row>
    <row r="708" ht="13.5" customHeight="1">
      <c r="A708" s="572"/>
      <c r="B708" s="572"/>
      <c r="C708" s="572"/>
      <c r="D708" s="738" t="str">
        <f t="shared" si="1"/>
        <v> </v>
      </c>
      <c r="E708" s="572"/>
      <c r="F708" s="572"/>
      <c r="G708" s="584"/>
      <c r="H708" s="570"/>
      <c r="I708" s="570"/>
      <c r="J708" s="572"/>
      <c r="K708" s="572"/>
      <c r="L708" s="572"/>
      <c r="M708" s="609" t="str">
        <f t="shared" si="3"/>
        <v> </v>
      </c>
      <c r="N708" s="572"/>
      <c r="O708" s="572"/>
      <c r="P708" s="572"/>
      <c r="Q708" s="572"/>
      <c r="R708" s="572"/>
      <c r="S708" s="574"/>
    </row>
    <row r="709" ht="13.5" customHeight="1">
      <c r="A709" s="572"/>
      <c r="B709" s="572"/>
      <c r="C709" s="572"/>
      <c r="D709" s="738" t="str">
        <f t="shared" si="1"/>
        <v> </v>
      </c>
      <c r="E709" s="572"/>
      <c r="F709" s="572"/>
      <c r="G709" s="584"/>
      <c r="H709" s="570"/>
      <c r="I709" s="570"/>
      <c r="J709" s="572"/>
      <c r="K709" s="572"/>
      <c r="L709" s="572"/>
      <c r="M709" s="609" t="str">
        <f t="shared" si="3"/>
        <v> </v>
      </c>
      <c r="N709" s="572"/>
      <c r="O709" s="572"/>
      <c r="P709" s="572"/>
      <c r="Q709" s="572"/>
      <c r="R709" s="572"/>
      <c r="S709" s="574"/>
    </row>
    <row r="710" ht="13.5" customHeight="1">
      <c r="A710" s="572"/>
      <c r="B710" s="572"/>
      <c r="C710" s="572"/>
      <c r="D710" s="738" t="str">
        <f t="shared" si="1"/>
        <v> </v>
      </c>
      <c r="E710" s="572"/>
      <c r="F710" s="572"/>
      <c r="G710" s="584"/>
      <c r="H710" s="570"/>
      <c r="I710" s="570"/>
      <c r="J710" s="572"/>
      <c r="K710" s="572"/>
      <c r="L710" s="572"/>
      <c r="M710" s="609" t="str">
        <f t="shared" si="3"/>
        <v> </v>
      </c>
      <c r="N710" s="572"/>
      <c r="O710" s="572"/>
      <c r="P710" s="572"/>
      <c r="Q710" s="572"/>
      <c r="R710" s="572"/>
      <c r="S710" s="574"/>
    </row>
    <row r="711" ht="13.5" customHeight="1">
      <c r="A711" s="572"/>
      <c r="B711" s="572"/>
      <c r="C711" s="572"/>
      <c r="D711" s="738" t="str">
        <f t="shared" si="1"/>
        <v> </v>
      </c>
      <c r="E711" s="572"/>
      <c r="F711" s="572"/>
      <c r="G711" s="584"/>
      <c r="H711" s="570"/>
      <c r="I711" s="570"/>
      <c r="J711" s="572"/>
      <c r="K711" s="572"/>
      <c r="L711" s="572"/>
      <c r="M711" s="609" t="str">
        <f t="shared" si="3"/>
        <v> </v>
      </c>
      <c r="N711" s="572"/>
      <c r="O711" s="572"/>
      <c r="P711" s="572"/>
      <c r="Q711" s="572"/>
      <c r="R711" s="572"/>
      <c r="S711" s="574"/>
    </row>
    <row r="712" ht="13.5" customHeight="1">
      <c r="A712" s="572"/>
      <c r="B712" s="572"/>
      <c r="C712" s="572"/>
      <c r="D712" s="738" t="str">
        <f t="shared" si="1"/>
        <v> </v>
      </c>
      <c r="E712" s="572"/>
      <c r="F712" s="572"/>
      <c r="G712" s="584"/>
      <c r="H712" s="570"/>
      <c r="I712" s="570"/>
      <c r="J712" s="572"/>
      <c r="K712" s="572"/>
      <c r="L712" s="572"/>
      <c r="M712" s="609" t="str">
        <f t="shared" si="3"/>
        <v> </v>
      </c>
      <c r="N712" s="572"/>
      <c r="O712" s="572"/>
      <c r="P712" s="572"/>
      <c r="Q712" s="572"/>
      <c r="R712" s="572"/>
      <c r="S712" s="574"/>
    </row>
    <row r="713" ht="13.5" customHeight="1">
      <c r="A713" s="572"/>
      <c r="B713" s="572"/>
      <c r="C713" s="572"/>
      <c r="D713" s="738" t="str">
        <f t="shared" si="1"/>
        <v> </v>
      </c>
      <c r="E713" s="572"/>
      <c r="F713" s="572"/>
      <c r="G713" s="584"/>
      <c r="H713" s="570"/>
      <c r="I713" s="570"/>
      <c r="J713" s="572"/>
      <c r="K713" s="572"/>
      <c r="L713" s="572"/>
      <c r="M713" s="609" t="str">
        <f t="shared" si="3"/>
        <v> </v>
      </c>
      <c r="N713" s="572"/>
      <c r="O713" s="572"/>
      <c r="P713" s="572"/>
      <c r="Q713" s="572"/>
      <c r="R713" s="572"/>
      <c r="S713" s="574"/>
    </row>
    <row r="714" ht="13.5" customHeight="1">
      <c r="A714" s="572"/>
      <c r="B714" s="572"/>
      <c r="C714" s="572"/>
      <c r="D714" s="738" t="str">
        <f t="shared" si="1"/>
        <v> </v>
      </c>
      <c r="E714" s="572"/>
      <c r="F714" s="572"/>
      <c r="G714" s="584"/>
      <c r="H714" s="570"/>
      <c r="I714" s="570"/>
      <c r="J714" s="572"/>
      <c r="K714" s="572"/>
      <c r="L714" s="572"/>
      <c r="M714" s="609" t="str">
        <f t="shared" si="3"/>
        <v> </v>
      </c>
      <c r="N714" s="572"/>
      <c r="O714" s="572"/>
      <c r="P714" s="572"/>
      <c r="Q714" s="572"/>
      <c r="R714" s="572"/>
      <c r="S714" s="574"/>
    </row>
    <row r="715" ht="13.5" customHeight="1">
      <c r="A715" s="572"/>
      <c r="B715" s="572"/>
      <c r="C715" s="572"/>
      <c r="D715" s="738" t="str">
        <f t="shared" si="1"/>
        <v> </v>
      </c>
      <c r="E715" s="572"/>
      <c r="F715" s="572"/>
      <c r="G715" s="584"/>
      <c r="H715" s="570"/>
      <c r="I715" s="570"/>
      <c r="J715" s="572"/>
      <c r="K715" s="572"/>
      <c r="L715" s="572"/>
      <c r="M715" s="609" t="str">
        <f t="shared" si="3"/>
        <v> </v>
      </c>
      <c r="N715" s="572"/>
      <c r="O715" s="572"/>
      <c r="P715" s="572"/>
      <c r="Q715" s="572"/>
      <c r="R715" s="572"/>
      <c r="S715" s="574"/>
    </row>
    <row r="716" ht="13.5" customHeight="1">
      <c r="A716" s="572"/>
      <c r="B716" s="572"/>
      <c r="C716" s="572"/>
      <c r="D716" s="738" t="str">
        <f t="shared" si="1"/>
        <v> </v>
      </c>
      <c r="E716" s="572"/>
      <c r="F716" s="572"/>
      <c r="G716" s="584"/>
      <c r="H716" s="570"/>
      <c r="I716" s="570"/>
      <c r="J716" s="572"/>
      <c r="K716" s="572"/>
      <c r="L716" s="572"/>
      <c r="M716" s="609" t="str">
        <f t="shared" si="3"/>
        <v> </v>
      </c>
      <c r="N716" s="572"/>
      <c r="O716" s="572"/>
      <c r="P716" s="572"/>
      <c r="Q716" s="572"/>
      <c r="R716" s="572"/>
      <c r="S716" s="574"/>
    </row>
    <row r="717" ht="13.5" customHeight="1">
      <c r="A717" s="572"/>
      <c r="B717" s="572"/>
      <c r="C717" s="572"/>
      <c r="D717" s="738" t="str">
        <f t="shared" si="1"/>
        <v> </v>
      </c>
      <c r="E717" s="572"/>
      <c r="F717" s="572"/>
      <c r="G717" s="584"/>
      <c r="H717" s="570"/>
      <c r="I717" s="570"/>
      <c r="J717" s="572"/>
      <c r="K717" s="572"/>
      <c r="L717" s="572"/>
      <c r="M717" s="609" t="str">
        <f t="shared" si="3"/>
        <v> </v>
      </c>
      <c r="N717" s="572"/>
      <c r="O717" s="572"/>
      <c r="P717" s="572"/>
      <c r="Q717" s="572"/>
      <c r="R717" s="572"/>
      <c r="S717" s="574"/>
    </row>
    <row r="718" ht="13.5" customHeight="1">
      <c r="A718" s="572"/>
      <c r="B718" s="572"/>
      <c r="C718" s="572"/>
      <c r="D718" s="738" t="str">
        <f t="shared" si="1"/>
        <v> </v>
      </c>
      <c r="E718" s="572"/>
      <c r="F718" s="572"/>
      <c r="G718" s="584"/>
      <c r="H718" s="570"/>
      <c r="I718" s="570"/>
      <c r="J718" s="572"/>
      <c r="K718" s="572"/>
      <c r="L718" s="572"/>
      <c r="M718" s="609" t="str">
        <f t="shared" si="3"/>
        <v> </v>
      </c>
      <c r="N718" s="572"/>
      <c r="O718" s="572"/>
      <c r="P718" s="572"/>
      <c r="Q718" s="572"/>
      <c r="R718" s="572"/>
      <c r="S718" s="574"/>
    </row>
    <row r="719" ht="13.5" customHeight="1">
      <c r="A719" s="572"/>
      <c r="B719" s="572"/>
      <c r="C719" s="572"/>
      <c r="D719" s="738" t="str">
        <f t="shared" si="1"/>
        <v> </v>
      </c>
      <c r="E719" s="572"/>
      <c r="F719" s="572"/>
      <c r="G719" s="584"/>
      <c r="H719" s="570"/>
      <c r="I719" s="570"/>
      <c r="J719" s="572"/>
      <c r="K719" s="572"/>
      <c r="L719" s="572"/>
      <c r="M719" s="609" t="str">
        <f t="shared" si="3"/>
        <v> </v>
      </c>
      <c r="N719" s="572"/>
      <c r="O719" s="572"/>
      <c r="P719" s="572"/>
      <c r="Q719" s="572"/>
      <c r="R719" s="572"/>
      <c r="S719" s="574"/>
    </row>
    <row r="720" ht="13.5" customHeight="1">
      <c r="A720" s="572"/>
      <c r="B720" s="572"/>
      <c r="C720" s="572"/>
      <c r="D720" s="738" t="str">
        <f t="shared" si="1"/>
        <v> </v>
      </c>
      <c r="E720" s="572"/>
      <c r="F720" s="572"/>
      <c r="G720" s="584"/>
      <c r="H720" s="570"/>
      <c r="I720" s="570"/>
      <c r="J720" s="572"/>
      <c r="K720" s="572"/>
      <c r="L720" s="572"/>
      <c r="M720" s="609" t="str">
        <f t="shared" si="3"/>
        <v> </v>
      </c>
      <c r="N720" s="572"/>
      <c r="O720" s="572"/>
      <c r="P720" s="572"/>
      <c r="Q720" s="572"/>
      <c r="R720" s="572"/>
      <c r="S720" s="574"/>
    </row>
    <row r="721" ht="13.5" customHeight="1">
      <c r="A721" s="572"/>
      <c r="B721" s="572"/>
      <c r="C721" s="572"/>
      <c r="D721" s="738" t="str">
        <f t="shared" si="1"/>
        <v> </v>
      </c>
      <c r="E721" s="572"/>
      <c r="F721" s="572"/>
      <c r="G721" s="584"/>
      <c r="H721" s="570"/>
      <c r="I721" s="570"/>
      <c r="J721" s="572"/>
      <c r="K721" s="572"/>
      <c r="L721" s="572"/>
      <c r="M721" s="609" t="str">
        <f t="shared" si="3"/>
        <v> </v>
      </c>
      <c r="N721" s="572"/>
      <c r="O721" s="572"/>
      <c r="P721" s="572"/>
      <c r="Q721" s="572"/>
      <c r="R721" s="572"/>
      <c r="S721" s="574"/>
    </row>
    <row r="722" ht="13.5" customHeight="1">
      <c r="A722" s="572"/>
      <c r="B722" s="572"/>
      <c r="C722" s="572"/>
      <c r="D722" s="738" t="str">
        <f t="shared" si="1"/>
        <v> </v>
      </c>
      <c r="E722" s="572"/>
      <c r="F722" s="572"/>
      <c r="G722" s="584"/>
      <c r="H722" s="570"/>
      <c r="I722" s="570"/>
      <c r="J722" s="572"/>
      <c r="K722" s="572"/>
      <c r="L722" s="572"/>
      <c r="M722" s="609" t="str">
        <f t="shared" si="3"/>
        <v> </v>
      </c>
      <c r="N722" s="572"/>
      <c r="O722" s="572"/>
      <c r="P722" s="572"/>
      <c r="Q722" s="572"/>
      <c r="R722" s="572"/>
      <c r="S722" s="574"/>
    </row>
    <row r="723" ht="13.5" customHeight="1">
      <c r="A723" s="572"/>
      <c r="B723" s="572"/>
      <c r="C723" s="572"/>
      <c r="D723" s="738" t="str">
        <f t="shared" si="1"/>
        <v> </v>
      </c>
      <c r="E723" s="572"/>
      <c r="F723" s="572"/>
      <c r="G723" s="584"/>
      <c r="H723" s="570"/>
      <c r="I723" s="570"/>
      <c r="J723" s="572"/>
      <c r="K723" s="572"/>
      <c r="L723" s="572"/>
      <c r="M723" s="609" t="str">
        <f t="shared" si="3"/>
        <v> </v>
      </c>
      <c r="N723" s="572"/>
      <c r="O723" s="572"/>
      <c r="P723" s="572"/>
      <c r="Q723" s="572"/>
      <c r="R723" s="572"/>
      <c r="S723" s="574"/>
    </row>
    <row r="724" ht="13.5" customHeight="1">
      <c r="A724" s="572"/>
      <c r="B724" s="572"/>
      <c r="C724" s="572"/>
      <c r="D724" s="738" t="str">
        <f t="shared" si="1"/>
        <v> </v>
      </c>
      <c r="E724" s="572"/>
      <c r="F724" s="572"/>
      <c r="G724" s="584"/>
      <c r="H724" s="570"/>
      <c r="I724" s="570"/>
      <c r="J724" s="572"/>
      <c r="K724" s="572"/>
      <c r="L724" s="572"/>
      <c r="M724" s="609" t="str">
        <f t="shared" si="3"/>
        <v> </v>
      </c>
      <c r="N724" s="572"/>
      <c r="O724" s="572"/>
      <c r="P724" s="572"/>
      <c r="Q724" s="572"/>
      <c r="R724" s="572"/>
      <c r="S724" s="574"/>
    </row>
    <row r="725" ht="13.5" customHeight="1">
      <c r="A725" s="572"/>
      <c r="B725" s="572"/>
      <c r="C725" s="572"/>
      <c r="D725" s="738" t="str">
        <f t="shared" si="1"/>
        <v> </v>
      </c>
      <c r="E725" s="572"/>
      <c r="F725" s="572"/>
      <c r="G725" s="584"/>
      <c r="H725" s="570"/>
      <c r="I725" s="570"/>
      <c r="J725" s="572"/>
      <c r="K725" s="572"/>
      <c r="L725" s="572"/>
      <c r="M725" s="609" t="str">
        <f t="shared" si="3"/>
        <v> </v>
      </c>
      <c r="N725" s="572"/>
      <c r="O725" s="572"/>
      <c r="P725" s="572"/>
      <c r="Q725" s="572"/>
      <c r="R725" s="572"/>
      <c r="S725" s="574"/>
    </row>
    <row r="726" ht="13.5" customHeight="1">
      <c r="A726" s="572"/>
      <c r="B726" s="572"/>
      <c r="C726" s="572"/>
      <c r="D726" s="738" t="str">
        <f t="shared" si="1"/>
        <v> </v>
      </c>
      <c r="E726" s="572"/>
      <c r="F726" s="572"/>
      <c r="G726" s="584"/>
      <c r="H726" s="570"/>
      <c r="I726" s="570"/>
      <c r="J726" s="572"/>
      <c r="K726" s="572"/>
      <c r="L726" s="572"/>
      <c r="M726" s="609" t="str">
        <f t="shared" si="3"/>
        <v> </v>
      </c>
      <c r="N726" s="572"/>
      <c r="O726" s="572"/>
      <c r="P726" s="572"/>
      <c r="Q726" s="572"/>
      <c r="R726" s="572"/>
      <c r="S726" s="574"/>
    </row>
    <row r="727" ht="13.5" customHeight="1">
      <c r="A727" s="572"/>
      <c r="B727" s="572"/>
      <c r="C727" s="572"/>
      <c r="D727" s="738" t="str">
        <f t="shared" si="1"/>
        <v> </v>
      </c>
      <c r="E727" s="572"/>
      <c r="F727" s="572"/>
      <c r="G727" s="584"/>
      <c r="H727" s="570"/>
      <c r="I727" s="570"/>
      <c r="J727" s="572"/>
      <c r="K727" s="572"/>
      <c r="L727" s="572"/>
      <c r="M727" s="609" t="str">
        <f t="shared" si="3"/>
        <v> </v>
      </c>
      <c r="N727" s="572"/>
      <c r="O727" s="572"/>
      <c r="P727" s="572"/>
      <c r="Q727" s="572"/>
      <c r="R727" s="572"/>
      <c r="S727" s="574"/>
    </row>
    <row r="728" ht="13.5" customHeight="1">
      <c r="A728" s="572"/>
      <c r="B728" s="572"/>
      <c r="C728" s="572"/>
      <c r="D728" s="738" t="str">
        <f t="shared" si="1"/>
        <v> </v>
      </c>
      <c r="E728" s="572"/>
      <c r="F728" s="572"/>
      <c r="G728" s="584"/>
      <c r="H728" s="570"/>
      <c r="I728" s="570"/>
      <c r="J728" s="572"/>
      <c r="K728" s="572"/>
      <c r="L728" s="572"/>
      <c r="M728" s="609" t="str">
        <f t="shared" si="3"/>
        <v> </v>
      </c>
      <c r="N728" s="572"/>
      <c r="O728" s="572"/>
      <c r="P728" s="572"/>
      <c r="Q728" s="572"/>
      <c r="R728" s="572"/>
      <c r="S728" s="574"/>
    </row>
    <row r="729" ht="13.5" customHeight="1">
      <c r="A729" s="572"/>
      <c r="B729" s="572"/>
      <c r="C729" s="572"/>
      <c r="D729" s="738" t="str">
        <f t="shared" si="1"/>
        <v> </v>
      </c>
      <c r="E729" s="572"/>
      <c r="F729" s="572"/>
      <c r="G729" s="584"/>
      <c r="H729" s="570"/>
      <c r="I729" s="570"/>
      <c r="J729" s="572"/>
      <c r="K729" s="572"/>
      <c r="L729" s="572"/>
      <c r="M729" s="609" t="str">
        <f t="shared" si="3"/>
        <v> </v>
      </c>
      <c r="N729" s="572"/>
      <c r="O729" s="572"/>
      <c r="P729" s="572"/>
      <c r="Q729" s="572"/>
      <c r="R729" s="572"/>
      <c r="S729" s="574"/>
    </row>
    <row r="730" ht="13.5" customHeight="1">
      <c r="A730" s="572"/>
      <c r="B730" s="572"/>
      <c r="C730" s="572"/>
      <c r="D730" s="738" t="str">
        <f t="shared" si="1"/>
        <v> </v>
      </c>
      <c r="E730" s="572"/>
      <c r="F730" s="572"/>
      <c r="G730" s="584"/>
      <c r="H730" s="570"/>
      <c r="I730" s="570"/>
      <c r="J730" s="572"/>
      <c r="K730" s="572"/>
      <c r="L730" s="572"/>
      <c r="M730" s="609" t="str">
        <f t="shared" si="3"/>
        <v> </v>
      </c>
      <c r="N730" s="572"/>
      <c r="O730" s="572"/>
      <c r="P730" s="572"/>
      <c r="Q730" s="572"/>
      <c r="R730" s="572"/>
      <c r="S730" s="574"/>
    </row>
    <row r="731" ht="13.5" customHeight="1">
      <c r="A731" s="572"/>
      <c r="B731" s="572"/>
      <c r="C731" s="572"/>
      <c r="D731" s="738" t="str">
        <f t="shared" si="1"/>
        <v> </v>
      </c>
      <c r="E731" s="572"/>
      <c r="F731" s="572"/>
      <c r="G731" s="584"/>
      <c r="H731" s="570"/>
      <c r="I731" s="570"/>
      <c r="J731" s="572"/>
      <c r="K731" s="572"/>
      <c r="L731" s="572"/>
      <c r="M731" s="609" t="str">
        <f t="shared" si="3"/>
        <v> </v>
      </c>
      <c r="N731" s="572"/>
      <c r="O731" s="572"/>
      <c r="P731" s="572"/>
      <c r="Q731" s="572"/>
      <c r="R731" s="572"/>
      <c r="S731" s="574"/>
    </row>
    <row r="732" ht="13.5" customHeight="1">
      <c r="A732" s="572"/>
      <c r="B732" s="572"/>
      <c r="C732" s="572"/>
      <c r="D732" s="738" t="str">
        <f t="shared" si="1"/>
        <v> </v>
      </c>
      <c r="E732" s="572"/>
      <c r="F732" s="572"/>
      <c r="G732" s="584"/>
      <c r="H732" s="570"/>
      <c r="I732" s="570"/>
      <c r="J732" s="572"/>
      <c r="K732" s="572"/>
      <c r="L732" s="572"/>
      <c r="M732" s="609" t="str">
        <f t="shared" si="3"/>
        <v> </v>
      </c>
      <c r="N732" s="572"/>
      <c r="O732" s="572"/>
      <c r="P732" s="572"/>
      <c r="Q732" s="572"/>
      <c r="R732" s="572"/>
      <c r="S732" s="574"/>
    </row>
    <row r="733" ht="13.5" customHeight="1">
      <c r="A733" s="572"/>
      <c r="B733" s="572"/>
      <c r="C733" s="572"/>
      <c r="D733" s="738" t="str">
        <f t="shared" si="1"/>
        <v> </v>
      </c>
      <c r="E733" s="572"/>
      <c r="F733" s="572"/>
      <c r="G733" s="584"/>
      <c r="H733" s="570"/>
      <c r="I733" s="570"/>
      <c r="J733" s="572"/>
      <c r="K733" s="572"/>
      <c r="L733" s="572"/>
      <c r="M733" s="609" t="str">
        <f t="shared" si="3"/>
        <v> </v>
      </c>
      <c r="N733" s="572"/>
      <c r="O733" s="572"/>
      <c r="P733" s="572"/>
      <c r="Q733" s="572"/>
      <c r="R733" s="572"/>
      <c r="S733" s="574"/>
    </row>
    <row r="734" ht="13.5" customHeight="1">
      <c r="A734" s="572"/>
      <c r="B734" s="572"/>
      <c r="C734" s="572"/>
      <c r="D734" s="738" t="str">
        <f t="shared" si="1"/>
        <v> </v>
      </c>
      <c r="E734" s="572"/>
      <c r="F734" s="572"/>
      <c r="G734" s="584"/>
      <c r="H734" s="570"/>
      <c r="I734" s="570"/>
      <c r="J734" s="572"/>
      <c r="K734" s="572"/>
      <c r="L734" s="572"/>
      <c r="M734" s="609" t="str">
        <f t="shared" si="3"/>
        <v> </v>
      </c>
      <c r="N734" s="572"/>
      <c r="O734" s="572"/>
      <c r="P734" s="572"/>
      <c r="Q734" s="572"/>
      <c r="R734" s="572"/>
      <c r="S734" s="574"/>
    </row>
    <row r="735" ht="13.5" customHeight="1">
      <c r="A735" s="572"/>
      <c r="B735" s="572"/>
      <c r="C735" s="572"/>
      <c r="D735" s="738" t="str">
        <f t="shared" si="1"/>
        <v> </v>
      </c>
      <c r="E735" s="572"/>
      <c r="F735" s="572"/>
      <c r="G735" s="584"/>
      <c r="H735" s="570"/>
      <c r="I735" s="570"/>
      <c r="J735" s="572"/>
      <c r="K735" s="572"/>
      <c r="L735" s="572"/>
      <c r="M735" s="609" t="str">
        <f t="shared" si="3"/>
        <v> </v>
      </c>
      <c r="N735" s="572"/>
      <c r="O735" s="572"/>
      <c r="P735" s="572"/>
      <c r="Q735" s="572"/>
      <c r="R735" s="572"/>
      <c r="S735" s="574"/>
    </row>
    <row r="736" ht="13.5" customHeight="1">
      <c r="A736" s="572"/>
      <c r="B736" s="572"/>
      <c r="C736" s="572"/>
      <c r="D736" s="738" t="str">
        <f t="shared" si="1"/>
        <v> </v>
      </c>
      <c r="E736" s="572"/>
      <c r="F736" s="572"/>
      <c r="G736" s="584"/>
      <c r="H736" s="570"/>
      <c r="I736" s="570"/>
      <c r="J736" s="572"/>
      <c r="K736" s="572"/>
      <c r="L736" s="572"/>
      <c r="M736" s="609" t="str">
        <f t="shared" si="3"/>
        <v> </v>
      </c>
      <c r="N736" s="572"/>
      <c r="O736" s="572"/>
      <c r="P736" s="572"/>
      <c r="Q736" s="572"/>
      <c r="R736" s="572"/>
      <c r="S736" s="574"/>
    </row>
    <row r="737" ht="13.5" customHeight="1">
      <c r="A737" s="572"/>
      <c r="B737" s="572"/>
      <c r="C737" s="572"/>
      <c r="D737" s="738" t="str">
        <f t="shared" si="1"/>
        <v> </v>
      </c>
      <c r="E737" s="572"/>
      <c r="F737" s="572"/>
      <c r="G737" s="584"/>
      <c r="H737" s="570"/>
      <c r="I737" s="570"/>
      <c r="J737" s="572"/>
      <c r="K737" s="572"/>
      <c r="L737" s="572"/>
      <c r="M737" s="609" t="str">
        <f t="shared" si="3"/>
        <v> </v>
      </c>
      <c r="N737" s="572"/>
      <c r="O737" s="572"/>
      <c r="P737" s="572"/>
      <c r="Q737" s="572"/>
      <c r="R737" s="572"/>
      <c r="S737" s="574"/>
    </row>
    <row r="738" ht="13.5" customHeight="1">
      <c r="A738" s="572"/>
      <c r="B738" s="572"/>
      <c r="C738" s="572"/>
      <c r="D738" s="738" t="str">
        <f t="shared" si="1"/>
        <v> </v>
      </c>
      <c r="E738" s="572"/>
      <c r="F738" s="572"/>
      <c r="G738" s="584"/>
      <c r="H738" s="570"/>
      <c r="I738" s="570"/>
      <c r="J738" s="572"/>
      <c r="K738" s="572"/>
      <c r="L738" s="572"/>
      <c r="M738" s="609" t="str">
        <f t="shared" si="3"/>
        <v> </v>
      </c>
      <c r="N738" s="572"/>
      <c r="O738" s="572"/>
      <c r="P738" s="572"/>
      <c r="Q738" s="572"/>
      <c r="R738" s="572"/>
      <c r="S738" s="574"/>
    </row>
    <row r="739" ht="13.5" customHeight="1">
      <c r="A739" s="572"/>
      <c r="B739" s="572"/>
      <c r="C739" s="572"/>
      <c r="D739" s="738" t="str">
        <f t="shared" si="1"/>
        <v> </v>
      </c>
      <c r="E739" s="572"/>
      <c r="F739" s="572"/>
      <c r="G739" s="584"/>
      <c r="H739" s="570"/>
      <c r="I739" s="570"/>
      <c r="J739" s="572"/>
      <c r="K739" s="572"/>
      <c r="L739" s="572"/>
      <c r="M739" s="609" t="str">
        <f t="shared" si="3"/>
        <v> </v>
      </c>
      <c r="N739" s="572"/>
      <c r="O739" s="572"/>
      <c r="P739" s="572"/>
      <c r="Q739" s="572"/>
      <c r="R739" s="572"/>
      <c r="S739" s="574"/>
    </row>
    <row r="740" ht="13.5" customHeight="1">
      <c r="A740" s="572"/>
      <c r="B740" s="572"/>
      <c r="C740" s="572"/>
      <c r="D740" s="738" t="str">
        <f t="shared" si="1"/>
        <v> </v>
      </c>
      <c r="E740" s="572"/>
      <c r="F740" s="572"/>
      <c r="G740" s="584"/>
      <c r="H740" s="570"/>
      <c r="I740" s="570"/>
      <c r="J740" s="572"/>
      <c r="K740" s="572"/>
      <c r="L740" s="572"/>
      <c r="M740" s="609" t="str">
        <f t="shared" si="3"/>
        <v> </v>
      </c>
      <c r="N740" s="572"/>
      <c r="O740" s="572"/>
      <c r="P740" s="572"/>
      <c r="Q740" s="572"/>
      <c r="R740" s="572"/>
      <c r="S740" s="574"/>
    </row>
    <row r="741" ht="13.5" customHeight="1">
      <c r="A741" s="572"/>
      <c r="B741" s="572"/>
      <c r="C741" s="572"/>
      <c r="D741" s="738" t="str">
        <f t="shared" si="1"/>
        <v> </v>
      </c>
      <c r="E741" s="572"/>
      <c r="F741" s="572"/>
      <c r="G741" s="584"/>
      <c r="H741" s="570"/>
      <c r="I741" s="570"/>
      <c r="J741" s="572"/>
      <c r="K741" s="572"/>
      <c r="L741" s="572"/>
      <c r="M741" s="609" t="str">
        <f t="shared" si="3"/>
        <v> </v>
      </c>
      <c r="N741" s="572"/>
      <c r="O741" s="572"/>
      <c r="P741" s="572"/>
      <c r="Q741" s="572"/>
      <c r="R741" s="572"/>
      <c r="S741" s="574"/>
    </row>
    <row r="742" ht="13.5" customHeight="1">
      <c r="A742" s="572"/>
      <c r="B742" s="572"/>
      <c r="C742" s="572"/>
      <c r="D742" s="738" t="str">
        <f t="shared" si="1"/>
        <v> </v>
      </c>
      <c r="E742" s="572"/>
      <c r="F742" s="572"/>
      <c r="G742" s="584"/>
      <c r="H742" s="570"/>
      <c r="I742" s="570"/>
      <c r="J742" s="572"/>
      <c r="K742" s="572"/>
      <c r="L742" s="572"/>
      <c r="M742" s="609" t="str">
        <f t="shared" si="3"/>
        <v> </v>
      </c>
      <c r="N742" s="572"/>
      <c r="O742" s="572"/>
      <c r="P742" s="572"/>
      <c r="Q742" s="572"/>
      <c r="R742" s="572"/>
      <c r="S742" s="574"/>
    </row>
    <row r="743" ht="13.5" customHeight="1">
      <c r="A743" s="572"/>
      <c r="B743" s="572"/>
      <c r="C743" s="572"/>
      <c r="D743" s="738" t="str">
        <f t="shared" si="1"/>
        <v> </v>
      </c>
      <c r="E743" s="572"/>
      <c r="F743" s="572"/>
      <c r="G743" s="584"/>
      <c r="H743" s="570"/>
      <c r="I743" s="570"/>
      <c r="J743" s="572"/>
      <c r="K743" s="572"/>
      <c r="L743" s="572"/>
      <c r="M743" s="609" t="str">
        <f t="shared" si="3"/>
        <v> </v>
      </c>
      <c r="N743" s="572"/>
      <c r="O743" s="572"/>
      <c r="P743" s="572"/>
      <c r="Q743" s="572"/>
      <c r="R743" s="572"/>
      <c r="S743" s="574"/>
    </row>
    <row r="744" ht="13.5" customHeight="1">
      <c r="A744" s="572"/>
      <c r="B744" s="572"/>
      <c r="C744" s="572"/>
      <c r="D744" s="738" t="str">
        <f t="shared" si="1"/>
        <v> </v>
      </c>
      <c r="E744" s="572"/>
      <c r="F744" s="572"/>
      <c r="G744" s="584"/>
      <c r="H744" s="570"/>
      <c r="I744" s="570"/>
      <c r="J744" s="572"/>
      <c r="K744" s="572"/>
      <c r="L744" s="572"/>
      <c r="M744" s="609" t="str">
        <f t="shared" si="3"/>
        <v> </v>
      </c>
      <c r="N744" s="572"/>
      <c r="O744" s="572"/>
      <c r="P744" s="572"/>
      <c r="Q744" s="572"/>
      <c r="R744" s="572"/>
      <c r="S744" s="574"/>
    </row>
    <row r="745" ht="13.5" customHeight="1">
      <c r="A745" s="572"/>
      <c r="B745" s="572"/>
      <c r="C745" s="572"/>
      <c r="D745" s="738" t="str">
        <f t="shared" si="1"/>
        <v> </v>
      </c>
      <c r="E745" s="572"/>
      <c r="F745" s="572"/>
      <c r="G745" s="584"/>
      <c r="H745" s="570"/>
      <c r="I745" s="570"/>
      <c r="J745" s="572"/>
      <c r="K745" s="572"/>
      <c r="L745" s="572"/>
      <c r="M745" s="609" t="str">
        <f t="shared" si="3"/>
        <v> </v>
      </c>
      <c r="N745" s="572"/>
      <c r="O745" s="572"/>
      <c r="P745" s="572"/>
      <c r="Q745" s="572"/>
      <c r="R745" s="572"/>
      <c r="S745" s="574"/>
    </row>
    <row r="746" ht="13.5" customHeight="1">
      <c r="A746" s="572"/>
      <c r="B746" s="572"/>
      <c r="C746" s="572"/>
      <c r="D746" s="738" t="str">
        <f t="shared" si="1"/>
        <v> </v>
      </c>
      <c r="E746" s="572"/>
      <c r="F746" s="572"/>
      <c r="G746" s="584"/>
      <c r="H746" s="570"/>
      <c r="I746" s="570"/>
      <c r="J746" s="572"/>
      <c r="K746" s="572"/>
      <c r="L746" s="572"/>
      <c r="M746" s="609" t="str">
        <f t="shared" si="3"/>
        <v> </v>
      </c>
      <c r="N746" s="572"/>
      <c r="O746" s="572"/>
      <c r="P746" s="572"/>
      <c r="Q746" s="572"/>
      <c r="R746" s="572"/>
      <c r="S746" s="574"/>
    </row>
    <row r="747" ht="13.5" customHeight="1">
      <c r="A747" s="572"/>
      <c r="B747" s="572"/>
      <c r="C747" s="572"/>
      <c r="D747" s="738" t="str">
        <f t="shared" si="1"/>
        <v> </v>
      </c>
      <c r="E747" s="572"/>
      <c r="F747" s="572"/>
      <c r="G747" s="584"/>
      <c r="H747" s="570"/>
      <c r="I747" s="570"/>
      <c r="J747" s="572"/>
      <c r="K747" s="572"/>
      <c r="L747" s="572"/>
      <c r="M747" s="609" t="str">
        <f t="shared" si="3"/>
        <v> </v>
      </c>
      <c r="N747" s="572"/>
      <c r="O747" s="572"/>
      <c r="P747" s="572"/>
      <c r="Q747" s="572"/>
      <c r="R747" s="572"/>
      <c r="S747" s="574"/>
    </row>
    <row r="748" ht="13.5" customHeight="1">
      <c r="A748" s="572"/>
      <c r="B748" s="572"/>
      <c r="C748" s="572"/>
      <c r="D748" s="738" t="str">
        <f t="shared" si="1"/>
        <v> </v>
      </c>
      <c r="E748" s="572"/>
      <c r="F748" s="572"/>
      <c r="G748" s="584"/>
      <c r="H748" s="570"/>
      <c r="I748" s="570"/>
      <c r="J748" s="572"/>
      <c r="K748" s="572"/>
      <c r="L748" s="572"/>
      <c r="M748" s="609" t="str">
        <f t="shared" si="3"/>
        <v> </v>
      </c>
      <c r="N748" s="572"/>
      <c r="O748" s="572"/>
      <c r="P748" s="572"/>
      <c r="Q748" s="572"/>
      <c r="R748" s="572"/>
      <c r="S748" s="574"/>
    </row>
    <row r="749" ht="13.5" customHeight="1">
      <c r="A749" s="572"/>
      <c r="B749" s="572"/>
      <c r="C749" s="572"/>
      <c r="D749" s="738" t="str">
        <f t="shared" si="1"/>
        <v> </v>
      </c>
      <c r="E749" s="572"/>
      <c r="F749" s="572"/>
      <c r="G749" s="584"/>
      <c r="H749" s="570"/>
      <c r="I749" s="570"/>
      <c r="J749" s="572"/>
      <c r="K749" s="572"/>
      <c r="L749" s="572"/>
      <c r="M749" s="609" t="str">
        <f t="shared" si="3"/>
        <v> </v>
      </c>
      <c r="N749" s="572"/>
      <c r="O749" s="572"/>
      <c r="P749" s="572"/>
      <c r="Q749" s="572"/>
      <c r="R749" s="572"/>
      <c r="S749" s="574"/>
    </row>
    <row r="750" ht="13.5" customHeight="1">
      <c r="A750" s="572"/>
      <c r="B750" s="572"/>
      <c r="C750" s="572"/>
      <c r="D750" s="738" t="str">
        <f t="shared" si="1"/>
        <v> </v>
      </c>
      <c r="E750" s="572"/>
      <c r="F750" s="572"/>
      <c r="G750" s="584"/>
      <c r="H750" s="570"/>
      <c r="I750" s="570"/>
      <c r="J750" s="572"/>
      <c r="K750" s="572"/>
      <c r="L750" s="572"/>
      <c r="M750" s="609" t="str">
        <f t="shared" si="3"/>
        <v> </v>
      </c>
      <c r="N750" s="572"/>
      <c r="O750" s="572"/>
      <c r="P750" s="572"/>
      <c r="Q750" s="572"/>
      <c r="R750" s="572"/>
      <c r="S750" s="574"/>
    </row>
    <row r="751" ht="13.5" customHeight="1">
      <c r="A751" s="572"/>
      <c r="B751" s="572"/>
      <c r="C751" s="572"/>
      <c r="D751" s="573"/>
      <c r="E751" s="572"/>
      <c r="F751" s="572"/>
      <c r="G751" s="584"/>
      <c r="H751" s="570"/>
      <c r="I751" s="570"/>
      <c r="J751" s="572"/>
      <c r="K751" s="572"/>
      <c r="L751" s="572"/>
      <c r="M751" s="609" t="str">
        <f t="shared" si="3"/>
        <v> </v>
      </c>
      <c r="N751" s="572"/>
      <c r="O751" s="572"/>
      <c r="P751" s="572"/>
      <c r="Q751" s="572"/>
      <c r="R751" s="572"/>
      <c r="S751" s="574"/>
    </row>
    <row r="752" ht="13.5" customHeight="1">
      <c r="A752" s="572"/>
      <c r="B752" s="572"/>
      <c r="C752" s="572"/>
      <c r="D752" s="573"/>
      <c r="E752" s="572"/>
      <c r="F752" s="572"/>
      <c r="G752" s="584"/>
      <c r="H752" s="570"/>
      <c r="I752" s="570"/>
      <c r="J752" s="572"/>
      <c r="K752" s="572"/>
      <c r="L752" s="572"/>
      <c r="M752" s="609" t="str">
        <f t="shared" si="3"/>
        <v> </v>
      </c>
      <c r="N752" s="572"/>
      <c r="O752" s="572"/>
      <c r="P752" s="572"/>
      <c r="Q752" s="572"/>
      <c r="R752" s="572"/>
      <c r="S752" s="574"/>
    </row>
    <row r="753" ht="13.5" customHeight="1">
      <c r="A753" s="572"/>
      <c r="B753" s="572"/>
      <c r="C753" s="572"/>
      <c r="D753" s="573"/>
      <c r="E753" s="572"/>
      <c r="F753" s="572"/>
      <c r="G753" s="584"/>
      <c r="H753" s="570"/>
      <c r="I753" s="570"/>
      <c r="J753" s="572"/>
      <c r="K753" s="572"/>
      <c r="L753" s="572"/>
      <c r="M753" s="609" t="str">
        <f t="shared" si="3"/>
        <v> </v>
      </c>
      <c r="N753" s="572"/>
      <c r="O753" s="572"/>
      <c r="P753" s="572"/>
      <c r="Q753" s="572"/>
      <c r="R753" s="572"/>
      <c r="S753" s="574"/>
    </row>
    <row r="754" ht="13.5" customHeight="1">
      <c r="A754" s="572"/>
      <c r="B754" s="572"/>
      <c r="C754" s="572"/>
      <c r="D754" s="573"/>
      <c r="E754" s="572"/>
      <c r="F754" s="572"/>
      <c r="G754" s="584"/>
      <c r="H754" s="570"/>
      <c r="I754" s="570"/>
      <c r="J754" s="572"/>
      <c r="K754" s="572"/>
      <c r="L754" s="572"/>
      <c r="M754" s="609" t="str">
        <f t="shared" si="3"/>
        <v> </v>
      </c>
      <c r="N754" s="572"/>
      <c r="O754" s="572"/>
      <c r="P754" s="572"/>
      <c r="Q754" s="572"/>
      <c r="R754" s="572"/>
      <c r="S754" s="574"/>
    </row>
    <row r="755" ht="13.5" customHeight="1">
      <c r="A755" s="572"/>
      <c r="B755" s="572"/>
      <c r="C755" s="572"/>
      <c r="D755" s="573"/>
      <c r="E755" s="572"/>
      <c r="F755" s="572"/>
      <c r="G755" s="584"/>
      <c r="H755" s="570"/>
      <c r="I755" s="570"/>
      <c r="J755" s="572"/>
      <c r="K755" s="572"/>
      <c r="L755" s="572"/>
      <c r="M755" s="609" t="str">
        <f t="shared" si="3"/>
        <v> </v>
      </c>
      <c r="N755" s="572"/>
      <c r="O755" s="572"/>
      <c r="P755" s="572"/>
      <c r="Q755" s="572"/>
      <c r="R755" s="572"/>
      <c r="S755" s="574"/>
    </row>
    <row r="756" ht="13.5" customHeight="1">
      <c r="A756" s="572"/>
      <c r="B756" s="572"/>
      <c r="C756" s="572"/>
      <c r="D756" s="573"/>
      <c r="E756" s="572"/>
      <c r="F756" s="572"/>
      <c r="G756" s="584"/>
      <c r="H756" s="570"/>
      <c r="I756" s="570"/>
      <c r="J756" s="572"/>
      <c r="K756" s="572"/>
      <c r="L756" s="572"/>
      <c r="M756" s="609" t="str">
        <f t="shared" si="3"/>
        <v> </v>
      </c>
      <c r="N756" s="572"/>
      <c r="O756" s="572"/>
      <c r="P756" s="572"/>
      <c r="Q756" s="572"/>
      <c r="R756" s="572"/>
      <c r="S756" s="574"/>
    </row>
    <row r="757" ht="13.5" customHeight="1">
      <c r="A757" s="572"/>
      <c r="B757" s="572"/>
      <c r="C757" s="572"/>
      <c r="D757" s="573"/>
      <c r="E757" s="572"/>
      <c r="F757" s="572"/>
      <c r="G757" s="584"/>
      <c r="H757" s="570"/>
      <c r="I757" s="570"/>
      <c r="J757" s="572"/>
      <c r="K757" s="572"/>
      <c r="L757" s="572"/>
      <c r="M757" s="609" t="str">
        <f t="shared" si="3"/>
        <v> </v>
      </c>
      <c r="N757" s="572"/>
      <c r="O757" s="572"/>
      <c r="P757" s="572"/>
      <c r="Q757" s="572"/>
      <c r="R757" s="572"/>
      <c r="S757" s="574"/>
    </row>
    <row r="758" ht="13.5" customHeight="1">
      <c r="A758" s="572"/>
      <c r="B758" s="572"/>
      <c r="C758" s="572"/>
      <c r="D758" s="573"/>
      <c r="E758" s="572"/>
      <c r="F758" s="572"/>
      <c r="G758" s="584"/>
      <c r="H758" s="570"/>
      <c r="I758" s="570"/>
      <c r="J758" s="572"/>
      <c r="K758" s="572"/>
      <c r="L758" s="572"/>
      <c r="M758" s="609" t="str">
        <f t="shared" si="3"/>
        <v> </v>
      </c>
      <c r="N758" s="572"/>
      <c r="O758" s="572"/>
      <c r="P758" s="572"/>
      <c r="Q758" s="572"/>
      <c r="R758" s="572"/>
      <c r="S758" s="574"/>
    </row>
    <row r="759" ht="13.5" customHeight="1">
      <c r="A759" s="572"/>
      <c r="B759" s="572"/>
      <c r="C759" s="572"/>
      <c r="D759" s="573"/>
      <c r="E759" s="572"/>
      <c r="F759" s="572"/>
      <c r="G759" s="584"/>
      <c r="H759" s="570"/>
      <c r="I759" s="570"/>
      <c r="J759" s="572"/>
      <c r="K759" s="572"/>
      <c r="L759" s="572"/>
      <c r="M759" s="609" t="str">
        <f t="shared" si="3"/>
        <v> </v>
      </c>
      <c r="N759" s="572"/>
      <c r="O759" s="572"/>
      <c r="P759" s="572"/>
      <c r="Q759" s="572"/>
      <c r="R759" s="572"/>
      <c r="S759" s="574"/>
    </row>
    <row r="760" ht="13.5" customHeight="1">
      <c r="A760" s="572"/>
      <c r="B760" s="572"/>
      <c r="C760" s="572"/>
      <c r="D760" s="573"/>
      <c r="E760" s="572"/>
      <c r="F760" s="572"/>
      <c r="G760" s="584"/>
      <c r="H760" s="570"/>
      <c r="I760" s="570"/>
      <c r="J760" s="572"/>
      <c r="K760" s="572"/>
      <c r="L760" s="572"/>
      <c r="M760" s="609" t="str">
        <f t="shared" si="3"/>
        <v> </v>
      </c>
      <c r="N760" s="572"/>
      <c r="O760" s="572"/>
      <c r="P760" s="572"/>
      <c r="Q760" s="572"/>
      <c r="R760" s="572"/>
      <c r="S760" s="574"/>
    </row>
    <row r="761" ht="13.5" customHeight="1">
      <c r="A761" s="572"/>
      <c r="B761" s="572"/>
      <c r="C761" s="572"/>
      <c r="D761" s="573"/>
      <c r="E761" s="572"/>
      <c r="F761" s="572"/>
      <c r="G761" s="584"/>
      <c r="H761" s="570"/>
      <c r="I761" s="570"/>
      <c r="J761" s="572"/>
      <c r="K761" s="572"/>
      <c r="L761" s="572"/>
      <c r="M761" s="609" t="str">
        <f t="shared" si="3"/>
        <v> </v>
      </c>
      <c r="N761" s="572"/>
      <c r="O761" s="572"/>
      <c r="P761" s="572"/>
      <c r="Q761" s="572"/>
      <c r="R761" s="572"/>
      <c r="S761" s="574"/>
    </row>
    <row r="762" ht="13.5" customHeight="1">
      <c r="A762" s="572"/>
      <c r="B762" s="572"/>
      <c r="C762" s="572"/>
      <c r="D762" s="573"/>
      <c r="E762" s="572"/>
      <c r="F762" s="572"/>
      <c r="G762" s="584"/>
      <c r="H762" s="570"/>
      <c r="I762" s="570"/>
      <c r="J762" s="572"/>
      <c r="K762" s="572"/>
      <c r="L762" s="572"/>
      <c r="M762" s="609" t="str">
        <f t="shared" si="3"/>
        <v> </v>
      </c>
      <c r="N762" s="572"/>
      <c r="O762" s="572"/>
      <c r="P762" s="572"/>
      <c r="Q762" s="572"/>
      <c r="R762" s="572"/>
      <c r="S762" s="574"/>
    </row>
    <row r="763" ht="13.5" customHeight="1">
      <c r="A763" s="572"/>
      <c r="B763" s="572"/>
      <c r="C763" s="572"/>
      <c r="D763" s="573"/>
      <c r="E763" s="572"/>
      <c r="F763" s="572"/>
      <c r="G763" s="584"/>
      <c r="H763" s="570"/>
      <c r="I763" s="570"/>
      <c r="J763" s="572"/>
      <c r="K763" s="572"/>
      <c r="L763" s="572"/>
      <c r="M763" s="609" t="str">
        <f t="shared" si="3"/>
        <v> </v>
      </c>
      <c r="N763" s="572"/>
      <c r="O763" s="572"/>
      <c r="P763" s="572"/>
      <c r="Q763" s="572"/>
      <c r="R763" s="572"/>
      <c r="S763" s="574"/>
    </row>
    <row r="764" ht="13.5" customHeight="1">
      <c r="A764" s="572"/>
      <c r="B764" s="572"/>
      <c r="C764" s="572"/>
      <c r="D764" s="573"/>
      <c r="E764" s="572"/>
      <c r="F764" s="572"/>
      <c r="G764" s="584"/>
      <c r="H764" s="570"/>
      <c r="I764" s="570"/>
      <c r="J764" s="572"/>
      <c r="K764" s="572"/>
      <c r="L764" s="572"/>
      <c r="M764" s="609" t="str">
        <f t="shared" si="3"/>
        <v> </v>
      </c>
      <c r="N764" s="572"/>
      <c r="O764" s="572"/>
      <c r="P764" s="572"/>
      <c r="Q764" s="572"/>
      <c r="R764" s="572"/>
      <c r="S764" s="574"/>
    </row>
    <row r="765" ht="13.5" customHeight="1">
      <c r="A765" s="572"/>
      <c r="B765" s="572"/>
      <c r="C765" s="572"/>
      <c r="D765" s="573"/>
      <c r="E765" s="572"/>
      <c r="F765" s="572"/>
      <c r="G765" s="584"/>
      <c r="H765" s="570"/>
      <c r="I765" s="570"/>
      <c r="J765" s="572"/>
      <c r="K765" s="572"/>
      <c r="L765" s="572"/>
      <c r="M765" s="609" t="str">
        <f t="shared" si="3"/>
        <v> </v>
      </c>
      <c r="N765" s="572"/>
      <c r="O765" s="572"/>
      <c r="P765" s="572"/>
      <c r="Q765" s="572"/>
      <c r="R765" s="572"/>
      <c r="S765" s="574"/>
    </row>
    <row r="766" ht="13.5" customHeight="1">
      <c r="A766" s="572"/>
      <c r="B766" s="572"/>
      <c r="C766" s="572"/>
      <c r="D766" s="573"/>
      <c r="E766" s="572"/>
      <c r="F766" s="572"/>
      <c r="G766" s="584"/>
      <c r="H766" s="570"/>
      <c r="I766" s="570"/>
      <c r="J766" s="572"/>
      <c r="K766" s="572"/>
      <c r="L766" s="572"/>
      <c r="M766" s="609" t="str">
        <f t="shared" si="3"/>
        <v> </v>
      </c>
      <c r="N766" s="572"/>
      <c r="O766" s="572"/>
      <c r="P766" s="572"/>
      <c r="Q766" s="572"/>
      <c r="R766" s="572"/>
      <c r="S766" s="574"/>
    </row>
    <row r="767" ht="13.5" customHeight="1">
      <c r="A767" s="572"/>
      <c r="B767" s="572"/>
      <c r="C767" s="572"/>
      <c r="D767" s="573"/>
      <c r="E767" s="572"/>
      <c r="F767" s="572"/>
      <c r="G767" s="584"/>
      <c r="H767" s="570"/>
      <c r="I767" s="570"/>
      <c r="J767" s="572"/>
      <c r="K767" s="572"/>
      <c r="L767" s="572"/>
      <c r="M767" s="609" t="str">
        <f t="shared" si="3"/>
        <v> </v>
      </c>
      <c r="N767" s="572"/>
      <c r="O767" s="572"/>
      <c r="P767" s="572"/>
      <c r="Q767" s="572"/>
      <c r="R767" s="572"/>
      <c r="S767" s="574"/>
    </row>
    <row r="768" ht="13.5" customHeight="1">
      <c r="A768" s="572"/>
      <c r="B768" s="572"/>
      <c r="C768" s="572"/>
      <c r="D768" s="573"/>
      <c r="E768" s="572"/>
      <c r="F768" s="572"/>
      <c r="G768" s="584"/>
      <c r="H768" s="570"/>
      <c r="I768" s="570"/>
      <c r="J768" s="572"/>
      <c r="K768" s="572"/>
      <c r="L768" s="572"/>
      <c r="M768" s="609" t="str">
        <f t="shared" si="3"/>
        <v> </v>
      </c>
      <c r="N768" s="572"/>
      <c r="O768" s="572"/>
      <c r="P768" s="572"/>
      <c r="Q768" s="572"/>
      <c r="R768" s="572"/>
      <c r="S768" s="574"/>
    </row>
    <row r="769" ht="13.5" customHeight="1">
      <c r="A769" s="572"/>
      <c r="B769" s="572"/>
      <c r="C769" s="572"/>
      <c r="D769" s="573"/>
      <c r="E769" s="572"/>
      <c r="F769" s="572"/>
      <c r="G769" s="584"/>
      <c r="H769" s="570"/>
      <c r="I769" s="570"/>
      <c r="J769" s="572"/>
      <c r="K769" s="572"/>
      <c r="L769" s="572"/>
      <c r="M769" s="609" t="str">
        <f t="shared" si="3"/>
        <v> </v>
      </c>
      <c r="N769" s="572"/>
      <c r="O769" s="572"/>
      <c r="P769" s="572"/>
      <c r="Q769" s="572"/>
      <c r="R769" s="572"/>
      <c r="S769" s="574"/>
    </row>
    <row r="770" ht="13.5" customHeight="1">
      <c r="A770" s="572"/>
      <c r="B770" s="572"/>
      <c r="C770" s="572"/>
      <c r="D770" s="573"/>
      <c r="E770" s="572"/>
      <c r="F770" s="572"/>
      <c r="G770" s="584"/>
      <c r="H770" s="570"/>
      <c r="I770" s="570"/>
      <c r="J770" s="572"/>
      <c r="K770" s="572"/>
      <c r="L770" s="572"/>
      <c r="M770" s="609" t="str">
        <f t="shared" si="3"/>
        <v> </v>
      </c>
      <c r="N770" s="572"/>
      <c r="O770" s="572"/>
      <c r="P770" s="572"/>
      <c r="Q770" s="572"/>
      <c r="R770" s="572"/>
      <c r="S770" s="574"/>
    </row>
    <row r="771" ht="13.5" customHeight="1">
      <c r="A771" s="572"/>
      <c r="B771" s="572"/>
      <c r="C771" s="572"/>
      <c r="D771" s="573"/>
      <c r="E771" s="572"/>
      <c r="F771" s="572"/>
      <c r="G771" s="584"/>
      <c r="H771" s="570"/>
      <c r="I771" s="570"/>
      <c r="J771" s="572"/>
      <c r="K771" s="572"/>
      <c r="L771" s="572"/>
      <c r="M771" s="609" t="str">
        <f t="shared" si="3"/>
        <v> </v>
      </c>
      <c r="N771" s="572"/>
      <c r="O771" s="572"/>
      <c r="P771" s="572"/>
      <c r="Q771" s="572"/>
      <c r="R771" s="572"/>
      <c r="S771" s="574"/>
    </row>
    <row r="772" ht="13.5" customHeight="1">
      <c r="A772" s="572"/>
      <c r="B772" s="572"/>
      <c r="C772" s="572"/>
      <c r="D772" s="573"/>
      <c r="E772" s="572"/>
      <c r="F772" s="572"/>
      <c r="G772" s="584"/>
      <c r="H772" s="570"/>
      <c r="I772" s="570"/>
      <c r="J772" s="572"/>
      <c r="K772" s="572"/>
      <c r="L772" s="572"/>
      <c r="M772" s="609" t="str">
        <f t="shared" si="3"/>
        <v> </v>
      </c>
      <c r="N772" s="572"/>
      <c r="O772" s="572"/>
      <c r="P772" s="572"/>
      <c r="Q772" s="572"/>
      <c r="R772" s="572"/>
      <c r="S772" s="574"/>
    </row>
    <row r="773" ht="13.5" customHeight="1">
      <c r="A773" s="572"/>
      <c r="B773" s="572"/>
      <c r="C773" s="572"/>
      <c r="D773" s="573"/>
      <c r="E773" s="572"/>
      <c r="F773" s="572"/>
      <c r="G773" s="584"/>
      <c r="H773" s="570"/>
      <c r="I773" s="570"/>
      <c r="J773" s="572"/>
      <c r="K773" s="572"/>
      <c r="L773" s="572"/>
      <c r="M773" s="573"/>
      <c r="N773" s="572"/>
      <c r="O773" s="572"/>
      <c r="P773" s="572"/>
      <c r="Q773" s="572"/>
      <c r="R773" s="572"/>
      <c r="S773" s="574"/>
    </row>
    <row r="774" ht="13.5" customHeight="1">
      <c r="A774" s="572"/>
      <c r="B774" s="572"/>
      <c r="C774" s="572"/>
      <c r="D774" s="573"/>
      <c r="E774" s="572"/>
      <c r="F774" s="572"/>
      <c r="G774" s="584"/>
      <c r="H774" s="570"/>
      <c r="I774" s="570"/>
      <c r="J774" s="572"/>
      <c r="K774" s="572"/>
      <c r="L774" s="572"/>
      <c r="M774" s="573"/>
      <c r="N774" s="572"/>
      <c r="O774" s="572"/>
      <c r="P774" s="572"/>
      <c r="Q774" s="572"/>
      <c r="R774" s="572"/>
      <c r="S774" s="574"/>
    </row>
    <row r="775" ht="13.5" customHeight="1">
      <c r="A775" s="572"/>
      <c r="B775" s="572"/>
      <c r="C775" s="572"/>
      <c r="D775" s="573"/>
      <c r="E775" s="572"/>
      <c r="F775" s="572"/>
      <c r="G775" s="584"/>
      <c r="H775" s="570"/>
      <c r="I775" s="570"/>
      <c r="J775" s="572"/>
      <c r="K775" s="572"/>
      <c r="L775" s="572"/>
      <c r="M775" s="573"/>
      <c r="N775" s="572"/>
      <c r="O775" s="572"/>
      <c r="P775" s="572"/>
      <c r="Q775" s="572"/>
      <c r="R775" s="572"/>
      <c r="S775" s="574"/>
    </row>
    <row r="776" ht="13.5" customHeight="1">
      <c r="A776" s="572"/>
      <c r="B776" s="572"/>
      <c r="C776" s="572"/>
      <c r="D776" s="573"/>
      <c r="E776" s="572"/>
      <c r="F776" s="572"/>
      <c r="G776" s="584"/>
      <c r="H776" s="570"/>
      <c r="I776" s="570"/>
      <c r="J776" s="572"/>
      <c r="K776" s="572"/>
      <c r="L776" s="572"/>
      <c r="M776" s="573"/>
      <c r="N776" s="572"/>
      <c r="O776" s="572"/>
      <c r="P776" s="572"/>
      <c r="Q776" s="572"/>
      <c r="R776" s="572"/>
      <c r="S776" s="574"/>
    </row>
    <row r="777" ht="13.5" customHeight="1">
      <c r="A777" s="572"/>
      <c r="B777" s="572"/>
      <c r="C777" s="572"/>
      <c r="D777" s="573"/>
      <c r="E777" s="572"/>
      <c r="F777" s="572"/>
      <c r="G777" s="584"/>
      <c r="H777" s="570"/>
      <c r="I777" s="570"/>
      <c r="J777" s="572"/>
      <c r="K777" s="572"/>
      <c r="L777" s="572"/>
      <c r="M777" s="573"/>
      <c r="N777" s="572"/>
      <c r="O777" s="572"/>
      <c r="P777" s="572"/>
      <c r="Q777" s="572"/>
      <c r="R777" s="572"/>
      <c r="S777" s="574"/>
    </row>
    <row r="778" ht="13.5" customHeight="1">
      <c r="A778" s="572"/>
      <c r="B778" s="572"/>
      <c r="C778" s="572"/>
      <c r="D778" s="573"/>
      <c r="E778" s="572"/>
      <c r="F778" s="572"/>
      <c r="G778" s="584"/>
      <c r="H778" s="570"/>
      <c r="I778" s="570"/>
      <c r="J778" s="572"/>
      <c r="K778" s="572"/>
      <c r="L778" s="572"/>
      <c r="M778" s="573"/>
      <c r="N778" s="572"/>
      <c r="O778" s="572"/>
      <c r="P778" s="572"/>
      <c r="Q778" s="572"/>
      <c r="R778" s="572"/>
      <c r="S778" s="574"/>
    </row>
    <row r="779" ht="13.5" customHeight="1">
      <c r="A779" s="572"/>
      <c r="B779" s="572"/>
      <c r="C779" s="572"/>
      <c r="D779" s="573"/>
      <c r="E779" s="572"/>
      <c r="F779" s="572"/>
      <c r="G779" s="584"/>
      <c r="H779" s="570"/>
      <c r="I779" s="570"/>
      <c r="J779" s="572"/>
      <c r="K779" s="572"/>
      <c r="L779" s="572"/>
      <c r="M779" s="573"/>
      <c r="N779" s="572"/>
      <c r="O779" s="572"/>
      <c r="P779" s="572"/>
      <c r="Q779" s="572"/>
      <c r="R779" s="572"/>
      <c r="S779" s="574"/>
    </row>
    <row r="780" ht="13.5" customHeight="1">
      <c r="A780" s="572"/>
      <c r="B780" s="572"/>
      <c r="C780" s="572"/>
      <c r="D780" s="573"/>
      <c r="E780" s="572"/>
      <c r="F780" s="572"/>
      <c r="G780" s="584"/>
      <c r="H780" s="570"/>
      <c r="I780" s="570"/>
      <c r="J780" s="572"/>
      <c r="K780" s="572"/>
      <c r="L780" s="572"/>
      <c r="M780" s="573"/>
      <c r="N780" s="572"/>
      <c r="O780" s="572"/>
      <c r="P780" s="572"/>
      <c r="Q780" s="572"/>
      <c r="R780" s="572"/>
      <c r="S780" s="574"/>
    </row>
    <row r="781" ht="13.5" customHeight="1">
      <c r="A781" s="572"/>
      <c r="B781" s="572"/>
      <c r="C781" s="572"/>
      <c r="D781" s="573"/>
      <c r="E781" s="572"/>
      <c r="F781" s="572"/>
      <c r="G781" s="584"/>
      <c r="H781" s="570"/>
      <c r="I781" s="570"/>
      <c r="J781" s="572"/>
      <c r="K781" s="572"/>
      <c r="L781" s="572"/>
      <c r="M781" s="573"/>
      <c r="N781" s="572"/>
      <c r="O781" s="572"/>
      <c r="P781" s="572"/>
      <c r="Q781" s="572"/>
      <c r="R781" s="572"/>
      <c r="S781" s="574"/>
    </row>
    <row r="782" ht="13.5" customHeight="1">
      <c r="A782" s="572"/>
      <c r="B782" s="572"/>
      <c r="C782" s="572"/>
      <c r="D782" s="573"/>
      <c r="E782" s="572"/>
      <c r="F782" s="572"/>
      <c r="G782" s="584"/>
      <c r="H782" s="570"/>
      <c r="I782" s="570"/>
      <c r="J782" s="572"/>
      <c r="K782" s="572"/>
      <c r="L782" s="572"/>
      <c r="M782" s="573"/>
      <c r="N782" s="572"/>
      <c r="O782" s="572"/>
      <c r="P782" s="572"/>
      <c r="Q782" s="572"/>
      <c r="R782" s="572"/>
      <c r="S782" s="574"/>
    </row>
    <row r="783" ht="13.5" customHeight="1">
      <c r="A783" s="572"/>
      <c r="B783" s="572"/>
      <c r="C783" s="572"/>
      <c r="D783" s="573"/>
      <c r="E783" s="572"/>
      <c r="F783" s="572"/>
      <c r="G783" s="584"/>
      <c r="H783" s="570"/>
      <c r="I783" s="570"/>
      <c r="J783" s="572"/>
      <c r="K783" s="572"/>
      <c r="L783" s="572"/>
      <c r="M783" s="573"/>
      <c r="N783" s="572"/>
      <c r="O783" s="572"/>
      <c r="P783" s="572"/>
      <c r="Q783" s="572"/>
      <c r="R783" s="572"/>
      <c r="S783" s="574"/>
    </row>
    <row r="784" ht="13.5" customHeight="1">
      <c r="A784" s="572"/>
      <c r="B784" s="572"/>
      <c r="C784" s="572"/>
      <c r="D784" s="573"/>
      <c r="E784" s="572"/>
      <c r="F784" s="572"/>
      <c r="G784" s="584"/>
      <c r="H784" s="570"/>
      <c r="I784" s="570"/>
      <c r="J784" s="572"/>
      <c r="K784" s="572"/>
      <c r="L784" s="572"/>
      <c r="M784" s="573"/>
      <c r="N784" s="572"/>
      <c r="O784" s="572"/>
      <c r="P784" s="572"/>
      <c r="Q784" s="572"/>
      <c r="R784" s="572"/>
      <c r="S784" s="574"/>
    </row>
    <row r="785" ht="13.5" customHeight="1">
      <c r="A785" s="572"/>
      <c r="B785" s="572"/>
      <c r="C785" s="572"/>
      <c r="D785" s="573"/>
      <c r="E785" s="572"/>
      <c r="F785" s="572"/>
      <c r="G785" s="584"/>
      <c r="H785" s="570"/>
      <c r="I785" s="570"/>
      <c r="J785" s="572"/>
      <c r="K785" s="572"/>
      <c r="L785" s="572"/>
      <c r="M785" s="573"/>
      <c r="N785" s="572"/>
      <c r="O785" s="572"/>
      <c r="P785" s="572"/>
      <c r="Q785" s="572"/>
      <c r="R785" s="572"/>
      <c r="S785" s="574"/>
    </row>
    <row r="786" ht="13.5" customHeight="1">
      <c r="A786" s="572"/>
      <c r="B786" s="572"/>
      <c r="C786" s="572"/>
      <c r="D786" s="573"/>
      <c r="E786" s="572"/>
      <c r="F786" s="572"/>
      <c r="G786" s="584"/>
      <c r="H786" s="570"/>
      <c r="I786" s="570"/>
      <c r="J786" s="572"/>
      <c r="K786" s="572"/>
      <c r="L786" s="572"/>
      <c r="M786" s="573"/>
      <c r="N786" s="572"/>
      <c r="O786" s="572"/>
      <c r="P786" s="572"/>
      <c r="Q786" s="572"/>
      <c r="R786" s="572"/>
      <c r="S786" s="574"/>
    </row>
    <row r="787" ht="13.5" customHeight="1">
      <c r="A787" s="572"/>
      <c r="B787" s="572"/>
      <c r="C787" s="572"/>
      <c r="D787" s="573"/>
      <c r="E787" s="572"/>
      <c r="F787" s="572"/>
      <c r="G787" s="584"/>
      <c r="H787" s="570"/>
      <c r="I787" s="570"/>
      <c r="J787" s="572"/>
      <c r="K787" s="572"/>
      <c r="L787" s="572"/>
      <c r="M787" s="573"/>
      <c r="N787" s="572"/>
      <c r="O787" s="572"/>
      <c r="P787" s="572"/>
      <c r="Q787" s="572"/>
      <c r="R787" s="572"/>
      <c r="S787" s="574"/>
    </row>
    <row r="788" ht="13.5" customHeight="1">
      <c r="A788" s="572"/>
      <c r="B788" s="572"/>
      <c r="C788" s="572"/>
      <c r="D788" s="573"/>
      <c r="E788" s="572"/>
      <c r="F788" s="572"/>
      <c r="G788" s="584"/>
      <c r="H788" s="570"/>
      <c r="I788" s="570"/>
      <c r="J788" s="572"/>
      <c r="K788" s="572"/>
      <c r="L788" s="572"/>
      <c r="M788" s="573"/>
      <c r="N788" s="572"/>
      <c r="O788" s="572"/>
      <c r="P788" s="572"/>
      <c r="Q788" s="572"/>
      <c r="R788" s="572"/>
      <c r="S788" s="574"/>
    </row>
    <row r="789" ht="13.5" customHeight="1">
      <c r="A789" s="572"/>
      <c r="B789" s="572"/>
      <c r="C789" s="572"/>
      <c r="D789" s="573"/>
      <c r="E789" s="572"/>
      <c r="F789" s="572"/>
      <c r="G789" s="584"/>
      <c r="H789" s="570"/>
      <c r="I789" s="570"/>
      <c r="J789" s="572"/>
      <c r="K789" s="572"/>
      <c r="L789" s="572"/>
      <c r="M789" s="573"/>
      <c r="N789" s="572"/>
      <c r="O789" s="572"/>
      <c r="P789" s="572"/>
      <c r="Q789" s="572"/>
      <c r="R789" s="572"/>
      <c r="S789" s="574"/>
    </row>
    <row r="790" ht="13.5" customHeight="1">
      <c r="A790" s="572"/>
      <c r="B790" s="572"/>
      <c r="C790" s="572"/>
      <c r="D790" s="573"/>
      <c r="E790" s="572"/>
      <c r="F790" s="572"/>
      <c r="G790" s="584"/>
      <c r="H790" s="570"/>
      <c r="I790" s="570"/>
      <c r="J790" s="572"/>
      <c r="K790" s="572"/>
      <c r="L790" s="572"/>
      <c r="M790" s="573"/>
      <c r="N790" s="572"/>
      <c r="O790" s="572"/>
      <c r="P790" s="572"/>
      <c r="Q790" s="572"/>
      <c r="R790" s="572"/>
      <c r="S790" s="574"/>
    </row>
    <row r="791" ht="13.5" customHeight="1">
      <c r="A791" s="572"/>
      <c r="B791" s="572"/>
      <c r="C791" s="572"/>
      <c r="D791" s="573"/>
      <c r="E791" s="572"/>
      <c r="F791" s="572"/>
      <c r="G791" s="584"/>
      <c r="H791" s="570"/>
      <c r="I791" s="570"/>
      <c r="J791" s="572"/>
      <c r="K791" s="572"/>
      <c r="L791" s="572"/>
      <c r="M791" s="573"/>
      <c r="N791" s="572"/>
      <c r="O791" s="572"/>
      <c r="P791" s="572"/>
      <c r="Q791" s="572"/>
      <c r="R791" s="572"/>
      <c r="S791" s="574"/>
    </row>
    <row r="792" ht="13.5" customHeight="1">
      <c r="A792" s="572"/>
      <c r="B792" s="572"/>
      <c r="C792" s="572"/>
      <c r="D792" s="573"/>
      <c r="E792" s="572"/>
      <c r="F792" s="572"/>
      <c r="G792" s="584"/>
      <c r="H792" s="570"/>
      <c r="I792" s="570"/>
      <c r="J792" s="572"/>
      <c r="K792" s="572"/>
      <c r="L792" s="572"/>
      <c r="M792" s="573"/>
      <c r="N792" s="572"/>
      <c r="O792" s="572"/>
      <c r="P792" s="572"/>
      <c r="Q792" s="572"/>
      <c r="R792" s="572"/>
      <c r="S792" s="574"/>
    </row>
    <row r="793" ht="13.5" customHeight="1">
      <c r="A793" s="572"/>
      <c r="B793" s="572"/>
      <c r="C793" s="572"/>
      <c r="D793" s="573"/>
      <c r="E793" s="572"/>
      <c r="F793" s="572"/>
      <c r="G793" s="584"/>
      <c r="H793" s="570"/>
      <c r="I793" s="570"/>
      <c r="J793" s="572"/>
      <c r="K793" s="572"/>
      <c r="L793" s="572"/>
      <c r="M793" s="573"/>
      <c r="N793" s="572"/>
      <c r="O793" s="572"/>
      <c r="P793" s="572"/>
      <c r="Q793" s="572"/>
      <c r="R793" s="572"/>
      <c r="S793" s="574"/>
    </row>
    <row r="794" ht="13.5" customHeight="1">
      <c r="A794" s="572"/>
      <c r="B794" s="572"/>
      <c r="C794" s="572"/>
      <c r="D794" s="573"/>
      <c r="E794" s="572"/>
      <c r="F794" s="572"/>
      <c r="G794" s="584"/>
      <c r="H794" s="570"/>
      <c r="I794" s="570"/>
      <c r="J794" s="572"/>
      <c r="K794" s="572"/>
      <c r="L794" s="572"/>
      <c r="M794" s="573"/>
      <c r="N794" s="572"/>
      <c r="O794" s="572"/>
      <c r="P794" s="572"/>
      <c r="Q794" s="572"/>
      <c r="R794" s="572"/>
      <c r="S794" s="574"/>
    </row>
    <row r="795" ht="13.5" customHeight="1">
      <c r="A795" s="572"/>
      <c r="B795" s="572"/>
      <c r="C795" s="572"/>
      <c r="D795" s="573"/>
      <c r="E795" s="572"/>
      <c r="F795" s="572"/>
      <c r="G795" s="584"/>
      <c r="H795" s="570"/>
      <c r="I795" s="570"/>
      <c r="J795" s="572"/>
      <c r="K795" s="572"/>
      <c r="L795" s="572"/>
      <c r="M795" s="573"/>
      <c r="N795" s="572"/>
      <c r="O795" s="572"/>
      <c r="P795" s="572"/>
      <c r="Q795" s="572"/>
      <c r="R795" s="572"/>
      <c r="S795" s="574"/>
    </row>
    <row r="796" ht="13.5" customHeight="1">
      <c r="A796" s="572"/>
      <c r="B796" s="572"/>
      <c r="C796" s="572"/>
      <c r="D796" s="573"/>
      <c r="E796" s="572"/>
      <c r="F796" s="572"/>
      <c r="G796" s="584"/>
      <c r="H796" s="570"/>
      <c r="I796" s="570"/>
      <c r="J796" s="572"/>
      <c r="K796" s="572"/>
      <c r="L796" s="572"/>
      <c r="M796" s="573"/>
      <c r="N796" s="572"/>
      <c r="O796" s="572"/>
      <c r="P796" s="572"/>
      <c r="Q796" s="572"/>
      <c r="R796" s="572"/>
      <c r="S796" s="574"/>
    </row>
    <row r="797" ht="13.5" customHeight="1">
      <c r="A797" s="572"/>
      <c r="B797" s="572"/>
      <c r="C797" s="572"/>
      <c r="D797" s="573"/>
      <c r="E797" s="572"/>
      <c r="F797" s="572"/>
      <c r="G797" s="584"/>
      <c r="H797" s="570"/>
      <c r="I797" s="570"/>
      <c r="J797" s="572"/>
      <c r="K797" s="572"/>
      <c r="L797" s="572"/>
      <c r="M797" s="573"/>
      <c r="N797" s="572"/>
      <c r="O797" s="572"/>
      <c r="P797" s="572"/>
      <c r="Q797" s="572"/>
      <c r="R797" s="572"/>
      <c r="S797" s="574"/>
    </row>
    <row r="798" ht="13.5" customHeight="1">
      <c r="A798" s="572"/>
      <c r="B798" s="572"/>
      <c r="C798" s="572"/>
      <c r="D798" s="573"/>
      <c r="E798" s="572"/>
      <c r="F798" s="572"/>
      <c r="G798" s="584"/>
      <c r="H798" s="570"/>
      <c r="I798" s="570"/>
      <c r="J798" s="572"/>
      <c r="K798" s="572"/>
      <c r="L798" s="572"/>
      <c r="M798" s="573"/>
      <c r="N798" s="572"/>
      <c r="O798" s="572"/>
      <c r="P798" s="572"/>
      <c r="Q798" s="572"/>
      <c r="R798" s="572"/>
      <c r="S798" s="574"/>
    </row>
    <row r="799" ht="13.5" customHeight="1">
      <c r="A799" s="572"/>
      <c r="B799" s="572"/>
      <c r="C799" s="572"/>
      <c r="D799" s="573"/>
      <c r="E799" s="572"/>
      <c r="F799" s="572"/>
      <c r="G799" s="584"/>
      <c r="H799" s="570"/>
      <c r="I799" s="570"/>
      <c r="J799" s="572"/>
      <c r="K799" s="572"/>
      <c r="L799" s="572"/>
      <c r="M799" s="573"/>
      <c r="N799" s="572"/>
      <c r="O799" s="572"/>
      <c r="P799" s="572"/>
      <c r="Q799" s="572"/>
      <c r="R799" s="572"/>
      <c r="S799" s="574"/>
    </row>
    <row r="800" ht="13.5" customHeight="1">
      <c r="A800" s="572"/>
      <c r="B800" s="572"/>
      <c r="C800" s="572"/>
      <c r="D800" s="573"/>
      <c r="E800" s="572"/>
      <c r="F800" s="572"/>
      <c r="G800" s="584"/>
      <c r="H800" s="570"/>
      <c r="I800" s="570"/>
      <c r="J800" s="572"/>
      <c r="K800" s="572"/>
      <c r="L800" s="572"/>
      <c r="M800" s="573"/>
      <c r="N800" s="572"/>
      <c r="O800" s="572"/>
      <c r="P800" s="572"/>
      <c r="Q800" s="572"/>
      <c r="R800" s="572"/>
      <c r="S800" s="574"/>
    </row>
    <row r="801" ht="13.5" customHeight="1">
      <c r="A801" s="572"/>
      <c r="B801" s="572"/>
      <c r="C801" s="572"/>
      <c r="D801" s="573"/>
      <c r="E801" s="572"/>
      <c r="F801" s="572"/>
      <c r="G801" s="584"/>
      <c r="H801" s="570"/>
      <c r="I801" s="570"/>
      <c r="J801" s="572"/>
      <c r="K801" s="572"/>
      <c r="L801" s="572"/>
      <c r="M801" s="573"/>
      <c r="N801" s="572"/>
      <c r="O801" s="572"/>
      <c r="P801" s="572"/>
      <c r="Q801" s="572"/>
      <c r="R801" s="572"/>
      <c r="S801" s="574"/>
    </row>
    <row r="802" ht="13.5" customHeight="1">
      <c r="A802" s="572"/>
      <c r="B802" s="572"/>
      <c r="C802" s="572"/>
      <c r="D802" s="573"/>
      <c r="E802" s="572"/>
      <c r="F802" s="572"/>
      <c r="G802" s="584"/>
      <c r="H802" s="570"/>
      <c r="I802" s="570"/>
      <c r="J802" s="572"/>
      <c r="K802" s="572"/>
      <c r="L802" s="572"/>
      <c r="M802" s="573"/>
      <c r="N802" s="572"/>
      <c r="O802" s="572"/>
      <c r="P802" s="572"/>
      <c r="Q802" s="572"/>
      <c r="R802" s="572"/>
      <c r="S802" s="574"/>
    </row>
    <row r="803" ht="13.5" customHeight="1">
      <c r="A803" s="572"/>
      <c r="B803" s="572"/>
      <c r="C803" s="572"/>
      <c r="D803" s="573"/>
      <c r="E803" s="572"/>
      <c r="F803" s="572"/>
      <c r="G803" s="584"/>
      <c r="H803" s="570"/>
      <c r="I803" s="570"/>
      <c r="J803" s="572"/>
      <c r="K803" s="572"/>
      <c r="L803" s="572"/>
      <c r="M803" s="573"/>
      <c r="N803" s="572"/>
      <c r="O803" s="572"/>
      <c r="P803" s="572"/>
      <c r="Q803" s="572"/>
      <c r="R803" s="572"/>
      <c r="S803" s="574"/>
    </row>
    <row r="804" ht="13.5" customHeight="1">
      <c r="A804" s="572"/>
      <c r="B804" s="572"/>
      <c r="C804" s="572"/>
      <c r="D804" s="573"/>
      <c r="E804" s="572"/>
      <c r="F804" s="572"/>
      <c r="G804" s="584"/>
      <c r="H804" s="570"/>
      <c r="I804" s="570"/>
      <c r="J804" s="572"/>
      <c r="K804" s="572"/>
      <c r="L804" s="572"/>
      <c r="M804" s="573"/>
      <c r="N804" s="572"/>
      <c r="O804" s="572"/>
      <c r="P804" s="572"/>
      <c r="Q804" s="572"/>
      <c r="R804" s="572"/>
      <c r="S804" s="574"/>
    </row>
    <row r="805" ht="13.5" customHeight="1">
      <c r="A805" s="572"/>
      <c r="B805" s="572"/>
      <c r="C805" s="572"/>
      <c r="D805" s="573"/>
      <c r="E805" s="572"/>
      <c r="F805" s="572"/>
      <c r="G805" s="584"/>
      <c r="H805" s="570"/>
      <c r="I805" s="570"/>
      <c r="J805" s="572"/>
      <c r="K805" s="572"/>
      <c r="L805" s="572"/>
      <c r="M805" s="573"/>
      <c r="N805" s="572"/>
      <c r="O805" s="572"/>
      <c r="P805" s="572"/>
      <c r="Q805" s="572"/>
      <c r="R805" s="572"/>
      <c r="S805" s="574"/>
    </row>
    <row r="806" ht="13.5" customHeight="1">
      <c r="A806" s="572"/>
      <c r="B806" s="572"/>
      <c r="C806" s="572"/>
      <c r="D806" s="573"/>
      <c r="E806" s="572"/>
      <c r="F806" s="572"/>
      <c r="G806" s="584"/>
      <c r="H806" s="570"/>
      <c r="I806" s="570"/>
      <c r="J806" s="572"/>
      <c r="K806" s="572"/>
      <c r="L806" s="572"/>
      <c r="M806" s="573"/>
      <c r="N806" s="572"/>
      <c r="O806" s="572"/>
      <c r="P806" s="572"/>
      <c r="Q806" s="572"/>
      <c r="R806" s="572"/>
      <c r="S806" s="574"/>
    </row>
    <row r="807" ht="13.5" customHeight="1">
      <c r="A807" s="572"/>
      <c r="B807" s="572"/>
      <c r="C807" s="572"/>
      <c r="D807" s="573"/>
      <c r="E807" s="572"/>
      <c r="F807" s="572"/>
      <c r="G807" s="584"/>
      <c r="H807" s="570"/>
      <c r="I807" s="570"/>
      <c r="J807" s="572"/>
      <c r="K807" s="572"/>
      <c r="L807" s="572"/>
      <c r="M807" s="573"/>
      <c r="N807" s="572"/>
      <c r="O807" s="572"/>
      <c r="P807" s="572"/>
      <c r="Q807" s="572"/>
      <c r="R807" s="572"/>
      <c r="S807" s="574"/>
    </row>
    <row r="808" ht="13.5" customHeight="1">
      <c r="A808" s="572"/>
      <c r="B808" s="572"/>
      <c r="C808" s="572"/>
      <c r="D808" s="573"/>
      <c r="E808" s="572"/>
      <c r="F808" s="572"/>
      <c r="G808" s="584"/>
      <c r="H808" s="570"/>
      <c r="I808" s="570"/>
      <c r="J808" s="572"/>
      <c r="K808" s="572"/>
      <c r="L808" s="572"/>
      <c r="M808" s="573"/>
      <c r="N808" s="572"/>
      <c r="O808" s="572"/>
      <c r="P808" s="572"/>
      <c r="Q808" s="572"/>
      <c r="R808" s="572"/>
      <c r="S808" s="574"/>
    </row>
    <row r="809" ht="13.5" customHeight="1">
      <c r="A809" s="572"/>
      <c r="B809" s="572"/>
      <c r="C809" s="572"/>
      <c r="D809" s="573"/>
      <c r="E809" s="572"/>
      <c r="F809" s="572"/>
      <c r="G809" s="584"/>
      <c r="H809" s="570"/>
      <c r="I809" s="570"/>
      <c r="J809" s="572"/>
      <c r="K809" s="572"/>
      <c r="L809" s="572"/>
      <c r="M809" s="573"/>
      <c r="N809" s="572"/>
      <c r="O809" s="572"/>
      <c r="P809" s="572"/>
      <c r="Q809" s="572"/>
      <c r="R809" s="572"/>
      <c r="S809" s="574"/>
    </row>
    <row r="810" ht="13.5" customHeight="1">
      <c r="A810" s="572"/>
      <c r="B810" s="572"/>
      <c r="C810" s="572"/>
      <c r="D810" s="573"/>
      <c r="E810" s="572"/>
      <c r="F810" s="572"/>
      <c r="G810" s="584"/>
      <c r="H810" s="570"/>
      <c r="I810" s="570"/>
      <c r="J810" s="572"/>
      <c r="K810" s="572"/>
      <c r="L810" s="572"/>
      <c r="M810" s="573"/>
      <c r="N810" s="572"/>
      <c r="O810" s="572"/>
      <c r="P810" s="572"/>
      <c r="Q810" s="572"/>
      <c r="R810" s="572"/>
      <c r="S810" s="574"/>
    </row>
    <row r="811" ht="13.5" customHeight="1">
      <c r="A811" s="572"/>
      <c r="B811" s="572"/>
      <c r="C811" s="572"/>
      <c r="D811" s="573"/>
      <c r="E811" s="572"/>
      <c r="F811" s="572"/>
      <c r="G811" s="584"/>
      <c r="H811" s="570"/>
      <c r="I811" s="570"/>
      <c r="J811" s="572"/>
      <c r="K811" s="572"/>
      <c r="L811" s="572"/>
      <c r="M811" s="573"/>
      <c r="N811" s="572"/>
      <c r="O811" s="572"/>
      <c r="P811" s="572"/>
      <c r="Q811" s="572"/>
      <c r="R811" s="572"/>
      <c r="S811" s="574"/>
    </row>
    <row r="812" ht="13.5" customHeight="1">
      <c r="A812" s="572"/>
      <c r="B812" s="572"/>
      <c r="C812" s="572"/>
      <c r="D812" s="573"/>
      <c r="E812" s="572"/>
      <c r="F812" s="572"/>
      <c r="G812" s="584"/>
      <c r="H812" s="570"/>
      <c r="I812" s="570"/>
      <c r="J812" s="572"/>
      <c r="K812" s="572"/>
      <c r="L812" s="572"/>
      <c r="M812" s="573"/>
      <c r="N812" s="572"/>
      <c r="O812" s="572"/>
      <c r="P812" s="572"/>
      <c r="Q812" s="572"/>
      <c r="R812" s="572"/>
      <c r="S812" s="574"/>
    </row>
    <row r="813" ht="13.5" customHeight="1">
      <c r="A813" s="572"/>
      <c r="B813" s="572"/>
      <c r="C813" s="572"/>
      <c r="D813" s="573"/>
      <c r="E813" s="572"/>
      <c r="F813" s="572"/>
      <c r="G813" s="584"/>
      <c r="H813" s="570"/>
      <c r="I813" s="570"/>
      <c r="J813" s="572"/>
      <c r="K813" s="572"/>
      <c r="L813" s="572"/>
      <c r="M813" s="573"/>
      <c r="N813" s="572"/>
      <c r="O813" s="572"/>
      <c r="P813" s="572"/>
      <c r="Q813" s="572"/>
      <c r="R813" s="572"/>
      <c r="S813" s="574"/>
    </row>
    <row r="814" ht="13.5" customHeight="1">
      <c r="A814" s="572"/>
      <c r="B814" s="572"/>
      <c r="C814" s="572"/>
      <c r="D814" s="573"/>
      <c r="E814" s="572"/>
      <c r="F814" s="572"/>
      <c r="G814" s="584"/>
      <c r="H814" s="570"/>
      <c r="I814" s="570"/>
      <c r="J814" s="572"/>
      <c r="K814" s="572"/>
      <c r="L814" s="572"/>
      <c r="M814" s="573"/>
      <c r="N814" s="572"/>
      <c r="O814" s="572"/>
      <c r="P814" s="572"/>
      <c r="Q814" s="572"/>
      <c r="R814" s="572"/>
      <c r="S814" s="574"/>
    </row>
    <row r="815" ht="13.5" customHeight="1">
      <c r="A815" s="572"/>
      <c r="B815" s="572"/>
      <c r="C815" s="572"/>
      <c r="D815" s="573"/>
      <c r="E815" s="572"/>
      <c r="F815" s="572"/>
      <c r="G815" s="584"/>
      <c r="H815" s="570"/>
      <c r="I815" s="570"/>
      <c r="J815" s="572"/>
      <c r="K815" s="572"/>
      <c r="L815" s="572"/>
      <c r="M815" s="573"/>
      <c r="N815" s="572"/>
      <c r="O815" s="572"/>
      <c r="P815" s="572"/>
      <c r="Q815" s="572"/>
      <c r="R815" s="572"/>
      <c r="S815" s="574"/>
    </row>
    <row r="816" ht="13.5" customHeight="1">
      <c r="A816" s="572"/>
      <c r="B816" s="572"/>
      <c r="C816" s="572"/>
      <c r="D816" s="573"/>
      <c r="E816" s="572"/>
      <c r="F816" s="572"/>
      <c r="G816" s="584"/>
      <c r="H816" s="570"/>
      <c r="I816" s="570"/>
      <c r="J816" s="572"/>
      <c r="K816" s="572"/>
      <c r="L816" s="572"/>
      <c r="M816" s="573"/>
      <c r="N816" s="572"/>
      <c r="O816" s="572"/>
      <c r="P816" s="572"/>
      <c r="Q816" s="572"/>
      <c r="R816" s="572"/>
      <c r="S816" s="574"/>
    </row>
    <row r="817" ht="13.5" customHeight="1">
      <c r="A817" s="572"/>
      <c r="B817" s="572"/>
      <c r="C817" s="572"/>
      <c r="D817" s="573"/>
      <c r="E817" s="572"/>
      <c r="F817" s="572"/>
      <c r="G817" s="584"/>
      <c r="H817" s="570"/>
      <c r="I817" s="570"/>
      <c r="J817" s="572"/>
      <c r="K817" s="572"/>
      <c r="L817" s="572"/>
      <c r="M817" s="573"/>
      <c r="N817" s="572"/>
      <c r="O817" s="572"/>
      <c r="P817" s="572"/>
      <c r="Q817" s="572"/>
      <c r="R817" s="572"/>
      <c r="S817" s="574"/>
    </row>
    <row r="818" ht="13.5" customHeight="1">
      <c r="A818" s="572"/>
      <c r="B818" s="572"/>
      <c r="C818" s="572"/>
      <c r="D818" s="573"/>
      <c r="E818" s="572"/>
      <c r="F818" s="572"/>
      <c r="G818" s="584"/>
      <c r="H818" s="570"/>
      <c r="I818" s="570"/>
      <c r="J818" s="572"/>
      <c r="K818" s="572"/>
      <c r="L818" s="572"/>
      <c r="M818" s="573"/>
      <c r="N818" s="572"/>
      <c r="O818" s="572"/>
      <c r="P818" s="572"/>
      <c r="Q818" s="572"/>
      <c r="R818" s="572"/>
      <c r="S818" s="574"/>
    </row>
    <row r="819" ht="13.5" customHeight="1">
      <c r="A819" s="572"/>
      <c r="B819" s="572"/>
      <c r="C819" s="572"/>
      <c r="D819" s="573"/>
      <c r="E819" s="572"/>
      <c r="F819" s="572"/>
      <c r="G819" s="584"/>
      <c r="H819" s="570"/>
      <c r="I819" s="570"/>
      <c r="J819" s="572"/>
      <c r="K819" s="572"/>
      <c r="L819" s="572"/>
      <c r="M819" s="573"/>
      <c r="N819" s="572"/>
      <c r="O819" s="572"/>
      <c r="P819" s="572"/>
      <c r="Q819" s="572"/>
      <c r="R819" s="572"/>
      <c r="S819" s="574"/>
    </row>
    <row r="820" ht="13.5" customHeight="1">
      <c r="A820" s="572"/>
      <c r="B820" s="572"/>
      <c r="C820" s="572"/>
      <c r="D820" s="573"/>
      <c r="E820" s="572"/>
      <c r="F820" s="572"/>
      <c r="G820" s="584"/>
      <c r="H820" s="570"/>
      <c r="I820" s="570"/>
      <c r="J820" s="572"/>
      <c r="K820" s="572"/>
      <c r="L820" s="572"/>
      <c r="M820" s="573"/>
      <c r="N820" s="572"/>
      <c r="O820" s="572"/>
      <c r="P820" s="572"/>
      <c r="Q820" s="572"/>
      <c r="R820" s="572"/>
      <c r="S820" s="574"/>
    </row>
    <row r="821" ht="13.5" customHeight="1">
      <c r="A821" s="572"/>
      <c r="B821" s="572"/>
      <c r="C821" s="572"/>
      <c r="D821" s="573"/>
      <c r="E821" s="572"/>
      <c r="F821" s="572"/>
      <c r="G821" s="584"/>
      <c r="H821" s="570"/>
      <c r="I821" s="570"/>
      <c r="J821" s="572"/>
      <c r="K821" s="572"/>
      <c r="L821" s="572"/>
      <c r="M821" s="573"/>
      <c r="N821" s="572"/>
      <c r="O821" s="572"/>
      <c r="P821" s="572"/>
      <c r="Q821" s="572"/>
      <c r="R821" s="572"/>
      <c r="S821" s="574"/>
    </row>
    <row r="822" ht="13.5" customHeight="1">
      <c r="A822" s="572"/>
      <c r="B822" s="572"/>
      <c r="C822" s="572"/>
      <c r="D822" s="573"/>
      <c r="E822" s="572"/>
      <c r="F822" s="572"/>
      <c r="G822" s="584"/>
      <c r="H822" s="570"/>
      <c r="I822" s="570"/>
      <c r="J822" s="572"/>
      <c r="K822" s="572"/>
      <c r="L822" s="572"/>
      <c r="M822" s="573"/>
      <c r="N822" s="572"/>
      <c r="O822" s="572"/>
      <c r="P822" s="572"/>
      <c r="Q822" s="572"/>
      <c r="R822" s="572"/>
      <c r="S822" s="574"/>
    </row>
    <row r="823" ht="13.5" customHeight="1">
      <c r="A823" s="572"/>
      <c r="B823" s="572"/>
      <c r="C823" s="572"/>
      <c r="D823" s="573"/>
      <c r="E823" s="572"/>
      <c r="F823" s="572"/>
      <c r="G823" s="584"/>
      <c r="H823" s="570"/>
      <c r="I823" s="570"/>
      <c r="J823" s="572"/>
      <c r="K823" s="572"/>
      <c r="L823" s="572"/>
      <c r="M823" s="573"/>
      <c r="N823" s="572"/>
      <c r="O823" s="572"/>
      <c r="P823" s="572"/>
      <c r="Q823" s="572"/>
      <c r="R823" s="572"/>
      <c r="S823" s="574"/>
    </row>
    <row r="824" ht="13.5" customHeight="1">
      <c r="A824" s="572"/>
      <c r="B824" s="572"/>
      <c r="C824" s="572"/>
      <c r="D824" s="573"/>
      <c r="E824" s="572"/>
      <c r="F824" s="572"/>
      <c r="G824" s="584"/>
      <c r="H824" s="570"/>
      <c r="I824" s="570"/>
      <c r="J824" s="572"/>
      <c r="K824" s="572"/>
      <c r="L824" s="572"/>
      <c r="M824" s="573"/>
      <c r="N824" s="572"/>
      <c r="O824" s="572"/>
      <c r="P824" s="572"/>
      <c r="Q824" s="572"/>
      <c r="R824" s="572"/>
      <c r="S824" s="574"/>
    </row>
    <row r="825" ht="13.5" customHeight="1">
      <c r="A825" s="572"/>
      <c r="B825" s="572"/>
      <c r="C825" s="572"/>
      <c r="D825" s="573"/>
      <c r="E825" s="572"/>
      <c r="F825" s="572"/>
      <c r="G825" s="584"/>
      <c r="H825" s="570"/>
      <c r="I825" s="570"/>
      <c r="J825" s="572"/>
      <c r="K825" s="572"/>
      <c r="L825" s="572"/>
      <c r="M825" s="573"/>
      <c r="N825" s="572"/>
      <c r="O825" s="572"/>
      <c r="P825" s="572"/>
      <c r="Q825" s="572"/>
      <c r="R825" s="572"/>
      <c r="S825" s="574"/>
    </row>
    <row r="826" ht="13.5" customHeight="1">
      <c r="A826" s="572"/>
      <c r="B826" s="572"/>
      <c r="C826" s="572"/>
      <c r="D826" s="573"/>
      <c r="E826" s="572"/>
      <c r="F826" s="572"/>
      <c r="G826" s="584"/>
      <c r="H826" s="570"/>
      <c r="I826" s="570"/>
      <c r="J826" s="572"/>
      <c r="K826" s="572"/>
      <c r="L826" s="572"/>
      <c r="M826" s="573"/>
      <c r="N826" s="572"/>
      <c r="O826" s="572"/>
      <c r="P826" s="572"/>
      <c r="Q826" s="572"/>
      <c r="R826" s="572"/>
      <c r="S826" s="574"/>
    </row>
    <row r="827" ht="13.5" customHeight="1">
      <c r="A827" s="572"/>
      <c r="B827" s="572"/>
      <c r="C827" s="572"/>
      <c r="D827" s="573"/>
      <c r="E827" s="572"/>
      <c r="F827" s="572"/>
      <c r="G827" s="584"/>
      <c r="H827" s="570"/>
      <c r="I827" s="570"/>
      <c r="J827" s="572"/>
      <c r="K827" s="572"/>
      <c r="L827" s="572"/>
      <c r="M827" s="573"/>
      <c r="N827" s="572"/>
      <c r="O827" s="572"/>
      <c r="P827" s="572"/>
      <c r="Q827" s="572"/>
      <c r="R827" s="572"/>
      <c r="S827" s="574"/>
    </row>
    <row r="828" ht="13.5" customHeight="1">
      <c r="A828" s="572"/>
      <c r="B828" s="572"/>
      <c r="C828" s="572"/>
      <c r="D828" s="573"/>
      <c r="E828" s="572"/>
      <c r="F828" s="572"/>
      <c r="G828" s="584"/>
      <c r="H828" s="570"/>
      <c r="I828" s="570"/>
      <c r="J828" s="572"/>
      <c r="K828" s="572"/>
      <c r="L828" s="572"/>
      <c r="M828" s="573"/>
      <c r="N828" s="572"/>
      <c r="O828" s="572"/>
      <c r="P828" s="572"/>
      <c r="Q828" s="572"/>
      <c r="R828" s="572"/>
      <c r="S828" s="574"/>
    </row>
    <row r="829" ht="13.5" customHeight="1">
      <c r="A829" s="572"/>
      <c r="B829" s="572"/>
      <c r="C829" s="572"/>
      <c r="D829" s="573"/>
      <c r="E829" s="572"/>
      <c r="F829" s="572"/>
      <c r="G829" s="584"/>
      <c r="H829" s="570"/>
      <c r="I829" s="570"/>
      <c r="J829" s="572"/>
      <c r="K829" s="572"/>
      <c r="L829" s="572"/>
      <c r="M829" s="573"/>
      <c r="N829" s="572"/>
      <c r="O829" s="572"/>
      <c r="P829" s="572"/>
      <c r="Q829" s="572"/>
      <c r="R829" s="572"/>
      <c r="S829" s="574"/>
    </row>
    <row r="830" ht="13.5" customHeight="1">
      <c r="A830" s="572"/>
      <c r="B830" s="572"/>
      <c r="C830" s="572"/>
      <c r="D830" s="573"/>
      <c r="E830" s="572"/>
      <c r="F830" s="572"/>
      <c r="G830" s="584"/>
      <c r="H830" s="570"/>
      <c r="I830" s="570"/>
      <c r="J830" s="572"/>
      <c r="K830" s="572"/>
      <c r="L830" s="572"/>
      <c r="M830" s="573"/>
      <c r="N830" s="572"/>
      <c r="O830" s="572"/>
      <c r="P830" s="572"/>
      <c r="Q830" s="572"/>
      <c r="R830" s="572"/>
      <c r="S830" s="574"/>
    </row>
    <row r="831" ht="13.5" customHeight="1">
      <c r="A831" s="572"/>
      <c r="B831" s="572"/>
      <c r="C831" s="572"/>
      <c r="D831" s="573"/>
      <c r="E831" s="572"/>
      <c r="F831" s="572"/>
      <c r="G831" s="584"/>
      <c r="H831" s="570"/>
      <c r="I831" s="570"/>
      <c r="J831" s="572"/>
      <c r="K831" s="572"/>
      <c r="L831" s="572"/>
      <c r="M831" s="573"/>
      <c r="N831" s="572"/>
      <c r="O831" s="572"/>
      <c r="P831" s="572"/>
      <c r="Q831" s="572"/>
      <c r="R831" s="572"/>
      <c r="S831" s="574"/>
    </row>
    <row r="832" ht="13.5" customHeight="1">
      <c r="A832" s="572"/>
      <c r="B832" s="572"/>
      <c r="C832" s="572"/>
      <c r="D832" s="573"/>
      <c r="E832" s="572"/>
      <c r="F832" s="572"/>
      <c r="G832" s="584"/>
      <c r="H832" s="570"/>
      <c r="I832" s="570"/>
      <c r="J832" s="572"/>
      <c r="K832" s="572"/>
      <c r="L832" s="572"/>
      <c r="M832" s="573"/>
      <c r="N832" s="572"/>
      <c r="O832" s="572"/>
      <c r="P832" s="572"/>
      <c r="Q832" s="572"/>
      <c r="R832" s="572"/>
      <c r="S832" s="574"/>
    </row>
    <row r="833" ht="13.5" customHeight="1">
      <c r="A833" s="572"/>
      <c r="B833" s="572"/>
      <c r="C833" s="572"/>
      <c r="D833" s="573"/>
      <c r="E833" s="572"/>
      <c r="F833" s="572"/>
      <c r="G833" s="584"/>
      <c r="H833" s="570"/>
      <c r="I833" s="570"/>
      <c r="J833" s="572"/>
      <c r="K833" s="572"/>
      <c r="L833" s="572"/>
      <c r="M833" s="573"/>
      <c r="N833" s="572"/>
      <c r="O833" s="572"/>
      <c r="P833" s="572"/>
      <c r="Q833" s="572"/>
      <c r="R833" s="572"/>
      <c r="S833" s="574"/>
    </row>
    <row r="834" ht="13.5" customHeight="1">
      <c r="A834" s="572"/>
      <c r="B834" s="572"/>
      <c r="C834" s="572"/>
      <c r="D834" s="573"/>
      <c r="E834" s="572"/>
      <c r="F834" s="572"/>
      <c r="G834" s="584"/>
      <c r="H834" s="570"/>
      <c r="I834" s="570"/>
      <c r="J834" s="572"/>
      <c r="K834" s="572"/>
      <c r="L834" s="572"/>
      <c r="M834" s="573"/>
      <c r="N834" s="572"/>
      <c r="O834" s="572"/>
      <c r="P834" s="572"/>
      <c r="Q834" s="572"/>
      <c r="R834" s="572"/>
      <c r="S834" s="574"/>
    </row>
    <row r="835" ht="13.5" customHeight="1">
      <c r="A835" s="572"/>
      <c r="B835" s="572"/>
      <c r="C835" s="572"/>
      <c r="D835" s="573"/>
      <c r="E835" s="572"/>
      <c r="F835" s="572"/>
      <c r="G835" s="584"/>
      <c r="H835" s="570"/>
      <c r="I835" s="570"/>
      <c r="J835" s="572"/>
      <c r="K835" s="572"/>
      <c r="L835" s="572"/>
      <c r="M835" s="573"/>
      <c r="N835" s="572"/>
      <c r="O835" s="572"/>
      <c r="P835" s="572"/>
      <c r="Q835" s="572"/>
      <c r="R835" s="572"/>
      <c r="S835" s="574"/>
    </row>
    <row r="836" ht="13.5" customHeight="1">
      <c r="A836" s="572"/>
      <c r="B836" s="572"/>
      <c r="C836" s="572"/>
      <c r="D836" s="573"/>
      <c r="E836" s="572"/>
      <c r="F836" s="572"/>
      <c r="G836" s="584"/>
      <c r="H836" s="570"/>
      <c r="I836" s="570"/>
      <c r="J836" s="572"/>
      <c r="K836" s="572"/>
      <c r="L836" s="572"/>
      <c r="M836" s="573"/>
      <c r="N836" s="572"/>
      <c r="O836" s="572"/>
      <c r="P836" s="572"/>
      <c r="Q836" s="572"/>
      <c r="R836" s="572"/>
      <c r="S836" s="574"/>
    </row>
    <row r="837" ht="13.5" customHeight="1">
      <c r="A837" s="572"/>
      <c r="B837" s="572"/>
      <c r="C837" s="572"/>
      <c r="D837" s="573"/>
      <c r="E837" s="572"/>
      <c r="F837" s="572"/>
      <c r="G837" s="584"/>
      <c r="H837" s="570"/>
      <c r="I837" s="570"/>
      <c r="J837" s="572"/>
      <c r="K837" s="572"/>
      <c r="L837" s="572"/>
      <c r="M837" s="573"/>
      <c r="N837" s="572"/>
      <c r="O837" s="572"/>
      <c r="P837" s="572"/>
      <c r="Q837" s="572"/>
      <c r="R837" s="572"/>
      <c r="S837" s="574"/>
    </row>
    <row r="838" ht="13.5" customHeight="1">
      <c r="A838" s="572"/>
      <c r="B838" s="572"/>
      <c r="C838" s="572"/>
      <c r="D838" s="573"/>
      <c r="E838" s="572"/>
      <c r="F838" s="572"/>
      <c r="G838" s="584"/>
      <c r="H838" s="570"/>
      <c r="I838" s="570"/>
      <c r="J838" s="572"/>
      <c r="K838" s="572"/>
      <c r="L838" s="572"/>
      <c r="M838" s="573"/>
      <c r="N838" s="572"/>
      <c r="O838" s="572"/>
      <c r="P838" s="572"/>
      <c r="Q838" s="572"/>
      <c r="R838" s="572"/>
      <c r="S838" s="574"/>
    </row>
    <row r="839" ht="13.5" customHeight="1">
      <c r="A839" s="572"/>
      <c r="B839" s="572"/>
      <c r="C839" s="572"/>
      <c r="D839" s="573"/>
      <c r="E839" s="572"/>
      <c r="F839" s="572"/>
      <c r="G839" s="584"/>
      <c r="H839" s="570"/>
      <c r="I839" s="570"/>
      <c r="J839" s="572"/>
      <c r="K839" s="572"/>
      <c r="L839" s="572"/>
      <c r="M839" s="573"/>
      <c r="N839" s="572"/>
      <c r="O839" s="572"/>
      <c r="P839" s="572"/>
      <c r="Q839" s="572"/>
      <c r="R839" s="572"/>
      <c r="S839" s="574"/>
    </row>
    <row r="840" ht="13.5" customHeight="1">
      <c r="A840" s="572"/>
      <c r="B840" s="572"/>
      <c r="C840" s="572"/>
      <c r="D840" s="573"/>
      <c r="E840" s="572"/>
      <c r="F840" s="572"/>
      <c r="G840" s="584"/>
      <c r="H840" s="570"/>
      <c r="I840" s="570"/>
      <c r="J840" s="572"/>
      <c r="K840" s="572"/>
      <c r="L840" s="572"/>
      <c r="M840" s="573"/>
      <c r="N840" s="572"/>
      <c r="O840" s="572"/>
      <c r="P840" s="572"/>
      <c r="Q840" s="572"/>
      <c r="R840" s="572"/>
      <c r="S840" s="574"/>
    </row>
    <row r="841" ht="13.5" customHeight="1">
      <c r="A841" s="572"/>
      <c r="B841" s="572"/>
      <c r="C841" s="572"/>
      <c r="D841" s="573"/>
      <c r="E841" s="572"/>
      <c r="F841" s="572"/>
      <c r="G841" s="584"/>
      <c r="H841" s="570"/>
      <c r="I841" s="570"/>
      <c r="J841" s="572"/>
      <c r="K841" s="572"/>
      <c r="L841" s="572"/>
      <c r="M841" s="573"/>
      <c r="N841" s="572"/>
      <c r="O841" s="572"/>
      <c r="P841" s="572"/>
      <c r="Q841" s="572"/>
      <c r="R841" s="572"/>
      <c r="S841" s="574"/>
    </row>
    <row r="842" ht="13.5" customHeight="1">
      <c r="A842" s="572"/>
      <c r="B842" s="572"/>
      <c r="C842" s="572"/>
      <c r="D842" s="573"/>
      <c r="E842" s="572"/>
      <c r="F842" s="572"/>
      <c r="G842" s="584"/>
      <c r="H842" s="570"/>
      <c r="I842" s="570"/>
      <c r="J842" s="572"/>
      <c r="K842" s="572"/>
      <c r="L842" s="572"/>
      <c r="M842" s="573"/>
      <c r="N842" s="572"/>
      <c r="O842" s="572"/>
      <c r="P842" s="572"/>
      <c r="Q842" s="572"/>
      <c r="R842" s="572"/>
      <c r="S842" s="574"/>
    </row>
    <row r="843" ht="13.5" customHeight="1">
      <c r="A843" s="572"/>
      <c r="B843" s="572"/>
      <c r="C843" s="572"/>
      <c r="D843" s="573"/>
      <c r="E843" s="572"/>
      <c r="F843" s="572"/>
      <c r="G843" s="584"/>
      <c r="H843" s="570"/>
      <c r="I843" s="570"/>
      <c r="J843" s="572"/>
      <c r="K843" s="572"/>
      <c r="L843" s="572"/>
      <c r="M843" s="573"/>
      <c r="N843" s="572"/>
      <c r="O843" s="572"/>
      <c r="P843" s="572"/>
      <c r="Q843" s="572"/>
      <c r="R843" s="572"/>
      <c r="S843" s="574"/>
    </row>
    <row r="844" ht="13.5" customHeight="1">
      <c r="A844" s="572"/>
      <c r="B844" s="572"/>
      <c r="C844" s="572"/>
      <c r="D844" s="573"/>
      <c r="E844" s="572"/>
      <c r="F844" s="572"/>
      <c r="G844" s="584"/>
      <c r="H844" s="570"/>
      <c r="I844" s="570"/>
      <c r="J844" s="572"/>
      <c r="K844" s="572"/>
      <c r="L844" s="572"/>
      <c r="M844" s="573"/>
      <c r="N844" s="572"/>
      <c r="O844" s="572"/>
      <c r="P844" s="572"/>
      <c r="Q844" s="572"/>
      <c r="R844" s="572"/>
      <c r="S844" s="574"/>
    </row>
    <row r="845" ht="13.5" customHeight="1">
      <c r="A845" s="572"/>
      <c r="B845" s="572"/>
      <c r="C845" s="572"/>
      <c r="D845" s="573"/>
      <c r="E845" s="572"/>
      <c r="F845" s="572"/>
      <c r="G845" s="584"/>
      <c r="H845" s="570"/>
      <c r="I845" s="570"/>
      <c r="J845" s="572"/>
      <c r="K845" s="572"/>
      <c r="L845" s="572"/>
      <c r="M845" s="573"/>
      <c r="N845" s="572"/>
      <c r="O845" s="572"/>
      <c r="P845" s="572"/>
      <c r="Q845" s="572"/>
      <c r="R845" s="572"/>
      <c r="S845" s="574"/>
    </row>
    <row r="846" ht="13.5" customHeight="1">
      <c r="A846" s="572"/>
      <c r="B846" s="572"/>
      <c r="C846" s="572"/>
      <c r="D846" s="573"/>
      <c r="E846" s="572"/>
      <c r="F846" s="572"/>
      <c r="G846" s="584"/>
      <c r="H846" s="570"/>
      <c r="I846" s="570"/>
      <c r="J846" s="572"/>
      <c r="K846" s="572"/>
      <c r="L846" s="572"/>
      <c r="M846" s="573"/>
      <c r="N846" s="572"/>
      <c r="O846" s="572"/>
      <c r="P846" s="572"/>
      <c r="Q846" s="572"/>
      <c r="R846" s="572"/>
      <c r="S846" s="574"/>
    </row>
    <row r="847" ht="13.5" customHeight="1">
      <c r="A847" s="572"/>
      <c r="B847" s="572"/>
      <c r="C847" s="572"/>
      <c r="D847" s="573"/>
      <c r="E847" s="572"/>
      <c r="F847" s="572"/>
      <c r="G847" s="584"/>
      <c r="H847" s="570"/>
      <c r="I847" s="570"/>
      <c r="J847" s="572"/>
      <c r="K847" s="572"/>
      <c r="L847" s="572"/>
      <c r="M847" s="573"/>
      <c r="N847" s="572"/>
      <c r="O847" s="572"/>
      <c r="P847" s="572"/>
      <c r="Q847" s="572"/>
      <c r="R847" s="572"/>
      <c r="S847" s="574"/>
    </row>
    <row r="848" ht="13.5" customHeight="1">
      <c r="A848" s="572"/>
      <c r="B848" s="572"/>
      <c r="C848" s="572"/>
      <c r="D848" s="573"/>
      <c r="E848" s="572"/>
      <c r="F848" s="572"/>
      <c r="G848" s="584"/>
      <c r="H848" s="570"/>
      <c r="I848" s="570"/>
      <c r="J848" s="572"/>
      <c r="K848" s="572"/>
      <c r="L848" s="572"/>
      <c r="M848" s="573"/>
      <c r="N848" s="572"/>
      <c r="O848" s="572"/>
      <c r="P848" s="572"/>
      <c r="Q848" s="572"/>
      <c r="R848" s="572"/>
      <c r="S848" s="574"/>
    </row>
    <row r="849" ht="13.5" customHeight="1">
      <c r="A849" s="572"/>
      <c r="B849" s="572"/>
      <c r="C849" s="572"/>
      <c r="D849" s="573"/>
      <c r="E849" s="572"/>
      <c r="F849" s="572"/>
      <c r="G849" s="584"/>
      <c r="H849" s="570"/>
      <c r="I849" s="570"/>
      <c r="J849" s="572"/>
      <c r="K849" s="572"/>
      <c r="L849" s="572"/>
      <c r="M849" s="573"/>
      <c r="N849" s="572"/>
      <c r="O849" s="572"/>
      <c r="P849" s="572"/>
      <c r="Q849" s="572"/>
      <c r="R849" s="572"/>
      <c r="S849" s="574"/>
    </row>
    <row r="850" ht="13.5" customHeight="1">
      <c r="A850" s="572"/>
      <c r="B850" s="572"/>
      <c r="C850" s="572"/>
      <c r="D850" s="573"/>
      <c r="E850" s="572"/>
      <c r="F850" s="572"/>
      <c r="G850" s="584"/>
      <c r="H850" s="570"/>
      <c r="I850" s="570"/>
      <c r="J850" s="572"/>
      <c r="K850" s="572"/>
      <c r="L850" s="572"/>
      <c r="M850" s="573"/>
      <c r="N850" s="572"/>
      <c r="O850" s="572"/>
      <c r="P850" s="572"/>
      <c r="Q850" s="572"/>
      <c r="R850" s="572"/>
      <c r="S850" s="574"/>
    </row>
    <row r="851" ht="13.5" customHeight="1">
      <c r="A851" s="572"/>
      <c r="B851" s="572"/>
      <c r="C851" s="572"/>
      <c r="D851" s="573"/>
      <c r="E851" s="572"/>
      <c r="F851" s="572"/>
      <c r="G851" s="584"/>
      <c r="H851" s="570"/>
      <c r="I851" s="570"/>
      <c r="J851" s="572"/>
      <c r="K851" s="572"/>
      <c r="L851" s="572"/>
      <c r="M851" s="573"/>
      <c r="N851" s="572"/>
      <c r="O851" s="572"/>
      <c r="P851" s="572"/>
      <c r="Q851" s="572"/>
      <c r="R851" s="572"/>
      <c r="S851" s="574"/>
    </row>
    <row r="852" ht="13.5" customHeight="1">
      <c r="A852" s="572"/>
      <c r="B852" s="572"/>
      <c r="C852" s="572"/>
      <c r="D852" s="573"/>
      <c r="E852" s="572"/>
      <c r="F852" s="572"/>
      <c r="G852" s="584"/>
      <c r="H852" s="570"/>
      <c r="I852" s="570"/>
      <c r="J852" s="572"/>
      <c r="K852" s="572"/>
      <c r="L852" s="572"/>
      <c r="M852" s="573"/>
      <c r="N852" s="572"/>
      <c r="O852" s="572"/>
      <c r="P852" s="572"/>
      <c r="Q852" s="572"/>
      <c r="R852" s="572"/>
      <c r="S852" s="574"/>
    </row>
    <row r="853" ht="13.5" customHeight="1">
      <c r="A853" s="572"/>
      <c r="B853" s="572"/>
      <c r="C853" s="572"/>
      <c r="D853" s="573"/>
      <c r="E853" s="572"/>
      <c r="F853" s="572"/>
      <c r="G853" s="584"/>
      <c r="H853" s="570"/>
      <c r="I853" s="570"/>
      <c r="J853" s="572"/>
      <c r="K853" s="572"/>
      <c r="L853" s="572"/>
      <c r="M853" s="573"/>
      <c r="N853" s="572"/>
      <c r="O853" s="572"/>
      <c r="P853" s="572"/>
      <c r="Q853" s="572"/>
      <c r="R853" s="572"/>
      <c r="S853" s="574"/>
    </row>
    <row r="854" ht="13.5" customHeight="1">
      <c r="A854" s="572"/>
      <c r="B854" s="572"/>
      <c r="C854" s="572"/>
      <c r="D854" s="573"/>
      <c r="E854" s="572"/>
      <c r="F854" s="572"/>
      <c r="G854" s="584"/>
      <c r="H854" s="570"/>
      <c r="I854" s="570"/>
      <c r="J854" s="572"/>
      <c r="K854" s="572"/>
      <c r="L854" s="572"/>
      <c r="M854" s="573"/>
      <c r="N854" s="572"/>
      <c r="O854" s="572"/>
      <c r="P854" s="572"/>
      <c r="Q854" s="572"/>
      <c r="R854" s="572"/>
      <c r="S854" s="574"/>
    </row>
    <row r="855" ht="13.5" customHeight="1">
      <c r="A855" s="572"/>
      <c r="B855" s="572"/>
      <c r="C855" s="572"/>
      <c r="D855" s="573"/>
      <c r="E855" s="572"/>
      <c r="F855" s="572"/>
      <c r="G855" s="584"/>
      <c r="H855" s="570"/>
      <c r="I855" s="570"/>
      <c r="J855" s="572"/>
      <c r="K855" s="572"/>
      <c r="L855" s="572"/>
      <c r="M855" s="573"/>
      <c r="N855" s="572"/>
      <c r="O855" s="572"/>
      <c r="P855" s="572"/>
      <c r="Q855" s="572"/>
      <c r="R855" s="572"/>
      <c r="S855" s="574"/>
    </row>
    <row r="856" ht="13.5" customHeight="1">
      <c r="A856" s="572"/>
      <c r="B856" s="572"/>
      <c r="C856" s="572"/>
      <c r="D856" s="573"/>
      <c r="E856" s="572"/>
      <c r="F856" s="572"/>
      <c r="G856" s="584"/>
      <c r="H856" s="570"/>
      <c r="I856" s="570"/>
      <c r="J856" s="572"/>
      <c r="K856" s="572"/>
      <c r="L856" s="572"/>
      <c r="M856" s="573"/>
      <c r="N856" s="572"/>
      <c r="O856" s="572"/>
      <c r="P856" s="572"/>
      <c r="Q856" s="572"/>
      <c r="R856" s="572"/>
      <c r="S856" s="574"/>
    </row>
    <row r="857" ht="13.5" customHeight="1">
      <c r="A857" s="572"/>
      <c r="B857" s="572"/>
      <c r="C857" s="572"/>
      <c r="D857" s="573"/>
      <c r="E857" s="572"/>
      <c r="F857" s="572"/>
      <c r="G857" s="584"/>
      <c r="H857" s="570"/>
      <c r="I857" s="570"/>
      <c r="J857" s="572"/>
      <c r="K857" s="572"/>
      <c r="L857" s="572"/>
      <c r="M857" s="573"/>
      <c r="N857" s="572"/>
      <c r="O857" s="572"/>
      <c r="P857" s="572"/>
      <c r="Q857" s="572"/>
      <c r="R857" s="572"/>
      <c r="S857" s="574"/>
    </row>
    <row r="858" ht="13.5" customHeight="1">
      <c r="A858" s="572"/>
      <c r="B858" s="572"/>
      <c r="C858" s="572"/>
      <c r="D858" s="573"/>
      <c r="E858" s="572"/>
      <c r="F858" s="572"/>
      <c r="G858" s="584"/>
      <c r="H858" s="570"/>
      <c r="I858" s="570"/>
      <c r="J858" s="572"/>
      <c r="K858" s="572"/>
      <c r="L858" s="572"/>
      <c r="M858" s="573"/>
      <c r="N858" s="572"/>
      <c r="O858" s="572"/>
      <c r="P858" s="572"/>
      <c r="Q858" s="572"/>
      <c r="R858" s="572"/>
      <c r="S858" s="574"/>
    </row>
    <row r="859" ht="13.5" customHeight="1">
      <c r="A859" s="572"/>
      <c r="B859" s="572"/>
      <c r="C859" s="572"/>
      <c r="D859" s="573"/>
      <c r="E859" s="572"/>
      <c r="F859" s="572"/>
      <c r="G859" s="584"/>
      <c r="H859" s="570"/>
      <c r="I859" s="570"/>
      <c r="J859" s="572"/>
      <c r="K859" s="572"/>
      <c r="L859" s="572"/>
      <c r="M859" s="573"/>
      <c r="N859" s="572"/>
      <c r="O859" s="572"/>
      <c r="P859" s="572"/>
      <c r="Q859" s="572"/>
      <c r="R859" s="572"/>
      <c r="S859" s="574"/>
    </row>
    <row r="860" ht="13.5" customHeight="1">
      <c r="A860" s="572"/>
      <c r="B860" s="572"/>
      <c r="C860" s="572"/>
      <c r="D860" s="573"/>
      <c r="E860" s="572"/>
      <c r="F860" s="572"/>
      <c r="G860" s="584"/>
      <c r="H860" s="570"/>
      <c r="I860" s="570"/>
      <c r="J860" s="572"/>
      <c r="K860" s="572"/>
      <c r="L860" s="572"/>
      <c r="M860" s="573"/>
      <c r="N860" s="572"/>
      <c r="O860" s="572"/>
      <c r="P860" s="572"/>
      <c r="Q860" s="572"/>
      <c r="R860" s="572"/>
      <c r="S860" s="574"/>
    </row>
    <row r="861" ht="13.5" customHeight="1">
      <c r="A861" s="572"/>
      <c r="B861" s="572"/>
      <c r="C861" s="572"/>
      <c r="D861" s="573"/>
      <c r="E861" s="572"/>
      <c r="F861" s="572"/>
      <c r="G861" s="584"/>
      <c r="H861" s="570"/>
      <c r="I861" s="570"/>
      <c r="J861" s="572"/>
      <c r="K861" s="572"/>
      <c r="L861" s="572"/>
      <c r="M861" s="573"/>
      <c r="N861" s="572"/>
      <c r="O861" s="572"/>
      <c r="P861" s="572"/>
      <c r="Q861" s="572"/>
      <c r="R861" s="572"/>
      <c r="S861" s="574"/>
    </row>
    <row r="862" ht="13.5" customHeight="1">
      <c r="A862" s="572"/>
      <c r="B862" s="572"/>
      <c r="C862" s="572"/>
      <c r="D862" s="573"/>
      <c r="E862" s="572"/>
      <c r="F862" s="572"/>
      <c r="G862" s="584"/>
      <c r="H862" s="570"/>
      <c r="I862" s="570"/>
      <c r="J862" s="572"/>
      <c r="K862" s="572"/>
      <c r="L862" s="572"/>
      <c r="M862" s="573"/>
      <c r="N862" s="572"/>
      <c r="O862" s="572"/>
      <c r="P862" s="572"/>
      <c r="Q862" s="572"/>
      <c r="R862" s="572"/>
      <c r="S862" s="574"/>
    </row>
    <row r="863" ht="13.5" customHeight="1">
      <c r="A863" s="572"/>
      <c r="B863" s="572"/>
      <c r="C863" s="572"/>
      <c r="D863" s="573"/>
      <c r="E863" s="572"/>
      <c r="F863" s="572"/>
      <c r="G863" s="584"/>
      <c r="H863" s="570"/>
      <c r="I863" s="570"/>
      <c r="J863" s="572"/>
      <c r="K863" s="572"/>
      <c r="L863" s="572"/>
      <c r="M863" s="573"/>
      <c r="N863" s="572"/>
      <c r="O863" s="572"/>
      <c r="P863" s="572"/>
      <c r="Q863" s="572"/>
      <c r="R863" s="572"/>
      <c r="S863" s="574"/>
    </row>
    <row r="864" ht="13.5" customHeight="1">
      <c r="A864" s="572"/>
      <c r="B864" s="572"/>
      <c r="C864" s="572"/>
      <c r="D864" s="573"/>
      <c r="E864" s="572"/>
      <c r="F864" s="572"/>
      <c r="G864" s="584"/>
      <c r="H864" s="570"/>
      <c r="I864" s="570"/>
      <c r="J864" s="572"/>
      <c r="K864" s="572"/>
      <c r="L864" s="572"/>
      <c r="M864" s="573"/>
      <c r="N864" s="572"/>
      <c r="O864" s="572"/>
      <c r="P864" s="572"/>
      <c r="Q864" s="572"/>
      <c r="R864" s="572"/>
      <c r="S864" s="574"/>
    </row>
    <row r="865" ht="13.5" customHeight="1">
      <c r="A865" s="572"/>
      <c r="B865" s="572"/>
      <c r="C865" s="572"/>
      <c r="D865" s="573"/>
      <c r="E865" s="572"/>
      <c r="F865" s="572"/>
      <c r="G865" s="584"/>
      <c r="H865" s="570"/>
      <c r="I865" s="570"/>
      <c r="J865" s="572"/>
      <c r="K865" s="572"/>
      <c r="L865" s="572"/>
      <c r="M865" s="573"/>
      <c r="N865" s="572"/>
      <c r="O865" s="572"/>
      <c r="P865" s="572"/>
      <c r="Q865" s="572"/>
      <c r="R865" s="572"/>
      <c r="S865" s="574"/>
    </row>
    <row r="866" ht="13.5" customHeight="1">
      <c r="A866" s="572"/>
      <c r="B866" s="572"/>
      <c r="C866" s="572"/>
      <c r="D866" s="573"/>
      <c r="E866" s="572"/>
      <c r="F866" s="572"/>
      <c r="G866" s="584"/>
      <c r="H866" s="570"/>
      <c r="I866" s="570"/>
      <c r="J866" s="572"/>
      <c r="K866" s="572"/>
      <c r="L866" s="572"/>
      <c r="M866" s="573"/>
      <c r="N866" s="572"/>
      <c r="O866" s="572"/>
      <c r="P866" s="572"/>
      <c r="Q866" s="572"/>
      <c r="R866" s="572"/>
      <c r="S866" s="574"/>
    </row>
    <row r="867" ht="13.5" customHeight="1">
      <c r="A867" s="572"/>
      <c r="B867" s="572"/>
      <c r="C867" s="572"/>
      <c r="D867" s="573"/>
      <c r="E867" s="572"/>
      <c r="F867" s="572"/>
      <c r="G867" s="584"/>
      <c r="H867" s="570"/>
      <c r="I867" s="570"/>
      <c r="J867" s="572"/>
      <c r="K867" s="572"/>
      <c r="L867" s="572"/>
      <c r="M867" s="573"/>
      <c r="N867" s="572"/>
      <c r="O867" s="572"/>
      <c r="P867" s="572"/>
      <c r="Q867" s="572"/>
      <c r="R867" s="572"/>
      <c r="S867" s="574"/>
    </row>
    <row r="868" ht="13.5" customHeight="1">
      <c r="A868" s="572"/>
      <c r="B868" s="572"/>
      <c r="C868" s="572"/>
      <c r="D868" s="573"/>
      <c r="E868" s="572"/>
      <c r="F868" s="572"/>
      <c r="G868" s="584"/>
      <c r="H868" s="570"/>
      <c r="I868" s="570"/>
      <c r="J868" s="572"/>
      <c r="K868" s="572"/>
      <c r="L868" s="572"/>
      <c r="M868" s="573"/>
      <c r="N868" s="572"/>
      <c r="O868" s="572"/>
      <c r="P868" s="572"/>
      <c r="Q868" s="572"/>
      <c r="R868" s="572"/>
      <c r="S868" s="574"/>
    </row>
    <row r="869" ht="13.5" customHeight="1">
      <c r="A869" s="572"/>
      <c r="B869" s="572"/>
      <c r="C869" s="572"/>
      <c r="D869" s="573"/>
      <c r="E869" s="572"/>
      <c r="F869" s="572"/>
      <c r="G869" s="584"/>
      <c r="H869" s="570"/>
      <c r="I869" s="570"/>
      <c r="J869" s="572"/>
      <c r="K869" s="572"/>
      <c r="L869" s="572"/>
      <c r="M869" s="573"/>
      <c r="N869" s="572"/>
      <c r="O869" s="572"/>
      <c r="P869" s="572"/>
      <c r="Q869" s="572"/>
      <c r="R869" s="572"/>
      <c r="S869" s="574"/>
    </row>
    <row r="870" ht="13.5" customHeight="1">
      <c r="A870" s="572"/>
      <c r="B870" s="572"/>
      <c r="C870" s="572"/>
      <c r="D870" s="573"/>
      <c r="E870" s="572"/>
      <c r="F870" s="572"/>
      <c r="G870" s="584"/>
      <c r="H870" s="570"/>
      <c r="I870" s="570"/>
      <c r="J870" s="572"/>
      <c r="K870" s="572"/>
      <c r="L870" s="572"/>
      <c r="M870" s="573"/>
      <c r="N870" s="572"/>
      <c r="O870" s="572"/>
      <c r="P870" s="572"/>
      <c r="Q870" s="572"/>
      <c r="R870" s="572"/>
      <c r="S870" s="574"/>
    </row>
    <row r="871" ht="13.5" customHeight="1">
      <c r="A871" s="572"/>
      <c r="B871" s="572"/>
      <c r="C871" s="572"/>
      <c r="D871" s="573"/>
      <c r="E871" s="572"/>
      <c r="F871" s="572"/>
      <c r="G871" s="584"/>
      <c r="H871" s="570"/>
      <c r="I871" s="570"/>
      <c r="J871" s="572"/>
      <c r="K871" s="572"/>
      <c r="L871" s="572"/>
      <c r="M871" s="573"/>
      <c r="N871" s="572"/>
      <c r="O871" s="572"/>
      <c r="P871" s="572"/>
      <c r="Q871" s="572"/>
      <c r="R871" s="572"/>
      <c r="S871" s="574"/>
    </row>
    <row r="872" ht="13.5" customHeight="1">
      <c r="A872" s="572"/>
      <c r="B872" s="572"/>
      <c r="C872" s="572"/>
      <c r="D872" s="573"/>
      <c r="E872" s="572"/>
      <c r="F872" s="572"/>
      <c r="G872" s="584"/>
      <c r="H872" s="570"/>
      <c r="I872" s="570"/>
      <c r="J872" s="572"/>
      <c r="K872" s="572"/>
      <c r="L872" s="572"/>
      <c r="M872" s="573"/>
      <c r="N872" s="572"/>
      <c r="O872" s="572"/>
      <c r="P872" s="572"/>
      <c r="Q872" s="572"/>
      <c r="R872" s="572"/>
      <c r="S872" s="574"/>
    </row>
    <row r="873" ht="13.5" customHeight="1">
      <c r="A873" s="572"/>
      <c r="B873" s="572"/>
      <c r="C873" s="572"/>
      <c r="D873" s="573"/>
      <c r="E873" s="572"/>
      <c r="F873" s="572"/>
      <c r="G873" s="584"/>
      <c r="H873" s="570"/>
      <c r="I873" s="570"/>
      <c r="J873" s="572"/>
      <c r="K873" s="572"/>
      <c r="L873" s="572"/>
      <c r="M873" s="573"/>
      <c r="N873" s="572"/>
      <c r="O873" s="572"/>
      <c r="P873" s="572"/>
      <c r="Q873" s="572"/>
      <c r="R873" s="572"/>
      <c r="S873" s="574"/>
    </row>
    <row r="874" ht="13.5" customHeight="1">
      <c r="A874" s="572"/>
      <c r="B874" s="572"/>
      <c r="C874" s="572"/>
      <c r="D874" s="573"/>
      <c r="E874" s="572"/>
      <c r="F874" s="572"/>
      <c r="G874" s="584"/>
      <c r="H874" s="570"/>
      <c r="I874" s="570"/>
      <c r="J874" s="572"/>
      <c r="K874" s="572"/>
      <c r="L874" s="572"/>
      <c r="M874" s="573"/>
      <c r="N874" s="572"/>
      <c r="O874" s="572"/>
      <c r="P874" s="572"/>
      <c r="Q874" s="572"/>
      <c r="R874" s="572"/>
      <c r="S874" s="574"/>
    </row>
    <row r="875" ht="13.5" customHeight="1">
      <c r="A875" s="572"/>
      <c r="B875" s="572"/>
      <c r="C875" s="572"/>
      <c r="D875" s="573"/>
      <c r="E875" s="572"/>
      <c r="F875" s="572"/>
      <c r="G875" s="584"/>
      <c r="H875" s="570"/>
      <c r="I875" s="570"/>
      <c r="J875" s="572"/>
      <c r="K875" s="572"/>
      <c r="L875" s="572"/>
      <c r="M875" s="573"/>
      <c r="N875" s="572"/>
      <c r="O875" s="572"/>
      <c r="P875" s="572"/>
      <c r="Q875" s="572"/>
      <c r="R875" s="572"/>
      <c r="S875" s="574"/>
    </row>
    <row r="876" ht="13.5" customHeight="1">
      <c r="A876" s="572"/>
      <c r="B876" s="572"/>
      <c r="C876" s="572"/>
      <c r="D876" s="573"/>
      <c r="E876" s="572"/>
      <c r="F876" s="572"/>
      <c r="G876" s="584"/>
      <c r="H876" s="570"/>
      <c r="I876" s="570"/>
      <c r="J876" s="572"/>
      <c r="K876" s="572"/>
      <c r="L876" s="572"/>
      <c r="M876" s="573"/>
      <c r="N876" s="572"/>
      <c r="O876" s="572"/>
      <c r="P876" s="572"/>
      <c r="Q876" s="572"/>
      <c r="R876" s="572"/>
      <c r="S876" s="574"/>
    </row>
    <row r="877" ht="13.5" customHeight="1">
      <c r="A877" s="572"/>
      <c r="B877" s="572"/>
      <c r="C877" s="572"/>
      <c r="D877" s="573"/>
      <c r="E877" s="572"/>
      <c r="F877" s="572"/>
      <c r="G877" s="584"/>
      <c r="H877" s="570"/>
      <c r="I877" s="570"/>
      <c r="J877" s="572"/>
      <c r="K877" s="572"/>
      <c r="L877" s="572"/>
      <c r="M877" s="573"/>
      <c r="N877" s="572"/>
      <c r="O877" s="572"/>
      <c r="P877" s="572"/>
      <c r="Q877" s="572"/>
      <c r="R877" s="572"/>
      <c r="S877" s="574"/>
    </row>
    <row r="878" ht="13.5" customHeight="1">
      <c r="A878" s="572"/>
      <c r="B878" s="572"/>
      <c r="C878" s="572"/>
      <c r="D878" s="573"/>
      <c r="E878" s="572"/>
      <c r="F878" s="572"/>
      <c r="G878" s="584"/>
      <c r="H878" s="570"/>
      <c r="I878" s="570"/>
      <c r="J878" s="572"/>
      <c r="K878" s="572"/>
      <c r="L878" s="572"/>
      <c r="M878" s="573"/>
      <c r="N878" s="572"/>
      <c r="O878" s="572"/>
      <c r="P878" s="572"/>
      <c r="Q878" s="572"/>
      <c r="R878" s="572"/>
      <c r="S878" s="574"/>
    </row>
    <row r="879" ht="13.5" customHeight="1">
      <c r="A879" s="572"/>
      <c r="B879" s="572"/>
      <c r="C879" s="572"/>
      <c r="D879" s="573"/>
      <c r="E879" s="572"/>
      <c r="F879" s="572"/>
      <c r="G879" s="584"/>
      <c r="H879" s="570"/>
      <c r="I879" s="570"/>
      <c r="J879" s="572"/>
      <c r="K879" s="572"/>
      <c r="L879" s="572"/>
      <c r="M879" s="573"/>
      <c r="N879" s="572"/>
      <c r="O879" s="572"/>
      <c r="P879" s="572"/>
      <c r="Q879" s="572"/>
      <c r="R879" s="572"/>
      <c r="S879" s="574"/>
    </row>
    <row r="880" ht="13.5" customHeight="1">
      <c r="A880" s="572"/>
      <c r="B880" s="572"/>
      <c r="C880" s="572"/>
      <c r="D880" s="573"/>
      <c r="E880" s="572"/>
      <c r="F880" s="572"/>
      <c r="G880" s="584"/>
      <c r="H880" s="570"/>
      <c r="I880" s="570"/>
      <c r="J880" s="572"/>
      <c r="K880" s="572"/>
      <c r="L880" s="572"/>
      <c r="M880" s="573"/>
      <c r="N880" s="572"/>
      <c r="O880" s="572"/>
      <c r="P880" s="572"/>
      <c r="Q880" s="572"/>
      <c r="R880" s="572"/>
      <c r="S880" s="574"/>
    </row>
    <row r="881" ht="13.5" customHeight="1">
      <c r="A881" s="572"/>
      <c r="B881" s="572"/>
      <c r="C881" s="572"/>
      <c r="D881" s="573"/>
      <c r="E881" s="572"/>
      <c r="F881" s="572"/>
      <c r="G881" s="584"/>
      <c r="H881" s="570"/>
      <c r="I881" s="570"/>
      <c r="J881" s="572"/>
      <c r="K881" s="572"/>
      <c r="L881" s="572"/>
      <c r="M881" s="573"/>
      <c r="N881" s="572"/>
      <c r="O881" s="572"/>
      <c r="P881" s="572"/>
      <c r="Q881" s="572"/>
      <c r="R881" s="572"/>
      <c r="S881" s="574"/>
    </row>
    <row r="882" ht="13.5" customHeight="1">
      <c r="A882" s="572"/>
      <c r="B882" s="572"/>
      <c r="C882" s="572"/>
      <c r="D882" s="573"/>
      <c r="E882" s="572"/>
      <c r="F882" s="572"/>
      <c r="G882" s="584"/>
      <c r="H882" s="570"/>
      <c r="I882" s="570"/>
      <c r="J882" s="572"/>
      <c r="K882" s="572"/>
      <c r="L882" s="572"/>
      <c r="M882" s="573"/>
      <c r="N882" s="572"/>
      <c r="O882" s="572"/>
      <c r="P882" s="572"/>
      <c r="Q882" s="572"/>
      <c r="R882" s="572"/>
      <c r="S882" s="574"/>
    </row>
    <row r="883" ht="13.5" customHeight="1">
      <c r="A883" s="572"/>
      <c r="B883" s="572"/>
      <c r="C883" s="572"/>
      <c r="D883" s="573"/>
      <c r="E883" s="572"/>
      <c r="F883" s="572"/>
      <c r="G883" s="584"/>
      <c r="H883" s="570"/>
      <c r="I883" s="570"/>
      <c r="J883" s="572"/>
      <c r="K883" s="572"/>
      <c r="L883" s="572"/>
      <c r="M883" s="573"/>
      <c r="N883" s="572"/>
      <c r="O883" s="572"/>
      <c r="P883" s="572"/>
      <c r="Q883" s="572"/>
      <c r="R883" s="572"/>
      <c r="S883" s="574"/>
    </row>
    <row r="884" ht="13.5" customHeight="1">
      <c r="A884" s="572"/>
      <c r="B884" s="572"/>
      <c r="C884" s="572"/>
      <c r="D884" s="573"/>
      <c r="E884" s="572"/>
      <c r="F884" s="572"/>
      <c r="G884" s="584"/>
      <c r="H884" s="570"/>
      <c r="I884" s="570"/>
      <c r="J884" s="572"/>
      <c r="K884" s="572"/>
      <c r="L884" s="572"/>
      <c r="M884" s="573"/>
      <c r="N884" s="572"/>
      <c r="O884" s="572"/>
      <c r="P884" s="572"/>
      <c r="Q884" s="572"/>
      <c r="R884" s="572"/>
      <c r="S884" s="574"/>
    </row>
    <row r="885" ht="13.5" customHeight="1">
      <c r="A885" s="572"/>
      <c r="B885" s="572"/>
      <c r="C885" s="572"/>
      <c r="D885" s="573"/>
      <c r="E885" s="572"/>
      <c r="F885" s="572"/>
      <c r="G885" s="584"/>
      <c r="H885" s="570"/>
      <c r="I885" s="570"/>
      <c r="J885" s="572"/>
      <c r="K885" s="572"/>
      <c r="L885" s="572"/>
      <c r="M885" s="573"/>
      <c r="N885" s="572"/>
      <c r="O885" s="572"/>
      <c r="P885" s="572"/>
      <c r="Q885" s="572"/>
      <c r="R885" s="572"/>
      <c r="S885" s="574"/>
    </row>
    <row r="886" ht="13.5" customHeight="1">
      <c r="A886" s="572"/>
      <c r="B886" s="572"/>
      <c r="C886" s="572"/>
      <c r="D886" s="573"/>
      <c r="E886" s="572"/>
      <c r="F886" s="572"/>
      <c r="G886" s="584"/>
      <c r="H886" s="570"/>
      <c r="I886" s="570"/>
      <c r="J886" s="572"/>
      <c r="K886" s="572"/>
      <c r="L886" s="572"/>
      <c r="M886" s="573"/>
      <c r="N886" s="572"/>
      <c r="O886" s="572"/>
      <c r="P886" s="572"/>
      <c r="Q886" s="572"/>
      <c r="R886" s="572"/>
      <c r="S886" s="574"/>
    </row>
    <row r="887" ht="13.5" customHeight="1">
      <c r="A887" s="572"/>
      <c r="B887" s="572"/>
      <c r="C887" s="572"/>
      <c r="D887" s="573"/>
      <c r="E887" s="572"/>
      <c r="F887" s="572"/>
      <c r="G887" s="584"/>
      <c r="H887" s="570"/>
      <c r="I887" s="570"/>
      <c r="J887" s="572"/>
      <c r="K887" s="572"/>
      <c r="L887" s="572"/>
      <c r="M887" s="573"/>
      <c r="N887" s="572"/>
      <c r="O887" s="572"/>
      <c r="P887" s="572"/>
      <c r="Q887" s="572"/>
      <c r="R887" s="572"/>
      <c r="S887" s="574"/>
    </row>
    <row r="888" ht="13.5" customHeight="1">
      <c r="A888" s="572"/>
      <c r="B888" s="572"/>
      <c r="C888" s="572"/>
      <c r="D888" s="573"/>
      <c r="E888" s="572"/>
      <c r="F888" s="572"/>
      <c r="G888" s="584"/>
      <c r="H888" s="570"/>
      <c r="I888" s="570"/>
      <c r="J888" s="572"/>
      <c r="K888" s="572"/>
      <c r="L888" s="572"/>
      <c r="M888" s="573"/>
      <c r="N888" s="572"/>
      <c r="O888" s="572"/>
      <c r="P888" s="572"/>
      <c r="Q888" s="572"/>
      <c r="R888" s="572"/>
      <c r="S888" s="574"/>
    </row>
    <row r="889" ht="13.5" customHeight="1">
      <c r="A889" s="572"/>
      <c r="B889" s="572"/>
      <c r="C889" s="572"/>
      <c r="D889" s="573"/>
      <c r="E889" s="572"/>
      <c r="F889" s="572"/>
      <c r="G889" s="584"/>
      <c r="H889" s="570"/>
      <c r="I889" s="570"/>
      <c r="J889" s="572"/>
      <c r="K889" s="572"/>
      <c r="L889" s="572"/>
      <c r="M889" s="573"/>
      <c r="N889" s="572"/>
      <c r="O889" s="572"/>
      <c r="P889" s="572"/>
      <c r="Q889" s="572"/>
      <c r="R889" s="572"/>
      <c r="S889" s="574"/>
    </row>
    <row r="890" ht="13.5" customHeight="1">
      <c r="A890" s="572"/>
      <c r="B890" s="572"/>
      <c r="C890" s="572"/>
      <c r="D890" s="573"/>
      <c r="E890" s="572"/>
      <c r="F890" s="572"/>
      <c r="G890" s="584"/>
      <c r="H890" s="570"/>
      <c r="I890" s="570"/>
      <c r="J890" s="572"/>
      <c r="K890" s="572"/>
      <c r="L890" s="572"/>
      <c r="M890" s="573"/>
      <c r="N890" s="572"/>
      <c r="O890" s="572"/>
      <c r="P890" s="572"/>
      <c r="Q890" s="572"/>
      <c r="R890" s="572"/>
      <c r="S890" s="574"/>
    </row>
    <row r="891" ht="13.5" customHeight="1">
      <c r="A891" s="572"/>
      <c r="B891" s="572"/>
      <c r="C891" s="572"/>
      <c r="D891" s="573"/>
      <c r="E891" s="572"/>
      <c r="F891" s="572"/>
      <c r="G891" s="584"/>
      <c r="H891" s="570"/>
      <c r="I891" s="570"/>
      <c r="J891" s="572"/>
      <c r="K891" s="572"/>
      <c r="L891" s="572"/>
      <c r="M891" s="573"/>
      <c r="N891" s="572"/>
      <c r="O891" s="572"/>
      <c r="P891" s="572"/>
      <c r="Q891" s="572"/>
      <c r="R891" s="572"/>
      <c r="S891" s="574"/>
    </row>
    <row r="892" ht="13.5" customHeight="1">
      <c r="A892" s="572"/>
      <c r="B892" s="572"/>
      <c r="C892" s="572"/>
      <c r="D892" s="573"/>
      <c r="E892" s="572"/>
      <c r="F892" s="572"/>
      <c r="G892" s="584"/>
      <c r="H892" s="570"/>
      <c r="I892" s="570"/>
      <c r="J892" s="572"/>
      <c r="K892" s="572"/>
      <c r="L892" s="572"/>
      <c r="M892" s="573"/>
      <c r="N892" s="572"/>
      <c r="O892" s="572"/>
      <c r="P892" s="572"/>
      <c r="Q892" s="572"/>
      <c r="R892" s="572"/>
      <c r="S892" s="574"/>
    </row>
    <row r="893" ht="13.5" customHeight="1">
      <c r="A893" s="572"/>
      <c r="B893" s="572"/>
      <c r="C893" s="572"/>
      <c r="D893" s="573"/>
      <c r="E893" s="572"/>
      <c r="F893" s="572"/>
      <c r="G893" s="584"/>
      <c r="H893" s="570"/>
      <c r="I893" s="570"/>
      <c r="J893" s="572"/>
      <c r="K893" s="572"/>
      <c r="L893" s="572"/>
      <c r="M893" s="573"/>
      <c r="N893" s="572"/>
      <c r="O893" s="572"/>
      <c r="P893" s="572"/>
      <c r="Q893" s="572"/>
      <c r="R893" s="572"/>
      <c r="S893" s="574"/>
    </row>
    <row r="894" ht="13.5" customHeight="1">
      <c r="A894" s="572"/>
      <c r="B894" s="572"/>
      <c r="C894" s="572"/>
      <c r="D894" s="573"/>
      <c r="E894" s="572"/>
      <c r="F894" s="572"/>
      <c r="G894" s="584"/>
      <c r="H894" s="570"/>
      <c r="I894" s="570"/>
      <c r="J894" s="572"/>
      <c r="K894" s="572"/>
      <c r="L894" s="572"/>
      <c r="M894" s="573"/>
      <c r="N894" s="572"/>
      <c r="O894" s="572"/>
      <c r="P894" s="572"/>
      <c r="Q894" s="572"/>
      <c r="R894" s="572"/>
      <c r="S894" s="574"/>
    </row>
    <row r="895" ht="13.5" customHeight="1">
      <c r="A895" s="572"/>
      <c r="B895" s="572"/>
      <c r="C895" s="572"/>
      <c r="D895" s="573"/>
      <c r="E895" s="572"/>
      <c r="F895" s="572"/>
      <c r="G895" s="584"/>
      <c r="H895" s="570"/>
      <c r="I895" s="570"/>
      <c r="J895" s="572"/>
      <c r="K895" s="572"/>
      <c r="L895" s="572"/>
      <c r="M895" s="573"/>
      <c r="N895" s="572"/>
      <c r="O895" s="572"/>
      <c r="P895" s="572"/>
      <c r="Q895" s="572"/>
      <c r="R895" s="572"/>
      <c r="S895" s="574"/>
    </row>
    <row r="896" ht="13.5" customHeight="1">
      <c r="A896" s="572"/>
      <c r="B896" s="572"/>
      <c r="C896" s="572"/>
      <c r="D896" s="573"/>
      <c r="E896" s="572"/>
      <c r="F896" s="572"/>
      <c r="G896" s="584"/>
      <c r="H896" s="570"/>
      <c r="I896" s="570"/>
      <c r="J896" s="572"/>
      <c r="K896" s="572"/>
      <c r="L896" s="572"/>
      <c r="M896" s="573"/>
      <c r="N896" s="572"/>
      <c r="O896" s="572"/>
      <c r="P896" s="572"/>
      <c r="Q896" s="572"/>
      <c r="R896" s="572"/>
      <c r="S896" s="574"/>
    </row>
    <row r="897" ht="13.5" customHeight="1">
      <c r="A897" s="572"/>
      <c r="B897" s="572"/>
      <c r="C897" s="572"/>
      <c r="D897" s="573"/>
      <c r="E897" s="572"/>
      <c r="F897" s="572"/>
      <c r="G897" s="584"/>
      <c r="H897" s="570"/>
      <c r="I897" s="570"/>
      <c r="J897" s="572"/>
      <c r="K897" s="572"/>
      <c r="L897" s="572"/>
      <c r="M897" s="573"/>
      <c r="N897" s="572"/>
      <c r="O897" s="572"/>
      <c r="P897" s="572"/>
      <c r="Q897" s="572"/>
      <c r="R897" s="572"/>
      <c r="S897" s="574"/>
    </row>
    <row r="898" ht="13.5" customHeight="1">
      <c r="A898" s="572"/>
      <c r="B898" s="572"/>
      <c r="C898" s="572"/>
      <c r="D898" s="573"/>
      <c r="E898" s="572"/>
      <c r="F898" s="572"/>
      <c r="G898" s="584"/>
      <c r="H898" s="570"/>
      <c r="I898" s="570"/>
      <c r="J898" s="572"/>
      <c r="K898" s="572"/>
      <c r="L898" s="572"/>
      <c r="M898" s="573"/>
      <c r="N898" s="572"/>
      <c r="O898" s="572"/>
      <c r="P898" s="572"/>
      <c r="Q898" s="572"/>
      <c r="R898" s="572"/>
      <c r="S898" s="574"/>
    </row>
    <row r="899" ht="13.5" customHeight="1">
      <c r="A899" s="572"/>
      <c r="B899" s="572"/>
      <c r="C899" s="572"/>
      <c r="D899" s="573"/>
      <c r="E899" s="572"/>
      <c r="F899" s="572"/>
      <c r="G899" s="584"/>
      <c r="H899" s="570"/>
      <c r="I899" s="570"/>
      <c r="J899" s="572"/>
      <c r="K899" s="572"/>
      <c r="L899" s="572"/>
      <c r="M899" s="573"/>
      <c r="N899" s="572"/>
      <c r="O899" s="572"/>
      <c r="P899" s="572"/>
      <c r="Q899" s="572"/>
      <c r="R899" s="572"/>
      <c r="S899" s="574"/>
    </row>
    <row r="900" ht="13.5" customHeight="1">
      <c r="A900" s="572"/>
      <c r="B900" s="572"/>
      <c r="C900" s="572"/>
      <c r="D900" s="573"/>
      <c r="E900" s="572"/>
      <c r="F900" s="572"/>
      <c r="G900" s="584"/>
      <c r="H900" s="570"/>
      <c r="I900" s="570"/>
      <c r="J900" s="572"/>
      <c r="K900" s="572"/>
      <c r="L900" s="572"/>
      <c r="M900" s="573"/>
      <c r="N900" s="572"/>
      <c r="O900" s="572"/>
      <c r="P900" s="572"/>
      <c r="Q900" s="572"/>
      <c r="R900" s="572"/>
      <c r="S900" s="574"/>
    </row>
    <row r="901" ht="13.5" customHeight="1">
      <c r="A901" s="572"/>
      <c r="B901" s="572"/>
      <c r="C901" s="572"/>
      <c r="D901" s="573"/>
      <c r="E901" s="572"/>
      <c r="F901" s="572"/>
      <c r="G901" s="584"/>
      <c r="H901" s="570"/>
      <c r="I901" s="570"/>
      <c r="J901" s="572"/>
      <c r="K901" s="572"/>
      <c r="L901" s="572"/>
      <c r="M901" s="573"/>
      <c r="N901" s="572"/>
      <c r="O901" s="572"/>
      <c r="P901" s="572"/>
      <c r="Q901" s="572"/>
      <c r="R901" s="572"/>
      <c r="S901" s="574"/>
    </row>
    <row r="902" ht="13.5" customHeight="1">
      <c r="A902" s="572"/>
      <c r="B902" s="572"/>
      <c r="C902" s="572"/>
      <c r="D902" s="573"/>
      <c r="E902" s="572"/>
      <c r="F902" s="572"/>
      <c r="G902" s="584"/>
      <c r="H902" s="570"/>
      <c r="I902" s="570"/>
      <c r="J902" s="572"/>
      <c r="K902" s="572"/>
      <c r="L902" s="572"/>
      <c r="M902" s="573"/>
      <c r="N902" s="572"/>
      <c r="O902" s="572"/>
      <c r="P902" s="572"/>
      <c r="Q902" s="572"/>
      <c r="R902" s="572"/>
      <c r="S902" s="574"/>
    </row>
    <row r="903" ht="13.5" customHeight="1">
      <c r="A903" s="572"/>
      <c r="B903" s="572"/>
      <c r="C903" s="572"/>
      <c r="D903" s="573"/>
      <c r="E903" s="572"/>
      <c r="F903" s="572"/>
      <c r="G903" s="584"/>
      <c r="H903" s="570"/>
      <c r="I903" s="570"/>
      <c r="J903" s="572"/>
      <c r="K903" s="572"/>
      <c r="L903" s="572"/>
      <c r="M903" s="573"/>
      <c r="N903" s="572"/>
      <c r="O903" s="572"/>
      <c r="P903" s="572"/>
      <c r="Q903" s="572"/>
      <c r="R903" s="572"/>
      <c r="S903" s="574"/>
    </row>
    <row r="904" ht="13.5" customHeight="1">
      <c r="A904" s="572"/>
      <c r="B904" s="572"/>
      <c r="C904" s="572"/>
      <c r="D904" s="573"/>
      <c r="E904" s="572"/>
      <c r="F904" s="572"/>
      <c r="G904" s="584"/>
      <c r="H904" s="570"/>
      <c r="I904" s="570"/>
      <c r="J904" s="572"/>
      <c r="K904" s="572"/>
      <c r="L904" s="572"/>
      <c r="M904" s="573"/>
      <c r="N904" s="572"/>
      <c r="O904" s="572"/>
      <c r="P904" s="572"/>
      <c r="Q904" s="572"/>
      <c r="R904" s="572"/>
      <c r="S904" s="574"/>
    </row>
    <row r="905" ht="13.5" customHeight="1">
      <c r="A905" s="572"/>
      <c r="B905" s="572"/>
      <c r="C905" s="572"/>
      <c r="D905" s="573"/>
      <c r="E905" s="572"/>
      <c r="F905" s="572"/>
      <c r="G905" s="584"/>
      <c r="H905" s="570"/>
      <c r="I905" s="570"/>
      <c r="J905" s="572"/>
      <c r="K905" s="572"/>
      <c r="L905" s="572"/>
      <c r="M905" s="573"/>
      <c r="N905" s="572"/>
      <c r="O905" s="572"/>
      <c r="P905" s="572"/>
      <c r="Q905" s="572"/>
      <c r="R905" s="572"/>
      <c r="S905" s="574"/>
    </row>
    <row r="906" ht="13.5" customHeight="1">
      <c r="A906" s="572"/>
      <c r="B906" s="572"/>
      <c r="C906" s="572"/>
      <c r="D906" s="573"/>
      <c r="E906" s="572"/>
      <c r="F906" s="572"/>
      <c r="G906" s="584"/>
      <c r="H906" s="570"/>
      <c r="I906" s="570"/>
      <c r="J906" s="572"/>
      <c r="K906" s="572"/>
      <c r="L906" s="572"/>
      <c r="M906" s="573"/>
      <c r="N906" s="572"/>
      <c r="O906" s="572"/>
      <c r="P906" s="572"/>
      <c r="Q906" s="572"/>
      <c r="R906" s="572"/>
      <c r="S906" s="574"/>
    </row>
    <row r="907" ht="13.5" customHeight="1">
      <c r="A907" s="572"/>
      <c r="B907" s="572"/>
      <c r="C907" s="572"/>
      <c r="D907" s="573"/>
      <c r="E907" s="572"/>
      <c r="F907" s="572"/>
      <c r="G907" s="584"/>
      <c r="H907" s="570"/>
      <c r="I907" s="570"/>
      <c r="J907" s="572"/>
      <c r="K907" s="572"/>
      <c r="L907" s="572"/>
      <c r="M907" s="573"/>
      <c r="N907" s="572"/>
      <c r="O907" s="572"/>
      <c r="P907" s="572"/>
      <c r="Q907" s="572"/>
      <c r="R907" s="572"/>
      <c r="S907" s="574"/>
    </row>
    <row r="908" ht="13.5" customHeight="1">
      <c r="A908" s="572"/>
      <c r="B908" s="572"/>
      <c r="C908" s="572"/>
      <c r="D908" s="573"/>
      <c r="E908" s="572"/>
      <c r="F908" s="572"/>
      <c r="G908" s="584"/>
      <c r="H908" s="570"/>
      <c r="I908" s="570"/>
      <c r="J908" s="572"/>
      <c r="K908" s="572"/>
      <c r="L908" s="572"/>
      <c r="M908" s="573"/>
      <c r="N908" s="572"/>
      <c r="O908" s="572"/>
      <c r="P908" s="572"/>
      <c r="Q908" s="572"/>
      <c r="R908" s="572"/>
      <c r="S908" s="574"/>
    </row>
    <row r="909" ht="13.5" customHeight="1">
      <c r="A909" s="572"/>
      <c r="B909" s="572"/>
      <c r="C909" s="572"/>
      <c r="D909" s="573"/>
      <c r="E909" s="572"/>
      <c r="F909" s="572"/>
      <c r="G909" s="584"/>
      <c r="H909" s="570"/>
      <c r="I909" s="570"/>
      <c r="J909" s="572"/>
      <c r="K909" s="572"/>
      <c r="L909" s="572"/>
      <c r="M909" s="573"/>
      <c r="N909" s="572"/>
      <c r="O909" s="572"/>
      <c r="P909" s="572"/>
      <c r="Q909" s="572"/>
      <c r="R909" s="572"/>
      <c r="S909" s="574"/>
    </row>
    <row r="910" ht="13.5" customHeight="1">
      <c r="A910" s="572"/>
      <c r="B910" s="572"/>
      <c r="C910" s="572"/>
      <c r="D910" s="573"/>
      <c r="E910" s="572"/>
      <c r="F910" s="572"/>
      <c r="G910" s="584"/>
      <c r="H910" s="570"/>
      <c r="I910" s="570"/>
      <c r="J910" s="572"/>
      <c r="K910" s="572"/>
      <c r="L910" s="572"/>
      <c r="M910" s="573"/>
      <c r="N910" s="572"/>
      <c r="O910" s="572"/>
      <c r="P910" s="572"/>
      <c r="Q910" s="572"/>
      <c r="R910" s="572"/>
      <c r="S910" s="574"/>
    </row>
    <row r="911" ht="13.5" customHeight="1">
      <c r="A911" s="572"/>
      <c r="B911" s="572"/>
      <c r="C911" s="572"/>
      <c r="D911" s="573"/>
      <c r="E911" s="572"/>
      <c r="F911" s="572"/>
      <c r="G911" s="584"/>
      <c r="H911" s="570"/>
      <c r="I911" s="570"/>
      <c r="J911" s="572"/>
      <c r="K911" s="572"/>
      <c r="L911" s="572"/>
      <c r="M911" s="573"/>
      <c r="N911" s="572"/>
      <c r="O911" s="572"/>
      <c r="P911" s="572"/>
      <c r="Q911" s="572"/>
      <c r="R911" s="572"/>
      <c r="S911" s="574"/>
    </row>
    <row r="912" ht="13.5" customHeight="1">
      <c r="A912" s="572"/>
      <c r="B912" s="572"/>
      <c r="C912" s="572"/>
      <c r="D912" s="573"/>
      <c r="E912" s="572"/>
      <c r="F912" s="572"/>
      <c r="G912" s="584"/>
      <c r="H912" s="570"/>
      <c r="I912" s="570"/>
      <c r="J912" s="572"/>
      <c r="K912" s="572"/>
      <c r="L912" s="572"/>
      <c r="M912" s="573"/>
      <c r="N912" s="572"/>
      <c r="O912" s="572"/>
      <c r="P912" s="572"/>
      <c r="Q912" s="572"/>
      <c r="R912" s="572"/>
      <c r="S912" s="574"/>
    </row>
    <row r="913" ht="13.5" customHeight="1">
      <c r="A913" s="572"/>
      <c r="B913" s="572"/>
      <c r="C913" s="572"/>
      <c r="D913" s="573"/>
      <c r="E913" s="572"/>
      <c r="F913" s="572"/>
      <c r="G913" s="584"/>
      <c r="H913" s="570"/>
      <c r="I913" s="570"/>
      <c r="J913" s="572"/>
      <c r="K913" s="572"/>
      <c r="L913" s="572"/>
      <c r="M913" s="573"/>
      <c r="N913" s="572"/>
      <c r="O913" s="572"/>
      <c r="P913" s="572"/>
      <c r="Q913" s="572"/>
      <c r="R913" s="572"/>
      <c r="S913" s="574"/>
    </row>
    <row r="914" ht="13.5" customHeight="1">
      <c r="A914" s="572"/>
      <c r="B914" s="572"/>
      <c r="C914" s="572"/>
      <c r="D914" s="573"/>
      <c r="E914" s="572"/>
      <c r="F914" s="572"/>
      <c r="G914" s="584"/>
      <c r="H914" s="570"/>
      <c r="I914" s="570"/>
      <c r="J914" s="572"/>
      <c r="K914" s="572"/>
      <c r="L914" s="572"/>
      <c r="M914" s="573"/>
      <c r="N914" s="572"/>
      <c r="O914" s="572"/>
      <c r="P914" s="572"/>
      <c r="Q914" s="572"/>
      <c r="R914" s="572"/>
      <c r="S914" s="574"/>
    </row>
    <row r="915" ht="13.5" customHeight="1">
      <c r="A915" s="572"/>
      <c r="B915" s="572"/>
      <c r="C915" s="572"/>
      <c r="D915" s="573"/>
      <c r="E915" s="572"/>
      <c r="F915" s="572"/>
      <c r="G915" s="584"/>
      <c r="H915" s="570"/>
      <c r="I915" s="570"/>
      <c r="J915" s="572"/>
      <c r="K915" s="572"/>
      <c r="L915" s="572"/>
      <c r="M915" s="573"/>
      <c r="N915" s="572"/>
      <c r="O915" s="572"/>
      <c r="P915" s="572"/>
      <c r="Q915" s="572"/>
      <c r="R915" s="572"/>
      <c r="S915" s="574"/>
    </row>
    <row r="916" ht="13.5" customHeight="1">
      <c r="A916" s="572"/>
      <c r="B916" s="572"/>
      <c r="C916" s="572"/>
      <c r="D916" s="573"/>
      <c r="E916" s="572"/>
      <c r="F916" s="572"/>
      <c r="G916" s="584"/>
      <c r="H916" s="570"/>
      <c r="I916" s="570"/>
      <c r="J916" s="572"/>
      <c r="K916" s="572"/>
      <c r="L916" s="572"/>
      <c r="M916" s="573"/>
      <c r="N916" s="572"/>
      <c r="O916" s="572"/>
      <c r="P916" s="572"/>
      <c r="Q916" s="572"/>
      <c r="R916" s="572"/>
      <c r="S916" s="574"/>
    </row>
    <row r="917" ht="13.5" customHeight="1">
      <c r="A917" s="572"/>
      <c r="B917" s="572"/>
      <c r="C917" s="572"/>
      <c r="D917" s="573"/>
      <c r="E917" s="572"/>
      <c r="F917" s="572"/>
      <c r="G917" s="584"/>
      <c r="H917" s="570"/>
      <c r="I917" s="570"/>
      <c r="J917" s="572"/>
      <c r="K917" s="572"/>
      <c r="L917" s="572"/>
      <c r="M917" s="573"/>
      <c r="N917" s="572"/>
      <c r="O917" s="572"/>
      <c r="P917" s="572"/>
      <c r="Q917" s="572"/>
      <c r="R917" s="572"/>
      <c r="S917" s="574"/>
    </row>
    <row r="918" ht="13.5" customHeight="1">
      <c r="A918" s="572"/>
      <c r="B918" s="572"/>
      <c r="C918" s="572"/>
      <c r="D918" s="573"/>
      <c r="E918" s="572"/>
      <c r="F918" s="572"/>
      <c r="G918" s="584"/>
      <c r="H918" s="570"/>
      <c r="I918" s="570"/>
      <c r="J918" s="572"/>
      <c r="K918" s="572"/>
      <c r="L918" s="572"/>
      <c r="M918" s="573"/>
      <c r="N918" s="572"/>
      <c r="O918" s="572"/>
      <c r="P918" s="572"/>
      <c r="Q918" s="572"/>
      <c r="R918" s="572"/>
      <c r="S918" s="574"/>
    </row>
    <row r="919" ht="13.5" customHeight="1">
      <c r="A919" s="572"/>
      <c r="B919" s="572"/>
      <c r="C919" s="572"/>
      <c r="D919" s="573"/>
      <c r="E919" s="572"/>
      <c r="F919" s="572"/>
      <c r="G919" s="584"/>
      <c r="H919" s="570"/>
      <c r="I919" s="570"/>
      <c r="J919" s="572"/>
      <c r="K919" s="572"/>
      <c r="L919" s="572"/>
      <c r="M919" s="573"/>
      <c r="N919" s="572"/>
      <c r="O919" s="572"/>
      <c r="P919" s="572"/>
      <c r="Q919" s="572"/>
      <c r="R919" s="572"/>
      <c r="S919" s="574"/>
    </row>
    <row r="920" ht="13.5" customHeight="1">
      <c r="A920" s="572"/>
      <c r="B920" s="572"/>
      <c r="C920" s="572"/>
      <c r="D920" s="573"/>
      <c r="E920" s="572"/>
      <c r="F920" s="572"/>
      <c r="G920" s="584"/>
      <c r="H920" s="570"/>
      <c r="I920" s="570"/>
      <c r="J920" s="572"/>
      <c r="K920" s="572"/>
      <c r="L920" s="572"/>
      <c r="M920" s="573"/>
      <c r="N920" s="572"/>
      <c r="O920" s="572"/>
      <c r="P920" s="572"/>
      <c r="Q920" s="572"/>
      <c r="R920" s="572"/>
      <c r="S920" s="574"/>
    </row>
    <row r="921" ht="13.5" customHeight="1">
      <c r="A921" s="572"/>
      <c r="B921" s="572"/>
      <c r="C921" s="572"/>
      <c r="D921" s="573"/>
      <c r="E921" s="572"/>
      <c r="F921" s="572"/>
      <c r="G921" s="584"/>
      <c r="H921" s="570"/>
      <c r="I921" s="570"/>
      <c r="J921" s="572"/>
      <c r="K921" s="572"/>
      <c r="L921" s="572"/>
      <c r="M921" s="573"/>
      <c r="N921" s="572"/>
      <c r="O921" s="572"/>
      <c r="P921" s="572"/>
      <c r="Q921" s="572"/>
      <c r="R921" s="572"/>
      <c r="S921" s="574"/>
    </row>
    <row r="922" ht="13.5" customHeight="1">
      <c r="A922" s="572"/>
      <c r="B922" s="572"/>
      <c r="C922" s="572"/>
      <c r="D922" s="573"/>
      <c r="E922" s="572"/>
      <c r="F922" s="572"/>
      <c r="G922" s="584"/>
      <c r="H922" s="570"/>
      <c r="I922" s="570"/>
      <c r="J922" s="572"/>
      <c r="K922" s="572"/>
      <c r="L922" s="572"/>
      <c r="M922" s="573"/>
      <c r="N922" s="572"/>
      <c r="O922" s="572"/>
      <c r="P922" s="572"/>
      <c r="Q922" s="572"/>
      <c r="R922" s="572"/>
      <c r="S922" s="574"/>
    </row>
    <row r="923" ht="13.5" customHeight="1">
      <c r="A923" s="572"/>
      <c r="B923" s="572"/>
      <c r="C923" s="572"/>
      <c r="D923" s="573"/>
      <c r="E923" s="572"/>
      <c r="F923" s="572"/>
      <c r="G923" s="584"/>
      <c r="H923" s="570"/>
      <c r="I923" s="570"/>
      <c r="J923" s="572"/>
      <c r="K923" s="572"/>
      <c r="L923" s="572"/>
      <c r="M923" s="573"/>
      <c r="N923" s="572"/>
      <c r="O923" s="572"/>
      <c r="P923" s="572"/>
      <c r="Q923" s="572"/>
      <c r="R923" s="572"/>
      <c r="S923" s="574"/>
    </row>
    <row r="924" ht="13.5" customHeight="1">
      <c r="A924" s="572"/>
      <c r="B924" s="572"/>
      <c r="C924" s="572"/>
      <c r="D924" s="573"/>
      <c r="E924" s="572"/>
      <c r="F924" s="572"/>
      <c r="G924" s="584"/>
      <c r="H924" s="570"/>
      <c r="I924" s="570"/>
      <c r="J924" s="572"/>
      <c r="K924" s="572"/>
      <c r="L924" s="572"/>
      <c r="M924" s="573"/>
      <c r="N924" s="572"/>
      <c r="O924" s="572"/>
      <c r="P924" s="572"/>
      <c r="Q924" s="572"/>
      <c r="R924" s="572"/>
      <c r="S924" s="574"/>
    </row>
    <row r="925" ht="13.5" customHeight="1">
      <c r="A925" s="572"/>
      <c r="B925" s="572"/>
      <c r="C925" s="572"/>
      <c r="D925" s="573"/>
      <c r="E925" s="572"/>
      <c r="F925" s="572"/>
      <c r="G925" s="584"/>
      <c r="H925" s="570"/>
      <c r="I925" s="570"/>
      <c r="J925" s="572"/>
      <c r="K925" s="572"/>
      <c r="L925" s="572"/>
      <c r="M925" s="573"/>
      <c r="N925" s="572"/>
      <c r="O925" s="572"/>
      <c r="P925" s="572"/>
      <c r="Q925" s="572"/>
      <c r="R925" s="572"/>
      <c r="S925" s="574"/>
    </row>
    <row r="926" ht="13.5" customHeight="1">
      <c r="A926" s="572"/>
      <c r="B926" s="572"/>
      <c r="C926" s="572"/>
      <c r="D926" s="573"/>
      <c r="E926" s="572"/>
      <c r="F926" s="572"/>
      <c r="G926" s="584"/>
      <c r="H926" s="570"/>
      <c r="I926" s="570"/>
      <c r="J926" s="572"/>
      <c r="K926" s="572"/>
      <c r="L926" s="572"/>
      <c r="M926" s="573"/>
      <c r="N926" s="572"/>
      <c r="O926" s="572"/>
      <c r="P926" s="572"/>
      <c r="Q926" s="572"/>
      <c r="R926" s="572"/>
      <c r="S926" s="574"/>
    </row>
    <row r="927" ht="13.5" customHeight="1">
      <c r="A927" s="572"/>
      <c r="B927" s="572"/>
      <c r="C927" s="572"/>
      <c r="D927" s="573"/>
      <c r="E927" s="572"/>
      <c r="F927" s="572"/>
      <c r="G927" s="584"/>
      <c r="H927" s="570"/>
      <c r="I927" s="570"/>
      <c r="J927" s="572"/>
      <c r="K927" s="572"/>
      <c r="L927" s="572"/>
      <c r="M927" s="573"/>
      <c r="N927" s="572"/>
      <c r="O927" s="572"/>
      <c r="P927" s="572"/>
      <c r="Q927" s="572"/>
      <c r="R927" s="572"/>
      <c r="S927" s="574"/>
    </row>
    <row r="928" ht="13.5" customHeight="1">
      <c r="A928" s="572"/>
      <c r="B928" s="572"/>
      <c r="C928" s="572"/>
      <c r="D928" s="573"/>
      <c r="E928" s="572"/>
      <c r="F928" s="572"/>
      <c r="G928" s="584"/>
      <c r="H928" s="570"/>
      <c r="I928" s="570"/>
      <c r="J928" s="572"/>
      <c r="K928" s="572"/>
      <c r="L928" s="572"/>
      <c r="M928" s="573"/>
      <c r="N928" s="572"/>
      <c r="O928" s="572"/>
      <c r="P928" s="572"/>
      <c r="Q928" s="572"/>
      <c r="R928" s="572"/>
      <c r="S928" s="574"/>
    </row>
    <row r="929" ht="13.5" customHeight="1">
      <c r="A929" s="572"/>
      <c r="B929" s="572"/>
      <c r="C929" s="572"/>
      <c r="D929" s="573"/>
      <c r="E929" s="572"/>
      <c r="F929" s="572"/>
      <c r="G929" s="584"/>
      <c r="H929" s="570"/>
      <c r="I929" s="570"/>
      <c r="J929" s="572"/>
      <c r="K929" s="572"/>
      <c r="L929" s="572"/>
      <c r="M929" s="573"/>
      <c r="N929" s="572"/>
      <c r="O929" s="572"/>
      <c r="P929" s="572"/>
      <c r="Q929" s="572"/>
      <c r="R929" s="572"/>
      <c r="S929" s="574"/>
    </row>
    <row r="930" ht="13.5" customHeight="1">
      <c r="A930" s="572"/>
      <c r="B930" s="572"/>
      <c r="C930" s="572"/>
      <c r="D930" s="573"/>
      <c r="E930" s="572"/>
      <c r="F930" s="572"/>
      <c r="G930" s="584"/>
      <c r="H930" s="570"/>
      <c r="I930" s="570"/>
      <c r="J930" s="572"/>
      <c r="K930" s="572"/>
      <c r="L930" s="572"/>
      <c r="M930" s="573"/>
      <c r="N930" s="572"/>
      <c r="O930" s="572"/>
      <c r="P930" s="572"/>
      <c r="Q930" s="572"/>
      <c r="R930" s="572"/>
      <c r="S930" s="574"/>
    </row>
    <row r="931" ht="13.5" customHeight="1">
      <c r="A931" s="572"/>
      <c r="B931" s="572"/>
      <c r="C931" s="572"/>
      <c r="D931" s="573"/>
      <c r="E931" s="572"/>
      <c r="F931" s="572"/>
      <c r="G931" s="584"/>
      <c r="H931" s="570"/>
      <c r="I931" s="570"/>
      <c r="J931" s="572"/>
      <c r="K931" s="572"/>
      <c r="L931" s="572"/>
      <c r="M931" s="573"/>
      <c r="N931" s="572"/>
      <c r="O931" s="572"/>
      <c r="P931" s="572"/>
      <c r="Q931" s="572"/>
      <c r="R931" s="572"/>
      <c r="S931" s="574"/>
    </row>
    <row r="932" ht="13.5" customHeight="1">
      <c r="A932" s="572"/>
      <c r="B932" s="572"/>
      <c r="C932" s="572"/>
      <c r="D932" s="573"/>
      <c r="E932" s="572"/>
      <c r="F932" s="572"/>
      <c r="G932" s="584"/>
      <c r="H932" s="570"/>
      <c r="I932" s="570"/>
      <c r="J932" s="572"/>
      <c r="K932" s="572"/>
      <c r="L932" s="572"/>
      <c r="M932" s="573"/>
      <c r="N932" s="572"/>
      <c r="O932" s="572"/>
      <c r="P932" s="572"/>
      <c r="Q932" s="572"/>
      <c r="R932" s="572"/>
      <c r="S932" s="574"/>
    </row>
    <row r="933" ht="13.5" customHeight="1">
      <c r="A933" s="572"/>
      <c r="B933" s="572"/>
      <c r="C933" s="572"/>
      <c r="D933" s="573"/>
      <c r="E933" s="572"/>
      <c r="F933" s="572"/>
      <c r="G933" s="584"/>
      <c r="H933" s="570"/>
      <c r="I933" s="570"/>
      <c r="J933" s="572"/>
      <c r="K933" s="572"/>
      <c r="L933" s="572"/>
      <c r="M933" s="573"/>
      <c r="N933" s="572"/>
      <c r="O933" s="572"/>
      <c r="P933" s="572"/>
      <c r="Q933" s="572"/>
      <c r="R933" s="572"/>
      <c r="S933" s="574"/>
    </row>
    <row r="934" ht="13.5" customHeight="1">
      <c r="A934" s="572"/>
      <c r="B934" s="572"/>
      <c r="C934" s="572"/>
      <c r="D934" s="573"/>
      <c r="E934" s="572"/>
      <c r="F934" s="572"/>
      <c r="G934" s="584"/>
      <c r="H934" s="570"/>
      <c r="I934" s="570"/>
      <c r="J934" s="572"/>
      <c r="K934" s="572"/>
      <c r="L934" s="572"/>
      <c r="M934" s="573"/>
      <c r="N934" s="572"/>
      <c r="O934" s="572"/>
      <c r="P934" s="572"/>
      <c r="Q934" s="572"/>
      <c r="R934" s="572"/>
      <c r="S934" s="574"/>
    </row>
    <row r="935" ht="13.5" customHeight="1">
      <c r="A935" s="572"/>
      <c r="B935" s="572"/>
      <c r="C935" s="572"/>
      <c r="D935" s="573"/>
      <c r="E935" s="572"/>
      <c r="F935" s="572"/>
      <c r="G935" s="584"/>
      <c r="H935" s="570"/>
      <c r="I935" s="570"/>
      <c r="J935" s="572"/>
      <c r="K935" s="572"/>
      <c r="L935" s="572"/>
      <c r="M935" s="573"/>
      <c r="N935" s="572"/>
      <c r="O935" s="572"/>
      <c r="P935" s="572"/>
      <c r="Q935" s="572"/>
      <c r="R935" s="572"/>
      <c r="S935" s="574"/>
    </row>
    <row r="936" ht="13.5" customHeight="1">
      <c r="A936" s="572"/>
      <c r="B936" s="572"/>
      <c r="C936" s="572"/>
      <c r="D936" s="573"/>
      <c r="E936" s="572"/>
      <c r="F936" s="572"/>
      <c r="G936" s="584"/>
      <c r="H936" s="570"/>
      <c r="I936" s="570"/>
      <c r="J936" s="572"/>
      <c r="K936" s="572"/>
      <c r="L936" s="572"/>
      <c r="M936" s="573"/>
      <c r="N936" s="572"/>
      <c r="O936" s="572"/>
      <c r="P936" s="572"/>
      <c r="Q936" s="572"/>
      <c r="R936" s="572"/>
      <c r="S936" s="574"/>
    </row>
    <row r="937" ht="13.5" customHeight="1">
      <c r="A937" s="572"/>
      <c r="B937" s="572"/>
      <c r="C937" s="572"/>
      <c r="D937" s="573"/>
      <c r="E937" s="572"/>
      <c r="F937" s="572"/>
      <c r="G937" s="584"/>
      <c r="H937" s="570"/>
      <c r="I937" s="570"/>
      <c r="J937" s="572"/>
      <c r="K937" s="572"/>
      <c r="L937" s="572"/>
      <c r="M937" s="573"/>
      <c r="N937" s="572"/>
      <c r="O937" s="572"/>
      <c r="P937" s="572"/>
      <c r="Q937" s="572"/>
      <c r="R937" s="572"/>
      <c r="S937" s="574"/>
    </row>
    <row r="938" ht="13.5" customHeight="1">
      <c r="A938" s="572"/>
      <c r="B938" s="572"/>
      <c r="C938" s="572"/>
      <c r="D938" s="573"/>
      <c r="E938" s="572"/>
      <c r="F938" s="572"/>
      <c r="G938" s="584"/>
      <c r="H938" s="570"/>
      <c r="I938" s="570"/>
      <c r="J938" s="572"/>
      <c r="K938" s="572"/>
      <c r="L938" s="572"/>
      <c r="M938" s="573"/>
      <c r="N938" s="572"/>
      <c r="O938" s="572"/>
      <c r="P938" s="572"/>
      <c r="Q938" s="572"/>
      <c r="R938" s="572"/>
      <c r="S938" s="574"/>
    </row>
    <row r="939" ht="13.5" customHeight="1">
      <c r="A939" s="572"/>
      <c r="B939" s="572"/>
      <c r="C939" s="572"/>
      <c r="D939" s="573"/>
      <c r="E939" s="572"/>
      <c r="F939" s="572"/>
      <c r="G939" s="584"/>
      <c r="H939" s="570"/>
      <c r="I939" s="570"/>
      <c r="J939" s="572"/>
      <c r="K939" s="572"/>
      <c r="L939" s="572"/>
      <c r="M939" s="573"/>
      <c r="N939" s="572"/>
      <c r="O939" s="572"/>
      <c r="P939" s="572"/>
      <c r="Q939" s="572"/>
      <c r="R939" s="572"/>
      <c r="S939" s="574"/>
    </row>
    <row r="940" ht="13.5" customHeight="1">
      <c r="A940" s="572"/>
      <c r="B940" s="572"/>
      <c r="C940" s="572"/>
      <c r="D940" s="573"/>
      <c r="E940" s="572"/>
      <c r="F940" s="572"/>
      <c r="G940" s="584"/>
      <c r="H940" s="570"/>
      <c r="I940" s="570"/>
      <c r="J940" s="572"/>
      <c r="K940" s="572"/>
      <c r="L940" s="572"/>
      <c r="M940" s="573"/>
      <c r="N940" s="572"/>
      <c r="O940" s="572"/>
      <c r="P940" s="572"/>
      <c r="Q940" s="572"/>
      <c r="R940" s="572"/>
      <c r="S940" s="574"/>
    </row>
    <row r="941" ht="13.5" customHeight="1">
      <c r="A941" s="572"/>
      <c r="B941" s="572"/>
      <c r="C941" s="572"/>
      <c r="D941" s="573"/>
      <c r="E941" s="572"/>
      <c r="F941" s="572"/>
      <c r="G941" s="584"/>
      <c r="H941" s="570"/>
      <c r="I941" s="570"/>
      <c r="J941" s="572"/>
      <c r="K941" s="572"/>
      <c r="L941" s="572"/>
      <c r="M941" s="573"/>
      <c r="N941" s="572"/>
      <c r="O941" s="572"/>
      <c r="P941" s="572"/>
      <c r="Q941" s="572"/>
      <c r="R941" s="572"/>
      <c r="S941" s="574"/>
    </row>
    <row r="942" ht="13.5" customHeight="1">
      <c r="A942" s="572"/>
      <c r="B942" s="572"/>
      <c r="C942" s="572"/>
      <c r="D942" s="573"/>
      <c r="E942" s="572"/>
      <c r="F942" s="572"/>
      <c r="G942" s="584"/>
      <c r="H942" s="570"/>
      <c r="I942" s="570"/>
      <c r="J942" s="572"/>
      <c r="K942" s="572"/>
      <c r="L942" s="572"/>
      <c r="M942" s="573"/>
      <c r="N942" s="572"/>
      <c r="O942" s="572"/>
      <c r="P942" s="572"/>
      <c r="Q942" s="572"/>
      <c r="R942" s="572"/>
      <c r="S942" s="574"/>
    </row>
    <row r="943" ht="13.5" customHeight="1">
      <c r="A943" s="572"/>
      <c r="B943" s="572"/>
      <c r="C943" s="572"/>
      <c r="D943" s="573"/>
      <c r="E943" s="572"/>
      <c r="F943" s="572"/>
      <c r="G943" s="584"/>
      <c r="H943" s="570"/>
      <c r="I943" s="570"/>
      <c r="J943" s="572"/>
      <c r="K943" s="572"/>
      <c r="L943" s="572"/>
      <c r="M943" s="573"/>
      <c r="N943" s="572"/>
      <c r="O943" s="572"/>
      <c r="P943" s="572"/>
      <c r="Q943" s="572"/>
      <c r="R943" s="572"/>
      <c r="S943" s="574"/>
    </row>
    <row r="944" ht="13.5" customHeight="1">
      <c r="A944" s="572"/>
      <c r="B944" s="572"/>
      <c r="C944" s="572"/>
      <c r="D944" s="573"/>
      <c r="E944" s="572"/>
      <c r="F944" s="572"/>
      <c r="G944" s="584"/>
      <c r="H944" s="570"/>
      <c r="I944" s="570"/>
      <c r="J944" s="572"/>
      <c r="K944" s="572"/>
      <c r="L944" s="572"/>
      <c r="M944" s="573"/>
      <c r="N944" s="572"/>
      <c r="O944" s="572"/>
      <c r="P944" s="572"/>
      <c r="Q944" s="572"/>
      <c r="R944" s="572"/>
      <c r="S944" s="574"/>
    </row>
    <row r="945" ht="13.5" customHeight="1">
      <c r="A945" s="572"/>
      <c r="B945" s="572"/>
      <c r="C945" s="572"/>
      <c r="D945" s="573"/>
      <c r="E945" s="572"/>
      <c r="F945" s="572"/>
      <c r="G945" s="584"/>
      <c r="H945" s="570"/>
      <c r="I945" s="570"/>
      <c r="J945" s="572"/>
      <c r="K945" s="572"/>
      <c r="L945" s="572"/>
      <c r="M945" s="573"/>
      <c r="N945" s="572"/>
      <c r="O945" s="572"/>
      <c r="P945" s="572"/>
      <c r="Q945" s="572"/>
      <c r="R945" s="572"/>
      <c r="S945" s="574"/>
    </row>
    <row r="946" ht="13.5" customHeight="1">
      <c r="A946" s="572"/>
      <c r="B946" s="572"/>
      <c r="C946" s="572"/>
      <c r="D946" s="573"/>
      <c r="E946" s="572"/>
      <c r="F946" s="572"/>
      <c r="G946" s="584"/>
      <c r="H946" s="570"/>
      <c r="I946" s="570"/>
      <c r="J946" s="572"/>
      <c r="K946" s="572"/>
      <c r="L946" s="572"/>
      <c r="M946" s="573"/>
      <c r="N946" s="572"/>
      <c r="O946" s="572"/>
      <c r="P946" s="572"/>
      <c r="Q946" s="572"/>
      <c r="R946" s="572"/>
      <c r="S946" s="574"/>
    </row>
    <row r="947" ht="13.5" customHeight="1">
      <c r="A947" s="572"/>
      <c r="B947" s="572"/>
      <c r="C947" s="572"/>
      <c r="D947" s="573"/>
      <c r="E947" s="572"/>
      <c r="F947" s="572"/>
      <c r="G947" s="584"/>
      <c r="H947" s="570"/>
      <c r="I947" s="570"/>
      <c r="J947" s="572"/>
      <c r="K947" s="572"/>
      <c r="L947" s="572"/>
      <c r="M947" s="573"/>
      <c r="N947" s="572"/>
      <c r="O947" s="572"/>
      <c r="P947" s="572"/>
      <c r="Q947" s="572"/>
      <c r="R947" s="572"/>
      <c r="S947" s="574"/>
    </row>
    <row r="948" ht="13.5" customHeight="1">
      <c r="A948" s="572"/>
      <c r="B948" s="572"/>
      <c r="C948" s="572"/>
      <c r="D948" s="573"/>
      <c r="E948" s="572"/>
      <c r="F948" s="572"/>
      <c r="G948" s="584"/>
      <c r="H948" s="570"/>
      <c r="I948" s="570"/>
      <c r="J948" s="572"/>
      <c r="K948" s="572"/>
      <c r="L948" s="572"/>
      <c r="M948" s="573"/>
      <c r="N948" s="572"/>
      <c r="O948" s="572"/>
      <c r="P948" s="572"/>
      <c r="Q948" s="572"/>
      <c r="R948" s="572"/>
      <c r="S948" s="574"/>
    </row>
    <row r="949" ht="13.5" customHeight="1">
      <c r="A949" s="572"/>
      <c r="B949" s="572"/>
      <c r="C949" s="572"/>
      <c r="D949" s="573"/>
      <c r="E949" s="572"/>
      <c r="F949" s="572"/>
      <c r="G949" s="584"/>
      <c r="H949" s="570"/>
      <c r="I949" s="570"/>
      <c r="J949" s="572"/>
      <c r="K949" s="572"/>
      <c r="L949" s="572"/>
      <c r="M949" s="573"/>
      <c r="N949" s="572"/>
      <c r="O949" s="572"/>
      <c r="P949" s="572"/>
      <c r="Q949" s="572"/>
      <c r="R949" s="572"/>
      <c r="S949" s="574"/>
    </row>
    <row r="950" ht="13.5" customHeight="1">
      <c r="A950" s="572"/>
      <c r="B950" s="572"/>
      <c r="C950" s="572"/>
      <c r="D950" s="573"/>
      <c r="E950" s="572"/>
      <c r="F950" s="572"/>
      <c r="G950" s="584"/>
      <c r="H950" s="570"/>
      <c r="I950" s="570"/>
      <c r="J950" s="572"/>
      <c r="K950" s="572"/>
      <c r="L950" s="572"/>
      <c r="M950" s="573"/>
      <c r="N950" s="572"/>
      <c r="O950" s="572"/>
      <c r="P950" s="572"/>
      <c r="Q950" s="572"/>
      <c r="R950" s="572"/>
      <c r="S950" s="574"/>
    </row>
    <row r="951" ht="13.5" customHeight="1">
      <c r="A951" s="572"/>
      <c r="B951" s="572"/>
      <c r="C951" s="572"/>
      <c r="D951" s="573"/>
      <c r="E951" s="572"/>
      <c r="F951" s="572"/>
      <c r="G951" s="584"/>
      <c r="H951" s="570"/>
      <c r="I951" s="570"/>
      <c r="J951" s="572"/>
      <c r="K951" s="572"/>
      <c r="L951" s="572"/>
      <c r="M951" s="573"/>
      <c r="N951" s="572"/>
      <c r="O951" s="572"/>
      <c r="P951" s="572"/>
      <c r="Q951" s="572"/>
      <c r="R951" s="572"/>
      <c r="S951" s="574"/>
    </row>
    <row r="952" ht="13.5" customHeight="1">
      <c r="A952" s="572"/>
      <c r="B952" s="572"/>
      <c r="C952" s="572"/>
      <c r="D952" s="573"/>
      <c r="E952" s="572"/>
      <c r="F952" s="572"/>
      <c r="G952" s="584"/>
      <c r="H952" s="570"/>
      <c r="I952" s="570"/>
      <c r="J952" s="572"/>
      <c r="K952" s="572"/>
      <c r="L952" s="572"/>
      <c r="M952" s="573"/>
      <c r="N952" s="572"/>
      <c r="O952" s="572"/>
      <c r="P952" s="572"/>
      <c r="Q952" s="572"/>
      <c r="R952" s="572"/>
      <c r="S952" s="574"/>
    </row>
    <row r="953" ht="13.5" customHeight="1">
      <c r="A953" s="572"/>
      <c r="B953" s="572"/>
      <c r="C953" s="572"/>
      <c r="D953" s="573"/>
      <c r="E953" s="572"/>
      <c r="F953" s="572"/>
      <c r="G953" s="584"/>
      <c r="H953" s="570"/>
      <c r="I953" s="570"/>
      <c r="J953" s="572"/>
      <c r="K953" s="572"/>
      <c r="L953" s="572"/>
      <c r="M953" s="573"/>
      <c r="N953" s="572"/>
      <c r="O953" s="572"/>
      <c r="P953" s="572"/>
      <c r="Q953" s="572"/>
      <c r="R953" s="572"/>
      <c r="S953" s="574"/>
    </row>
    <row r="954" ht="13.5" customHeight="1">
      <c r="A954" s="572"/>
      <c r="B954" s="572"/>
      <c r="C954" s="572"/>
      <c r="D954" s="573"/>
      <c r="E954" s="572"/>
      <c r="F954" s="572"/>
      <c r="G954" s="584"/>
      <c r="H954" s="570"/>
      <c r="I954" s="570"/>
      <c r="J954" s="572"/>
      <c r="K954" s="572"/>
      <c r="L954" s="572"/>
      <c r="M954" s="573"/>
      <c r="N954" s="572"/>
      <c r="O954" s="572"/>
      <c r="P954" s="572"/>
      <c r="Q954" s="572"/>
      <c r="R954" s="572"/>
      <c r="S954" s="574"/>
    </row>
    <row r="955" ht="13.5" customHeight="1">
      <c r="A955" s="572"/>
      <c r="B955" s="572"/>
      <c r="C955" s="572"/>
      <c r="D955" s="573"/>
      <c r="E955" s="572"/>
      <c r="F955" s="572"/>
      <c r="G955" s="584"/>
      <c r="H955" s="570"/>
      <c r="I955" s="570"/>
      <c r="J955" s="572"/>
      <c r="K955" s="572"/>
      <c r="L955" s="572"/>
      <c r="M955" s="573"/>
      <c r="N955" s="572"/>
      <c r="O955" s="572"/>
      <c r="P955" s="572"/>
      <c r="Q955" s="572"/>
      <c r="R955" s="572"/>
      <c r="S955" s="574"/>
    </row>
    <row r="956" ht="13.5" customHeight="1">
      <c r="A956" s="572"/>
      <c r="B956" s="572"/>
      <c r="C956" s="572"/>
      <c r="D956" s="573"/>
      <c r="E956" s="572"/>
      <c r="F956" s="572"/>
      <c r="G956" s="584"/>
      <c r="H956" s="570"/>
      <c r="I956" s="570"/>
      <c r="J956" s="572"/>
      <c r="K956" s="572"/>
      <c r="L956" s="572"/>
      <c r="M956" s="573"/>
      <c r="N956" s="572"/>
      <c r="O956" s="572"/>
      <c r="P956" s="572"/>
      <c r="Q956" s="572"/>
      <c r="R956" s="572"/>
      <c r="S956" s="574"/>
    </row>
    <row r="957" ht="13.5" customHeight="1">
      <c r="A957" s="572"/>
      <c r="B957" s="572"/>
      <c r="C957" s="572"/>
      <c r="D957" s="573"/>
      <c r="E957" s="572"/>
      <c r="F957" s="572"/>
      <c r="G957" s="584"/>
      <c r="H957" s="570"/>
      <c r="I957" s="570"/>
      <c r="J957" s="572"/>
      <c r="K957" s="572"/>
      <c r="L957" s="572"/>
      <c r="M957" s="573"/>
      <c r="N957" s="572"/>
      <c r="O957" s="572"/>
      <c r="P957" s="572"/>
      <c r="Q957" s="572"/>
      <c r="R957" s="572"/>
      <c r="S957" s="574"/>
    </row>
    <row r="958" ht="13.5" customHeight="1">
      <c r="A958" s="572"/>
      <c r="B958" s="572"/>
      <c r="C958" s="572"/>
      <c r="D958" s="573"/>
      <c r="E958" s="572"/>
      <c r="F958" s="572"/>
      <c r="G958" s="584"/>
      <c r="H958" s="570"/>
      <c r="I958" s="570"/>
      <c r="J958" s="572"/>
      <c r="K958" s="572"/>
      <c r="L958" s="572"/>
      <c r="M958" s="573"/>
      <c r="N958" s="572"/>
      <c r="O958" s="572"/>
      <c r="P958" s="572"/>
      <c r="Q958" s="572"/>
      <c r="R958" s="572"/>
      <c r="S958" s="574"/>
    </row>
    <row r="959" ht="13.5" customHeight="1">
      <c r="A959" s="572"/>
      <c r="B959" s="572"/>
      <c r="C959" s="572"/>
      <c r="D959" s="573"/>
      <c r="E959" s="572"/>
      <c r="F959" s="572"/>
      <c r="G959" s="584"/>
      <c r="H959" s="570"/>
      <c r="I959" s="570"/>
      <c r="J959" s="572"/>
      <c r="K959" s="572"/>
      <c r="L959" s="572"/>
      <c r="M959" s="573"/>
      <c r="N959" s="572"/>
      <c r="O959" s="572"/>
      <c r="P959" s="572"/>
      <c r="Q959" s="572"/>
      <c r="R959" s="572"/>
      <c r="S959" s="574"/>
    </row>
    <row r="960" ht="13.5" customHeight="1">
      <c r="A960" s="572"/>
      <c r="B960" s="572"/>
      <c r="C960" s="572"/>
      <c r="D960" s="573"/>
      <c r="E960" s="572"/>
      <c r="F960" s="572"/>
      <c r="G960" s="584"/>
      <c r="H960" s="570"/>
      <c r="I960" s="570"/>
      <c r="J960" s="572"/>
      <c r="K960" s="572"/>
      <c r="L960" s="572"/>
      <c r="M960" s="573"/>
      <c r="N960" s="572"/>
      <c r="O960" s="572"/>
      <c r="P960" s="572"/>
      <c r="Q960" s="572"/>
      <c r="R960" s="572"/>
      <c r="S960" s="574"/>
    </row>
    <row r="961" ht="13.5" customHeight="1">
      <c r="A961" s="572"/>
      <c r="B961" s="572"/>
      <c r="C961" s="572"/>
      <c r="D961" s="573"/>
      <c r="E961" s="572"/>
      <c r="F961" s="572"/>
      <c r="G961" s="584"/>
      <c r="H961" s="570"/>
      <c r="I961" s="570"/>
      <c r="J961" s="572"/>
      <c r="K961" s="572"/>
      <c r="L961" s="572"/>
      <c r="M961" s="573"/>
      <c r="N961" s="572"/>
      <c r="O961" s="572"/>
      <c r="P961" s="572"/>
      <c r="Q961" s="572"/>
      <c r="R961" s="572"/>
      <c r="S961" s="574"/>
    </row>
    <row r="962" ht="13.5" customHeight="1">
      <c r="A962" s="572"/>
      <c r="B962" s="572"/>
      <c r="C962" s="572"/>
      <c r="D962" s="573"/>
      <c r="E962" s="572"/>
      <c r="F962" s="572"/>
      <c r="G962" s="584"/>
      <c r="H962" s="570"/>
      <c r="I962" s="570"/>
      <c r="J962" s="572"/>
      <c r="K962" s="572"/>
      <c r="L962" s="572"/>
      <c r="M962" s="573"/>
      <c r="N962" s="572"/>
      <c r="O962" s="572"/>
      <c r="P962" s="572"/>
      <c r="Q962" s="572"/>
      <c r="R962" s="572"/>
      <c r="S962" s="574"/>
    </row>
    <row r="963" ht="13.5" customHeight="1">
      <c r="A963" s="572"/>
      <c r="B963" s="572"/>
      <c r="C963" s="572"/>
      <c r="D963" s="573"/>
      <c r="E963" s="572"/>
      <c r="F963" s="572"/>
      <c r="G963" s="584"/>
      <c r="H963" s="570"/>
      <c r="I963" s="570"/>
      <c r="J963" s="572"/>
      <c r="K963" s="572"/>
      <c r="L963" s="572"/>
      <c r="M963" s="573"/>
      <c r="N963" s="572"/>
      <c r="O963" s="572"/>
      <c r="P963" s="572"/>
      <c r="Q963" s="572"/>
      <c r="R963" s="572"/>
      <c r="S963" s="574"/>
    </row>
    <row r="964" ht="13.5" customHeight="1">
      <c r="A964" s="572"/>
      <c r="B964" s="572"/>
      <c r="C964" s="572"/>
      <c r="D964" s="573"/>
      <c r="E964" s="572"/>
      <c r="F964" s="572"/>
      <c r="G964" s="584"/>
      <c r="H964" s="570"/>
      <c r="I964" s="570"/>
      <c r="J964" s="572"/>
      <c r="K964" s="572"/>
      <c r="L964" s="572"/>
      <c r="M964" s="573"/>
      <c r="N964" s="572"/>
      <c r="O964" s="572"/>
      <c r="P964" s="572"/>
      <c r="Q964" s="572"/>
      <c r="R964" s="572"/>
      <c r="S964" s="574"/>
    </row>
    <row r="965" ht="13.5" customHeight="1">
      <c r="A965" s="572"/>
      <c r="B965" s="572"/>
      <c r="C965" s="572"/>
      <c r="D965" s="573"/>
      <c r="E965" s="572"/>
      <c r="F965" s="572"/>
      <c r="G965" s="584"/>
      <c r="H965" s="570"/>
      <c r="I965" s="570"/>
      <c r="J965" s="572"/>
      <c r="K965" s="572"/>
      <c r="L965" s="572"/>
      <c r="M965" s="573"/>
      <c r="N965" s="572"/>
      <c r="O965" s="572"/>
      <c r="P965" s="572"/>
      <c r="Q965" s="572"/>
      <c r="R965" s="572"/>
      <c r="S965" s="574"/>
    </row>
    <row r="966" ht="13.5" customHeight="1">
      <c r="A966" s="572"/>
      <c r="B966" s="572"/>
      <c r="C966" s="572"/>
      <c r="D966" s="573"/>
      <c r="E966" s="572"/>
      <c r="F966" s="572"/>
      <c r="G966" s="584"/>
      <c r="H966" s="570"/>
      <c r="I966" s="570"/>
      <c r="J966" s="572"/>
      <c r="K966" s="572"/>
      <c r="L966" s="572"/>
      <c r="M966" s="573"/>
      <c r="N966" s="572"/>
      <c r="O966" s="572"/>
      <c r="P966" s="572"/>
      <c r="Q966" s="572"/>
      <c r="R966" s="572"/>
      <c r="S966" s="574"/>
    </row>
    <row r="967" ht="13.5" customHeight="1">
      <c r="A967" s="572"/>
      <c r="B967" s="572"/>
      <c r="C967" s="572"/>
      <c r="D967" s="573"/>
      <c r="E967" s="572"/>
      <c r="F967" s="572"/>
      <c r="G967" s="584"/>
      <c r="H967" s="570"/>
      <c r="I967" s="570"/>
      <c r="J967" s="572"/>
      <c r="K967" s="572"/>
      <c r="L967" s="572"/>
      <c r="M967" s="573"/>
      <c r="N967" s="572"/>
      <c r="O967" s="572"/>
      <c r="P967" s="572"/>
      <c r="Q967" s="572"/>
      <c r="R967" s="572"/>
      <c r="S967" s="574"/>
    </row>
    <row r="968" ht="13.5" customHeight="1">
      <c r="A968" s="572"/>
      <c r="B968" s="572"/>
      <c r="C968" s="572"/>
      <c r="D968" s="573"/>
      <c r="E968" s="572"/>
      <c r="F968" s="572"/>
      <c r="G968" s="584"/>
      <c r="H968" s="570"/>
      <c r="I968" s="570"/>
      <c r="J968" s="572"/>
      <c r="K968" s="572"/>
      <c r="L968" s="572"/>
      <c r="M968" s="573"/>
      <c r="N968" s="572"/>
      <c r="O968" s="572"/>
      <c r="P968" s="572"/>
      <c r="Q968" s="572"/>
      <c r="R968" s="572"/>
      <c r="S968" s="574"/>
    </row>
    <row r="969" ht="13.5" customHeight="1">
      <c r="A969" s="572"/>
      <c r="B969" s="572"/>
      <c r="C969" s="572"/>
      <c r="D969" s="573"/>
      <c r="E969" s="572"/>
      <c r="F969" s="572"/>
      <c r="G969" s="584"/>
      <c r="H969" s="570"/>
      <c r="I969" s="570"/>
      <c r="J969" s="572"/>
      <c r="K969" s="572"/>
      <c r="L969" s="572"/>
      <c r="M969" s="573"/>
      <c r="N969" s="572"/>
      <c r="O969" s="572"/>
      <c r="P969" s="572"/>
      <c r="Q969" s="572"/>
      <c r="R969" s="572"/>
      <c r="S969" s="574"/>
    </row>
    <row r="970" ht="13.5" customHeight="1">
      <c r="A970" s="572"/>
      <c r="B970" s="572"/>
      <c r="C970" s="572"/>
      <c r="D970" s="573"/>
      <c r="E970" s="572"/>
      <c r="F970" s="572"/>
      <c r="G970" s="584"/>
      <c r="H970" s="570"/>
      <c r="I970" s="570"/>
      <c r="J970" s="572"/>
      <c r="K970" s="572"/>
      <c r="L970" s="572"/>
      <c r="M970" s="573"/>
      <c r="N970" s="572"/>
      <c r="O970" s="572"/>
      <c r="P970" s="572"/>
      <c r="Q970" s="572"/>
      <c r="R970" s="572"/>
      <c r="S970" s="574"/>
    </row>
    <row r="971" ht="13.5" customHeight="1">
      <c r="A971" s="572"/>
      <c r="B971" s="572"/>
      <c r="C971" s="572"/>
      <c r="D971" s="573"/>
      <c r="E971" s="572"/>
      <c r="F971" s="572"/>
      <c r="G971" s="584"/>
      <c r="H971" s="570"/>
      <c r="I971" s="570"/>
      <c r="J971" s="572"/>
      <c r="K971" s="572"/>
      <c r="L971" s="572"/>
      <c r="M971" s="573"/>
      <c r="N971" s="572"/>
      <c r="O971" s="572"/>
      <c r="P971" s="572"/>
      <c r="Q971" s="572"/>
      <c r="R971" s="572"/>
      <c r="S971" s="574"/>
    </row>
    <row r="972" ht="13.5" customHeight="1">
      <c r="A972" s="572"/>
      <c r="B972" s="572"/>
      <c r="C972" s="572"/>
      <c r="D972" s="573"/>
      <c r="E972" s="572"/>
      <c r="F972" s="572"/>
      <c r="G972" s="584"/>
      <c r="H972" s="570"/>
      <c r="I972" s="570"/>
      <c r="J972" s="572"/>
      <c r="K972" s="572"/>
      <c r="L972" s="572"/>
      <c r="M972" s="573"/>
      <c r="N972" s="572"/>
      <c r="O972" s="572"/>
      <c r="P972" s="572"/>
      <c r="Q972" s="572"/>
      <c r="R972" s="572"/>
      <c r="S972" s="574"/>
    </row>
    <row r="973" ht="13.5" customHeight="1">
      <c r="A973" s="572"/>
      <c r="B973" s="572"/>
      <c r="C973" s="572"/>
      <c r="D973" s="573"/>
      <c r="E973" s="572"/>
      <c r="F973" s="572"/>
      <c r="G973" s="584"/>
      <c r="H973" s="570"/>
      <c r="I973" s="570"/>
      <c r="J973" s="572"/>
      <c r="K973" s="572"/>
      <c r="L973" s="572"/>
      <c r="M973" s="573"/>
      <c r="N973" s="572"/>
      <c r="O973" s="572"/>
      <c r="P973" s="572"/>
      <c r="Q973" s="572"/>
      <c r="R973" s="572"/>
      <c r="S973" s="574"/>
    </row>
    <row r="974" ht="13.5" customHeight="1">
      <c r="A974" s="572"/>
      <c r="B974" s="572"/>
      <c r="C974" s="572"/>
      <c r="D974" s="573"/>
      <c r="E974" s="572"/>
      <c r="F974" s="572"/>
      <c r="G974" s="584"/>
      <c r="H974" s="570"/>
      <c r="I974" s="570"/>
      <c r="J974" s="572"/>
      <c r="K974" s="572"/>
      <c r="L974" s="572"/>
      <c r="M974" s="573"/>
      <c r="N974" s="572"/>
      <c r="O974" s="572"/>
      <c r="P974" s="572"/>
      <c r="Q974" s="572"/>
      <c r="R974" s="572"/>
      <c r="S974" s="574"/>
    </row>
    <row r="975" ht="13.5" customHeight="1">
      <c r="A975" s="572"/>
      <c r="B975" s="572"/>
      <c r="C975" s="572"/>
      <c r="D975" s="573"/>
      <c r="E975" s="572"/>
      <c r="F975" s="572"/>
      <c r="G975" s="584"/>
      <c r="H975" s="570"/>
      <c r="I975" s="570"/>
      <c r="J975" s="572"/>
      <c r="K975" s="572"/>
      <c r="L975" s="572"/>
      <c r="M975" s="573"/>
      <c r="N975" s="572"/>
      <c r="O975" s="572"/>
      <c r="P975" s="572"/>
      <c r="Q975" s="572"/>
      <c r="R975" s="572"/>
      <c r="S975" s="574"/>
    </row>
    <row r="976" ht="13.5" customHeight="1">
      <c r="A976" s="572"/>
      <c r="B976" s="572"/>
      <c r="C976" s="572"/>
      <c r="D976" s="573"/>
      <c r="E976" s="572"/>
      <c r="F976" s="572"/>
      <c r="G976" s="584"/>
      <c r="H976" s="570"/>
      <c r="I976" s="570"/>
      <c r="J976" s="572"/>
      <c r="K976" s="572"/>
      <c r="L976" s="572"/>
      <c r="M976" s="573"/>
      <c r="N976" s="572"/>
      <c r="O976" s="572"/>
      <c r="P976" s="572"/>
      <c r="Q976" s="572"/>
      <c r="R976" s="572"/>
      <c r="S976" s="574"/>
    </row>
    <row r="977" ht="13.5" customHeight="1">
      <c r="A977" s="572"/>
      <c r="B977" s="572"/>
      <c r="C977" s="572"/>
      <c r="D977" s="573"/>
      <c r="E977" s="572"/>
      <c r="F977" s="572"/>
      <c r="G977" s="584"/>
      <c r="H977" s="570"/>
      <c r="I977" s="570"/>
      <c r="J977" s="572"/>
      <c r="K977" s="572"/>
      <c r="L977" s="572"/>
      <c r="M977" s="573"/>
      <c r="N977" s="572"/>
      <c r="O977" s="572"/>
      <c r="P977" s="572"/>
      <c r="Q977" s="572"/>
      <c r="R977" s="572"/>
      <c r="S977" s="574"/>
    </row>
    <row r="978" ht="13.5" customHeight="1">
      <c r="A978" s="572"/>
      <c r="B978" s="572"/>
      <c r="C978" s="572"/>
      <c r="D978" s="573"/>
      <c r="E978" s="572"/>
      <c r="F978" s="572"/>
      <c r="G978" s="584"/>
      <c r="H978" s="570"/>
      <c r="I978" s="570"/>
      <c r="J978" s="572"/>
      <c r="K978" s="572"/>
      <c r="L978" s="572"/>
      <c r="M978" s="573"/>
      <c r="N978" s="572"/>
      <c r="O978" s="572"/>
      <c r="P978" s="572"/>
      <c r="Q978" s="572"/>
      <c r="R978" s="572"/>
      <c r="S978" s="574"/>
    </row>
    <row r="979" ht="13.5" customHeight="1">
      <c r="A979" s="572"/>
      <c r="B979" s="572"/>
      <c r="C979" s="572"/>
      <c r="D979" s="573"/>
      <c r="E979" s="572"/>
      <c r="F979" s="572"/>
      <c r="G979" s="584"/>
      <c r="H979" s="570"/>
      <c r="I979" s="570"/>
      <c r="J979" s="572"/>
      <c r="K979" s="572"/>
      <c r="L979" s="572"/>
      <c r="M979" s="573"/>
      <c r="N979" s="572"/>
      <c r="O979" s="572"/>
      <c r="P979" s="572"/>
      <c r="Q979" s="572"/>
      <c r="R979" s="572"/>
      <c r="S979" s="574"/>
    </row>
    <row r="980" ht="13.5" customHeight="1">
      <c r="A980" s="572"/>
      <c r="B980" s="572"/>
      <c r="C980" s="572"/>
      <c r="D980" s="573"/>
      <c r="E980" s="572"/>
      <c r="F980" s="572"/>
      <c r="G980" s="584"/>
      <c r="H980" s="570"/>
      <c r="I980" s="570"/>
      <c r="J980" s="572"/>
      <c r="K980" s="572"/>
      <c r="L980" s="572"/>
      <c r="M980" s="573"/>
      <c r="N980" s="572"/>
      <c r="O980" s="572"/>
      <c r="P980" s="572"/>
      <c r="Q980" s="572"/>
      <c r="R980" s="572"/>
      <c r="S980" s="574"/>
    </row>
    <row r="981" ht="13.5" customHeight="1">
      <c r="A981" s="572"/>
      <c r="B981" s="572"/>
      <c r="C981" s="572"/>
      <c r="D981" s="573"/>
      <c r="E981" s="572"/>
      <c r="F981" s="572"/>
      <c r="G981" s="584"/>
      <c r="H981" s="570"/>
      <c r="I981" s="570"/>
      <c r="J981" s="572"/>
      <c r="K981" s="572"/>
      <c r="L981" s="572"/>
      <c r="M981" s="573"/>
      <c r="N981" s="572"/>
      <c r="O981" s="572"/>
      <c r="P981" s="572"/>
      <c r="Q981" s="572"/>
      <c r="R981" s="572"/>
      <c r="S981" s="574"/>
    </row>
    <row r="982" ht="13.5" customHeight="1">
      <c r="A982" s="572"/>
      <c r="B982" s="572"/>
      <c r="C982" s="572"/>
      <c r="D982" s="573"/>
      <c r="E982" s="572"/>
      <c r="F982" s="572"/>
      <c r="G982" s="584"/>
      <c r="H982" s="570"/>
      <c r="I982" s="570"/>
      <c r="J982" s="572"/>
      <c r="K982" s="572"/>
      <c r="L982" s="572"/>
      <c r="M982" s="573"/>
      <c r="N982" s="572"/>
      <c r="O982" s="572"/>
      <c r="P982" s="572"/>
      <c r="Q982" s="572"/>
      <c r="R982" s="572"/>
      <c r="S982" s="574"/>
    </row>
    <row r="983" ht="13.5" customHeight="1">
      <c r="A983" s="572"/>
      <c r="B983" s="572"/>
      <c r="C983" s="572"/>
      <c r="D983" s="573"/>
      <c r="E983" s="572"/>
      <c r="F983" s="572"/>
      <c r="G983" s="584"/>
      <c r="H983" s="570"/>
      <c r="I983" s="570"/>
      <c r="J983" s="572"/>
      <c r="K983" s="572"/>
      <c r="L983" s="572"/>
      <c r="M983" s="573"/>
      <c r="N983" s="572"/>
      <c r="O983" s="572"/>
      <c r="P983" s="572"/>
      <c r="Q983" s="572"/>
      <c r="R983" s="572"/>
      <c r="S983" s="574"/>
    </row>
    <row r="984" ht="13.5" customHeight="1">
      <c r="A984" s="572"/>
      <c r="B984" s="572"/>
      <c r="C984" s="572"/>
      <c r="D984" s="573"/>
      <c r="E984" s="572"/>
      <c r="F984" s="572"/>
      <c r="G984" s="584"/>
      <c r="H984" s="570"/>
      <c r="I984" s="570"/>
      <c r="J984" s="572"/>
      <c r="K984" s="572"/>
      <c r="L984" s="572"/>
      <c r="M984" s="573"/>
      <c r="N984" s="572"/>
      <c r="O984" s="572"/>
      <c r="P984" s="572"/>
      <c r="Q984" s="572"/>
      <c r="R984" s="572"/>
      <c r="S984" s="574"/>
    </row>
    <row r="985" ht="13.5" customHeight="1">
      <c r="A985" s="572"/>
      <c r="B985" s="572"/>
      <c r="C985" s="572"/>
      <c r="D985" s="573"/>
      <c r="E985" s="572"/>
      <c r="F985" s="572"/>
      <c r="G985" s="584"/>
      <c r="H985" s="570"/>
      <c r="I985" s="570"/>
      <c r="J985" s="572"/>
      <c r="K985" s="572"/>
      <c r="L985" s="572"/>
      <c r="M985" s="573"/>
      <c r="N985" s="572"/>
      <c r="O985" s="572"/>
      <c r="P985" s="572"/>
      <c r="Q985" s="572"/>
      <c r="R985" s="572"/>
      <c r="S985" s="574"/>
    </row>
    <row r="986" ht="13.5" customHeight="1">
      <c r="A986" s="572"/>
      <c r="B986" s="572"/>
      <c r="C986" s="572"/>
      <c r="D986" s="573"/>
      <c r="E986" s="572"/>
      <c r="F986" s="572"/>
      <c r="G986" s="584"/>
      <c r="H986" s="570"/>
      <c r="I986" s="570"/>
      <c r="J986" s="572"/>
      <c r="K986" s="572"/>
      <c r="L986" s="572"/>
      <c r="M986" s="573"/>
      <c r="N986" s="572"/>
      <c r="O986" s="572"/>
      <c r="P986" s="572"/>
      <c r="Q986" s="572"/>
      <c r="R986" s="572"/>
      <c r="S986" s="574"/>
    </row>
    <row r="987" ht="13.5" customHeight="1">
      <c r="A987" s="572"/>
      <c r="B987" s="572"/>
      <c r="C987" s="572"/>
      <c r="D987" s="573"/>
      <c r="E987" s="572"/>
      <c r="F987" s="572"/>
      <c r="G987" s="584"/>
      <c r="H987" s="570"/>
      <c r="I987" s="570"/>
      <c r="J987" s="572"/>
      <c r="K987" s="572"/>
      <c r="L987" s="572"/>
      <c r="M987" s="573"/>
      <c r="N987" s="572"/>
      <c r="O987" s="572"/>
      <c r="P987" s="572"/>
      <c r="Q987" s="572"/>
      <c r="R987" s="572"/>
      <c r="S987" s="574"/>
    </row>
    <row r="988" ht="13.5" customHeight="1">
      <c r="A988" s="572"/>
      <c r="B988" s="572"/>
      <c r="C988" s="572"/>
      <c r="D988" s="573"/>
      <c r="E988" s="572"/>
      <c r="F988" s="572"/>
      <c r="G988" s="584"/>
      <c r="H988" s="570"/>
      <c r="I988" s="570"/>
      <c r="J988" s="572"/>
      <c r="K988" s="572"/>
      <c r="L988" s="572"/>
      <c r="M988" s="573"/>
      <c r="N988" s="572"/>
      <c r="O988" s="572"/>
      <c r="P988" s="572"/>
      <c r="Q988" s="572"/>
      <c r="R988" s="572"/>
      <c r="S988" s="574"/>
    </row>
    <row r="989" ht="13.5" customHeight="1">
      <c r="A989" s="572"/>
      <c r="B989" s="572"/>
      <c r="C989" s="572"/>
      <c r="D989" s="573"/>
      <c r="E989" s="572"/>
      <c r="F989" s="572"/>
      <c r="G989" s="584"/>
      <c r="H989" s="570"/>
      <c r="I989" s="570"/>
      <c r="J989" s="572"/>
      <c r="K989" s="572"/>
      <c r="L989" s="572"/>
      <c r="M989" s="573"/>
      <c r="N989" s="572"/>
      <c r="O989" s="572"/>
      <c r="P989" s="572"/>
      <c r="Q989" s="572"/>
      <c r="R989" s="572"/>
      <c r="S989" s="574"/>
    </row>
    <row r="990" ht="13.5" customHeight="1">
      <c r="A990" s="572"/>
      <c r="B990" s="572"/>
      <c r="C990" s="572"/>
      <c r="D990" s="573"/>
      <c r="E990" s="572"/>
      <c r="F990" s="572"/>
      <c r="G990" s="584"/>
      <c r="H990" s="570"/>
      <c r="I990" s="570"/>
      <c r="J990" s="572"/>
      <c r="K990" s="572"/>
      <c r="L990" s="572"/>
      <c r="M990" s="573"/>
      <c r="N990" s="572"/>
      <c r="O990" s="572"/>
      <c r="P990" s="572"/>
      <c r="Q990" s="572"/>
      <c r="R990" s="572"/>
      <c r="S990" s="574"/>
    </row>
    <row r="991" ht="13.5" customHeight="1">
      <c r="A991" s="572"/>
      <c r="B991" s="572"/>
      <c r="C991" s="572"/>
      <c r="D991" s="573"/>
      <c r="E991" s="572"/>
      <c r="F991" s="572"/>
      <c r="G991" s="584"/>
      <c r="H991" s="570"/>
      <c r="I991" s="570"/>
      <c r="J991" s="572"/>
      <c r="K991" s="572"/>
      <c r="L991" s="572"/>
      <c r="M991" s="573"/>
      <c r="N991" s="572"/>
      <c r="O991" s="572"/>
      <c r="P991" s="572"/>
      <c r="Q991" s="572"/>
      <c r="R991" s="572"/>
      <c r="S991" s="574"/>
    </row>
    <row r="992" ht="13.5" customHeight="1">
      <c r="A992" s="572"/>
      <c r="B992" s="572"/>
      <c r="C992" s="572"/>
      <c r="D992" s="573"/>
      <c r="E992" s="572"/>
      <c r="F992" s="572"/>
      <c r="G992" s="584"/>
      <c r="H992" s="570"/>
      <c r="I992" s="570"/>
      <c r="J992" s="572"/>
      <c r="K992" s="572"/>
      <c r="L992" s="572"/>
      <c r="M992" s="573"/>
      <c r="N992" s="572"/>
      <c r="O992" s="572"/>
      <c r="P992" s="572"/>
      <c r="Q992" s="572"/>
      <c r="R992" s="572"/>
      <c r="S992" s="574"/>
    </row>
    <row r="993" ht="13.5" customHeight="1">
      <c r="A993" s="572"/>
      <c r="B993" s="572"/>
      <c r="C993" s="572"/>
      <c r="D993" s="573"/>
      <c r="E993" s="572"/>
      <c r="F993" s="572"/>
      <c r="G993" s="584"/>
      <c r="H993" s="570"/>
      <c r="I993" s="570"/>
      <c r="J993" s="572"/>
      <c r="K993" s="572"/>
      <c r="L993" s="572"/>
      <c r="M993" s="573"/>
      <c r="N993" s="572"/>
      <c r="O993" s="572"/>
      <c r="P993" s="572"/>
      <c r="Q993" s="572"/>
      <c r="R993" s="572"/>
      <c r="S993" s="574"/>
    </row>
    <row r="994" ht="13.5" customHeight="1">
      <c r="A994" s="572"/>
      <c r="B994" s="572"/>
      <c r="C994" s="572"/>
      <c r="D994" s="573"/>
      <c r="E994" s="572"/>
      <c r="F994" s="572"/>
      <c r="G994" s="584"/>
      <c r="H994" s="570"/>
      <c r="I994" s="570"/>
      <c r="J994" s="572"/>
      <c r="K994" s="572"/>
      <c r="L994" s="572"/>
      <c r="M994" s="573"/>
      <c r="N994" s="572"/>
      <c r="O994" s="572"/>
      <c r="P994" s="572"/>
      <c r="Q994" s="572"/>
      <c r="R994" s="572"/>
      <c r="S994" s="574"/>
    </row>
    <row r="995" ht="13.5" customHeight="1">
      <c r="A995" s="572"/>
      <c r="B995" s="572"/>
      <c r="C995" s="572"/>
      <c r="D995" s="573"/>
      <c r="E995" s="572"/>
      <c r="F995" s="572"/>
      <c r="G995" s="584"/>
      <c r="H995" s="570"/>
      <c r="I995" s="570"/>
      <c r="J995" s="572"/>
      <c r="K995" s="572"/>
      <c r="L995" s="572"/>
      <c r="M995" s="573"/>
      <c r="N995" s="572"/>
      <c r="O995" s="572"/>
      <c r="P995" s="572"/>
      <c r="Q995" s="572"/>
      <c r="R995" s="572"/>
      <c r="S995" s="574"/>
    </row>
    <row r="996" ht="13.5" customHeight="1">
      <c r="A996" s="572"/>
      <c r="B996" s="572"/>
      <c r="C996" s="572"/>
      <c r="D996" s="573"/>
      <c r="E996" s="572"/>
      <c r="F996" s="572"/>
      <c r="G996" s="584"/>
      <c r="H996" s="570"/>
      <c r="I996" s="570"/>
      <c r="J996" s="572"/>
      <c r="K996" s="572"/>
      <c r="L996" s="572"/>
      <c r="M996" s="573"/>
      <c r="N996" s="572"/>
      <c r="O996" s="572"/>
      <c r="P996" s="572"/>
      <c r="Q996" s="572"/>
      <c r="R996" s="572"/>
      <c r="S996" s="574"/>
    </row>
    <row r="997" ht="13.5" customHeight="1">
      <c r="A997" s="572"/>
      <c r="B997" s="572"/>
      <c r="C997" s="572"/>
      <c r="D997" s="573"/>
      <c r="E997" s="572"/>
      <c r="F997" s="572"/>
      <c r="G997" s="584"/>
      <c r="H997" s="570"/>
      <c r="I997" s="570"/>
      <c r="J997" s="572"/>
      <c r="K997" s="572"/>
      <c r="L997" s="572"/>
      <c r="M997" s="573"/>
      <c r="N997" s="572"/>
      <c r="O997" s="572"/>
      <c r="P997" s="572"/>
      <c r="Q997" s="572"/>
      <c r="R997" s="572"/>
      <c r="S997" s="574"/>
    </row>
    <row r="998" ht="13.5" customHeight="1">
      <c r="A998" s="572"/>
      <c r="B998" s="572"/>
      <c r="C998" s="572"/>
      <c r="D998" s="573"/>
      <c r="E998" s="572"/>
      <c r="F998" s="572"/>
      <c r="G998" s="584"/>
      <c r="H998" s="570"/>
      <c r="I998" s="570"/>
      <c r="J998" s="572"/>
      <c r="K998" s="572"/>
      <c r="L998" s="572"/>
      <c r="M998" s="573"/>
      <c r="N998" s="572"/>
      <c r="O998" s="572"/>
      <c r="P998" s="572"/>
      <c r="Q998" s="572"/>
      <c r="R998" s="572"/>
      <c r="S998" s="574"/>
    </row>
    <row r="999" ht="13.5" customHeight="1">
      <c r="A999" s="572"/>
      <c r="B999" s="572"/>
      <c r="C999" s="572"/>
      <c r="D999" s="573"/>
      <c r="E999" s="572"/>
      <c r="F999" s="572"/>
      <c r="G999" s="584"/>
      <c r="H999" s="570"/>
      <c r="I999" s="570"/>
      <c r="J999" s="572"/>
      <c r="K999" s="572"/>
      <c r="L999" s="572"/>
      <c r="M999" s="573"/>
      <c r="N999" s="572"/>
      <c r="O999" s="572"/>
      <c r="P999" s="572"/>
      <c r="Q999" s="572"/>
      <c r="R999" s="572"/>
      <c r="S999" s="574"/>
    </row>
    <row r="1000" ht="13.5" customHeight="1">
      <c r="A1000" s="572"/>
      <c r="B1000" s="572"/>
      <c r="C1000" s="572"/>
      <c r="D1000" s="573"/>
      <c r="E1000" s="572"/>
      <c r="F1000" s="572"/>
      <c r="G1000" s="584"/>
      <c r="H1000" s="570"/>
      <c r="I1000" s="570"/>
      <c r="J1000" s="572"/>
      <c r="K1000" s="572"/>
      <c r="L1000" s="572"/>
      <c r="M1000" s="573"/>
      <c r="N1000" s="572"/>
      <c r="O1000" s="572"/>
      <c r="P1000" s="572"/>
      <c r="Q1000" s="572"/>
      <c r="R1000" s="572"/>
      <c r="S1000" s="574"/>
    </row>
    <row r="1001" ht="13.5" customHeight="1">
      <c r="A1001" s="572"/>
      <c r="B1001" s="572"/>
      <c r="C1001" s="572"/>
      <c r="D1001" s="573"/>
      <c r="E1001" s="572"/>
      <c r="F1001" s="572"/>
      <c r="G1001" s="584"/>
      <c r="H1001" s="570"/>
      <c r="I1001" s="570"/>
      <c r="J1001" s="572"/>
      <c r="K1001" s="572"/>
      <c r="L1001" s="572"/>
      <c r="M1001" s="573"/>
      <c r="N1001" s="572"/>
      <c r="O1001" s="572"/>
      <c r="P1001" s="572"/>
      <c r="Q1001" s="572"/>
      <c r="R1001" s="572"/>
      <c r="S1001" s="574"/>
    </row>
    <row r="1002" ht="13.5" customHeight="1">
      <c r="A1002" s="572"/>
      <c r="B1002" s="572"/>
      <c r="C1002" s="572"/>
      <c r="D1002" s="573"/>
      <c r="E1002" s="572"/>
      <c r="F1002" s="572"/>
      <c r="G1002" s="584"/>
      <c r="H1002" s="570"/>
      <c r="I1002" s="570"/>
      <c r="J1002" s="572"/>
      <c r="K1002" s="572"/>
      <c r="L1002" s="572"/>
      <c r="M1002" s="573"/>
      <c r="N1002" s="572"/>
      <c r="O1002" s="572"/>
      <c r="P1002" s="572"/>
      <c r="Q1002" s="572"/>
      <c r="R1002" s="572"/>
      <c r="S1002" s="574"/>
    </row>
    <row r="1003" ht="13.5" customHeight="1">
      <c r="A1003" s="572"/>
      <c r="B1003" s="572"/>
      <c r="C1003" s="572"/>
      <c r="D1003" s="573"/>
      <c r="E1003" s="572"/>
      <c r="F1003" s="572"/>
      <c r="G1003" s="584"/>
      <c r="H1003" s="570"/>
      <c r="I1003" s="570"/>
      <c r="J1003" s="572"/>
      <c r="K1003" s="572"/>
      <c r="L1003" s="572"/>
      <c r="M1003" s="573"/>
      <c r="N1003" s="572"/>
      <c r="O1003" s="572"/>
      <c r="P1003" s="572"/>
      <c r="Q1003" s="572"/>
      <c r="R1003" s="572"/>
      <c r="S1003" s="574"/>
    </row>
    <row r="1004" ht="13.5" customHeight="1">
      <c r="A1004" s="572"/>
      <c r="B1004" s="572"/>
      <c r="C1004" s="572"/>
      <c r="D1004" s="573"/>
      <c r="E1004" s="572"/>
      <c r="F1004" s="572"/>
      <c r="G1004" s="584"/>
      <c r="H1004" s="570"/>
      <c r="I1004" s="570"/>
      <c r="J1004" s="572"/>
      <c r="K1004" s="572"/>
      <c r="L1004" s="572"/>
      <c r="M1004" s="573"/>
      <c r="N1004" s="572"/>
      <c r="O1004" s="572"/>
      <c r="P1004" s="572"/>
      <c r="Q1004" s="572"/>
      <c r="R1004" s="572"/>
      <c r="S1004" s="574"/>
    </row>
    <row r="1005" ht="13.5" customHeight="1">
      <c r="A1005" s="572"/>
      <c r="B1005" s="572"/>
      <c r="C1005" s="572"/>
      <c r="D1005" s="573"/>
      <c r="E1005" s="572"/>
      <c r="F1005" s="572"/>
      <c r="G1005" s="584"/>
      <c r="H1005" s="570"/>
      <c r="I1005" s="570"/>
      <c r="J1005" s="572"/>
      <c r="K1005" s="572"/>
      <c r="L1005" s="572"/>
      <c r="M1005" s="573"/>
      <c r="N1005" s="572"/>
      <c r="O1005" s="572"/>
      <c r="P1005" s="572"/>
      <c r="Q1005" s="572"/>
      <c r="R1005" s="572"/>
      <c r="S1005" s="574"/>
    </row>
    <row r="1006" ht="13.5" customHeight="1">
      <c r="A1006" s="572"/>
      <c r="B1006" s="572"/>
      <c r="C1006" s="572"/>
      <c r="D1006" s="573"/>
      <c r="E1006" s="572"/>
      <c r="F1006" s="572"/>
      <c r="G1006" s="584"/>
      <c r="H1006" s="570"/>
      <c r="I1006" s="570"/>
      <c r="J1006" s="572"/>
      <c r="K1006" s="572"/>
      <c r="L1006" s="572"/>
      <c r="M1006" s="573"/>
      <c r="N1006" s="572"/>
      <c r="O1006" s="572"/>
      <c r="P1006" s="572"/>
      <c r="Q1006" s="572"/>
      <c r="R1006" s="572"/>
      <c r="S1006" s="574"/>
    </row>
    <row r="1007" ht="13.5" customHeight="1">
      <c r="A1007" s="572"/>
      <c r="B1007" s="572"/>
      <c r="C1007" s="572"/>
      <c r="D1007" s="573"/>
      <c r="E1007" s="572"/>
      <c r="F1007" s="572"/>
      <c r="G1007" s="584"/>
      <c r="H1007" s="570"/>
      <c r="I1007" s="570"/>
      <c r="J1007" s="572"/>
      <c r="K1007" s="572"/>
      <c r="L1007" s="572"/>
      <c r="M1007" s="573"/>
      <c r="N1007" s="572"/>
      <c r="O1007" s="572"/>
      <c r="P1007" s="572"/>
      <c r="Q1007" s="572"/>
      <c r="R1007" s="572"/>
      <c r="S1007" s="574"/>
    </row>
    <row r="1008" ht="13.5" customHeight="1">
      <c r="A1008" s="572"/>
      <c r="B1008" s="572"/>
      <c r="C1008" s="572"/>
      <c r="D1008" s="573"/>
      <c r="E1008" s="572"/>
      <c r="F1008" s="572"/>
      <c r="G1008" s="584"/>
      <c r="H1008" s="570"/>
      <c r="I1008" s="570"/>
      <c r="J1008" s="572"/>
      <c r="K1008" s="572"/>
      <c r="L1008" s="572"/>
      <c r="M1008" s="573"/>
      <c r="N1008" s="572"/>
      <c r="O1008" s="572"/>
      <c r="P1008" s="572"/>
      <c r="Q1008" s="572"/>
      <c r="R1008" s="572"/>
      <c r="S1008" s="574"/>
    </row>
    <row r="1009" ht="13.5" customHeight="1">
      <c r="A1009" s="572"/>
      <c r="B1009" s="572"/>
      <c r="C1009" s="572"/>
      <c r="D1009" s="573"/>
      <c r="E1009" s="572"/>
      <c r="F1009" s="572"/>
      <c r="G1009" s="584"/>
      <c r="H1009" s="570"/>
      <c r="I1009" s="570"/>
      <c r="J1009" s="572"/>
      <c r="K1009" s="572"/>
      <c r="L1009" s="572"/>
      <c r="M1009" s="573"/>
      <c r="N1009" s="572"/>
      <c r="O1009" s="572"/>
      <c r="P1009" s="572"/>
      <c r="Q1009" s="572"/>
      <c r="R1009" s="572"/>
      <c r="S1009" s="574"/>
    </row>
    <row r="1010" ht="13.5" customHeight="1">
      <c r="A1010" s="572"/>
      <c r="B1010" s="572"/>
      <c r="C1010" s="572"/>
      <c r="D1010" s="573"/>
      <c r="E1010" s="572"/>
      <c r="F1010" s="572"/>
      <c r="G1010" s="584"/>
      <c r="H1010" s="570"/>
      <c r="I1010" s="570"/>
      <c r="J1010" s="572"/>
      <c r="K1010" s="572"/>
      <c r="L1010" s="572"/>
      <c r="M1010" s="573"/>
      <c r="N1010" s="572"/>
      <c r="O1010" s="572"/>
      <c r="P1010" s="572"/>
      <c r="Q1010" s="572"/>
      <c r="R1010" s="572"/>
      <c r="S1010" s="574"/>
    </row>
    <row r="1011" ht="13.5" customHeight="1">
      <c r="A1011" s="572"/>
      <c r="B1011" s="572"/>
      <c r="C1011" s="572"/>
      <c r="D1011" s="573"/>
      <c r="E1011" s="572"/>
      <c r="F1011" s="572"/>
      <c r="G1011" s="584"/>
      <c r="H1011" s="570"/>
      <c r="I1011" s="570"/>
      <c r="J1011" s="572"/>
      <c r="K1011" s="572"/>
      <c r="L1011" s="572"/>
      <c r="M1011" s="573"/>
      <c r="N1011" s="572"/>
      <c r="O1011" s="572"/>
      <c r="P1011" s="572"/>
      <c r="Q1011" s="572"/>
      <c r="R1011" s="572"/>
      <c r="S1011" s="574"/>
    </row>
    <row r="1012" ht="13.5" customHeight="1">
      <c r="A1012" s="572"/>
      <c r="B1012" s="572"/>
      <c r="C1012" s="572"/>
      <c r="D1012" s="573"/>
      <c r="E1012" s="572"/>
      <c r="F1012" s="572"/>
      <c r="G1012" s="584"/>
      <c r="H1012" s="570"/>
      <c r="I1012" s="570"/>
      <c r="J1012" s="572"/>
      <c r="K1012" s="572"/>
      <c r="L1012" s="572"/>
      <c r="M1012" s="573"/>
      <c r="N1012" s="572"/>
      <c r="O1012" s="572"/>
      <c r="P1012" s="572"/>
      <c r="Q1012" s="572"/>
      <c r="R1012" s="572"/>
      <c r="S1012" s="574"/>
    </row>
    <row r="1013" ht="13.5" customHeight="1">
      <c r="A1013" s="572"/>
      <c r="B1013" s="572"/>
      <c r="C1013" s="572"/>
      <c r="D1013" s="573"/>
      <c r="E1013" s="572"/>
      <c r="F1013" s="572"/>
      <c r="G1013" s="584"/>
      <c r="H1013" s="570"/>
      <c r="I1013" s="570"/>
      <c r="J1013" s="572"/>
      <c r="K1013" s="572"/>
      <c r="L1013" s="572"/>
      <c r="M1013" s="573"/>
      <c r="N1013" s="572"/>
      <c r="O1013" s="572"/>
      <c r="P1013" s="572"/>
      <c r="Q1013" s="572"/>
      <c r="R1013" s="572"/>
      <c r="S1013" s="574"/>
    </row>
    <row r="1014" ht="13.5" customHeight="1">
      <c r="A1014" s="572"/>
      <c r="B1014" s="572"/>
      <c r="C1014" s="572"/>
      <c r="D1014" s="573"/>
      <c r="E1014" s="572"/>
      <c r="F1014" s="572"/>
      <c r="G1014" s="584"/>
      <c r="H1014" s="570"/>
      <c r="I1014" s="570"/>
      <c r="J1014" s="572"/>
      <c r="K1014" s="572"/>
      <c r="L1014" s="572"/>
      <c r="M1014" s="573"/>
      <c r="N1014" s="572"/>
      <c r="O1014" s="572"/>
      <c r="P1014" s="572"/>
      <c r="Q1014" s="572"/>
      <c r="R1014" s="572"/>
      <c r="S1014" s="574"/>
    </row>
  </sheetData>
  <autoFilter ref="$A$9:$S$443">
    <sortState ref="A9:S443">
      <sortCondition descending="1" sortBy="cellColor" ref="F9:F443" dxfId="2"/>
    </sortState>
  </autoFilter>
  <customSheetViews>
    <customSheetView guid="{B45B4F1B-E3DF-4A75-A762-96C9B9B1C98C}" filter="1" showAutoFilter="1">
      <autoFilter ref="$A$9:$S$1000"/>
      <extLst>
        <ext uri="GoogleSheetsCustomDataVersion1">
          <go:sheetsCustomData xmlns:go="http://customooxmlschemas.google.com/" filterViewId="881447903"/>
        </ext>
      </extLst>
    </customSheetView>
  </customSheetViews>
  <mergeCells count="1">
    <mergeCell ref="A1:B1"/>
  </mergeCells>
  <conditionalFormatting sqref="G9:G531">
    <cfRule type="notContainsBlanks" dxfId="3" priority="1">
      <formula>LEN(TRIM(G9))&gt;0</formula>
    </cfRule>
  </conditionalFormatting>
  <dataValidations>
    <dataValidation type="list" allowBlank="1" showErrorMessage="1" sqref="R10:R1014">
      <formula1>"Active,Broken,Lost/ Missing,Sell"</formula1>
    </dataValidation>
    <dataValidation type="list" allowBlank="1" showErrorMessage="1" sqref="K10:K1014">
      <formula1>"BOD,Business Development,Digital Marketing &amp; Creative,Engineering,Finance &amp; Accounting,HRGA &amp; Legal,Operational,PITD,QA/QC,Sales &amp; Marketing,Supply Chain"</formula1>
    </dataValidation>
    <dataValidation type="list" allowBlank="1" showErrorMessage="1" sqref="L10:L1014">
      <formula1>"BSD,Deltamas 1,Deltamas 2,Other Area"</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1.22" defaultRowHeight="15.0"/>
  <cols>
    <col customWidth="1" min="1" max="1" width="5.11"/>
    <col customWidth="1" min="2" max="2" width="15.67"/>
    <col customWidth="1" min="3" max="3" width="46.44"/>
    <col customWidth="1" min="4" max="4" width="13.67"/>
    <col customWidth="1" min="5" max="6" width="18.11"/>
    <col customWidth="1" min="7" max="7" width="11.33"/>
    <col customWidth="1" min="8" max="8" width="15.33"/>
    <col customWidth="1" min="9" max="9" width="10.67"/>
    <col customWidth="1" min="10" max="10" width="9.67"/>
    <col customWidth="1" min="11" max="12" width="10.78"/>
    <col customWidth="1" min="13" max="13" width="22.89"/>
    <col customWidth="1" min="14" max="14" width="13.44"/>
    <col customWidth="1" min="15" max="15" width="14.67"/>
  </cols>
  <sheetData>
    <row r="1" ht="13.5" hidden="1" customHeight="1">
      <c r="A1" s="566" t="s">
        <v>0</v>
      </c>
      <c r="C1" s="567"/>
      <c r="D1" s="584"/>
      <c r="E1" s="570"/>
      <c r="F1" s="570"/>
      <c r="G1" s="572"/>
      <c r="H1" s="572"/>
      <c r="I1" s="572"/>
      <c r="J1" s="572"/>
      <c r="K1" s="572"/>
      <c r="L1" s="572"/>
      <c r="M1" s="572"/>
      <c r="N1" s="572"/>
      <c r="O1" s="574"/>
    </row>
    <row r="2" ht="13.5" hidden="1" customHeight="1">
      <c r="A2" s="575"/>
      <c r="B2" s="572" t="s">
        <v>5</v>
      </c>
      <c r="C2" s="572"/>
      <c r="D2" s="584"/>
      <c r="E2" s="570"/>
      <c r="F2" s="570"/>
      <c r="G2" s="572"/>
      <c r="H2" s="572"/>
      <c r="I2" s="572"/>
      <c r="J2" s="572"/>
      <c r="K2" s="572"/>
      <c r="L2" s="572"/>
      <c r="M2" s="572"/>
      <c r="N2" s="572"/>
      <c r="O2" s="574"/>
    </row>
    <row r="3" ht="13.5" hidden="1" customHeight="1">
      <c r="A3" s="580"/>
      <c r="B3" s="572" t="s">
        <v>10</v>
      </c>
      <c r="C3" s="572"/>
      <c r="D3" s="584"/>
      <c r="E3" s="570"/>
      <c r="F3" s="570"/>
      <c r="G3" s="572"/>
      <c r="H3" s="572"/>
      <c r="I3" s="572"/>
      <c r="J3" s="572"/>
      <c r="K3" s="572"/>
      <c r="L3" s="572"/>
      <c r="M3" s="572"/>
      <c r="N3" s="572"/>
      <c r="O3" s="574"/>
    </row>
    <row r="4" ht="13.5" hidden="1" customHeight="1">
      <c r="A4" s="581"/>
      <c r="B4" s="572" t="s">
        <v>15</v>
      </c>
      <c r="C4" s="572"/>
      <c r="D4" s="584"/>
      <c r="E4" s="570"/>
      <c r="F4" s="570"/>
      <c r="G4" s="572"/>
      <c r="H4" s="572"/>
      <c r="I4" s="572"/>
      <c r="J4" s="572"/>
      <c r="K4" s="572"/>
      <c r="L4" s="572"/>
      <c r="M4" s="572"/>
      <c r="N4" s="572"/>
      <c r="O4" s="574"/>
    </row>
    <row r="5" ht="13.5" hidden="1" customHeight="1">
      <c r="A5" s="582"/>
      <c r="B5" s="572" t="s">
        <v>20</v>
      </c>
      <c r="C5" s="572"/>
      <c r="D5" s="584"/>
      <c r="E5" s="570"/>
      <c r="F5" s="570"/>
      <c r="G5" s="572"/>
      <c r="H5" s="572"/>
      <c r="I5" s="572"/>
      <c r="J5" s="572"/>
      <c r="K5" s="572"/>
      <c r="L5" s="572"/>
      <c r="M5" s="572"/>
      <c r="N5" s="572"/>
      <c r="O5" s="574"/>
    </row>
    <row r="6" ht="13.5" hidden="1" customHeight="1">
      <c r="A6" s="583"/>
      <c r="B6" s="572" t="s">
        <v>23</v>
      </c>
      <c r="C6" s="572"/>
      <c r="D6" s="584"/>
      <c r="E6" s="570"/>
      <c r="F6" s="570"/>
      <c r="G6" s="572"/>
      <c r="H6" s="572"/>
      <c r="I6" s="572"/>
      <c r="J6" s="572"/>
      <c r="K6" s="572"/>
      <c r="L6" s="572"/>
      <c r="M6" s="572"/>
      <c r="N6" s="572"/>
      <c r="O6" s="574"/>
    </row>
    <row r="7" ht="13.5" hidden="1" customHeight="1">
      <c r="A7" s="572"/>
      <c r="B7" s="572"/>
      <c r="C7" s="572"/>
      <c r="D7" s="584"/>
      <c r="E7" s="570"/>
      <c r="F7" s="570"/>
      <c r="G7" s="572"/>
      <c r="H7" s="572"/>
      <c r="I7" s="572"/>
      <c r="J7" s="572"/>
      <c r="K7" s="572"/>
      <c r="L7" s="572"/>
      <c r="M7" s="572"/>
      <c r="N7" s="572"/>
      <c r="O7" s="574"/>
    </row>
    <row r="8" ht="13.5" hidden="1" customHeight="1">
      <c r="A8" s="572"/>
      <c r="B8" s="572"/>
      <c r="C8" s="572"/>
      <c r="D8" s="584"/>
      <c r="E8" s="570"/>
      <c r="F8" s="570"/>
      <c r="G8" s="572"/>
      <c r="H8" s="572"/>
      <c r="I8" s="572"/>
      <c r="J8" s="572"/>
      <c r="K8" s="572"/>
      <c r="L8" s="572"/>
      <c r="M8" s="572"/>
      <c r="N8" s="572"/>
      <c r="O8" s="574"/>
    </row>
    <row r="9" ht="13.5" customHeight="1">
      <c r="A9" s="585" t="s">
        <v>1172</v>
      </c>
      <c r="B9" s="585" t="s">
        <v>28</v>
      </c>
      <c r="C9" s="585" t="s">
        <v>29</v>
      </c>
      <c r="D9" s="740" t="s">
        <v>30</v>
      </c>
      <c r="E9" s="588" t="s">
        <v>31</v>
      </c>
      <c r="F9" s="588" t="s">
        <v>1948</v>
      </c>
      <c r="G9" s="585" t="s">
        <v>33</v>
      </c>
      <c r="H9" s="586" t="s">
        <v>34</v>
      </c>
      <c r="I9" s="586" t="s">
        <v>3</v>
      </c>
      <c r="J9" s="585" t="s">
        <v>35</v>
      </c>
      <c r="K9" s="585" t="s">
        <v>36</v>
      </c>
      <c r="L9" s="585" t="s">
        <v>37</v>
      </c>
      <c r="M9" s="585" t="s">
        <v>1880</v>
      </c>
      <c r="N9" s="586" t="s">
        <v>39</v>
      </c>
      <c r="O9" s="590" t="s">
        <v>40</v>
      </c>
    </row>
    <row r="10" ht="13.5" customHeight="1">
      <c r="A10" s="591">
        <v>1.0</v>
      </c>
      <c r="B10" s="594" t="s">
        <v>1949</v>
      </c>
      <c r="C10" s="594" t="s">
        <v>42</v>
      </c>
      <c r="D10" s="595">
        <v>42005.0</v>
      </c>
      <c r="E10" s="596">
        <v>3150000.0</v>
      </c>
      <c r="F10" s="597"/>
      <c r="G10" s="598"/>
      <c r="H10" s="598"/>
      <c r="I10" s="598"/>
      <c r="J10" s="598" t="s">
        <v>43</v>
      </c>
      <c r="K10" s="598"/>
      <c r="L10" s="598"/>
      <c r="M10" s="598"/>
      <c r="N10" s="598" t="s">
        <v>5</v>
      </c>
      <c r="O10" s="601"/>
    </row>
    <row r="11" ht="13.5" customHeight="1">
      <c r="A11" s="591">
        <v>2.0</v>
      </c>
      <c r="B11" s="594" t="s">
        <v>1950</v>
      </c>
      <c r="C11" s="594" t="s">
        <v>45</v>
      </c>
      <c r="D11" s="595">
        <v>42135.0</v>
      </c>
      <c r="E11" s="596">
        <v>6900000.0</v>
      </c>
      <c r="F11" s="597"/>
      <c r="G11" s="598"/>
      <c r="H11" s="598"/>
      <c r="I11" s="598"/>
      <c r="J11" s="598"/>
      <c r="K11" s="598"/>
      <c r="L11" s="598"/>
      <c r="M11" s="598"/>
      <c r="N11" s="598" t="s">
        <v>5</v>
      </c>
      <c r="O11" s="601"/>
    </row>
    <row r="12" ht="13.5" customHeight="1">
      <c r="A12" s="602">
        <v>3.0</v>
      </c>
      <c r="B12" s="605" t="s">
        <v>1951</v>
      </c>
      <c r="C12" s="605" t="s">
        <v>1881</v>
      </c>
      <c r="D12" s="606">
        <v>42135.0</v>
      </c>
      <c r="E12" s="607">
        <v>580000.0</v>
      </c>
      <c r="F12" s="607">
        <v>580000.0</v>
      </c>
      <c r="G12" s="608"/>
      <c r="H12" s="608"/>
      <c r="I12" s="608"/>
      <c r="J12" s="608"/>
      <c r="K12" s="608"/>
      <c r="L12" s="608"/>
      <c r="M12" s="608"/>
      <c r="N12" s="608"/>
      <c r="O12" s="610"/>
    </row>
    <row r="13" ht="13.5" customHeight="1">
      <c r="A13" s="591">
        <v>4.0</v>
      </c>
      <c r="B13" s="594" t="s">
        <v>1952</v>
      </c>
      <c r="C13" s="594" t="s">
        <v>54</v>
      </c>
      <c r="D13" s="595">
        <v>42249.0</v>
      </c>
      <c r="E13" s="596">
        <v>2500000.0</v>
      </c>
      <c r="F13" s="597"/>
      <c r="G13" s="598"/>
      <c r="H13" s="598"/>
      <c r="I13" s="598"/>
      <c r="J13" s="598"/>
      <c r="K13" s="598"/>
      <c r="L13" s="598"/>
      <c r="M13" s="598"/>
      <c r="N13" s="598" t="s">
        <v>5</v>
      </c>
      <c r="O13" s="601"/>
    </row>
    <row r="14" ht="13.5" customHeight="1">
      <c r="A14" s="611">
        <v>5.0</v>
      </c>
      <c r="B14" s="614" t="s">
        <v>1953</v>
      </c>
      <c r="C14" s="614" t="s">
        <v>56</v>
      </c>
      <c r="D14" s="615">
        <v>42252.0</v>
      </c>
      <c r="E14" s="616">
        <v>1787190.0</v>
      </c>
      <c r="F14" s="617"/>
      <c r="G14" s="618"/>
      <c r="H14" s="618"/>
      <c r="I14" s="618"/>
      <c r="J14" s="618"/>
      <c r="K14" s="618"/>
      <c r="L14" s="618"/>
      <c r="M14" s="618"/>
      <c r="N14" s="618" t="s">
        <v>10</v>
      </c>
      <c r="O14" s="621"/>
    </row>
    <row r="15" ht="13.5" customHeight="1">
      <c r="A15" s="602">
        <v>6.0</v>
      </c>
      <c r="B15" s="605" t="s">
        <v>1954</v>
      </c>
      <c r="C15" s="605" t="s">
        <v>1882</v>
      </c>
      <c r="D15" s="606">
        <v>42254.0</v>
      </c>
      <c r="E15" s="607">
        <v>3034500.0</v>
      </c>
      <c r="F15" s="607">
        <v>3034500.0</v>
      </c>
      <c r="G15" s="608"/>
      <c r="H15" s="608"/>
      <c r="I15" s="608"/>
      <c r="J15" s="608"/>
      <c r="K15" s="608"/>
      <c r="L15" s="608"/>
      <c r="M15" s="608"/>
      <c r="N15" s="608"/>
      <c r="O15" s="610"/>
    </row>
    <row r="16" ht="13.5" customHeight="1">
      <c r="A16" s="611">
        <v>7.0</v>
      </c>
      <c r="B16" s="614" t="s">
        <v>1955</v>
      </c>
      <c r="C16" s="614" t="s">
        <v>61</v>
      </c>
      <c r="D16" s="615">
        <v>42278.0</v>
      </c>
      <c r="E16" s="616">
        <v>570000.0</v>
      </c>
      <c r="F16" s="617"/>
      <c r="G16" s="618"/>
      <c r="H16" s="618"/>
      <c r="I16" s="618"/>
      <c r="J16" s="618"/>
      <c r="K16" s="618"/>
      <c r="L16" s="618"/>
      <c r="M16" s="618"/>
      <c r="N16" s="618" t="s">
        <v>10</v>
      </c>
      <c r="O16" s="621"/>
    </row>
    <row r="17" ht="13.5" customHeight="1">
      <c r="A17" s="611">
        <v>8.0</v>
      </c>
      <c r="B17" s="614" t="s">
        <v>1956</v>
      </c>
      <c r="C17" s="614" t="s">
        <v>63</v>
      </c>
      <c r="D17" s="615">
        <v>42279.0</v>
      </c>
      <c r="E17" s="616">
        <v>220000.0</v>
      </c>
      <c r="F17" s="617"/>
      <c r="G17" s="618"/>
      <c r="H17" s="618"/>
      <c r="I17" s="618"/>
      <c r="J17" s="618"/>
      <c r="K17" s="618"/>
      <c r="L17" s="618"/>
      <c r="M17" s="618"/>
      <c r="N17" s="618" t="s">
        <v>10</v>
      </c>
      <c r="O17" s="621"/>
    </row>
    <row r="18" ht="13.5" customHeight="1">
      <c r="A18" s="591">
        <v>9.0</v>
      </c>
      <c r="B18" s="594" t="s">
        <v>1957</v>
      </c>
      <c r="C18" s="594" t="s">
        <v>65</v>
      </c>
      <c r="D18" s="595">
        <v>42338.0</v>
      </c>
      <c r="E18" s="596">
        <v>2950000.0</v>
      </c>
      <c r="F18" s="597"/>
      <c r="G18" s="598"/>
      <c r="H18" s="598"/>
      <c r="I18" s="598"/>
      <c r="J18" s="598" t="s">
        <v>66</v>
      </c>
      <c r="K18" s="598"/>
      <c r="L18" s="598"/>
      <c r="M18" s="598"/>
      <c r="N18" s="598" t="s">
        <v>5</v>
      </c>
      <c r="O18" s="601"/>
    </row>
    <row r="19" ht="13.5" customHeight="1">
      <c r="A19" s="591">
        <v>10.0</v>
      </c>
      <c r="B19" s="594" t="s">
        <v>1958</v>
      </c>
      <c r="C19" s="594" t="s">
        <v>68</v>
      </c>
      <c r="D19" s="595">
        <v>42403.0</v>
      </c>
      <c r="E19" s="596">
        <v>300000.0</v>
      </c>
      <c r="F19" s="597"/>
      <c r="G19" s="598"/>
      <c r="H19" s="598"/>
      <c r="I19" s="598"/>
      <c r="J19" s="598"/>
      <c r="K19" s="598"/>
      <c r="L19" s="598"/>
      <c r="M19" s="598"/>
      <c r="N19" s="598" t="s">
        <v>5</v>
      </c>
      <c r="O19" s="601"/>
    </row>
    <row r="20" ht="13.5" customHeight="1">
      <c r="A20" s="602">
        <v>11.0</v>
      </c>
      <c r="B20" s="605" t="s">
        <v>1959</v>
      </c>
      <c r="C20" s="605" t="s">
        <v>70</v>
      </c>
      <c r="D20" s="606">
        <v>42675.0</v>
      </c>
      <c r="E20" s="607">
        <v>6540000.0</v>
      </c>
      <c r="F20" s="607">
        <v>6540000.0</v>
      </c>
      <c r="G20" s="608"/>
      <c r="H20" s="608"/>
      <c r="I20" s="608"/>
      <c r="J20" s="608" t="s">
        <v>71</v>
      </c>
      <c r="K20" s="608"/>
      <c r="L20" s="608"/>
      <c r="M20" s="608"/>
      <c r="N20" s="608"/>
      <c r="O20" s="610"/>
    </row>
    <row r="21" ht="13.5" customHeight="1">
      <c r="A21" s="591">
        <v>12.0</v>
      </c>
      <c r="B21" s="594" t="s">
        <v>1960</v>
      </c>
      <c r="C21" s="594" t="s">
        <v>73</v>
      </c>
      <c r="D21" s="595">
        <v>42522.0</v>
      </c>
      <c r="E21" s="596">
        <v>1500000.0</v>
      </c>
      <c r="F21" s="597"/>
      <c r="G21" s="598"/>
      <c r="H21" s="598"/>
      <c r="I21" s="598"/>
      <c r="J21" s="598"/>
      <c r="K21" s="598"/>
      <c r="L21" s="598"/>
      <c r="M21" s="598"/>
      <c r="N21" s="598" t="s">
        <v>5</v>
      </c>
      <c r="O21" s="601"/>
    </row>
    <row r="22" ht="13.5" customHeight="1">
      <c r="A22" s="591">
        <v>13.0</v>
      </c>
      <c r="B22" s="594" t="s">
        <v>1961</v>
      </c>
      <c r="C22" s="594" t="s">
        <v>75</v>
      </c>
      <c r="D22" s="595">
        <v>42566.0</v>
      </c>
      <c r="E22" s="596">
        <v>660000.0</v>
      </c>
      <c r="F22" s="597"/>
      <c r="G22" s="598"/>
      <c r="H22" s="598"/>
      <c r="I22" s="598"/>
      <c r="J22" s="598"/>
      <c r="K22" s="598"/>
      <c r="L22" s="598"/>
      <c r="M22" s="598"/>
      <c r="N22" s="598" t="s">
        <v>5</v>
      </c>
      <c r="O22" s="601"/>
    </row>
    <row r="23" ht="13.5" customHeight="1">
      <c r="A23" s="591">
        <v>14.0</v>
      </c>
      <c r="B23" s="594" t="s">
        <v>1962</v>
      </c>
      <c r="C23" s="594" t="s">
        <v>77</v>
      </c>
      <c r="D23" s="595">
        <v>42466.0</v>
      </c>
      <c r="E23" s="596">
        <v>900000.0</v>
      </c>
      <c r="F23" s="597"/>
      <c r="G23" s="598"/>
      <c r="H23" s="598"/>
      <c r="I23" s="598"/>
      <c r="J23" s="598"/>
      <c r="K23" s="598"/>
      <c r="L23" s="598"/>
      <c r="M23" s="598"/>
      <c r="N23" s="598" t="s">
        <v>5</v>
      </c>
      <c r="O23" s="601"/>
    </row>
    <row r="24" ht="13.5" customHeight="1">
      <c r="A24" s="602">
        <v>15.0</v>
      </c>
      <c r="B24" s="605" t="s">
        <v>1963</v>
      </c>
      <c r="C24" s="605" t="s">
        <v>1882</v>
      </c>
      <c r="D24" s="606">
        <v>42461.0</v>
      </c>
      <c r="E24" s="607">
        <v>750000.0</v>
      </c>
      <c r="F24" s="607">
        <v>750000.0</v>
      </c>
      <c r="G24" s="608"/>
      <c r="H24" s="608"/>
      <c r="I24" s="608"/>
      <c r="J24" s="608"/>
      <c r="K24" s="608"/>
      <c r="L24" s="608"/>
      <c r="M24" s="608"/>
      <c r="N24" s="608"/>
      <c r="O24" s="610"/>
    </row>
    <row r="25" ht="13.5" customHeight="1">
      <c r="A25" s="591">
        <v>16.0</v>
      </c>
      <c r="B25" s="594" t="s">
        <v>1116</v>
      </c>
      <c r="C25" s="594" t="s">
        <v>1883</v>
      </c>
      <c r="D25" s="595">
        <v>42736.0</v>
      </c>
      <c r="E25" s="596">
        <v>2.1E7</v>
      </c>
      <c r="F25" s="597"/>
      <c r="G25" s="598" t="s">
        <v>1884</v>
      </c>
      <c r="H25" s="598" t="s">
        <v>51</v>
      </c>
      <c r="I25" s="598"/>
      <c r="J25" s="598"/>
      <c r="K25" s="598"/>
      <c r="L25" s="598"/>
      <c r="M25" s="598"/>
      <c r="N25" s="598" t="s">
        <v>5</v>
      </c>
      <c r="O25" s="601"/>
    </row>
    <row r="26" ht="13.5" customHeight="1">
      <c r="A26" s="591">
        <v>17.0</v>
      </c>
      <c r="B26" s="594" t="s">
        <v>1964</v>
      </c>
      <c r="C26" s="594" t="s">
        <v>86</v>
      </c>
      <c r="D26" s="595">
        <v>42736.0</v>
      </c>
      <c r="E26" s="596">
        <v>3.7505E7</v>
      </c>
      <c r="F26" s="597"/>
      <c r="G26" s="598" t="s">
        <v>1885</v>
      </c>
      <c r="H26" s="598" t="s">
        <v>51</v>
      </c>
      <c r="I26" s="598"/>
      <c r="J26" s="598" t="s">
        <v>43</v>
      </c>
      <c r="K26" s="598"/>
      <c r="L26" s="598"/>
      <c r="M26" s="598"/>
      <c r="N26" s="598" t="s">
        <v>5</v>
      </c>
      <c r="O26" s="601"/>
    </row>
    <row r="27" ht="13.5" customHeight="1">
      <c r="A27" s="602">
        <v>18.0</v>
      </c>
      <c r="B27" s="605" t="s">
        <v>1965</v>
      </c>
      <c r="C27" s="605" t="s">
        <v>88</v>
      </c>
      <c r="D27" s="606">
        <v>42979.0</v>
      </c>
      <c r="E27" s="607">
        <v>1.305E7</v>
      </c>
      <c r="F27" s="607">
        <v>1.305E7</v>
      </c>
      <c r="G27" s="608"/>
      <c r="H27" s="608"/>
      <c r="I27" s="608"/>
      <c r="J27" s="608" t="s">
        <v>84</v>
      </c>
      <c r="K27" s="608"/>
      <c r="L27" s="608"/>
      <c r="M27" s="608"/>
      <c r="N27" s="608"/>
      <c r="O27" s="610"/>
    </row>
    <row r="28" ht="13.5" customHeight="1">
      <c r="A28" s="602">
        <v>19.0</v>
      </c>
      <c r="B28" s="605" t="s">
        <v>1966</v>
      </c>
      <c r="C28" s="605" t="s">
        <v>90</v>
      </c>
      <c r="D28" s="606">
        <v>42979.0</v>
      </c>
      <c r="E28" s="607">
        <v>3275000.0</v>
      </c>
      <c r="F28" s="607">
        <v>3275000.0</v>
      </c>
      <c r="G28" s="608"/>
      <c r="H28" s="608"/>
      <c r="I28" s="608"/>
      <c r="J28" s="608"/>
      <c r="K28" s="608"/>
      <c r="L28" s="608"/>
      <c r="M28" s="608"/>
      <c r="N28" s="608"/>
      <c r="O28" s="610"/>
    </row>
    <row r="29" ht="13.5" customHeight="1">
      <c r="A29" s="591">
        <v>20.0</v>
      </c>
      <c r="B29" s="594" t="s">
        <v>1967</v>
      </c>
      <c r="C29" s="594" t="s">
        <v>92</v>
      </c>
      <c r="D29" s="595">
        <v>43049.0</v>
      </c>
      <c r="E29" s="596">
        <v>3000000.0</v>
      </c>
      <c r="F29" s="597"/>
      <c r="G29" s="598"/>
      <c r="H29" s="598"/>
      <c r="I29" s="598" t="s">
        <v>1968</v>
      </c>
      <c r="J29" s="598" t="s">
        <v>93</v>
      </c>
      <c r="K29" s="598"/>
      <c r="L29" s="598"/>
      <c r="M29" s="598"/>
      <c r="N29" s="598" t="s">
        <v>5</v>
      </c>
      <c r="O29" s="601"/>
    </row>
    <row r="30" ht="13.5" customHeight="1">
      <c r="A30" s="602">
        <v>21.0</v>
      </c>
      <c r="B30" s="605" t="s">
        <v>1969</v>
      </c>
      <c r="C30" s="605" t="s">
        <v>1882</v>
      </c>
      <c r="D30" s="606">
        <v>43132.0</v>
      </c>
      <c r="E30" s="607">
        <v>1400000.0</v>
      </c>
      <c r="F30" s="607">
        <v>1400000.0</v>
      </c>
      <c r="G30" s="608"/>
      <c r="H30" s="608"/>
      <c r="I30" s="608"/>
      <c r="J30" s="608"/>
      <c r="K30" s="608"/>
      <c r="L30" s="608"/>
      <c r="M30" s="608"/>
      <c r="N30" s="608"/>
      <c r="O30" s="610"/>
    </row>
    <row r="31" ht="13.5" customHeight="1">
      <c r="A31" s="602">
        <v>22.0</v>
      </c>
      <c r="B31" s="605" t="s">
        <v>1970</v>
      </c>
      <c r="C31" s="605" t="s">
        <v>45</v>
      </c>
      <c r="D31" s="606">
        <v>43132.0</v>
      </c>
      <c r="E31" s="607">
        <v>1.45488E7</v>
      </c>
      <c r="F31" s="607">
        <v>1.45488E7</v>
      </c>
      <c r="G31" s="608" t="s">
        <v>97</v>
      </c>
      <c r="H31" s="608" t="s">
        <v>51</v>
      </c>
      <c r="I31" s="608"/>
      <c r="J31" s="608"/>
      <c r="K31" s="608"/>
      <c r="L31" s="608"/>
      <c r="M31" s="608"/>
      <c r="N31" s="608"/>
      <c r="O31" s="610"/>
    </row>
    <row r="32" ht="13.5" customHeight="1">
      <c r="A32" s="591">
        <v>23.0</v>
      </c>
      <c r="B32" s="594" t="s">
        <v>1117</v>
      </c>
      <c r="C32" s="594" t="s">
        <v>1888</v>
      </c>
      <c r="D32" s="595">
        <v>43160.0</v>
      </c>
      <c r="E32" s="596">
        <v>3.12E7</v>
      </c>
      <c r="F32" s="597"/>
      <c r="G32" s="598"/>
      <c r="H32" s="598"/>
      <c r="I32" s="598"/>
      <c r="J32" s="598" t="s">
        <v>84</v>
      </c>
      <c r="K32" s="598"/>
      <c r="L32" s="598"/>
      <c r="M32" s="598"/>
      <c r="N32" s="598" t="s">
        <v>5</v>
      </c>
      <c r="O32" s="601"/>
    </row>
    <row r="33" ht="13.5" customHeight="1">
      <c r="A33" s="591">
        <v>24.0</v>
      </c>
      <c r="B33" s="594" t="s">
        <v>1971</v>
      </c>
      <c r="C33" s="594" t="s">
        <v>102</v>
      </c>
      <c r="D33" s="595">
        <v>43160.0</v>
      </c>
      <c r="E33" s="596">
        <v>1.0999E7</v>
      </c>
      <c r="F33" s="597"/>
      <c r="G33" s="598"/>
      <c r="H33" s="598"/>
      <c r="I33" s="598"/>
      <c r="J33" s="598" t="s">
        <v>103</v>
      </c>
      <c r="K33" s="598"/>
      <c r="L33" s="598"/>
      <c r="M33" s="598"/>
      <c r="N33" s="598" t="s">
        <v>5</v>
      </c>
      <c r="O33" s="601"/>
    </row>
    <row r="34" ht="13.5" customHeight="1">
      <c r="A34" s="591">
        <v>25.0</v>
      </c>
      <c r="B34" s="594" t="s">
        <v>1972</v>
      </c>
      <c r="C34" s="594" t="s">
        <v>92</v>
      </c>
      <c r="D34" s="595">
        <v>43221.0</v>
      </c>
      <c r="E34" s="596">
        <v>3000000.0</v>
      </c>
      <c r="F34" s="597"/>
      <c r="G34" s="598"/>
      <c r="H34" s="598"/>
      <c r="I34" s="598"/>
      <c r="J34" s="598" t="s">
        <v>93</v>
      </c>
      <c r="K34" s="598"/>
      <c r="L34" s="598"/>
      <c r="M34" s="598"/>
      <c r="N34" s="598" t="s">
        <v>5</v>
      </c>
      <c r="O34" s="601"/>
    </row>
    <row r="35" ht="13.5" customHeight="1">
      <c r="A35" s="602">
        <v>26.0</v>
      </c>
      <c r="B35" s="605" t="s">
        <v>1973</v>
      </c>
      <c r="C35" s="605" t="s">
        <v>106</v>
      </c>
      <c r="D35" s="606">
        <v>43221.0</v>
      </c>
      <c r="E35" s="607">
        <v>4920000.0</v>
      </c>
      <c r="F35" s="607">
        <v>4920000.0</v>
      </c>
      <c r="G35" s="608"/>
      <c r="H35" s="608"/>
      <c r="I35" s="608"/>
      <c r="J35" s="608"/>
      <c r="K35" s="608"/>
      <c r="L35" s="608"/>
      <c r="M35" s="608"/>
      <c r="N35" s="608"/>
      <c r="O35" s="610"/>
    </row>
    <row r="36" ht="13.5" customHeight="1">
      <c r="A36" s="602">
        <v>27.0</v>
      </c>
      <c r="B36" s="605" t="s">
        <v>1077</v>
      </c>
      <c r="C36" s="605" t="s">
        <v>1974</v>
      </c>
      <c r="D36" s="606">
        <v>43256.0</v>
      </c>
      <c r="E36" s="607">
        <v>9500032.0</v>
      </c>
      <c r="F36" s="607">
        <v>9500032.0</v>
      </c>
      <c r="G36" s="608"/>
      <c r="H36" s="608" t="s">
        <v>95</v>
      </c>
      <c r="I36" s="608" t="s">
        <v>8</v>
      </c>
      <c r="J36" s="608"/>
      <c r="K36" s="608"/>
      <c r="L36" s="608"/>
      <c r="M36" s="608"/>
      <c r="N36" s="608"/>
      <c r="O36" s="610"/>
    </row>
    <row r="37" ht="13.5" customHeight="1">
      <c r="A37" s="602">
        <v>28.0</v>
      </c>
      <c r="B37" s="605" t="s">
        <v>1975</v>
      </c>
      <c r="C37" s="608" t="s">
        <v>119</v>
      </c>
      <c r="D37" s="606">
        <v>43287.0</v>
      </c>
      <c r="E37" s="607">
        <v>3900000.0</v>
      </c>
      <c r="F37" s="607">
        <v>3900000.0</v>
      </c>
      <c r="G37" s="608"/>
      <c r="H37" s="608" t="s">
        <v>158</v>
      </c>
      <c r="I37" s="608"/>
      <c r="J37" s="608" t="s">
        <v>121</v>
      </c>
      <c r="K37" s="608"/>
      <c r="L37" s="608"/>
      <c r="M37" s="608"/>
      <c r="N37" s="608"/>
      <c r="O37" s="610"/>
    </row>
    <row r="38" ht="13.5" customHeight="1">
      <c r="A38" s="602">
        <v>29.0</v>
      </c>
      <c r="B38" s="605" t="s">
        <v>1976</v>
      </c>
      <c r="C38" s="605" t="s">
        <v>124</v>
      </c>
      <c r="D38" s="606">
        <v>43314.0</v>
      </c>
      <c r="E38" s="607">
        <v>2953007.0</v>
      </c>
      <c r="F38" s="607">
        <v>2953007.0</v>
      </c>
      <c r="G38" s="608"/>
      <c r="H38" s="608"/>
      <c r="I38" s="608"/>
      <c r="J38" s="608"/>
      <c r="K38" s="608"/>
      <c r="L38" s="608"/>
      <c r="M38" s="608"/>
      <c r="N38" s="608"/>
      <c r="O38" s="610"/>
    </row>
    <row r="39" ht="13.5" customHeight="1">
      <c r="A39" s="591">
        <v>30.0</v>
      </c>
      <c r="B39" s="594" t="s">
        <v>1977</v>
      </c>
      <c r="C39" s="594" t="s">
        <v>126</v>
      </c>
      <c r="D39" s="595">
        <v>43313.0</v>
      </c>
      <c r="E39" s="596">
        <v>1320000.0</v>
      </c>
      <c r="F39" s="597"/>
      <c r="G39" s="598"/>
      <c r="H39" s="598"/>
      <c r="I39" s="598" t="s">
        <v>1968</v>
      </c>
      <c r="J39" s="598" t="s">
        <v>127</v>
      </c>
      <c r="K39" s="598"/>
      <c r="L39" s="598"/>
      <c r="M39" s="598"/>
      <c r="N39" s="598" t="s">
        <v>5</v>
      </c>
      <c r="O39" s="601"/>
    </row>
    <row r="40" ht="13.5" customHeight="1">
      <c r="A40" s="602">
        <v>31.0</v>
      </c>
      <c r="B40" s="605" t="s">
        <v>1978</v>
      </c>
      <c r="C40" s="605" t="s">
        <v>129</v>
      </c>
      <c r="D40" s="606">
        <v>43378.0</v>
      </c>
      <c r="E40" s="607">
        <v>8190000.0</v>
      </c>
      <c r="F40" s="607">
        <v>8190000.0</v>
      </c>
      <c r="G40" s="608"/>
      <c r="H40" s="608"/>
      <c r="I40" s="608"/>
      <c r="J40" s="608" t="s">
        <v>130</v>
      </c>
      <c r="K40" s="608"/>
      <c r="L40" s="608"/>
      <c r="M40" s="608"/>
      <c r="N40" s="608"/>
      <c r="O40" s="610"/>
    </row>
    <row r="41" ht="13.5" customHeight="1">
      <c r="A41" s="591">
        <v>32.0</v>
      </c>
      <c r="B41" s="594" t="s">
        <v>1979</v>
      </c>
      <c r="C41" s="594" t="s">
        <v>132</v>
      </c>
      <c r="D41" s="595">
        <v>43383.0</v>
      </c>
      <c r="E41" s="596">
        <v>898900.0</v>
      </c>
      <c r="F41" s="597"/>
      <c r="G41" s="598"/>
      <c r="H41" s="598"/>
      <c r="I41" s="598" t="s">
        <v>8</v>
      </c>
      <c r="J41" s="598"/>
      <c r="K41" s="598"/>
      <c r="L41" s="598"/>
      <c r="M41" s="598"/>
      <c r="N41" s="598" t="s">
        <v>5</v>
      </c>
      <c r="O41" s="601"/>
    </row>
    <row r="42" ht="13.5" customHeight="1">
      <c r="A42" s="591">
        <v>33.0</v>
      </c>
      <c r="B42" s="594" t="s">
        <v>1980</v>
      </c>
      <c r="C42" s="594" t="s">
        <v>134</v>
      </c>
      <c r="D42" s="595">
        <v>43557.0</v>
      </c>
      <c r="E42" s="596">
        <v>1200000.0</v>
      </c>
      <c r="F42" s="597"/>
      <c r="G42" s="598"/>
      <c r="H42" s="598"/>
      <c r="I42" s="598" t="s">
        <v>8</v>
      </c>
      <c r="J42" s="598" t="s">
        <v>135</v>
      </c>
      <c r="K42" s="598"/>
      <c r="L42" s="598"/>
      <c r="M42" s="598"/>
      <c r="N42" s="598" t="s">
        <v>5</v>
      </c>
      <c r="O42" s="601"/>
    </row>
    <row r="43" ht="13.5" customHeight="1">
      <c r="A43" s="602">
        <v>34.0</v>
      </c>
      <c r="B43" s="605" t="s">
        <v>1981</v>
      </c>
      <c r="C43" s="605" t="s">
        <v>137</v>
      </c>
      <c r="D43" s="606">
        <v>43563.0</v>
      </c>
      <c r="E43" s="607">
        <v>4116265.0</v>
      </c>
      <c r="F43" s="607">
        <v>4116265.0</v>
      </c>
      <c r="G43" s="608"/>
      <c r="H43" s="608"/>
      <c r="I43" s="608"/>
      <c r="J43" s="608" t="s">
        <v>84</v>
      </c>
      <c r="K43" s="608"/>
      <c r="L43" s="608"/>
      <c r="M43" s="608"/>
      <c r="N43" s="608"/>
      <c r="O43" s="610"/>
    </row>
    <row r="44" ht="13.5" customHeight="1">
      <c r="A44" s="602">
        <v>35.0</v>
      </c>
      <c r="B44" s="605" t="s">
        <v>1982</v>
      </c>
      <c r="C44" s="605" t="s">
        <v>140</v>
      </c>
      <c r="D44" s="606">
        <v>43679.0</v>
      </c>
      <c r="E44" s="607">
        <v>2799000.0</v>
      </c>
      <c r="F44" s="607">
        <v>2799000.0</v>
      </c>
      <c r="G44" s="608"/>
      <c r="H44" s="608"/>
      <c r="I44" s="608" t="s">
        <v>1968</v>
      </c>
      <c r="J44" s="608" t="s">
        <v>141</v>
      </c>
      <c r="K44" s="608"/>
      <c r="L44" s="608"/>
      <c r="M44" s="608"/>
      <c r="N44" s="608"/>
      <c r="O44" s="610"/>
    </row>
    <row r="45" ht="13.5" customHeight="1">
      <c r="A45" s="602">
        <v>36.0</v>
      </c>
      <c r="B45" s="605" t="s">
        <v>1983</v>
      </c>
      <c r="C45" s="605" t="s">
        <v>143</v>
      </c>
      <c r="D45" s="606">
        <v>43679.0</v>
      </c>
      <c r="E45" s="607">
        <v>3049000.0</v>
      </c>
      <c r="F45" s="607">
        <v>3049000.0</v>
      </c>
      <c r="G45" s="608"/>
      <c r="H45" s="608"/>
      <c r="I45" s="608" t="s">
        <v>1968</v>
      </c>
      <c r="J45" s="608" t="s">
        <v>141</v>
      </c>
      <c r="K45" s="608"/>
      <c r="L45" s="608"/>
      <c r="M45" s="608"/>
      <c r="N45" s="608"/>
      <c r="O45" s="610"/>
    </row>
    <row r="46" ht="13.5" customHeight="1">
      <c r="A46" s="602">
        <v>37.0</v>
      </c>
      <c r="B46" s="605" t="s">
        <v>1984</v>
      </c>
      <c r="C46" s="605" t="s">
        <v>143</v>
      </c>
      <c r="D46" s="606">
        <v>43679.0</v>
      </c>
      <c r="E46" s="607">
        <v>3049000.0</v>
      </c>
      <c r="F46" s="607">
        <v>3049000.0</v>
      </c>
      <c r="G46" s="608"/>
      <c r="H46" s="608"/>
      <c r="I46" s="608" t="s">
        <v>1968</v>
      </c>
      <c r="J46" s="608" t="s">
        <v>141</v>
      </c>
      <c r="K46" s="608"/>
      <c r="L46" s="608"/>
      <c r="M46" s="608"/>
      <c r="N46" s="608"/>
      <c r="O46" s="610"/>
    </row>
    <row r="47" ht="13.5" customHeight="1">
      <c r="A47" s="602">
        <v>38.0</v>
      </c>
      <c r="B47" s="605" t="s">
        <v>1985</v>
      </c>
      <c r="C47" s="605" t="s">
        <v>143</v>
      </c>
      <c r="D47" s="606">
        <v>43679.0</v>
      </c>
      <c r="E47" s="607">
        <v>3049000.0</v>
      </c>
      <c r="F47" s="607">
        <v>3049000.0</v>
      </c>
      <c r="G47" s="608"/>
      <c r="H47" s="608"/>
      <c r="I47" s="608" t="s">
        <v>1968</v>
      </c>
      <c r="J47" s="608" t="s">
        <v>141</v>
      </c>
      <c r="K47" s="608"/>
      <c r="L47" s="608"/>
      <c r="M47" s="608"/>
      <c r="N47" s="608"/>
      <c r="O47" s="610"/>
    </row>
    <row r="48" ht="13.5" customHeight="1">
      <c r="A48" s="653">
        <v>39.0</v>
      </c>
      <c r="B48" s="656" t="s">
        <v>1986</v>
      </c>
      <c r="C48" s="656" t="s">
        <v>147</v>
      </c>
      <c r="D48" s="657">
        <v>43679.0</v>
      </c>
      <c r="E48" s="658"/>
      <c r="F48" s="658"/>
      <c r="G48" s="659"/>
      <c r="H48" s="659"/>
      <c r="I48" s="659" t="s">
        <v>1968</v>
      </c>
      <c r="J48" s="659" t="s">
        <v>141</v>
      </c>
      <c r="K48" s="659"/>
      <c r="L48" s="659"/>
      <c r="M48" s="659"/>
      <c r="N48" s="659" t="s">
        <v>15</v>
      </c>
      <c r="O48" s="662">
        <v>2.25E7</v>
      </c>
    </row>
    <row r="49" ht="13.5" customHeight="1">
      <c r="A49" s="602">
        <v>40.0</v>
      </c>
      <c r="B49" s="605" t="s">
        <v>1987</v>
      </c>
      <c r="C49" s="605" t="s">
        <v>149</v>
      </c>
      <c r="D49" s="606">
        <v>43690.0</v>
      </c>
      <c r="E49" s="607">
        <v>2550000.0</v>
      </c>
      <c r="F49" s="607">
        <v>2550000.0</v>
      </c>
      <c r="G49" s="608"/>
      <c r="H49" s="608"/>
      <c r="I49" s="608" t="s">
        <v>8</v>
      </c>
      <c r="J49" s="608"/>
      <c r="K49" s="608"/>
      <c r="L49" s="608"/>
      <c r="M49" s="608"/>
      <c r="N49" s="608"/>
      <c r="O49" s="610"/>
    </row>
    <row r="50" ht="13.5" customHeight="1">
      <c r="A50" s="602">
        <v>41.0</v>
      </c>
      <c r="B50" s="605" t="s">
        <v>1988</v>
      </c>
      <c r="C50" s="605" t="s">
        <v>151</v>
      </c>
      <c r="D50" s="691">
        <v>43690.0</v>
      </c>
      <c r="E50" s="607">
        <v>1500000.0</v>
      </c>
      <c r="F50" s="607">
        <v>1500000.0</v>
      </c>
      <c r="G50" s="608"/>
      <c r="H50" s="608"/>
      <c r="I50" s="608" t="s">
        <v>8</v>
      </c>
      <c r="J50" s="608"/>
      <c r="K50" s="608"/>
      <c r="L50" s="608"/>
      <c r="M50" s="608"/>
      <c r="N50" s="608"/>
      <c r="O50" s="610"/>
    </row>
    <row r="51" ht="13.5" customHeight="1">
      <c r="A51" s="602">
        <v>42.0</v>
      </c>
      <c r="B51" s="605" t="s">
        <v>1989</v>
      </c>
      <c r="C51" s="605" t="s">
        <v>1891</v>
      </c>
      <c r="D51" s="606">
        <v>43692.0</v>
      </c>
      <c r="E51" s="607">
        <v>799500.0</v>
      </c>
      <c r="F51" s="607">
        <v>799500.0</v>
      </c>
      <c r="G51" s="608"/>
      <c r="H51" s="608"/>
      <c r="I51" s="608" t="s">
        <v>8</v>
      </c>
      <c r="J51" s="608" t="s">
        <v>155</v>
      </c>
      <c r="K51" s="608"/>
      <c r="L51" s="608"/>
      <c r="M51" s="608"/>
      <c r="N51" s="608"/>
      <c r="O51" s="610"/>
    </row>
    <row r="52" ht="13.5" customHeight="1">
      <c r="A52" s="602">
        <v>43.0</v>
      </c>
      <c r="B52" s="605" t="s">
        <v>1990</v>
      </c>
      <c r="C52" s="605" t="s">
        <v>1891</v>
      </c>
      <c r="D52" s="606">
        <v>43692.0</v>
      </c>
      <c r="E52" s="607">
        <v>799500.0</v>
      </c>
      <c r="F52" s="607">
        <v>799500.0</v>
      </c>
      <c r="G52" s="608"/>
      <c r="H52" s="608"/>
      <c r="I52" s="608" t="s">
        <v>8</v>
      </c>
      <c r="J52" s="608" t="s">
        <v>155</v>
      </c>
      <c r="K52" s="608"/>
      <c r="L52" s="608"/>
      <c r="M52" s="608"/>
      <c r="N52" s="608"/>
      <c r="O52" s="610"/>
    </row>
    <row r="53" ht="13.5" customHeight="1">
      <c r="A53" s="602">
        <v>44.0</v>
      </c>
      <c r="B53" s="605" t="s">
        <v>1991</v>
      </c>
      <c r="C53" s="605" t="s">
        <v>1891</v>
      </c>
      <c r="D53" s="606">
        <v>43692.0</v>
      </c>
      <c r="E53" s="607">
        <v>799500.0</v>
      </c>
      <c r="F53" s="607">
        <v>799500.0</v>
      </c>
      <c r="G53" s="608"/>
      <c r="H53" s="608"/>
      <c r="I53" s="608" t="s">
        <v>8</v>
      </c>
      <c r="J53" s="608" t="s">
        <v>155</v>
      </c>
      <c r="K53" s="608"/>
      <c r="L53" s="608"/>
      <c r="M53" s="608"/>
      <c r="N53" s="608"/>
      <c r="O53" s="610"/>
    </row>
    <row r="54" ht="13.5" customHeight="1">
      <c r="A54" s="602">
        <v>45.0</v>
      </c>
      <c r="B54" s="605" t="s">
        <v>1992</v>
      </c>
      <c r="C54" s="605" t="s">
        <v>1891</v>
      </c>
      <c r="D54" s="606">
        <v>43692.0</v>
      </c>
      <c r="E54" s="607">
        <v>799500.0</v>
      </c>
      <c r="F54" s="607">
        <v>799500.0</v>
      </c>
      <c r="G54" s="608"/>
      <c r="H54" s="608"/>
      <c r="I54" s="605" t="s">
        <v>8</v>
      </c>
      <c r="J54" s="608" t="s">
        <v>155</v>
      </c>
      <c r="K54" s="608"/>
      <c r="L54" s="608"/>
      <c r="M54" s="608"/>
      <c r="N54" s="608"/>
      <c r="O54" s="610"/>
    </row>
    <row r="55" ht="13.5" customHeight="1">
      <c r="A55" s="602">
        <v>46.0</v>
      </c>
      <c r="B55" s="605" t="s">
        <v>1993</v>
      </c>
      <c r="C55" s="605" t="s">
        <v>1891</v>
      </c>
      <c r="D55" s="606">
        <v>43692.0</v>
      </c>
      <c r="E55" s="607">
        <v>799500.0</v>
      </c>
      <c r="F55" s="607">
        <v>799500.0</v>
      </c>
      <c r="G55" s="608"/>
      <c r="H55" s="608"/>
      <c r="I55" s="605" t="s">
        <v>8</v>
      </c>
      <c r="J55" s="608" t="s">
        <v>155</v>
      </c>
      <c r="K55" s="608"/>
      <c r="L55" s="608"/>
      <c r="M55" s="608"/>
      <c r="N55" s="608"/>
      <c r="O55" s="610"/>
    </row>
    <row r="56" ht="13.5" customHeight="1">
      <c r="A56" s="602">
        <v>47.0</v>
      </c>
      <c r="B56" s="605" t="s">
        <v>1994</v>
      </c>
      <c r="C56" s="605" t="s">
        <v>1891</v>
      </c>
      <c r="D56" s="606">
        <v>43692.0</v>
      </c>
      <c r="E56" s="607">
        <v>799500.0</v>
      </c>
      <c r="F56" s="607">
        <v>799500.0</v>
      </c>
      <c r="G56" s="608"/>
      <c r="H56" s="608"/>
      <c r="I56" s="605" t="s">
        <v>8</v>
      </c>
      <c r="J56" s="608" t="s">
        <v>155</v>
      </c>
      <c r="K56" s="608"/>
      <c r="L56" s="608"/>
      <c r="M56" s="608"/>
      <c r="N56" s="608"/>
      <c r="O56" s="610"/>
    </row>
    <row r="57" ht="13.5" customHeight="1">
      <c r="A57" s="602">
        <v>48.0</v>
      </c>
      <c r="B57" s="605" t="s">
        <v>1995</v>
      </c>
      <c r="C57" s="605" t="s">
        <v>1891</v>
      </c>
      <c r="D57" s="606">
        <v>43692.0</v>
      </c>
      <c r="E57" s="607">
        <v>799500.0</v>
      </c>
      <c r="F57" s="607">
        <v>799500.0</v>
      </c>
      <c r="G57" s="608"/>
      <c r="H57" s="608"/>
      <c r="I57" s="605" t="s">
        <v>8</v>
      </c>
      <c r="J57" s="608" t="s">
        <v>155</v>
      </c>
      <c r="K57" s="608"/>
      <c r="L57" s="608"/>
      <c r="M57" s="608"/>
      <c r="N57" s="608"/>
      <c r="O57" s="610"/>
    </row>
    <row r="58" ht="13.5" customHeight="1">
      <c r="A58" s="602">
        <v>49.0</v>
      </c>
      <c r="B58" s="605" t="s">
        <v>1996</v>
      </c>
      <c r="C58" s="605" t="s">
        <v>1891</v>
      </c>
      <c r="D58" s="606">
        <v>43692.0</v>
      </c>
      <c r="E58" s="607">
        <v>799500.0</v>
      </c>
      <c r="F58" s="607">
        <v>799500.0</v>
      </c>
      <c r="G58" s="608"/>
      <c r="H58" s="608"/>
      <c r="I58" s="605" t="s">
        <v>8</v>
      </c>
      <c r="J58" s="608" t="s">
        <v>155</v>
      </c>
      <c r="K58" s="608"/>
      <c r="L58" s="608"/>
      <c r="M58" s="608"/>
      <c r="N58" s="608"/>
      <c r="O58" s="610"/>
    </row>
    <row r="59" ht="13.5" customHeight="1">
      <c r="A59" s="602">
        <v>50.0</v>
      </c>
      <c r="B59" s="605" t="s">
        <v>1997</v>
      </c>
      <c r="C59" s="605" t="s">
        <v>168</v>
      </c>
      <c r="D59" s="606">
        <v>43692.0</v>
      </c>
      <c r="E59" s="607">
        <v>759000.0</v>
      </c>
      <c r="F59" s="607">
        <v>759000.0</v>
      </c>
      <c r="G59" s="608"/>
      <c r="H59" s="608"/>
      <c r="I59" s="608"/>
      <c r="J59" s="608" t="s">
        <v>155</v>
      </c>
      <c r="K59" s="608"/>
      <c r="L59" s="608"/>
      <c r="M59" s="608"/>
      <c r="N59" s="608"/>
      <c r="O59" s="610"/>
    </row>
    <row r="60" ht="13.5" customHeight="1">
      <c r="A60" s="602">
        <v>51.0</v>
      </c>
      <c r="B60" s="605" t="s">
        <v>1998</v>
      </c>
      <c r="C60" s="605" t="s">
        <v>172</v>
      </c>
      <c r="D60" s="606">
        <v>43692.0</v>
      </c>
      <c r="E60" s="607">
        <v>899500.0</v>
      </c>
      <c r="F60" s="607">
        <v>899500.0</v>
      </c>
      <c r="G60" s="608"/>
      <c r="H60" s="608"/>
      <c r="I60" s="605" t="s">
        <v>8</v>
      </c>
      <c r="J60" s="608" t="s">
        <v>155</v>
      </c>
      <c r="K60" s="608"/>
      <c r="L60" s="608"/>
      <c r="M60" s="608"/>
      <c r="N60" s="608"/>
      <c r="O60" s="610"/>
    </row>
    <row r="61" ht="13.5" customHeight="1">
      <c r="A61" s="602">
        <v>52.0</v>
      </c>
      <c r="B61" s="605" t="s">
        <v>1999</v>
      </c>
      <c r="C61" s="605" t="s">
        <v>172</v>
      </c>
      <c r="D61" s="606">
        <v>43692.0</v>
      </c>
      <c r="E61" s="607">
        <v>899500.0</v>
      </c>
      <c r="F61" s="607">
        <v>899500.0</v>
      </c>
      <c r="G61" s="608"/>
      <c r="H61" s="608"/>
      <c r="I61" s="605" t="s">
        <v>8</v>
      </c>
      <c r="J61" s="608" t="s">
        <v>155</v>
      </c>
      <c r="K61" s="608"/>
      <c r="L61" s="608"/>
      <c r="M61" s="608"/>
      <c r="N61" s="608"/>
      <c r="O61" s="610"/>
    </row>
    <row r="62" ht="13.5" customHeight="1">
      <c r="A62" s="602">
        <v>53.0</v>
      </c>
      <c r="B62" s="605" t="s">
        <v>2000</v>
      </c>
      <c r="C62" s="605" t="s">
        <v>172</v>
      </c>
      <c r="D62" s="606">
        <v>43692.0</v>
      </c>
      <c r="E62" s="607">
        <v>899500.0</v>
      </c>
      <c r="F62" s="607">
        <v>899500.0</v>
      </c>
      <c r="G62" s="608"/>
      <c r="H62" s="608"/>
      <c r="I62" s="605" t="s">
        <v>8</v>
      </c>
      <c r="J62" s="608" t="s">
        <v>155</v>
      </c>
      <c r="K62" s="608"/>
      <c r="L62" s="608"/>
      <c r="M62" s="608"/>
      <c r="N62" s="608"/>
      <c r="O62" s="610"/>
    </row>
    <row r="63" ht="13.5" customHeight="1">
      <c r="A63" s="602">
        <v>54.0</v>
      </c>
      <c r="B63" s="605" t="s">
        <v>2001</v>
      </c>
      <c r="C63" s="605" t="s">
        <v>172</v>
      </c>
      <c r="D63" s="606">
        <v>43692.0</v>
      </c>
      <c r="E63" s="607">
        <v>899500.0</v>
      </c>
      <c r="F63" s="607">
        <v>899500.0</v>
      </c>
      <c r="G63" s="608"/>
      <c r="H63" s="608"/>
      <c r="I63" s="605" t="s">
        <v>8</v>
      </c>
      <c r="J63" s="608" t="s">
        <v>155</v>
      </c>
      <c r="K63" s="608"/>
      <c r="L63" s="608"/>
      <c r="M63" s="608"/>
      <c r="N63" s="608"/>
      <c r="O63" s="610"/>
    </row>
    <row r="64" ht="13.5" customHeight="1">
      <c r="A64" s="611">
        <v>55.0</v>
      </c>
      <c r="B64" s="614" t="s">
        <v>2002</v>
      </c>
      <c r="C64" s="614" t="s">
        <v>172</v>
      </c>
      <c r="D64" s="615">
        <v>43692.0</v>
      </c>
      <c r="E64" s="616">
        <v>899500.0</v>
      </c>
      <c r="F64" s="617"/>
      <c r="G64" s="618"/>
      <c r="H64" s="618"/>
      <c r="I64" s="614" t="s">
        <v>8</v>
      </c>
      <c r="J64" s="618" t="s">
        <v>155</v>
      </c>
      <c r="K64" s="618"/>
      <c r="L64" s="618"/>
      <c r="M64" s="618"/>
      <c r="N64" s="618" t="s">
        <v>10</v>
      </c>
      <c r="O64" s="621"/>
    </row>
    <row r="65" ht="13.5" customHeight="1">
      <c r="A65" s="611">
        <v>56.0</v>
      </c>
      <c r="B65" s="614" t="s">
        <v>2003</v>
      </c>
      <c r="C65" s="614" t="s">
        <v>172</v>
      </c>
      <c r="D65" s="615">
        <v>43692.0</v>
      </c>
      <c r="E65" s="616">
        <v>899500.0</v>
      </c>
      <c r="F65" s="617"/>
      <c r="G65" s="618"/>
      <c r="H65" s="618"/>
      <c r="I65" s="614" t="s">
        <v>8</v>
      </c>
      <c r="J65" s="618" t="s">
        <v>155</v>
      </c>
      <c r="K65" s="618"/>
      <c r="L65" s="618"/>
      <c r="M65" s="618"/>
      <c r="N65" s="618" t="s">
        <v>10</v>
      </c>
      <c r="O65" s="621"/>
    </row>
    <row r="66" ht="13.5" customHeight="1">
      <c r="A66" s="611">
        <v>57.0</v>
      </c>
      <c r="B66" s="614" t="s">
        <v>2004</v>
      </c>
      <c r="C66" s="614" t="s">
        <v>172</v>
      </c>
      <c r="D66" s="615">
        <v>43692.0</v>
      </c>
      <c r="E66" s="616">
        <v>899500.0</v>
      </c>
      <c r="F66" s="617"/>
      <c r="G66" s="618"/>
      <c r="H66" s="618"/>
      <c r="I66" s="614" t="s">
        <v>8</v>
      </c>
      <c r="J66" s="618" t="s">
        <v>155</v>
      </c>
      <c r="K66" s="618"/>
      <c r="L66" s="618"/>
      <c r="M66" s="618"/>
      <c r="N66" s="618" t="s">
        <v>10</v>
      </c>
      <c r="O66" s="621"/>
    </row>
    <row r="67" ht="13.5" customHeight="1">
      <c r="A67" s="611">
        <v>58.0</v>
      </c>
      <c r="B67" s="614" t="s">
        <v>2005</v>
      </c>
      <c r="C67" s="614" t="s">
        <v>172</v>
      </c>
      <c r="D67" s="615">
        <v>43692.0</v>
      </c>
      <c r="E67" s="616">
        <v>899500.0</v>
      </c>
      <c r="F67" s="617"/>
      <c r="G67" s="618"/>
      <c r="H67" s="618"/>
      <c r="I67" s="614" t="s">
        <v>8</v>
      </c>
      <c r="J67" s="618" t="s">
        <v>155</v>
      </c>
      <c r="K67" s="618"/>
      <c r="L67" s="618"/>
      <c r="M67" s="618"/>
      <c r="N67" s="618" t="s">
        <v>10</v>
      </c>
      <c r="O67" s="621"/>
    </row>
    <row r="68" ht="13.5" customHeight="1">
      <c r="A68" s="602">
        <v>59.0</v>
      </c>
      <c r="B68" s="605" t="s">
        <v>2006</v>
      </c>
      <c r="C68" s="605" t="s">
        <v>182</v>
      </c>
      <c r="D68" s="606">
        <v>43692.0</v>
      </c>
      <c r="E68" s="607">
        <v>2999000.0</v>
      </c>
      <c r="F68" s="607">
        <v>2999000.0</v>
      </c>
      <c r="G68" s="608"/>
      <c r="H68" s="608"/>
      <c r="I68" s="605" t="s">
        <v>8</v>
      </c>
      <c r="J68" s="608"/>
      <c r="K68" s="608"/>
      <c r="L68" s="608"/>
      <c r="M68" s="608"/>
      <c r="N68" s="608"/>
      <c r="O68" s="610"/>
    </row>
    <row r="69" ht="13.5" customHeight="1">
      <c r="A69" s="602">
        <v>60.0</v>
      </c>
      <c r="B69" s="605" t="s">
        <v>1079</v>
      </c>
      <c r="C69" s="605" t="s">
        <v>184</v>
      </c>
      <c r="D69" s="606">
        <v>43692.0</v>
      </c>
      <c r="E69" s="607">
        <v>389000.0</v>
      </c>
      <c r="F69" s="607">
        <v>389000.0</v>
      </c>
      <c r="G69" s="608"/>
      <c r="H69" s="608"/>
      <c r="I69" s="605" t="s">
        <v>8</v>
      </c>
      <c r="J69" s="608" t="s">
        <v>155</v>
      </c>
      <c r="K69" s="608"/>
      <c r="L69" s="608"/>
      <c r="M69" s="608"/>
      <c r="N69" s="608"/>
      <c r="O69" s="610"/>
    </row>
    <row r="70" ht="13.5" customHeight="1">
      <c r="A70" s="602">
        <v>61.0</v>
      </c>
      <c r="B70" s="605" t="s">
        <v>1080</v>
      </c>
      <c r="C70" s="605" t="s">
        <v>184</v>
      </c>
      <c r="D70" s="606">
        <v>43692.0</v>
      </c>
      <c r="E70" s="607">
        <v>389000.0</v>
      </c>
      <c r="F70" s="607">
        <v>389000.0</v>
      </c>
      <c r="G70" s="608"/>
      <c r="H70" s="608"/>
      <c r="I70" s="605" t="s">
        <v>8</v>
      </c>
      <c r="J70" s="608" t="s">
        <v>155</v>
      </c>
      <c r="K70" s="608"/>
      <c r="L70" s="608"/>
      <c r="M70" s="608"/>
      <c r="N70" s="608"/>
      <c r="O70" s="610"/>
    </row>
    <row r="71" ht="13.5" customHeight="1">
      <c r="A71" s="602">
        <v>62.0</v>
      </c>
      <c r="B71" s="605" t="s">
        <v>2007</v>
      </c>
      <c r="C71" s="605" t="s">
        <v>184</v>
      </c>
      <c r="D71" s="606">
        <v>43692.0</v>
      </c>
      <c r="E71" s="607">
        <v>389000.0</v>
      </c>
      <c r="F71" s="607">
        <v>389000.0</v>
      </c>
      <c r="G71" s="608"/>
      <c r="H71" s="608"/>
      <c r="I71" s="605" t="s">
        <v>8</v>
      </c>
      <c r="J71" s="608" t="s">
        <v>155</v>
      </c>
      <c r="K71" s="608"/>
      <c r="L71" s="608"/>
      <c r="M71" s="608"/>
      <c r="N71" s="608"/>
      <c r="O71" s="610"/>
    </row>
    <row r="72" ht="13.5" customHeight="1">
      <c r="A72" s="602">
        <v>63.0</v>
      </c>
      <c r="B72" s="605" t="s">
        <v>1085</v>
      </c>
      <c r="C72" s="605" t="s">
        <v>184</v>
      </c>
      <c r="D72" s="606">
        <v>43692.0</v>
      </c>
      <c r="E72" s="607">
        <v>389000.0</v>
      </c>
      <c r="F72" s="607">
        <v>389000.0</v>
      </c>
      <c r="G72" s="608"/>
      <c r="H72" s="608"/>
      <c r="I72" s="605" t="s">
        <v>8</v>
      </c>
      <c r="J72" s="608" t="s">
        <v>155</v>
      </c>
      <c r="K72" s="608"/>
      <c r="L72" s="608"/>
      <c r="M72" s="608"/>
      <c r="N72" s="608"/>
      <c r="O72" s="610"/>
    </row>
    <row r="73" ht="13.5" customHeight="1">
      <c r="A73" s="602">
        <v>64.0</v>
      </c>
      <c r="B73" s="605" t="s">
        <v>1086</v>
      </c>
      <c r="C73" s="605" t="s">
        <v>184</v>
      </c>
      <c r="D73" s="606">
        <v>43692.0</v>
      </c>
      <c r="E73" s="607">
        <v>389000.0</v>
      </c>
      <c r="F73" s="607">
        <v>389000.0</v>
      </c>
      <c r="G73" s="608"/>
      <c r="H73" s="608"/>
      <c r="I73" s="605" t="s">
        <v>8</v>
      </c>
      <c r="J73" s="608" t="s">
        <v>155</v>
      </c>
      <c r="K73" s="608"/>
      <c r="L73" s="608"/>
      <c r="M73" s="608"/>
      <c r="N73" s="608"/>
      <c r="O73" s="610"/>
    </row>
    <row r="74" ht="13.5" customHeight="1">
      <c r="A74" s="602">
        <v>65.0</v>
      </c>
      <c r="B74" s="605" t="s">
        <v>1087</v>
      </c>
      <c r="C74" s="605" t="s">
        <v>184</v>
      </c>
      <c r="D74" s="606">
        <v>43692.0</v>
      </c>
      <c r="E74" s="607">
        <v>389000.0</v>
      </c>
      <c r="F74" s="607">
        <v>389000.0</v>
      </c>
      <c r="G74" s="608"/>
      <c r="H74" s="608"/>
      <c r="I74" s="605" t="s">
        <v>8</v>
      </c>
      <c r="J74" s="608" t="s">
        <v>155</v>
      </c>
      <c r="K74" s="608"/>
      <c r="L74" s="608"/>
      <c r="M74" s="608"/>
      <c r="N74" s="608"/>
      <c r="O74" s="610"/>
    </row>
    <row r="75" ht="13.5" customHeight="1">
      <c r="A75" s="602">
        <v>66.0</v>
      </c>
      <c r="B75" s="605" t="s">
        <v>2008</v>
      </c>
      <c r="C75" s="605" t="s">
        <v>79</v>
      </c>
      <c r="D75" s="606">
        <v>43692.0</v>
      </c>
      <c r="E75" s="607">
        <v>999000.0</v>
      </c>
      <c r="F75" s="607">
        <v>999000.0</v>
      </c>
      <c r="G75" s="608"/>
      <c r="H75" s="608"/>
      <c r="I75" s="608"/>
      <c r="J75" s="608" t="s">
        <v>155</v>
      </c>
      <c r="K75" s="608"/>
      <c r="L75" s="608"/>
      <c r="M75" s="608"/>
      <c r="N75" s="608"/>
      <c r="O75" s="610"/>
    </row>
    <row r="76" ht="13.5" customHeight="1">
      <c r="A76" s="602">
        <v>67.0</v>
      </c>
      <c r="B76" s="605" t="s">
        <v>2009</v>
      </c>
      <c r="C76" s="605" t="s">
        <v>79</v>
      </c>
      <c r="D76" s="606">
        <v>43692.0</v>
      </c>
      <c r="E76" s="607">
        <v>999000.0</v>
      </c>
      <c r="F76" s="607">
        <v>999000.0</v>
      </c>
      <c r="G76" s="608"/>
      <c r="H76" s="608"/>
      <c r="I76" s="608"/>
      <c r="J76" s="608" t="s">
        <v>155</v>
      </c>
      <c r="K76" s="608"/>
      <c r="L76" s="608"/>
      <c r="M76" s="608"/>
      <c r="N76" s="608"/>
      <c r="O76" s="610"/>
    </row>
    <row r="77" ht="13.5" customHeight="1">
      <c r="A77" s="602">
        <v>68.0</v>
      </c>
      <c r="B77" s="605" t="s">
        <v>2010</v>
      </c>
      <c r="C77" s="605" t="s">
        <v>79</v>
      </c>
      <c r="D77" s="606">
        <v>43692.0</v>
      </c>
      <c r="E77" s="607">
        <v>999000.0</v>
      </c>
      <c r="F77" s="607">
        <v>999000.0</v>
      </c>
      <c r="G77" s="608"/>
      <c r="H77" s="608"/>
      <c r="I77" s="608"/>
      <c r="J77" s="608" t="s">
        <v>155</v>
      </c>
      <c r="K77" s="608"/>
      <c r="L77" s="608"/>
      <c r="M77" s="608"/>
      <c r="N77" s="608"/>
      <c r="O77" s="610"/>
    </row>
    <row r="78" ht="13.5" customHeight="1">
      <c r="A78" s="602">
        <v>69.0</v>
      </c>
      <c r="B78" s="605" t="s">
        <v>2011</v>
      </c>
      <c r="C78" s="605" t="s">
        <v>79</v>
      </c>
      <c r="D78" s="606">
        <v>43692.0</v>
      </c>
      <c r="E78" s="607">
        <v>999000.0</v>
      </c>
      <c r="F78" s="607">
        <v>999000.0</v>
      </c>
      <c r="G78" s="608"/>
      <c r="H78" s="608"/>
      <c r="I78" s="608"/>
      <c r="J78" s="608" t="s">
        <v>155</v>
      </c>
      <c r="K78" s="608"/>
      <c r="L78" s="608"/>
      <c r="M78" s="608"/>
      <c r="N78" s="608"/>
      <c r="O78" s="610"/>
    </row>
    <row r="79" ht="13.5" customHeight="1">
      <c r="A79" s="602">
        <v>70.0</v>
      </c>
      <c r="B79" s="605" t="s">
        <v>2012</v>
      </c>
      <c r="C79" s="605" t="s">
        <v>79</v>
      </c>
      <c r="D79" s="606">
        <v>43692.0</v>
      </c>
      <c r="E79" s="607">
        <v>999000.0</v>
      </c>
      <c r="F79" s="607">
        <v>999000.0</v>
      </c>
      <c r="G79" s="608"/>
      <c r="H79" s="608"/>
      <c r="I79" s="608"/>
      <c r="J79" s="608" t="s">
        <v>155</v>
      </c>
      <c r="K79" s="608"/>
      <c r="L79" s="608"/>
      <c r="M79" s="608"/>
      <c r="N79" s="608"/>
      <c r="O79" s="610"/>
    </row>
    <row r="80" ht="13.5" customHeight="1">
      <c r="A80" s="602">
        <v>71.0</v>
      </c>
      <c r="B80" s="605" t="s">
        <v>2013</v>
      </c>
      <c r="C80" s="605" t="s">
        <v>79</v>
      </c>
      <c r="D80" s="606">
        <v>43692.0</v>
      </c>
      <c r="E80" s="607">
        <v>999000.0</v>
      </c>
      <c r="F80" s="607">
        <v>999000.0</v>
      </c>
      <c r="G80" s="608"/>
      <c r="H80" s="608"/>
      <c r="I80" s="608"/>
      <c r="J80" s="608" t="s">
        <v>155</v>
      </c>
      <c r="K80" s="608"/>
      <c r="L80" s="608"/>
      <c r="M80" s="608"/>
      <c r="N80" s="608"/>
      <c r="O80" s="610"/>
    </row>
    <row r="81" ht="13.5" customHeight="1">
      <c r="A81" s="602">
        <v>72.0</v>
      </c>
      <c r="B81" s="605" t="s">
        <v>2014</v>
      </c>
      <c r="C81" s="605" t="s">
        <v>79</v>
      </c>
      <c r="D81" s="606">
        <v>43692.0</v>
      </c>
      <c r="E81" s="607">
        <v>999000.0</v>
      </c>
      <c r="F81" s="607">
        <v>999000.0</v>
      </c>
      <c r="G81" s="608"/>
      <c r="H81" s="608"/>
      <c r="I81" s="608"/>
      <c r="J81" s="608" t="s">
        <v>155</v>
      </c>
      <c r="K81" s="608"/>
      <c r="L81" s="608"/>
      <c r="M81" s="608"/>
      <c r="N81" s="608"/>
      <c r="O81" s="610"/>
    </row>
    <row r="82" ht="13.5" customHeight="1">
      <c r="A82" s="602">
        <v>73.0</v>
      </c>
      <c r="B82" s="605" t="s">
        <v>2015</v>
      </c>
      <c r="C82" s="605" t="s">
        <v>200</v>
      </c>
      <c r="D82" s="606">
        <v>43692.0</v>
      </c>
      <c r="E82" s="607">
        <v>1942000.0</v>
      </c>
      <c r="F82" s="607">
        <v>1942000.0</v>
      </c>
      <c r="G82" s="608"/>
      <c r="H82" s="608"/>
      <c r="I82" s="608"/>
      <c r="J82" s="608"/>
      <c r="K82" s="608"/>
      <c r="L82" s="608"/>
      <c r="M82" s="608"/>
      <c r="N82" s="608"/>
      <c r="O82" s="610"/>
    </row>
    <row r="83" ht="13.5" customHeight="1">
      <c r="A83" s="591">
        <v>74.0</v>
      </c>
      <c r="B83" s="594" t="s">
        <v>2016</v>
      </c>
      <c r="C83" s="594" t="s">
        <v>202</v>
      </c>
      <c r="D83" s="595">
        <v>43692.0</v>
      </c>
      <c r="E83" s="596">
        <v>771000.0</v>
      </c>
      <c r="F83" s="597"/>
      <c r="G83" s="598"/>
      <c r="H83" s="598"/>
      <c r="I83" s="598"/>
      <c r="J83" s="598"/>
      <c r="K83" s="598"/>
      <c r="L83" s="598"/>
      <c r="M83" s="598"/>
      <c r="N83" s="598" t="s">
        <v>5</v>
      </c>
      <c r="O83" s="601"/>
    </row>
    <row r="84" ht="13.5" customHeight="1">
      <c r="A84" s="591">
        <v>75.0</v>
      </c>
      <c r="B84" s="594" t="s">
        <v>2017</v>
      </c>
      <c r="C84" s="594" t="s">
        <v>204</v>
      </c>
      <c r="D84" s="595">
        <v>43692.0</v>
      </c>
      <c r="E84" s="596">
        <v>1286000.0</v>
      </c>
      <c r="F84" s="597"/>
      <c r="G84" s="598"/>
      <c r="H84" s="598"/>
      <c r="I84" s="598"/>
      <c r="J84" s="598"/>
      <c r="K84" s="598"/>
      <c r="L84" s="598"/>
      <c r="M84" s="598"/>
      <c r="N84" s="598" t="s">
        <v>5</v>
      </c>
      <c r="O84" s="601"/>
    </row>
    <row r="85" ht="13.5" customHeight="1">
      <c r="A85" s="602">
        <v>76.0</v>
      </c>
      <c r="B85" s="605" t="s">
        <v>2018</v>
      </c>
      <c r="C85" s="605" t="s">
        <v>206</v>
      </c>
      <c r="D85" s="606">
        <v>43692.0</v>
      </c>
      <c r="E85" s="607">
        <v>1016000.0</v>
      </c>
      <c r="F85" s="607">
        <v>1016000.0</v>
      </c>
      <c r="G85" s="608"/>
      <c r="H85" s="608"/>
      <c r="I85" s="608"/>
      <c r="J85" s="608"/>
      <c r="K85" s="608"/>
      <c r="L85" s="608"/>
      <c r="M85" s="608"/>
      <c r="N85" s="608"/>
      <c r="O85" s="610"/>
    </row>
    <row r="86" ht="13.5" customHeight="1">
      <c r="A86" s="602">
        <v>77.0</v>
      </c>
      <c r="B86" s="605" t="s">
        <v>2019</v>
      </c>
      <c r="C86" s="605" t="s">
        <v>209</v>
      </c>
      <c r="D86" s="606">
        <v>43692.0</v>
      </c>
      <c r="E86" s="607">
        <v>883000.0</v>
      </c>
      <c r="F86" s="607">
        <v>883000.0</v>
      </c>
      <c r="G86" s="608"/>
      <c r="H86" s="608"/>
      <c r="I86" s="608"/>
      <c r="J86" s="608"/>
      <c r="K86" s="608"/>
      <c r="L86" s="608"/>
      <c r="M86" s="608"/>
      <c r="N86" s="608"/>
      <c r="O86" s="610"/>
    </row>
    <row r="87" ht="13.5" customHeight="1">
      <c r="A87" s="602">
        <v>78.0</v>
      </c>
      <c r="B87" s="605" t="s">
        <v>2020</v>
      </c>
      <c r="C87" s="605" t="s">
        <v>211</v>
      </c>
      <c r="D87" s="606">
        <v>43692.0</v>
      </c>
      <c r="E87" s="607">
        <v>800000.0</v>
      </c>
      <c r="F87" s="607">
        <v>800000.0</v>
      </c>
      <c r="G87" s="608"/>
      <c r="H87" s="608"/>
      <c r="I87" s="608"/>
      <c r="J87" s="608"/>
      <c r="K87" s="608"/>
      <c r="L87" s="608"/>
      <c r="M87" s="608"/>
      <c r="N87" s="608"/>
      <c r="O87" s="610"/>
    </row>
    <row r="88" ht="13.5" customHeight="1">
      <c r="A88" s="602">
        <v>79.0</v>
      </c>
      <c r="B88" s="605" t="s">
        <v>2021</v>
      </c>
      <c r="C88" s="605" t="s">
        <v>213</v>
      </c>
      <c r="D88" s="606">
        <v>43692.0</v>
      </c>
      <c r="E88" s="607">
        <v>2099000.0</v>
      </c>
      <c r="F88" s="607">
        <v>2099000.0</v>
      </c>
      <c r="G88" s="608"/>
      <c r="H88" s="608"/>
      <c r="I88" s="608"/>
      <c r="J88" s="608"/>
      <c r="K88" s="608"/>
      <c r="L88" s="608"/>
      <c r="M88" s="608"/>
      <c r="N88" s="608"/>
      <c r="O88" s="610"/>
    </row>
    <row r="89" ht="13.5" customHeight="1">
      <c r="A89" s="591">
        <v>80.0</v>
      </c>
      <c r="B89" s="594" t="s">
        <v>2022</v>
      </c>
      <c r="C89" s="594" t="s">
        <v>215</v>
      </c>
      <c r="D89" s="595">
        <v>43692.0</v>
      </c>
      <c r="E89" s="596">
        <v>1600000.0</v>
      </c>
      <c r="F89" s="597"/>
      <c r="G89" s="598"/>
      <c r="H89" s="598"/>
      <c r="I89" s="598"/>
      <c r="J89" s="598"/>
      <c r="K89" s="598"/>
      <c r="L89" s="598"/>
      <c r="M89" s="598"/>
      <c r="N89" s="598" t="s">
        <v>5</v>
      </c>
      <c r="O89" s="601"/>
    </row>
    <row r="90" ht="13.5" customHeight="1">
      <c r="A90" s="591">
        <v>81.0</v>
      </c>
      <c r="B90" s="594" t="s">
        <v>2023</v>
      </c>
      <c r="C90" s="594" t="s">
        <v>217</v>
      </c>
      <c r="D90" s="595">
        <v>43692.0</v>
      </c>
      <c r="E90" s="596">
        <v>900000.0</v>
      </c>
      <c r="F90" s="597"/>
      <c r="G90" s="598"/>
      <c r="H90" s="598"/>
      <c r="I90" s="598"/>
      <c r="J90" s="598"/>
      <c r="K90" s="598"/>
      <c r="L90" s="598"/>
      <c r="M90" s="598"/>
      <c r="N90" s="598" t="s">
        <v>5</v>
      </c>
      <c r="O90" s="601"/>
    </row>
    <row r="91" ht="13.5" customHeight="1">
      <c r="A91" s="602">
        <v>82.0</v>
      </c>
      <c r="B91" s="605" t="s">
        <v>2024</v>
      </c>
      <c r="C91" s="605" t="s">
        <v>219</v>
      </c>
      <c r="D91" s="606">
        <v>43313.0</v>
      </c>
      <c r="E91" s="664">
        <v>1250000.0</v>
      </c>
      <c r="F91" s="664">
        <v>1250000.0</v>
      </c>
      <c r="G91" s="608"/>
      <c r="H91" s="608"/>
      <c r="I91" s="608"/>
      <c r="J91" s="608"/>
      <c r="K91" s="608"/>
      <c r="L91" s="608"/>
      <c r="M91" s="608"/>
      <c r="N91" s="608"/>
      <c r="O91" s="610"/>
    </row>
    <row r="92" ht="13.5" customHeight="1">
      <c r="A92" s="611">
        <v>83.0</v>
      </c>
      <c r="B92" s="614" t="s">
        <v>2025</v>
      </c>
      <c r="C92" s="614" t="s">
        <v>221</v>
      </c>
      <c r="D92" s="615">
        <v>43678.0</v>
      </c>
      <c r="E92" s="616">
        <v>290000.0</v>
      </c>
      <c r="F92" s="617"/>
      <c r="G92" s="618"/>
      <c r="H92" s="618"/>
      <c r="I92" s="618"/>
      <c r="J92" s="618"/>
      <c r="K92" s="618"/>
      <c r="L92" s="618"/>
      <c r="M92" s="618"/>
      <c r="N92" s="618" t="s">
        <v>10</v>
      </c>
      <c r="O92" s="621"/>
    </row>
    <row r="93" ht="13.5" customHeight="1">
      <c r="A93" s="602">
        <v>84.0</v>
      </c>
      <c r="B93" s="605" t="s">
        <v>2026</v>
      </c>
      <c r="C93" s="605" t="s">
        <v>224</v>
      </c>
      <c r="D93" s="606">
        <v>43711.0</v>
      </c>
      <c r="E93" s="607">
        <v>3270000.0</v>
      </c>
      <c r="F93" s="607">
        <v>3270000.0</v>
      </c>
      <c r="G93" s="608"/>
      <c r="H93" s="608"/>
      <c r="I93" s="608"/>
      <c r="J93" s="608"/>
      <c r="K93" s="608"/>
      <c r="L93" s="608"/>
      <c r="M93" s="608"/>
      <c r="N93" s="608"/>
      <c r="O93" s="610"/>
    </row>
    <row r="94" ht="13.5" customHeight="1">
      <c r="A94" s="602">
        <v>85.0</v>
      </c>
      <c r="B94" s="605" t="s">
        <v>1088</v>
      </c>
      <c r="C94" s="605" t="s">
        <v>226</v>
      </c>
      <c r="D94" s="606">
        <v>43711.0</v>
      </c>
      <c r="E94" s="607">
        <v>565000.0</v>
      </c>
      <c r="F94" s="607">
        <v>565000.0</v>
      </c>
      <c r="G94" s="608"/>
      <c r="H94" s="608"/>
      <c r="I94" s="608" t="s">
        <v>8</v>
      </c>
      <c r="J94" s="608" t="s">
        <v>71</v>
      </c>
      <c r="K94" s="608"/>
      <c r="L94" s="608"/>
      <c r="M94" s="401" t="s">
        <v>227</v>
      </c>
      <c r="N94" s="608"/>
      <c r="O94" s="610"/>
    </row>
    <row r="95" ht="13.5" customHeight="1">
      <c r="A95" s="602">
        <v>86.0</v>
      </c>
      <c r="B95" s="605" t="s">
        <v>2027</v>
      </c>
      <c r="C95" s="605" t="s">
        <v>229</v>
      </c>
      <c r="D95" s="606">
        <v>43711.0</v>
      </c>
      <c r="E95" s="607">
        <v>1300000.0</v>
      </c>
      <c r="F95" s="607">
        <v>1300000.0</v>
      </c>
      <c r="G95" s="608"/>
      <c r="H95" s="608"/>
      <c r="I95" s="608" t="s">
        <v>8</v>
      </c>
      <c r="J95" s="608" t="s">
        <v>230</v>
      </c>
      <c r="K95" s="608"/>
      <c r="L95" s="608"/>
      <c r="M95" s="401" t="s">
        <v>227</v>
      </c>
      <c r="N95" s="608"/>
      <c r="O95" s="610"/>
    </row>
    <row r="96" ht="13.5" customHeight="1">
      <c r="A96" s="602">
        <v>87.0</v>
      </c>
      <c r="B96" s="605" t="s">
        <v>2028</v>
      </c>
      <c r="C96" s="605" t="s">
        <v>232</v>
      </c>
      <c r="D96" s="606">
        <v>43713.0</v>
      </c>
      <c r="E96" s="607">
        <v>3860000.0</v>
      </c>
      <c r="F96" s="607">
        <v>3860000.0</v>
      </c>
      <c r="G96" s="608"/>
      <c r="H96" s="608"/>
      <c r="I96" s="608"/>
      <c r="J96" s="608" t="s">
        <v>66</v>
      </c>
      <c r="K96" s="608" t="s">
        <v>233</v>
      </c>
      <c r="L96" s="608"/>
      <c r="M96" s="608"/>
      <c r="N96" s="608"/>
      <c r="O96" s="610"/>
    </row>
    <row r="97" ht="13.5" customHeight="1">
      <c r="A97" s="591">
        <v>88.0</v>
      </c>
      <c r="B97" s="594" t="s">
        <v>2029</v>
      </c>
      <c r="C97" s="594" t="s">
        <v>235</v>
      </c>
      <c r="D97" s="595">
        <v>43713.0</v>
      </c>
      <c r="E97" s="596">
        <v>4898000.0</v>
      </c>
      <c r="F97" s="597"/>
      <c r="G97" s="598"/>
      <c r="H97" s="598"/>
      <c r="I97" s="598"/>
      <c r="J97" s="598"/>
      <c r="K97" s="598"/>
      <c r="L97" s="598"/>
      <c r="M97" s="598"/>
      <c r="N97" s="598" t="s">
        <v>5</v>
      </c>
      <c r="O97" s="601"/>
    </row>
    <row r="98" ht="13.5" customHeight="1">
      <c r="A98" s="591">
        <v>89.0</v>
      </c>
      <c r="B98" s="594" t="s">
        <v>2030</v>
      </c>
      <c r="C98" s="594" t="s">
        <v>241</v>
      </c>
      <c r="D98" s="595">
        <v>43720.0</v>
      </c>
      <c r="E98" s="596">
        <v>7320000.0</v>
      </c>
      <c r="F98" s="597"/>
      <c r="G98" s="598"/>
      <c r="H98" s="598"/>
      <c r="I98" s="598"/>
      <c r="J98" s="598" t="s">
        <v>242</v>
      </c>
      <c r="K98" s="598"/>
      <c r="L98" s="598"/>
      <c r="M98" s="598"/>
      <c r="N98" s="598" t="s">
        <v>5</v>
      </c>
      <c r="O98" s="601"/>
    </row>
    <row r="99" ht="13.5" customHeight="1">
      <c r="A99" s="602">
        <v>90.0</v>
      </c>
      <c r="B99" s="605" t="s">
        <v>2031</v>
      </c>
      <c r="C99" s="605" t="s">
        <v>244</v>
      </c>
      <c r="D99" s="606">
        <v>43709.0</v>
      </c>
      <c r="E99" s="607">
        <v>1775427.0</v>
      </c>
      <c r="F99" s="607">
        <v>1775427.0</v>
      </c>
      <c r="G99" s="608"/>
      <c r="H99" s="608"/>
      <c r="I99" s="608"/>
      <c r="J99" s="608"/>
      <c r="K99" s="608"/>
      <c r="L99" s="608"/>
      <c r="M99" s="401" t="s">
        <v>245</v>
      </c>
      <c r="N99" s="608"/>
      <c r="O99" s="610"/>
    </row>
    <row r="100" ht="13.5" customHeight="1">
      <c r="A100" s="602">
        <v>91.0</v>
      </c>
      <c r="B100" s="605" t="s">
        <v>1089</v>
      </c>
      <c r="C100" s="605" t="s">
        <v>247</v>
      </c>
      <c r="D100" s="606">
        <v>43709.0</v>
      </c>
      <c r="E100" s="607">
        <v>1605000.0</v>
      </c>
      <c r="F100" s="607">
        <v>1605000.0</v>
      </c>
      <c r="G100" s="608"/>
      <c r="H100" s="608"/>
      <c r="I100" s="608" t="s">
        <v>8</v>
      </c>
      <c r="J100" s="608"/>
      <c r="K100" s="608"/>
      <c r="L100" s="608"/>
      <c r="M100" s="608"/>
      <c r="N100" s="608"/>
      <c r="O100" s="610"/>
    </row>
    <row r="101" ht="13.5" customHeight="1">
      <c r="A101" s="602">
        <v>92.0</v>
      </c>
      <c r="B101" s="605" t="s">
        <v>2032</v>
      </c>
      <c r="C101" s="605" t="s">
        <v>250</v>
      </c>
      <c r="D101" s="606">
        <v>43770.0</v>
      </c>
      <c r="E101" s="607">
        <v>1099000.0</v>
      </c>
      <c r="F101" s="607">
        <v>1099000.0</v>
      </c>
      <c r="G101" s="608"/>
      <c r="H101" s="608"/>
      <c r="I101" s="608" t="s">
        <v>8</v>
      </c>
      <c r="J101" s="608" t="s">
        <v>155</v>
      </c>
      <c r="K101" s="608"/>
      <c r="L101" s="608"/>
      <c r="M101" s="608"/>
      <c r="N101" s="608"/>
      <c r="O101" s="610"/>
    </row>
    <row r="102" ht="13.5" customHeight="1">
      <c r="A102" s="602">
        <v>93.0</v>
      </c>
      <c r="B102" s="605" t="s">
        <v>2033</v>
      </c>
      <c r="C102" s="605" t="s">
        <v>252</v>
      </c>
      <c r="D102" s="606">
        <v>43809.0</v>
      </c>
      <c r="E102" s="607">
        <v>2198000.0</v>
      </c>
      <c r="F102" s="607">
        <v>2198000.0</v>
      </c>
      <c r="G102" s="608"/>
      <c r="H102" s="608"/>
      <c r="I102" s="608"/>
      <c r="J102" s="608" t="s">
        <v>155</v>
      </c>
      <c r="K102" s="608"/>
      <c r="L102" s="608"/>
      <c r="M102" s="608"/>
      <c r="N102" s="608"/>
      <c r="O102" s="610"/>
    </row>
    <row r="103" ht="13.5" customHeight="1">
      <c r="A103" s="602">
        <v>94.0</v>
      </c>
      <c r="B103" s="605" t="s">
        <v>2034</v>
      </c>
      <c r="C103" s="605" t="s">
        <v>256</v>
      </c>
      <c r="D103" s="606">
        <v>43858.0</v>
      </c>
      <c r="E103" s="607">
        <v>1991700.0</v>
      </c>
      <c r="F103" s="607">
        <v>1991700.0</v>
      </c>
      <c r="G103" s="608"/>
      <c r="H103" s="608"/>
      <c r="I103" s="608" t="s">
        <v>1968</v>
      </c>
      <c r="J103" s="608"/>
      <c r="K103" s="608"/>
      <c r="L103" s="608"/>
      <c r="M103" s="608"/>
      <c r="N103" s="608"/>
      <c r="O103" s="610"/>
    </row>
    <row r="104" ht="13.5" customHeight="1">
      <c r="A104" s="602">
        <v>95.0</v>
      </c>
      <c r="B104" s="605" t="s">
        <v>2035</v>
      </c>
      <c r="C104" s="605" t="s">
        <v>79</v>
      </c>
      <c r="D104" s="606">
        <v>43871.0</v>
      </c>
      <c r="E104" s="607">
        <v>726364.0</v>
      </c>
      <c r="F104" s="607">
        <v>726364.0</v>
      </c>
      <c r="G104" s="608"/>
      <c r="H104" s="608"/>
      <c r="I104" s="608"/>
      <c r="J104" s="608" t="s">
        <v>155</v>
      </c>
      <c r="K104" s="608"/>
      <c r="L104" s="608"/>
      <c r="M104" s="608"/>
      <c r="N104" s="608"/>
      <c r="O104" s="610"/>
    </row>
    <row r="105" ht="13.5" customHeight="1">
      <c r="A105" s="602">
        <v>96.0</v>
      </c>
      <c r="B105" s="605" t="s">
        <v>2036</v>
      </c>
      <c r="C105" s="605" t="s">
        <v>261</v>
      </c>
      <c r="D105" s="606">
        <v>43871.0</v>
      </c>
      <c r="E105" s="607">
        <v>617728.0</v>
      </c>
      <c r="F105" s="607">
        <v>617728.0</v>
      </c>
      <c r="G105" s="608"/>
      <c r="H105" s="608"/>
      <c r="I105" s="608"/>
      <c r="J105" s="608" t="s">
        <v>155</v>
      </c>
      <c r="K105" s="608"/>
      <c r="L105" s="608"/>
      <c r="M105" s="608"/>
      <c r="N105" s="608"/>
      <c r="O105" s="610"/>
    </row>
    <row r="106" ht="13.5" customHeight="1">
      <c r="A106" s="602">
        <v>97.0</v>
      </c>
      <c r="B106" s="605" t="s">
        <v>2037</v>
      </c>
      <c r="C106" s="605" t="s">
        <v>261</v>
      </c>
      <c r="D106" s="606">
        <v>43871.0</v>
      </c>
      <c r="E106" s="607">
        <v>617728.0</v>
      </c>
      <c r="F106" s="607">
        <v>617728.0</v>
      </c>
      <c r="G106" s="608"/>
      <c r="H106" s="608"/>
      <c r="I106" s="608"/>
      <c r="J106" s="608" t="s">
        <v>155</v>
      </c>
      <c r="K106" s="608"/>
      <c r="L106" s="608"/>
      <c r="M106" s="608"/>
      <c r="N106" s="608"/>
      <c r="O106" s="610"/>
    </row>
    <row r="107" ht="13.5" customHeight="1">
      <c r="A107" s="602">
        <v>98.0</v>
      </c>
      <c r="B107" s="605" t="s">
        <v>2038</v>
      </c>
      <c r="C107" s="605" t="s">
        <v>266</v>
      </c>
      <c r="D107" s="606">
        <v>43900.0</v>
      </c>
      <c r="E107" s="607">
        <v>790000.0</v>
      </c>
      <c r="F107" s="607">
        <v>790000.0</v>
      </c>
      <c r="G107" s="608"/>
      <c r="H107" s="608"/>
      <c r="I107" s="608"/>
      <c r="J107" s="608" t="s">
        <v>155</v>
      </c>
      <c r="K107" s="608"/>
      <c r="L107" s="608"/>
      <c r="M107" s="608"/>
      <c r="N107" s="608"/>
      <c r="O107" s="610"/>
    </row>
    <row r="108" ht="13.5" customHeight="1">
      <c r="A108" s="602">
        <v>99.0</v>
      </c>
      <c r="B108" s="605" t="s">
        <v>2039</v>
      </c>
      <c r="C108" s="605" t="s">
        <v>75</v>
      </c>
      <c r="D108" s="606">
        <v>43633.0</v>
      </c>
      <c r="E108" s="664">
        <v>3.1228995E7</v>
      </c>
      <c r="F108" s="664">
        <v>3.1228995E7</v>
      </c>
      <c r="G108" s="608"/>
      <c r="H108" s="608"/>
      <c r="I108" s="608" t="s">
        <v>1968</v>
      </c>
      <c r="J108" s="608"/>
      <c r="K108" s="608"/>
      <c r="L108" s="608"/>
      <c r="M108" s="608"/>
      <c r="N108" s="608"/>
      <c r="O108" s="610"/>
    </row>
    <row r="109" ht="13.5" customHeight="1">
      <c r="A109" s="741">
        <v>100.0</v>
      </c>
      <c r="B109" s="646" t="s">
        <v>2040</v>
      </c>
      <c r="C109" s="646" t="s">
        <v>2041</v>
      </c>
      <c r="D109" s="647">
        <v>43999.0</v>
      </c>
      <c r="E109" s="648">
        <v>3147889.0</v>
      </c>
      <c r="F109" s="648">
        <v>3147889.0</v>
      </c>
      <c r="G109" s="649"/>
      <c r="H109" s="649"/>
      <c r="I109" s="649"/>
      <c r="J109" s="649"/>
      <c r="K109" s="649"/>
      <c r="L109" s="649"/>
      <c r="M109" s="649"/>
      <c r="N109" s="649"/>
      <c r="O109" s="652"/>
    </row>
    <row r="110" ht="13.5" customHeight="1">
      <c r="A110" s="741">
        <v>101.0</v>
      </c>
      <c r="B110" s="646" t="s">
        <v>2042</v>
      </c>
      <c r="C110" s="646" t="s">
        <v>2043</v>
      </c>
      <c r="D110" s="647">
        <v>43663.0</v>
      </c>
      <c r="E110" s="648">
        <v>1.995E7</v>
      </c>
      <c r="F110" s="648">
        <v>1.995E7</v>
      </c>
      <c r="G110" s="649"/>
      <c r="H110" s="649"/>
      <c r="I110" s="649"/>
      <c r="J110" s="649"/>
      <c r="K110" s="649"/>
      <c r="L110" s="649"/>
      <c r="M110" s="649"/>
      <c r="N110" s="649"/>
      <c r="O110" s="652"/>
    </row>
    <row r="111" ht="13.5" customHeight="1">
      <c r="A111" s="741">
        <v>102.0</v>
      </c>
      <c r="B111" s="646" t="s">
        <v>2044</v>
      </c>
      <c r="C111" s="646" t="s">
        <v>2045</v>
      </c>
      <c r="D111" s="647">
        <v>43663.0</v>
      </c>
      <c r="E111" s="648">
        <v>1.0E7</v>
      </c>
      <c r="F111" s="648">
        <v>1.0E7</v>
      </c>
      <c r="G111" s="649"/>
      <c r="H111" s="649"/>
      <c r="I111" s="649"/>
      <c r="J111" s="649"/>
      <c r="K111" s="649"/>
      <c r="L111" s="649"/>
      <c r="M111" s="649"/>
      <c r="N111" s="649"/>
      <c r="O111" s="652"/>
    </row>
    <row r="112" ht="13.5" customHeight="1">
      <c r="A112" s="741">
        <v>103.0</v>
      </c>
      <c r="B112" s="646" t="s">
        <v>2046</v>
      </c>
      <c r="C112" s="646" t="s">
        <v>2045</v>
      </c>
      <c r="D112" s="647">
        <v>43663.0</v>
      </c>
      <c r="E112" s="648">
        <v>1.7848375E8</v>
      </c>
      <c r="F112" s="648">
        <v>1.7848375E8</v>
      </c>
      <c r="G112" s="649"/>
      <c r="H112" s="649"/>
      <c r="I112" s="649"/>
      <c r="J112" s="649"/>
      <c r="K112" s="649"/>
      <c r="L112" s="649"/>
      <c r="M112" s="649"/>
      <c r="N112" s="649"/>
      <c r="O112" s="652"/>
    </row>
    <row r="113" ht="13.5" customHeight="1">
      <c r="A113" s="741">
        <v>104.0</v>
      </c>
      <c r="B113" s="646" t="s">
        <v>2047</v>
      </c>
      <c r="C113" s="646" t="s">
        <v>2045</v>
      </c>
      <c r="D113" s="647">
        <v>43663.0</v>
      </c>
      <c r="E113" s="648">
        <v>3.4929E7</v>
      </c>
      <c r="F113" s="648">
        <v>3.4929E7</v>
      </c>
      <c r="G113" s="649"/>
      <c r="H113" s="649"/>
      <c r="I113" s="649"/>
      <c r="J113" s="649"/>
      <c r="K113" s="649"/>
      <c r="L113" s="649"/>
      <c r="M113" s="649"/>
      <c r="N113" s="649"/>
      <c r="O113" s="652"/>
    </row>
    <row r="114" ht="13.5" customHeight="1">
      <c r="A114" s="602">
        <v>105.0</v>
      </c>
      <c r="B114" s="605" t="s">
        <v>2048</v>
      </c>
      <c r="C114" s="605" t="s">
        <v>1901</v>
      </c>
      <c r="D114" s="606">
        <v>44287.0</v>
      </c>
      <c r="E114" s="607">
        <v>688000.0</v>
      </c>
      <c r="F114" s="607">
        <v>688000.0</v>
      </c>
      <c r="G114" s="608"/>
      <c r="H114" s="608"/>
      <c r="I114" s="608" t="s">
        <v>8</v>
      </c>
      <c r="J114" s="608"/>
      <c r="K114" s="608"/>
      <c r="L114" s="608"/>
      <c r="M114" s="608"/>
      <c r="N114" s="608"/>
      <c r="O114" s="610"/>
    </row>
    <row r="115" ht="13.5" customHeight="1">
      <c r="A115" s="602">
        <v>106.0</v>
      </c>
      <c r="B115" s="605" t="s">
        <v>2049</v>
      </c>
      <c r="C115" s="605" t="s">
        <v>272</v>
      </c>
      <c r="D115" s="606">
        <v>44384.0</v>
      </c>
      <c r="E115" s="664">
        <v>3218000.0</v>
      </c>
      <c r="F115" s="664">
        <v>3218000.0</v>
      </c>
      <c r="G115" s="608" t="s">
        <v>1902</v>
      </c>
      <c r="H115" s="608" t="s">
        <v>81</v>
      </c>
      <c r="I115" s="608" t="s">
        <v>1968</v>
      </c>
      <c r="J115" s="608"/>
      <c r="K115" s="608"/>
      <c r="L115" s="608"/>
      <c r="M115" s="608"/>
      <c r="N115" s="401" t="s">
        <v>52</v>
      </c>
      <c r="O115" s="610"/>
    </row>
    <row r="116" ht="13.5" customHeight="1">
      <c r="A116" s="602">
        <v>107.0</v>
      </c>
      <c r="B116" s="605" t="s">
        <v>2050</v>
      </c>
      <c r="C116" s="605" t="s">
        <v>275</v>
      </c>
      <c r="D116" s="606">
        <v>44510.0</v>
      </c>
      <c r="E116" s="607">
        <v>1.0239E7</v>
      </c>
      <c r="F116" s="607">
        <v>1.0239E7</v>
      </c>
      <c r="G116" s="608"/>
      <c r="H116" s="608"/>
      <c r="I116" s="608" t="s">
        <v>8</v>
      </c>
      <c r="J116" s="608" t="s">
        <v>121</v>
      </c>
      <c r="K116" s="608"/>
      <c r="L116" s="608"/>
      <c r="M116" s="608"/>
      <c r="N116" s="401" t="s">
        <v>52</v>
      </c>
      <c r="O116" s="610"/>
    </row>
    <row r="117" ht="13.5" customHeight="1">
      <c r="A117" s="602">
        <v>108.0</v>
      </c>
      <c r="B117" s="605" t="s">
        <v>2051</v>
      </c>
      <c r="C117" s="605" t="s">
        <v>278</v>
      </c>
      <c r="D117" s="606">
        <v>44652.0</v>
      </c>
      <c r="E117" s="607">
        <v>2325000.0</v>
      </c>
      <c r="F117" s="607">
        <v>2325000.0</v>
      </c>
      <c r="G117" s="608"/>
      <c r="H117" s="608"/>
      <c r="I117" s="608" t="s">
        <v>1968</v>
      </c>
      <c r="J117" s="608" t="s">
        <v>279</v>
      </c>
      <c r="K117" s="608"/>
      <c r="L117" s="608"/>
      <c r="M117" s="608"/>
      <c r="N117" s="608"/>
      <c r="O117" s="610"/>
    </row>
    <row r="118" ht="13.5" customHeight="1">
      <c r="A118" s="602">
        <v>109.0</v>
      </c>
      <c r="B118" s="605" t="s">
        <v>1685</v>
      </c>
      <c r="C118" s="605" t="s">
        <v>281</v>
      </c>
      <c r="D118" s="606">
        <v>44774.0</v>
      </c>
      <c r="E118" s="607">
        <v>1.31E7</v>
      </c>
      <c r="F118" s="607">
        <v>1.31E7</v>
      </c>
      <c r="G118" s="608"/>
      <c r="H118" s="608"/>
      <c r="I118" s="608" t="s">
        <v>8</v>
      </c>
      <c r="J118" s="608" t="s">
        <v>84</v>
      </c>
      <c r="K118" s="608"/>
      <c r="L118" s="608"/>
      <c r="M118" s="608"/>
      <c r="N118" s="608"/>
      <c r="O118" s="610"/>
    </row>
    <row r="119" ht="13.5" customHeight="1">
      <c r="A119" s="602">
        <v>110.0</v>
      </c>
      <c r="B119" s="608" t="s">
        <v>2052</v>
      </c>
      <c r="C119" s="608" t="s">
        <v>1903</v>
      </c>
      <c r="D119" s="606">
        <v>44985.0</v>
      </c>
      <c r="E119" s="684"/>
      <c r="F119" s="684">
        <v>1285100.0</v>
      </c>
      <c r="G119" s="608"/>
      <c r="H119" s="608"/>
      <c r="I119" s="608"/>
      <c r="J119" s="608"/>
      <c r="K119" s="608"/>
      <c r="L119" s="608"/>
      <c r="M119" s="608"/>
      <c r="N119" s="608"/>
      <c r="O119" s="610"/>
    </row>
    <row r="120" ht="13.5" customHeight="1">
      <c r="A120" s="602">
        <v>111.0</v>
      </c>
      <c r="B120" s="605" t="s">
        <v>2053</v>
      </c>
      <c r="C120" s="605" t="s">
        <v>286</v>
      </c>
      <c r="D120" s="606">
        <v>44774.0</v>
      </c>
      <c r="E120" s="607">
        <v>6799000.0</v>
      </c>
      <c r="F120" s="607">
        <v>6799000.0</v>
      </c>
      <c r="G120" s="608" t="s">
        <v>198</v>
      </c>
      <c r="H120" s="608" t="s">
        <v>158</v>
      </c>
      <c r="I120" s="608" t="s">
        <v>8</v>
      </c>
      <c r="J120" s="608" t="s">
        <v>121</v>
      </c>
      <c r="K120" s="608"/>
      <c r="L120" s="608"/>
      <c r="M120" s="608"/>
      <c r="N120" s="401" t="s">
        <v>52</v>
      </c>
      <c r="O120" s="610"/>
    </row>
    <row r="121" ht="13.5" customHeight="1">
      <c r="A121" s="602">
        <v>114.0</v>
      </c>
      <c r="B121" s="605" t="s">
        <v>2054</v>
      </c>
      <c r="C121" s="605" t="s">
        <v>295</v>
      </c>
      <c r="D121" s="606">
        <v>44809.0</v>
      </c>
      <c r="E121" s="607">
        <v>3603604.0</v>
      </c>
      <c r="F121" s="607">
        <v>3603604.0</v>
      </c>
      <c r="G121" s="608" t="s">
        <v>1904</v>
      </c>
      <c r="H121" s="608" t="s">
        <v>81</v>
      </c>
      <c r="I121" s="608" t="s">
        <v>8</v>
      </c>
      <c r="J121" s="608" t="s">
        <v>121</v>
      </c>
      <c r="K121" s="608"/>
      <c r="L121" s="608"/>
      <c r="M121" s="608"/>
      <c r="N121" s="401" t="s">
        <v>52</v>
      </c>
      <c r="O121" s="610"/>
    </row>
    <row r="122" ht="13.5" customHeight="1">
      <c r="A122" s="602">
        <v>115.0</v>
      </c>
      <c r="B122" s="605" t="s">
        <v>1095</v>
      </c>
      <c r="C122" s="605" t="s">
        <v>298</v>
      </c>
      <c r="D122" s="606">
        <v>44809.0</v>
      </c>
      <c r="E122" s="607">
        <v>5200000.0</v>
      </c>
      <c r="F122" s="607">
        <v>5200000.0</v>
      </c>
      <c r="G122" s="608" t="s">
        <v>2055</v>
      </c>
      <c r="H122" s="608" t="s">
        <v>81</v>
      </c>
      <c r="I122" s="608" t="s">
        <v>1968</v>
      </c>
      <c r="J122" s="608" t="s">
        <v>121</v>
      </c>
      <c r="K122" s="608"/>
      <c r="L122" s="608"/>
      <c r="M122" s="608"/>
      <c r="N122" s="608"/>
      <c r="O122" s="610"/>
    </row>
    <row r="123" ht="13.5" customHeight="1">
      <c r="A123" s="602">
        <v>116.0</v>
      </c>
      <c r="B123" s="605" t="s">
        <v>2056</v>
      </c>
      <c r="C123" s="605" t="s">
        <v>302</v>
      </c>
      <c r="D123" s="606">
        <v>44819.0</v>
      </c>
      <c r="E123" s="607">
        <v>1530631.0</v>
      </c>
      <c r="F123" s="607">
        <v>1530631.0</v>
      </c>
      <c r="G123" s="608"/>
      <c r="H123" s="608"/>
      <c r="I123" s="608"/>
      <c r="J123" s="608" t="s">
        <v>303</v>
      </c>
      <c r="K123" s="608"/>
      <c r="L123" s="608"/>
      <c r="M123" s="608"/>
      <c r="N123" s="608"/>
      <c r="O123" s="610"/>
    </row>
    <row r="124" ht="13.5" customHeight="1">
      <c r="A124" s="602">
        <v>117.0</v>
      </c>
      <c r="B124" s="605" t="s">
        <v>2057</v>
      </c>
      <c r="C124" s="605" t="s">
        <v>305</v>
      </c>
      <c r="D124" s="606">
        <v>44819.0</v>
      </c>
      <c r="E124" s="607">
        <v>2771667.0</v>
      </c>
      <c r="F124" s="607">
        <v>2771667.0</v>
      </c>
      <c r="G124" s="608"/>
      <c r="H124" s="608"/>
      <c r="I124" s="608"/>
      <c r="J124" s="608" t="s">
        <v>303</v>
      </c>
      <c r="K124" s="608"/>
      <c r="L124" s="608"/>
      <c r="M124" s="608"/>
      <c r="N124" s="608"/>
      <c r="O124" s="610"/>
    </row>
    <row r="125" ht="13.5" customHeight="1">
      <c r="A125" s="602">
        <v>112.0</v>
      </c>
      <c r="B125" s="605" t="s">
        <v>1661</v>
      </c>
      <c r="C125" s="605" t="s">
        <v>289</v>
      </c>
      <c r="D125" s="606">
        <v>44805.0</v>
      </c>
      <c r="E125" s="607">
        <v>1.42551944E8</v>
      </c>
      <c r="F125" s="607">
        <v>1.42551944E8</v>
      </c>
      <c r="G125" s="608"/>
      <c r="H125" s="608"/>
      <c r="I125" s="608" t="s">
        <v>8</v>
      </c>
      <c r="J125" s="608" t="s">
        <v>290</v>
      </c>
      <c r="K125" s="608"/>
      <c r="L125" s="608"/>
      <c r="M125" s="608"/>
      <c r="N125" s="401" t="s">
        <v>52</v>
      </c>
      <c r="O125" s="610"/>
    </row>
    <row r="126" ht="13.5" customHeight="1">
      <c r="A126" s="602">
        <v>113.0</v>
      </c>
      <c r="B126" s="605" t="s">
        <v>2058</v>
      </c>
      <c r="C126" s="605" t="s">
        <v>292</v>
      </c>
      <c r="D126" s="606">
        <v>44805.0</v>
      </c>
      <c r="E126" s="607">
        <v>2.7369055E8</v>
      </c>
      <c r="F126" s="607">
        <v>2.7369055E8</v>
      </c>
      <c r="G126" s="608"/>
      <c r="H126" s="608"/>
      <c r="I126" s="608" t="s">
        <v>8</v>
      </c>
      <c r="J126" s="608" t="s">
        <v>293</v>
      </c>
      <c r="K126" s="608"/>
      <c r="L126" s="608"/>
      <c r="M126" s="608"/>
      <c r="N126" s="401" t="s">
        <v>52</v>
      </c>
      <c r="O126" s="610"/>
    </row>
    <row r="127" ht="13.5" customHeight="1">
      <c r="A127" s="602">
        <v>118.0</v>
      </c>
      <c r="B127" s="605" t="s">
        <v>2059</v>
      </c>
      <c r="C127" s="605" t="s">
        <v>307</v>
      </c>
      <c r="D127" s="606">
        <v>44866.0</v>
      </c>
      <c r="E127" s="607">
        <v>2930575.0</v>
      </c>
      <c r="F127" s="607">
        <v>2930575.0</v>
      </c>
      <c r="G127" s="608"/>
      <c r="H127" s="608"/>
      <c r="I127" s="608"/>
      <c r="J127" s="608" t="s">
        <v>308</v>
      </c>
      <c r="K127" s="608"/>
      <c r="L127" s="608"/>
      <c r="M127" s="608"/>
      <c r="N127" s="608"/>
      <c r="O127" s="610"/>
    </row>
    <row r="128" ht="13.5" customHeight="1">
      <c r="A128" s="602">
        <v>119.0</v>
      </c>
      <c r="B128" s="605" t="s">
        <v>2060</v>
      </c>
      <c r="C128" s="605" t="s">
        <v>307</v>
      </c>
      <c r="D128" s="606">
        <v>44866.0</v>
      </c>
      <c r="E128" s="607">
        <v>2930575.0</v>
      </c>
      <c r="F128" s="607">
        <v>2930575.0</v>
      </c>
      <c r="G128" s="608"/>
      <c r="H128" s="608"/>
      <c r="I128" s="608"/>
      <c r="J128" s="608" t="s">
        <v>308</v>
      </c>
      <c r="K128" s="608"/>
      <c r="L128" s="608"/>
      <c r="M128" s="608"/>
      <c r="N128" s="608"/>
      <c r="O128" s="610"/>
    </row>
    <row r="129" ht="13.5" customHeight="1">
      <c r="A129" s="602">
        <v>120.0</v>
      </c>
      <c r="B129" s="605" t="s">
        <v>2061</v>
      </c>
      <c r="C129" s="605" t="s">
        <v>307</v>
      </c>
      <c r="D129" s="606">
        <v>44866.0</v>
      </c>
      <c r="E129" s="607">
        <v>2930575.0</v>
      </c>
      <c r="F129" s="607">
        <v>2930575.0</v>
      </c>
      <c r="G129" s="608"/>
      <c r="H129" s="608"/>
      <c r="I129" s="608" t="s">
        <v>1968</v>
      </c>
      <c r="J129" s="608" t="s">
        <v>308</v>
      </c>
      <c r="K129" s="608"/>
      <c r="L129" s="608"/>
      <c r="M129" s="608"/>
      <c r="N129" s="608"/>
      <c r="O129" s="610"/>
    </row>
    <row r="130" ht="13.5" customHeight="1">
      <c r="A130" s="602">
        <v>121.0</v>
      </c>
      <c r="B130" s="605" t="s">
        <v>2062</v>
      </c>
      <c r="C130" s="605" t="s">
        <v>307</v>
      </c>
      <c r="D130" s="606">
        <v>44866.0</v>
      </c>
      <c r="E130" s="607">
        <v>2930575.0</v>
      </c>
      <c r="F130" s="607">
        <v>2930575.0</v>
      </c>
      <c r="G130" s="608"/>
      <c r="H130" s="608"/>
      <c r="I130" s="608" t="s">
        <v>1968</v>
      </c>
      <c r="J130" s="608" t="s">
        <v>308</v>
      </c>
      <c r="K130" s="608"/>
      <c r="L130" s="608"/>
      <c r="M130" s="608"/>
      <c r="N130" s="608"/>
      <c r="O130" s="610"/>
    </row>
    <row r="131" ht="13.5" customHeight="1">
      <c r="A131" s="602">
        <v>122.0</v>
      </c>
      <c r="B131" s="605" t="s">
        <v>2063</v>
      </c>
      <c r="C131" s="605" t="s">
        <v>126</v>
      </c>
      <c r="D131" s="606">
        <v>44896.0</v>
      </c>
      <c r="E131" s="607">
        <v>1719600.0</v>
      </c>
      <c r="F131" s="607">
        <v>1719600.0</v>
      </c>
      <c r="G131" s="608"/>
      <c r="H131" s="608"/>
      <c r="I131" s="608"/>
      <c r="J131" s="608" t="s">
        <v>127</v>
      </c>
      <c r="K131" s="608"/>
      <c r="L131" s="608"/>
      <c r="M131" s="608"/>
      <c r="N131" s="608"/>
      <c r="O131" s="610"/>
    </row>
    <row r="132" ht="13.5" customHeight="1">
      <c r="A132" s="602">
        <v>123.0</v>
      </c>
      <c r="B132" s="605" t="s">
        <v>2064</v>
      </c>
      <c r="C132" s="605" t="s">
        <v>316</v>
      </c>
      <c r="D132" s="606">
        <v>44896.0</v>
      </c>
      <c r="E132" s="607">
        <v>2338400.0</v>
      </c>
      <c r="F132" s="607">
        <v>2338400.0</v>
      </c>
      <c r="G132" s="608"/>
      <c r="H132" s="608"/>
      <c r="I132" s="608" t="s">
        <v>8</v>
      </c>
      <c r="J132" s="608"/>
      <c r="K132" s="608"/>
      <c r="L132" s="608"/>
      <c r="M132" s="608"/>
      <c r="N132" s="401"/>
      <c r="O132" s="610"/>
    </row>
    <row r="133" ht="13.5" customHeight="1">
      <c r="A133" s="602">
        <v>128.0</v>
      </c>
      <c r="B133" s="608" t="s">
        <v>2065</v>
      </c>
      <c r="C133" s="608" t="s">
        <v>318</v>
      </c>
      <c r="D133" s="606">
        <v>44939.0</v>
      </c>
      <c r="E133" s="684">
        <v>8199000.0</v>
      </c>
      <c r="F133" s="684">
        <v>8199000.0</v>
      </c>
      <c r="G133" s="608"/>
      <c r="H133" s="608"/>
      <c r="I133" s="608" t="s">
        <v>1968</v>
      </c>
      <c r="J133" s="608" t="s">
        <v>141</v>
      </c>
      <c r="K133" s="608"/>
      <c r="L133" s="608"/>
      <c r="M133" s="608"/>
      <c r="N133" s="608"/>
      <c r="O133" s="610"/>
    </row>
    <row r="134" ht="13.5" customHeight="1">
      <c r="A134" s="602">
        <v>129.0</v>
      </c>
      <c r="B134" s="608" t="s">
        <v>2066</v>
      </c>
      <c r="C134" s="608" t="s">
        <v>318</v>
      </c>
      <c r="D134" s="606">
        <v>44939.0</v>
      </c>
      <c r="E134" s="684">
        <v>8199000.0</v>
      </c>
      <c r="F134" s="684">
        <v>8199000.0</v>
      </c>
      <c r="G134" s="608"/>
      <c r="H134" s="608"/>
      <c r="I134" s="608" t="s">
        <v>1968</v>
      </c>
      <c r="J134" s="608" t="s">
        <v>141</v>
      </c>
      <c r="K134" s="608"/>
      <c r="L134" s="608"/>
      <c r="M134" s="608"/>
      <c r="N134" s="608"/>
      <c r="O134" s="610"/>
    </row>
    <row r="135" ht="13.5" customHeight="1">
      <c r="A135" s="611">
        <v>130.0</v>
      </c>
      <c r="B135" s="618" t="s">
        <v>2067</v>
      </c>
      <c r="C135" s="618" t="s">
        <v>321</v>
      </c>
      <c r="D135" s="606">
        <v>44945.0</v>
      </c>
      <c r="E135" s="617">
        <v>839900.0</v>
      </c>
      <c r="F135" s="617"/>
      <c r="G135" s="618"/>
      <c r="H135" s="618"/>
      <c r="I135" s="618" t="s">
        <v>1968</v>
      </c>
      <c r="J135" s="618" t="s">
        <v>324</v>
      </c>
      <c r="K135" s="618"/>
      <c r="L135" s="618"/>
      <c r="M135" s="618"/>
      <c r="N135" s="618" t="s">
        <v>10</v>
      </c>
      <c r="O135" s="621"/>
    </row>
    <row r="136" ht="13.5" customHeight="1">
      <c r="A136" s="602">
        <v>131.0</v>
      </c>
      <c r="B136" s="608" t="s">
        <v>2068</v>
      </c>
      <c r="C136" s="608" t="s">
        <v>327</v>
      </c>
      <c r="D136" s="606">
        <v>44945.0</v>
      </c>
      <c r="E136" s="684">
        <v>490991.0</v>
      </c>
      <c r="F136" s="684">
        <v>490991.0</v>
      </c>
      <c r="G136" s="608"/>
      <c r="H136" s="608"/>
      <c r="I136" s="608" t="s">
        <v>1968</v>
      </c>
      <c r="J136" s="608" t="s">
        <v>328</v>
      </c>
      <c r="K136" s="608"/>
      <c r="L136" s="608"/>
      <c r="M136" s="608"/>
      <c r="N136" s="608"/>
      <c r="O136" s="610"/>
    </row>
    <row r="137" ht="13.5" customHeight="1">
      <c r="A137" s="602">
        <v>132.0</v>
      </c>
      <c r="B137" s="608" t="s">
        <v>2069</v>
      </c>
      <c r="C137" s="608" t="s">
        <v>327</v>
      </c>
      <c r="D137" s="606">
        <v>44945.0</v>
      </c>
      <c r="E137" s="684">
        <v>490991.0</v>
      </c>
      <c r="F137" s="684">
        <v>490991.0</v>
      </c>
      <c r="G137" s="608"/>
      <c r="H137" s="608"/>
      <c r="I137" s="608" t="s">
        <v>1968</v>
      </c>
      <c r="J137" s="608" t="s">
        <v>328</v>
      </c>
      <c r="K137" s="608"/>
      <c r="L137" s="608"/>
      <c r="M137" s="608"/>
      <c r="N137" s="608"/>
      <c r="O137" s="610"/>
    </row>
    <row r="138" ht="13.5" customHeight="1">
      <c r="A138" s="602">
        <v>133.0</v>
      </c>
      <c r="B138" s="608" t="s">
        <v>2070</v>
      </c>
      <c r="C138" s="608" t="s">
        <v>327</v>
      </c>
      <c r="D138" s="606">
        <v>44945.0</v>
      </c>
      <c r="E138" s="684">
        <v>490991.0</v>
      </c>
      <c r="F138" s="684">
        <v>490991.0</v>
      </c>
      <c r="G138" s="608"/>
      <c r="H138" s="608"/>
      <c r="I138" s="608" t="s">
        <v>1968</v>
      </c>
      <c r="J138" s="608" t="s">
        <v>328</v>
      </c>
      <c r="K138" s="608"/>
      <c r="L138" s="608"/>
      <c r="M138" s="608"/>
      <c r="N138" s="608"/>
      <c r="O138" s="610"/>
    </row>
    <row r="139" ht="13.5" customHeight="1">
      <c r="A139" s="602">
        <v>134.0</v>
      </c>
      <c r="B139" s="608" t="s">
        <v>2071</v>
      </c>
      <c r="C139" s="608" t="s">
        <v>327</v>
      </c>
      <c r="D139" s="606">
        <v>44945.0</v>
      </c>
      <c r="E139" s="684">
        <v>490991.0</v>
      </c>
      <c r="F139" s="684">
        <v>490991.0</v>
      </c>
      <c r="G139" s="608"/>
      <c r="H139" s="608"/>
      <c r="I139" s="608" t="s">
        <v>1968</v>
      </c>
      <c r="J139" s="608" t="s">
        <v>328</v>
      </c>
      <c r="K139" s="608"/>
      <c r="L139" s="608"/>
      <c r="M139" s="608"/>
      <c r="N139" s="608"/>
      <c r="O139" s="610"/>
    </row>
    <row r="140" ht="13.5" customHeight="1">
      <c r="A140" s="602">
        <v>135.0</v>
      </c>
      <c r="B140" s="608" t="s">
        <v>2072</v>
      </c>
      <c r="C140" s="608" t="s">
        <v>333</v>
      </c>
      <c r="D140" s="606">
        <v>44945.0</v>
      </c>
      <c r="E140" s="684">
        <v>490991.0</v>
      </c>
      <c r="F140" s="684">
        <v>490991.0</v>
      </c>
      <c r="G140" s="608"/>
      <c r="H140" s="608"/>
      <c r="I140" s="608" t="s">
        <v>1968</v>
      </c>
      <c r="J140" s="608" t="s">
        <v>334</v>
      </c>
      <c r="K140" s="608"/>
      <c r="L140" s="608"/>
      <c r="M140" s="608"/>
      <c r="N140" s="608"/>
      <c r="O140" s="610"/>
    </row>
    <row r="141" ht="13.5" customHeight="1">
      <c r="A141" s="602">
        <v>136.0</v>
      </c>
      <c r="B141" s="608" t="s">
        <v>2073</v>
      </c>
      <c r="C141" s="608" t="s">
        <v>333</v>
      </c>
      <c r="D141" s="606">
        <v>44945.0</v>
      </c>
      <c r="E141" s="684">
        <v>490991.0</v>
      </c>
      <c r="F141" s="684">
        <v>490991.0</v>
      </c>
      <c r="G141" s="608"/>
      <c r="H141" s="608"/>
      <c r="I141" s="608" t="s">
        <v>1968</v>
      </c>
      <c r="J141" s="608" t="s">
        <v>334</v>
      </c>
      <c r="K141" s="608"/>
      <c r="L141" s="608"/>
      <c r="M141" s="608"/>
      <c r="N141" s="608"/>
      <c r="O141" s="610"/>
    </row>
    <row r="142" ht="13.5" customHeight="1">
      <c r="A142" s="602">
        <v>137.0</v>
      </c>
      <c r="B142" s="608" t="s">
        <v>2074</v>
      </c>
      <c r="C142" s="608" t="s">
        <v>333</v>
      </c>
      <c r="D142" s="606">
        <v>44945.0</v>
      </c>
      <c r="E142" s="684">
        <v>490991.0</v>
      </c>
      <c r="F142" s="684">
        <v>490991.0</v>
      </c>
      <c r="G142" s="608"/>
      <c r="H142" s="608"/>
      <c r="I142" s="608" t="s">
        <v>1968</v>
      </c>
      <c r="J142" s="608" t="s">
        <v>334</v>
      </c>
      <c r="K142" s="608"/>
      <c r="L142" s="608"/>
      <c r="M142" s="608"/>
      <c r="N142" s="608"/>
      <c r="O142" s="610"/>
    </row>
    <row r="143" ht="13.5" customHeight="1">
      <c r="A143" s="602">
        <v>138.0</v>
      </c>
      <c r="B143" s="608" t="s">
        <v>2075</v>
      </c>
      <c r="C143" s="608" t="s">
        <v>333</v>
      </c>
      <c r="D143" s="606">
        <v>44945.0</v>
      </c>
      <c r="E143" s="684">
        <v>490991.0</v>
      </c>
      <c r="F143" s="684">
        <v>490991.0</v>
      </c>
      <c r="G143" s="608"/>
      <c r="H143" s="608"/>
      <c r="I143" s="608" t="s">
        <v>1968</v>
      </c>
      <c r="J143" s="608" t="s">
        <v>334</v>
      </c>
      <c r="K143" s="608"/>
      <c r="L143" s="608"/>
      <c r="M143" s="608"/>
      <c r="N143" s="608"/>
      <c r="O143" s="610"/>
    </row>
    <row r="144" ht="13.5" customHeight="1">
      <c r="A144" s="602">
        <v>139.0</v>
      </c>
      <c r="B144" s="608" t="s">
        <v>2076</v>
      </c>
      <c r="C144" s="608" t="s">
        <v>341</v>
      </c>
      <c r="D144" s="606">
        <v>44945.0</v>
      </c>
      <c r="E144" s="684">
        <v>1689189.0</v>
      </c>
      <c r="F144" s="684">
        <v>1689189.0</v>
      </c>
      <c r="G144" s="608"/>
      <c r="H144" s="608"/>
      <c r="I144" s="608" t="s">
        <v>1968</v>
      </c>
      <c r="J144" s="608"/>
      <c r="K144" s="608"/>
      <c r="L144" s="608"/>
      <c r="M144" s="608"/>
      <c r="N144" s="608"/>
      <c r="O144" s="610"/>
    </row>
    <row r="145" ht="13.5" customHeight="1">
      <c r="A145" s="602">
        <v>140.0</v>
      </c>
      <c r="B145" s="608" t="s">
        <v>2077</v>
      </c>
      <c r="C145" s="608" t="s">
        <v>221</v>
      </c>
      <c r="D145" s="606">
        <v>44945.0</v>
      </c>
      <c r="E145" s="684">
        <v>979000.0</v>
      </c>
      <c r="F145" s="684">
        <v>979000.0</v>
      </c>
      <c r="G145" s="608"/>
      <c r="H145" s="608"/>
      <c r="I145" s="608" t="s">
        <v>1968</v>
      </c>
      <c r="J145" s="608" t="s">
        <v>344</v>
      </c>
      <c r="K145" s="608"/>
      <c r="L145" s="608"/>
      <c r="M145" s="608"/>
      <c r="N145" s="608"/>
      <c r="O145" s="610"/>
    </row>
    <row r="146" ht="13.5" customHeight="1">
      <c r="A146" s="602">
        <v>141.0</v>
      </c>
      <c r="B146" s="608" t="s">
        <v>1129</v>
      </c>
      <c r="C146" s="608" t="s">
        <v>346</v>
      </c>
      <c r="D146" s="595">
        <v>44940.0</v>
      </c>
      <c r="E146" s="684">
        <v>1.0990991E7</v>
      </c>
      <c r="F146" s="684">
        <v>1.0990991E7</v>
      </c>
      <c r="G146" s="608" t="s">
        <v>166</v>
      </c>
      <c r="H146" s="608" t="s">
        <v>95</v>
      </c>
      <c r="I146" s="608" t="s">
        <v>8</v>
      </c>
      <c r="J146" s="608" t="s">
        <v>121</v>
      </c>
      <c r="K146" s="608"/>
      <c r="L146" s="608"/>
      <c r="M146" s="608"/>
      <c r="N146" s="401" t="s">
        <v>52</v>
      </c>
      <c r="O146" s="610"/>
    </row>
    <row r="147" ht="13.5" customHeight="1">
      <c r="A147" s="602">
        <v>142.0</v>
      </c>
      <c r="B147" s="608" t="s">
        <v>2078</v>
      </c>
      <c r="C147" s="608" t="s">
        <v>348</v>
      </c>
      <c r="D147" s="595">
        <v>44942.0</v>
      </c>
      <c r="E147" s="684">
        <v>4200000.0</v>
      </c>
      <c r="F147" s="684">
        <v>4200000.0</v>
      </c>
      <c r="G147" s="608" t="s">
        <v>2079</v>
      </c>
      <c r="H147" s="608" t="s">
        <v>158</v>
      </c>
      <c r="I147" s="608" t="s">
        <v>8</v>
      </c>
      <c r="J147" s="608" t="s">
        <v>121</v>
      </c>
      <c r="K147" s="608"/>
      <c r="L147" s="608"/>
      <c r="M147" s="608"/>
      <c r="N147" s="608"/>
      <c r="O147" s="610"/>
    </row>
    <row r="148" ht="13.5" customHeight="1">
      <c r="A148" s="602">
        <v>143.0</v>
      </c>
      <c r="B148" s="608" t="s">
        <v>2080</v>
      </c>
      <c r="C148" s="608" t="s">
        <v>351</v>
      </c>
      <c r="D148" s="606">
        <v>44942.0</v>
      </c>
      <c r="E148" s="684">
        <v>4200000.0</v>
      </c>
      <c r="F148" s="684">
        <v>4200000.0</v>
      </c>
      <c r="G148" s="608"/>
      <c r="H148" s="608"/>
      <c r="I148" s="608"/>
      <c r="J148" s="608" t="s">
        <v>121</v>
      </c>
      <c r="K148" s="608"/>
      <c r="L148" s="608"/>
      <c r="M148" s="608"/>
      <c r="N148" s="608"/>
      <c r="O148" s="610"/>
    </row>
    <row r="149" ht="13.5" customHeight="1">
      <c r="A149" s="602">
        <v>144.0</v>
      </c>
      <c r="B149" s="608" t="s">
        <v>2081</v>
      </c>
      <c r="C149" s="608" t="s">
        <v>351</v>
      </c>
      <c r="D149" s="595">
        <v>44942.0</v>
      </c>
      <c r="E149" s="684">
        <v>4200000.0</v>
      </c>
      <c r="F149" s="684">
        <v>4200000.0</v>
      </c>
      <c r="G149" s="608" t="s">
        <v>2082</v>
      </c>
      <c r="H149" s="608" t="s">
        <v>81</v>
      </c>
      <c r="I149" s="608" t="s">
        <v>1968</v>
      </c>
      <c r="J149" s="608" t="s">
        <v>121</v>
      </c>
      <c r="K149" s="608"/>
      <c r="L149" s="608"/>
      <c r="M149" s="608"/>
      <c r="N149" s="401" t="s">
        <v>52</v>
      </c>
      <c r="O149" s="610"/>
    </row>
    <row r="150" ht="13.5" customHeight="1">
      <c r="A150" s="602">
        <v>145.0</v>
      </c>
      <c r="B150" s="608" t="s">
        <v>2083</v>
      </c>
      <c r="C150" s="608" t="s">
        <v>356</v>
      </c>
      <c r="D150" s="615">
        <v>44942.0</v>
      </c>
      <c r="E150" s="684">
        <v>5500000.0</v>
      </c>
      <c r="F150" s="684">
        <v>5500000.0</v>
      </c>
      <c r="G150" s="608" t="s">
        <v>1908</v>
      </c>
      <c r="H150" s="608" t="s">
        <v>1898</v>
      </c>
      <c r="I150" s="608" t="s">
        <v>8</v>
      </c>
      <c r="J150" s="608" t="s">
        <v>43</v>
      </c>
      <c r="K150" s="608"/>
      <c r="L150" s="608"/>
      <c r="M150" s="608"/>
      <c r="N150" s="401" t="s">
        <v>52</v>
      </c>
      <c r="O150" s="610"/>
    </row>
    <row r="151" ht="13.5" customHeight="1">
      <c r="A151" s="602">
        <v>146.0</v>
      </c>
      <c r="B151" s="608" t="s">
        <v>2084</v>
      </c>
      <c r="C151" s="608" t="s">
        <v>359</v>
      </c>
      <c r="D151" s="606">
        <v>44954.0</v>
      </c>
      <c r="E151" s="684">
        <v>5450000.0</v>
      </c>
      <c r="F151" s="684">
        <v>5450000.0</v>
      </c>
      <c r="G151" s="608"/>
      <c r="H151" s="608" t="s">
        <v>158</v>
      </c>
      <c r="I151" s="608" t="s">
        <v>8</v>
      </c>
      <c r="J151" s="608" t="s">
        <v>43</v>
      </c>
      <c r="K151" s="608"/>
      <c r="L151" s="608"/>
      <c r="M151" s="608"/>
      <c r="N151" s="608"/>
      <c r="O151" s="610"/>
    </row>
    <row r="152" ht="13.5" customHeight="1">
      <c r="A152" s="602">
        <v>147.0</v>
      </c>
      <c r="B152" s="608" t="s">
        <v>2085</v>
      </c>
      <c r="C152" s="608" t="s">
        <v>351</v>
      </c>
      <c r="D152" s="615">
        <v>44954.0</v>
      </c>
      <c r="E152" s="684">
        <v>3950000.0</v>
      </c>
      <c r="F152" s="684">
        <v>3950000.0</v>
      </c>
      <c r="G152" s="608"/>
      <c r="H152" s="608"/>
      <c r="I152" s="608"/>
      <c r="J152" s="608" t="s">
        <v>121</v>
      </c>
      <c r="K152" s="608"/>
      <c r="L152" s="608"/>
      <c r="M152" s="608"/>
      <c r="N152" s="608"/>
      <c r="O152" s="610"/>
    </row>
    <row r="153" ht="13.5" customHeight="1">
      <c r="A153" s="602">
        <v>148.0</v>
      </c>
      <c r="B153" s="608" t="s">
        <v>2086</v>
      </c>
      <c r="C153" s="608" t="s">
        <v>1910</v>
      </c>
      <c r="D153" s="615">
        <v>44954.0</v>
      </c>
      <c r="E153" s="684">
        <v>783020.0</v>
      </c>
      <c r="F153" s="684">
        <v>783020.0</v>
      </c>
      <c r="G153" s="608"/>
      <c r="H153" s="608"/>
      <c r="I153" s="608"/>
      <c r="J153" s="608" t="s">
        <v>155</v>
      </c>
      <c r="K153" s="608"/>
      <c r="L153" s="608"/>
      <c r="M153" s="608"/>
      <c r="N153" s="608"/>
      <c r="O153" s="610"/>
    </row>
    <row r="154" ht="13.5" customHeight="1">
      <c r="A154" s="602">
        <v>149.0</v>
      </c>
      <c r="B154" s="608" t="s">
        <v>2087</v>
      </c>
      <c r="C154" s="608" t="s">
        <v>1910</v>
      </c>
      <c r="D154" s="595">
        <v>44954.0</v>
      </c>
      <c r="E154" s="684">
        <v>783020.0</v>
      </c>
      <c r="F154" s="684">
        <v>783020.0</v>
      </c>
      <c r="G154" s="608"/>
      <c r="H154" s="608"/>
      <c r="I154" s="608"/>
      <c r="J154" s="608" t="s">
        <v>155</v>
      </c>
      <c r="K154" s="608"/>
      <c r="L154" s="608"/>
      <c r="M154" s="608"/>
      <c r="N154" s="608"/>
      <c r="O154" s="610"/>
    </row>
    <row r="155" ht="13.5" customHeight="1">
      <c r="A155" s="602">
        <v>150.0</v>
      </c>
      <c r="B155" s="608" t="s">
        <v>2088</v>
      </c>
      <c r="C155" s="608" t="s">
        <v>1910</v>
      </c>
      <c r="D155" s="595">
        <v>44954.0</v>
      </c>
      <c r="E155" s="684">
        <v>783020.0</v>
      </c>
      <c r="F155" s="684">
        <v>783020.0</v>
      </c>
      <c r="G155" s="608"/>
      <c r="H155" s="608"/>
      <c r="I155" s="608"/>
      <c r="J155" s="608" t="s">
        <v>155</v>
      </c>
      <c r="K155" s="608"/>
      <c r="L155" s="608"/>
      <c r="M155" s="608"/>
      <c r="N155" s="608"/>
      <c r="O155" s="610"/>
    </row>
    <row r="156" ht="13.5" customHeight="1">
      <c r="A156" s="602">
        <v>151.0</v>
      </c>
      <c r="B156" s="608" t="s">
        <v>2089</v>
      </c>
      <c r="C156" s="608" t="s">
        <v>1913</v>
      </c>
      <c r="D156" s="606">
        <v>44954.0</v>
      </c>
      <c r="E156" s="684">
        <v>980000.0</v>
      </c>
      <c r="F156" s="684">
        <v>980000.0</v>
      </c>
      <c r="G156" s="608"/>
      <c r="H156" s="608"/>
      <c r="I156" s="608"/>
      <c r="J156" s="608" t="s">
        <v>155</v>
      </c>
      <c r="K156" s="608"/>
      <c r="L156" s="608"/>
      <c r="M156" s="608"/>
      <c r="N156" s="608"/>
      <c r="O156" s="610"/>
    </row>
    <row r="157" ht="13.5" customHeight="1">
      <c r="A157" s="602">
        <v>152.0</v>
      </c>
      <c r="B157" s="608" t="s">
        <v>2090</v>
      </c>
      <c r="C157" s="608" t="s">
        <v>366</v>
      </c>
      <c r="D157" s="595">
        <v>44959.0</v>
      </c>
      <c r="E157" s="684">
        <v>3037000.0</v>
      </c>
      <c r="F157" s="684">
        <v>3037000.0</v>
      </c>
      <c r="G157" s="608" t="s">
        <v>2091</v>
      </c>
      <c r="H157" s="608" t="s">
        <v>1890</v>
      </c>
      <c r="I157" s="608" t="s">
        <v>8</v>
      </c>
      <c r="J157" s="608" t="s">
        <v>367</v>
      </c>
      <c r="K157" s="608"/>
      <c r="L157" s="608"/>
      <c r="M157" s="608"/>
      <c r="N157" s="608"/>
      <c r="O157" s="610"/>
    </row>
    <row r="158" ht="13.5" customHeight="1">
      <c r="A158" s="602">
        <v>153.0</v>
      </c>
      <c r="B158" s="608" t="s">
        <v>2092</v>
      </c>
      <c r="C158" s="608" t="s">
        <v>369</v>
      </c>
      <c r="D158" s="595">
        <v>44959.0</v>
      </c>
      <c r="E158" s="684">
        <v>604600.0</v>
      </c>
      <c r="F158" s="684">
        <v>604600.0</v>
      </c>
      <c r="G158" s="608" t="s">
        <v>2091</v>
      </c>
      <c r="H158" s="608" t="s">
        <v>1890</v>
      </c>
      <c r="I158" s="608" t="s">
        <v>8</v>
      </c>
      <c r="J158" s="608" t="s">
        <v>270</v>
      </c>
      <c r="K158" s="608"/>
      <c r="L158" s="608"/>
      <c r="M158" s="608"/>
      <c r="N158" s="608"/>
      <c r="O158" s="610"/>
    </row>
    <row r="159" ht="13.5" customHeight="1">
      <c r="A159" s="602">
        <v>154.0</v>
      </c>
      <c r="B159" s="608" t="s">
        <v>1078</v>
      </c>
      <c r="C159" s="608" t="s">
        <v>2093</v>
      </c>
      <c r="D159" s="595">
        <v>44959.0</v>
      </c>
      <c r="E159" s="684">
        <v>1.33379E7</v>
      </c>
      <c r="F159" s="684">
        <v>1.33379E7</v>
      </c>
      <c r="G159" s="608" t="s">
        <v>2091</v>
      </c>
      <c r="H159" s="608" t="s">
        <v>1890</v>
      </c>
      <c r="I159" s="608" t="s">
        <v>8</v>
      </c>
      <c r="J159" s="608" t="s">
        <v>117</v>
      </c>
      <c r="K159" s="608"/>
      <c r="L159" s="608"/>
      <c r="M159" s="608"/>
      <c r="N159" s="608"/>
      <c r="O159" s="610"/>
    </row>
    <row r="160" ht="13.5" customHeight="1">
      <c r="A160" s="602">
        <v>155.0</v>
      </c>
      <c r="B160" s="608" t="s">
        <v>1096</v>
      </c>
      <c r="C160" s="608" t="s">
        <v>374</v>
      </c>
      <c r="D160" s="606">
        <v>44959.0</v>
      </c>
      <c r="E160" s="684">
        <v>3438700.0</v>
      </c>
      <c r="F160" s="684">
        <v>3438700.0</v>
      </c>
      <c r="G160" s="608" t="s">
        <v>2091</v>
      </c>
      <c r="H160" s="608" t="s">
        <v>1890</v>
      </c>
      <c r="I160" s="608" t="s">
        <v>8</v>
      </c>
      <c r="J160" s="608" t="s">
        <v>117</v>
      </c>
      <c r="K160" s="608"/>
      <c r="L160" s="608"/>
      <c r="M160" s="608"/>
      <c r="N160" s="608"/>
      <c r="O160" s="610"/>
    </row>
    <row r="161" ht="13.5" customHeight="1">
      <c r="A161" s="602">
        <v>156.0</v>
      </c>
      <c r="B161" s="608" t="s">
        <v>2094</v>
      </c>
      <c r="C161" s="608" t="s">
        <v>376</v>
      </c>
      <c r="D161" s="595">
        <v>44963.0</v>
      </c>
      <c r="E161" s="684">
        <v>725000.0</v>
      </c>
      <c r="F161" s="684">
        <v>725000.0</v>
      </c>
      <c r="G161" s="608"/>
      <c r="H161" s="608"/>
      <c r="I161" s="608" t="s">
        <v>1968</v>
      </c>
      <c r="J161" s="608" t="s">
        <v>377</v>
      </c>
      <c r="K161" s="608"/>
      <c r="L161" s="608"/>
      <c r="M161" s="608"/>
      <c r="N161" s="608"/>
      <c r="O161" s="610"/>
    </row>
    <row r="162" ht="13.5" customHeight="1">
      <c r="A162" s="602">
        <v>157.0</v>
      </c>
      <c r="B162" s="608" t="s">
        <v>2095</v>
      </c>
      <c r="C162" s="608" t="s">
        <v>79</v>
      </c>
      <c r="D162" s="595">
        <v>44966.0</v>
      </c>
      <c r="E162" s="684">
        <v>854955.0</v>
      </c>
      <c r="F162" s="684">
        <v>854955.0</v>
      </c>
      <c r="G162" s="608"/>
      <c r="H162" s="608"/>
      <c r="I162" s="608"/>
      <c r="J162" s="608" t="s">
        <v>155</v>
      </c>
      <c r="K162" s="608"/>
      <c r="L162" s="608"/>
      <c r="M162" s="608"/>
      <c r="N162" s="608"/>
      <c r="O162" s="610"/>
    </row>
    <row r="163" ht="13.5" customHeight="1">
      <c r="A163" s="602">
        <v>158.0</v>
      </c>
      <c r="B163" s="608" t="s">
        <v>2096</v>
      </c>
      <c r="C163" s="608" t="s">
        <v>79</v>
      </c>
      <c r="D163" s="606">
        <v>44966.0</v>
      </c>
      <c r="E163" s="684">
        <v>854955.0</v>
      </c>
      <c r="F163" s="684">
        <v>854955.0</v>
      </c>
      <c r="G163" s="608"/>
      <c r="H163" s="608"/>
      <c r="I163" s="608"/>
      <c r="J163" s="608" t="s">
        <v>155</v>
      </c>
      <c r="K163" s="608"/>
      <c r="L163" s="608"/>
      <c r="M163" s="608"/>
      <c r="N163" s="608"/>
      <c r="O163" s="610"/>
    </row>
    <row r="164" ht="13.5" customHeight="1">
      <c r="A164" s="602">
        <v>159.0</v>
      </c>
      <c r="B164" s="608" t="s">
        <v>2097</v>
      </c>
      <c r="C164" s="608" t="s">
        <v>381</v>
      </c>
      <c r="D164" s="606">
        <v>44966.0</v>
      </c>
      <c r="E164" s="684">
        <v>494595.0</v>
      </c>
      <c r="F164" s="684">
        <v>494595.0</v>
      </c>
      <c r="G164" s="608"/>
      <c r="H164" s="608"/>
      <c r="I164" s="608"/>
      <c r="J164" s="608" t="s">
        <v>155</v>
      </c>
      <c r="K164" s="608"/>
      <c r="L164" s="608"/>
      <c r="M164" s="608"/>
      <c r="N164" s="608"/>
      <c r="O164" s="610"/>
    </row>
    <row r="165" ht="13.5" customHeight="1">
      <c r="A165" s="602">
        <v>160.0</v>
      </c>
      <c r="B165" s="608" t="s">
        <v>2098</v>
      </c>
      <c r="C165" s="608" t="s">
        <v>381</v>
      </c>
      <c r="D165" s="595">
        <v>44966.0</v>
      </c>
      <c r="E165" s="684">
        <v>494595.0</v>
      </c>
      <c r="F165" s="684">
        <v>494595.0</v>
      </c>
      <c r="G165" s="608"/>
      <c r="H165" s="608"/>
      <c r="I165" s="608"/>
      <c r="J165" s="608" t="s">
        <v>155</v>
      </c>
      <c r="K165" s="608"/>
      <c r="L165" s="608"/>
      <c r="M165" s="608"/>
      <c r="N165" s="608"/>
      <c r="O165" s="610"/>
    </row>
    <row r="166" ht="13.5" customHeight="1">
      <c r="A166" s="602">
        <v>161.0</v>
      </c>
      <c r="B166" s="608" t="s">
        <v>2099</v>
      </c>
      <c r="C166" s="608" t="s">
        <v>384</v>
      </c>
      <c r="D166" s="606">
        <v>44966.0</v>
      </c>
      <c r="E166" s="684">
        <v>494595.0</v>
      </c>
      <c r="F166" s="684">
        <v>494595.0</v>
      </c>
      <c r="G166" s="608"/>
      <c r="H166" s="608"/>
      <c r="I166" s="608" t="s">
        <v>1968</v>
      </c>
      <c r="J166" s="608" t="s">
        <v>155</v>
      </c>
      <c r="K166" s="608"/>
      <c r="L166" s="608"/>
      <c r="M166" s="608"/>
      <c r="N166" s="608"/>
      <c r="O166" s="610"/>
    </row>
    <row r="167" ht="13.5" customHeight="1">
      <c r="A167" s="602">
        <v>162.0</v>
      </c>
      <c r="B167" s="608" t="s">
        <v>2100</v>
      </c>
      <c r="C167" s="608" t="s">
        <v>384</v>
      </c>
      <c r="D167" s="606">
        <v>44966.0</v>
      </c>
      <c r="E167" s="684">
        <v>494595.0</v>
      </c>
      <c r="F167" s="684">
        <v>494595.0</v>
      </c>
      <c r="G167" s="608"/>
      <c r="H167" s="608"/>
      <c r="I167" s="608" t="s">
        <v>1968</v>
      </c>
      <c r="J167" s="608" t="s">
        <v>155</v>
      </c>
      <c r="K167" s="608"/>
      <c r="L167" s="608"/>
      <c r="M167" s="608"/>
      <c r="N167" s="608"/>
      <c r="O167" s="610"/>
    </row>
    <row r="168" ht="13.5" customHeight="1">
      <c r="A168" s="602">
        <v>163.0</v>
      </c>
      <c r="B168" s="608" t="s">
        <v>1680</v>
      </c>
      <c r="C168" s="608" t="s">
        <v>1917</v>
      </c>
      <c r="D168" s="595">
        <v>44972.0</v>
      </c>
      <c r="E168" s="684">
        <v>8807102.0</v>
      </c>
      <c r="F168" s="684">
        <v>8807102.0</v>
      </c>
      <c r="G168" s="608"/>
      <c r="H168" s="608"/>
      <c r="I168" s="608"/>
      <c r="J168" s="608" t="s">
        <v>121</v>
      </c>
      <c r="K168" s="608"/>
      <c r="L168" s="608"/>
      <c r="M168" s="608"/>
      <c r="N168" s="608"/>
      <c r="O168" s="610"/>
    </row>
    <row r="169" ht="13.5" customHeight="1">
      <c r="A169" s="602">
        <v>164.0</v>
      </c>
      <c r="B169" s="608" t="s">
        <v>2101</v>
      </c>
      <c r="C169" s="608" t="s">
        <v>391</v>
      </c>
      <c r="D169" s="595">
        <v>44973.0</v>
      </c>
      <c r="E169" s="684">
        <v>8647748.0</v>
      </c>
      <c r="F169" s="684">
        <v>8647748.0</v>
      </c>
      <c r="G169" s="608" t="s">
        <v>392</v>
      </c>
      <c r="H169" s="608" t="s">
        <v>170</v>
      </c>
      <c r="I169" s="608" t="s">
        <v>1968</v>
      </c>
      <c r="J169" s="608" t="s">
        <v>121</v>
      </c>
      <c r="K169" s="608"/>
      <c r="L169" s="608"/>
      <c r="M169" s="608"/>
      <c r="N169" s="401" t="s">
        <v>52</v>
      </c>
      <c r="O169" s="610"/>
    </row>
    <row r="170" ht="13.5" customHeight="1">
      <c r="A170" s="602">
        <v>165.0</v>
      </c>
      <c r="B170" s="608" t="s">
        <v>2102</v>
      </c>
      <c r="C170" s="608" t="s">
        <v>391</v>
      </c>
      <c r="D170" s="595">
        <v>44973.0</v>
      </c>
      <c r="E170" s="684">
        <v>8647748.0</v>
      </c>
      <c r="F170" s="684">
        <v>8647748.0</v>
      </c>
      <c r="G170" s="608" t="s">
        <v>2103</v>
      </c>
      <c r="H170" s="608" t="s">
        <v>622</v>
      </c>
      <c r="I170" s="608" t="s">
        <v>1968</v>
      </c>
      <c r="J170" s="608" t="s">
        <v>121</v>
      </c>
      <c r="K170" s="608"/>
      <c r="L170" s="608"/>
      <c r="M170" s="608"/>
      <c r="N170" s="401" t="s">
        <v>52</v>
      </c>
      <c r="O170" s="610"/>
    </row>
    <row r="171" ht="13.5" customHeight="1">
      <c r="A171" s="602">
        <v>166.0</v>
      </c>
      <c r="B171" s="608" t="s">
        <v>2104</v>
      </c>
      <c r="C171" s="608" t="s">
        <v>395</v>
      </c>
      <c r="D171" s="606">
        <v>44978.0</v>
      </c>
      <c r="E171" s="684">
        <v>4670500.0</v>
      </c>
      <c r="F171" s="684">
        <v>4670500.0</v>
      </c>
      <c r="G171" s="608"/>
      <c r="H171" s="608"/>
      <c r="I171" s="608" t="s">
        <v>1968</v>
      </c>
      <c r="J171" s="608" t="s">
        <v>324</v>
      </c>
      <c r="K171" s="608"/>
      <c r="L171" s="608"/>
      <c r="M171" s="608"/>
      <c r="N171" s="608"/>
      <c r="O171" s="610"/>
    </row>
    <row r="172" ht="13.5" customHeight="1">
      <c r="A172" s="602">
        <v>167.0</v>
      </c>
      <c r="B172" s="608" t="s">
        <v>2105</v>
      </c>
      <c r="C172" s="608" t="s">
        <v>397</v>
      </c>
      <c r="D172" s="606">
        <v>44977.0</v>
      </c>
      <c r="E172" s="684">
        <v>782000.0</v>
      </c>
      <c r="F172" s="684">
        <v>782000.0</v>
      </c>
      <c r="G172" s="608"/>
      <c r="H172" s="608"/>
      <c r="I172" s="608" t="s">
        <v>8</v>
      </c>
      <c r="J172" s="608" t="s">
        <v>398</v>
      </c>
      <c r="K172" s="608"/>
      <c r="L172" s="608"/>
      <c r="M172" s="608"/>
      <c r="N172" s="608"/>
      <c r="O172" s="610"/>
    </row>
    <row r="173" ht="13.5" customHeight="1">
      <c r="A173" s="602">
        <v>168.0</v>
      </c>
      <c r="B173" s="608" t="s">
        <v>2106</v>
      </c>
      <c r="C173" s="608" t="s">
        <v>400</v>
      </c>
      <c r="D173" s="606">
        <v>44977.0</v>
      </c>
      <c r="E173" s="684">
        <v>887250.0</v>
      </c>
      <c r="F173" s="684">
        <v>887250.0</v>
      </c>
      <c r="G173" s="608"/>
      <c r="H173" s="608"/>
      <c r="I173" s="608" t="s">
        <v>1968</v>
      </c>
      <c r="J173" s="608" t="s">
        <v>401</v>
      </c>
      <c r="K173" s="608"/>
      <c r="L173" s="608"/>
      <c r="M173" s="608"/>
      <c r="N173" s="608"/>
      <c r="O173" s="610"/>
    </row>
    <row r="174" ht="13.5" customHeight="1">
      <c r="A174" s="602">
        <v>169.0</v>
      </c>
      <c r="B174" s="608" t="s">
        <v>2107</v>
      </c>
      <c r="C174" s="608" t="s">
        <v>400</v>
      </c>
      <c r="D174" s="606">
        <v>44977.0</v>
      </c>
      <c r="E174" s="684">
        <v>887250.0</v>
      </c>
      <c r="F174" s="684">
        <v>887250.0</v>
      </c>
      <c r="G174" s="608"/>
      <c r="H174" s="608"/>
      <c r="I174" s="608" t="s">
        <v>1968</v>
      </c>
      <c r="J174" s="608" t="s">
        <v>401</v>
      </c>
      <c r="K174" s="608"/>
      <c r="L174" s="608"/>
      <c r="M174" s="608"/>
      <c r="N174" s="608"/>
      <c r="O174" s="610"/>
    </row>
    <row r="175" ht="13.5" customHeight="1">
      <c r="A175" s="602">
        <v>170.0</v>
      </c>
      <c r="B175" s="608" t="s">
        <v>2108</v>
      </c>
      <c r="C175" s="608" t="s">
        <v>400</v>
      </c>
      <c r="D175" s="595">
        <v>44977.0</v>
      </c>
      <c r="E175" s="684">
        <v>887250.0</v>
      </c>
      <c r="F175" s="684">
        <v>887250.0</v>
      </c>
      <c r="G175" s="608"/>
      <c r="H175" s="608"/>
      <c r="I175" s="608" t="s">
        <v>1968</v>
      </c>
      <c r="J175" s="608" t="s">
        <v>401</v>
      </c>
      <c r="K175" s="608"/>
      <c r="L175" s="608"/>
      <c r="M175" s="608"/>
      <c r="N175" s="608"/>
      <c r="O175" s="610"/>
    </row>
    <row r="176" ht="13.5" customHeight="1">
      <c r="A176" s="602">
        <v>171.0</v>
      </c>
      <c r="B176" s="608" t="s">
        <v>2109</v>
      </c>
      <c r="C176" s="608" t="s">
        <v>400</v>
      </c>
      <c r="D176" s="606">
        <v>44977.0</v>
      </c>
      <c r="E176" s="684">
        <v>887250.0</v>
      </c>
      <c r="F176" s="684">
        <v>887250.0</v>
      </c>
      <c r="G176" s="608"/>
      <c r="H176" s="608"/>
      <c r="I176" s="608" t="s">
        <v>1968</v>
      </c>
      <c r="J176" s="608" t="s">
        <v>401</v>
      </c>
      <c r="K176" s="608"/>
      <c r="L176" s="608"/>
      <c r="M176" s="608"/>
      <c r="N176" s="608"/>
      <c r="O176" s="610"/>
    </row>
    <row r="177" ht="13.5" customHeight="1">
      <c r="A177" s="602">
        <v>172.0</v>
      </c>
      <c r="B177" s="608" t="s">
        <v>2110</v>
      </c>
      <c r="C177" s="608" t="s">
        <v>400</v>
      </c>
      <c r="D177" s="595">
        <v>44977.0</v>
      </c>
      <c r="E177" s="684">
        <v>887250.0</v>
      </c>
      <c r="F177" s="684">
        <v>887250.0</v>
      </c>
      <c r="G177" s="608"/>
      <c r="H177" s="608"/>
      <c r="I177" s="608" t="s">
        <v>1968</v>
      </c>
      <c r="J177" s="608" t="s">
        <v>401</v>
      </c>
      <c r="K177" s="608"/>
      <c r="L177" s="608"/>
      <c r="M177" s="608"/>
      <c r="N177" s="608"/>
      <c r="O177" s="610"/>
    </row>
    <row r="178" ht="13.5" customHeight="1">
      <c r="A178" s="602">
        <v>173.0</v>
      </c>
      <c r="B178" s="608" t="s">
        <v>2111</v>
      </c>
      <c r="C178" s="608" t="s">
        <v>400</v>
      </c>
      <c r="D178" s="595">
        <v>44977.0</v>
      </c>
      <c r="E178" s="684">
        <v>887250.0</v>
      </c>
      <c r="F178" s="684">
        <v>887250.0</v>
      </c>
      <c r="G178" s="608"/>
      <c r="H178" s="608"/>
      <c r="I178" s="608" t="s">
        <v>1968</v>
      </c>
      <c r="J178" s="608" t="s">
        <v>401</v>
      </c>
      <c r="K178" s="608"/>
      <c r="L178" s="608"/>
      <c r="M178" s="608"/>
      <c r="N178" s="608"/>
      <c r="O178" s="610"/>
    </row>
    <row r="179" ht="13.5" customHeight="1">
      <c r="A179" s="602">
        <v>174.0</v>
      </c>
      <c r="B179" s="608" t="s">
        <v>2112</v>
      </c>
      <c r="C179" s="608" t="s">
        <v>400</v>
      </c>
      <c r="D179" s="606">
        <v>44977.0</v>
      </c>
      <c r="E179" s="684">
        <v>887250.0</v>
      </c>
      <c r="F179" s="684">
        <v>887250.0</v>
      </c>
      <c r="G179" s="608"/>
      <c r="H179" s="608"/>
      <c r="I179" s="608" t="s">
        <v>1968</v>
      </c>
      <c r="J179" s="608" t="s">
        <v>401</v>
      </c>
      <c r="K179" s="608"/>
      <c r="L179" s="608"/>
      <c r="M179" s="608"/>
      <c r="N179" s="608"/>
      <c r="O179" s="610"/>
    </row>
    <row r="180" ht="13.5" customHeight="1">
      <c r="A180" s="602">
        <v>175.0</v>
      </c>
      <c r="B180" s="608" t="s">
        <v>2113</v>
      </c>
      <c r="C180" s="608" t="s">
        <v>400</v>
      </c>
      <c r="D180" s="606">
        <v>44977.0</v>
      </c>
      <c r="E180" s="684">
        <v>887250.0</v>
      </c>
      <c r="F180" s="684">
        <v>887250.0</v>
      </c>
      <c r="G180" s="608"/>
      <c r="H180" s="608"/>
      <c r="I180" s="608" t="s">
        <v>1968</v>
      </c>
      <c r="J180" s="608" t="s">
        <v>401</v>
      </c>
      <c r="K180" s="608"/>
      <c r="L180" s="608"/>
      <c r="M180" s="608"/>
      <c r="N180" s="608"/>
      <c r="O180" s="610"/>
    </row>
    <row r="181" ht="13.5" customHeight="1">
      <c r="A181" s="602">
        <v>176.0</v>
      </c>
      <c r="B181" s="608" t="s">
        <v>2114</v>
      </c>
      <c r="C181" s="608" t="s">
        <v>400</v>
      </c>
      <c r="D181" s="606">
        <v>44977.0</v>
      </c>
      <c r="E181" s="684">
        <v>887250.0</v>
      </c>
      <c r="F181" s="684">
        <v>887250.0</v>
      </c>
      <c r="G181" s="608"/>
      <c r="H181" s="608"/>
      <c r="I181" s="608" t="s">
        <v>1968</v>
      </c>
      <c r="J181" s="608" t="s">
        <v>401</v>
      </c>
      <c r="K181" s="608"/>
      <c r="L181" s="608"/>
      <c r="M181" s="608"/>
      <c r="N181" s="608"/>
      <c r="O181" s="610"/>
    </row>
    <row r="182" ht="13.5" customHeight="1">
      <c r="A182" s="602">
        <v>177.0</v>
      </c>
      <c r="B182" s="608" t="s">
        <v>2115</v>
      </c>
      <c r="C182" s="608" t="s">
        <v>400</v>
      </c>
      <c r="D182" s="606">
        <v>44977.0</v>
      </c>
      <c r="E182" s="684">
        <v>887250.0</v>
      </c>
      <c r="F182" s="684">
        <v>887250.0</v>
      </c>
      <c r="G182" s="608"/>
      <c r="H182" s="608"/>
      <c r="I182" s="608" t="s">
        <v>1968</v>
      </c>
      <c r="J182" s="608" t="s">
        <v>401</v>
      </c>
      <c r="K182" s="608"/>
      <c r="L182" s="608"/>
      <c r="M182" s="608"/>
      <c r="N182" s="608"/>
      <c r="O182" s="610"/>
    </row>
    <row r="183" ht="13.5" customHeight="1">
      <c r="A183" s="602">
        <v>178.0</v>
      </c>
      <c r="B183" s="608" t="s">
        <v>2116</v>
      </c>
      <c r="C183" s="608" t="s">
        <v>400</v>
      </c>
      <c r="D183" s="606">
        <v>44977.0</v>
      </c>
      <c r="E183" s="684">
        <v>887250.0</v>
      </c>
      <c r="F183" s="684">
        <v>887250.0</v>
      </c>
      <c r="G183" s="608"/>
      <c r="H183" s="608"/>
      <c r="I183" s="608" t="s">
        <v>1968</v>
      </c>
      <c r="J183" s="608" t="s">
        <v>401</v>
      </c>
      <c r="K183" s="608"/>
      <c r="L183" s="608"/>
      <c r="M183" s="608"/>
      <c r="N183" s="608"/>
      <c r="O183" s="610"/>
    </row>
    <row r="184" ht="13.5" customHeight="1">
      <c r="A184" s="602">
        <v>179.0</v>
      </c>
      <c r="B184" s="608" t="s">
        <v>2117</v>
      </c>
      <c r="C184" s="608" t="s">
        <v>400</v>
      </c>
      <c r="D184" s="657">
        <v>44977.0</v>
      </c>
      <c r="E184" s="684">
        <v>887250.0</v>
      </c>
      <c r="F184" s="684">
        <v>887250.0</v>
      </c>
      <c r="G184" s="608"/>
      <c r="H184" s="608"/>
      <c r="I184" s="608" t="s">
        <v>1968</v>
      </c>
      <c r="J184" s="608" t="s">
        <v>401</v>
      </c>
      <c r="K184" s="608"/>
      <c r="L184" s="608"/>
      <c r="M184" s="608"/>
      <c r="N184" s="608"/>
      <c r="O184" s="610"/>
    </row>
    <row r="185" ht="13.5" customHeight="1">
      <c r="A185" s="602">
        <v>180.0</v>
      </c>
      <c r="B185" s="608" t="s">
        <v>2118</v>
      </c>
      <c r="C185" s="608" t="s">
        <v>400</v>
      </c>
      <c r="D185" s="606">
        <v>44977.0</v>
      </c>
      <c r="E185" s="684">
        <v>887250.0</v>
      </c>
      <c r="F185" s="684">
        <v>887250.0</v>
      </c>
      <c r="G185" s="608"/>
      <c r="H185" s="608"/>
      <c r="I185" s="608" t="s">
        <v>1968</v>
      </c>
      <c r="J185" s="608" t="s">
        <v>401</v>
      </c>
      <c r="K185" s="608"/>
      <c r="L185" s="608"/>
      <c r="M185" s="608"/>
      <c r="N185" s="608"/>
      <c r="O185" s="610"/>
    </row>
    <row r="186" ht="13.5" customHeight="1">
      <c r="A186" s="602">
        <v>181.0</v>
      </c>
      <c r="B186" s="608" t="s">
        <v>2119</v>
      </c>
      <c r="C186" s="608" t="s">
        <v>400</v>
      </c>
      <c r="D186" s="691">
        <v>44977.0</v>
      </c>
      <c r="E186" s="684">
        <v>887250.0</v>
      </c>
      <c r="F186" s="684">
        <v>887250.0</v>
      </c>
      <c r="G186" s="608"/>
      <c r="H186" s="608"/>
      <c r="I186" s="608" t="s">
        <v>1968</v>
      </c>
      <c r="J186" s="608" t="s">
        <v>401</v>
      </c>
      <c r="K186" s="608"/>
      <c r="L186" s="608"/>
      <c r="M186" s="608"/>
      <c r="N186" s="608"/>
      <c r="O186" s="610"/>
    </row>
    <row r="187" ht="13.5" customHeight="1">
      <c r="A187" s="602">
        <v>182.0</v>
      </c>
      <c r="B187" s="608" t="s">
        <v>2120</v>
      </c>
      <c r="C187" s="608" t="s">
        <v>400</v>
      </c>
      <c r="D187" s="606">
        <v>44977.0</v>
      </c>
      <c r="E187" s="684">
        <v>887250.0</v>
      </c>
      <c r="F187" s="684">
        <v>887250.0</v>
      </c>
      <c r="G187" s="608"/>
      <c r="H187" s="608"/>
      <c r="I187" s="608" t="s">
        <v>1968</v>
      </c>
      <c r="J187" s="608" t="s">
        <v>401</v>
      </c>
      <c r="K187" s="608"/>
      <c r="L187" s="608"/>
      <c r="M187" s="608"/>
      <c r="N187" s="608"/>
      <c r="O187" s="610"/>
    </row>
    <row r="188" ht="13.5" customHeight="1">
      <c r="A188" s="602">
        <v>183.0</v>
      </c>
      <c r="B188" s="608" t="s">
        <v>2121</v>
      </c>
      <c r="C188" s="608" t="s">
        <v>400</v>
      </c>
      <c r="D188" s="606">
        <v>44977.0</v>
      </c>
      <c r="E188" s="684">
        <v>887250.0</v>
      </c>
      <c r="F188" s="684">
        <v>887250.0</v>
      </c>
      <c r="G188" s="608"/>
      <c r="H188" s="608"/>
      <c r="I188" s="608" t="s">
        <v>1968</v>
      </c>
      <c r="J188" s="608" t="s">
        <v>401</v>
      </c>
      <c r="K188" s="608"/>
      <c r="L188" s="608"/>
      <c r="M188" s="608"/>
      <c r="N188" s="608"/>
      <c r="O188" s="610"/>
    </row>
    <row r="189" ht="13.5" customHeight="1">
      <c r="A189" s="602">
        <v>184.0</v>
      </c>
      <c r="B189" s="608" t="s">
        <v>2122</v>
      </c>
      <c r="C189" s="608" t="s">
        <v>418</v>
      </c>
      <c r="D189" s="606">
        <v>44977.0</v>
      </c>
      <c r="E189" s="684">
        <v>1199000.0</v>
      </c>
      <c r="F189" s="684">
        <v>1199000.0</v>
      </c>
      <c r="G189" s="608"/>
      <c r="H189" s="608"/>
      <c r="I189" s="608" t="s">
        <v>1968</v>
      </c>
      <c r="J189" s="608" t="s">
        <v>419</v>
      </c>
      <c r="K189" s="608"/>
      <c r="L189" s="608"/>
      <c r="M189" s="608"/>
      <c r="N189" s="608"/>
      <c r="O189" s="610"/>
    </row>
    <row r="190" ht="13.5" customHeight="1">
      <c r="A190" s="602">
        <v>185.0</v>
      </c>
      <c r="B190" s="608" t="s">
        <v>2123</v>
      </c>
      <c r="C190" s="608" t="s">
        <v>421</v>
      </c>
      <c r="D190" s="606">
        <v>44978.0</v>
      </c>
      <c r="E190" s="684">
        <v>4500000.0</v>
      </c>
      <c r="F190" s="684">
        <v>4500000.0</v>
      </c>
      <c r="G190" s="608"/>
      <c r="H190" s="608"/>
      <c r="I190" s="608" t="s">
        <v>1968</v>
      </c>
      <c r="J190" s="608" t="s">
        <v>279</v>
      </c>
      <c r="K190" s="608"/>
      <c r="L190" s="608"/>
      <c r="M190" s="608"/>
      <c r="N190" s="608"/>
      <c r="O190" s="610"/>
    </row>
    <row r="191" ht="13.5" customHeight="1">
      <c r="A191" s="602">
        <v>186.0</v>
      </c>
      <c r="B191" s="608" t="s">
        <v>2124</v>
      </c>
      <c r="C191" s="608" t="s">
        <v>424</v>
      </c>
      <c r="D191" s="606">
        <v>44978.0</v>
      </c>
      <c r="E191" s="684">
        <v>1.1261261E7</v>
      </c>
      <c r="F191" s="684">
        <v>1.1261261E7</v>
      </c>
      <c r="G191" s="608" t="s">
        <v>425</v>
      </c>
      <c r="H191" s="608" t="s">
        <v>108</v>
      </c>
      <c r="I191" s="608" t="s">
        <v>8</v>
      </c>
      <c r="J191" s="608" t="s">
        <v>121</v>
      </c>
      <c r="K191" s="608"/>
      <c r="L191" s="608"/>
      <c r="M191" s="608"/>
      <c r="N191" s="401" t="s">
        <v>52</v>
      </c>
      <c r="O191" s="610"/>
    </row>
    <row r="192" ht="13.5" customHeight="1">
      <c r="A192" s="602">
        <v>187.0</v>
      </c>
      <c r="B192" s="608" t="s">
        <v>2125</v>
      </c>
      <c r="C192" s="401" t="s">
        <v>424</v>
      </c>
      <c r="D192" s="606">
        <v>44980.0</v>
      </c>
      <c r="E192" s="684">
        <v>1.1261261E7</v>
      </c>
      <c r="F192" s="684">
        <v>1.1261261E7</v>
      </c>
      <c r="G192" s="608" t="s">
        <v>2126</v>
      </c>
      <c r="H192" s="608" t="s">
        <v>108</v>
      </c>
      <c r="I192" s="608" t="s">
        <v>8</v>
      </c>
      <c r="J192" s="608" t="s">
        <v>121</v>
      </c>
      <c r="K192" s="608"/>
      <c r="L192" s="608"/>
      <c r="M192" s="608"/>
      <c r="N192" s="401" t="s">
        <v>52</v>
      </c>
      <c r="O192" s="610"/>
    </row>
    <row r="193" ht="13.5" customHeight="1">
      <c r="A193" s="602">
        <v>188.0</v>
      </c>
      <c r="B193" s="608" t="s">
        <v>2127</v>
      </c>
      <c r="C193" s="608" t="s">
        <v>429</v>
      </c>
      <c r="D193" s="606">
        <v>44978.0</v>
      </c>
      <c r="E193" s="684">
        <v>3800000.0</v>
      </c>
      <c r="F193" s="684">
        <v>3800000.0</v>
      </c>
      <c r="G193" s="608" t="s">
        <v>138</v>
      </c>
      <c r="H193" s="608" t="s">
        <v>95</v>
      </c>
      <c r="I193" s="608" t="s">
        <v>1968</v>
      </c>
      <c r="J193" s="608"/>
      <c r="K193" s="608"/>
      <c r="L193" s="608"/>
      <c r="M193" s="608"/>
      <c r="N193" s="401" t="s">
        <v>52</v>
      </c>
      <c r="O193" s="610"/>
    </row>
    <row r="194" ht="13.5" customHeight="1">
      <c r="A194" s="602">
        <v>189.0</v>
      </c>
      <c r="B194" s="608" t="s">
        <v>2128</v>
      </c>
      <c r="C194" s="608" t="s">
        <v>431</v>
      </c>
      <c r="D194" s="606">
        <v>44978.0</v>
      </c>
      <c r="E194" s="684">
        <v>1.1936937E7</v>
      </c>
      <c r="F194" s="684">
        <v>1.1936937E7</v>
      </c>
      <c r="G194" s="608" t="s">
        <v>2129</v>
      </c>
      <c r="H194" s="608"/>
      <c r="I194" s="608" t="s">
        <v>1968</v>
      </c>
      <c r="J194" s="608"/>
      <c r="K194" s="608"/>
      <c r="L194" s="608"/>
      <c r="M194" s="608"/>
      <c r="N194" s="401" t="s">
        <v>52</v>
      </c>
      <c r="O194" s="610"/>
    </row>
    <row r="195" ht="13.5" customHeight="1">
      <c r="A195" s="602">
        <v>190.0</v>
      </c>
      <c r="B195" s="608" t="s">
        <v>2130</v>
      </c>
      <c r="C195" s="608" t="s">
        <v>2131</v>
      </c>
      <c r="D195" s="606">
        <v>44980.0</v>
      </c>
      <c r="E195" s="684">
        <v>2.5675676E7</v>
      </c>
      <c r="F195" s="684">
        <v>2.5675676E7</v>
      </c>
      <c r="G195" s="608" t="s">
        <v>1896</v>
      </c>
      <c r="H195" s="608" t="s">
        <v>51</v>
      </c>
      <c r="I195" s="608" t="s">
        <v>8</v>
      </c>
      <c r="J195" s="608"/>
      <c r="K195" s="608"/>
      <c r="L195" s="608"/>
      <c r="M195" s="608"/>
      <c r="N195" s="401" t="s">
        <v>52</v>
      </c>
      <c r="O195" s="610"/>
    </row>
    <row r="196" ht="13.5" customHeight="1">
      <c r="A196" s="602">
        <v>191.0</v>
      </c>
      <c r="B196" s="608" t="s">
        <v>2132</v>
      </c>
      <c r="C196" s="608" t="s">
        <v>436</v>
      </c>
      <c r="D196" s="606">
        <v>44960.0</v>
      </c>
      <c r="E196" s="684">
        <v>5315315.0</v>
      </c>
      <c r="F196" s="684">
        <v>5315315.0</v>
      </c>
      <c r="G196" s="608"/>
      <c r="H196" s="608"/>
      <c r="I196" s="608" t="s">
        <v>8</v>
      </c>
      <c r="J196" s="608" t="s">
        <v>279</v>
      </c>
      <c r="K196" s="608"/>
      <c r="L196" s="608"/>
      <c r="M196" s="608"/>
      <c r="N196" s="401" t="s">
        <v>52</v>
      </c>
      <c r="O196" s="610"/>
    </row>
    <row r="197" ht="13.5" customHeight="1">
      <c r="A197" s="602">
        <v>192.0</v>
      </c>
      <c r="B197" s="608" t="s">
        <v>2133</v>
      </c>
      <c r="C197" s="608" t="s">
        <v>438</v>
      </c>
      <c r="D197" s="606">
        <v>44985.0</v>
      </c>
      <c r="E197" s="684">
        <v>850000.0</v>
      </c>
      <c r="F197" s="684">
        <v>850000.0</v>
      </c>
      <c r="G197" s="608"/>
      <c r="H197" s="608"/>
      <c r="I197" s="608"/>
      <c r="J197" s="608"/>
      <c r="K197" s="608"/>
      <c r="L197" s="608"/>
      <c r="M197" s="608"/>
      <c r="N197" s="608"/>
      <c r="O197" s="610"/>
    </row>
    <row r="198" ht="13.5" customHeight="1">
      <c r="A198" s="602">
        <v>193.0</v>
      </c>
      <c r="B198" s="608" t="s">
        <v>2134</v>
      </c>
      <c r="C198" s="608" t="s">
        <v>2135</v>
      </c>
      <c r="D198" s="606">
        <v>44993.0</v>
      </c>
      <c r="E198" s="684">
        <v>1621622.0</v>
      </c>
      <c r="F198" s="684">
        <v>1621622.0</v>
      </c>
      <c r="G198" s="608"/>
      <c r="H198" s="608"/>
      <c r="I198" s="608"/>
      <c r="J198" s="608"/>
      <c r="K198" s="608"/>
      <c r="L198" s="608"/>
      <c r="M198" s="608"/>
      <c r="N198" s="608"/>
      <c r="O198" s="610"/>
    </row>
    <row r="199" ht="13.5" customHeight="1">
      <c r="A199" s="602">
        <v>194.0</v>
      </c>
      <c r="B199" s="608" t="s">
        <v>2136</v>
      </c>
      <c r="C199" s="608" t="s">
        <v>443</v>
      </c>
      <c r="D199" s="606">
        <v>44993.0</v>
      </c>
      <c r="E199" s="684">
        <v>1.4864872E7</v>
      </c>
      <c r="F199" s="684">
        <v>1.4864872E7</v>
      </c>
      <c r="G199" s="608"/>
      <c r="H199" s="608"/>
      <c r="I199" s="608"/>
      <c r="J199" s="608" t="s">
        <v>121</v>
      </c>
      <c r="K199" s="608"/>
      <c r="L199" s="608"/>
      <c r="M199" s="608"/>
      <c r="N199" s="608"/>
      <c r="O199" s="610"/>
    </row>
    <row r="200" ht="13.5" customHeight="1">
      <c r="A200" s="602">
        <v>195.0</v>
      </c>
      <c r="B200" s="608" t="s">
        <v>2137</v>
      </c>
      <c r="C200" s="608" t="s">
        <v>445</v>
      </c>
      <c r="D200" s="615">
        <v>44993.0</v>
      </c>
      <c r="E200" s="684">
        <v>2.2521622E7</v>
      </c>
      <c r="F200" s="684">
        <v>2.2521622E7</v>
      </c>
      <c r="G200" s="608" t="s">
        <v>207</v>
      </c>
      <c r="H200" s="608" t="s">
        <v>108</v>
      </c>
      <c r="I200" s="608" t="s">
        <v>8</v>
      </c>
      <c r="J200" s="608" t="s">
        <v>446</v>
      </c>
      <c r="K200" s="608"/>
      <c r="L200" s="608"/>
      <c r="M200" s="608"/>
      <c r="N200" s="401" t="s">
        <v>52</v>
      </c>
      <c r="O200" s="610"/>
    </row>
    <row r="201" ht="13.5" customHeight="1">
      <c r="A201" s="602">
        <v>196.0</v>
      </c>
      <c r="B201" s="608" t="s">
        <v>2138</v>
      </c>
      <c r="C201" s="608" t="s">
        <v>448</v>
      </c>
      <c r="D201" s="615">
        <v>44998.0</v>
      </c>
      <c r="E201" s="684">
        <v>5293874.0</v>
      </c>
      <c r="F201" s="684">
        <v>5293874.0</v>
      </c>
      <c r="G201" s="608"/>
      <c r="H201" s="608"/>
      <c r="I201" s="608" t="s">
        <v>1968</v>
      </c>
      <c r="J201" s="608" t="s">
        <v>449</v>
      </c>
      <c r="K201" s="608"/>
      <c r="L201" s="608"/>
      <c r="M201" s="608"/>
      <c r="N201" s="608"/>
      <c r="O201" s="610"/>
    </row>
    <row r="202" ht="13.5" customHeight="1">
      <c r="A202" s="602">
        <v>197.0</v>
      </c>
      <c r="B202" s="608" t="s">
        <v>2139</v>
      </c>
      <c r="C202" s="608" t="s">
        <v>451</v>
      </c>
      <c r="D202" s="615">
        <v>45014.0</v>
      </c>
      <c r="E202" s="684">
        <v>1.2927935E7</v>
      </c>
      <c r="F202" s="684">
        <v>1.2927935E7</v>
      </c>
      <c r="G202" s="608" t="s">
        <v>2140</v>
      </c>
      <c r="H202" s="608" t="s">
        <v>108</v>
      </c>
      <c r="I202" s="608" t="s">
        <v>8</v>
      </c>
      <c r="J202" s="608" t="s">
        <v>121</v>
      </c>
      <c r="K202" s="608"/>
      <c r="L202" s="608"/>
      <c r="M202" s="608"/>
      <c r="N202" s="401" t="s">
        <v>52</v>
      </c>
      <c r="O202" s="610"/>
    </row>
    <row r="203" ht="13.5" customHeight="1">
      <c r="A203" s="602">
        <v>198.0</v>
      </c>
      <c r="B203" s="608" t="s">
        <v>2141</v>
      </c>
      <c r="C203" s="608" t="s">
        <v>453</v>
      </c>
      <c r="D203" s="615">
        <v>44995.0</v>
      </c>
      <c r="E203" s="684">
        <v>2323900.0</v>
      </c>
      <c r="F203" s="684">
        <v>2323900.0</v>
      </c>
      <c r="G203" s="608"/>
      <c r="H203" s="608"/>
      <c r="I203" s="608" t="s">
        <v>1968</v>
      </c>
      <c r="J203" s="608" t="s">
        <v>127</v>
      </c>
      <c r="K203" s="608"/>
      <c r="L203" s="608"/>
      <c r="M203" s="608"/>
      <c r="N203" s="608"/>
      <c r="O203" s="610"/>
    </row>
    <row r="204" ht="13.5" customHeight="1">
      <c r="A204" s="602">
        <v>199.0</v>
      </c>
      <c r="B204" s="608" t="s">
        <v>2142</v>
      </c>
      <c r="C204" s="608" t="s">
        <v>455</v>
      </c>
      <c r="D204" s="606">
        <v>44997.0</v>
      </c>
      <c r="E204" s="684">
        <v>617500.0</v>
      </c>
      <c r="F204" s="684">
        <v>617500.0</v>
      </c>
      <c r="G204" s="608"/>
      <c r="H204" s="608"/>
      <c r="I204" s="608" t="s">
        <v>1968</v>
      </c>
      <c r="J204" s="608" t="s">
        <v>155</v>
      </c>
      <c r="K204" s="608"/>
      <c r="L204" s="608"/>
      <c r="M204" s="608"/>
      <c r="N204" s="608"/>
      <c r="O204" s="610"/>
    </row>
    <row r="205" ht="13.5" customHeight="1">
      <c r="A205" s="602">
        <v>200.0</v>
      </c>
      <c r="B205" s="608" t="s">
        <v>2143</v>
      </c>
      <c r="C205" s="608" t="s">
        <v>455</v>
      </c>
      <c r="D205" s="606">
        <v>44997.0</v>
      </c>
      <c r="E205" s="684">
        <v>617500.0</v>
      </c>
      <c r="F205" s="684">
        <v>617500.0</v>
      </c>
      <c r="G205" s="608"/>
      <c r="H205" s="608"/>
      <c r="I205" s="608" t="s">
        <v>1968</v>
      </c>
      <c r="J205" s="608" t="s">
        <v>155</v>
      </c>
      <c r="K205" s="608"/>
      <c r="L205" s="608"/>
      <c r="M205" s="608"/>
      <c r="N205" s="608"/>
      <c r="O205" s="610"/>
    </row>
    <row r="206" ht="13.5" customHeight="1">
      <c r="A206" s="602">
        <v>201.0</v>
      </c>
      <c r="B206" s="608" t="s">
        <v>2144</v>
      </c>
      <c r="C206" s="608" t="s">
        <v>455</v>
      </c>
      <c r="D206" s="606">
        <v>44997.0</v>
      </c>
      <c r="E206" s="684">
        <v>617500.0</v>
      </c>
      <c r="F206" s="684">
        <v>617500.0</v>
      </c>
      <c r="G206" s="608"/>
      <c r="H206" s="608"/>
      <c r="I206" s="608" t="s">
        <v>1968</v>
      </c>
      <c r="J206" s="608" t="s">
        <v>155</v>
      </c>
      <c r="K206" s="608"/>
      <c r="L206" s="608"/>
      <c r="M206" s="608"/>
      <c r="N206" s="608"/>
      <c r="O206" s="610"/>
    </row>
    <row r="207" ht="13.5" customHeight="1">
      <c r="A207" s="602">
        <v>202.0</v>
      </c>
      <c r="B207" s="608" t="s">
        <v>2145</v>
      </c>
      <c r="C207" s="608" t="s">
        <v>455</v>
      </c>
      <c r="D207" s="606">
        <v>44997.0</v>
      </c>
      <c r="E207" s="684">
        <v>617500.0</v>
      </c>
      <c r="F207" s="684">
        <v>617500.0</v>
      </c>
      <c r="G207" s="608"/>
      <c r="H207" s="608"/>
      <c r="I207" s="608" t="s">
        <v>1968</v>
      </c>
      <c r="J207" s="608" t="s">
        <v>155</v>
      </c>
      <c r="K207" s="608"/>
      <c r="L207" s="608"/>
      <c r="M207" s="608"/>
      <c r="N207" s="608"/>
      <c r="O207" s="610"/>
    </row>
    <row r="208" ht="13.5" customHeight="1">
      <c r="A208" s="602">
        <v>203.0</v>
      </c>
      <c r="B208" s="608" t="s">
        <v>2146</v>
      </c>
      <c r="C208" s="608" t="s">
        <v>461</v>
      </c>
      <c r="D208" s="606">
        <v>44997.0</v>
      </c>
      <c r="E208" s="684">
        <v>617500.0</v>
      </c>
      <c r="F208" s="684">
        <v>617500.0</v>
      </c>
      <c r="G208" s="608"/>
      <c r="H208" s="608"/>
      <c r="I208" s="608" t="s">
        <v>1968</v>
      </c>
      <c r="J208" s="608"/>
      <c r="K208" s="608"/>
      <c r="L208" s="608"/>
      <c r="M208" s="608"/>
      <c r="N208" s="608"/>
      <c r="O208" s="610"/>
    </row>
    <row r="209" ht="13.5" customHeight="1">
      <c r="A209" s="602">
        <v>204.0</v>
      </c>
      <c r="B209" s="608" t="s">
        <v>2147</v>
      </c>
      <c r="C209" s="608" t="s">
        <v>461</v>
      </c>
      <c r="D209" s="606">
        <v>44997.0</v>
      </c>
      <c r="E209" s="684">
        <v>617500.0</v>
      </c>
      <c r="F209" s="684">
        <v>617500.0</v>
      </c>
      <c r="G209" s="608"/>
      <c r="H209" s="608"/>
      <c r="I209" s="608" t="s">
        <v>1968</v>
      </c>
      <c r="J209" s="608"/>
      <c r="K209" s="608"/>
      <c r="L209" s="608"/>
      <c r="M209" s="608"/>
      <c r="N209" s="608"/>
      <c r="O209" s="610"/>
    </row>
    <row r="210" ht="13.5" customHeight="1">
      <c r="A210" s="602">
        <v>205.0</v>
      </c>
      <c r="B210" s="608" t="s">
        <v>2148</v>
      </c>
      <c r="C210" s="608" t="s">
        <v>461</v>
      </c>
      <c r="D210" s="606">
        <v>44997.0</v>
      </c>
      <c r="E210" s="684">
        <v>617500.0</v>
      </c>
      <c r="F210" s="684">
        <v>617500.0</v>
      </c>
      <c r="G210" s="608"/>
      <c r="H210" s="608"/>
      <c r="I210" s="608" t="s">
        <v>1968</v>
      </c>
      <c r="J210" s="608"/>
      <c r="K210" s="608"/>
      <c r="L210" s="608"/>
      <c r="M210" s="608"/>
      <c r="N210" s="608"/>
      <c r="O210" s="610"/>
    </row>
    <row r="211" ht="13.5" customHeight="1">
      <c r="A211" s="602">
        <v>206.0</v>
      </c>
      <c r="B211" s="608" t="s">
        <v>2149</v>
      </c>
      <c r="C211" s="608" t="s">
        <v>461</v>
      </c>
      <c r="D211" s="606">
        <v>44997.0</v>
      </c>
      <c r="E211" s="684">
        <v>617500.0</v>
      </c>
      <c r="F211" s="684">
        <v>617500.0</v>
      </c>
      <c r="G211" s="608"/>
      <c r="H211" s="608"/>
      <c r="I211" s="608" t="s">
        <v>1968</v>
      </c>
      <c r="J211" s="608"/>
      <c r="K211" s="608"/>
      <c r="L211" s="608"/>
      <c r="M211" s="608"/>
      <c r="N211" s="608"/>
      <c r="O211" s="610"/>
    </row>
    <row r="212" ht="13.5" customHeight="1">
      <c r="A212" s="602">
        <v>207.0</v>
      </c>
      <c r="B212" s="608" t="s">
        <v>2150</v>
      </c>
      <c r="C212" s="608" t="s">
        <v>466</v>
      </c>
      <c r="D212" s="606">
        <v>44997.0</v>
      </c>
      <c r="E212" s="684">
        <v>6120475.0</v>
      </c>
      <c r="F212" s="684">
        <v>6120475.0</v>
      </c>
      <c r="G212" s="608"/>
      <c r="H212" s="608"/>
      <c r="I212" s="608" t="s">
        <v>1968</v>
      </c>
      <c r="J212" s="608" t="s">
        <v>155</v>
      </c>
      <c r="K212" s="608"/>
      <c r="L212" s="608"/>
      <c r="M212" s="608"/>
      <c r="N212" s="608"/>
      <c r="O212" s="610"/>
    </row>
    <row r="213" ht="13.5" customHeight="1">
      <c r="A213" s="602">
        <v>208.0</v>
      </c>
      <c r="B213" s="608" t="s">
        <v>2151</v>
      </c>
      <c r="C213" s="608" t="s">
        <v>468</v>
      </c>
      <c r="D213" s="606">
        <v>44997.0</v>
      </c>
      <c r="E213" s="684">
        <v>1181275.0</v>
      </c>
      <c r="F213" s="684">
        <v>1181275.0</v>
      </c>
      <c r="G213" s="608"/>
      <c r="H213" s="608"/>
      <c r="I213" s="608" t="s">
        <v>1968</v>
      </c>
      <c r="J213" s="608" t="s">
        <v>469</v>
      </c>
      <c r="K213" s="608"/>
      <c r="L213" s="608"/>
      <c r="M213" s="608"/>
      <c r="N213" s="608"/>
      <c r="O213" s="610"/>
    </row>
    <row r="214" ht="13.5" customHeight="1">
      <c r="A214" s="602">
        <v>209.0</v>
      </c>
      <c r="B214" s="608" t="s">
        <v>2152</v>
      </c>
      <c r="C214" s="608" t="s">
        <v>468</v>
      </c>
      <c r="D214" s="606">
        <v>44997.0</v>
      </c>
      <c r="E214" s="684">
        <v>1181275.0</v>
      </c>
      <c r="F214" s="684">
        <v>1181275.0</v>
      </c>
      <c r="G214" s="608"/>
      <c r="H214" s="608"/>
      <c r="I214" s="608" t="s">
        <v>1968</v>
      </c>
      <c r="J214" s="608" t="s">
        <v>469</v>
      </c>
      <c r="K214" s="608"/>
      <c r="L214" s="608"/>
      <c r="M214" s="608"/>
      <c r="N214" s="608"/>
      <c r="O214" s="610"/>
    </row>
    <row r="215" ht="13.5" customHeight="1">
      <c r="A215" s="602">
        <v>210.0</v>
      </c>
      <c r="B215" s="608" t="s">
        <v>2153</v>
      </c>
      <c r="C215" s="608" t="s">
        <v>468</v>
      </c>
      <c r="D215" s="606">
        <v>44997.0</v>
      </c>
      <c r="E215" s="684">
        <v>1181275.0</v>
      </c>
      <c r="F215" s="684">
        <v>1181275.0</v>
      </c>
      <c r="G215" s="608"/>
      <c r="H215" s="608"/>
      <c r="I215" s="608" t="s">
        <v>1968</v>
      </c>
      <c r="J215" s="608" t="s">
        <v>469</v>
      </c>
      <c r="K215" s="608"/>
      <c r="L215" s="608"/>
      <c r="M215" s="608"/>
      <c r="N215" s="608"/>
      <c r="O215" s="610"/>
    </row>
    <row r="216" ht="13.5" customHeight="1">
      <c r="A216" s="602">
        <v>211.0</v>
      </c>
      <c r="B216" s="608" t="s">
        <v>2154</v>
      </c>
      <c r="C216" s="608" t="s">
        <v>468</v>
      </c>
      <c r="D216" s="606">
        <v>44997.0</v>
      </c>
      <c r="E216" s="684">
        <v>1181275.0</v>
      </c>
      <c r="F216" s="684">
        <v>1181275.0</v>
      </c>
      <c r="G216" s="608"/>
      <c r="H216" s="608"/>
      <c r="I216" s="608" t="s">
        <v>1968</v>
      </c>
      <c r="J216" s="608" t="s">
        <v>469</v>
      </c>
      <c r="K216" s="608"/>
      <c r="L216" s="608"/>
      <c r="M216" s="608"/>
      <c r="N216" s="608"/>
      <c r="O216" s="610"/>
    </row>
    <row r="217" ht="13.5" customHeight="1">
      <c r="A217" s="602">
        <v>212.0</v>
      </c>
      <c r="B217" s="608" t="s">
        <v>2155</v>
      </c>
      <c r="C217" s="608" t="s">
        <v>468</v>
      </c>
      <c r="D217" s="606">
        <v>44997.0</v>
      </c>
      <c r="E217" s="684">
        <v>1181275.0</v>
      </c>
      <c r="F217" s="684">
        <v>1181275.0</v>
      </c>
      <c r="G217" s="608"/>
      <c r="H217" s="608"/>
      <c r="I217" s="608" t="s">
        <v>1968</v>
      </c>
      <c r="J217" s="608" t="s">
        <v>469</v>
      </c>
      <c r="K217" s="608"/>
      <c r="L217" s="608"/>
      <c r="M217" s="608"/>
      <c r="N217" s="608"/>
      <c r="O217" s="610"/>
    </row>
    <row r="218" ht="13.5" customHeight="1">
      <c r="A218" s="602">
        <v>213.0</v>
      </c>
      <c r="B218" s="608" t="s">
        <v>2156</v>
      </c>
      <c r="C218" s="608" t="s">
        <v>468</v>
      </c>
      <c r="D218" s="606">
        <v>44997.0</v>
      </c>
      <c r="E218" s="684">
        <v>1181275.0</v>
      </c>
      <c r="F218" s="684">
        <v>1181275.0</v>
      </c>
      <c r="G218" s="608"/>
      <c r="H218" s="608"/>
      <c r="I218" s="608" t="s">
        <v>1968</v>
      </c>
      <c r="J218" s="608" t="s">
        <v>469</v>
      </c>
      <c r="K218" s="608"/>
      <c r="L218" s="608"/>
      <c r="M218" s="608"/>
      <c r="N218" s="608"/>
      <c r="O218" s="610"/>
    </row>
    <row r="219" ht="13.5" customHeight="1">
      <c r="A219" s="602">
        <v>214.0</v>
      </c>
      <c r="B219" s="608" t="s">
        <v>2157</v>
      </c>
      <c r="C219" s="608" t="s">
        <v>476</v>
      </c>
      <c r="D219" s="595">
        <v>44997.0</v>
      </c>
      <c r="E219" s="684">
        <v>618314.0</v>
      </c>
      <c r="F219" s="684">
        <v>618314.0</v>
      </c>
      <c r="G219" s="608"/>
      <c r="H219" s="608"/>
      <c r="I219" s="608" t="s">
        <v>1968</v>
      </c>
      <c r="J219" s="608" t="s">
        <v>477</v>
      </c>
      <c r="K219" s="608"/>
      <c r="L219" s="608"/>
      <c r="M219" s="608"/>
      <c r="N219" s="608"/>
      <c r="O219" s="610"/>
    </row>
    <row r="220" ht="13.5" customHeight="1">
      <c r="A220" s="602">
        <v>215.0</v>
      </c>
      <c r="B220" s="608" t="s">
        <v>2158</v>
      </c>
      <c r="C220" s="608" t="s">
        <v>476</v>
      </c>
      <c r="D220" s="595">
        <v>44997.0</v>
      </c>
      <c r="E220" s="684">
        <v>618314.0</v>
      </c>
      <c r="F220" s="684">
        <v>618314.0</v>
      </c>
      <c r="G220" s="608"/>
      <c r="H220" s="608"/>
      <c r="I220" s="608" t="s">
        <v>1968</v>
      </c>
      <c r="J220" s="608" t="s">
        <v>477</v>
      </c>
      <c r="K220" s="608"/>
      <c r="L220" s="608"/>
      <c r="M220" s="608"/>
      <c r="N220" s="608"/>
      <c r="O220" s="610"/>
    </row>
    <row r="221" ht="13.5" customHeight="1">
      <c r="A221" s="602">
        <v>216.0</v>
      </c>
      <c r="B221" s="608" t="s">
        <v>2159</v>
      </c>
      <c r="C221" s="608" t="s">
        <v>480</v>
      </c>
      <c r="D221" s="606">
        <v>44997.0</v>
      </c>
      <c r="E221" s="684">
        <v>1083275.0</v>
      </c>
      <c r="F221" s="684">
        <v>1083275.0</v>
      </c>
      <c r="G221" s="608"/>
      <c r="H221" s="608"/>
      <c r="I221" s="608" t="s">
        <v>1968</v>
      </c>
      <c r="J221" s="608" t="s">
        <v>481</v>
      </c>
      <c r="K221" s="608"/>
      <c r="L221" s="608"/>
      <c r="M221" s="608"/>
      <c r="N221" s="608"/>
      <c r="O221" s="610"/>
    </row>
    <row r="222" ht="13.5" customHeight="1">
      <c r="A222" s="602">
        <v>217.0</v>
      </c>
      <c r="B222" s="608" t="s">
        <v>2160</v>
      </c>
      <c r="C222" s="608" t="s">
        <v>480</v>
      </c>
      <c r="D222" s="606">
        <v>44997.0</v>
      </c>
      <c r="E222" s="684">
        <v>1083275.0</v>
      </c>
      <c r="F222" s="684">
        <v>1083275.0</v>
      </c>
      <c r="G222" s="608"/>
      <c r="H222" s="608"/>
      <c r="I222" s="608" t="s">
        <v>1968</v>
      </c>
      <c r="J222" s="608" t="s">
        <v>481</v>
      </c>
      <c r="K222" s="608"/>
      <c r="L222" s="608"/>
      <c r="M222" s="608"/>
      <c r="N222" s="608"/>
      <c r="O222" s="610"/>
    </row>
    <row r="223" ht="13.5" customHeight="1">
      <c r="A223" s="602">
        <v>218.0</v>
      </c>
      <c r="B223" s="608" t="s">
        <v>2161</v>
      </c>
      <c r="C223" s="608" t="s">
        <v>484</v>
      </c>
      <c r="D223" s="606">
        <v>44988.0</v>
      </c>
      <c r="E223" s="684">
        <v>1471300.0</v>
      </c>
      <c r="F223" s="684">
        <v>1471300.0</v>
      </c>
      <c r="G223" s="608"/>
      <c r="H223" s="608"/>
      <c r="I223" s="608"/>
      <c r="J223" s="608" t="s">
        <v>485</v>
      </c>
      <c r="K223" s="608"/>
      <c r="L223" s="608"/>
      <c r="M223" s="608"/>
      <c r="N223" s="608"/>
      <c r="O223" s="610"/>
    </row>
    <row r="224" ht="13.5" customHeight="1">
      <c r="A224" s="602">
        <v>219.0</v>
      </c>
      <c r="B224" s="608" t="s">
        <v>2162</v>
      </c>
      <c r="C224" s="608" t="s">
        <v>2163</v>
      </c>
      <c r="D224" s="606">
        <v>45020.0</v>
      </c>
      <c r="E224" s="684">
        <v>6500000.0</v>
      </c>
      <c r="F224" s="684">
        <v>6500000.0</v>
      </c>
      <c r="G224" s="608"/>
      <c r="H224" s="608"/>
      <c r="I224" s="608" t="s">
        <v>8</v>
      </c>
      <c r="J224" s="608" t="s">
        <v>155</v>
      </c>
      <c r="K224" s="608"/>
      <c r="L224" s="608"/>
      <c r="M224" s="608"/>
      <c r="N224" s="608"/>
      <c r="O224" s="610"/>
    </row>
    <row r="225" ht="13.5" customHeight="1">
      <c r="A225" s="602">
        <v>220.0</v>
      </c>
      <c r="B225" s="608" t="s">
        <v>2164</v>
      </c>
      <c r="C225" s="608" t="s">
        <v>154</v>
      </c>
      <c r="D225" s="595">
        <v>45018.0</v>
      </c>
      <c r="E225" s="684">
        <v>799000.0</v>
      </c>
      <c r="F225" s="684">
        <v>799000.0</v>
      </c>
      <c r="G225" s="608"/>
      <c r="H225" s="608"/>
      <c r="I225" s="608"/>
      <c r="J225" s="608" t="s">
        <v>155</v>
      </c>
      <c r="K225" s="608"/>
      <c r="L225" s="608"/>
      <c r="M225" s="608"/>
      <c r="N225" s="608"/>
      <c r="O225" s="610"/>
    </row>
    <row r="226" ht="13.5" customHeight="1">
      <c r="A226" s="602">
        <v>221.0</v>
      </c>
      <c r="B226" s="608" t="s">
        <v>2165</v>
      </c>
      <c r="C226" s="608" t="s">
        <v>154</v>
      </c>
      <c r="D226" s="595">
        <v>45018.0</v>
      </c>
      <c r="E226" s="684">
        <v>799000.0</v>
      </c>
      <c r="F226" s="684">
        <v>799000.0</v>
      </c>
      <c r="G226" s="608"/>
      <c r="H226" s="608"/>
      <c r="I226" s="608"/>
      <c r="J226" s="608" t="s">
        <v>155</v>
      </c>
      <c r="K226" s="608"/>
      <c r="L226" s="608"/>
      <c r="M226" s="608"/>
      <c r="N226" s="608"/>
      <c r="O226" s="610"/>
    </row>
    <row r="227" ht="13.5" customHeight="1">
      <c r="A227" s="602">
        <v>222.0</v>
      </c>
      <c r="B227" s="608" t="s">
        <v>2166</v>
      </c>
      <c r="C227" s="608" t="s">
        <v>154</v>
      </c>
      <c r="D227" s="606">
        <v>45018.0</v>
      </c>
      <c r="E227" s="684">
        <v>799000.0</v>
      </c>
      <c r="F227" s="684">
        <v>799000.0</v>
      </c>
      <c r="G227" s="608"/>
      <c r="H227" s="608"/>
      <c r="I227" s="608"/>
      <c r="J227" s="608" t="s">
        <v>155</v>
      </c>
      <c r="K227" s="608"/>
      <c r="L227" s="608"/>
      <c r="M227" s="608"/>
      <c r="N227" s="608"/>
      <c r="O227" s="610"/>
    </row>
    <row r="228" ht="13.5" customHeight="1">
      <c r="A228" s="602">
        <v>223.0</v>
      </c>
      <c r="B228" s="608" t="s">
        <v>1097</v>
      </c>
      <c r="C228" s="608" t="s">
        <v>154</v>
      </c>
      <c r="D228" s="615">
        <v>45018.0</v>
      </c>
      <c r="E228" s="684">
        <v>799000.0</v>
      </c>
      <c r="F228" s="684">
        <v>799000.0</v>
      </c>
      <c r="G228" s="608"/>
      <c r="H228" s="608"/>
      <c r="I228" s="608"/>
      <c r="J228" s="608" t="s">
        <v>155</v>
      </c>
      <c r="K228" s="608"/>
      <c r="L228" s="608"/>
      <c r="M228" s="608"/>
      <c r="N228" s="608"/>
      <c r="O228" s="610"/>
    </row>
    <row r="229" ht="13.5" customHeight="1">
      <c r="A229" s="602">
        <v>224.0</v>
      </c>
      <c r="B229" s="608" t="s">
        <v>2167</v>
      </c>
      <c r="C229" s="608" t="s">
        <v>154</v>
      </c>
      <c r="D229" s="606">
        <v>45018.0</v>
      </c>
      <c r="E229" s="684">
        <v>799000.0</v>
      </c>
      <c r="F229" s="684">
        <v>799000.0</v>
      </c>
      <c r="G229" s="608"/>
      <c r="H229" s="608"/>
      <c r="I229" s="608"/>
      <c r="J229" s="608" t="s">
        <v>155</v>
      </c>
      <c r="K229" s="608"/>
      <c r="L229" s="608"/>
      <c r="M229" s="608"/>
      <c r="N229" s="608"/>
      <c r="O229" s="610"/>
    </row>
    <row r="230" ht="13.5" customHeight="1">
      <c r="A230" s="602">
        <v>225.0</v>
      </c>
      <c r="B230" s="608" t="s">
        <v>2168</v>
      </c>
      <c r="C230" s="608" t="s">
        <v>154</v>
      </c>
      <c r="D230" s="606">
        <v>45018.0</v>
      </c>
      <c r="E230" s="684">
        <v>799000.0</v>
      </c>
      <c r="F230" s="684">
        <v>799000.0</v>
      </c>
      <c r="G230" s="608"/>
      <c r="H230" s="608"/>
      <c r="I230" s="608"/>
      <c r="J230" s="608" t="s">
        <v>155</v>
      </c>
      <c r="K230" s="608"/>
      <c r="L230" s="608"/>
      <c r="M230" s="608"/>
      <c r="N230" s="608"/>
      <c r="O230" s="610"/>
    </row>
    <row r="231" ht="13.5" customHeight="1">
      <c r="A231" s="602">
        <v>226.0</v>
      </c>
      <c r="B231" s="608" t="s">
        <v>2169</v>
      </c>
      <c r="C231" s="608" t="s">
        <v>154</v>
      </c>
      <c r="D231" s="606">
        <v>45018.0</v>
      </c>
      <c r="E231" s="684">
        <v>799000.0</v>
      </c>
      <c r="F231" s="684">
        <v>799000.0</v>
      </c>
      <c r="G231" s="608"/>
      <c r="H231" s="608"/>
      <c r="I231" s="608"/>
      <c r="J231" s="608" t="s">
        <v>155</v>
      </c>
      <c r="K231" s="608"/>
      <c r="L231" s="608"/>
      <c r="M231" s="608"/>
      <c r="N231" s="608"/>
      <c r="O231" s="610"/>
    </row>
    <row r="232" ht="13.5" customHeight="1">
      <c r="A232" s="602">
        <v>227.0</v>
      </c>
      <c r="B232" s="608" t="s">
        <v>2170</v>
      </c>
      <c r="C232" s="608" t="s">
        <v>154</v>
      </c>
      <c r="D232" s="606">
        <v>45018.0</v>
      </c>
      <c r="E232" s="684">
        <v>799000.0</v>
      </c>
      <c r="F232" s="684">
        <v>799000.0</v>
      </c>
      <c r="G232" s="608"/>
      <c r="H232" s="608"/>
      <c r="I232" s="608"/>
      <c r="J232" s="608" t="s">
        <v>155</v>
      </c>
      <c r="K232" s="608"/>
      <c r="L232" s="608"/>
      <c r="M232" s="608"/>
      <c r="N232" s="608"/>
      <c r="O232" s="610"/>
    </row>
    <row r="233" ht="13.5" customHeight="1">
      <c r="A233" s="602">
        <v>228.0</v>
      </c>
      <c r="B233" s="608" t="s">
        <v>2171</v>
      </c>
      <c r="C233" s="608" t="s">
        <v>154</v>
      </c>
      <c r="D233" s="595">
        <v>45018.0</v>
      </c>
      <c r="E233" s="684">
        <v>799000.0</v>
      </c>
      <c r="F233" s="684">
        <v>799000.0</v>
      </c>
      <c r="G233" s="608"/>
      <c r="H233" s="608"/>
      <c r="I233" s="608"/>
      <c r="J233" s="608" t="s">
        <v>155</v>
      </c>
      <c r="K233" s="608"/>
      <c r="L233" s="608"/>
      <c r="M233" s="608"/>
      <c r="N233" s="608"/>
      <c r="O233" s="610"/>
    </row>
    <row r="234" ht="13.5" customHeight="1">
      <c r="A234" s="602">
        <v>229.0</v>
      </c>
      <c r="B234" s="608" t="s">
        <v>2172</v>
      </c>
      <c r="C234" s="608" t="s">
        <v>154</v>
      </c>
      <c r="D234" s="595">
        <v>45018.0</v>
      </c>
      <c r="E234" s="684">
        <v>799000.0</v>
      </c>
      <c r="F234" s="684">
        <v>799000.0</v>
      </c>
      <c r="G234" s="608"/>
      <c r="H234" s="608"/>
      <c r="I234" s="608"/>
      <c r="J234" s="608" t="s">
        <v>155</v>
      </c>
      <c r="K234" s="608"/>
      <c r="L234" s="608"/>
      <c r="M234" s="608"/>
      <c r="N234" s="608"/>
      <c r="O234" s="610"/>
    </row>
    <row r="235" ht="13.5" customHeight="1">
      <c r="A235" s="602">
        <v>230.0</v>
      </c>
      <c r="B235" s="608" t="s">
        <v>2173</v>
      </c>
      <c r="C235" s="608" t="s">
        <v>154</v>
      </c>
      <c r="D235" s="606">
        <v>45018.0</v>
      </c>
      <c r="E235" s="684">
        <v>799000.0</v>
      </c>
      <c r="F235" s="684">
        <v>799000.0</v>
      </c>
      <c r="G235" s="608"/>
      <c r="H235" s="608"/>
      <c r="I235" s="608"/>
      <c r="J235" s="608" t="s">
        <v>155</v>
      </c>
      <c r="K235" s="608"/>
      <c r="L235" s="608"/>
      <c r="M235" s="608"/>
      <c r="N235" s="608"/>
      <c r="O235" s="610"/>
    </row>
    <row r="236" ht="13.5" customHeight="1">
      <c r="A236" s="602">
        <v>231.0</v>
      </c>
      <c r="B236" s="608" t="s">
        <v>2174</v>
      </c>
      <c r="C236" s="608" t="s">
        <v>154</v>
      </c>
      <c r="D236" s="606">
        <v>45018.0</v>
      </c>
      <c r="E236" s="684">
        <v>799000.0</v>
      </c>
      <c r="F236" s="684">
        <v>799000.0</v>
      </c>
      <c r="G236" s="608"/>
      <c r="H236" s="608"/>
      <c r="I236" s="608"/>
      <c r="J236" s="608" t="s">
        <v>155</v>
      </c>
      <c r="K236" s="608"/>
      <c r="L236" s="608"/>
      <c r="M236" s="608"/>
      <c r="N236" s="608"/>
      <c r="O236" s="610"/>
    </row>
    <row r="237" ht="13.5" customHeight="1">
      <c r="A237" s="602">
        <v>232.0</v>
      </c>
      <c r="B237" s="608" t="s">
        <v>2175</v>
      </c>
      <c r="C237" s="608" t="s">
        <v>154</v>
      </c>
      <c r="D237" s="606">
        <v>45018.0</v>
      </c>
      <c r="E237" s="684">
        <v>799000.0</v>
      </c>
      <c r="F237" s="684">
        <v>799000.0</v>
      </c>
      <c r="G237" s="608"/>
      <c r="H237" s="608"/>
      <c r="I237" s="608"/>
      <c r="J237" s="608" t="s">
        <v>155</v>
      </c>
      <c r="K237" s="608"/>
      <c r="L237" s="608"/>
      <c r="M237" s="608"/>
      <c r="N237" s="608"/>
      <c r="O237" s="610"/>
    </row>
    <row r="238" ht="13.5" customHeight="1">
      <c r="A238" s="602">
        <v>233.0</v>
      </c>
      <c r="B238" s="608" t="s">
        <v>2176</v>
      </c>
      <c r="C238" s="608" t="s">
        <v>154</v>
      </c>
      <c r="D238" s="606">
        <v>45018.0</v>
      </c>
      <c r="E238" s="684">
        <v>799000.0</v>
      </c>
      <c r="F238" s="684">
        <v>799000.0</v>
      </c>
      <c r="G238" s="608"/>
      <c r="H238" s="608"/>
      <c r="I238" s="608"/>
      <c r="J238" s="608" t="s">
        <v>155</v>
      </c>
      <c r="K238" s="608"/>
      <c r="L238" s="608"/>
      <c r="M238" s="608"/>
      <c r="N238" s="608"/>
      <c r="O238" s="610"/>
    </row>
    <row r="239" ht="13.5" customHeight="1">
      <c r="A239" s="602">
        <v>234.0</v>
      </c>
      <c r="B239" s="608" t="s">
        <v>2177</v>
      </c>
      <c r="C239" s="608" t="s">
        <v>154</v>
      </c>
      <c r="D239" s="606">
        <v>45018.0</v>
      </c>
      <c r="E239" s="684">
        <v>799000.0</v>
      </c>
      <c r="F239" s="684">
        <v>799000.0</v>
      </c>
      <c r="G239" s="608"/>
      <c r="H239" s="608"/>
      <c r="I239" s="608"/>
      <c r="J239" s="608" t="s">
        <v>155</v>
      </c>
      <c r="K239" s="608"/>
      <c r="L239" s="608"/>
      <c r="M239" s="608"/>
      <c r="N239" s="608"/>
      <c r="O239" s="610"/>
    </row>
    <row r="240" ht="13.5" customHeight="1">
      <c r="A240" s="602">
        <v>235.0</v>
      </c>
      <c r="B240" s="608" t="s">
        <v>2178</v>
      </c>
      <c r="C240" s="608" t="s">
        <v>1886</v>
      </c>
      <c r="D240" s="606">
        <v>45018.0</v>
      </c>
      <c r="E240" s="684">
        <v>1198800.0</v>
      </c>
      <c r="F240" s="684">
        <v>1198800.0</v>
      </c>
      <c r="G240" s="608"/>
      <c r="H240" s="608"/>
      <c r="I240" s="608" t="s">
        <v>8</v>
      </c>
      <c r="J240" s="608" t="s">
        <v>155</v>
      </c>
      <c r="K240" s="608"/>
      <c r="L240" s="608"/>
      <c r="M240" s="608"/>
      <c r="N240" s="608"/>
      <c r="O240" s="610"/>
    </row>
    <row r="241" ht="13.5" customHeight="1">
      <c r="A241" s="602">
        <v>236.0</v>
      </c>
      <c r="B241" s="608" t="s">
        <v>2179</v>
      </c>
      <c r="C241" s="608" t="s">
        <v>1886</v>
      </c>
      <c r="D241" s="606">
        <v>45018.0</v>
      </c>
      <c r="E241" s="684">
        <v>1198800.0</v>
      </c>
      <c r="F241" s="684">
        <v>1198800.0</v>
      </c>
      <c r="G241" s="608"/>
      <c r="H241" s="608"/>
      <c r="I241" s="608" t="s">
        <v>8</v>
      </c>
      <c r="J241" s="608" t="s">
        <v>155</v>
      </c>
      <c r="K241" s="608"/>
      <c r="L241" s="608"/>
      <c r="M241" s="608"/>
      <c r="N241" s="608"/>
      <c r="O241" s="610"/>
    </row>
    <row r="242" ht="13.5" customHeight="1">
      <c r="A242" s="602">
        <v>237.0</v>
      </c>
      <c r="B242" s="608" t="s">
        <v>2180</v>
      </c>
      <c r="C242" s="608" t="s">
        <v>1886</v>
      </c>
      <c r="D242" s="606">
        <v>45018.0</v>
      </c>
      <c r="E242" s="684">
        <v>1198800.0</v>
      </c>
      <c r="F242" s="684">
        <v>1198800.0</v>
      </c>
      <c r="G242" s="608"/>
      <c r="H242" s="608"/>
      <c r="I242" s="608" t="s">
        <v>8</v>
      </c>
      <c r="J242" s="608" t="s">
        <v>155</v>
      </c>
      <c r="K242" s="608"/>
      <c r="L242" s="608"/>
      <c r="M242" s="608"/>
      <c r="N242" s="608"/>
      <c r="O242" s="610"/>
    </row>
    <row r="243" ht="13.5" customHeight="1">
      <c r="A243" s="602">
        <v>238.0</v>
      </c>
      <c r="B243" s="608" t="s">
        <v>2181</v>
      </c>
      <c r="C243" s="608" t="s">
        <v>1886</v>
      </c>
      <c r="D243" s="606">
        <v>45018.0</v>
      </c>
      <c r="E243" s="684">
        <v>1198800.0</v>
      </c>
      <c r="F243" s="684">
        <v>1198800.0</v>
      </c>
      <c r="G243" s="608"/>
      <c r="H243" s="608"/>
      <c r="I243" s="608" t="s">
        <v>8</v>
      </c>
      <c r="J243" s="608" t="s">
        <v>155</v>
      </c>
      <c r="K243" s="608"/>
      <c r="L243" s="608"/>
      <c r="M243" s="608"/>
      <c r="N243" s="608"/>
      <c r="O243" s="610"/>
    </row>
    <row r="244" ht="13.5" customHeight="1">
      <c r="A244" s="602">
        <v>239.0</v>
      </c>
      <c r="B244" s="608" t="s">
        <v>2182</v>
      </c>
      <c r="C244" s="608" t="s">
        <v>1886</v>
      </c>
      <c r="D244" s="606">
        <v>45018.0</v>
      </c>
      <c r="E244" s="684">
        <v>1198800.0</v>
      </c>
      <c r="F244" s="684">
        <v>1198800.0</v>
      </c>
      <c r="G244" s="608"/>
      <c r="H244" s="608"/>
      <c r="I244" s="608" t="s">
        <v>8</v>
      </c>
      <c r="J244" s="608" t="s">
        <v>155</v>
      </c>
      <c r="K244" s="608"/>
      <c r="L244" s="608"/>
      <c r="M244" s="608"/>
      <c r="N244" s="608"/>
      <c r="O244" s="610"/>
    </row>
    <row r="245" ht="13.5" customHeight="1">
      <c r="A245" s="602">
        <v>240.0</v>
      </c>
      <c r="B245" s="608" t="s">
        <v>2183</v>
      </c>
      <c r="C245" s="608" t="s">
        <v>1886</v>
      </c>
      <c r="D245" s="647">
        <v>45018.0</v>
      </c>
      <c r="E245" s="684">
        <v>1198800.0</v>
      </c>
      <c r="F245" s="684">
        <v>1198800.0</v>
      </c>
      <c r="G245" s="608"/>
      <c r="H245" s="608"/>
      <c r="I245" s="608" t="s">
        <v>8</v>
      </c>
      <c r="J245" s="608" t="s">
        <v>155</v>
      </c>
      <c r="K245" s="608"/>
      <c r="L245" s="608"/>
      <c r="M245" s="608"/>
      <c r="N245" s="608"/>
      <c r="O245" s="610"/>
    </row>
    <row r="246" ht="13.5" customHeight="1">
      <c r="A246" s="602">
        <v>241.0</v>
      </c>
      <c r="B246" s="608" t="s">
        <v>2184</v>
      </c>
      <c r="C246" s="608" t="s">
        <v>1886</v>
      </c>
      <c r="D246" s="647">
        <v>45018.0</v>
      </c>
      <c r="E246" s="684">
        <v>1198800.0</v>
      </c>
      <c r="F246" s="684">
        <v>1198800.0</v>
      </c>
      <c r="G246" s="608"/>
      <c r="H246" s="608"/>
      <c r="I246" s="608" t="s">
        <v>8</v>
      </c>
      <c r="J246" s="608" t="s">
        <v>155</v>
      </c>
      <c r="K246" s="608"/>
      <c r="L246" s="608"/>
      <c r="M246" s="608"/>
      <c r="N246" s="608"/>
      <c r="O246" s="610"/>
    </row>
    <row r="247" ht="13.5" customHeight="1">
      <c r="A247" s="602">
        <v>242.0</v>
      </c>
      <c r="B247" s="608" t="s">
        <v>2185</v>
      </c>
      <c r="C247" s="608" t="s">
        <v>1886</v>
      </c>
      <c r="D247" s="647">
        <v>45018.0</v>
      </c>
      <c r="E247" s="684">
        <v>1198800.0</v>
      </c>
      <c r="F247" s="684">
        <v>1198800.0</v>
      </c>
      <c r="G247" s="608"/>
      <c r="H247" s="608"/>
      <c r="I247" s="608" t="s">
        <v>8</v>
      </c>
      <c r="J247" s="608" t="s">
        <v>155</v>
      </c>
      <c r="K247" s="608"/>
      <c r="L247" s="608"/>
      <c r="M247" s="608"/>
      <c r="N247" s="608"/>
      <c r="O247" s="610"/>
    </row>
    <row r="248" ht="13.5" customHeight="1">
      <c r="A248" s="602">
        <v>243.0</v>
      </c>
      <c r="B248" s="608" t="s">
        <v>2186</v>
      </c>
      <c r="C248" s="608" t="s">
        <v>1886</v>
      </c>
      <c r="D248" s="647">
        <v>45018.0</v>
      </c>
      <c r="E248" s="684">
        <v>1198800.0</v>
      </c>
      <c r="F248" s="684">
        <v>1198800.0</v>
      </c>
      <c r="G248" s="608"/>
      <c r="H248" s="608"/>
      <c r="I248" s="608" t="s">
        <v>8</v>
      </c>
      <c r="J248" s="608" t="s">
        <v>155</v>
      </c>
      <c r="K248" s="608"/>
      <c r="L248" s="608"/>
      <c r="M248" s="608"/>
      <c r="N248" s="608"/>
      <c r="O248" s="610"/>
    </row>
    <row r="249" ht="13.5" customHeight="1">
      <c r="A249" s="602">
        <v>244.0</v>
      </c>
      <c r="B249" s="608" t="s">
        <v>2187</v>
      </c>
      <c r="C249" s="608" t="s">
        <v>1886</v>
      </c>
      <c r="D249" s="647">
        <v>45018.0</v>
      </c>
      <c r="E249" s="684">
        <v>1198800.0</v>
      </c>
      <c r="F249" s="684">
        <v>1198800.0</v>
      </c>
      <c r="G249" s="608"/>
      <c r="H249" s="608"/>
      <c r="I249" s="608" t="s">
        <v>8</v>
      </c>
      <c r="J249" s="608" t="s">
        <v>155</v>
      </c>
      <c r="K249" s="608"/>
      <c r="L249" s="608"/>
      <c r="M249" s="608"/>
      <c r="N249" s="608"/>
      <c r="O249" s="610"/>
    </row>
    <row r="250" ht="13.5" customHeight="1">
      <c r="A250" s="602">
        <v>245.0</v>
      </c>
      <c r="B250" s="608" t="s">
        <v>2188</v>
      </c>
      <c r="C250" s="608" t="s">
        <v>1886</v>
      </c>
      <c r="D250" s="606">
        <v>45018.0</v>
      </c>
      <c r="E250" s="684">
        <v>1198800.0</v>
      </c>
      <c r="F250" s="684">
        <v>1198800.0</v>
      </c>
      <c r="G250" s="608"/>
      <c r="H250" s="608"/>
      <c r="I250" s="608" t="s">
        <v>8</v>
      </c>
      <c r="J250" s="608" t="s">
        <v>155</v>
      </c>
      <c r="K250" s="608"/>
      <c r="L250" s="608"/>
      <c r="M250" s="608"/>
      <c r="N250" s="608"/>
      <c r="O250" s="610"/>
    </row>
    <row r="251" ht="13.5" customHeight="1">
      <c r="A251" s="602">
        <v>246.0</v>
      </c>
      <c r="B251" s="608" t="s">
        <v>2189</v>
      </c>
      <c r="C251" s="608" t="s">
        <v>1886</v>
      </c>
      <c r="D251" s="606">
        <v>45018.0</v>
      </c>
      <c r="E251" s="684">
        <v>1198800.0</v>
      </c>
      <c r="F251" s="684">
        <v>1198800.0</v>
      </c>
      <c r="G251" s="608"/>
      <c r="H251" s="608"/>
      <c r="I251" s="608" t="s">
        <v>8</v>
      </c>
      <c r="J251" s="608" t="s">
        <v>155</v>
      </c>
      <c r="K251" s="608"/>
      <c r="L251" s="608"/>
      <c r="M251" s="608"/>
      <c r="N251" s="608"/>
      <c r="O251" s="610"/>
    </row>
    <row r="252" ht="13.5" customHeight="1">
      <c r="A252" s="602">
        <v>247.0</v>
      </c>
      <c r="B252" s="608" t="s">
        <v>2190</v>
      </c>
      <c r="C252" s="608" t="s">
        <v>1886</v>
      </c>
      <c r="D252" s="606">
        <v>45018.0</v>
      </c>
      <c r="E252" s="684">
        <v>1198800.0</v>
      </c>
      <c r="F252" s="684">
        <v>1198800.0</v>
      </c>
      <c r="G252" s="608"/>
      <c r="H252" s="608"/>
      <c r="I252" s="608" t="s">
        <v>8</v>
      </c>
      <c r="J252" s="608" t="s">
        <v>155</v>
      </c>
      <c r="K252" s="608"/>
      <c r="L252" s="608"/>
      <c r="M252" s="608"/>
      <c r="N252" s="608"/>
      <c r="O252" s="610"/>
    </row>
    <row r="253" ht="13.5" customHeight="1">
      <c r="A253" s="602">
        <v>248.0</v>
      </c>
      <c r="B253" s="608" t="s">
        <v>2191</v>
      </c>
      <c r="C253" s="608" t="s">
        <v>1886</v>
      </c>
      <c r="D253" s="606">
        <v>45018.0</v>
      </c>
      <c r="E253" s="684">
        <v>1198800.0</v>
      </c>
      <c r="F253" s="684">
        <v>1198800.0</v>
      </c>
      <c r="G253" s="608"/>
      <c r="H253" s="608"/>
      <c r="I253" s="608" t="s">
        <v>8</v>
      </c>
      <c r="J253" s="608" t="s">
        <v>155</v>
      </c>
      <c r="K253" s="608"/>
      <c r="L253" s="608"/>
      <c r="M253" s="608"/>
      <c r="N253" s="608"/>
      <c r="O253" s="610"/>
    </row>
    <row r="254" ht="13.5" customHeight="1">
      <c r="A254" s="602">
        <v>249.0</v>
      </c>
      <c r="B254" s="608" t="s">
        <v>2192</v>
      </c>
      <c r="C254" s="608" t="s">
        <v>1886</v>
      </c>
      <c r="D254" s="606">
        <v>45018.0</v>
      </c>
      <c r="E254" s="684">
        <v>1198800.0</v>
      </c>
      <c r="F254" s="684">
        <v>1198800.0</v>
      </c>
      <c r="G254" s="608"/>
      <c r="H254" s="608"/>
      <c r="I254" s="608" t="s">
        <v>8</v>
      </c>
      <c r="J254" s="608" t="s">
        <v>155</v>
      </c>
      <c r="K254" s="608"/>
      <c r="L254" s="608"/>
      <c r="M254" s="608"/>
      <c r="N254" s="608"/>
      <c r="O254" s="610"/>
    </row>
    <row r="255" ht="13.5" customHeight="1">
      <c r="A255" s="602">
        <v>250.0</v>
      </c>
      <c r="B255" s="608" t="s">
        <v>2193</v>
      </c>
      <c r="C255" s="608" t="s">
        <v>520</v>
      </c>
      <c r="D255" s="606">
        <v>45018.0</v>
      </c>
      <c r="E255" s="684">
        <v>829500.0</v>
      </c>
      <c r="F255" s="684">
        <v>829500.0</v>
      </c>
      <c r="G255" s="608"/>
      <c r="H255" s="608"/>
      <c r="I255" s="608" t="s">
        <v>8</v>
      </c>
      <c r="J255" s="608" t="s">
        <v>155</v>
      </c>
      <c r="K255" s="608"/>
      <c r="L255" s="608"/>
      <c r="M255" s="608"/>
      <c r="N255" s="608"/>
      <c r="O255" s="610"/>
    </row>
    <row r="256" ht="13.5" customHeight="1">
      <c r="A256" s="602">
        <v>251.0</v>
      </c>
      <c r="B256" s="608" t="s">
        <v>2194</v>
      </c>
      <c r="C256" s="608" t="s">
        <v>520</v>
      </c>
      <c r="D256" s="606">
        <v>45018.0</v>
      </c>
      <c r="E256" s="684">
        <v>829500.0</v>
      </c>
      <c r="F256" s="684">
        <v>829500.0</v>
      </c>
      <c r="G256" s="608"/>
      <c r="H256" s="608"/>
      <c r="I256" s="608" t="s">
        <v>8</v>
      </c>
      <c r="J256" s="608" t="s">
        <v>155</v>
      </c>
      <c r="K256" s="608"/>
      <c r="L256" s="608"/>
      <c r="M256" s="608"/>
      <c r="N256" s="608"/>
      <c r="O256" s="610"/>
    </row>
    <row r="257" ht="13.5" customHeight="1">
      <c r="A257" s="602">
        <v>252.0</v>
      </c>
      <c r="B257" s="608" t="s">
        <v>2195</v>
      </c>
      <c r="C257" s="608" t="s">
        <v>520</v>
      </c>
      <c r="D257" s="606">
        <v>45018.0</v>
      </c>
      <c r="E257" s="684">
        <v>829500.0</v>
      </c>
      <c r="F257" s="684">
        <v>829500.0</v>
      </c>
      <c r="G257" s="608"/>
      <c r="H257" s="608"/>
      <c r="I257" s="608" t="s">
        <v>8</v>
      </c>
      <c r="J257" s="608" t="s">
        <v>155</v>
      </c>
      <c r="K257" s="608"/>
      <c r="L257" s="608"/>
      <c r="M257" s="608"/>
      <c r="N257" s="608"/>
      <c r="O257" s="610"/>
    </row>
    <row r="258" ht="13.5" customHeight="1">
      <c r="A258" s="602">
        <v>253.0</v>
      </c>
      <c r="B258" s="608" t="s">
        <v>2196</v>
      </c>
      <c r="C258" s="608" t="s">
        <v>520</v>
      </c>
      <c r="D258" s="606">
        <v>45018.0</v>
      </c>
      <c r="E258" s="684">
        <v>829500.0</v>
      </c>
      <c r="F258" s="684">
        <v>829500.0</v>
      </c>
      <c r="G258" s="608"/>
      <c r="H258" s="608"/>
      <c r="I258" s="608" t="s">
        <v>8</v>
      </c>
      <c r="J258" s="608" t="s">
        <v>155</v>
      </c>
      <c r="K258" s="608"/>
      <c r="L258" s="608"/>
      <c r="M258" s="608"/>
      <c r="N258" s="608"/>
      <c r="O258" s="610"/>
    </row>
    <row r="259" ht="13.5" customHeight="1">
      <c r="A259" s="602">
        <v>254.0</v>
      </c>
      <c r="B259" s="608" t="s">
        <v>2197</v>
      </c>
      <c r="C259" s="608" t="s">
        <v>525</v>
      </c>
      <c r="D259" s="606">
        <v>45018.0</v>
      </c>
      <c r="E259" s="684">
        <v>584550.0</v>
      </c>
      <c r="F259" s="684">
        <v>584550.0</v>
      </c>
      <c r="G259" s="608"/>
      <c r="H259" s="608"/>
      <c r="I259" s="608"/>
      <c r="J259" s="608"/>
      <c r="K259" s="608"/>
      <c r="L259" s="608"/>
      <c r="M259" s="608"/>
      <c r="N259" s="608"/>
      <c r="O259" s="610"/>
    </row>
    <row r="260" ht="13.5" customHeight="1">
      <c r="A260" s="602">
        <v>255.0</v>
      </c>
      <c r="B260" s="608" t="s">
        <v>2198</v>
      </c>
      <c r="C260" s="608" t="s">
        <v>525</v>
      </c>
      <c r="D260" s="606">
        <v>45018.0</v>
      </c>
      <c r="E260" s="684">
        <v>584550.0</v>
      </c>
      <c r="F260" s="684">
        <v>584550.0</v>
      </c>
      <c r="G260" s="608"/>
      <c r="H260" s="608"/>
      <c r="I260" s="608"/>
      <c r="J260" s="608"/>
      <c r="K260" s="608"/>
      <c r="L260" s="608"/>
      <c r="M260" s="608"/>
      <c r="N260" s="608"/>
      <c r="O260" s="610"/>
    </row>
    <row r="261" ht="13.5" customHeight="1">
      <c r="A261" s="602">
        <v>256.0</v>
      </c>
      <c r="B261" s="608" t="s">
        <v>2199</v>
      </c>
      <c r="C261" s="608" t="s">
        <v>528</v>
      </c>
      <c r="D261" s="606">
        <v>45018.0</v>
      </c>
      <c r="E261" s="684">
        <v>1959020.0</v>
      </c>
      <c r="F261" s="684">
        <v>1959020.0</v>
      </c>
      <c r="G261" s="608"/>
      <c r="H261" s="608"/>
      <c r="I261" s="608" t="s">
        <v>8</v>
      </c>
      <c r="J261" s="608"/>
      <c r="K261" s="608"/>
      <c r="L261" s="608"/>
      <c r="M261" s="608"/>
      <c r="N261" s="608"/>
      <c r="O261" s="610"/>
    </row>
    <row r="262" ht="13.5" customHeight="1">
      <c r="A262" s="602">
        <v>257.0</v>
      </c>
      <c r="B262" s="608" t="s">
        <v>2200</v>
      </c>
      <c r="C262" s="608" t="s">
        <v>528</v>
      </c>
      <c r="D262" s="606">
        <v>45018.0</v>
      </c>
      <c r="E262" s="684">
        <v>1959020.0</v>
      </c>
      <c r="F262" s="684">
        <v>1959020.0</v>
      </c>
      <c r="G262" s="608"/>
      <c r="H262" s="608"/>
      <c r="I262" s="608" t="s">
        <v>8</v>
      </c>
      <c r="J262" s="608"/>
      <c r="K262" s="608"/>
      <c r="L262" s="608"/>
      <c r="M262" s="608"/>
      <c r="N262" s="608"/>
      <c r="O262" s="610"/>
    </row>
    <row r="263" ht="13.5" customHeight="1">
      <c r="A263" s="602">
        <v>258.0</v>
      </c>
      <c r="B263" s="608" t="s">
        <v>1098</v>
      </c>
      <c r="C263" s="608" t="s">
        <v>528</v>
      </c>
      <c r="D263" s="606">
        <v>45018.0</v>
      </c>
      <c r="E263" s="684">
        <v>1959020.0</v>
      </c>
      <c r="F263" s="684">
        <v>1959020.0</v>
      </c>
      <c r="G263" s="608"/>
      <c r="H263" s="608"/>
      <c r="I263" s="608" t="s">
        <v>8</v>
      </c>
      <c r="J263" s="608"/>
      <c r="K263" s="608"/>
      <c r="L263" s="608"/>
      <c r="M263" s="608"/>
      <c r="N263" s="608"/>
      <c r="O263" s="610"/>
    </row>
    <row r="264" ht="13.5" customHeight="1">
      <c r="A264" s="602">
        <v>259.0</v>
      </c>
      <c r="B264" s="608" t="s">
        <v>2201</v>
      </c>
      <c r="C264" s="608" t="s">
        <v>528</v>
      </c>
      <c r="D264" s="606">
        <v>45018.0</v>
      </c>
      <c r="E264" s="684">
        <v>1959020.0</v>
      </c>
      <c r="F264" s="684">
        <v>1959020.0</v>
      </c>
      <c r="G264" s="608"/>
      <c r="H264" s="608"/>
      <c r="I264" s="608" t="s">
        <v>8</v>
      </c>
      <c r="J264" s="608"/>
      <c r="K264" s="608"/>
      <c r="L264" s="608"/>
      <c r="M264" s="608"/>
      <c r="N264" s="608"/>
      <c r="O264" s="610"/>
    </row>
    <row r="265" ht="13.5" customHeight="1">
      <c r="A265" s="602">
        <v>260.0</v>
      </c>
      <c r="B265" s="608" t="s">
        <v>2202</v>
      </c>
      <c r="C265" s="608" t="s">
        <v>533</v>
      </c>
      <c r="D265" s="606">
        <v>45018.0</v>
      </c>
      <c r="E265" s="684">
        <v>939820.0</v>
      </c>
      <c r="F265" s="684">
        <v>939820.0</v>
      </c>
      <c r="G265" s="608"/>
      <c r="H265" s="608"/>
      <c r="I265" s="608"/>
      <c r="J265" s="608"/>
      <c r="K265" s="608"/>
      <c r="L265" s="608"/>
      <c r="M265" s="608"/>
      <c r="N265" s="608"/>
      <c r="O265" s="610"/>
    </row>
    <row r="266" ht="13.5" customHeight="1">
      <c r="A266" s="602">
        <v>261.0</v>
      </c>
      <c r="B266" s="608" t="s">
        <v>2203</v>
      </c>
      <c r="C266" s="608" t="s">
        <v>533</v>
      </c>
      <c r="D266" s="606">
        <v>45018.0</v>
      </c>
      <c r="E266" s="684">
        <v>939820.0</v>
      </c>
      <c r="F266" s="684">
        <v>939820.0</v>
      </c>
      <c r="G266" s="608"/>
      <c r="H266" s="608"/>
      <c r="I266" s="608"/>
      <c r="J266" s="608"/>
      <c r="K266" s="608"/>
      <c r="L266" s="608"/>
      <c r="M266" s="608"/>
      <c r="N266" s="608"/>
      <c r="O266" s="610"/>
    </row>
    <row r="267" ht="13.5" customHeight="1">
      <c r="A267" s="602">
        <v>262.0</v>
      </c>
      <c r="B267" s="608" t="s">
        <v>2204</v>
      </c>
      <c r="C267" s="608" t="s">
        <v>536</v>
      </c>
      <c r="D267" s="606">
        <v>45018.0</v>
      </c>
      <c r="E267" s="684">
        <v>1273020.0</v>
      </c>
      <c r="F267" s="684">
        <v>1273020.0</v>
      </c>
      <c r="G267" s="608"/>
      <c r="H267" s="608"/>
      <c r="I267" s="608"/>
      <c r="J267" s="608"/>
      <c r="K267" s="608"/>
      <c r="L267" s="608"/>
      <c r="M267" s="608"/>
      <c r="N267" s="608"/>
      <c r="O267" s="610"/>
    </row>
    <row r="268" ht="13.5" customHeight="1">
      <c r="A268" s="602">
        <v>263.0</v>
      </c>
      <c r="B268" s="608" t="s">
        <v>2205</v>
      </c>
      <c r="C268" s="608" t="s">
        <v>538</v>
      </c>
      <c r="D268" s="606">
        <v>45018.0</v>
      </c>
      <c r="E268" s="684">
        <v>3135000.0</v>
      </c>
      <c r="F268" s="684">
        <v>3135000.0</v>
      </c>
      <c r="G268" s="608"/>
      <c r="H268" s="608"/>
      <c r="I268" s="608"/>
      <c r="J268" s="608" t="s">
        <v>303</v>
      </c>
      <c r="K268" s="608"/>
      <c r="L268" s="608"/>
      <c r="M268" s="608"/>
      <c r="N268" s="608"/>
      <c r="O268" s="610"/>
    </row>
    <row r="269" ht="13.5" customHeight="1">
      <c r="A269" s="602">
        <v>264.0</v>
      </c>
      <c r="B269" s="608" t="s">
        <v>2206</v>
      </c>
      <c r="C269" s="608" t="s">
        <v>538</v>
      </c>
      <c r="D269" s="606">
        <v>45018.0</v>
      </c>
      <c r="E269" s="684">
        <v>3135000.0</v>
      </c>
      <c r="F269" s="684">
        <v>3135000.0</v>
      </c>
      <c r="G269" s="608"/>
      <c r="H269" s="608"/>
      <c r="I269" s="608"/>
      <c r="J269" s="608" t="s">
        <v>303</v>
      </c>
      <c r="K269" s="608"/>
      <c r="L269" s="608"/>
      <c r="M269" s="608"/>
      <c r="N269" s="608"/>
      <c r="O269" s="610"/>
    </row>
    <row r="270" ht="13.5" customHeight="1">
      <c r="A270" s="602">
        <v>265.0</v>
      </c>
      <c r="B270" s="608" t="s">
        <v>2207</v>
      </c>
      <c r="C270" s="608" t="s">
        <v>541</v>
      </c>
      <c r="D270" s="606">
        <v>45019.0</v>
      </c>
      <c r="E270" s="684">
        <v>3299000.0</v>
      </c>
      <c r="F270" s="684">
        <v>3299000.0</v>
      </c>
      <c r="G270" s="608"/>
      <c r="H270" s="608"/>
      <c r="I270" s="608" t="s">
        <v>8</v>
      </c>
      <c r="J270" s="608"/>
      <c r="K270" s="608"/>
      <c r="L270" s="608"/>
      <c r="M270" s="608"/>
      <c r="N270" s="608"/>
      <c r="O270" s="610"/>
    </row>
    <row r="271" ht="13.5" customHeight="1">
      <c r="A271" s="602">
        <v>266.0</v>
      </c>
      <c r="B271" s="608" t="s">
        <v>2208</v>
      </c>
      <c r="C271" s="608" t="s">
        <v>543</v>
      </c>
      <c r="D271" s="606">
        <v>45019.0</v>
      </c>
      <c r="E271" s="684">
        <v>1469000.0</v>
      </c>
      <c r="F271" s="684">
        <v>1469000.0</v>
      </c>
      <c r="G271" s="608"/>
      <c r="H271" s="608"/>
      <c r="I271" s="608" t="s">
        <v>8</v>
      </c>
      <c r="J271" s="608" t="s">
        <v>324</v>
      </c>
      <c r="K271" s="608"/>
      <c r="L271" s="608"/>
      <c r="M271" s="608"/>
      <c r="N271" s="608"/>
      <c r="O271" s="610"/>
    </row>
    <row r="272" ht="13.5" customHeight="1">
      <c r="A272" s="602">
        <v>267.0</v>
      </c>
      <c r="B272" s="608" t="s">
        <v>2209</v>
      </c>
      <c r="C272" s="608" t="s">
        <v>1931</v>
      </c>
      <c r="D272" s="606">
        <v>45020.0</v>
      </c>
      <c r="E272" s="684">
        <v>3549000.0</v>
      </c>
      <c r="F272" s="684">
        <v>3549000.0</v>
      </c>
      <c r="G272" s="608"/>
      <c r="H272" s="608"/>
      <c r="I272" s="608" t="s">
        <v>8</v>
      </c>
      <c r="J272" s="608" t="s">
        <v>93</v>
      </c>
      <c r="K272" s="608"/>
      <c r="L272" s="608"/>
      <c r="M272" s="608"/>
      <c r="N272" s="608"/>
      <c r="O272" s="610"/>
    </row>
    <row r="273" ht="13.5" customHeight="1">
      <c r="A273" s="602">
        <v>268.0</v>
      </c>
      <c r="B273" s="608" t="s">
        <v>2210</v>
      </c>
      <c r="C273" s="608" t="s">
        <v>547</v>
      </c>
      <c r="D273" s="606">
        <v>45020.0</v>
      </c>
      <c r="E273" s="684">
        <v>1900000.0</v>
      </c>
      <c r="F273" s="684">
        <v>1900000.0</v>
      </c>
      <c r="G273" s="608"/>
      <c r="H273" s="608"/>
      <c r="I273" s="608" t="s">
        <v>8</v>
      </c>
      <c r="J273" s="608" t="s">
        <v>548</v>
      </c>
      <c r="K273" s="608"/>
      <c r="L273" s="608"/>
      <c r="M273" s="608"/>
      <c r="N273" s="608"/>
      <c r="O273" s="610"/>
    </row>
    <row r="274" ht="13.5" customHeight="1">
      <c r="A274" s="602">
        <v>269.0</v>
      </c>
      <c r="B274" s="608" t="s">
        <v>2211</v>
      </c>
      <c r="C274" s="608" t="s">
        <v>305</v>
      </c>
      <c r="D274" s="606">
        <v>45029.0</v>
      </c>
      <c r="E274" s="684">
        <v>3199000.0</v>
      </c>
      <c r="F274" s="684">
        <v>3199000.0</v>
      </c>
      <c r="G274" s="608"/>
      <c r="H274" s="608"/>
      <c r="I274" s="608"/>
      <c r="J274" s="608" t="s">
        <v>303</v>
      </c>
      <c r="K274" s="608"/>
      <c r="L274" s="608"/>
      <c r="M274" s="608"/>
      <c r="N274" s="608"/>
      <c r="O274" s="610"/>
    </row>
    <row r="275" ht="13.5" customHeight="1">
      <c r="A275" s="602">
        <v>270.0</v>
      </c>
      <c r="B275" s="608" t="s">
        <v>2212</v>
      </c>
      <c r="C275" s="608" t="s">
        <v>551</v>
      </c>
      <c r="D275" s="606">
        <v>45029.0</v>
      </c>
      <c r="E275" s="684">
        <v>584550.0</v>
      </c>
      <c r="F275" s="684">
        <v>584550.0</v>
      </c>
      <c r="G275" s="608"/>
      <c r="H275" s="608"/>
      <c r="I275" s="608"/>
      <c r="J275" s="608"/>
      <c r="K275" s="608"/>
      <c r="L275" s="608"/>
      <c r="M275" s="608"/>
      <c r="N275" s="608"/>
      <c r="O275" s="610"/>
    </row>
    <row r="276" ht="13.5" customHeight="1">
      <c r="A276" s="602">
        <v>271.0</v>
      </c>
      <c r="B276" s="608" t="s">
        <v>2213</v>
      </c>
      <c r="C276" s="608" t="s">
        <v>551</v>
      </c>
      <c r="D276" s="606">
        <v>45029.0</v>
      </c>
      <c r="E276" s="684">
        <v>584550.0</v>
      </c>
      <c r="F276" s="684">
        <v>584550.0</v>
      </c>
      <c r="G276" s="608"/>
      <c r="H276" s="608"/>
      <c r="I276" s="608"/>
      <c r="J276" s="608"/>
      <c r="K276" s="608"/>
      <c r="L276" s="608"/>
      <c r="M276" s="608"/>
      <c r="N276" s="608"/>
      <c r="O276" s="610"/>
    </row>
    <row r="277" ht="13.5" customHeight="1">
      <c r="A277" s="602">
        <v>272.0</v>
      </c>
      <c r="B277" s="608" t="s">
        <v>2214</v>
      </c>
      <c r="C277" s="608" t="s">
        <v>554</v>
      </c>
      <c r="D277" s="606">
        <v>45027.0</v>
      </c>
      <c r="E277" s="684">
        <v>1999000.0</v>
      </c>
      <c r="F277" s="684">
        <v>1999000.0</v>
      </c>
      <c r="G277" s="608"/>
      <c r="H277" s="608"/>
      <c r="I277" s="608"/>
      <c r="J277" s="608"/>
      <c r="K277" s="608"/>
      <c r="L277" s="608"/>
      <c r="M277" s="608"/>
      <c r="N277" s="608"/>
      <c r="O277" s="610"/>
    </row>
    <row r="278" ht="13.5" customHeight="1">
      <c r="A278" s="602">
        <v>273.0</v>
      </c>
      <c r="B278" s="608" t="s">
        <v>2215</v>
      </c>
      <c r="C278" s="608" t="s">
        <v>556</v>
      </c>
      <c r="D278" s="606">
        <v>45027.0</v>
      </c>
      <c r="E278" s="684">
        <v>2499000.0</v>
      </c>
      <c r="F278" s="684">
        <v>2499000.0</v>
      </c>
      <c r="G278" s="608"/>
      <c r="H278" s="608"/>
      <c r="I278" s="608"/>
      <c r="J278" s="608"/>
      <c r="K278" s="608"/>
      <c r="L278" s="608"/>
      <c r="M278" s="608"/>
      <c r="N278" s="608"/>
      <c r="O278" s="610"/>
    </row>
    <row r="279" ht="13.5" customHeight="1">
      <c r="A279" s="602">
        <v>274.0</v>
      </c>
      <c r="B279" s="608" t="s">
        <v>2216</v>
      </c>
      <c r="C279" s="608" t="s">
        <v>558</v>
      </c>
      <c r="D279" s="606">
        <v>45029.0</v>
      </c>
      <c r="E279" s="684">
        <v>1790200.0</v>
      </c>
      <c r="F279" s="684">
        <v>1790200.0</v>
      </c>
      <c r="G279" s="608"/>
      <c r="H279" s="608"/>
      <c r="I279" s="608" t="s">
        <v>1968</v>
      </c>
      <c r="J279" s="608" t="s">
        <v>559</v>
      </c>
      <c r="K279" s="608"/>
      <c r="L279" s="608"/>
      <c r="M279" s="608"/>
      <c r="N279" s="608"/>
      <c r="O279" s="610"/>
    </row>
    <row r="280" ht="13.5" customHeight="1">
      <c r="A280" s="602">
        <v>275.0</v>
      </c>
      <c r="B280" s="608" t="s">
        <v>2217</v>
      </c>
      <c r="C280" s="608" t="s">
        <v>561</v>
      </c>
      <c r="D280" s="606">
        <v>45026.0</v>
      </c>
      <c r="E280" s="684">
        <v>1585500.0</v>
      </c>
      <c r="F280" s="684">
        <v>1585500.0</v>
      </c>
      <c r="G280" s="608"/>
      <c r="H280" s="608"/>
      <c r="I280" s="608"/>
      <c r="J280" s="608"/>
      <c r="K280" s="608"/>
      <c r="L280" s="608"/>
      <c r="M280" s="608"/>
      <c r="N280" s="608"/>
      <c r="O280" s="610"/>
    </row>
    <row r="281" ht="13.5" customHeight="1">
      <c r="A281" s="602">
        <v>276.0</v>
      </c>
      <c r="B281" s="608" t="s">
        <v>2218</v>
      </c>
      <c r="C281" s="608" t="s">
        <v>563</v>
      </c>
      <c r="D281" s="606">
        <v>45030.0</v>
      </c>
      <c r="E281" s="684">
        <v>584500.0</v>
      </c>
      <c r="F281" s="684">
        <v>584500.0</v>
      </c>
      <c r="G281" s="608"/>
      <c r="H281" s="608"/>
      <c r="I281" s="605"/>
      <c r="J281" s="608"/>
      <c r="K281" s="608"/>
      <c r="L281" s="608"/>
      <c r="M281" s="608"/>
      <c r="N281" s="608"/>
      <c r="O281" s="610"/>
    </row>
    <row r="282" ht="13.5" customHeight="1">
      <c r="A282" s="602">
        <v>277.0</v>
      </c>
      <c r="B282" s="608" t="s">
        <v>2219</v>
      </c>
      <c r="C282" s="608" t="s">
        <v>565</v>
      </c>
      <c r="D282" s="595">
        <v>45071.0</v>
      </c>
      <c r="E282" s="684">
        <v>1.2935E7</v>
      </c>
      <c r="F282" s="684">
        <v>1.2935E7</v>
      </c>
      <c r="G282" s="608"/>
      <c r="H282" s="608"/>
      <c r="I282" s="608"/>
      <c r="J282" s="608" t="s">
        <v>485</v>
      </c>
      <c r="K282" s="608"/>
      <c r="L282" s="608"/>
      <c r="M282" s="608"/>
      <c r="N282" s="608"/>
      <c r="O282" s="610"/>
    </row>
    <row r="283" ht="13.5" customHeight="1">
      <c r="A283" s="602">
        <v>278.0</v>
      </c>
      <c r="B283" s="608" t="s">
        <v>2220</v>
      </c>
      <c r="C283" s="608" t="s">
        <v>567</v>
      </c>
      <c r="D283" s="595">
        <v>45071.0</v>
      </c>
      <c r="E283" s="684">
        <v>950000.0</v>
      </c>
      <c r="F283" s="684">
        <v>950000.0</v>
      </c>
      <c r="G283" s="608"/>
      <c r="H283" s="608"/>
      <c r="I283" s="608"/>
      <c r="J283" s="608" t="s">
        <v>485</v>
      </c>
      <c r="K283" s="608"/>
      <c r="L283" s="608"/>
      <c r="M283" s="608"/>
      <c r="N283" s="608"/>
      <c r="O283" s="610"/>
    </row>
    <row r="284" ht="13.5" customHeight="1">
      <c r="A284" s="602">
        <v>279.0</v>
      </c>
      <c r="B284" s="608" t="s">
        <v>2221</v>
      </c>
      <c r="C284" s="608" t="s">
        <v>570</v>
      </c>
      <c r="D284" s="606">
        <v>45052.0</v>
      </c>
      <c r="E284" s="684">
        <v>1.0360368E7</v>
      </c>
      <c r="F284" s="684">
        <v>1.0360368E7</v>
      </c>
      <c r="G284" s="608" t="s">
        <v>175</v>
      </c>
      <c r="H284" s="608" t="s">
        <v>108</v>
      </c>
      <c r="I284" s="608" t="s">
        <v>8</v>
      </c>
      <c r="J284" s="608" t="s">
        <v>121</v>
      </c>
      <c r="K284" s="608"/>
      <c r="L284" s="608"/>
      <c r="M284" s="608"/>
      <c r="N284" s="401" t="s">
        <v>52</v>
      </c>
      <c r="O284" s="610"/>
    </row>
    <row r="285" ht="13.5" customHeight="1">
      <c r="A285" s="602">
        <v>280.0</v>
      </c>
      <c r="B285" s="608" t="s">
        <v>2222</v>
      </c>
      <c r="C285" s="608" t="s">
        <v>572</v>
      </c>
      <c r="D285" s="595">
        <v>45052.0</v>
      </c>
      <c r="E285" s="684">
        <v>1.1801802E7</v>
      </c>
      <c r="F285" s="684">
        <v>1.1801802E7</v>
      </c>
      <c r="G285" s="608" t="s">
        <v>2091</v>
      </c>
      <c r="H285" s="608" t="s">
        <v>1890</v>
      </c>
      <c r="I285" s="605" t="s">
        <v>8</v>
      </c>
      <c r="J285" s="608" t="s">
        <v>121</v>
      </c>
      <c r="K285" s="608"/>
      <c r="L285" s="608"/>
      <c r="M285" s="608"/>
      <c r="N285" s="401" t="s">
        <v>52</v>
      </c>
      <c r="O285" s="610"/>
    </row>
    <row r="286" ht="13.5" customHeight="1">
      <c r="A286" s="741">
        <v>281.0</v>
      </c>
      <c r="B286" s="649" t="s">
        <v>2223</v>
      </c>
      <c r="C286" s="649" t="s">
        <v>574</v>
      </c>
      <c r="D286" s="615">
        <v>45056.0</v>
      </c>
      <c r="E286" s="701">
        <v>2520000.0</v>
      </c>
      <c r="F286" s="701">
        <v>2520000.0</v>
      </c>
      <c r="G286" s="649"/>
      <c r="H286" s="649"/>
      <c r="I286" s="646" t="s">
        <v>8</v>
      </c>
      <c r="J286" s="649" t="s">
        <v>575</v>
      </c>
      <c r="K286" s="649"/>
      <c r="L286" s="649"/>
      <c r="M286" s="649"/>
      <c r="N286" s="649"/>
      <c r="O286" s="652"/>
    </row>
    <row r="287" ht="13.5" customHeight="1">
      <c r="A287" s="602">
        <v>282.0</v>
      </c>
      <c r="B287" s="608" t="s">
        <v>2224</v>
      </c>
      <c r="C287" s="608" t="s">
        <v>578</v>
      </c>
      <c r="D287" s="606">
        <v>45056.0</v>
      </c>
      <c r="E287" s="684">
        <v>1860100.0</v>
      </c>
      <c r="F287" s="684">
        <v>1860100.0</v>
      </c>
      <c r="G287" s="608" t="s">
        <v>264</v>
      </c>
      <c r="H287" s="608" t="s">
        <v>158</v>
      </c>
      <c r="I287" s="605" t="s">
        <v>8</v>
      </c>
      <c r="J287" s="608" t="s">
        <v>279</v>
      </c>
      <c r="K287" s="608"/>
      <c r="L287" s="608"/>
      <c r="M287" s="608"/>
      <c r="N287" s="401" t="s">
        <v>52</v>
      </c>
      <c r="O287" s="610"/>
    </row>
    <row r="288" ht="13.5" customHeight="1">
      <c r="A288" s="602">
        <v>283.0</v>
      </c>
      <c r="B288" s="608" t="s">
        <v>2225</v>
      </c>
      <c r="C288" s="608" t="s">
        <v>580</v>
      </c>
      <c r="D288" s="615">
        <v>45070.0</v>
      </c>
      <c r="E288" s="684">
        <v>1.4234241E7</v>
      </c>
      <c r="F288" s="684">
        <v>1.4234241E7</v>
      </c>
      <c r="G288" s="608" t="s">
        <v>262</v>
      </c>
      <c r="H288" s="608" t="s">
        <v>95</v>
      </c>
      <c r="I288" s="605" t="s">
        <v>8</v>
      </c>
      <c r="J288" s="608" t="s">
        <v>71</v>
      </c>
      <c r="K288" s="608"/>
      <c r="L288" s="608"/>
      <c r="M288" s="608"/>
      <c r="N288" s="401" t="s">
        <v>52</v>
      </c>
      <c r="O288" s="610"/>
    </row>
    <row r="289" ht="13.5" customHeight="1">
      <c r="A289" s="602">
        <v>284.0</v>
      </c>
      <c r="B289" s="608" t="s">
        <v>2226</v>
      </c>
      <c r="C289" s="608" t="s">
        <v>1932</v>
      </c>
      <c r="D289" s="615">
        <v>45077.0</v>
      </c>
      <c r="E289" s="684">
        <v>758397.0</v>
      </c>
      <c r="F289" s="684">
        <v>758397.0</v>
      </c>
      <c r="G289" s="608"/>
      <c r="H289" s="608"/>
      <c r="I289" s="608"/>
      <c r="J289" s="608" t="s">
        <v>155</v>
      </c>
      <c r="K289" s="608"/>
      <c r="L289" s="608"/>
      <c r="M289" s="608"/>
      <c r="N289" s="608"/>
      <c r="O289" s="610"/>
    </row>
    <row r="290" ht="13.5" customHeight="1">
      <c r="A290" s="602">
        <v>285.0</v>
      </c>
      <c r="B290" s="608" t="s">
        <v>2227</v>
      </c>
      <c r="C290" s="608" t="s">
        <v>1932</v>
      </c>
      <c r="D290" s="595">
        <v>45077.0</v>
      </c>
      <c r="E290" s="684">
        <v>758397.0</v>
      </c>
      <c r="F290" s="684">
        <v>758397.0</v>
      </c>
      <c r="G290" s="608"/>
      <c r="H290" s="608"/>
      <c r="I290" s="608"/>
      <c r="J290" s="608" t="s">
        <v>155</v>
      </c>
      <c r="K290" s="608"/>
      <c r="L290" s="608"/>
      <c r="M290" s="608"/>
      <c r="N290" s="608"/>
      <c r="O290" s="610"/>
    </row>
    <row r="291" ht="13.5" customHeight="1">
      <c r="A291" s="602">
        <v>286.0</v>
      </c>
      <c r="B291" s="608" t="s">
        <v>2228</v>
      </c>
      <c r="C291" s="608" t="s">
        <v>79</v>
      </c>
      <c r="D291" s="595">
        <v>45077.0</v>
      </c>
      <c r="E291" s="684">
        <v>882000.0</v>
      </c>
      <c r="F291" s="684">
        <v>882000.0</v>
      </c>
      <c r="G291" s="608"/>
      <c r="H291" s="608"/>
      <c r="I291" s="608"/>
      <c r="J291" s="608" t="s">
        <v>155</v>
      </c>
      <c r="K291" s="608"/>
      <c r="L291" s="608"/>
      <c r="M291" s="608"/>
      <c r="N291" s="608"/>
      <c r="O291" s="610"/>
    </row>
    <row r="292" ht="13.5" customHeight="1">
      <c r="A292" s="602">
        <v>287.0</v>
      </c>
      <c r="B292" s="608" t="s">
        <v>2229</v>
      </c>
      <c r="C292" s="608" t="s">
        <v>79</v>
      </c>
      <c r="D292" s="606">
        <v>45077.0</v>
      </c>
      <c r="E292" s="684">
        <v>882000.0</v>
      </c>
      <c r="F292" s="684">
        <v>882000.0</v>
      </c>
      <c r="G292" s="608"/>
      <c r="H292" s="608"/>
      <c r="I292" s="608"/>
      <c r="J292" s="608" t="s">
        <v>155</v>
      </c>
      <c r="K292" s="608"/>
      <c r="L292" s="608"/>
      <c r="M292" s="608"/>
      <c r="N292" s="608"/>
      <c r="O292" s="610"/>
    </row>
    <row r="293" ht="13.5" customHeight="1">
      <c r="A293" s="741">
        <v>288.0</v>
      </c>
      <c r="B293" s="734" t="s">
        <v>2230</v>
      </c>
      <c r="C293" s="649" t="s">
        <v>590</v>
      </c>
      <c r="D293" s="595">
        <v>45084.0</v>
      </c>
      <c r="E293" s="701">
        <v>1250000.0</v>
      </c>
      <c r="F293" s="701">
        <v>1250000.0</v>
      </c>
      <c r="G293" s="649"/>
      <c r="H293" s="649"/>
      <c r="I293" s="649"/>
      <c r="J293" s="649" t="s">
        <v>66</v>
      </c>
      <c r="K293" s="649"/>
      <c r="L293" s="649"/>
      <c r="M293" s="649"/>
      <c r="N293" s="649"/>
      <c r="O293" s="652"/>
    </row>
    <row r="294" ht="13.5" customHeight="1">
      <c r="A294" s="741">
        <v>289.0</v>
      </c>
      <c r="B294" s="734" t="s">
        <v>2231</v>
      </c>
      <c r="C294" s="649" t="s">
        <v>586</v>
      </c>
      <c r="D294" s="595">
        <v>45078.0</v>
      </c>
      <c r="E294" s="701">
        <v>1.4E8</v>
      </c>
      <c r="F294" s="701">
        <v>1.4E8</v>
      </c>
      <c r="G294" s="649"/>
      <c r="H294" s="649"/>
      <c r="I294" s="649" t="s">
        <v>1968</v>
      </c>
      <c r="J294" s="649" t="s">
        <v>588</v>
      </c>
      <c r="K294" s="649"/>
      <c r="L294" s="649"/>
      <c r="M294" s="649"/>
      <c r="N294" s="649"/>
      <c r="O294" s="652"/>
    </row>
    <row r="295" ht="13.5" customHeight="1">
      <c r="A295" s="602">
        <v>290.0</v>
      </c>
      <c r="B295" s="608" t="s">
        <v>2232</v>
      </c>
      <c r="C295" s="608" t="s">
        <v>592</v>
      </c>
      <c r="D295" s="595">
        <v>42263.0</v>
      </c>
      <c r="E295" s="684">
        <v>1.6449438E8</v>
      </c>
      <c r="F295" s="684">
        <v>1.6449438E8</v>
      </c>
      <c r="G295" s="608"/>
      <c r="H295" s="608"/>
      <c r="I295" s="608"/>
      <c r="J295" s="608"/>
      <c r="K295" s="608"/>
      <c r="L295" s="608"/>
      <c r="M295" s="608"/>
      <c r="N295" s="608"/>
      <c r="O295" s="610"/>
    </row>
    <row r="296" ht="13.5" customHeight="1">
      <c r="A296" s="602">
        <v>291.0</v>
      </c>
      <c r="B296" s="608" t="s">
        <v>2233</v>
      </c>
      <c r="C296" s="608" t="s">
        <v>594</v>
      </c>
      <c r="D296" s="606">
        <v>43090.0</v>
      </c>
      <c r="E296" s="684">
        <v>9.952866E7</v>
      </c>
      <c r="F296" s="684">
        <v>9.952866E7</v>
      </c>
      <c r="G296" s="608"/>
      <c r="H296" s="608"/>
      <c r="I296" s="608"/>
      <c r="J296" s="608"/>
      <c r="K296" s="608"/>
      <c r="L296" s="608"/>
      <c r="M296" s="608"/>
      <c r="N296" s="608"/>
      <c r="O296" s="610"/>
    </row>
    <row r="297" ht="13.5" customHeight="1">
      <c r="A297" s="602">
        <v>292.0</v>
      </c>
      <c r="B297" s="608" t="s">
        <v>2234</v>
      </c>
      <c r="C297" s="608" t="s">
        <v>596</v>
      </c>
      <c r="D297" s="595">
        <v>43600.0</v>
      </c>
      <c r="E297" s="684">
        <v>2.93425E8</v>
      </c>
      <c r="F297" s="684">
        <v>2.93425E8</v>
      </c>
      <c r="G297" s="608"/>
      <c r="H297" s="608"/>
      <c r="I297" s="608"/>
      <c r="J297" s="608"/>
      <c r="K297" s="608"/>
      <c r="L297" s="608"/>
      <c r="M297" s="608"/>
      <c r="N297" s="608"/>
      <c r="O297" s="610"/>
    </row>
    <row r="298" ht="13.5" customHeight="1">
      <c r="A298" s="602">
        <v>293.0</v>
      </c>
      <c r="B298" s="608" t="s">
        <v>2235</v>
      </c>
      <c r="C298" s="608" t="s">
        <v>598</v>
      </c>
      <c r="D298" s="595">
        <v>45097.0</v>
      </c>
      <c r="E298" s="684">
        <v>1836500.0</v>
      </c>
      <c r="F298" s="684">
        <v>1836500.0</v>
      </c>
      <c r="G298" s="608"/>
      <c r="H298" s="608"/>
      <c r="I298" s="608"/>
      <c r="J298" s="608"/>
      <c r="K298" s="608"/>
      <c r="L298" s="608"/>
      <c r="M298" s="608"/>
      <c r="N298" s="608"/>
      <c r="O298" s="610"/>
    </row>
    <row r="299" ht="13.5" customHeight="1">
      <c r="A299" s="602">
        <v>294.0</v>
      </c>
      <c r="B299" s="608" t="s">
        <v>2236</v>
      </c>
      <c r="C299" s="608" t="s">
        <v>601</v>
      </c>
      <c r="D299" s="606">
        <v>45099.0</v>
      </c>
      <c r="E299" s="684">
        <v>542210.0</v>
      </c>
      <c r="F299" s="684">
        <v>542210.0</v>
      </c>
      <c r="G299" s="608"/>
      <c r="H299" s="608"/>
      <c r="I299" s="605" t="s">
        <v>8</v>
      </c>
      <c r="J299" s="608" t="s">
        <v>324</v>
      </c>
      <c r="K299" s="608"/>
      <c r="L299" s="608"/>
      <c r="M299" s="608"/>
      <c r="N299" s="608"/>
      <c r="O299" s="610"/>
    </row>
    <row r="300" ht="13.5" customHeight="1">
      <c r="A300" s="602">
        <v>295.0</v>
      </c>
      <c r="B300" s="608" t="s">
        <v>2237</v>
      </c>
      <c r="C300" s="608" t="s">
        <v>603</v>
      </c>
      <c r="D300" s="606">
        <v>45112.0</v>
      </c>
      <c r="E300" s="684">
        <v>2250000.0</v>
      </c>
      <c r="F300" s="684">
        <v>2250000.0</v>
      </c>
      <c r="G300" s="608"/>
      <c r="H300" s="608"/>
      <c r="I300" s="605" t="s">
        <v>8</v>
      </c>
      <c r="J300" s="608" t="s">
        <v>606</v>
      </c>
      <c r="K300" s="608"/>
      <c r="L300" s="608"/>
      <c r="M300" s="608"/>
      <c r="N300" s="608"/>
      <c r="O300" s="610"/>
    </row>
    <row r="301" ht="13.5" customHeight="1">
      <c r="A301" s="602">
        <v>296.0</v>
      </c>
      <c r="B301" s="608" t="s">
        <v>2238</v>
      </c>
      <c r="C301" s="608" t="s">
        <v>605</v>
      </c>
      <c r="D301" s="595">
        <v>45121.0</v>
      </c>
      <c r="E301" s="684">
        <v>1500000.0</v>
      </c>
      <c r="F301" s="684">
        <v>1500000.0</v>
      </c>
      <c r="G301" s="608"/>
      <c r="H301" s="608"/>
      <c r="I301" s="608" t="s">
        <v>1968</v>
      </c>
      <c r="J301" s="608"/>
      <c r="K301" s="608"/>
      <c r="L301" s="608"/>
      <c r="M301" s="608"/>
      <c r="N301" s="608"/>
      <c r="O301" s="610"/>
    </row>
    <row r="302" ht="13.5" customHeight="1">
      <c r="A302" s="602">
        <v>297.0</v>
      </c>
      <c r="B302" s="608" t="s">
        <v>1128</v>
      </c>
      <c r="C302" s="608" t="s">
        <v>608</v>
      </c>
      <c r="D302" s="606">
        <v>45127.0</v>
      </c>
      <c r="E302" s="684">
        <v>627700.0</v>
      </c>
      <c r="F302" s="684">
        <v>627700.0</v>
      </c>
      <c r="G302" s="608" t="s">
        <v>1885</v>
      </c>
      <c r="H302" s="608" t="s">
        <v>51</v>
      </c>
      <c r="I302" s="401" t="s">
        <v>8</v>
      </c>
      <c r="J302" s="608"/>
      <c r="K302" s="608"/>
      <c r="L302" s="608"/>
      <c r="M302" s="608"/>
      <c r="N302" s="401" t="s">
        <v>52</v>
      </c>
      <c r="O302" s="610"/>
    </row>
    <row r="303" ht="13.5" customHeight="1">
      <c r="A303" s="602">
        <v>298.0</v>
      </c>
      <c r="B303" s="608" t="s">
        <v>2239</v>
      </c>
      <c r="C303" s="608" t="s">
        <v>612</v>
      </c>
      <c r="D303" s="606">
        <v>45127.0</v>
      </c>
      <c r="E303" s="684">
        <v>697600.0</v>
      </c>
      <c r="F303" s="684">
        <v>697600.0</v>
      </c>
      <c r="G303" s="608"/>
      <c r="H303" s="608"/>
      <c r="I303" s="608" t="s">
        <v>1968</v>
      </c>
      <c r="J303" s="608"/>
      <c r="K303" s="608"/>
      <c r="L303" s="608"/>
      <c r="M303" s="608"/>
      <c r="N303" s="608"/>
      <c r="O303" s="610"/>
    </row>
    <row r="304" ht="13.5" customHeight="1">
      <c r="A304" s="602">
        <v>299.0</v>
      </c>
      <c r="B304" s="608" t="s">
        <v>2240</v>
      </c>
      <c r="C304" s="608" t="s">
        <v>614</v>
      </c>
      <c r="D304" s="595">
        <v>45129.0</v>
      </c>
      <c r="E304" s="684">
        <v>1399000.0</v>
      </c>
      <c r="F304" s="684">
        <v>1399000.0</v>
      </c>
      <c r="G304" s="608"/>
      <c r="H304" s="608"/>
      <c r="I304" s="608" t="s">
        <v>1968</v>
      </c>
      <c r="J304" s="608"/>
      <c r="K304" s="608"/>
      <c r="L304" s="608"/>
      <c r="M304" s="608"/>
      <c r="N304" s="608"/>
      <c r="O304" s="610"/>
    </row>
    <row r="305" ht="13.5" customHeight="1">
      <c r="A305" s="602">
        <v>300.0</v>
      </c>
      <c r="B305" s="608" t="s">
        <v>2241</v>
      </c>
      <c r="C305" s="608" t="s">
        <v>616</v>
      </c>
      <c r="D305" s="595">
        <v>45135.0</v>
      </c>
      <c r="E305" s="684">
        <v>538450.0</v>
      </c>
      <c r="F305" s="684">
        <v>538450.0</v>
      </c>
      <c r="G305" s="608"/>
      <c r="H305" s="608"/>
      <c r="I305" s="608" t="s">
        <v>1968</v>
      </c>
      <c r="J305" s="608" t="s">
        <v>617</v>
      </c>
      <c r="K305" s="608"/>
      <c r="L305" s="608"/>
      <c r="M305" s="608"/>
      <c r="N305" s="608"/>
      <c r="O305" s="610"/>
    </row>
    <row r="306" ht="13.5" customHeight="1">
      <c r="A306" s="602">
        <v>301.0</v>
      </c>
      <c r="B306" s="608" t="s">
        <v>2242</v>
      </c>
      <c r="C306" s="608" t="s">
        <v>619</v>
      </c>
      <c r="D306" s="595">
        <v>45135.0</v>
      </c>
      <c r="E306" s="684">
        <v>531600.0</v>
      </c>
      <c r="F306" s="684">
        <v>531600.0</v>
      </c>
      <c r="G306" s="608"/>
      <c r="H306" s="608"/>
      <c r="I306" s="608" t="s">
        <v>1968</v>
      </c>
      <c r="J306" s="608"/>
      <c r="K306" s="608"/>
      <c r="L306" s="608"/>
      <c r="M306" s="608"/>
      <c r="N306" s="608"/>
      <c r="O306" s="610"/>
    </row>
    <row r="307" ht="13.5" customHeight="1">
      <c r="A307" s="602">
        <v>302.0</v>
      </c>
      <c r="B307" s="608" t="s">
        <v>2243</v>
      </c>
      <c r="C307" s="608" t="s">
        <v>621</v>
      </c>
      <c r="D307" s="606">
        <v>45135.0</v>
      </c>
      <c r="E307" s="684">
        <v>398634.0</v>
      </c>
      <c r="F307" s="684">
        <v>398634.0</v>
      </c>
      <c r="G307" s="608"/>
      <c r="H307" s="608"/>
      <c r="I307" s="608" t="s">
        <v>1968</v>
      </c>
      <c r="J307" s="608" t="s">
        <v>623</v>
      </c>
      <c r="K307" s="608"/>
      <c r="L307" s="608"/>
      <c r="M307" s="608"/>
      <c r="N307" s="608"/>
      <c r="O307" s="610"/>
    </row>
    <row r="308" ht="13.5" customHeight="1">
      <c r="A308" s="602">
        <v>303.0</v>
      </c>
      <c r="B308" s="608" t="s">
        <v>2244</v>
      </c>
      <c r="C308" s="608" t="s">
        <v>625</v>
      </c>
      <c r="D308" s="606">
        <v>45135.0</v>
      </c>
      <c r="E308" s="684">
        <v>1074900.0</v>
      </c>
      <c r="F308" s="684">
        <v>1074900.0</v>
      </c>
      <c r="G308" s="608"/>
      <c r="H308" s="608"/>
      <c r="I308" s="608" t="s">
        <v>1968</v>
      </c>
      <c r="J308" s="608" t="s">
        <v>626</v>
      </c>
      <c r="K308" s="608"/>
      <c r="L308" s="608"/>
      <c r="M308" s="608"/>
      <c r="N308" s="608"/>
      <c r="O308" s="610"/>
    </row>
    <row r="309" ht="13.5" customHeight="1">
      <c r="A309" s="602">
        <v>304.0</v>
      </c>
      <c r="B309" s="608" t="s">
        <v>2245</v>
      </c>
      <c r="C309" s="608" t="s">
        <v>628</v>
      </c>
      <c r="D309" s="606">
        <v>45134.0</v>
      </c>
      <c r="E309" s="684">
        <v>999000.0</v>
      </c>
      <c r="F309" s="684">
        <v>999000.0</v>
      </c>
      <c r="G309" s="608"/>
      <c r="H309" s="608"/>
      <c r="I309" s="608" t="s">
        <v>1968</v>
      </c>
      <c r="J309" s="608" t="s">
        <v>155</v>
      </c>
      <c r="K309" s="608"/>
      <c r="L309" s="608"/>
      <c r="M309" s="608"/>
      <c r="N309" s="608"/>
      <c r="O309" s="610"/>
    </row>
    <row r="310" ht="13.5" customHeight="1">
      <c r="A310" s="602">
        <v>305.0</v>
      </c>
      <c r="B310" s="608" t="s">
        <v>2246</v>
      </c>
      <c r="C310" s="608" t="s">
        <v>628</v>
      </c>
      <c r="D310" s="606">
        <v>45134.0</v>
      </c>
      <c r="E310" s="684">
        <v>999000.0</v>
      </c>
      <c r="F310" s="684">
        <v>999000.0</v>
      </c>
      <c r="G310" s="608"/>
      <c r="H310" s="608"/>
      <c r="I310" s="608" t="s">
        <v>1968</v>
      </c>
      <c r="J310" s="608" t="s">
        <v>155</v>
      </c>
      <c r="K310" s="608"/>
      <c r="L310" s="608"/>
      <c r="M310" s="608"/>
      <c r="N310" s="608"/>
      <c r="O310" s="610"/>
    </row>
    <row r="311" ht="13.5" customHeight="1">
      <c r="A311" s="602">
        <v>306.0</v>
      </c>
      <c r="B311" s="608" t="s">
        <v>2247</v>
      </c>
      <c r="C311" s="608" t="s">
        <v>631</v>
      </c>
      <c r="D311" s="595">
        <v>45133.0</v>
      </c>
      <c r="E311" s="684">
        <v>379000.0</v>
      </c>
      <c r="F311" s="684">
        <v>379000.0</v>
      </c>
      <c r="G311" s="608"/>
      <c r="H311" s="608"/>
      <c r="I311" s="608" t="s">
        <v>1968</v>
      </c>
      <c r="J311" s="608" t="s">
        <v>155</v>
      </c>
      <c r="K311" s="608"/>
      <c r="L311" s="608"/>
      <c r="M311" s="608"/>
      <c r="N311" s="608"/>
      <c r="O311" s="610"/>
    </row>
    <row r="312" ht="13.5" customHeight="1">
      <c r="A312" s="602">
        <v>307.0</v>
      </c>
      <c r="B312" s="608" t="s">
        <v>2248</v>
      </c>
      <c r="C312" s="608" t="s">
        <v>631</v>
      </c>
      <c r="D312" s="606">
        <v>45133.0</v>
      </c>
      <c r="E312" s="684">
        <v>379000.0</v>
      </c>
      <c r="F312" s="684">
        <v>379000.0</v>
      </c>
      <c r="G312" s="608"/>
      <c r="H312" s="608"/>
      <c r="I312" s="608" t="s">
        <v>1968</v>
      </c>
      <c r="J312" s="608" t="s">
        <v>155</v>
      </c>
      <c r="K312" s="608"/>
      <c r="L312" s="608"/>
      <c r="M312" s="608"/>
      <c r="N312" s="608"/>
      <c r="O312" s="610"/>
    </row>
    <row r="313" ht="13.5" customHeight="1">
      <c r="A313" s="602">
        <v>308.0</v>
      </c>
      <c r="B313" s="608" t="s">
        <v>2249</v>
      </c>
      <c r="C313" s="608" t="s">
        <v>631</v>
      </c>
      <c r="D313" s="595">
        <v>45133.0</v>
      </c>
      <c r="E313" s="684">
        <v>379000.0</v>
      </c>
      <c r="F313" s="684">
        <v>379000.0</v>
      </c>
      <c r="G313" s="608"/>
      <c r="H313" s="608"/>
      <c r="I313" s="608" t="s">
        <v>1968</v>
      </c>
      <c r="J313" s="608" t="s">
        <v>155</v>
      </c>
      <c r="K313" s="608"/>
      <c r="L313" s="608"/>
      <c r="M313" s="608"/>
      <c r="N313" s="608"/>
      <c r="O313" s="610"/>
    </row>
    <row r="314" ht="13.5" customHeight="1">
      <c r="A314" s="602">
        <v>309.0</v>
      </c>
      <c r="B314" s="608" t="s">
        <v>2250</v>
      </c>
      <c r="C314" s="608" t="s">
        <v>631</v>
      </c>
      <c r="D314" s="595">
        <v>45133.0</v>
      </c>
      <c r="E314" s="684">
        <v>379000.0</v>
      </c>
      <c r="F314" s="684">
        <v>379000.0</v>
      </c>
      <c r="G314" s="608"/>
      <c r="H314" s="608"/>
      <c r="I314" s="608" t="s">
        <v>1968</v>
      </c>
      <c r="J314" s="608" t="s">
        <v>155</v>
      </c>
      <c r="K314" s="608"/>
      <c r="L314" s="608"/>
      <c r="M314" s="608"/>
      <c r="N314" s="608"/>
      <c r="O314" s="610"/>
    </row>
    <row r="315" ht="13.5" customHeight="1">
      <c r="A315" s="602">
        <v>310.0</v>
      </c>
      <c r="B315" s="608" t="s">
        <v>2251</v>
      </c>
      <c r="C315" s="608" t="s">
        <v>631</v>
      </c>
      <c r="D315" s="606">
        <v>45133.0</v>
      </c>
      <c r="E315" s="684">
        <v>379000.0</v>
      </c>
      <c r="F315" s="684">
        <v>379000.0</v>
      </c>
      <c r="G315" s="608"/>
      <c r="H315" s="608"/>
      <c r="I315" s="608" t="s">
        <v>1968</v>
      </c>
      <c r="J315" s="608" t="s">
        <v>155</v>
      </c>
      <c r="K315" s="608"/>
      <c r="L315" s="608"/>
      <c r="M315" s="608"/>
      <c r="N315" s="608"/>
      <c r="O315" s="610"/>
    </row>
    <row r="316" ht="13.5" customHeight="1">
      <c r="A316" s="602">
        <v>311.0</v>
      </c>
      <c r="B316" s="608" t="s">
        <v>2252</v>
      </c>
      <c r="C316" s="608" t="s">
        <v>631</v>
      </c>
      <c r="D316" s="606">
        <v>45133.0</v>
      </c>
      <c r="E316" s="684">
        <v>379000.0</v>
      </c>
      <c r="F316" s="684">
        <v>379000.0</v>
      </c>
      <c r="G316" s="608"/>
      <c r="H316" s="608"/>
      <c r="I316" s="608" t="s">
        <v>1968</v>
      </c>
      <c r="J316" s="608" t="s">
        <v>155</v>
      </c>
      <c r="K316" s="608"/>
      <c r="L316" s="608"/>
      <c r="M316" s="608"/>
      <c r="N316" s="608"/>
      <c r="O316" s="610"/>
    </row>
    <row r="317" ht="13.5" customHeight="1">
      <c r="A317" s="602">
        <v>312.0</v>
      </c>
      <c r="B317" s="608" t="s">
        <v>2253</v>
      </c>
      <c r="C317" s="608" t="s">
        <v>631</v>
      </c>
      <c r="D317" s="606">
        <v>45133.0</v>
      </c>
      <c r="E317" s="684">
        <v>379000.0</v>
      </c>
      <c r="F317" s="684">
        <v>379000.0</v>
      </c>
      <c r="G317" s="608"/>
      <c r="H317" s="608"/>
      <c r="I317" s="608" t="s">
        <v>1968</v>
      </c>
      <c r="J317" s="608" t="s">
        <v>155</v>
      </c>
      <c r="K317" s="608"/>
      <c r="L317" s="608"/>
      <c r="M317" s="608"/>
      <c r="N317" s="608"/>
      <c r="O317" s="610"/>
    </row>
    <row r="318" ht="13.5" customHeight="1">
      <c r="A318" s="602">
        <v>313.0</v>
      </c>
      <c r="B318" s="608" t="s">
        <v>2254</v>
      </c>
      <c r="C318" s="608" t="s">
        <v>631</v>
      </c>
      <c r="D318" s="606">
        <v>45133.0</v>
      </c>
      <c r="E318" s="684">
        <v>379000.0</v>
      </c>
      <c r="F318" s="684">
        <v>379000.0</v>
      </c>
      <c r="G318" s="608"/>
      <c r="H318" s="608"/>
      <c r="I318" s="608" t="s">
        <v>1968</v>
      </c>
      <c r="J318" s="608" t="s">
        <v>155</v>
      </c>
      <c r="K318" s="608"/>
      <c r="L318" s="608"/>
      <c r="M318" s="608"/>
      <c r="N318" s="608"/>
      <c r="O318" s="610"/>
    </row>
    <row r="319" ht="13.5" customHeight="1">
      <c r="A319" s="602">
        <v>314.0</v>
      </c>
      <c r="B319" s="608" t="s">
        <v>2255</v>
      </c>
      <c r="C319" s="608" t="s">
        <v>631</v>
      </c>
      <c r="D319" s="606">
        <v>45133.0</v>
      </c>
      <c r="E319" s="684">
        <v>379000.0</v>
      </c>
      <c r="F319" s="684">
        <v>379000.0</v>
      </c>
      <c r="G319" s="608"/>
      <c r="H319" s="608"/>
      <c r="I319" s="608" t="s">
        <v>1968</v>
      </c>
      <c r="J319" s="608" t="s">
        <v>155</v>
      </c>
      <c r="K319" s="608"/>
      <c r="L319" s="608"/>
      <c r="M319" s="608"/>
      <c r="N319" s="608"/>
      <c r="O319" s="610"/>
    </row>
    <row r="320" ht="13.5" customHeight="1">
      <c r="A320" s="602">
        <v>315.0</v>
      </c>
      <c r="B320" s="608" t="s">
        <v>2256</v>
      </c>
      <c r="C320" s="608" t="s">
        <v>631</v>
      </c>
      <c r="D320" s="657">
        <v>45133.0</v>
      </c>
      <c r="E320" s="684">
        <v>379000.0</v>
      </c>
      <c r="F320" s="684">
        <v>379000.0</v>
      </c>
      <c r="G320" s="608"/>
      <c r="H320" s="608"/>
      <c r="I320" s="608" t="s">
        <v>1968</v>
      </c>
      <c r="J320" s="608" t="s">
        <v>155</v>
      </c>
      <c r="K320" s="608"/>
      <c r="L320" s="608"/>
      <c r="M320" s="608"/>
      <c r="N320" s="608"/>
      <c r="O320" s="610"/>
    </row>
    <row r="321" ht="13.5" customHeight="1">
      <c r="A321" s="602">
        <v>316.0</v>
      </c>
      <c r="B321" s="608" t="s">
        <v>2257</v>
      </c>
      <c r="C321" s="608" t="s">
        <v>631</v>
      </c>
      <c r="D321" s="606">
        <v>45133.0</v>
      </c>
      <c r="E321" s="684">
        <v>379000.0</v>
      </c>
      <c r="F321" s="684">
        <v>379000.0</v>
      </c>
      <c r="G321" s="608"/>
      <c r="H321" s="608"/>
      <c r="I321" s="608" t="s">
        <v>1968</v>
      </c>
      <c r="J321" s="608" t="s">
        <v>155</v>
      </c>
      <c r="K321" s="608"/>
      <c r="L321" s="608"/>
      <c r="M321" s="608"/>
      <c r="N321" s="608"/>
      <c r="O321" s="610"/>
    </row>
    <row r="322" ht="13.5" customHeight="1">
      <c r="A322" s="602">
        <v>317.0</v>
      </c>
      <c r="B322" s="608" t="s">
        <v>2258</v>
      </c>
      <c r="C322" s="608" t="s">
        <v>631</v>
      </c>
      <c r="D322" s="691">
        <v>45133.0</v>
      </c>
      <c r="E322" s="684">
        <v>379000.0</v>
      </c>
      <c r="F322" s="684">
        <v>379000.0</v>
      </c>
      <c r="G322" s="608"/>
      <c r="H322" s="608"/>
      <c r="I322" s="608" t="s">
        <v>1968</v>
      </c>
      <c r="J322" s="608" t="s">
        <v>155</v>
      </c>
      <c r="K322" s="608"/>
      <c r="L322" s="608"/>
      <c r="M322" s="608"/>
      <c r="N322" s="608"/>
      <c r="O322" s="610"/>
    </row>
    <row r="323" ht="13.5" customHeight="1">
      <c r="A323" s="602">
        <v>318.0</v>
      </c>
      <c r="B323" s="608" t="s">
        <v>2259</v>
      </c>
      <c r="C323" s="608" t="s">
        <v>631</v>
      </c>
      <c r="D323" s="606">
        <v>45133.0</v>
      </c>
      <c r="E323" s="684">
        <v>379000.0</v>
      </c>
      <c r="F323" s="684">
        <v>379000.0</v>
      </c>
      <c r="G323" s="608"/>
      <c r="H323" s="608"/>
      <c r="I323" s="608" t="s">
        <v>1968</v>
      </c>
      <c r="J323" s="608" t="s">
        <v>155</v>
      </c>
      <c r="K323" s="608"/>
      <c r="L323" s="608"/>
      <c r="M323" s="608"/>
      <c r="N323" s="608"/>
      <c r="O323" s="610"/>
    </row>
    <row r="324" ht="13.5" customHeight="1">
      <c r="A324" s="602">
        <v>319.0</v>
      </c>
      <c r="B324" s="608" t="s">
        <v>2260</v>
      </c>
      <c r="C324" s="608" t="s">
        <v>631</v>
      </c>
      <c r="D324" s="606">
        <v>45133.0</v>
      </c>
      <c r="E324" s="684">
        <v>379000.0</v>
      </c>
      <c r="F324" s="684">
        <v>379000.0</v>
      </c>
      <c r="G324" s="608"/>
      <c r="H324" s="608"/>
      <c r="I324" s="608" t="s">
        <v>1968</v>
      </c>
      <c r="J324" s="608" t="s">
        <v>155</v>
      </c>
      <c r="K324" s="608"/>
      <c r="L324" s="608"/>
      <c r="M324" s="608"/>
      <c r="N324" s="608"/>
      <c r="O324" s="610"/>
    </row>
    <row r="325" ht="13.5" customHeight="1">
      <c r="A325" s="602">
        <v>320.0</v>
      </c>
      <c r="B325" s="608" t="s">
        <v>2261</v>
      </c>
      <c r="C325" s="608" t="s">
        <v>631</v>
      </c>
      <c r="D325" s="606">
        <v>45133.0</v>
      </c>
      <c r="E325" s="684">
        <v>379000.0</v>
      </c>
      <c r="F325" s="684">
        <v>379000.0</v>
      </c>
      <c r="G325" s="608"/>
      <c r="H325" s="608"/>
      <c r="I325" s="608" t="s">
        <v>1968</v>
      </c>
      <c r="J325" s="608" t="s">
        <v>155</v>
      </c>
      <c r="K325" s="608"/>
      <c r="L325" s="608"/>
      <c r="M325" s="608"/>
      <c r="N325" s="608"/>
      <c r="O325" s="610"/>
    </row>
    <row r="326" ht="13.5" customHeight="1">
      <c r="A326" s="602">
        <v>321.0</v>
      </c>
      <c r="B326" s="608" t="s">
        <v>2262</v>
      </c>
      <c r="C326" s="608" t="s">
        <v>647</v>
      </c>
      <c r="D326" s="606">
        <v>45134.0</v>
      </c>
      <c r="E326" s="684">
        <v>3200000.0</v>
      </c>
      <c r="F326" s="684">
        <v>3200000.0</v>
      </c>
      <c r="G326" s="608"/>
      <c r="H326" s="608"/>
      <c r="I326" s="608" t="s">
        <v>1968</v>
      </c>
      <c r="J326" s="608" t="s">
        <v>155</v>
      </c>
      <c r="K326" s="608"/>
      <c r="L326" s="608"/>
      <c r="M326" s="608"/>
      <c r="N326" s="608"/>
      <c r="O326" s="610"/>
    </row>
    <row r="327" ht="13.5" customHeight="1">
      <c r="A327" s="602">
        <v>322.0</v>
      </c>
      <c r="B327" s="608" t="s">
        <v>2263</v>
      </c>
      <c r="C327" s="608" t="s">
        <v>649</v>
      </c>
      <c r="D327" s="606">
        <v>45134.0</v>
      </c>
      <c r="E327" s="684">
        <v>599000.0</v>
      </c>
      <c r="F327" s="684">
        <v>599000.0</v>
      </c>
      <c r="G327" s="608"/>
      <c r="H327" s="608"/>
      <c r="I327" s="608" t="s">
        <v>1968</v>
      </c>
      <c r="J327" s="608" t="s">
        <v>155</v>
      </c>
      <c r="K327" s="608"/>
      <c r="L327" s="608"/>
      <c r="M327" s="608"/>
      <c r="N327" s="608"/>
      <c r="O327" s="610"/>
    </row>
    <row r="328" ht="13.5" customHeight="1">
      <c r="A328" s="602">
        <v>323.0</v>
      </c>
      <c r="B328" s="608" t="s">
        <v>2264</v>
      </c>
      <c r="C328" s="608" t="s">
        <v>651</v>
      </c>
      <c r="D328" s="606">
        <v>45134.0</v>
      </c>
      <c r="E328" s="684">
        <v>1799000.0</v>
      </c>
      <c r="F328" s="684">
        <v>1799000.0</v>
      </c>
      <c r="G328" s="608"/>
      <c r="H328" s="608"/>
      <c r="I328" s="608" t="s">
        <v>1968</v>
      </c>
      <c r="J328" s="608" t="s">
        <v>155</v>
      </c>
      <c r="K328" s="608"/>
      <c r="L328" s="608"/>
      <c r="M328" s="608"/>
      <c r="N328" s="608"/>
      <c r="O328" s="610"/>
    </row>
    <row r="329" ht="13.5" customHeight="1">
      <c r="A329" s="602">
        <v>324.0</v>
      </c>
      <c r="B329" s="608" t="s">
        <v>2265</v>
      </c>
      <c r="C329" s="608" t="s">
        <v>653</v>
      </c>
      <c r="D329" s="606">
        <v>45134.0</v>
      </c>
      <c r="E329" s="684">
        <v>2199000.0</v>
      </c>
      <c r="F329" s="684">
        <v>2199000.0</v>
      </c>
      <c r="G329" s="608"/>
      <c r="H329" s="608"/>
      <c r="I329" s="608" t="s">
        <v>1968</v>
      </c>
      <c r="J329" s="608" t="s">
        <v>155</v>
      </c>
      <c r="K329" s="608"/>
      <c r="L329" s="608"/>
      <c r="M329" s="608"/>
      <c r="N329" s="608"/>
      <c r="O329" s="610"/>
    </row>
    <row r="330" ht="13.5" customHeight="1">
      <c r="A330" s="602">
        <v>325.0</v>
      </c>
      <c r="B330" s="608" t="s">
        <v>2266</v>
      </c>
      <c r="C330" s="608" t="s">
        <v>655</v>
      </c>
      <c r="D330" s="606">
        <v>45120.0</v>
      </c>
      <c r="E330" s="684">
        <v>1.538E7</v>
      </c>
      <c r="F330" s="684">
        <v>1.538E7</v>
      </c>
      <c r="G330" s="608" t="s">
        <v>1933</v>
      </c>
      <c r="H330" s="608" t="s">
        <v>170</v>
      </c>
      <c r="I330" s="605" t="s">
        <v>8</v>
      </c>
      <c r="J330" s="608" t="s">
        <v>103</v>
      </c>
      <c r="K330" s="608"/>
      <c r="L330" s="608"/>
      <c r="M330" s="608"/>
      <c r="N330" s="401" t="s">
        <v>52</v>
      </c>
      <c r="O330" s="610"/>
    </row>
    <row r="331" ht="13.5" customHeight="1">
      <c r="A331" s="602">
        <v>326.0</v>
      </c>
      <c r="B331" s="608" t="s">
        <v>2267</v>
      </c>
      <c r="C331" s="608" t="s">
        <v>657</v>
      </c>
      <c r="D331" s="606">
        <v>45142.0</v>
      </c>
      <c r="E331" s="684">
        <v>4.0E7</v>
      </c>
      <c r="F331" s="684">
        <v>4.0E7</v>
      </c>
      <c r="G331" s="401" t="s">
        <v>2268</v>
      </c>
      <c r="H331" s="401" t="s">
        <v>622</v>
      </c>
      <c r="I331" s="608" t="s">
        <v>1968</v>
      </c>
      <c r="J331" s="608" t="s">
        <v>658</v>
      </c>
      <c r="K331" s="608"/>
      <c r="L331" s="608"/>
      <c r="M331" s="608"/>
      <c r="N331" s="401" t="s">
        <v>10</v>
      </c>
      <c r="O331" s="610"/>
    </row>
    <row r="332" ht="13.5" customHeight="1">
      <c r="A332" s="602">
        <v>327.0</v>
      </c>
      <c r="B332" s="608" t="s">
        <v>2269</v>
      </c>
      <c r="C332" s="608" t="s">
        <v>660</v>
      </c>
      <c r="D332" s="606">
        <v>45148.0</v>
      </c>
      <c r="E332" s="684">
        <v>1.06875E7</v>
      </c>
      <c r="F332" s="684">
        <v>1.06875E7</v>
      </c>
      <c r="G332" s="401" t="s">
        <v>138</v>
      </c>
      <c r="H332" s="401" t="s">
        <v>95</v>
      </c>
      <c r="I332" s="608" t="s">
        <v>1968</v>
      </c>
      <c r="J332" s="608"/>
      <c r="K332" s="608"/>
      <c r="L332" s="608"/>
      <c r="M332" s="608"/>
      <c r="N332" s="608"/>
      <c r="O332" s="610"/>
    </row>
    <row r="333" ht="13.5" customHeight="1">
      <c r="A333" s="602">
        <v>328.0</v>
      </c>
      <c r="B333" s="608" t="s">
        <v>2270</v>
      </c>
      <c r="C333" s="608" t="s">
        <v>663</v>
      </c>
      <c r="D333" s="606">
        <v>45152.0</v>
      </c>
      <c r="E333" s="684">
        <v>950000.0</v>
      </c>
      <c r="F333" s="684">
        <v>950000.0</v>
      </c>
      <c r="G333" s="401" t="s">
        <v>1906</v>
      </c>
      <c r="H333" s="401" t="s">
        <v>95</v>
      </c>
      <c r="I333" s="608" t="s">
        <v>1968</v>
      </c>
      <c r="J333" s="608" t="s">
        <v>344</v>
      </c>
      <c r="K333" s="608"/>
      <c r="L333" s="608"/>
      <c r="M333" s="608"/>
      <c r="N333" s="608"/>
      <c r="O333" s="610"/>
    </row>
    <row r="334" ht="13.5" customHeight="1">
      <c r="A334" s="602">
        <v>329.0</v>
      </c>
      <c r="B334" s="608" t="s">
        <v>2271</v>
      </c>
      <c r="C334" s="608" t="s">
        <v>665</v>
      </c>
      <c r="D334" s="606">
        <v>45159.0</v>
      </c>
      <c r="E334" s="684">
        <v>1.1483E7</v>
      </c>
      <c r="F334" s="684">
        <v>1.1483E7</v>
      </c>
      <c r="G334" s="401" t="s">
        <v>2268</v>
      </c>
      <c r="H334" s="401" t="s">
        <v>622</v>
      </c>
      <c r="I334" s="608" t="s">
        <v>1968</v>
      </c>
      <c r="J334" s="608" t="s">
        <v>666</v>
      </c>
      <c r="K334" s="608"/>
      <c r="L334" s="608"/>
      <c r="M334" s="608"/>
      <c r="N334" s="608"/>
      <c r="O334" s="610"/>
    </row>
    <row r="335" ht="13.5" customHeight="1">
      <c r="A335" s="602">
        <v>330.0</v>
      </c>
      <c r="B335" s="608" t="s">
        <v>2272</v>
      </c>
      <c r="C335" s="608" t="s">
        <v>668</v>
      </c>
      <c r="D335" s="606">
        <v>45159.0</v>
      </c>
      <c r="E335" s="684">
        <v>1.2883E7</v>
      </c>
      <c r="F335" s="684">
        <v>1.2883E7</v>
      </c>
      <c r="G335" s="401" t="s">
        <v>2268</v>
      </c>
      <c r="H335" s="401" t="s">
        <v>622</v>
      </c>
      <c r="I335" s="608" t="s">
        <v>1968</v>
      </c>
      <c r="J335" s="608"/>
      <c r="K335" s="608"/>
      <c r="L335" s="608"/>
      <c r="M335" s="608"/>
      <c r="N335" s="608"/>
      <c r="O335" s="610"/>
    </row>
    <row r="336" ht="13.5" customHeight="1">
      <c r="A336" s="602">
        <v>331.0</v>
      </c>
      <c r="B336" s="608" t="s">
        <v>2273</v>
      </c>
      <c r="C336" s="608" t="s">
        <v>670</v>
      </c>
      <c r="D336" s="615">
        <v>45159.0</v>
      </c>
      <c r="E336" s="684">
        <v>1607700.0</v>
      </c>
      <c r="F336" s="684">
        <v>1607700.0</v>
      </c>
      <c r="G336" s="401" t="s">
        <v>2268</v>
      </c>
      <c r="H336" s="401" t="s">
        <v>622</v>
      </c>
      <c r="I336" s="608" t="s">
        <v>1968</v>
      </c>
      <c r="J336" s="608" t="s">
        <v>485</v>
      </c>
      <c r="K336" s="608"/>
      <c r="L336" s="608"/>
      <c r="M336" s="608"/>
      <c r="N336" s="608"/>
      <c r="O336" s="610"/>
    </row>
    <row r="337" ht="13.5" customHeight="1">
      <c r="A337" s="602">
        <v>332.0</v>
      </c>
      <c r="B337" s="608" t="s">
        <v>2274</v>
      </c>
      <c r="C337" s="608" t="s">
        <v>672</v>
      </c>
      <c r="D337" s="615">
        <v>45161.0</v>
      </c>
      <c r="E337" s="684">
        <v>2820000.0</v>
      </c>
      <c r="F337" s="684">
        <v>2820000.0</v>
      </c>
      <c r="G337" s="401" t="s">
        <v>2268</v>
      </c>
      <c r="H337" s="401" t="s">
        <v>622</v>
      </c>
      <c r="I337" s="608" t="s">
        <v>1968</v>
      </c>
      <c r="J337" s="608" t="s">
        <v>673</v>
      </c>
      <c r="K337" s="608"/>
      <c r="L337" s="608"/>
      <c r="M337" s="608"/>
      <c r="N337" s="608"/>
      <c r="O337" s="610"/>
    </row>
    <row r="338" ht="13.5" customHeight="1">
      <c r="A338" s="602">
        <v>333.0</v>
      </c>
      <c r="B338" s="608"/>
      <c r="C338" s="608" t="s">
        <v>675</v>
      </c>
      <c r="D338" s="615">
        <v>45161.0</v>
      </c>
      <c r="E338" s="684">
        <v>1856000.0</v>
      </c>
      <c r="F338" s="684">
        <v>1856000.0</v>
      </c>
      <c r="G338" s="608"/>
      <c r="H338" s="401" t="s">
        <v>622</v>
      </c>
      <c r="I338" s="608" t="s">
        <v>1968</v>
      </c>
      <c r="J338" s="608"/>
      <c r="K338" s="608"/>
      <c r="L338" s="608"/>
      <c r="M338" s="608"/>
      <c r="N338" s="608"/>
      <c r="O338" s="610"/>
    </row>
    <row r="339" ht="13.5" customHeight="1">
      <c r="A339" s="602">
        <v>334.0</v>
      </c>
      <c r="B339" s="608" t="s">
        <v>2275</v>
      </c>
      <c r="C339" s="608" t="s">
        <v>677</v>
      </c>
      <c r="D339" s="615">
        <v>45170.0</v>
      </c>
      <c r="E339" s="684">
        <v>5675676.0</v>
      </c>
      <c r="F339" s="684">
        <v>5675676.0</v>
      </c>
      <c r="G339" s="608"/>
      <c r="H339" s="608" t="s">
        <v>95</v>
      </c>
      <c r="I339" s="608" t="s">
        <v>8</v>
      </c>
      <c r="J339" s="608"/>
      <c r="K339" s="608"/>
      <c r="L339" s="608"/>
      <c r="M339" s="608"/>
      <c r="N339" s="401" t="s">
        <v>52</v>
      </c>
      <c r="O339" s="610"/>
    </row>
    <row r="340" ht="13.5" customHeight="1">
      <c r="A340" s="602">
        <v>335.0</v>
      </c>
      <c r="B340" s="608" t="s">
        <v>2276</v>
      </c>
      <c r="C340" s="608" t="s">
        <v>679</v>
      </c>
      <c r="D340" s="606">
        <v>45175.0</v>
      </c>
      <c r="E340" s="684">
        <v>1275000.0</v>
      </c>
      <c r="F340" s="684">
        <v>1275000.0</v>
      </c>
      <c r="G340" s="401" t="s">
        <v>138</v>
      </c>
      <c r="H340" s="608" t="s">
        <v>95</v>
      </c>
      <c r="I340" s="608" t="s">
        <v>1968</v>
      </c>
      <c r="J340" s="608"/>
      <c r="K340" s="608"/>
      <c r="L340" s="608"/>
      <c r="M340" s="608"/>
      <c r="N340" s="608"/>
      <c r="O340" s="610"/>
    </row>
    <row r="341" ht="13.5" customHeight="1">
      <c r="A341" s="602">
        <v>336.0</v>
      </c>
      <c r="B341" s="608" t="s">
        <v>2277</v>
      </c>
      <c r="C341" s="608" t="s">
        <v>679</v>
      </c>
      <c r="D341" s="606">
        <v>45175.0</v>
      </c>
      <c r="E341" s="684">
        <v>1275000.0</v>
      </c>
      <c r="F341" s="684">
        <v>1275000.0</v>
      </c>
      <c r="G341" s="401" t="s">
        <v>138</v>
      </c>
      <c r="H341" s="608" t="s">
        <v>95</v>
      </c>
      <c r="I341" s="608" t="s">
        <v>1968</v>
      </c>
      <c r="J341" s="608"/>
      <c r="K341" s="608"/>
      <c r="L341" s="608"/>
      <c r="M341" s="608"/>
      <c r="N341" s="608"/>
      <c r="O341" s="610"/>
    </row>
    <row r="342" ht="13.5" customHeight="1">
      <c r="A342" s="602">
        <v>337.0</v>
      </c>
      <c r="B342" s="608" t="s">
        <v>2278</v>
      </c>
      <c r="C342" s="608" t="s">
        <v>682</v>
      </c>
      <c r="D342" s="606">
        <v>45176.0</v>
      </c>
      <c r="E342" s="684">
        <v>5115400.0</v>
      </c>
      <c r="F342" s="684">
        <v>5115400.0</v>
      </c>
      <c r="G342" s="401" t="s">
        <v>336</v>
      </c>
      <c r="H342" s="608" t="s">
        <v>95</v>
      </c>
      <c r="I342" s="608" t="s">
        <v>1968</v>
      </c>
      <c r="J342" s="608"/>
      <c r="K342" s="608"/>
      <c r="L342" s="608"/>
      <c r="M342" s="608"/>
      <c r="N342" s="608"/>
      <c r="O342" s="610"/>
    </row>
    <row r="343" ht="13.5" customHeight="1">
      <c r="A343" s="602">
        <v>338.0</v>
      </c>
      <c r="B343" s="608" t="s">
        <v>2279</v>
      </c>
      <c r="C343" s="608" t="s">
        <v>684</v>
      </c>
      <c r="D343" s="606">
        <v>45183.0</v>
      </c>
      <c r="E343" s="684">
        <v>1390000.0</v>
      </c>
      <c r="F343" s="684">
        <v>1390000.0</v>
      </c>
      <c r="G343" s="401" t="s">
        <v>336</v>
      </c>
      <c r="H343" s="401" t="s">
        <v>95</v>
      </c>
      <c r="I343" s="608" t="s">
        <v>1968</v>
      </c>
      <c r="J343" s="608" t="s">
        <v>127</v>
      </c>
      <c r="K343" s="608"/>
      <c r="L343" s="608"/>
      <c r="M343" s="608"/>
      <c r="N343" s="401" t="s">
        <v>52</v>
      </c>
      <c r="O343" s="610"/>
    </row>
    <row r="344" ht="13.5" customHeight="1">
      <c r="A344" s="602">
        <v>339.0</v>
      </c>
      <c r="B344" s="608" t="s">
        <v>2280</v>
      </c>
      <c r="C344" s="608" t="s">
        <v>686</v>
      </c>
      <c r="D344" s="606">
        <v>45213.0</v>
      </c>
      <c r="E344" s="684">
        <v>1.0495496E7</v>
      </c>
      <c r="F344" s="684">
        <v>1.0495496E7</v>
      </c>
      <c r="G344" s="608" t="s">
        <v>264</v>
      </c>
      <c r="H344" s="608" t="s">
        <v>158</v>
      </c>
      <c r="I344" s="608" t="s">
        <v>8</v>
      </c>
      <c r="J344" s="608" t="s">
        <v>71</v>
      </c>
      <c r="K344" s="608"/>
      <c r="L344" s="608"/>
      <c r="M344" s="608"/>
      <c r="N344" s="401" t="s">
        <v>52</v>
      </c>
      <c r="O344" s="610"/>
    </row>
    <row r="345" ht="13.5" customHeight="1">
      <c r="A345" s="602">
        <v>340.0</v>
      </c>
      <c r="B345" s="608" t="s">
        <v>2281</v>
      </c>
      <c r="C345" s="608" t="s">
        <v>688</v>
      </c>
      <c r="D345" s="606">
        <v>45213.0</v>
      </c>
      <c r="E345" s="684">
        <v>1.1351351E7</v>
      </c>
      <c r="F345" s="684">
        <v>1.1351351E7</v>
      </c>
      <c r="G345" s="608" t="s">
        <v>107</v>
      </c>
      <c r="H345" s="608" t="s">
        <v>108</v>
      </c>
      <c r="I345" s="608" t="s">
        <v>8</v>
      </c>
      <c r="J345" s="608" t="s">
        <v>71</v>
      </c>
      <c r="K345" s="608"/>
      <c r="L345" s="608"/>
      <c r="M345" s="608"/>
      <c r="N345" s="401" t="s">
        <v>52</v>
      </c>
      <c r="O345" s="610"/>
    </row>
    <row r="346" ht="13.5" customHeight="1">
      <c r="A346" s="602">
        <v>341.0</v>
      </c>
      <c r="B346" s="608" t="s">
        <v>1690</v>
      </c>
      <c r="C346" s="608" t="s">
        <v>690</v>
      </c>
      <c r="D346" s="606">
        <v>45213.0</v>
      </c>
      <c r="E346" s="684">
        <v>1.1351351E7</v>
      </c>
      <c r="F346" s="684">
        <v>1.1351351E7</v>
      </c>
      <c r="G346" s="608" t="s">
        <v>1935</v>
      </c>
      <c r="H346" s="608" t="s">
        <v>108</v>
      </c>
      <c r="I346" s="608" t="s">
        <v>8</v>
      </c>
      <c r="J346" s="608" t="s">
        <v>71</v>
      </c>
      <c r="K346" s="608"/>
      <c r="L346" s="608"/>
      <c r="M346" s="608"/>
      <c r="N346" s="401" t="s">
        <v>52</v>
      </c>
      <c r="O346" s="610"/>
    </row>
    <row r="347" ht="13.5" customHeight="1">
      <c r="A347" s="602">
        <v>342.0</v>
      </c>
      <c r="B347" s="608" t="s">
        <v>2282</v>
      </c>
      <c r="C347" s="608" t="s">
        <v>692</v>
      </c>
      <c r="D347" s="606">
        <v>45223.0</v>
      </c>
      <c r="E347" s="684">
        <v>1749000.0</v>
      </c>
      <c r="F347" s="684">
        <v>1749000.0</v>
      </c>
      <c r="G347" s="608" t="s">
        <v>198</v>
      </c>
      <c r="H347" s="608" t="s">
        <v>158</v>
      </c>
      <c r="I347" s="608" t="s">
        <v>8</v>
      </c>
      <c r="J347" s="608" t="s">
        <v>127</v>
      </c>
      <c r="K347" s="608"/>
      <c r="L347" s="608"/>
      <c r="M347" s="608"/>
      <c r="N347" s="401" t="s">
        <v>52</v>
      </c>
      <c r="O347" s="610"/>
    </row>
    <row r="348" ht="13.5" customHeight="1">
      <c r="A348" s="602">
        <v>343.0</v>
      </c>
      <c r="B348" s="608" t="s">
        <v>2283</v>
      </c>
      <c r="C348" s="608" t="s">
        <v>1936</v>
      </c>
      <c r="D348" s="606">
        <v>45212.0</v>
      </c>
      <c r="E348" s="684">
        <v>1099000.0</v>
      </c>
      <c r="F348" s="684">
        <v>1099000.0</v>
      </c>
      <c r="G348" s="608"/>
      <c r="H348" s="608" t="s">
        <v>95</v>
      </c>
      <c r="I348" s="401" t="s">
        <v>8</v>
      </c>
      <c r="J348" s="608" t="s">
        <v>155</v>
      </c>
      <c r="K348" s="608"/>
      <c r="L348" s="608"/>
      <c r="M348" s="608"/>
      <c r="N348" s="608"/>
      <c r="O348" s="610"/>
    </row>
    <row r="349" ht="13.5" customHeight="1">
      <c r="A349" s="602">
        <v>344.0</v>
      </c>
      <c r="B349" s="608" t="s">
        <v>2284</v>
      </c>
      <c r="C349" s="608" t="s">
        <v>1936</v>
      </c>
      <c r="D349" s="606">
        <v>45212.0</v>
      </c>
      <c r="E349" s="684">
        <v>1099000.0</v>
      </c>
      <c r="F349" s="684">
        <v>1099000.0</v>
      </c>
      <c r="G349" s="608"/>
      <c r="H349" s="608" t="s">
        <v>95</v>
      </c>
      <c r="I349" s="401" t="s">
        <v>1968</v>
      </c>
      <c r="J349" s="608" t="s">
        <v>155</v>
      </c>
      <c r="K349" s="608"/>
      <c r="L349" s="608"/>
      <c r="M349" s="608"/>
      <c r="N349" s="608"/>
      <c r="O349" s="610"/>
    </row>
    <row r="350" ht="13.5" customHeight="1">
      <c r="A350" s="602">
        <v>345.0</v>
      </c>
      <c r="B350" s="608" t="s">
        <v>2285</v>
      </c>
      <c r="C350" s="608" t="s">
        <v>1936</v>
      </c>
      <c r="D350" s="606">
        <v>45212.0</v>
      </c>
      <c r="E350" s="684">
        <v>1099000.0</v>
      </c>
      <c r="F350" s="684">
        <v>1099000.0</v>
      </c>
      <c r="G350" s="608"/>
      <c r="H350" s="608" t="s">
        <v>95</v>
      </c>
      <c r="I350" s="608" t="s">
        <v>1968</v>
      </c>
      <c r="J350" s="608" t="s">
        <v>155</v>
      </c>
      <c r="K350" s="608"/>
      <c r="L350" s="608"/>
      <c r="M350" s="608"/>
      <c r="N350" s="608"/>
      <c r="O350" s="610"/>
    </row>
    <row r="351" ht="13.5" customHeight="1">
      <c r="A351" s="602">
        <v>346.0</v>
      </c>
      <c r="B351" s="608" t="s">
        <v>2286</v>
      </c>
      <c r="C351" s="608" t="s">
        <v>1939</v>
      </c>
      <c r="D351" s="606">
        <v>45212.0</v>
      </c>
      <c r="E351" s="684">
        <v>1599000.0</v>
      </c>
      <c r="F351" s="684">
        <v>1599000.0</v>
      </c>
      <c r="G351" s="608"/>
      <c r="H351" s="608" t="s">
        <v>95</v>
      </c>
      <c r="I351" s="401" t="s">
        <v>1968</v>
      </c>
      <c r="J351" s="608" t="s">
        <v>155</v>
      </c>
      <c r="K351" s="608"/>
      <c r="L351" s="608"/>
      <c r="M351" s="608"/>
      <c r="N351" s="608"/>
      <c r="O351" s="610"/>
    </row>
    <row r="352" ht="13.5" customHeight="1">
      <c r="A352" s="602">
        <v>347.0</v>
      </c>
      <c r="B352" s="608" t="s">
        <v>2287</v>
      </c>
      <c r="C352" s="608" t="s">
        <v>1940</v>
      </c>
      <c r="D352" s="606">
        <v>45212.0</v>
      </c>
      <c r="E352" s="684">
        <v>1599000.0</v>
      </c>
      <c r="F352" s="684">
        <v>1599000.0</v>
      </c>
      <c r="G352" s="608"/>
      <c r="H352" s="608" t="s">
        <v>95</v>
      </c>
      <c r="I352" s="608" t="s">
        <v>1968</v>
      </c>
      <c r="J352" s="608" t="s">
        <v>155</v>
      </c>
      <c r="K352" s="608"/>
      <c r="L352" s="608"/>
      <c r="M352" s="608"/>
      <c r="N352" s="608"/>
      <c r="O352" s="610"/>
    </row>
    <row r="353" ht="13.5" customHeight="1">
      <c r="A353" s="602">
        <v>348.0</v>
      </c>
      <c r="B353" s="608" t="s">
        <v>2288</v>
      </c>
      <c r="C353" s="608" t="s">
        <v>1940</v>
      </c>
      <c r="D353" s="606">
        <v>45212.0</v>
      </c>
      <c r="E353" s="684">
        <v>1599000.0</v>
      </c>
      <c r="F353" s="684">
        <v>1599000.0</v>
      </c>
      <c r="G353" s="608"/>
      <c r="H353" s="608" t="s">
        <v>95</v>
      </c>
      <c r="I353" s="608" t="s">
        <v>1968</v>
      </c>
      <c r="J353" s="608" t="s">
        <v>155</v>
      </c>
      <c r="K353" s="608"/>
      <c r="L353" s="608"/>
      <c r="M353" s="608"/>
      <c r="N353" s="608"/>
      <c r="O353" s="610"/>
    </row>
    <row r="354" ht="13.5" customHeight="1">
      <c r="A354" s="602">
        <v>349.0</v>
      </c>
      <c r="B354" s="608" t="s">
        <v>2289</v>
      </c>
      <c r="C354" s="608" t="s">
        <v>700</v>
      </c>
      <c r="D354" s="606">
        <v>45229.0</v>
      </c>
      <c r="E354" s="684">
        <v>2.5E8</v>
      </c>
      <c r="F354" s="684">
        <v>2.5E8</v>
      </c>
      <c r="G354" s="401" t="s">
        <v>1906</v>
      </c>
      <c r="H354" s="401" t="s">
        <v>323</v>
      </c>
      <c r="I354" s="608" t="s">
        <v>1968</v>
      </c>
      <c r="J354" s="608" t="s">
        <v>701</v>
      </c>
      <c r="K354" s="608"/>
      <c r="L354" s="608"/>
      <c r="M354" s="608"/>
      <c r="N354" s="608"/>
      <c r="O354" s="610"/>
    </row>
    <row r="355" ht="13.5" customHeight="1">
      <c r="A355" s="741">
        <v>350.0</v>
      </c>
      <c r="B355" s="649" t="s">
        <v>2290</v>
      </c>
      <c r="C355" s="649" t="s">
        <v>703</v>
      </c>
      <c r="D355" s="595">
        <v>45232.0</v>
      </c>
      <c r="E355" s="701">
        <v>1526000.0</v>
      </c>
      <c r="F355" s="701">
        <v>1425000.0</v>
      </c>
      <c r="G355" s="649"/>
      <c r="H355" s="649" t="s">
        <v>95</v>
      </c>
      <c r="I355" s="649" t="s">
        <v>1968</v>
      </c>
      <c r="J355" s="649"/>
      <c r="K355" s="649"/>
      <c r="L355" s="649"/>
      <c r="M355" s="649"/>
      <c r="N355" s="649"/>
      <c r="O355" s="652"/>
    </row>
    <row r="356" ht="13.5" customHeight="1">
      <c r="A356" s="741">
        <v>351.0</v>
      </c>
      <c r="B356" s="649" t="s">
        <v>2291</v>
      </c>
      <c r="C356" s="649" t="s">
        <v>705</v>
      </c>
      <c r="D356" s="595">
        <v>45233.0</v>
      </c>
      <c r="E356" s="701">
        <v>907350.0</v>
      </c>
      <c r="F356" s="701">
        <v>842500.0</v>
      </c>
      <c r="G356" s="649"/>
      <c r="H356" s="649" t="s">
        <v>95</v>
      </c>
      <c r="I356" s="649" t="s">
        <v>1968</v>
      </c>
      <c r="J356" s="649"/>
      <c r="K356" s="649"/>
      <c r="L356" s="649"/>
      <c r="M356" s="649"/>
      <c r="N356" s="649"/>
      <c r="O356" s="652"/>
    </row>
    <row r="357" ht="13.5" customHeight="1">
      <c r="A357" s="741">
        <v>352.0</v>
      </c>
      <c r="B357" s="649" t="s">
        <v>2292</v>
      </c>
      <c r="C357" s="649" t="s">
        <v>705</v>
      </c>
      <c r="D357" s="606">
        <v>45233.0</v>
      </c>
      <c r="E357" s="701">
        <v>907350.0</v>
      </c>
      <c r="F357" s="701">
        <v>842500.0</v>
      </c>
      <c r="G357" s="649"/>
      <c r="H357" s="649" t="s">
        <v>95</v>
      </c>
      <c r="I357" s="649" t="s">
        <v>1968</v>
      </c>
      <c r="J357" s="649"/>
      <c r="K357" s="649"/>
      <c r="L357" s="649"/>
      <c r="M357" s="649"/>
      <c r="N357" s="649"/>
      <c r="O357" s="652"/>
    </row>
    <row r="358" ht="13.5" customHeight="1">
      <c r="A358" s="741">
        <v>353.0</v>
      </c>
      <c r="B358" s="649" t="s">
        <v>2293</v>
      </c>
      <c r="C358" s="649" t="s">
        <v>708</v>
      </c>
      <c r="D358" s="606">
        <v>45233.0</v>
      </c>
      <c r="E358" s="701">
        <v>242467.0</v>
      </c>
      <c r="F358" s="701">
        <v>221000.0</v>
      </c>
      <c r="G358" s="649"/>
      <c r="H358" s="649" t="s">
        <v>95</v>
      </c>
      <c r="I358" s="649" t="s">
        <v>1968</v>
      </c>
      <c r="J358" s="649" t="s">
        <v>709</v>
      </c>
      <c r="K358" s="649"/>
      <c r="L358" s="649"/>
      <c r="M358" s="649"/>
      <c r="N358" s="649"/>
      <c r="O358" s="652"/>
    </row>
    <row r="359" ht="13.5" customHeight="1">
      <c r="A359" s="741">
        <v>354.0</v>
      </c>
      <c r="B359" s="649" t="s">
        <v>2294</v>
      </c>
      <c r="C359" s="649" t="s">
        <v>708</v>
      </c>
      <c r="D359" s="606">
        <v>45233.0</v>
      </c>
      <c r="E359" s="701">
        <v>242467.0</v>
      </c>
      <c r="F359" s="701">
        <v>221000.0</v>
      </c>
      <c r="G359" s="649"/>
      <c r="H359" s="649" t="s">
        <v>95</v>
      </c>
      <c r="I359" s="649" t="s">
        <v>1968</v>
      </c>
      <c r="J359" s="649" t="s">
        <v>709</v>
      </c>
      <c r="K359" s="649"/>
      <c r="L359" s="649"/>
      <c r="M359" s="649"/>
      <c r="N359" s="649"/>
      <c r="O359" s="652"/>
    </row>
    <row r="360" ht="13.5" customHeight="1">
      <c r="A360" s="741">
        <v>355.0</v>
      </c>
      <c r="B360" s="649" t="s">
        <v>2295</v>
      </c>
      <c r="C360" s="649" t="s">
        <v>708</v>
      </c>
      <c r="D360" s="606">
        <v>45233.0</v>
      </c>
      <c r="E360" s="701">
        <v>242467.0</v>
      </c>
      <c r="F360" s="701">
        <v>221000.0</v>
      </c>
      <c r="G360" s="649"/>
      <c r="H360" s="649" t="s">
        <v>95</v>
      </c>
      <c r="I360" s="649" t="s">
        <v>1968</v>
      </c>
      <c r="J360" s="649" t="s">
        <v>709</v>
      </c>
      <c r="K360" s="649"/>
      <c r="L360" s="649"/>
      <c r="M360" s="649"/>
      <c r="N360" s="649"/>
      <c r="O360" s="652"/>
    </row>
    <row r="361" ht="13.5" customHeight="1">
      <c r="A361" s="741">
        <v>356.0</v>
      </c>
      <c r="B361" s="649" t="s">
        <v>2296</v>
      </c>
      <c r="C361" s="649" t="s">
        <v>713</v>
      </c>
      <c r="D361" s="595">
        <v>45257.0</v>
      </c>
      <c r="E361" s="701">
        <v>2034200.0</v>
      </c>
      <c r="F361" s="701">
        <v>1959000.0</v>
      </c>
      <c r="G361" s="649"/>
      <c r="H361" s="649"/>
      <c r="I361" s="649"/>
      <c r="J361" s="649" t="s">
        <v>127</v>
      </c>
      <c r="K361" s="649"/>
      <c r="L361" s="649"/>
      <c r="M361" s="649"/>
      <c r="N361" s="649"/>
      <c r="O361" s="652"/>
    </row>
    <row r="362" ht="13.5" customHeight="1">
      <c r="A362" s="741">
        <v>357.0</v>
      </c>
      <c r="B362" s="649" t="s">
        <v>2297</v>
      </c>
      <c r="C362" s="649" t="s">
        <v>715</v>
      </c>
      <c r="D362" s="595">
        <v>45258.0</v>
      </c>
      <c r="E362" s="701">
        <v>1318900.0</v>
      </c>
      <c r="F362" s="701">
        <v>1285000.0</v>
      </c>
      <c r="G362" s="649"/>
      <c r="H362" s="649"/>
      <c r="I362" s="649"/>
      <c r="J362" s="649" t="s">
        <v>66</v>
      </c>
      <c r="K362" s="649"/>
      <c r="L362" s="649"/>
      <c r="M362" s="649"/>
      <c r="N362" s="649"/>
      <c r="O362" s="652"/>
    </row>
    <row r="363" ht="13.5" customHeight="1">
      <c r="A363" s="741">
        <v>358.0</v>
      </c>
      <c r="B363" s="649" t="s">
        <v>2298</v>
      </c>
      <c r="C363" s="649" t="s">
        <v>717</v>
      </c>
      <c r="D363" s="606">
        <v>45254.0</v>
      </c>
      <c r="E363" s="701">
        <v>4.5E8</v>
      </c>
      <c r="F363" s="701">
        <v>4279900.0</v>
      </c>
      <c r="G363" s="650" t="s">
        <v>2299</v>
      </c>
      <c r="H363" s="650" t="s">
        <v>622</v>
      </c>
      <c r="I363" s="649" t="s">
        <v>1968</v>
      </c>
      <c r="J363" s="649"/>
      <c r="K363" s="649"/>
      <c r="L363" s="649"/>
      <c r="M363" s="649"/>
      <c r="N363" s="649"/>
      <c r="O363" s="652"/>
    </row>
    <row r="364" ht="13.5" customHeight="1">
      <c r="A364" s="741">
        <v>359.0</v>
      </c>
      <c r="B364" s="649" t="s">
        <v>2300</v>
      </c>
      <c r="C364" s="649" t="s">
        <v>720</v>
      </c>
      <c r="D364" s="615">
        <v>45284.0</v>
      </c>
      <c r="E364" s="701">
        <v>5000000.0</v>
      </c>
      <c r="F364" s="701">
        <v>5550000.0</v>
      </c>
      <c r="G364" s="649"/>
      <c r="H364" s="649"/>
      <c r="I364" s="649" t="s">
        <v>1968</v>
      </c>
      <c r="J364" s="649" t="s">
        <v>121</v>
      </c>
      <c r="K364" s="649"/>
      <c r="L364" s="649"/>
      <c r="M364" s="649"/>
      <c r="N364" s="649"/>
      <c r="O364" s="652"/>
    </row>
    <row r="365" ht="13.5" customHeight="1">
      <c r="A365" s="741">
        <v>360.0</v>
      </c>
      <c r="B365" s="649" t="s">
        <v>2301</v>
      </c>
      <c r="C365" s="649" t="s">
        <v>722</v>
      </c>
      <c r="D365" s="606">
        <v>45284.0</v>
      </c>
      <c r="E365" s="701">
        <v>7657658.0</v>
      </c>
      <c r="F365" s="701">
        <v>8500000.0</v>
      </c>
      <c r="G365" s="649"/>
      <c r="H365" s="649"/>
      <c r="I365" s="649"/>
      <c r="J365" s="649" t="s">
        <v>121</v>
      </c>
      <c r="K365" s="649"/>
      <c r="L365" s="649"/>
      <c r="M365" s="649"/>
      <c r="N365" s="649"/>
      <c r="O365" s="652"/>
    </row>
    <row r="366" ht="13.5" customHeight="1">
      <c r="A366" s="741">
        <v>361.0</v>
      </c>
      <c r="B366" s="649" t="s">
        <v>1687</v>
      </c>
      <c r="C366" s="649" t="s">
        <v>724</v>
      </c>
      <c r="D366" s="606">
        <v>45284.0</v>
      </c>
      <c r="E366" s="701">
        <v>1.1981982E7</v>
      </c>
      <c r="F366" s="701">
        <v>1.33E7</v>
      </c>
      <c r="G366" s="649"/>
      <c r="H366" s="649"/>
      <c r="I366" s="649"/>
      <c r="J366" s="649" t="s">
        <v>71</v>
      </c>
      <c r="K366" s="649"/>
      <c r="L366" s="649"/>
      <c r="M366" s="649"/>
      <c r="N366" s="649"/>
      <c r="O366" s="652"/>
    </row>
    <row r="367" ht="13.5" customHeight="1">
      <c r="A367" s="643">
        <v>362.0</v>
      </c>
      <c r="B367" s="649" t="s">
        <v>2302</v>
      </c>
      <c r="C367" s="646" t="s">
        <v>2303</v>
      </c>
      <c r="D367" s="647">
        <v>45295.0</v>
      </c>
      <c r="E367" s="701">
        <v>3128020.0</v>
      </c>
      <c r="F367" s="742">
        <v>3128020.0</v>
      </c>
      <c r="G367" s="649"/>
      <c r="H367" s="649"/>
      <c r="I367" s="649" t="s">
        <v>1968</v>
      </c>
      <c r="J367" s="649"/>
      <c r="K367" s="649"/>
      <c r="L367" s="649"/>
      <c r="M367" s="649"/>
      <c r="N367" s="649"/>
      <c r="O367" s="652"/>
    </row>
    <row r="368" ht="13.5" customHeight="1">
      <c r="A368" s="743">
        <v>363.0</v>
      </c>
      <c r="B368" s="744" t="s">
        <v>2304</v>
      </c>
      <c r="C368" s="744" t="s">
        <v>726</v>
      </c>
      <c r="D368" s="745">
        <v>45291.0</v>
      </c>
      <c r="E368" s="746">
        <v>2.0001E8</v>
      </c>
      <c r="F368" s="746"/>
      <c r="G368" s="744"/>
      <c r="H368" s="744"/>
      <c r="I368" s="744"/>
      <c r="J368" s="744"/>
      <c r="K368" s="744"/>
      <c r="L368" s="744"/>
      <c r="M368" s="744"/>
      <c r="N368" s="744"/>
      <c r="O368" s="747"/>
    </row>
    <row r="369" ht="13.5" customHeight="1">
      <c r="A369" s="697">
        <v>366.0</v>
      </c>
      <c r="B369" s="608"/>
      <c r="C369" s="608" t="s">
        <v>2305</v>
      </c>
      <c r="D369" s="606">
        <v>45295.0</v>
      </c>
      <c r="E369" s="684">
        <v>3128020.0</v>
      </c>
      <c r="F369" s="684"/>
      <c r="G369" s="401" t="s">
        <v>138</v>
      </c>
      <c r="H369" s="608" t="s">
        <v>95</v>
      </c>
      <c r="I369" s="605" t="s">
        <v>1968</v>
      </c>
      <c r="J369" s="608" t="s">
        <v>434</v>
      </c>
      <c r="K369" s="608"/>
      <c r="L369" s="608"/>
      <c r="M369" s="608"/>
      <c r="N369" s="401" t="s">
        <v>52</v>
      </c>
      <c r="O369" s="610"/>
    </row>
    <row r="370" ht="13.5" customHeight="1">
      <c r="A370" s="602">
        <v>364.0</v>
      </c>
      <c r="B370" s="608"/>
      <c r="C370" s="748" t="s">
        <v>731</v>
      </c>
      <c r="D370" s="595">
        <v>45309.0</v>
      </c>
      <c r="E370" s="684">
        <v>2.1478311E7</v>
      </c>
      <c r="F370" s="684"/>
      <c r="G370" s="608" t="s">
        <v>120</v>
      </c>
      <c r="H370" s="608" t="s">
        <v>95</v>
      </c>
      <c r="I370" s="608" t="s">
        <v>8</v>
      </c>
      <c r="J370" s="608" t="s">
        <v>732</v>
      </c>
      <c r="K370" s="608"/>
      <c r="L370" s="608"/>
      <c r="M370" s="608"/>
      <c r="N370" s="401" t="s">
        <v>52</v>
      </c>
      <c r="O370" s="610"/>
    </row>
    <row r="371" ht="13.5" customHeight="1">
      <c r="A371" s="602">
        <v>365.0</v>
      </c>
      <c r="B371" s="608"/>
      <c r="C371" s="608" t="s">
        <v>734</v>
      </c>
      <c r="D371" s="595">
        <v>45309.0</v>
      </c>
      <c r="E371" s="684">
        <v>2.1175619E8</v>
      </c>
      <c r="F371" s="684"/>
      <c r="G371" s="608" t="s">
        <v>1658</v>
      </c>
      <c r="H371" s="608" t="s">
        <v>95</v>
      </c>
      <c r="I371" s="608" t="s">
        <v>1968</v>
      </c>
      <c r="J371" s="608"/>
      <c r="K371" s="608"/>
      <c r="L371" s="608"/>
      <c r="M371" s="608"/>
      <c r="N371" s="401" t="s">
        <v>52</v>
      </c>
      <c r="O371" s="610"/>
    </row>
    <row r="372" ht="13.5" customHeight="1">
      <c r="A372" s="697">
        <v>367.0</v>
      </c>
      <c r="B372" s="608"/>
      <c r="C372" s="608" t="s">
        <v>737</v>
      </c>
      <c r="D372" s="606">
        <v>45310.0</v>
      </c>
      <c r="E372" s="704">
        <v>255000.0</v>
      </c>
      <c r="F372" s="684"/>
      <c r="G372" s="401" t="s">
        <v>336</v>
      </c>
      <c r="H372" s="608" t="s">
        <v>47</v>
      </c>
      <c r="I372" s="605" t="s">
        <v>1968</v>
      </c>
      <c r="J372" s="608"/>
      <c r="K372" s="608"/>
      <c r="L372" s="608"/>
      <c r="M372" s="608"/>
      <c r="N372" s="401" t="s">
        <v>52</v>
      </c>
      <c r="O372" s="610"/>
    </row>
    <row r="373" ht="13.5" customHeight="1">
      <c r="A373" s="697"/>
      <c r="B373" s="608"/>
      <c r="C373" s="608" t="s">
        <v>737</v>
      </c>
      <c r="D373" s="606">
        <v>45310.0</v>
      </c>
      <c r="E373" s="704">
        <v>255000.0</v>
      </c>
      <c r="F373" s="684"/>
      <c r="G373" s="401" t="s">
        <v>138</v>
      </c>
      <c r="H373" s="401" t="s">
        <v>95</v>
      </c>
      <c r="I373" s="695" t="s">
        <v>1968</v>
      </c>
      <c r="J373" s="608"/>
      <c r="K373" s="608"/>
      <c r="L373" s="608"/>
      <c r="M373" s="608"/>
      <c r="N373" s="401"/>
      <c r="O373" s="610"/>
    </row>
    <row r="374" ht="13.5" customHeight="1">
      <c r="A374" s="697">
        <v>370.0</v>
      </c>
      <c r="B374" s="608"/>
      <c r="C374" s="608" t="s">
        <v>741</v>
      </c>
      <c r="D374" s="606">
        <v>45335.0</v>
      </c>
      <c r="E374" s="704">
        <v>417500.0</v>
      </c>
      <c r="F374" s="684"/>
      <c r="G374" s="401" t="s">
        <v>138</v>
      </c>
      <c r="H374" s="608" t="s">
        <v>95</v>
      </c>
      <c r="I374" s="605" t="s">
        <v>1968</v>
      </c>
      <c r="J374" s="608"/>
      <c r="K374" s="608"/>
      <c r="L374" s="608"/>
      <c r="M374" s="608"/>
      <c r="N374" s="401" t="s">
        <v>52</v>
      </c>
      <c r="O374" s="610"/>
    </row>
    <row r="375" ht="13.5" customHeight="1">
      <c r="A375" s="697">
        <v>371.0</v>
      </c>
      <c r="B375" s="608"/>
      <c r="C375" s="608" t="s">
        <v>741</v>
      </c>
      <c r="D375" s="606">
        <v>45335.0</v>
      </c>
      <c r="E375" s="704">
        <v>417500.0</v>
      </c>
      <c r="F375" s="684"/>
      <c r="G375" s="401" t="s">
        <v>138</v>
      </c>
      <c r="H375" s="608" t="s">
        <v>95</v>
      </c>
      <c r="I375" s="605" t="s">
        <v>1968</v>
      </c>
      <c r="J375" s="608"/>
      <c r="K375" s="608"/>
      <c r="L375" s="608"/>
      <c r="M375" s="608"/>
      <c r="N375" s="401" t="s">
        <v>52</v>
      </c>
      <c r="O375" s="610"/>
    </row>
    <row r="376" ht="13.5" customHeight="1">
      <c r="A376" s="697">
        <v>373.0</v>
      </c>
      <c r="B376" s="608"/>
      <c r="C376" s="608" t="s">
        <v>744</v>
      </c>
      <c r="D376" s="606">
        <v>45335.0</v>
      </c>
      <c r="E376" s="704">
        <v>587550.0</v>
      </c>
      <c r="F376" s="684"/>
      <c r="G376" s="401" t="s">
        <v>138</v>
      </c>
      <c r="H376" s="608" t="s">
        <v>95</v>
      </c>
      <c r="I376" s="605" t="s">
        <v>1968</v>
      </c>
      <c r="J376" s="608"/>
      <c r="K376" s="608"/>
      <c r="L376" s="608"/>
      <c r="M376" s="608"/>
      <c r="N376" s="401" t="s">
        <v>52</v>
      </c>
      <c r="O376" s="610"/>
    </row>
    <row r="377" ht="13.5" customHeight="1">
      <c r="A377" s="697">
        <v>374.0</v>
      </c>
      <c r="B377" s="608"/>
      <c r="C377" s="608" t="s">
        <v>744</v>
      </c>
      <c r="D377" s="606">
        <v>45335.0</v>
      </c>
      <c r="E377" s="704">
        <v>587550.0</v>
      </c>
      <c r="F377" s="684"/>
      <c r="G377" s="401" t="s">
        <v>138</v>
      </c>
      <c r="H377" s="608" t="s">
        <v>95</v>
      </c>
      <c r="I377" s="605" t="s">
        <v>1968</v>
      </c>
      <c r="J377" s="608"/>
      <c r="K377" s="608"/>
      <c r="L377" s="608"/>
      <c r="M377" s="608"/>
      <c r="N377" s="401" t="s">
        <v>52</v>
      </c>
      <c r="O377" s="610"/>
    </row>
    <row r="378" ht="13.5" customHeight="1">
      <c r="A378" s="741">
        <v>372.0</v>
      </c>
      <c r="B378" s="649"/>
      <c r="C378" s="649" t="s">
        <v>777</v>
      </c>
      <c r="D378" s="739">
        <v>45365.0</v>
      </c>
      <c r="E378" s="749">
        <v>1531532.0</v>
      </c>
      <c r="F378" s="701"/>
      <c r="G378" s="649" t="s">
        <v>120</v>
      </c>
      <c r="H378" s="649" t="s">
        <v>95</v>
      </c>
      <c r="I378" s="649" t="s">
        <v>8</v>
      </c>
      <c r="J378" s="649" t="s">
        <v>778</v>
      </c>
      <c r="K378" s="649"/>
      <c r="L378" s="649"/>
      <c r="M378" s="649"/>
      <c r="N378" s="650" t="s">
        <v>52</v>
      </c>
      <c r="O378" s="652"/>
    </row>
    <row r="379" ht="13.5" customHeight="1">
      <c r="A379" s="741">
        <v>379.0</v>
      </c>
      <c r="B379" s="649"/>
      <c r="C379" s="649" t="s">
        <v>747</v>
      </c>
      <c r="D379" s="647">
        <v>45342.0</v>
      </c>
      <c r="E379" s="749">
        <v>6.006E7</v>
      </c>
      <c r="F379" s="701"/>
      <c r="G379" s="650" t="s">
        <v>2268</v>
      </c>
      <c r="H379" s="650" t="s">
        <v>622</v>
      </c>
      <c r="I379" s="646" t="s">
        <v>1968</v>
      </c>
      <c r="J379" s="649"/>
      <c r="K379" s="649"/>
      <c r="L379" s="649"/>
      <c r="M379" s="649"/>
      <c r="N379" s="650" t="s">
        <v>52</v>
      </c>
      <c r="O379" s="652"/>
    </row>
    <row r="380" ht="13.5" customHeight="1">
      <c r="A380" s="741">
        <v>368.0</v>
      </c>
      <c r="B380" s="649"/>
      <c r="C380" s="649" t="s">
        <v>749</v>
      </c>
      <c r="D380" s="606">
        <v>45344.0</v>
      </c>
      <c r="E380" s="749">
        <v>770900.0</v>
      </c>
      <c r="F380" s="701"/>
      <c r="G380" s="649"/>
      <c r="H380" s="649" t="s">
        <v>95</v>
      </c>
      <c r="I380" s="649" t="s">
        <v>8</v>
      </c>
      <c r="J380" s="649"/>
      <c r="K380" s="649"/>
      <c r="L380" s="649"/>
      <c r="M380" s="649"/>
      <c r="N380" s="650" t="s">
        <v>52</v>
      </c>
      <c r="O380" s="652"/>
    </row>
    <row r="381" ht="13.5" customHeight="1">
      <c r="A381" s="741">
        <v>369.0</v>
      </c>
      <c r="B381" s="649"/>
      <c r="C381" s="649" t="s">
        <v>751</v>
      </c>
      <c r="D381" s="606">
        <v>45344.0</v>
      </c>
      <c r="E381" s="749">
        <v>950000.0</v>
      </c>
      <c r="F381" s="701"/>
      <c r="G381" s="649" t="s">
        <v>372</v>
      </c>
      <c r="H381" s="649" t="s">
        <v>1890</v>
      </c>
      <c r="I381" s="649" t="s">
        <v>8</v>
      </c>
      <c r="J381" s="649" t="s">
        <v>752</v>
      </c>
      <c r="K381" s="649"/>
      <c r="L381" s="649"/>
      <c r="M381" s="649"/>
      <c r="N381" s="650" t="s">
        <v>52</v>
      </c>
      <c r="O381" s="652"/>
    </row>
    <row r="382" ht="13.5" customHeight="1">
      <c r="A382" s="741">
        <v>369.0</v>
      </c>
      <c r="B382" s="649"/>
      <c r="C382" s="649" t="s">
        <v>751</v>
      </c>
      <c r="D382" s="606">
        <v>45344.0</v>
      </c>
      <c r="E382" s="749">
        <v>950000.0</v>
      </c>
      <c r="F382" s="701"/>
      <c r="G382" s="649" t="s">
        <v>372</v>
      </c>
      <c r="H382" s="649" t="s">
        <v>1890</v>
      </c>
      <c r="I382" s="649" t="s">
        <v>8</v>
      </c>
      <c r="J382" s="649" t="s">
        <v>752</v>
      </c>
      <c r="K382" s="649"/>
      <c r="L382" s="649"/>
      <c r="M382" s="649"/>
      <c r="N382" s="650" t="s">
        <v>52</v>
      </c>
      <c r="O382" s="652"/>
    </row>
    <row r="383" ht="13.5" customHeight="1">
      <c r="A383" s="697">
        <v>376.0</v>
      </c>
      <c r="B383" s="608"/>
      <c r="C383" s="608" t="s">
        <v>2306</v>
      </c>
      <c r="D383" s="606">
        <v>45345.0</v>
      </c>
      <c r="E383" s="704">
        <v>859000.0</v>
      </c>
      <c r="F383" s="684"/>
      <c r="G383" s="608"/>
      <c r="H383" s="608" t="s">
        <v>95</v>
      </c>
      <c r="I383" s="608" t="s">
        <v>8</v>
      </c>
      <c r="J383" s="608" t="s">
        <v>155</v>
      </c>
      <c r="K383" s="608"/>
      <c r="L383" s="608"/>
      <c r="M383" s="608"/>
      <c r="N383" s="608"/>
      <c r="O383" s="610"/>
    </row>
    <row r="384" ht="13.5" customHeight="1">
      <c r="A384" s="697">
        <v>377.0</v>
      </c>
      <c r="B384" s="608"/>
      <c r="C384" s="608" t="s">
        <v>2306</v>
      </c>
      <c r="D384" s="606">
        <v>45345.0</v>
      </c>
      <c r="E384" s="704">
        <v>859000.0</v>
      </c>
      <c r="F384" s="684"/>
      <c r="G384" s="608"/>
      <c r="H384" s="608" t="s">
        <v>95</v>
      </c>
      <c r="I384" s="608" t="s">
        <v>8</v>
      </c>
      <c r="J384" s="608" t="s">
        <v>155</v>
      </c>
      <c r="K384" s="608"/>
      <c r="L384" s="608"/>
      <c r="M384" s="608"/>
      <c r="N384" s="608"/>
      <c r="O384" s="610"/>
    </row>
    <row r="385" ht="13.5" customHeight="1">
      <c r="A385" s="697">
        <v>378.0</v>
      </c>
      <c r="B385" s="608"/>
      <c r="C385" s="608" t="s">
        <v>2306</v>
      </c>
      <c r="D385" s="606">
        <v>45345.0</v>
      </c>
      <c r="E385" s="704">
        <v>859000.0</v>
      </c>
      <c r="F385" s="684"/>
      <c r="G385" s="608"/>
      <c r="H385" s="608" t="s">
        <v>95</v>
      </c>
      <c r="I385" s="608" t="s">
        <v>8</v>
      </c>
      <c r="J385" s="608" t="s">
        <v>155</v>
      </c>
      <c r="K385" s="608"/>
      <c r="L385" s="608"/>
      <c r="M385" s="608"/>
      <c r="N385" s="608"/>
      <c r="O385" s="610"/>
    </row>
    <row r="386" ht="13.5" customHeight="1">
      <c r="A386" s="602">
        <v>375.0</v>
      </c>
      <c r="B386" s="608"/>
      <c r="C386" s="608" t="s">
        <v>760</v>
      </c>
      <c r="D386" s="606">
        <v>45351.0</v>
      </c>
      <c r="E386" s="684">
        <v>1.225E7</v>
      </c>
      <c r="F386" s="684"/>
      <c r="G386" s="608" t="s">
        <v>1906</v>
      </c>
      <c r="H386" s="608" t="s">
        <v>323</v>
      </c>
      <c r="I386" s="605" t="s">
        <v>1968</v>
      </c>
      <c r="J386" s="608" t="s">
        <v>121</v>
      </c>
      <c r="K386" s="608"/>
      <c r="L386" s="608"/>
      <c r="M386" s="608"/>
      <c r="N386" s="401" t="s">
        <v>52</v>
      </c>
      <c r="O386" s="610"/>
    </row>
    <row r="387" ht="13.5" customHeight="1">
      <c r="A387" s="602">
        <v>380.0</v>
      </c>
      <c r="B387" s="608"/>
      <c r="C387" s="608" t="s">
        <v>762</v>
      </c>
      <c r="D387" s="647">
        <v>45351.0</v>
      </c>
      <c r="E387" s="684">
        <v>2068400.0</v>
      </c>
      <c r="F387" s="684"/>
      <c r="G387" s="608" t="s">
        <v>439</v>
      </c>
      <c r="H387" s="608" t="s">
        <v>51</v>
      </c>
      <c r="I387" s="608" t="s">
        <v>8</v>
      </c>
      <c r="J387" s="608" t="s">
        <v>127</v>
      </c>
      <c r="K387" s="608"/>
      <c r="L387" s="608"/>
      <c r="M387" s="608"/>
      <c r="N387" s="401" t="s">
        <v>52</v>
      </c>
      <c r="O387" s="610"/>
    </row>
    <row r="388" ht="13.5" customHeight="1">
      <c r="A388" s="602">
        <v>381.0</v>
      </c>
      <c r="B388" s="608"/>
      <c r="C388" s="750" t="s">
        <v>764</v>
      </c>
      <c r="D388" s="606">
        <v>45355.0</v>
      </c>
      <c r="E388" s="684">
        <v>3.1E9</v>
      </c>
      <c r="F388" s="684"/>
      <c r="G388" s="608" t="s">
        <v>97</v>
      </c>
      <c r="H388" s="608" t="s">
        <v>51</v>
      </c>
      <c r="I388" s="608" t="s">
        <v>8</v>
      </c>
      <c r="J388" s="608"/>
      <c r="K388" s="608"/>
      <c r="L388" s="608"/>
      <c r="M388" s="608"/>
      <c r="N388" s="401" t="s">
        <v>52</v>
      </c>
      <c r="O388" s="610"/>
    </row>
    <row r="389" ht="13.5" customHeight="1">
      <c r="A389" s="697">
        <v>382.0</v>
      </c>
      <c r="B389" s="608"/>
      <c r="C389" s="750" t="s">
        <v>767</v>
      </c>
      <c r="D389" s="606">
        <v>45365.0</v>
      </c>
      <c r="E389" s="684">
        <v>1370850.4504504504</v>
      </c>
      <c r="F389" s="684"/>
      <c r="G389" s="608"/>
      <c r="H389" s="608" t="s">
        <v>95</v>
      </c>
      <c r="I389" s="608" t="s">
        <v>8</v>
      </c>
      <c r="J389" s="608" t="s">
        <v>768</v>
      </c>
      <c r="K389" s="608"/>
      <c r="L389" s="608"/>
      <c r="M389" s="608"/>
      <c r="N389" s="401" t="s">
        <v>52</v>
      </c>
      <c r="O389" s="610"/>
    </row>
    <row r="390" ht="13.5" customHeight="1">
      <c r="A390" s="602"/>
      <c r="B390" s="608"/>
      <c r="C390" s="750" t="s">
        <v>767</v>
      </c>
      <c r="D390" s="606">
        <v>45365.0</v>
      </c>
      <c r="E390" s="684">
        <v>1370850.4504504504</v>
      </c>
      <c r="F390" s="684"/>
      <c r="G390" s="608"/>
      <c r="H390" s="608"/>
      <c r="I390" s="608"/>
      <c r="J390" s="608"/>
      <c r="K390" s="608"/>
      <c r="L390" s="608"/>
      <c r="M390" s="608"/>
      <c r="N390" s="401"/>
      <c r="O390" s="610"/>
    </row>
    <row r="391" ht="13.5" customHeight="1">
      <c r="A391" s="602"/>
      <c r="B391" s="608"/>
      <c r="C391" s="750" t="s">
        <v>767</v>
      </c>
      <c r="D391" s="606">
        <v>45365.0</v>
      </c>
      <c r="E391" s="684">
        <v>1370850.4504504504</v>
      </c>
      <c r="F391" s="684"/>
      <c r="G391" s="608"/>
      <c r="H391" s="608"/>
      <c r="I391" s="608"/>
      <c r="J391" s="608"/>
      <c r="K391" s="608"/>
      <c r="L391" s="608"/>
      <c r="M391" s="608"/>
      <c r="N391" s="401"/>
      <c r="O391" s="610"/>
    </row>
    <row r="392" ht="13.5" customHeight="1">
      <c r="A392" s="602"/>
      <c r="B392" s="608"/>
      <c r="C392" s="750" t="s">
        <v>767</v>
      </c>
      <c r="D392" s="606">
        <v>45365.0</v>
      </c>
      <c r="E392" s="684">
        <v>1370850.4504504504</v>
      </c>
      <c r="F392" s="684"/>
      <c r="G392" s="608"/>
      <c r="H392" s="608"/>
      <c r="I392" s="608"/>
      <c r="J392" s="608"/>
      <c r="K392" s="608"/>
      <c r="L392" s="608"/>
      <c r="M392" s="608"/>
      <c r="N392" s="401"/>
      <c r="O392" s="610"/>
    </row>
    <row r="393" ht="13.5" customHeight="1">
      <c r="A393" s="602">
        <v>383.0</v>
      </c>
      <c r="B393" s="608"/>
      <c r="C393" s="608" t="s">
        <v>773</v>
      </c>
      <c r="D393" s="606">
        <v>45365.0</v>
      </c>
      <c r="E393" s="684">
        <v>1370850.4504504504</v>
      </c>
      <c r="F393" s="684"/>
      <c r="G393" s="608"/>
      <c r="H393" s="608" t="s">
        <v>95</v>
      </c>
      <c r="I393" s="608" t="s">
        <v>8</v>
      </c>
      <c r="J393" s="608" t="s">
        <v>768</v>
      </c>
      <c r="K393" s="608"/>
      <c r="L393" s="608"/>
      <c r="M393" s="608"/>
      <c r="N393" s="401" t="s">
        <v>52</v>
      </c>
      <c r="O393" s="610"/>
    </row>
    <row r="394" ht="13.5" customHeight="1">
      <c r="A394" s="602">
        <v>384.0</v>
      </c>
      <c r="B394" s="608"/>
      <c r="C394" s="750" t="s">
        <v>775</v>
      </c>
      <c r="D394" s="606">
        <v>45366.0</v>
      </c>
      <c r="E394" s="684">
        <v>1.6E9</v>
      </c>
      <c r="F394" s="684"/>
      <c r="G394" s="608" t="s">
        <v>97</v>
      </c>
      <c r="H394" s="608" t="s">
        <v>51</v>
      </c>
      <c r="I394" s="608" t="s">
        <v>8</v>
      </c>
      <c r="J394" s="608" t="s">
        <v>293</v>
      </c>
      <c r="K394" s="608"/>
      <c r="L394" s="608"/>
      <c r="M394" s="608"/>
      <c r="N394" s="401" t="s">
        <v>52</v>
      </c>
      <c r="O394" s="610"/>
    </row>
    <row r="395" ht="13.5" customHeight="1">
      <c r="A395" s="697">
        <v>385.0</v>
      </c>
      <c r="B395" s="608"/>
      <c r="C395" s="750" t="s">
        <v>781</v>
      </c>
      <c r="D395" s="606">
        <v>45378.0</v>
      </c>
      <c r="E395" s="704">
        <v>3.1E7</v>
      </c>
      <c r="F395" s="684"/>
      <c r="G395" s="608" t="s">
        <v>97</v>
      </c>
      <c r="H395" s="608" t="s">
        <v>51</v>
      </c>
      <c r="I395" s="401" t="s">
        <v>8</v>
      </c>
      <c r="J395" s="608"/>
      <c r="K395" s="608"/>
      <c r="L395" s="608"/>
      <c r="M395" s="608"/>
      <c r="N395" s="608"/>
      <c r="O395" s="610"/>
    </row>
    <row r="396" ht="13.5" customHeight="1">
      <c r="A396" s="751">
        <v>386.0</v>
      </c>
      <c r="B396" s="752"/>
      <c r="C396" s="752" t="s">
        <v>2307</v>
      </c>
      <c r="D396" s="753">
        <v>45373.0</v>
      </c>
      <c r="E396" s="754"/>
      <c r="F396" s="754"/>
      <c r="G396" s="752" t="s">
        <v>97</v>
      </c>
      <c r="H396" s="752" t="s">
        <v>51</v>
      </c>
      <c r="I396" s="752" t="s">
        <v>8</v>
      </c>
      <c r="J396" s="752"/>
      <c r="K396" s="752"/>
      <c r="L396" s="752"/>
      <c r="M396" s="752"/>
      <c r="N396" s="752"/>
      <c r="O396" s="755"/>
    </row>
    <row r="397" ht="13.5" customHeight="1">
      <c r="A397" s="741">
        <v>387.0</v>
      </c>
      <c r="B397" s="649"/>
      <c r="C397" s="756" t="s">
        <v>783</v>
      </c>
      <c r="D397" s="606">
        <v>45378.0</v>
      </c>
      <c r="E397" s="749">
        <v>7000000.0</v>
      </c>
      <c r="F397" s="701">
        <v>7000000.0</v>
      </c>
      <c r="G397" s="649" t="s">
        <v>97</v>
      </c>
      <c r="H397" s="649" t="s">
        <v>51</v>
      </c>
      <c r="I397" s="650" t="s">
        <v>8</v>
      </c>
      <c r="J397" s="649"/>
      <c r="K397" s="649"/>
      <c r="L397" s="649"/>
      <c r="M397" s="649"/>
      <c r="N397" s="649"/>
      <c r="O397" s="652"/>
    </row>
    <row r="398" ht="13.5" customHeight="1">
      <c r="A398" s="741">
        <v>388.0</v>
      </c>
      <c r="B398" s="649"/>
      <c r="C398" s="756" t="s">
        <v>785</v>
      </c>
      <c r="D398" s="606">
        <v>45378.0</v>
      </c>
      <c r="E398" s="749">
        <v>7000000.0</v>
      </c>
      <c r="F398" s="701">
        <v>7000000.0</v>
      </c>
      <c r="G398" s="649" t="s">
        <v>97</v>
      </c>
      <c r="H398" s="649" t="s">
        <v>51</v>
      </c>
      <c r="I398" s="650" t="s">
        <v>8</v>
      </c>
      <c r="J398" s="649"/>
      <c r="K398" s="649"/>
      <c r="L398" s="649"/>
      <c r="M398" s="649"/>
      <c r="N398" s="649"/>
      <c r="O398" s="652"/>
    </row>
    <row r="399" ht="13.5" customHeight="1">
      <c r="A399" s="602">
        <v>389.0</v>
      </c>
      <c r="B399" s="608"/>
      <c r="C399" s="608" t="s">
        <v>787</v>
      </c>
      <c r="D399" s="606">
        <v>45412.0</v>
      </c>
      <c r="E399" s="684">
        <v>6780000.0</v>
      </c>
      <c r="F399" s="684">
        <v>6780000.0</v>
      </c>
      <c r="G399" s="608" t="s">
        <v>1906</v>
      </c>
      <c r="H399" s="605" t="s">
        <v>51</v>
      </c>
      <c r="I399" s="605" t="s">
        <v>1968</v>
      </c>
      <c r="J399" s="608" t="s">
        <v>788</v>
      </c>
      <c r="K399" s="608"/>
      <c r="L399" s="608"/>
      <c r="M399" s="608"/>
      <c r="N399" s="401" t="s">
        <v>52</v>
      </c>
      <c r="O399" s="610"/>
    </row>
    <row r="400" ht="13.5" customHeight="1">
      <c r="A400" s="602">
        <v>390.0</v>
      </c>
      <c r="B400" s="608"/>
      <c r="C400" s="608" t="s">
        <v>790</v>
      </c>
      <c r="D400" s="606">
        <v>45412.0</v>
      </c>
      <c r="E400" s="684">
        <v>3975000.0</v>
      </c>
      <c r="F400" s="684">
        <v>3975000.0</v>
      </c>
      <c r="G400" s="608" t="s">
        <v>2308</v>
      </c>
      <c r="H400" s="608" t="s">
        <v>95</v>
      </c>
      <c r="I400" s="608" t="s">
        <v>8</v>
      </c>
      <c r="J400" s="608" t="s">
        <v>791</v>
      </c>
      <c r="K400" s="608"/>
      <c r="L400" s="608"/>
      <c r="M400" s="608"/>
      <c r="N400" s="401" t="s">
        <v>52</v>
      </c>
      <c r="O400" s="610"/>
    </row>
    <row r="401" ht="13.5" customHeight="1">
      <c r="A401" s="751">
        <v>391.0</v>
      </c>
      <c r="B401" s="752"/>
      <c r="C401" s="752" t="s">
        <v>2309</v>
      </c>
      <c r="D401" s="753">
        <v>45412.0</v>
      </c>
      <c r="E401" s="754"/>
      <c r="F401" s="754"/>
      <c r="G401" s="757" t="s">
        <v>2268</v>
      </c>
      <c r="H401" s="757" t="s">
        <v>622</v>
      </c>
      <c r="I401" s="758" t="s">
        <v>1968</v>
      </c>
      <c r="J401" s="752"/>
      <c r="K401" s="752"/>
      <c r="L401" s="752"/>
      <c r="M401" s="752"/>
      <c r="N401" s="757" t="s">
        <v>52</v>
      </c>
      <c r="O401" s="755"/>
    </row>
    <row r="402" ht="13.5" customHeight="1">
      <c r="A402" s="751">
        <v>392.0</v>
      </c>
      <c r="B402" s="752"/>
      <c r="C402" s="752" t="s">
        <v>2309</v>
      </c>
      <c r="D402" s="753">
        <v>45412.0</v>
      </c>
      <c r="E402" s="754"/>
      <c r="F402" s="754"/>
      <c r="G402" s="757" t="s">
        <v>2268</v>
      </c>
      <c r="H402" s="757" t="s">
        <v>622</v>
      </c>
      <c r="I402" s="758" t="s">
        <v>1968</v>
      </c>
      <c r="J402" s="752"/>
      <c r="K402" s="752"/>
      <c r="L402" s="752"/>
      <c r="M402" s="752"/>
      <c r="N402" s="757" t="s">
        <v>52</v>
      </c>
      <c r="O402" s="755"/>
    </row>
    <row r="403" ht="13.5" customHeight="1">
      <c r="A403" s="697">
        <v>393.0</v>
      </c>
      <c r="B403" s="608"/>
      <c r="C403" s="608" t="s">
        <v>793</v>
      </c>
      <c r="D403" s="606">
        <v>45412.0</v>
      </c>
      <c r="E403" s="704">
        <v>1600000.0</v>
      </c>
      <c r="F403" s="684"/>
      <c r="G403" s="401" t="s">
        <v>1906</v>
      </c>
      <c r="H403" s="608" t="s">
        <v>95</v>
      </c>
      <c r="I403" s="605" t="s">
        <v>1968</v>
      </c>
      <c r="J403" s="608"/>
      <c r="K403" s="608"/>
      <c r="L403" s="608"/>
      <c r="M403" s="608"/>
      <c r="N403" s="401" t="s">
        <v>52</v>
      </c>
      <c r="O403" s="610"/>
    </row>
    <row r="404" ht="13.5" customHeight="1">
      <c r="A404" s="697">
        <v>394.0</v>
      </c>
      <c r="B404" s="608"/>
      <c r="C404" s="608" t="s">
        <v>793</v>
      </c>
      <c r="D404" s="606">
        <v>45412.0</v>
      </c>
      <c r="E404" s="704">
        <v>1600000.0</v>
      </c>
      <c r="F404" s="684"/>
      <c r="G404" s="401" t="s">
        <v>1906</v>
      </c>
      <c r="H404" s="608" t="s">
        <v>95</v>
      </c>
      <c r="I404" s="605" t="s">
        <v>1968</v>
      </c>
      <c r="J404" s="608"/>
      <c r="K404" s="608"/>
      <c r="L404" s="608"/>
      <c r="M404" s="608"/>
      <c r="N404" s="401" t="s">
        <v>52</v>
      </c>
      <c r="O404" s="610"/>
    </row>
    <row r="405" ht="13.5" customHeight="1">
      <c r="A405" s="602">
        <v>395.0</v>
      </c>
      <c r="B405" s="608"/>
      <c r="C405" s="605" t="s">
        <v>796</v>
      </c>
      <c r="D405" s="606">
        <v>45412.0</v>
      </c>
      <c r="E405" s="684">
        <v>1328700.0</v>
      </c>
      <c r="F405" s="684">
        <v>1328700.0</v>
      </c>
      <c r="G405" s="401" t="s">
        <v>1906</v>
      </c>
      <c r="H405" s="401" t="s">
        <v>323</v>
      </c>
      <c r="I405" s="401" t="s">
        <v>1968</v>
      </c>
      <c r="J405" s="608" t="s">
        <v>485</v>
      </c>
      <c r="K405" s="608"/>
      <c r="L405" s="608"/>
      <c r="M405" s="608"/>
      <c r="N405" s="401" t="s">
        <v>52</v>
      </c>
      <c r="O405" s="610"/>
    </row>
    <row r="406" ht="13.5" customHeight="1">
      <c r="A406" s="738">
        <v>396.0</v>
      </c>
      <c r="B406" s="608"/>
      <c r="C406" s="401" t="s">
        <v>798</v>
      </c>
      <c r="D406" s="739">
        <v>45420.0</v>
      </c>
      <c r="E406" s="704">
        <v>642100.0</v>
      </c>
      <c r="F406" s="704">
        <v>349000.0</v>
      </c>
      <c r="G406" s="401"/>
      <c r="H406" s="401" t="s">
        <v>95</v>
      </c>
      <c r="I406" s="401" t="s">
        <v>8</v>
      </c>
      <c r="J406" s="608"/>
      <c r="K406" s="608"/>
      <c r="L406" s="608"/>
      <c r="M406" s="608"/>
      <c r="N406" s="401" t="s">
        <v>52</v>
      </c>
      <c r="O406" s="610"/>
    </row>
    <row r="407" ht="13.5" customHeight="1">
      <c r="A407" s="738">
        <v>397.0</v>
      </c>
      <c r="B407" s="608"/>
      <c r="C407" s="401" t="s">
        <v>798</v>
      </c>
      <c r="D407" s="739">
        <v>45420.0</v>
      </c>
      <c r="E407" s="704">
        <v>642100.0</v>
      </c>
      <c r="F407" s="704">
        <v>349000.0</v>
      </c>
      <c r="G407" s="401"/>
      <c r="H407" s="401" t="s">
        <v>95</v>
      </c>
      <c r="I407" s="401" t="s">
        <v>8</v>
      </c>
      <c r="J407" s="608"/>
      <c r="K407" s="608"/>
      <c r="L407" s="608"/>
      <c r="M407" s="608"/>
      <c r="N407" s="401" t="s">
        <v>52</v>
      </c>
      <c r="O407" s="610"/>
    </row>
    <row r="408" ht="13.5" customHeight="1">
      <c r="A408" s="738">
        <v>398.0</v>
      </c>
      <c r="B408" s="608"/>
      <c r="C408" s="401" t="s">
        <v>798</v>
      </c>
      <c r="D408" s="739">
        <v>45420.0</v>
      </c>
      <c r="E408" s="704">
        <v>642100.0</v>
      </c>
      <c r="F408" s="704">
        <v>349000.0</v>
      </c>
      <c r="G408" s="401"/>
      <c r="H408" s="401" t="s">
        <v>95</v>
      </c>
      <c r="I408" s="401" t="s">
        <v>8</v>
      </c>
      <c r="J408" s="608"/>
      <c r="K408" s="608"/>
      <c r="L408" s="608"/>
      <c r="M408" s="608"/>
      <c r="N408" s="401" t="s">
        <v>52</v>
      </c>
      <c r="O408" s="610"/>
    </row>
    <row r="409" ht="13.5" customHeight="1">
      <c r="A409" s="738">
        <v>399.0</v>
      </c>
      <c r="B409" s="608"/>
      <c r="C409" s="401" t="s">
        <v>798</v>
      </c>
      <c r="D409" s="739">
        <v>45420.0</v>
      </c>
      <c r="E409" s="704">
        <v>642100.0</v>
      </c>
      <c r="F409" s="704">
        <v>349000.0</v>
      </c>
      <c r="G409" s="401"/>
      <c r="H409" s="401" t="s">
        <v>95</v>
      </c>
      <c r="I409" s="401" t="s">
        <v>8</v>
      </c>
      <c r="J409" s="608"/>
      <c r="K409" s="608"/>
      <c r="L409" s="608"/>
      <c r="M409" s="608"/>
      <c r="N409" s="401" t="s">
        <v>52</v>
      </c>
      <c r="O409" s="610"/>
    </row>
    <row r="410" ht="13.5" customHeight="1">
      <c r="A410" s="738">
        <v>400.0</v>
      </c>
      <c r="B410" s="608"/>
      <c r="C410" s="401" t="s">
        <v>798</v>
      </c>
      <c r="D410" s="739">
        <v>45420.0</v>
      </c>
      <c r="E410" s="704">
        <v>642100.0</v>
      </c>
      <c r="F410" s="704">
        <v>349000.0</v>
      </c>
      <c r="G410" s="401"/>
      <c r="H410" s="401" t="s">
        <v>95</v>
      </c>
      <c r="I410" s="401" t="s">
        <v>8</v>
      </c>
      <c r="J410" s="608"/>
      <c r="K410" s="608"/>
      <c r="L410" s="608"/>
      <c r="M410" s="608"/>
      <c r="N410" s="401" t="s">
        <v>52</v>
      </c>
      <c r="O410" s="610"/>
    </row>
    <row r="411" ht="13.5" customHeight="1">
      <c r="A411" s="738">
        <v>401.0</v>
      </c>
      <c r="B411" s="608"/>
      <c r="C411" s="401" t="s">
        <v>798</v>
      </c>
      <c r="D411" s="739">
        <v>45420.0</v>
      </c>
      <c r="E411" s="704">
        <v>642100.0</v>
      </c>
      <c r="F411" s="704">
        <v>349000.0</v>
      </c>
      <c r="G411" s="401"/>
      <c r="H411" s="401" t="s">
        <v>95</v>
      </c>
      <c r="I411" s="401" t="s">
        <v>8</v>
      </c>
      <c r="J411" s="608"/>
      <c r="K411" s="608"/>
      <c r="L411" s="608"/>
      <c r="M411" s="608"/>
      <c r="N411" s="401" t="s">
        <v>52</v>
      </c>
      <c r="O411" s="610"/>
    </row>
    <row r="412" ht="13.5" customHeight="1">
      <c r="A412" s="738">
        <v>402.0</v>
      </c>
      <c r="B412" s="608"/>
      <c r="C412" s="401" t="s">
        <v>798</v>
      </c>
      <c r="D412" s="739">
        <v>45420.0</v>
      </c>
      <c r="E412" s="704">
        <v>642100.0</v>
      </c>
      <c r="F412" s="704">
        <v>349000.0</v>
      </c>
      <c r="G412" s="401"/>
      <c r="H412" s="401" t="s">
        <v>95</v>
      </c>
      <c r="I412" s="401" t="s">
        <v>8</v>
      </c>
      <c r="J412" s="608"/>
      <c r="K412" s="608"/>
      <c r="L412" s="608"/>
      <c r="M412" s="608"/>
      <c r="N412" s="401" t="s">
        <v>52</v>
      </c>
      <c r="O412" s="610"/>
    </row>
    <row r="413" ht="13.5" customHeight="1">
      <c r="A413" s="738">
        <v>403.0</v>
      </c>
      <c r="B413" s="608"/>
      <c r="C413" s="401" t="s">
        <v>798</v>
      </c>
      <c r="D413" s="739">
        <v>45420.0</v>
      </c>
      <c r="E413" s="704">
        <v>642100.0</v>
      </c>
      <c r="F413" s="704">
        <v>349000.0</v>
      </c>
      <c r="G413" s="401"/>
      <c r="H413" s="401" t="s">
        <v>95</v>
      </c>
      <c r="I413" s="401" t="s">
        <v>8</v>
      </c>
      <c r="J413" s="608"/>
      <c r="K413" s="608"/>
      <c r="L413" s="608"/>
      <c r="M413" s="608"/>
      <c r="N413" s="401" t="s">
        <v>52</v>
      </c>
      <c r="O413" s="610"/>
    </row>
    <row r="414" ht="13.5" customHeight="1">
      <c r="A414" s="738">
        <v>404.0</v>
      </c>
      <c r="B414" s="608"/>
      <c r="C414" s="401" t="s">
        <v>798</v>
      </c>
      <c r="D414" s="739">
        <v>45420.0</v>
      </c>
      <c r="E414" s="704">
        <v>642100.0</v>
      </c>
      <c r="F414" s="704">
        <v>349000.0</v>
      </c>
      <c r="G414" s="401"/>
      <c r="H414" s="401" t="s">
        <v>95</v>
      </c>
      <c r="I414" s="401" t="s">
        <v>8</v>
      </c>
      <c r="J414" s="608"/>
      <c r="K414" s="608"/>
      <c r="L414" s="608"/>
      <c r="M414" s="608"/>
      <c r="N414" s="401" t="s">
        <v>52</v>
      </c>
      <c r="O414" s="610"/>
    </row>
    <row r="415" ht="13.5" customHeight="1">
      <c r="A415" s="738">
        <v>405.0</v>
      </c>
      <c r="B415" s="608"/>
      <c r="C415" s="401" t="s">
        <v>798</v>
      </c>
      <c r="D415" s="739">
        <v>45420.0</v>
      </c>
      <c r="E415" s="704">
        <v>642100.0</v>
      </c>
      <c r="F415" s="704">
        <v>349000.0</v>
      </c>
      <c r="G415" s="401"/>
      <c r="H415" s="401" t="s">
        <v>95</v>
      </c>
      <c r="I415" s="401" t="s">
        <v>8</v>
      </c>
      <c r="J415" s="608"/>
      <c r="K415" s="608"/>
      <c r="L415" s="608"/>
      <c r="M415" s="608"/>
      <c r="N415" s="401" t="s">
        <v>52</v>
      </c>
      <c r="O415" s="610"/>
    </row>
    <row r="416" ht="13.5" customHeight="1">
      <c r="A416" s="738">
        <v>406.0</v>
      </c>
      <c r="B416" s="608"/>
      <c r="C416" s="401" t="s">
        <v>798</v>
      </c>
      <c r="D416" s="739">
        <v>45420.0</v>
      </c>
      <c r="E416" s="704">
        <v>642100.0</v>
      </c>
      <c r="F416" s="704">
        <v>349000.0</v>
      </c>
      <c r="G416" s="401"/>
      <c r="H416" s="401" t="s">
        <v>95</v>
      </c>
      <c r="I416" s="401" t="s">
        <v>8</v>
      </c>
      <c r="J416" s="608"/>
      <c r="K416" s="608"/>
      <c r="L416" s="608"/>
      <c r="M416" s="608"/>
      <c r="N416" s="401" t="s">
        <v>52</v>
      </c>
      <c r="O416" s="610"/>
    </row>
    <row r="417" ht="13.5" customHeight="1">
      <c r="A417" s="738">
        <v>407.0</v>
      </c>
      <c r="B417" s="608"/>
      <c r="C417" s="401" t="s">
        <v>798</v>
      </c>
      <c r="D417" s="739">
        <v>45420.0</v>
      </c>
      <c r="E417" s="704">
        <v>642100.0</v>
      </c>
      <c r="F417" s="704">
        <v>349000.0</v>
      </c>
      <c r="G417" s="401"/>
      <c r="H417" s="401" t="s">
        <v>95</v>
      </c>
      <c r="I417" s="401" t="s">
        <v>8</v>
      </c>
      <c r="J417" s="608"/>
      <c r="K417" s="608"/>
      <c r="L417" s="608"/>
      <c r="M417" s="608"/>
      <c r="N417" s="401" t="s">
        <v>52</v>
      </c>
      <c r="O417" s="610"/>
    </row>
    <row r="418" ht="13.5" customHeight="1">
      <c r="A418" s="738">
        <v>408.0</v>
      </c>
      <c r="B418" s="608"/>
      <c r="C418" s="608" t="s">
        <v>812</v>
      </c>
      <c r="D418" s="606">
        <v>45420.0</v>
      </c>
      <c r="E418" s="704">
        <v>1210200.0</v>
      </c>
      <c r="F418" s="684">
        <v>1155000.0</v>
      </c>
      <c r="G418" s="401"/>
      <c r="H418" s="608" t="s">
        <v>95</v>
      </c>
      <c r="I418" s="608" t="s">
        <v>8</v>
      </c>
      <c r="J418" s="608" t="s">
        <v>813</v>
      </c>
      <c r="K418" s="608"/>
      <c r="L418" s="608"/>
      <c r="M418" s="608"/>
      <c r="N418" s="608" t="s">
        <v>52</v>
      </c>
      <c r="O418" s="610"/>
    </row>
    <row r="419" ht="13.5" customHeight="1">
      <c r="A419" s="738">
        <v>409.0</v>
      </c>
      <c r="B419" s="608"/>
      <c r="C419" s="608" t="s">
        <v>815</v>
      </c>
      <c r="D419" s="606">
        <v>45420.0</v>
      </c>
      <c r="E419" s="704">
        <v>816900.0</v>
      </c>
      <c r="F419" s="684">
        <v>790000.0</v>
      </c>
      <c r="G419" s="401"/>
      <c r="H419" s="608" t="s">
        <v>95</v>
      </c>
      <c r="I419" s="608" t="s">
        <v>8</v>
      </c>
      <c r="J419" s="608"/>
      <c r="K419" s="608"/>
      <c r="L419" s="608"/>
      <c r="M419" s="608"/>
      <c r="N419" s="401" t="s">
        <v>52</v>
      </c>
      <c r="O419" s="610"/>
    </row>
    <row r="420" ht="13.5" customHeight="1">
      <c r="A420" s="738">
        <v>410.0</v>
      </c>
      <c r="B420" s="608"/>
      <c r="C420" s="608" t="s">
        <v>815</v>
      </c>
      <c r="D420" s="606">
        <v>45420.0</v>
      </c>
      <c r="E420" s="704">
        <v>816900.0</v>
      </c>
      <c r="F420" s="684">
        <v>790000.0</v>
      </c>
      <c r="G420" s="401"/>
      <c r="H420" s="608" t="s">
        <v>95</v>
      </c>
      <c r="I420" s="608" t="s">
        <v>8</v>
      </c>
      <c r="J420" s="608"/>
      <c r="K420" s="608"/>
      <c r="L420" s="608"/>
      <c r="M420" s="608"/>
      <c r="N420" s="401" t="s">
        <v>52</v>
      </c>
      <c r="O420" s="610"/>
    </row>
    <row r="421" ht="13.5" customHeight="1">
      <c r="A421" s="759">
        <v>411.0</v>
      </c>
      <c r="B421" s="752"/>
      <c r="C421" s="752" t="s">
        <v>2310</v>
      </c>
      <c r="D421" s="753">
        <v>45422.0</v>
      </c>
      <c r="E421" s="754"/>
      <c r="F421" s="754">
        <v>2952000.0</v>
      </c>
      <c r="G421" s="752"/>
      <c r="H421" s="752"/>
      <c r="I421" s="752"/>
      <c r="J421" s="752"/>
      <c r="K421" s="752"/>
      <c r="L421" s="752"/>
      <c r="M421" s="752"/>
      <c r="N421" s="752"/>
      <c r="O421" s="755"/>
    </row>
    <row r="422" ht="13.5" customHeight="1">
      <c r="A422" s="738">
        <v>412.0</v>
      </c>
      <c r="B422" s="608"/>
      <c r="C422" s="608" t="s">
        <v>1947</v>
      </c>
      <c r="D422" s="606">
        <v>45443.0</v>
      </c>
      <c r="E422" s="704">
        <v>799000.0</v>
      </c>
      <c r="F422" s="684">
        <v>799000.0</v>
      </c>
      <c r="G422" s="401" t="s">
        <v>1925</v>
      </c>
      <c r="H422" s="608" t="s">
        <v>95</v>
      </c>
      <c r="I422" s="608" t="s">
        <v>8</v>
      </c>
      <c r="J422" s="608" t="s">
        <v>155</v>
      </c>
      <c r="K422" s="608"/>
      <c r="L422" s="608"/>
      <c r="M422" s="608"/>
      <c r="N422" s="401" t="s">
        <v>52</v>
      </c>
      <c r="O422" s="610"/>
    </row>
    <row r="423" ht="13.5" customHeight="1">
      <c r="A423" s="738">
        <v>413.0</v>
      </c>
      <c r="B423" s="608"/>
      <c r="C423" s="608" t="s">
        <v>1947</v>
      </c>
      <c r="D423" s="606">
        <v>45443.0</v>
      </c>
      <c r="E423" s="704">
        <v>799000.0</v>
      </c>
      <c r="F423" s="684">
        <v>799000.0</v>
      </c>
      <c r="G423" s="401" t="s">
        <v>1924</v>
      </c>
      <c r="H423" s="608" t="s">
        <v>95</v>
      </c>
      <c r="I423" s="608" t="s">
        <v>8</v>
      </c>
      <c r="J423" s="608" t="s">
        <v>155</v>
      </c>
      <c r="K423" s="608"/>
      <c r="L423" s="608"/>
      <c r="M423" s="608"/>
      <c r="N423" s="401" t="s">
        <v>52</v>
      </c>
      <c r="O423" s="610"/>
    </row>
    <row r="424" ht="13.5" customHeight="1">
      <c r="A424" s="738">
        <v>414.0</v>
      </c>
      <c r="B424" s="608"/>
      <c r="C424" s="608" t="s">
        <v>1947</v>
      </c>
      <c r="D424" s="606">
        <v>45443.0</v>
      </c>
      <c r="E424" s="704">
        <v>799000.0</v>
      </c>
      <c r="F424" s="684">
        <v>799000.0</v>
      </c>
      <c r="G424" s="401" t="s">
        <v>2311</v>
      </c>
      <c r="H424" s="608" t="s">
        <v>95</v>
      </c>
      <c r="I424" s="608" t="s">
        <v>8</v>
      </c>
      <c r="J424" s="608" t="s">
        <v>155</v>
      </c>
      <c r="K424" s="608"/>
      <c r="L424" s="608"/>
      <c r="M424" s="608"/>
      <c r="N424" s="401" t="s">
        <v>52</v>
      </c>
      <c r="O424" s="610"/>
    </row>
    <row r="425" ht="13.5" customHeight="1">
      <c r="A425" s="738">
        <v>415.0</v>
      </c>
      <c r="B425" s="608"/>
      <c r="C425" s="401" t="s">
        <v>798</v>
      </c>
      <c r="D425" s="739">
        <v>45447.0</v>
      </c>
      <c r="E425" s="704">
        <v>335300.0</v>
      </c>
      <c r="F425" s="704">
        <v>349000.0</v>
      </c>
      <c r="G425" s="608"/>
      <c r="H425" s="401" t="s">
        <v>95</v>
      </c>
      <c r="I425" s="401" t="s">
        <v>8</v>
      </c>
      <c r="J425" s="401" t="s">
        <v>799</v>
      </c>
      <c r="K425" s="608"/>
      <c r="L425" s="608"/>
      <c r="M425" s="608"/>
      <c r="N425" s="401" t="s">
        <v>52</v>
      </c>
      <c r="O425" s="610"/>
    </row>
    <row r="426" ht="13.5" customHeight="1">
      <c r="A426" s="738">
        <v>416.0</v>
      </c>
      <c r="B426" s="608"/>
      <c r="C426" s="401" t="s">
        <v>822</v>
      </c>
      <c r="D426" s="739">
        <v>45450.0</v>
      </c>
      <c r="E426" s="704">
        <v>5396175.0</v>
      </c>
      <c r="F426" s="704">
        <v>5289000.0</v>
      </c>
      <c r="G426" s="401" t="s">
        <v>2312</v>
      </c>
      <c r="H426" s="401" t="s">
        <v>95</v>
      </c>
      <c r="I426" s="401" t="s">
        <v>8</v>
      </c>
      <c r="J426" s="401" t="s">
        <v>121</v>
      </c>
      <c r="K426" s="608"/>
      <c r="L426" s="608"/>
      <c r="M426" s="608"/>
      <c r="N426" s="401" t="s">
        <v>52</v>
      </c>
      <c r="O426" s="610"/>
    </row>
    <row r="427" ht="13.5" customHeight="1">
      <c r="A427" s="760">
        <v>417.0</v>
      </c>
      <c r="B427" s="649"/>
      <c r="C427" s="650" t="s">
        <v>824</v>
      </c>
      <c r="D427" s="700">
        <v>45462.0</v>
      </c>
      <c r="E427" s="749">
        <v>493000.0</v>
      </c>
      <c r="F427" s="749">
        <v>493000.0</v>
      </c>
      <c r="G427" s="650" t="s">
        <v>1916</v>
      </c>
      <c r="H427" s="650" t="s">
        <v>47</v>
      </c>
      <c r="I427" s="650" t="s">
        <v>8</v>
      </c>
      <c r="J427" s="649"/>
      <c r="K427" s="649"/>
      <c r="L427" s="649"/>
      <c r="M427" s="649"/>
      <c r="N427" s="650" t="s">
        <v>52</v>
      </c>
      <c r="O427" s="652"/>
    </row>
    <row r="428" ht="13.5" customHeight="1">
      <c r="A428" s="759">
        <v>418.0</v>
      </c>
      <c r="B428" s="752"/>
      <c r="C428" s="757" t="s">
        <v>2313</v>
      </c>
      <c r="D428" s="761">
        <v>45468.0</v>
      </c>
      <c r="E428" s="754"/>
      <c r="F428" s="762">
        <v>155000.0</v>
      </c>
      <c r="G428" s="757" t="s">
        <v>1916</v>
      </c>
      <c r="H428" s="757" t="s">
        <v>47</v>
      </c>
      <c r="I428" s="757" t="s">
        <v>8</v>
      </c>
      <c r="J428" s="757" t="s">
        <v>2314</v>
      </c>
      <c r="K428" s="752"/>
      <c r="L428" s="752"/>
      <c r="M428" s="752"/>
      <c r="N428" s="757" t="s">
        <v>52</v>
      </c>
      <c r="O428" s="755"/>
    </row>
    <row r="429" ht="13.5" customHeight="1">
      <c r="A429" s="763">
        <v>419.0</v>
      </c>
      <c r="B429" s="649"/>
      <c r="C429" s="650" t="s">
        <v>831</v>
      </c>
      <c r="D429" s="700">
        <v>45478.0</v>
      </c>
      <c r="E429" s="749">
        <v>1150000.0</v>
      </c>
      <c r="F429" s="749">
        <v>1150000.0</v>
      </c>
      <c r="G429" s="649"/>
      <c r="H429" s="650" t="s">
        <v>95</v>
      </c>
      <c r="I429" s="650" t="s">
        <v>8</v>
      </c>
      <c r="J429" s="650" t="s">
        <v>832</v>
      </c>
      <c r="K429" s="649"/>
      <c r="L429" s="649"/>
      <c r="M429" s="649"/>
      <c r="N429" s="650" t="s">
        <v>52</v>
      </c>
      <c r="O429" s="652"/>
    </row>
    <row r="430" ht="13.5" customHeight="1">
      <c r="A430" s="763">
        <v>420.0</v>
      </c>
      <c r="B430" s="649"/>
      <c r="C430" s="650" t="s">
        <v>831</v>
      </c>
      <c r="D430" s="700">
        <v>45499.0</v>
      </c>
      <c r="E430" s="749">
        <v>1150000.0</v>
      </c>
      <c r="F430" s="749">
        <v>1150000.0</v>
      </c>
      <c r="G430" s="649"/>
      <c r="H430" s="650" t="s">
        <v>95</v>
      </c>
      <c r="I430" s="650" t="s">
        <v>8</v>
      </c>
      <c r="J430" s="650" t="s">
        <v>832</v>
      </c>
      <c r="K430" s="649"/>
      <c r="L430" s="649"/>
      <c r="M430" s="649"/>
      <c r="N430" s="650" t="s">
        <v>52</v>
      </c>
      <c r="O430" s="652"/>
    </row>
    <row r="431" ht="13.5" customHeight="1">
      <c r="A431" s="763">
        <v>421.0</v>
      </c>
      <c r="B431" s="649"/>
      <c r="C431" s="650" t="s">
        <v>843</v>
      </c>
      <c r="D431" s="700">
        <v>45496.0</v>
      </c>
      <c r="E431" s="749">
        <v>424900.0</v>
      </c>
      <c r="F431" s="764">
        <v>390000.0</v>
      </c>
      <c r="G431" s="650" t="s">
        <v>166</v>
      </c>
      <c r="H431" s="650" t="s">
        <v>95</v>
      </c>
      <c r="I431" s="650" t="s">
        <v>8</v>
      </c>
      <c r="J431" s="649"/>
      <c r="K431" s="649"/>
      <c r="L431" s="649"/>
      <c r="M431" s="649"/>
      <c r="N431" s="650" t="s">
        <v>52</v>
      </c>
      <c r="O431" s="652"/>
    </row>
    <row r="432" ht="13.5" customHeight="1">
      <c r="A432" s="608"/>
      <c r="B432" s="608"/>
      <c r="C432" s="765" t="s">
        <v>826</v>
      </c>
      <c r="D432" s="766">
        <v>45471.0</v>
      </c>
      <c r="E432" s="767">
        <v>983900.0</v>
      </c>
      <c r="F432" s="767"/>
      <c r="G432" s="572"/>
      <c r="H432" s="737" t="s">
        <v>51</v>
      </c>
      <c r="I432" s="737" t="s">
        <v>8</v>
      </c>
      <c r="J432" s="737" t="s">
        <v>827</v>
      </c>
      <c r="K432" s="572"/>
      <c r="L432" s="572"/>
      <c r="M432" s="572"/>
      <c r="N432" s="572"/>
      <c r="O432" s="574"/>
    </row>
    <row r="433" ht="13.5" customHeight="1">
      <c r="A433" s="608"/>
      <c r="B433" s="608"/>
      <c r="C433" s="768" t="s">
        <v>839</v>
      </c>
      <c r="D433" s="769">
        <v>45485.0</v>
      </c>
      <c r="E433" s="770">
        <v>880000.0</v>
      </c>
      <c r="F433" s="770"/>
      <c r="G433" s="572"/>
      <c r="H433" s="737" t="s">
        <v>51</v>
      </c>
      <c r="I433" s="737" t="s">
        <v>8</v>
      </c>
      <c r="J433" s="737" t="s">
        <v>827</v>
      </c>
      <c r="K433" s="572"/>
      <c r="L433" s="572"/>
      <c r="M433" s="572"/>
      <c r="N433" s="572"/>
      <c r="O433" s="574"/>
    </row>
    <row r="434" ht="13.5" customHeight="1">
      <c r="A434" s="608"/>
      <c r="B434" s="608"/>
      <c r="C434" s="771" t="s">
        <v>836</v>
      </c>
      <c r="D434" s="772">
        <v>45476.0</v>
      </c>
      <c r="E434" s="770">
        <v>1350000.0</v>
      </c>
      <c r="F434" s="770"/>
      <c r="G434" s="572"/>
      <c r="H434" s="737" t="s">
        <v>51</v>
      </c>
      <c r="I434" s="737" t="s">
        <v>8</v>
      </c>
      <c r="J434" s="737" t="s">
        <v>837</v>
      </c>
      <c r="K434" s="572"/>
      <c r="L434" s="572"/>
      <c r="M434" s="572"/>
      <c r="N434" s="572"/>
      <c r="O434" s="574"/>
    </row>
    <row r="435" ht="13.5" customHeight="1">
      <c r="A435" s="608"/>
      <c r="B435" s="608"/>
      <c r="C435" s="771" t="s">
        <v>841</v>
      </c>
      <c r="D435" s="773">
        <v>45492.0</v>
      </c>
      <c r="E435" s="770">
        <v>2500000.0</v>
      </c>
      <c r="F435" s="770"/>
      <c r="G435" s="572"/>
      <c r="H435" s="737" t="s">
        <v>51</v>
      </c>
      <c r="I435" s="737" t="s">
        <v>8</v>
      </c>
      <c r="J435" s="737" t="s">
        <v>837</v>
      </c>
      <c r="K435" s="572"/>
      <c r="L435" s="572"/>
      <c r="M435" s="572"/>
      <c r="N435" s="572"/>
      <c r="O435" s="574"/>
    </row>
    <row r="436" ht="13.5" customHeight="1">
      <c r="A436" s="572"/>
      <c r="B436" s="572"/>
      <c r="C436" s="572"/>
      <c r="D436" s="739"/>
      <c r="E436" s="570"/>
      <c r="F436" s="570"/>
      <c r="G436" s="572"/>
      <c r="H436" s="572"/>
      <c r="I436" s="572"/>
      <c r="J436" s="572"/>
      <c r="K436" s="572"/>
      <c r="L436" s="572"/>
      <c r="M436" s="572"/>
      <c r="N436" s="572"/>
      <c r="O436" s="574"/>
    </row>
    <row r="437" ht="13.5" customHeight="1">
      <c r="A437" s="572"/>
      <c r="B437" s="572"/>
      <c r="C437" s="572"/>
      <c r="D437" s="739"/>
      <c r="E437" s="570"/>
      <c r="F437" s="570"/>
      <c r="G437" s="572"/>
      <c r="H437" s="572"/>
      <c r="I437" s="572"/>
      <c r="J437" s="572"/>
      <c r="K437" s="572"/>
      <c r="L437" s="572"/>
      <c r="M437" s="572"/>
      <c r="N437" s="572"/>
      <c r="O437" s="574"/>
    </row>
    <row r="438" ht="13.5" customHeight="1">
      <c r="A438" s="572"/>
      <c r="B438" s="572"/>
      <c r="C438" s="572"/>
      <c r="D438" s="739"/>
      <c r="E438" s="570"/>
      <c r="F438" s="570"/>
      <c r="G438" s="572"/>
      <c r="H438" s="572"/>
      <c r="I438" s="572"/>
      <c r="J438" s="572"/>
      <c r="K438" s="572"/>
      <c r="L438" s="572"/>
      <c r="M438" s="572"/>
      <c r="N438" s="572"/>
      <c r="O438" s="574"/>
    </row>
    <row r="439" ht="13.5" customHeight="1">
      <c r="A439" s="572"/>
      <c r="B439" s="572"/>
      <c r="C439" s="572"/>
      <c r="D439" s="739"/>
      <c r="E439" s="570"/>
      <c r="F439" s="570"/>
      <c r="G439" s="572"/>
      <c r="H439" s="572"/>
      <c r="I439" s="572"/>
      <c r="J439" s="572"/>
      <c r="K439" s="572"/>
      <c r="L439" s="572"/>
      <c r="M439" s="572"/>
      <c r="N439" s="572"/>
      <c r="O439" s="574"/>
    </row>
    <row r="440" ht="13.5" customHeight="1">
      <c r="A440" s="572"/>
      <c r="B440" s="572"/>
      <c r="C440" s="572"/>
      <c r="D440" s="739"/>
      <c r="E440" s="570"/>
      <c r="F440" s="570"/>
      <c r="G440" s="572"/>
      <c r="H440" s="572"/>
      <c r="I440" s="572"/>
      <c r="J440" s="572"/>
      <c r="K440" s="572"/>
      <c r="L440" s="572"/>
      <c r="M440" s="572"/>
      <c r="N440" s="572"/>
      <c r="O440" s="574"/>
    </row>
    <row r="441" ht="13.5" customHeight="1">
      <c r="A441" s="572"/>
      <c r="B441" s="572"/>
      <c r="C441" s="572"/>
      <c r="D441" s="739"/>
      <c r="E441" s="570"/>
      <c r="F441" s="570"/>
      <c r="G441" s="572"/>
      <c r="H441" s="572"/>
      <c r="I441" s="572"/>
      <c r="J441" s="572"/>
      <c r="K441" s="572"/>
      <c r="L441" s="572"/>
      <c r="M441" s="572"/>
      <c r="N441" s="572"/>
      <c r="O441" s="574"/>
    </row>
    <row r="442" ht="13.5" customHeight="1">
      <c r="A442" s="572"/>
      <c r="B442" s="572"/>
      <c r="C442" s="572"/>
      <c r="D442" s="739"/>
      <c r="E442" s="570"/>
      <c r="F442" s="570"/>
      <c r="G442" s="572"/>
      <c r="H442" s="572"/>
      <c r="I442" s="572"/>
      <c r="J442" s="572"/>
      <c r="K442" s="572"/>
      <c r="L442" s="572"/>
      <c r="M442" s="572"/>
      <c r="N442" s="572"/>
      <c r="O442" s="574"/>
    </row>
    <row r="443" ht="13.5" customHeight="1">
      <c r="A443" s="572"/>
      <c r="B443" s="572"/>
      <c r="C443" s="572"/>
      <c r="D443" s="739"/>
      <c r="E443" s="570"/>
      <c r="F443" s="570"/>
      <c r="G443" s="572"/>
      <c r="H443" s="572"/>
      <c r="I443" s="572"/>
      <c r="J443" s="572"/>
      <c r="K443" s="572"/>
      <c r="L443" s="572"/>
      <c r="M443" s="572"/>
      <c r="N443" s="572"/>
      <c r="O443" s="574"/>
    </row>
    <row r="444" ht="13.5" customHeight="1">
      <c r="A444" s="572"/>
      <c r="B444" s="572"/>
      <c r="C444" s="572"/>
      <c r="D444" s="739"/>
      <c r="E444" s="570"/>
      <c r="F444" s="570"/>
      <c r="G444" s="572"/>
      <c r="H444" s="572"/>
      <c r="I444" s="572"/>
      <c r="J444" s="572"/>
      <c r="K444" s="572"/>
      <c r="L444" s="572"/>
      <c r="M444" s="572"/>
      <c r="N444" s="572"/>
      <c r="O444" s="574"/>
    </row>
    <row r="445" ht="13.5" customHeight="1">
      <c r="A445" s="572"/>
      <c r="B445" s="572"/>
      <c r="C445" s="572"/>
      <c r="D445" s="739"/>
      <c r="E445" s="570"/>
      <c r="F445" s="570"/>
      <c r="G445" s="572"/>
      <c r="H445" s="572"/>
      <c r="I445" s="572"/>
      <c r="J445" s="572"/>
      <c r="K445" s="572"/>
      <c r="L445" s="572"/>
      <c r="M445" s="572"/>
      <c r="N445" s="572"/>
      <c r="O445" s="574"/>
    </row>
    <row r="446" ht="13.5" customHeight="1">
      <c r="A446" s="572"/>
      <c r="B446" s="572"/>
      <c r="C446" s="572"/>
      <c r="D446" s="739"/>
      <c r="E446" s="570"/>
      <c r="F446" s="570"/>
      <c r="G446" s="572"/>
      <c r="H446" s="572"/>
      <c r="I446" s="572"/>
      <c r="J446" s="572"/>
      <c r="K446" s="572"/>
      <c r="L446" s="572"/>
      <c r="M446" s="572"/>
      <c r="N446" s="572"/>
      <c r="O446" s="574"/>
    </row>
    <row r="447" ht="13.5" customHeight="1">
      <c r="A447" s="572"/>
      <c r="B447" s="572"/>
      <c r="C447" s="572"/>
      <c r="D447" s="739"/>
      <c r="E447" s="570"/>
      <c r="F447" s="570"/>
      <c r="G447" s="572"/>
      <c r="H447" s="572"/>
      <c r="I447" s="572"/>
      <c r="J447" s="572"/>
      <c r="K447" s="572"/>
      <c r="L447" s="572"/>
      <c r="M447" s="572"/>
      <c r="N447" s="572"/>
      <c r="O447" s="574"/>
    </row>
    <row r="448" ht="13.5" customHeight="1">
      <c r="A448" s="572"/>
      <c r="B448" s="572"/>
      <c r="C448" s="572"/>
      <c r="D448" s="739"/>
      <c r="E448" s="570"/>
      <c r="F448" s="570"/>
      <c r="G448" s="572"/>
      <c r="H448" s="572"/>
      <c r="I448" s="572"/>
      <c r="J448" s="572"/>
      <c r="K448" s="572"/>
      <c r="L448" s="572"/>
      <c r="M448" s="572"/>
      <c r="N448" s="572"/>
      <c r="O448" s="574"/>
    </row>
    <row r="449" ht="13.5" customHeight="1">
      <c r="A449" s="572"/>
      <c r="B449" s="572"/>
      <c r="C449" s="572"/>
      <c r="D449" s="739"/>
      <c r="E449" s="570"/>
      <c r="F449" s="570"/>
      <c r="G449" s="572"/>
      <c r="H449" s="572"/>
      <c r="I449" s="572"/>
      <c r="J449" s="572"/>
      <c r="K449" s="572"/>
      <c r="L449" s="572"/>
      <c r="M449" s="572"/>
      <c r="N449" s="572"/>
      <c r="O449" s="574"/>
    </row>
    <row r="450" ht="13.5" customHeight="1">
      <c r="A450" s="572"/>
      <c r="B450" s="572"/>
      <c r="C450" s="572"/>
      <c r="D450" s="739"/>
      <c r="E450" s="570"/>
      <c r="F450" s="570"/>
      <c r="G450" s="572"/>
      <c r="H450" s="572"/>
      <c r="I450" s="572"/>
      <c r="J450" s="572"/>
      <c r="K450" s="572"/>
      <c r="L450" s="572"/>
      <c r="M450" s="572"/>
      <c r="N450" s="572"/>
      <c r="O450" s="574"/>
    </row>
    <row r="451" ht="13.5" customHeight="1">
      <c r="A451" s="572"/>
      <c r="B451" s="572"/>
      <c r="C451" s="572"/>
      <c r="D451" s="739"/>
      <c r="E451" s="570"/>
      <c r="F451" s="570"/>
      <c r="G451" s="572"/>
      <c r="H451" s="572"/>
      <c r="I451" s="572"/>
      <c r="J451" s="572"/>
      <c r="K451" s="572"/>
      <c r="L451" s="572"/>
      <c r="M451" s="572"/>
      <c r="N451" s="572"/>
      <c r="O451" s="574"/>
    </row>
    <row r="452" ht="13.5" customHeight="1">
      <c r="A452" s="572"/>
      <c r="B452" s="572"/>
      <c r="C452" s="572"/>
      <c r="D452" s="739"/>
      <c r="E452" s="570"/>
      <c r="F452" s="570"/>
      <c r="G452" s="572"/>
      <c r="H452" s="572"/>
      <c r="I452" s="572"/>
      <c r="J452" s="572"/>
      <c r="K452" s="572"/>
      <c r="L452" s="572"/>
      <c r="M452" s="572"/>
      <c r="N452" s="572"/>
      <c r="O452" s="574"/>
    </row>
    <row r="453" ht="13.5" customHeight="1">
      <c r="A453" s="572"/>
      <c r="B453" s="572"/>
      <c r="C453" s="572"/>
      <c r="D453" s="739"/>
      <c r="E453" s="570"/>
      <c r="F453" s="570"/>
      <c r="G453" s="572"/>
      <c r="H453" s="572"/>
      <c r="I453" s="572"/>
      <c r="J453" s="572"/>
      <c r="K453" s="572"/>
      <c r="L453" s="572"/>
      <c r="M453" s="572"/>
      <c r="N453" s="572"/>
      <c r="O453" s="574"/>
    </row>
    <row r="454" ht="13.5" customHeight="1">
      <c r="A454" s="572"/>
      <c r="B454" s="572"/>
      <c r="C454" s="572"/>
      <c r="D454" s="739"/>
      <c r="E454" s="570"/>
      <c r="F454" s="570"/>
      <c r="G454" s="572"/>
      <c r="H454" s="572"/>
      <c r="I454" s="572"/>
      <c r="J454" s="572"/>
      <c r="K454" s="572"/>
      <c r="L454" s="572"/>
      <c r="M454" s="572"/>
      <c r="N454" s="572"/>
      <c r="O454" s="574"/>
    </row>
    <row r="455" ht="13.5" customHeight="1">
      <c r="A455" s="572"/>
      <c r="B455" s="572"/>
      <c r="C455" s="572"/>
      <c r="D455" s="739"/>
      <c r="E455" s="570"/>
      <c r="F455" s="570"/>
      <c r="G455" s="572"/>
      <c r="H455" s="572"/>
      <c r="I455" s="572"/>
      <c r="J455" s="572"/>
      <c r="K455" s="572"/>
      <c r="L455" s="572"/>
      <c r="M455" s="572"/>
      <c r="N455" s="572"/>
      <c r="O455" s="574"/>
    </row>
    <row r="456" ht="13.5" customHeight="1">
      <c r="A456" s="572"/>
      <c r="B456" s="572"/>
      <c r="C456" s="572"/>
      <c r="D456" s="739"/>
      <c r="E456" s="570"/>
      <c r="F456" s="570"/>
      <c r="G456" s="572"/>
      <c r="H456" s="572"/>
      <c r="I456" s="572"/>
      <c r="J456" s="572"/>
      <c r="K456" s="572"/>
      <c r="L456" s="572"/>
      <c r="M456" s="572"/>
      <c r="N456" s="572"/>
      <c r="O456" s="574"/>
    </row>
    <row r="457" ht="13.5" customHeight="1">
      <c r="A457" s="572"/>
      <c r="B457" s="572"/>
      <c r="C457" s="572"/>
      <c r="D457" s="739"/>
      <c r="E457" s="570"/>
      <c r="F457" s="570"/>
      <c r="G457" s="572"/>
      <c r="H457" s="572"/>
      <c r="I457" s="572"/>
      <c r="J457" s="572"/>
      <c r="K457" s="572"/>
      <c r="L457" s="572"/>
      <c r="M457" s="572"/>
      <c r="N457" s="572"/>
      <c r="O457" s="574"/>
    </row>
    <row r="458" ht="13.5" customHeight="1">
      <c r="A458" s="572"/>
      <c r="B458" s="572"/>
      <c r="C458" s="572"/>
      <c r="D458" s="739"/>
      <c r="E458" s="570"/>
      <c r="F458" s="570"/>
      <c r="G458" s="572"/>
      <c r="H458" s="572"/>
      <c r="I458" s="572"/>
      <c r="J458" s="572"/>
      <c r="K458" s="572"/>
      <c r="L458" s="572"/>
      <c r="M458" s="572"/>
      <c r="N458" s="572"/>
      <c r="O458" s="574"/>
    </row>
    <row r="459" ht="13.5" customHeight="1">
      <c r="A459" s="572"/>
      <c r="B459" s="572"/>
      <c r="C459" s="572"/>
      <c r="D459" s="739"/>
      <c r="E459" s="570"/>
      <c r="F459" s="570"/>
      <c r="G459" s="572"/>
      <c r="H459" s="572"/>
      <c r="I459" s="572"/>
      <c r="J459" s="572"/>
      <c r="K459" s="572"/>
      <c r="L459" s="572"/>
      <c r="M459" s="572"/>
      <c r="N459" s="572"/>
      <c r="O459" s="574"/>
    </row>
    <row r="460" ht="13.5" customHeight="1">
      <c r="A460" s="572"/>
      <c r="B460" s="572"/>
      <c r="C460" s="572"/>
      <c r="D460" s="739"/>
      <c r="E460" s="570"/>
      <c r="F460" s="570"/>
      <c r="G460" s="572"/>
      <c r="H460" s="572"/>
      <c r="I460" s="572"/>
      <c r="J460" s="572"/>
      <c r="K460" s="572"/>
      <c r="L460" s="572"/>
      <c r="M460" s="572"/>
      <c r="N460" s="572"/>
      <c r="O460" s="574"/>
    </row>
    <row r="461" ht="13.5" customHeight="1">
      <c r="A461" s="572"/>
      <c r="B461" s="572"/>
      <c r="C461" s="572"/>
      <c r="D461" s="739"/>
      <c r="E461" s="570"/>
      <c r="F461" s="570"/>
      <c r="G461" s="572"/>
      <c r="H461" s="572"/>
      <c r="I461" s="572"/>
      <c r="J461" s="572"/>
      <c r="K461" s="572"/>
      <c r="L461" s="572"/>
      <c r="M461" s="572"/>
      <c r="N461" s="572"/>
      <c r="O461" s="574"/>
    </row>
    <row r="462" ht="13.5" customHeight="1">
      <c r="A462" s="572"/>
      <c r="B462" s="572"/>
      <c r="C462" s="572"/>
      <c r="D462" s="739"/>
      <c r="E462" s="570"/>
      <c r="F462" s="570"/>
      <c r="G462" s="572"/>
      <c r="H462" s="572"/>
      <c r="I462" s="572"/>
      <c r="J462" s="572"/>
      <c r="K462" s="572"/>
      <c r="L462" s="572"/>
      <c r="M462" s="572"/>
      <c r="N462" s="572"/>
      <c r="O462" s="574"/>
    </row>
    <row r="463" ht="13.5" customHeight="1">
      <c r="A463" s="572"/>
      <c r="B463" s="572"/>
      <c r="C463" s="572"/>
      <c r="D463" s="739"/>
      <c r="E463" s="570"/>
      <c r="F463" s="570"/>
      <c r="G463" s="572"/>
      <c r="H463" s="572"/>
      <c r="I463" s="572"/>
      <c r="J463" s="572"/>
      <c r="K463" s="572"/>
      <c r="L463" s="572"/>
      <c r="M463" s="572"/>
      <c r="N463" s="572"/>
      <c r="O463" s="574"/>
    </row>
    <row r="464" ht="13.5" customHeight="1">
      <c r="A464" s="572"/>
      <c r="B464" s="572"/>
      <c r="C464" s="572"/>
      <c r="D464" s="739"/>
      <c r="E464" s="570"/>
      <c r="F464" s="570"/>
      <c r="G464" s="572"/>
      <c r="H464" s="572"/>
      <c r="I464" s="572"/>
      <c r="J464" s="572"/>
      <c r="K464" s="572"/>
      <c r="L464" s="572"/>
      <c r="M464" s="572"/>
      <c r="N464" s="572"/>
      <c r="O464" s="574"/>
    </row>
    <row r="465" ht="13.5" customHeight="1">
      <c r="A465" s="572"/>
      <c r="B465" s="572"/>
      <c r="C465" s="572"/>
      <c r="D465" s="739"/>
      <c r="E465" s="570"/>
      <c r="F465" s="570"/>
      <c r="G465" s="572"/>
      <c r="H465" s="572"/>
      <c r="I465" s="572"/>
      <c r="J465" s="572"/>
      <c r="K465" s="572"/>
      <c r="L465" s="572"/>
      <c r="M465" s="572"/>
      <c r="N465" s="572"/>
      <c r="O465" s="574"/>
    </row>
    <row r="466" ht="13.5" customHeight="1">
      <c r="A466" s="572"/>
      <c r="B466" s="572"/>
      <c r="C466" s="572"/>
      <c r="D466" s="739"/>
      <c r="E466" s="570"/>
      <c r="F466" s="570"/>
      <c r="G466" s="572"/>
      <c r="H466" s="572"/>
      <c r="I466" s="572"/>
      <c r="J466" s="572"/>
      <c r="K466" s="572"/>
      <c r="L466" s="572"/>
      <c r="M466" s="572"/>
      <c r="N466" s="572"/>
      <c r="O466" s="574"/>
    </row>
    <row r="467" ht="13.5" customHeight="1">
      <c r="A467" s="572"/>
      <c r="B467" s="572"/>
      <c r="C467" s="572"/>
      <c r="D467" s="739"/>
      <c r="E467" s="570"/>
      <c r="F467" s="570"/>
      <c r="G467" s="572"/>
      <c r="H467" s="572"/>
      <c r="I467" s="572"/>
      <c r="J467" s="572"/>
      <c r="K467" s="572"/>
      <c r="L467" s="572"/>
      <c r="M467" s="572"/>
      <c r="N467" s="572"/>
      <c r="O467" s="574"/>
    </row>
    <row r="468" ht="13.5" customHeight="1">
      <c r="A468" s="572"/>
      <c r="B468" s="572"/>
      <c r="C468" s="572"/>
      <c r="D468" s="739"/>
      <c r="E468" s="570"/>
      <c r="F468" s="570"/>
      <c r="G468" s="572"/>
      <c r="H468" s="572"/>
      <c r="I468" s="572"/>
      <c r="J468" s="572"/>
      <c r="K468" s="572"/>
      <c r="L468" s="572"/>
      <c r="M468" s="572"/>
      <c r="N468" s="572"/>
      <c r="O468" s="574"/>
    </row>
    <row r="469" ht="13.5" customHeight="1">
      <c r="A469" s="572"/>
      <c r="B469" s="572"/>
      <c r="C469" s="572"/>
      <c r="D469" s="739"/>
      <c r="E469" s="570"/>
      <c r="F469" s="570"/>
      <c r="G469" s="572"/>
      <c r="H469" s="572"/>
      <c r="I469" s="572"/>
      <c r="J469" s="572"/>
      <c r="K469" s="572"/>
      <c r="L469" s="572"/>
      <c r="M469" s="572"/>
      <c r="N469" s="572"/>
      <c r="O469" s="574"/>
    </row>
    <row r="470" ht="13.5" customHeight="1">
      <c r="A470" s="572"/>
      <c r="B470" s="572"/>
      <c r="C470" s="572"/>
      <c r="D470" s="739"/>
      <c r="E470" s="570"/>
      <c r="F470" s="570"/>
      <c r="G470" s="572"/>
      <c r="H470" s="572"/>
      <c r="I470" s="572"/>
      <c r="J470" s="572"/>
      <c r="K470" s="572"/>
      <c r="L470" s="572"/>
      <c r="M470" s="572"/>
      <c r="N470" s="572"/>
      <c r="O470" s="574"/>
    </row>
    <row r="471" ht="13.5" customHeight="1">
      <c r="A471" s="572"/>
      <c r="B471" s="572"/>
      <c r="C471" s="572"/>
      <c r="D471" s="739"/>
      <c r="E471" s="570"/>
      <c r="F471" s="570"/>
      <c r="G471" s="572"/>
      <c r="H471" s="572"/>
      <c r="I471" s="572"/>
      <c r="J471" s="572"/>
      <c r="K471" s="572"/>
      <c r="L471" s="572"/>
      <c r="M471" s="572"/>
      <c r="N471" s="572"/>
      <c r="O471" s="574"/>
    </row>
    <row r="472" ht="13.5" customHeight="1">
      <c r="A472" s="572"/>
      <c r="B472" s="572"/>
      <c r="C472" s="572"/>
      <c r="D472" s="739"/>
      <c r="E472" s="570"/>
      <c r="F472" s="570"/>
      <c r="G472" s="572"/>
      <c r="H472" s="572"/>
      <c r="I472" s="572"/>
      <c r="J472" s="572"/>
      <c r="K472" s="572"/>
      <c r="L472" s="572"/>
      <c r="M472" s="572"/>
      <c r="N472" s="572"/>
      <c r="O472" s="574"/>
    </row>
    <row r="473" ht="13.5" customHeight="1">
      <c r="A473" s="572"/>
      <c r="B473" s="572"/>
      <c r="C473" s="572"/>
      <c r="D473" s="739"/>
      <c r="E473" s="570"/>
      <c r="F473" s="570"/>
      <c r="G473" s="572"/>
      <c r="H473" s="572"/>
      <c r="I473" s="572"/>
      <c r="J473" s="572"/>
      <c r="K473" s="572"/>
      <c r="L473" s="572"/>
      <c r="M473" s="572"/>
      <c r="N473" s="572"/>
      <c r="O473" s="574"/>
    </row>
    <row r="474" ht="13.5" customHeight="1">
      <c r="A474" s="572"/>
      <c r="B474" s="572"/>
      <c r="C474" s="572"/>
      <c r="D474" s="739"/>
      <c r="E474" s="570"/>
      <c r="F474" s="570"/>
      <c r="G474" s="572"/>
      <c r="H474" s="572"/>
      <c r="I474" s="572"/>
      <c r="J474" s="572"/>
      <c r="K474" s="572"/>
      <c r="L474" s="572"/>
      <c r="M474" s="572"/>
      <c r="N474" s="572"/>
      <c r="O474" s="574"/>
    </row>
    <row r="475" ht="13.5" customHeight="1">
      <c r="A475" s="572"/>
      <c r="B475" s="572"/>
      <c r="C475" s="572"/>
      <c r="D475" s="739"/>
      <c r="E475" s="570"/>
      <c r="F475" s="570"/>
      <c r="G475" s="572"/>
      <c r="H475" s="572"/>
      <c r="I475" s="572"/>
      <c r="J475" s="572"/>
      <c r="K475" s="572"/>
      <c r="L475" s="572"/>
      <c r="M475" s="572"/>
      <c r="N475" s="572"/>
      <c r="O475" s="574"/>
    </row>
    <row r="476" ht="13.5" customHeight="1">
      <c r="A476" s="572"/>
      <c r="B476" s="572"/>
      <c r="C476" s="572"/>
      <c r="D476" s="739"/>
      <c r="E476" s="570"/>
      <c r="F476" s="570"/>
      <c r="G476" s="572"/>
      <c r="H476" s="572"/>
      <c r="I476" s="572"/>
      <c r="J476" s="572"/>
      <c r="K476" s="572"/>
      <c r="L476" s="572"/>
      <c r="M476" s="572"/>
      <c r="N476" s="572"/>
      <c r="O476" s="574"/>
    </row>
    <row r="477" ht="13.5" customHeight="1">
      <c r="A477" s="572"/>
      <c r="B477" s="572"/>
      <c r="C477" s="572"/>
      <c r="D477" s="739"/>
      <c r="E477" s="570"/>
      <c r="F477" s="570"/>
      <c r="G477" s="572"/>
      <c r="H477" s="572"/>
      <c r="I477" s="572"/>
      <c r="J477" s="572"/>
      <c r="K477" s="572"/>
      <c r="L477" s="572"/>
      <c r="M477" s="572"/>
      <c r="N477" s="572"/>
      <c r="O477" s="574"/>
    </row>
    <row r="478" ht="13.5" customHeight="1">
      <c r="A478" s="572"/>
      <c r="B478" s="572"/>
      <c r="C478" s="572"/>
      <c r="D478" s="739"/>
      <c r="E478" s="570"/>
      <c r="F478" s="570"/>
      <c r="G478" s="572"/>
      <c r="H478" s="572"/>
      <c r="I478" s="572"/>
      <c r="J478" s="572"/>
      <c r="K478" s="572"/>
      <c r="L478" s="572"/>
      <c r="M478" s="572"/>
      <c r="N478" s="572"/>
      <c r="O478" s="574"/>
    </row>
    <row r="479" ht="13.5" customHeight="1">
      <c r="A479" s="572"/>
      <c r="B479" s="572"/>
      <c r="C479" s="572"/>
      <c r="D479" s="739"/>
      <c r="E479" s="570"/>
      <c r="F479" s="570"/>
      <c r="G479" s="572"/>
      <c r="H479" s="572"/>
      <c r="I479" s="572"/>
      <c r="J479" s="572"/>
      <c r="K479" s="572"/>
      <c r="L479" s="572"/>
      <c r="M479" s="572"/>
      <c r="N479" s="572"/>
      <c r="O479" s="574"/>
    </row>
    <row r="480" ht="13.5" customHeight="1">
      <c r="A480" s="572"/>
      <c r="B480" s="572"/>
      <c r="C480" s="572"/>
      <c r="D480" s="739"/>
      <c r="E480" s="570"/>
      <c r="F480" s="570"/>
      <c r="G480" s="572"/>
      <c r="H480" s="572"/>
      <c r="I480" s="572"/>
      <c r="J480" s="572"/>
      <c r="K480" s="572"/>
      <c r="L480" s="572"/>
      <c r="M480" s="572"/>
      <c r="N480" s="572"/>
      <c r="O480" s="574"/>
    </row>
    <row r="481" ht="13.5" customHeight="1">
      <c r="A481" s="572"/>
      <c r="B481" s="572"/>
      <c r="C481" s="572"/>
      <c r="D481" s="739"/>
      <c r="E481" s="570"/>
      <c r="F481" s="570"/>
      <c r="G481" s="572"/>
      <c r="H481" s="572"/>
      <c r="I481" s="572"/>
      <c r="J481" s="572"/>
      <c r="K481" s="572"/>
      <c r="L481" s="572"/>
      <c r="M481" s="572"/>
      <c r="N481" s="572"/>
      <c r="O481" s="574"/>
    </row>
    <row r="482" ht="13.5" customHeight="1">
      <c r="A482" s="572"/>
      <c r="B482" s="572"/>
      <c r="C482" s="572"/>
      <c r="D482" s="739"/>
      <c r="E482" s="570"/>
      <c r="F482" s="570"/>
      <c r="G482" s="572"/>
      <c r="H482" s="572"/>
      <c r="I482" s="572"/>
      <c r="J482" s="572"/>
      <c r="K482" s="572"/>
      <c r="L482" s="572"/>
      <c r="M482" s="572"/>
      <c r="N482" s="572"/>
      <c r="O482" s="574"/>
    </row>
    <row r="483" ht="13.5" customHeight="1">
      <c r="A483" s="572"/>
      <c r="B483" s="572"/>
      <c r="C483" s="572"/>
      <c r="D483" s="739"/>
      <c r="E483" s="570"/>
      <c r="F483" s="570"/>
      <c r="G483" s="572"/>
      <c r="H483" s="572"/>
      <c r="I483" s="572"/>
      <c r="J483" s="572"/>
      <c r="K483" s="572"/>
      <c r="L483" s="572"/>
      <c r="M483" s="572"/>
      <c r="N483" s="572"/>
      <c r="O483" s="574"/>
    </row>
    <row r="484" ht="13.5" customHeight="1">
      <c r="A484" s="572"/>
      <c r="B484" s="572"/>
      <c r="C484" s="572"/>
      <c r="D484" s="739"/>
      <c r="E484" s="570"/>
      <c r="F484" s="570"/>
      <c r="G484" s="572"/>
      <c r="H484" s="572"/>
      <c r="I484" s="572"/>
      <c r="J484" s="572"/>
      <c r="K484" s="572"/>
      <c r="L484" s="572"/>
      <c r="M484" s="572"/>
      <c r="N484" s="572"/>
      <c r="O484" s="574"/>
    </row>
    <row r="485" ht="13.5" customHeight="1">
      <c r="A485" s="572"/>
      <c r="B485" s="572"/>
      <c r="C485" s="572"/>
      <c r="D485" s="739"/>
      <c r="E485" s="570"/>
      <c r="F485" s="570"/>
      <c r="G485" s="572"/>
      <c r="H485" s="572"/>
      <c r="I485" s="572"/>
      <c r="J485" s="572"/>
      <c r="K485" s="572"/>
      <c r="L485" s="572"/>
      <c r="M485" s="572"/>
      <c r="N485" s="572"/>
      <c r="O485" s="574"/>
    </row>
    <row r="486" ht="13.5" customHeight="1">
      <c r="A486" s="572"/>
      <c r="B486" s="572"/>
      <c r="C486" s="572"/>
      <c r="D486" s="739"/>
      <c r="E486" s="570"/>
      <c r="F486" s="570"/>
      <c r="G486" s="572"/>
      <c r="H486" s="572"/>
      <c r="I486" s="572"/>
      <c r="J486" s="572"/>
      <c r="K486" s="572"/>
      <c r="L486" s="572"/>
      <c r="M486" s="572"/>
      <c r="N486" s="572"/>
      <c r="O486" s="574"/>
    </row>
    <row r="487" ht="13.5" customHeight="1">
      <c r="A487" s="572"/>
      <c r="B487" s="572"/>
      <c r="C487" s="572"/>
      <c r="D487" s="739"/>
      <c r="E487" s="570"/>
      <c r="F487" s="570"/>
      <c r="G487" s="572"/>
      <c r="H487" s="572"/>
      <c r="I487" s="572"/>
      <c r="J487" s="572"/>
      <c r="K487" s="572"/>
      <c r="L487" s="572"/>
      <c r="M487" s="572"/>
      <c r="N487" s="572"/>
      <c r="O487" s="574"/>
    </row>
    <row r="488" ht="13.5" customHeight="1">
      <c r="A488" s="572"/>
      <c r="B488" s="572"/>
      <c r="C488" s="572"/>
      <c r="D488" s="739"/>
      <c r="E488" s="570"/>
      <c r="F488" s="570"/>
      <c r="G488" s="572"/>
      <c r="H488" s="572"/>
      <c r="I488" s="572"/>
      <c r="J488" s="572"/>
      <c r="K488" s="572"/>
      <c r="L488" s="572"/>
      <c r="M488" s="572"/>
      <c r="N488" s="572"/>
      <c r="O488" s="574"/>
    </row>
    <row r="489" ht="13.5" customHeight="1">
      <c r="A489" s="572"/>
      <c r="B489" s="572"/>
      <c r="C489" s="572"/>
      <c r="D489" s="739"/>
      <c r="E489" s="570"/>
      <c r="F489" s="570"/>
      <c r="G489" s="572"/>
      <c r="H489" s="572"/>
      <c r="I489" s="572"/>
      <c r="J489" s="572"/>
      <c r="K489" s="572"/>
      <c r="L489" s="572"/>
      <c r="M489" s="572"/>
      <c r="N489" s="572"/>
      <c r="O489" s="574"/>
    </row>
    <row r="490" ht="13.5" customHeight="1">
      <c r="A490" s="572"/>
      <c r="B490" s="572"/>
      <c r="C490" s="572"/>
      <c r="D490" s="739"/>
      <c r="E490" s="570"/>
      <c r="F490" s="570"/>
      <c r="G490" s="572"/>
      <c r="H490" s="572"/>
      <c r="I490" s="572"/>
      <c r="J490" s="572"/>
      <c r="K490" s="572"/>
      <c r="L490" s="572"/>
      <c r="M490" s="572"/>
      <c r="N490" s="572"/>
      <c r="O490" s="574"/>
    </row>
    <row r="491" ht="13.5" customHeight="1">
      <c r="A491" s="572"/>
      <c r="B491" s="572"/>
      <c r="C491" s="572"/>
      <c r="D491" s="739"/>
      <c r="E491" s="570"/>
      <c r="F491" s="570"/>
      <c r="G491" s="572"/>
      <c r="H491" s="572"/>
      <c r="I491" s="572"/>
      <c r="J491" s="572"/>
      <c r="K491" s="572"/>
      <c r="L491" s="572"/>
      <c r="M491" s="572"/>
      <c r="N491" s="572"/>
      <c r="O491" s="574"/>
    </row>
    <row r="492" ht="13.5" customHeight="1">
      <c r="A492" s="572"/>
      <c r="B492" s="572"/>
      <c r="C492" s="572"/>
      <c r="D492" s="739"/>
      <c r="E492" s="570"/>
      <c r="F492" s="570"/>
      <c r="G492" s="572"/>
      <c r="H492" s="572"/>
      <c r="I492" s="572"/>
      <c r="J492" s="572"/>
      <c r="K492" s="572"/>
      <c r="L492" s="572"/>
      <c r="M492" s="572"/>
      <c r="N492" s="572"/>
      <c r="O492" s="574"/>
    </row>
    <row r="493" ht="13.5" customHeight="1">
      <c r="A493" s="572"/>
      <c r="B493" s="572"/>
      <c r="C493" s="572"/>
      <c r="D493" s="739"/>
      <c r="E493" s="570"/>
      <c r="F493" s="570"/>
      <c r="G493" s="572"/>
      <c r="H493" s="572"/>
      <c r="I493" s="572"/>
      <c r="J493" s="572"/>
      <c r="K493" s="572"/>
      <c r="L493" s="572"/>
      <c r="M493" s="572"/>
      <c r="N493" s="572"/>
      <c r="O493" s="574"/>
    </row>
    <row r="494" ht="13.5" customHeight="1">
      <c r="A494" s="572"/>
      <c r="B494" s="572"/>
      <c r="C494" s="572"/>
      <c r="D494" s="739"/>
      <c r="E494" s="570"/>
      <c r="F494" s="570"/>
      <c r="G494" s="572"/>
      <c r="H494" s="572"/>
      <c r="I494" s="572"/>
      <c r="J494" s="572"/>
      <c r="K494" s="572"/>
      <c r="L494" s="572"/>
      <c r="M494" s="572"/>
      <c r="N494" s="572"/>
      <c r="O494" s="574"/>
    </row>
    <row r="495" ht="13.5" customHeight="1">
      <c r="A495" s="572"/>
      <c r="B495" s="572"/>
      <c r="C495" s="572"/>
      <c r="D495" s="739"/>
      <c r="E495" s="570"/>
      <c r="F495" s="570"/>
      <c r="G495" s="572"/>
      <c r="H495" s="572"/>
      <c r="I495" s="572"/>
      <c r="J495" s="572"/>
      <c r="K495" s="572"/>
      <c r="L495" s="572"/>
      <c r="M495" s="572"/>
      <c r="N495" s="572"/>
      <c r="O495" s="574"/>
    </row>
    <row r="496" ht="13.5" customHeight="1">
      <c r="A496" s="572"/>
      <c r="B496" s="572"/>
      <c r="C496" s="572"/>
      <c r="D496" s="739"/>
      <c r="E496" s="570"/>
      <c r="F496" s="570"/>
      <c r="G496" s="572"/>
      <c r="H496" s="572"/>
      <c r="I496" s="572"/>
      <c r="J496" s="572"/>
      <c r="K496" s="572"/>
      <c r="L496" s="572"/>
      <c r="M496" s="572"/>
      <c r="N496" s="572"/>
      <c r="O496" s="574"/>
    </row>
    <row r="497" ht="13.5" customHeight="1">
      <c r="A497" s="572"/>
      <c r="B497" s="572"/>
      <c r="C497" s="572"/>
      <c r="D497" s="739"/>
      <c r="E497" s="570"/>
      <c r="F497" s="570"/>
      <c r="G497" s="572"/>
      <c r="H497" s="572"/>
      <c r="I497" s="572"/>
      <c r="J497" s="572"/>
      <c r="K497" s="572"/>
      <c r="L497" s="572"/>
      <c r="M497" s="572"/>
      <c r="N497" s="572"/>
      <c r="O497" s="574"/>
    </row>
    <row r="498" ht="13.5" customHeight="1">
      <c r="A498" s="572"/>
      <c r="B498" s="572"/>
      <c r="C498" s="572"/>
      <c r="D498" s="739"/>
      <c r="E498" s="570"/>
      <c r="F498" s="570"/>
      <c r="G498" s="572"/>
      <c r="H498" s="572"/>
      <c r="I498" s="572"/>
      <c r="J498" s="572"/>
      <c r="K498" s="572"/>
      <c r="L498" s="572"/>
      <c r="M498" s="572"/>
      <c r="N498" s="572"/>
      <c r="O498" s="574"/>
    </row>
    <row r="499" ht="13.5" customHeight="1">
      <c r="A499" s="572"/>
      <c r="B499" s="572"/>
      <c r="C499" s="572"/>
      <c r="D499" s="739"/>
      <c r="E499" s="570"/>
      <c r="F499" s="570"/>
      <c r="G499" s="572"/>
      <c r="H499" s="572"/>
      <c r="I499" s="572"/>
      <c r="J499" s="572"/>
      <c r="K499" s="572"/>
      <c r="L499" s="572"/>
      <c r="M499" s="572"/>
      <c r="N499" s="572"/>
      <c r="O499" s="574"/>
    </row>
    <row r="500" ht="13.5" customHeight="1">
      <c r="A500" s="572"/>
      <c r="B500" s="572"/>
      <c r="C500" s="572"/>
      <c r="D500" s="739"/>
      <c r="E500" s="570"/>
      <c r="F500" s="570"/>
      <c r="G500" s="572"/>
      <c r="H500" s="572"/>
      <c r="I500" s="572"/>
      <c r="J500" s="572"/>
      <c r="K500" s="572"/>
      <c r="L500" s="572"/>
      <c r="M500" s="572"/>
      <c r="N500" s="572"/>
      <c r="O500" s="574"/>
    </row>
    <row r="501" ht="13.5" customHeight="1">
      <c r="A501" s="572"/>
      <c r="B501" s="572"/>
      <c r="C501" s="572"/>
      <c r="D501" s="739"/>
      <c r="E501" s="570"/>
      <c r="F501" s="570"/>
      <c r="G501" s="572"/>
      <c r="H501" s="572"/>
      <c r="I501" s="572"/>
      <c r="J501" s="572"/>
      <c r="K501" s="572"/>
      <c r="L501" s="572"/>
      <c r="M501" s="572"/>
      <c r="N501" s="572"/>
      <c r="O501" s="574"/>
    </row>
    <row r="502" ht="13.5" customHeight="1">
      <c r="A502" s="572"/>
      <c r="B502" s="572"/>
      <c r="C502" s="572"/>
      <c r="D502" s="739"/>
      <c r="E502" s="570"/>
      <c r="F502" s="570"/>
      <c r="G502" s="572"/>
      <c r="H502" s="572"/>
      <c r="I502" s="572"/>
      <c r="J502" s="572"/>
      <c r="K502" s="572"/>
      <c r="L502" s="572"/>
      <c r="M502" s="572"/>
      <c r="N502" s="572"/>
      <c r="O502" s="574"/>
    </row>
    <row r="503" ht="13.5" customHeight="1">
      <c r="A503" s="572"/>
      <c r="B503" s="572"/>
      <c r="C503" s="572"/>
      <c r="D503" s="739"/>
      <c r="E503" s="570"/>
      <c r="F503" s="570"/>
      <c r="G503" s="572"/>
      <c r="H503" s="572"/>
      <c r="I503" s="572"/>
      <c r="J503" s="572"/>
      <c r="K503" s="572"/>
      <c r="L503" s="572"/>
      <c r="M503" s="572"/>
      <c r="N503" s="572"/>
      <c r="O503" s="574"/>
    </row>
    <row r="504" ht="13.5" customHeight="1">
      <c r="A504" s="572"/>
      <c r="B504" s="572"/>
      <c r="C504" s="572"/>
      <c r="D504" s="739"/>
      <c r="E504" s="570"/>
      <c r="F504" s="570"/>
      <c r="G504" s="572"/>
      <c r="H504" s="572"/>
      <c r="I504" s="572"/>
      <c r="J504" s="572"/>
      <c r="K504" s="572"/>
      <c r="L504" s="572"/>
      <c r="M504" s="572"/>
      <c r="N504" s="572"/>
      <c r="O504" s="574"/>
    </row>
    <row r="505" ht="13.5" customHeight="1">
      <c r="A505" s="572"/>
      <c r="B505" s="572"/>
      <c r="C505" s="572"/>
      <c r="D505" s="739"/>
      <c r="E505" s="570"/>
      <c r="F505" s="570"/>
      <c r="G505" s="572"/>
      <c r="H505" s="572"/>
      <c r="I505" s="572"/>
      <c r="J505" s="572"/>
      <c r="K505" s="572"/>
      <c r="L505" s="572"/>
      <c r="M505" s="572"/>
      <c r="N505" s="572"/>
      <c r="O505" s="574"/>
    </row>
    <row r="506" ht="13.5" customHeight="1">
      <c r="A506" s="572"/>
      <c r="B506" s="572"/>
      <c r="C506" s="572"/>
      <c r="D506" s="739"/>
      <c r="E506" s="570"/>
      <c r="F506" s="570"/>
      <c r="G506" s="572"/>
      <c r="H506" s="572"/>
      <c r="I506" s="572"/>
      <c r="J506" s="572"/>
      <c r="K506" s="572"/>
      <c r="L506" s="572"/>
      <c r="M506" s="572"/>
      <c r="N506" s="572"/>
      <c r="O506" s="574"/>
    </row>
    <row r="507" ht="13.5" customHeight="1">
      <c r="A507" s="572"/>
      <c r="B507" s="572"/>
      <c r="C507" s="572"/>
      <c r="D507" s="739"/>
      <c r="E507" s="570"/>
      <c r="F507" s="570"/>
      <c r="G507" s="572"/>
      <c r="H507" s="572"/>
      <c r="I507" s="572"/>
      <c r="J507" s="572"/>
      <c r="K507" s="572"/>
      <c r="L507" s="572"/>
      <c r="M507" s="572"/>
      <c r="N507" s="572"/>
      <c r="O507" s="574"/>
    </row>
    <row r="508" ht="13.5" customHeight="1">
      <c r="A508" s="572"/>
      <c r="B508" s="572"/>
      <c r="C508" s="572"/>
      <c r="D508" s="739"/>
      <c r="E508" s="570"/>
      <c r="F508" s="570"/>
      <c r="G508" s="572"/>
      <c r="H508" s="572"/>
      <c r="I508" s="572"/>
      <c r="J508" s="572"/>
      <c r="K508" s="572"/>
      <c r="L508" s="572"/>
      <c r="M508" s="572"/>
      <c r="N508" s="572"/>
      <c r="O508" s="574"/>
    </row>
    <row r="509" ht="13.5" customHeight="1">
      <c r="A509" s="572"/>
      <c r="B509" s="572"/>
      <c r="C509" s="572"/>
      <c r="D509" s="739"/>
      <c r="E509" s="570"/>
      <c r="F509" s="570"/>
      <c r="G509" s="572"/>
      <c r="H509" s="572"/>
      <c r="I509" s="572"/>
      <c r="J509" s="572"/>
      <c r="K509" s="572"/>
      <c r="L509" s="572"/>
      <c r="M509" s="572"/>
      <c r="N509" s="572"/>
      <c r="O509" s="574"/>
    </row>
    <row r="510" ht="13.5" customHeight="1">
      <c r="A510" s="572"/>
      <c r="B510" s="572"/>
      <c r="C510" s="572"/>
      <c r="D510" s="739"/>
      <c r="E510" s="570"/>
      <c r="F510" s="570"/>
      <c r="G510" s="572"/>
      <c r="H510" s="572"/>
      <c r="I510" s="572"/>
      <c r="J510" s="572"/>
      <c r="K510" s="572"/>
      <c r="L510" s="572"/>
      <c r="M510" s="572"/>
      <c r="N510" s="572"/>
      <c r="O510" s="574"/>
    </row>
    <row r="511" ht="13.5" customHeight="1">
      <c r="A511" s="572"/>
      <c r="B511" s="572"/>
      <c r="C511" s="572"/>
      <c r="D511" s="739"/>
      <c r="E511" s="570"/>
      <c r="F511" s="570"/>
      <c r="G511" s="572"/>
      <c r="H511" s="572"/>
      <c r="I511" s="572"/>
      <c r="J511" s="572"/>
      <c r="K511" s="572"/>
      <c r="L511" s="572"/>
      <c r="M511" s="572"/>
      <c r="N511" s="572"/>
      <c r="O511" s="574"/>
    </row>
    <row r="512" ht="13.5" customHeight="1">
      <c r="A512" s="572"/>
      <c r="B512" s="572"/>
      <c r="C512" s="572"/>
      <c r="D512" s="739"/>
      <c r="E512" s="570"/>
      <c r="F512" s="570"/>
      <c r="G512" s="572"/>
      <c r="H512" s="572"/>
      <c r="I512" s="572"/>
      <c r="J512" s="572"/>
      <c r="K512" s="572"/>
      <c r="L512" s="572"/>
      <c r="M512" s="572"/>
      <c r="N512" s="572"/>
      <c r="O512" s="574"/>
    </row>
    <row r="513" ht="13.5" customHeight="1">
      <c r="A513" s="572"/>
      <c r="B513" s="572"/>
      <c r="C513" s="572"/>
      <c r="D513" s="739"/>
      <c r="E513" s="570"/>
      <c r="F513" s="570"/>
      <c r="G513" s="572"/>
      <c r="H513" s="572"/>
      <c r="I513" s="572"/>
      <c r="J513" s="572"/>
      <c r="K513" s="572"/>
      <c r="L513" s="572"/>
      <c r="M513" s="572"/>
      <c r="N513" s="572"/>
      <c r="O513" s="574"/>
    </row>
    <row r="514" ht="13.5" customHeight="1">
      <c r="A514" s="572"/>
      <c r="B514" s="572"/>
      <c r="C514" s="572"/>
      <c r="D514" s="739"/>
      <c r="E514" s="570"/>
      <c r="F514" s="570"/>
      <c r="G514" s="572"/>
      <c r="H514" s="572"/>
      <c r="I514" s="572"/>
      <c r="J514" s="572"/>
      <c r="K514" s="572"/>
      <c r="L514" s="572"/>
      <c r="M514" s="572"/>
      <c r="N514" s="572"/>
      <c r="O514" s="574"/>
    </row>
    <row r="515" ht="13.5" customHeight="1">
      <c r="A515" s="572"/>
      <c r="B515" s="572"/>
      <c r="C515" s="572"/>
      <c r="D515" s="739"/>
      <c r="E515" s="570"/>
      <c r="F515" s="570"/>
      <c r="G515" s="572"/>
      <c r="H515" s="572"/>
      <c r="I515" s="572"/>
      <c r="J515" s="572"/>
      <c r="K515" s="572"/>
      <c r="L515" s="572"/>
      <c r="M515" s="572"/>
      <c r="N515" s="572"/>
      <c r="O515" s="574"/>
    </row>
    <row r="516" ht="13.5" customHeight="1">
      <c r="A516" s="572"/>
      <c r="B516" s="572"/>
      <c r="C516" s="572"/>
      <c r="D516" s="739"/>
      <c r="E516" s="570"/>
      <c r="F516" s="570"/>
      <c r="G516" s="572"/>
      <c r="H516" s="572"/>
      <c r="I516" s="572"/>
      <c r="J516" s="572"/>
      <c r="K516" s="572"/>
      <c r="L516" s="572"/>
      <c r="M516" s="572"/>
      <c r="N516" s="572"/>
      <c r="O516" s="574"/>
    </row>
    <row r="517" ht="13.5" customHeight="1">
      <c r="A517" s="572"/>
      <c r="B517" s="572"/>
      <c r="C517" s="572"/>
      <c r="D517" s="739"/>
      <c r="E517" s="570"/>
      <c r="F517" s="570"/>
      <c r="G517" s="572"/>
      <c r="H517" s="572"/>
      <c r="I517" s="572"/>
      <c r="J517" s="572"/>
      <c r="K517" s="572"/>
      <c r="L517" s="572"/>
      <c r="M517" s="572"/>
      <c r="N517" s="572"/>
      <c r="O517" s="574"/>
    </row>
    <row r="518" ht="13.5" customHeight="1">
      <c r="A518" s="572"/>
      <c r="B518" s="572"/>
      <c r="C518" s="572"/>
      <c r="D518" s="739"/>
      <c r="E518" s="570"/>
      <c r="F518" s="570"/>
      <c r="G518" s="572"/>
      <c r="H518" s="572"/>
      <c r="I518" s="572"/>
      <c r="J518" s="572"/>
      <c r="K518" s="572"/>
      <c r="L518" s="572"/>
      <c r="M518" s="572"/>
      <c r="N518" s="572"/>
      <c r="O518" s="574"/>
    </row>
    <row r="519" ht="13.5" customHeight="1">
      <c r="A519" s="572"/>
      <c r="B519" s="572"/>
      <c r="C519" s="572"/>
      <c r="D519" s="739"/>
      <c r="E519" s="570"/>
      <c r="F519" s="570"/>
      <c r="G519" s="572"/>
      <c r="H519" s="572"/>
      <c r="I519" s="572"/>
      <c r="J519" s="572"/>
      <c r="K519" s="572"/>
      <c r="L519" s="572"/>
      <c r="M519" s="572"/>
      <c r="N519" s="572"/>
      <c r="O519" s="574"/>
    </row>
    <row r="520" ht="13.5" customHeight="1">
      <c r="A520" s="572"/>
      <c r="B520" s="572"/>
      <c r="C520" s="572"/>
      <c r="D520" s="739"/>
      <c r="E520" s="570"/>
      <c r="F520" s="570"/>
      <c r="G520" s="572"/>
      <c r="H520" s="572"/>
      <c r="I520" s="572"/>
      <c r="J520" s="572"/>
      <c r="K520" s="572"/>
      <c r="L520" s="572"/>
      <c r="M520" s="572"/>
      <c r="N520" s="572"/>
      <c r="O520" s="574"/>
    </row>
    <row r="521" ht="13.5" customHeight="1">
      <c r="A521" s="572"/>
      <c r="B521" s="572"/>
      <c r="C521" s="572"/>
      <c r="D521" s="739"/>
      <c r="E521" s="570"/>
      <c r="F521" s="570"/>
      <c r="G521" s="572"/>
      <c r="H521" s="572"/>
      <c r="I521" s="572"/>
      <c r="J521" s="572"/>
      <c r="K521" s="572"/>
      <c r="L521" s="572"/>
      <c r="M521" s="572"/>
      <c r="N521" s="572"/>
      <c r="O521" s="574"/>
    </row>
    <row r="522" ht="13.5" customHeight="1">
      <c r="A522" s="572"/>
      <c r="B522" s="572"/>
      <c r="C522" s="572"/>
      <c r="D522" s="739"/>
      <c r="E522" s="570"/>
      <c r="F522" s="570"/>
      <c r="G522" s="572"/>
      <c r="H522" s="572"/>
      <c r="I522" s="572"/>
      <c r="J522" s="572"/>
      <c r="K522" s="572"/>
      <c r="L522" s="572"/>
      <c r="M522" s="572"/>
      <c r="N522" s="572"/>
      <c r="O522" s="574"/>
    </row>
    <row r="523" ht="13.5" customHeight="1">
      <c r="A523" s="572"/>
      <c r="B523" s="572"/>
      <c r="C523" s="572"/>
      <c r="D523" s="739"/>
      <c r="E523" s="570"/>
      <c r="F523" s="570"/>
      <c r="G523" s="572"/>
      <c r="H523" s="572"/>
      <c r="I523" s="572"/>
      <c r="J523" s="572"/>
      <c r="K523" s="572"/>
      <c r="L523" s="572"/>
      <c r="M523" s="572"/>
      <c r="N523" s="572"/>
      <c r="O523" s="574"/>
    </row>
    <row r="524" ht="13.5" customHeight="1">
      <c r="A524" s="572"/>
      <c r="B524" s="572"/>
      <c r="C524" s="572"/>
      <c r="D524" s="739"/>
      <c r="E524" s="570"/>
      <c r="F524" s="570"/>
      <c r="G524" s="572"/>
      <c r="H524" s="572"/>
      <c r="I524" s="572"/>
      <c r="J524" s="572"/>
      <c r="K524" s="572"/>
      <c r="L524" s="572"/>
      <c r="M524" s="572"/>
      <c r="N524" s="572"/>
      <c r="O524" s="574"/>
    </row>
    <row r="525" ht="13.5" customHeight="1">
      <c r="A525" s="572"/>
      <c r="B525" s="572"/>
      <c r="C525" s="572"/>
      <c r="D525" s="739"/>
      <c r="E525" s="570"/>
      <c r="F525" s="570"/>
      <c r="G525" s="572"/>
      <c r="H525" s="572"/>
      <c r="I525" s="572"/>
      <c r="J525" s="572"/>
      <c r="K525" s="572"/>
      <c r="L525" s="572"/>
      <c r="M525" s="572"/>
      <c r="N525" s="572"/>
      <c r="O525" s="574"/>
    </row>
    <row r="526" ht="13.5" customHeight="1">
      <c r="A526" s="572"/>
      <c r="B526" s="572"/>
      <c r="C526" s="572"/>
      <c r="D526" s="739"/>
      <c r="E526" s="570"/>
      <c r="F526" s="570"/>
      <c r="G526" s="572"/>
      <c r="H526" s="572"/>
      <c r="I526" s="572"/>
      <c r="J526" s="572"/>
      <c r="K526" s="572"/>
      <c r="L526" s="572"/>
      <c r="M526" s="572"/>
      <c r="N526" s="572"/>
      <c r="O526" s="574"/>
    </row>
    <row r="527" ht="13.5" customHeight="1">
      <c r="A527" s="572"/>
      <c r="B527" s="572"/>
      <c r="C527" s="572"/>
      <c r="D527" s="739"/>
      <c r="E527" s="570"/>
      <c r="F527" s="570"/>
      <c r="G527" s="572"/>
      <c r="H527" s="572"/>
      <c r="I527" s="572"/>
      <c r="J527" s="572"/>
      <c r="K527" s="572"/>
      <c r="L527" s="572"/>
      <c r="M527" s="572"/>
      <c r="N527" s="572"/>
      <c r="O527" s="574"/>
    </row>
    <row r="528" ht="13.5" customHeight="1">
      <c r="A528" s="572"/>
      <c r="B528" s="572"/>
      <c r="C528" s="572"/>
      <c r="D528" s="739"/>
      <c r="E528" s="570"/>
      <c r="F528" s="570"/>
      <c r="G528" s="572"/>
      <c r="H528" s="572"/>
      <c r="I528" s="572"/>
      <c r="J528" s="572"/>
      <c r="K528" s="572"/>
      <c r="L528" s="572"/>
      <c r="M528" s="572"/>
      <c r="N528" s="572"/>
      <c r="O528" s="574"/>
    </row>
    <row r="529" ht="13.5" customHeight="1">
      <c r="A529" s="572"/>
      <c r="B529" s="572"/>
      <c r="C529" s="572"/>
      <c r="D529" s="739"/>
      <c r="E529" s="570"/>
      <c r="F529" s="570"/>
      <c r="G529" s="572"/>
      <c r="H529" s="572"/>
      <c r="I529" s="572"/>
      <c r="J529" s="572"/>
      <c r="K529" s="572"/>
      <c r="L529" s="572"/>
      <c r="M529" s="572"/>
      <c r="N529" s="572"/>
      <c r="O529" s="574"/>
    </row>
    <row r="530" ht="13.5" customHeight="1">
      <c r="A530" s="572"/>
      <c r="B530" s="572"/>
      <c r="C530" s="572"/>
      <c r="D530" s="739"/>
      <c r="E530" s="570"/>
      <c r="F530" s="570"/>
      <c r="G530" s="572"/>
      <c r="H530" s="572"/>
      <c r="I530" s="572"/>
      <c r="J530" s="572"/>
      <c r="K530" s="572"/>
      <c r="L530" s="572"/>
      <c r="M530" s="572"/>
      <c r="N530" s="572"/>
      <c r="O530" s="574"/>
    </row>
    <row r="531" ht="13.5" customHeight="1">
      <c r="A531" s="572"/>
      <c r="B531" s="572"/>
      <c r="C531" s="572"/>
      <c r="D531" s="739"/>
      <c r="E531" s="570"/>
      <c r="F531" s="570"/>
      <c r="G531" s="572"/>
      <c r="H531" s="572"/>
      <c r="I531" s="572"/>
      <c r="J531" s="572"/>
      <c r="K531" s="572"/>
      <c r="L531" s="572"/>
      <c r="M531" s="572"/>
      <c r="N531" s="572"/>
      <c r="O531" s="574"/>
    </row>
    <row r="532" ht="13.5" customHeight="1">
      <c r="A532" s="572"/>
      <c r="B532" s="572"/>
      <c r="C532" s="572"/>
      <c r="D532" s="739"/>
      <c r="E532" s="570"/>
      <c r="F532" s="570"/>
      <c r="G532" s="572"/>
      <c r="H532" s="572"/>
      <c r="I532" s="572"/>
      <c r="J532" s="572"/>
      <c r="K532" s="572"/>
      <c r="L532" s="572"/>
      <c r="M532" s="572"/>
      <c r="N532" s="572"/>
      <c r="O532" s="574"/>
    </row>
    <row r="533" ht="13.5" customHeight="1">
      <c r="A533" s="572"/>
      <c r="B533" s="572"/>
      <c r="C533" s="572"/>
      <c r="D533" s="739"/>
      <c r="E533" s="570"/>
      <c r="F533" s="570"/>
      <c r="G533" s="572"/>
      <c r="H533" s="572"/>
      <c r="I533" s="572"/>
      <c r="J533" s="572"/>
      <c r="K533" s="572"/>
      <c r="L533" s="572"/>
      <c r="M533" s="572"/>
      <c r="N533" s="572"/>
      <c r="O533" s="574"/>
    </row>
    <row r="534" ht="13.5" customHeight="1">
      <c r="A534" s="572"/>
      <c r="B534" s="572"/>
      <c r="C534" s="572"/>
      <c r="D534" s="739"/>
      <c r="E534" s="570"/>
      <c r="F534" s="570"/>
      <c r="G534" s="572"/>
      <c r="H534" s="572"/>
      <c r="I534" s="572"/>
      <c r="J534" s="572"/>
      <c r="K534" s="572"/>
      <c r="L534" s="572"/>
      <c r="M534" s="572"/>
      <c r="N534" s="572"/>
      <c r="O534" s="574"/>
    </row>
    <row r="535" ht="13.5" customHeight="1">
      <c r="A535" s="572"/>
      <c r="B535" s="572"/>
      <c r="C535" s="572"/>
      <c r="D535" s="584"/>
      <c r="E535" s="570"/>
      <c r="F535" s="570"/>
      <c r="G535" s="572"/>
      <c r="H535" s="572"/>
      <c r="I535" s="572"/>
      <c r="J535" s="572"/>
      <c r="K535" s="572"/>
      <c r="L535" s="572"/>
      <c r="M535" s="572"/>
      <c r="N535" s="572"/>
      <c r="O535" s="574"/>
    </row>
    <row r="536" ht="13.5" customHeight="1">
      <c r="A536" s="572"/>
      <c r="B536" s="572"/>
      <c r="C536" s="572"/>
      <c r="D536" s="584"/>
      <c r="E536" s="570"/>
      <c r="F536" s="570"/>
      <c r="G536" s="572"/>
      <c r="H536" s="572"/>
      <c r="I536" s="572"/>
      <c r="J536" s="572"/>
      <c r="K536" s="572"/>
      <c r="L536" s="572"/>
      <c r="M536" s="572"/>
      <c r="N536" s="572"/>
      <c r="O536" s="574"/>
    </row>
    <row r="537" ht="13.5" customHeight="1">
      <c r="A537" s="572"/>
      <c r="B537" s="572"/>
      <c r="C537" s="572"/>
      <c r="D537" s="584"/>
      <c r="E537" s="570"/>
      <c r="F537" s="570"/>
      <c r="G537" s="572"/>
      <c r="H537" s="572"/>
      <c r="I537" s="572"/>
      <c r="J537" s="572"/>
      <c r="K537" s="572"/>
      <c r="L537" s="572"/>
      <c r="M537" s="572"/>
      <c r="N537" s="572"/>
      <c r="O537" s="574"/>
    </row>
    <row r="538" ht="13.5" customHeight="1">
      <c r="A538" s="572"/>
      <c r="B538" s="572"/>
      <c r="C538" s="572"/>
      <c r="D538" s="584"/>
      <c r="E538" s="570"/>
      <c r="F538" s="570"/>
      <c r="G538" s="572"/>
      <c r="H538" s="572"/>
      <c r="I538" s="572"/>
      <c r="J538" s="572"/>
      <c r="K538" s="572"/>
      <c r="L538" s="572"/>
      <c r="M538" s="572"/>
      <c r="N538" s="572"/>
      <c r="O538" s="574"/>
    </row>
    <row r="539" ht="13.5" customHeight="1">
      <c r="A539" s="572"/>
      <c r="B539" s="572"/>
      <c r="C539" s="572"/>
      <c r="D539" s="584"/>
      <c r="E539" s="570"/>
      <c r="F539" s="570"/>
      <c r="G539" s="572"/>
      <c r="H539" s="572"/>
      <c r="I539" s="572"/>
      <c r="J539" s="572"/>
      <c r="K539" s="572"/>
      <c r="L539" s="572"/>
      <c r="M539" s="572"/>
      <c r="N539" s="572"/>
      <c r="O539" s="574"/>
    </row>
    <row r="540" ht="13.5" customHeight="1">
      <c r="A540" s="572"/>
      <c r="B540" s="572"/>
      <c r="C540" s="572"/>
      <c r="D540" s="584"/>
      <c r="E540" s="570"/>
      <c r="F540" s="570"/>
      <c r="G540" s="572"/>
      <c r="H540" s="572"/>
      <c r="I540" s="572"/>
      <c r="J540" s="572"/>
      <c r="K540" s="572"/>
      <c r="L540" s="572"/>
      <c r="M540" s="572"/>
      <c r="N540" s="572"/>
      <c r="O540" s="574"/>
    </row>
    <row r="541" ht="13.5" customHeight="1">
      <c r="A541" s="572"/>
      <c r="B541" s="572"/>
      <c r="C541" s="572"/>
      <c r="D541" s="584"/>
      <c r="E541" s="570"/>
      <c r="F541" s="570"/>
      <c r="G541" s="572"/>
      <c r="H541" s="572"/>
      <c r="I541" s="572"/>
      <c r="J541" s="572"/>
      <c r="K541" s="572"/>
      <c r="L541" s="572"/>
      <c r="M541" s="572"/>
      <c r="N541" s="572"/>
      <c r="O541" s="574"/>
    </row>
    <row r="542" ht="13.5" customHeight="1">
      <c r="A542" s="572"/>
      <c r="B542" s="572"/>
      <c r="C542" s="572"/>
      <c r="D542" s="584"/>
      <c r="E542" s="570"/>
      <c r="F542" s="570"/>
      <c r="G542" s="572"/>
      <c r="H542" s="572"/>
      <c r="I542" s="572"/>
      <c r="J542" s="572"/>
      <c r="K542" s="572"/>
      <c r="L542" s="572"/>
      <c r="M542" s="572"/>
      <c r="N542" s="572"/>
      <c r="O542" s="574"/>
    </row>
    <row r="543" ht="13.5" customHeight="1">
      <c r="A543" s="572"/>
      <c r="B543" s="572"/>
      <c r="C543" s="572"/>
      <c r="D543" s="584"/>
      <c r="E543" s="570"/>
      <c r="F543" s="570"/>
      <c r="G543" s="572"/>
      <c r="H543" s="572"/>
      <c r="I543" s="572"/>
      <c r="J543" s="572"/>
      <c r="K543" s="572"/>
      <c r="L543" s="572"/>
      <c r="M543" s="572"/>
      <c r="N543" s="572"/>
      <c r="O543" s="574"/>
    </row>
    <row r="544" ht="13.5" customHeight="1">
      <c r="A544" s="572"/>
      <c r="B544" s="572"/>
      <c r="C544" s="572"/>
      <c r="D544" s="584"/>
      <c r="E544" s="570"/>
      <c r="F544" s="570"/>
      <c r="G544" s="572"/>
      <c r="H544" s="572"/>
      <c r="I544" s="572"/>
      <c r="J544" s="572"/>
      <c r="K544" s="572"/>
      <c r="L544" s="572"/>
      <c r="M544" s="572"/>
      <c r="N544" s="572"/>
      <c r="O544" s="574"/>
    </row>
    <row r="545" ht="13.5" customHeight="1">
      <c r="A545" s="572"/>
      <c r="B545" s="572"/>
      <c r="C545" s="572"/>
      <c r="D545" s="584"/>
      <c r="E545" s="570"/>
      <c r="F545" s="570"/>
      <c r="G545" s="572"/>
      <c r="H545" s="572"/>
      <c r="I545" s="572"/>
      <c r="J545" s="572"/>
      <c r="K545" s="572"/>
      <c r="L545" s="572"/>
      <c r="M545" s="572"/>
      <c r="N545" s="572"/>
      <c r="O545" s="574"/>
    </row>
    <row r="546" ht="13.5" customHeight="1">
      <c r="A546" s="572"/>
      <c r="B546" s="572"/>
      <c r="C546" s="572"/>
      <c r="D546" s="584"/>
      <c r="E546" s="570"/>
      <c r="F546" s="570"/>
      <c r="G546" s="572"/>
      <c r="H546" s="572"/>
      <c r="I546" s="572"/>
      <c r="J546" s="572"/>
      <c r="K546" s="572"/>
      <c r="L546" s="572"/>
      <c r="M546" s="572"/>
      <c r="N546" s="572"/>
      <c r="O546" s="574"/>
    </row>
    <row r="547" ht="13.5" customHeight="1">
      <c r="A547" s="572"/>
      <c r="B547" s="572"/>
      <c r="C547" s="572"/>
      <c r="D547" s="584"/>
      <c r="E547" s="570"/>
      <c r="F547" s="570"/>
      <c r="G547" s="572"/>
      <c r="H547" s="572"/>
      <c r="I547" s="572"/>
      <c r="J547" s="572"/>
      <c r="K547" s="572"/>
      <c r="L547" s="572"/>
      <c r="M547" s="572"/>
      <c r="N547" s="572"/>
      <c r="O547" s="574"/>
    </row>
    <row r="548" ht="13.5" customHeight="1">
      <c r="A548" s="572"/>
      <c r="B548" s="572"/>
      <c r="C548" s="572"/>
      <c r="D548" s="584"/>
      <c r="E548" s="570"/>
      <c r="F548" s="570"/>
      <c r="G548" s="572"/>
      <c r="H548" s="572"/>
      <c r="I548" s="572"/>
      <c r="J548" s="572"/>
      <c r="K548" s="572"/>
      <c r="L548" s="572"/>
      <c r="M548" s="572"/>
      <c r="N548" s="572"/>
      <c r="O548" s="574"/>
    </row>
    <row r="549" ht="13.5" customHeight="1">
      <c r="A549" s="572"/>
      <c r="B549" s="572"/>
      <c r="C549" s="572"/>
      <c r="D549" s="584"/>
      <c r="E549" s="570"/>
      <c r="F549" s="570"/>
      <c r="G549" s="572"/>
      <c r="H549" s="572"/>
      <c r="I549" s="572"/>
      <c r="J549" s="572"/>
      <c r="K549" s="572"/>
      <c r="L549" s="572"/>
      <c r="M549" s="572"/>
      <c r="N549" s="572"/>
      <c r="O549" s="574"/>
    </row>
    <row r="550" ht="13.5" customHeight="1">
      <c r="A550" s="572"/>
      <c r="B550" s="572"/>
      <c r="C550" s="572"/>
      <c r="D550" s="584"/>
      <c r="E550" s="570"/>
      <c r="F550" s="570"/>
      <c r="G550" s="572"/>
      <c r="H550" s="572"/>
      <c r="I550" s="572"/>
      <c r="J550" s="572"/>
      <c r="K550" s="572"/>
      <c r="L550" s="572"/>
      <c r="M550" s="572"/>
      <c r="N550" s="572"/>
      <c r="O550" s="574"/>
    </row>
    <row r="551" ht="13.5" customHeight="1">
      <c r="A551" s="572"/>
      <c r="B551" s="572"/>
      <c r="C551" s="572"/>
      <c r="D551" s="584"/>
      <c r="E551" s="570"/>
      <c r="F551" s="570"/>
      <c r="G551" s="572"/>
      <c r="H551" s="572"/>
      <c r="I551" s="572"/>
      <c r="J551" s="572"/>
      <c r="K551" s="572"/>
      <c r="L551" s="572"/>
      <c r="M551" s="572"/>
      <c r="N551" s="572"/>
      <c r="O551" s="574"/>
    </row>
    <row r="552" ht="13.5" customHeight="1">
      <c r="A552" s="572"/>
      <c r="B552" s="572"/>
      <c r="C552" s="572"/>
      <c r="D552" s="584"/>
      <c r="E552" s="570"/>
      <c r="F552" s="570"/>
      <c r="G552" s="572"/>
      <c r="H552" s="572"/>
      <c r="I552" s="572"/>
      <c r="J552" s="572"/>
      <c r="K552" s="572"/>
      <c r="L552" s="572"/>
      <c r="M552" s="572"/>
      <c r="N552" s="572"/>
      <c r="O552" s="574"/>
    </row>
    <row r="553" ht="13.5" customHeight="1">
      <c r="A553" s="572"/>
      <c r="B553" s="572"/>
      <c r="C553" s="572"/>
      <c r="D553" s="584"/>
      <c r="E553" s="570"/>
      <c r="F553" s="570"/>
      <c r="G553" s="572"/>
      <c r="H553" s="572"/>
      <c r="I553" s="572"/>
      <c r="J553" s="572"/>
      <c r="K553" s="572"/>
      <c r="L553" s="572"/>
      <c r="M553" s="572"/>
      <c r="N553" s="572"/>
      <c r="O553" s="574"/>
    </row>
    <row r="554" ht="13.5" customHeight="1">
      <c r="A554" s="572"/>
      <c r="B554" s="572"/>
      <c r="C554" s="572"/>
      <c r="D554" s="584"/>
      <c r="E554" s="570"/>
      <c r="F554" s="570"/>
      <c r="G554" s="572"/>
      <c r="H554" s="572"/>
      <c r="I554" s="572"/>
      <c r="J554" s="572"/>
      <c r="K554" s="572"/>
      <c r="L554" s="572"/>
      <c r="M554" s="572"/>
      <c r="N554" s="572"/>
      <c r="O554" s="574"/>
    </row>
    <row r="555" ht="13.5" customHeight="1">
      <c r="A555" s="572"/>
      <c r="B555" s="572"/>
      <c r="C555" s="572"/>
      <c r="D555" s="584"/>
      <c r="E555" s="570"/>
      <c r="F555" s="570"/>
      <c r="G555" s="572"/>
      <c r="H555" s="572"/>
      <c r="I555" s="572"/>
      <c r="J555" s="572"/>
      <c r="K555" s="572"/>
      <c r="L555" s="572"/>
      <c r="M555" s="572"/>
      <c r="N555" s="572"/>
      <c r="O555" s="574"/>
    </row>
    <row r="556" ht="13.5" customHeight="1">
      <c r="A556" s="572"/>
      <c r="B556" s="572"/>
      <c r="C556" s="572"/>
      <c r="D556" s="584"/>
      <c r="E556" s="570"/>
      <c r="F556" s="570"/>
      <c r="G556" s="572"/>
      <c r="H556" s="572"/>
      <c r="I556" s="572"/>
      <c r="J556" s="572"/>
      <c r="K556" s="572"/>
      <c r="L556" s="572"/>
      <c r="M556" s="572"/>
      <c r="N556" s="572"/>
      <c r="O556" s="574"/>
    </row>
    <row r="557" ht="13.5" customHeight="1">
      <c r="A557" s="572"/>
      <c r="B557" s="572"/>
      <c r="C557" s="572"/>
      <c r="D557" s="584"/>
      <c r="E557" s="570"/>
      <c r="F557" s="570"/>
      <c r="G557" s="572"/>
      <c r="H557" s="572"/>
      <c r="I557" s="572"/>
      <c r="J557" s="572"/>
      <c r="K557" s="572"/>
      <c r="L557" s="572"/>
      <c r="M557" s="572"/>
      <c r="N557" s="572"/>
      <c r="O557" s="574"/>
    </row>
    <row r="558" ht="13.5" customHeight="1">
      <c r="A558" s="572"/>
      <c r="B558" s="572"/>
      <c r="C558" s="572"/>
      <c r="D558" s="584"/>
      <c r="E558" s="570"/>
      <c r="F558" s="570"/>
      <c r="G558" s="572"/>
      <c r="H558" s="572"/>
      <c r="I558" s="572"/>
      <c r="J558" s="572"/>
      <c r="K558" s="572"/>
      <c r="L558" s="572"/>
      <c r="M558" s="572"/>
      <c r="N558" s="572"/>
      <c r="O558" s="574"/>
    </row>
    <row r="559" ht="13.5" customHeight="1">
      <c r="A559" s="572"/>
      <c r="B559" s="572"/>
      <c r="C559" s="572"/>
      <c r="D559" s="584"/>
      <c r="E559" s="570"/>
      <c r="F559" s="570"/>
      <c r="G559" s="572"/>
      <c r="H559" s="572"/>
      <c r="I559" s="572"/>
      <c r="J559" s="572"/>
      <c r="K559" s="572"/>
      <c r="L559" s="572"/>
      <c r="M559" s="572"/>
      <c r="N559" s="572"/>
      <c r="O559" s="574"/>
    </row>
    <row r="560" ht="13.5" customHeight="1">
      <c r="A560" s="572"/>
      <c r="B560" s="572"/>
      <c r="C560" s="572"/>
      <c r="D560" s="584"/>
      <c r="E560" s="570"/>
      <c r="F560" s="570"/>
      <c r="G560" s="572"/>
      <c r="H560" s="572"/>
      <c r="I560" s="572"/>
      <c r="J560" s="572"/>
      <c r="K560" s="572"/>
      <c r="L560" s="572"/>
      <c r="M560" s="572"/>
      <c r="N560" s="572"/>
      <c r="O560" s="574"/>
    </row>
    <row r="561" ht="13.5" customHeight="1">
      <c r="A561" s="572"/>
      <c r="B561" s="572"/>
      <c r="C561" s="572"/>
      <c r="D561" s="584"/>
      <c r="E561" s="570"/>
      <c r="F561" s="570"/>
      <c r="G561" s="572"/>
      <c r="H561" s="572"/>
      <c r="I561" s="572"/>
      <c r="J561" s="572"/>
      <c r="K561" s="572"/>
      <c r="L561" s="572"/>
      <c r="M561" s="572"/>
      <c r="N561" s="572"/>
      <c r="O561" s="574"/>
    </row>
    <row r="562" ht="13.5" customHeight="1">
      <c r="A562" s="572"/>
      <c r="B562" s="572"/>
      <c r="C562" s="572"/>
      <c r="D562" s="584"/>
      <c r="E562" s="570"/>
      <c r="F562" s="570"/>
      <c r="G562" s="572"/>
      <c r="H562" s="572"/>
      <c r="I562" s="572"/>
      <c r="J562" s="572"/>
      <c r="K562" s="572"/>
      <c r="L562" s="572"/>
      <c r="M562" s="572"/>
      <c r="N562" s="572"/>
      <c r="O562" s="574"/>
    </row>
    <row r="563" ht="13.5" customHeight="1">
      <c r="A563" s="572"/>
      <c r="B563" s="572"/>
      <c r="C563" s="572"/>
      <c r="D563" s="584"/>
      <c r="E563" s="570"/>
      <c r="F563" s="570"/>
      <c r="G563" s="572"/>
      <c r="H563" s="572"/>
      <c r="I563" s="572"/>
      <c r="J563" s="572"/>
      <c r="K563" s="572"/>
      <c r="L563" s="572"/>
      <c r="M563" s="572"/>
      <c r="N563" s="572"/>
      <c r="O563" s="574"/>
    </row>
    <row r="564" ht="13.5" customHeight="1">
      <c r="A564" s="572"/>
      <c r="B564" s="572"/>
      <c r="C564" s="572"/>
      <c r="D564" s="584"/>
      <c r="E564" s="570"/>
      <c r="F564" s="570"/>
      <c r="G564" s="572"/>
      <c r="H564" s="572"/>
      <c r="I564" s="572"/>
      <c r="J564" s="572"/>
      <c r="K564" s="572"/>
      <c r="L564" s="572"/>
      <c r="M564" s="572"/>
      <c r="N564" s="572"/>
      <c r="O564" s="574"/>
    </row>
    <row r="565" ht="13.5" customHeight="1">
      <c r="A565" s="572"/>
      <c r="B565" s="572"/>
      <c r="C565" s="572"/>
      <c r="D565" s="584"/>
      <c r="E565" s="570"/>
      <c r="F565" s="570"/>
      <c r="G565" s="572"/>
      <c r="H565" s="572"/>
      <c r="I565" s="572"/>
      <c r="J565" s="572"/>
      <c r="K565" s="572"/>
      <c r="L565" s="572"/>
      <c r="M565" s="572"/>
      <c r="N565" s="572"/>
      <c r="O565" s="574"/>
    </row>
    <row r="566" ht="13.5" customHeight="1">
      <c r="A566" s="572"/>
      <c r="B566" s="572"/>
      <c r="C566" s="572"/>
      <c r="D566" s="584"/>
      <c r="E566" s="570"/>
      <c r="F566" s="570"/>
      <c r="G566" s="572"/>
      <c r="H566" s="572"/>
      <c r="I566" s="572"/>
      <c r="J566" s="572"/>
      <c r="K566" s="572"/>
      <c r="L566" s="572"/>
      <c r="M566" s="572"/>
      <c r="N566" s="572"/>
      <c r="O566" s="574"/>
    </row>
    <row r="567" ht="13.5" customHeight="1">
      <c r="A567" s="572"/>
      <c r="B567" s="572"/>
      <c r="C567" s="572"/>
      <c r="D567" s="584"/>
      <c r="E567" s="570"/>
      <c r="F567" s="570"/>
      <c r="G567" s="572"/>
      <c r="H567" s="572"/>
      <c r="I567" s="572"/>
      <c r="J567" s="572"/>
      <c r="K567" s="572"/>
      <c r="L567" s="572"/>
      <c r="M567" s="572"/>
      <c r="N567" s="572"/>
      <c r="O567" s="574"/>
    </row>
    <row r="568" ht="13.5" customHeight="1">
      <c r="A568" s="572"/>
      <c r="B568" s="572"/>
      <c r="C568" s="572"/>
      <c r="D568" s="584"/>
      <c r="E568" s="570"/>
      <c r="F568" s="570"/>
      <c r="G568" s="572"/>
      <c r="H568" s="572"/>
      <c r="I568" s="572"/>
      <c r="J568" s="572"/>
      <c r="K568" s="572"/>
      <c r="L568" s="572"/>
      <c r="M568" s="572"/>
      <c r="N568" s="572"/>
      <c r="O568" s="574"/>
    </row>
    <row r="569" ht="13.5" customHeight="1">
      <c r="A569" s="572"/>
      <c r="B569" s="572"/>
      <c r="C569" s="572"/>
      <c r="D569" s="584"/>
      <c r="E569" s="570"/>
      <c r="F569" s="570"/>
      <c r="G569" s="572"/>
      <c r="H569" s="572"/>
      <c r="I569" s="572"/>
      <c r="J569" s="572"/>
      <c r="K569" s="572"/>
      <c r="L569" s="572"/>
      <c r="M569" s="572"/>
      <c r="N569" s="572"/>
      <c r="O569" s="574"/>
    </row>
    <row r="570" ht="13.5" customHeight="1">
      <c r="A570" s="572"/>
      <c r="B570" s="572"/>
      <c r="C570" s="572"/>
      <c r="D570" s="584"/>
      <c r="E570" s="570"/>
      <c r="F570" s="570"/>
      <c r="G570" s="572"/>
      <c r="H570" s="572"/>
      <c r="I570" s="572"/>
      <c r="J570" s="572"/>
      <c r="K570" s="572"/>
      <c r="L570" s="572"/>
      <c r="M570" s="572"/>
      <c r="N570" s="572"/>
      <c r="O570" s="574"/>
    </row>
    <row r="571" ht="13.5" customHeight="1">
      <c r="A571" s="572"/>
      <c r="B571" s="572"/>
      <c r="C571" s="572"/>
      <c r="D571" s="584"/>
      <c r="E571" s="570"/>
      <c r="F571" s="570"/>
      <c r="G571" s="572"/>
      <c r="H571" s="572"/>
      <c r="I571" s="572"/>
      <c r="J571" s="572"/>
      <c r="K571" s="572"/>
      <c r="L571" s="572"/>
      <c r="M571" s="572"/>
      <c r="N571" s="572"/>
      <c r="O571" s="574"/>
    </row>
    <row r="572" ht="13.5" customHeight="1">
      <c r="A572" s="572"/>
      <c r="B572" s="572"/>
      <c r="C572" s="572"/>
      <c r="D572" s="584"/>
      <c r="E572" s="570"/>
      <c r="F572" s="570"/>
      <c r="G572" s="572"/>
      <c r="H572" s="572"/>
      <c r="I572" s="572"/>
      <c r="J572" s="572"/>
      <c r="K572" s="572"/>
      <c r="L572" s="572"/>
      <c r="M572" s="572"/>
      <c r="N572" s="572"/>
      <c r="O572" s="574"/>
    </row>
    <row r="573" ht="13.5" customHeight="1">
      <c r="A573" s="572"/>
      <c r="B573" s="572"/>
      <c r="C573" s="572"/>
      <c r="D573" s="584"/>
      <c r="E573" s="570"/>
      <c r="F573" s="570"/>
      <c r="G573" s="572"/>
      <c r="H573" s="572"/>
      <c r="I573" s="572"/>
      <c r="J573" s="572"/>
      <c r="K573" s="572"/>
      <c r="L573" s="572"/>
      <c r="M573" s="572"/>
      <c r="N573" s="572"/>
      <c r="O573" s="574"/>
    </row>
    <row r="574" ht="13.5" customHeight="1">
      <c r="A574" s="572"/>
      <c r="B574" s="572"/>
      <c r="C574" s="572"/>
      <c r="D574" s="584"/>
      <c r="E574" s="570"/>
      <c r="F574" s="570"/>
      <c r="G574" s="572"/>
      <c r="H574" s="572"/>
      <c r="I574" s="572"/>
      <c r="J574" s="572"/>
      <c r="K574" s="572"/>
      <c r="L574" s="572"/>
      <c r="M574" s="572"/>
      <c r="N574" s="572"/>
      <c r="O574" s="574"/>
    </row>
    <row r="575" ht="13.5" customHeight="1">
      <c r="A575" s="572"/>
      <c r="B575" s="572"/>
      <c r="C575" s="572"/>
      <c r="D575" s="584"/>
      <c r="E575" s="570"/>
      <c r="F575" s="570"/>
      <c r="G575" s="572"/>
      <c r="H575" s="572"/>
      <c r="I575" s="572"/>
      <c r="J575" s="572"/>
      <c r="K575" s="572"/>
      <c r="L575" s="572"/>
      <c r="M575" s="572"/>
      <c r="N575" s="572"/>
      <c r="O575" s="574"/>
    </row>
    <row r="576" ht="13.5" customHeight="1">
      <c r="A576" s="572"/>
      <c r="B576" s="572"/>
      <c r="C576" s="572"/>
      <c r="D576" s="584"/>
      <c r="E576" s="570"/>
      <c r="F576" s="570"/>
      <c r="G576" s="572"/>
      <c r="H576" s="572"/>
      <c r="I576" s="572"/>
      <c r="J576" s="572"/>
      <c r="K576" s="572"/>
      <c r="L576" s="572"/>
      <c r="M576" s="572"/>
      <c r="N576" s="572"/>
      <c r="O576" s="574"/>
    </row>
    <row r="577" ht="13.5" customHeight="1">
      <c r="A577" s="572"/>
      <c r="B577" s="572"/>
      <c r="C577" s="572"/>
      <c r="D577" s="584"/>
      <c r="E577" s="570"/>
      <c r="F577" s="570"/>
      <c r="G577" s="572"/>
      <c r="H577" s="572"/>
      <c r="I577" s="572"/>
      <c r="J577" s="572"/>
      <c r="K577" s="572"/>
      <c r="L577" s="572"/>
      <c r="M577" s="572"/>
      <c r="N577" s="572"/>
      <c r="O577" s="574"/>
    </row>
    <row r="578" ht="13.5" customHeight="1">
      <c r="A578" s="572"/>
      <c r="B578" s="572"/>
      <c r="C578" s="572"/>
      <c r="D578" s="584"/>
      <c r="E578" s="570"/>
      <c r="F578" s="570"/>
      <c r="G578" s="572"/>
      <c r="H578" s="572"/>
      <c r="I578" s="572"/>
      <c r="J578" s="572"/>
      <c r="K578" s="572"/>
      <c r="L578" s="572"/>
      <c r="M578" s="572"/>
      <c r="N578" s="572"/>
      <c r="O578" s="574"/>
    </row>
    <row r="579" ht="13.5" customHeight="1">
      <c r="A579" s="572"/>
      <c r="B579" s="572"/>
      <c r="C579" s="572"/>
      <c r="D579" s="584"/>
      <c r="E579" s="570"/>
      <c r="F579" s="570"/>
      <c r="G579" s="572"/>
      <c r="H579" s="572"/>
      <c r="I579" s="572"/>
      <c r="J579" s="572"/>
      <c r="K579" s="572"/>
      <c r="L579" s="572"/>
      <c r="M579" s="572"/>
      <c r="N579" s="572"/>
      <c r="O579" s="574"/>
    </row>
    <row r="580" ht="13.5" customHeight="1">
      <c r="A580" s="572"/>
      <c r="B580" s="572"/>
      <c r="C580" s="572"/>
      <c r="D580" s="584"/>
      <c r="E580" s="570"/>
      <c r="F580" s="570"/>
      <c r="G580" s="572"/>
      <c r="H580" s="572"/>
      <c r="I580" s="572"/>
      <c r="J580" s="572"/>
      <c r="K580" s="572"/>
      <c r="L580" s="572"/>
      <c r="M580" s="572"/>
      <c r="N580" s="572"/>
      <c r="O580" s="574"/>
    </row>
    <row r="581" ht="13.5" customHeight="1">
      <c r="A581" s="572"/>
      <c r="B581" s="572"/>
      <c r="C581" s="572"/>
      <c r="D581" s="584"/>
      <c r="E581" s="570"/>
      <c r="F581" s="570"/>
      <c r="G581" s="572"/>
      <c r="H581" s="572"/>
      <c r="I581" s="572"/>
      <c r="J581" s="572"/>
      <c r="K581" s="572"/>
      <c r="L581" s="572"/>
      <c r="M581" s="572"/>
      <c r="N581" s="572"/>
      <c r="O581" s="574"/>
    </row>
    <row r="582" ht="13.5" customHeight="1">
      <c r="A582" s="572"/>
      <c r="B582" s="572"/>
      <c r="C582" s="572"/>
      <c r="D582" s="584"/>
      <c r="E582" s="570"/>
      <c r="F582" s="570"/>
      <c r="G582" s="572"/>
      <c r="H582" s="572"/>
      <c r="I582" s="572"/>
      <c r="J582" s="572"/>
      <c r="K582" s="572"/>
      <c r="L582" s="572"/>
      <c r="M582" s="572"/>
      <c r="N582" s="572"/>
      <c r="O582" s="574"/>
    </row>
    <row r="583" ht="13.5" customHeight="1">
      <c r="A583" s="572"/>
      <c r="B583" s="572"/>
      <c r="C583" s="572"/>
      <c r="D583" s="584"/>
      <c r="E583" s="570"/>
      <c r="F583" s="570"/>
      <c r="G583" s="572"/>
      <c r="H583" s="572"/>
      <c r="I583" s="572"/>
      <c r="J583" s="572"/>
      <c r="K583" s="572"/>
      <c r="L583" s="572"/>
      <c r="M583" s="572"/>
      <c r="N583" s="572"/>
      <c r="O583" s="574"/>
    </row>
    <row r="584" ht="13.5" customHeight="1">
      <c r="A584" s="572"/>
      <c r="B584" s="572"/>
      <c r="C584" s="572"/>
      <c r="D584" s="584"/>
      <c r="E584" s="570"/>
      <c r="F584" s="570"/>
      <c r="G584" s="572"/>
      <c r="H584" s="572"/>
      <c r="I584" s="572"/>
      <c r="J584" s="572"/>
      <c r="K584" s="572"/>
      <c r="L584" s="572"/>
      <c r="M584" s="572"/>
      <c r="N584" s="572"/>
      <c r="O584" s="574"/>
    </row>
    <row r="585" ht="13.5" customHeight="1">
      <c r="A585" s="572"/>
      <c r="B585" s="572"/>
      <c r="C585" s="572"/>
      <c r="D585" s="584"/>
      <c r="E585" s="570"/>
      <c r="F585" s="570"/>
      <c r="G585" s="572"/>
      <c r="H585" s="572"/>
      <c r="I585" s="572"/>
      <c r="J585" s="572"/>
      <c r="K585" s="572"/>
      <c r="L585" s="572"/>
      <c r="M585" s="572"/>
      <c r="N585" s="572"/>
      <c r="O585" s="574"/>
    </row>
    <row r="586" ht="13.5" customHeight="1">
      <c r="A586" s="572"/>
      <c r="B586" s="572"/>
      <c r="C586" s="572"/>
      <c r="D586" s="584"/>
      <c r="E586" s="570"/>
      <c r="F586" s="570"/>
      <c r="G586" s="572"/>
      <c r="H586" s="572"/>
      <c r="I586" s="572"/>
      <c r="J586" s="572"/>
      <c r="K586" s="572"/>
      <c r="L586" s="572"/>
      <c r="M586" s="572"/>
      <c r="N586" s="572"/>
      <c r="O586" s="574"/>
    </row>
    <row r="587" ht="13.5" customHeight="1">
      <c r="A587" s="572"/>
      <c r="B587" s="572"/>
      <c r="C587" s="572"/>
      <c r="D587" s="584"/>
      <c r="E587" s="570"/>
      <c r="F587" s="570"/>
      <c r="G587" s="572"/>
      <c r="H587" s="572"/>
      <c r="I587" s="572"/>
      <c r="J587" s="572"/>
      <c r="K587" s="572"/>
      <c r="L587" s="572"/>
      <c r="M587" s="572"/>
      <c r="N587" s="572"/>
      <c r="O587" s="574"/>
    </row>
    <row r="588" ht="13.5" customHeight="1">
      <c r="A588" s="572"/>
      <c r="B588" s="572"/>
      <c r="C588" s="572"/>
      <c r="D588" s="584"/>
      <c r="E588" s="570"/>
      <c r="F588" s="570"/>
      <c r="G588" s="572"/>
      <c r="H588" s="572"/>
      <c r="I588" s="572"/>
      <c r="J588" s="572"/>
      <c r="K588" s="572"/>
      <c r="L588" s="572"/>
      <c r="M588" s="572"/>
      <c r="N588" s="572"/>
      <c r="O588" s="574"/>
    </row>
    <row r="589" ht="13.5" customHeight="1">
      <c r="A589" s="572"/>
      <c r="B589" s="572"/>
      <c r="C589" s="572"/>
      <c r="D589" s="584"/>
      <c r="E589" s="570"/>
      <c r="F589" s="570"/>
      <c r="G589" s="572"/>
      <c r="H589" s="572"/>
      <c r="I589" s="572"/>
      <c r="J589" s="572"/>
      <c r="K589" s="572"/>
      <c r="L589" s="572"/>
      <c r="M589" s="572"/>
      <c r="N589" s="572"/>
      <c r="O589" s="574"/>
    </row>
    <row r="590" ht="13.5" customHeight="1">
      <c r="A590" s="572"/>
      <c r="B590" s="572"/>
      <c r="C590" s="572"/>
      <c r="D590" s="584"/>
      <c r="E590" s="570"/>
      <c r="F590" s="570"/>
      <c r="G590" s="572"/>
      <c r="H590" s="572"/>
      <c r="I590" s="572"/>
      <c r="J590" s="572"/>
      <c r="K590" s="572"/>
      <c r="L590" s="572"/>
      <c r="M590" s="572"/>
      <c r="N590" s="572"/>
      <c r="O590" s="574"/>
    </row>
    <row r="591" ht="13.5" customHeight="1">
      <c r="A591" s="572"/>
      <c r="B591" s="572"/>
      <c r="C591" s="572"/>
      <c r="D591" s="584"/>
      <c r="E591" s="570"/>
      <c r="F591" s="570"/>
      <c r="G591" s="572"/>
      <c r="H591" s="572"/>
      <c r="I591" s="572"/>
      <c r="J591" s="572"/>
      <c r="K591" s="572"/>
      <c r="L591" s="572"/>
      <c r="M591" s="572"/>
      <c r="N591" s="572"/>
      <c r="O591" s="574"/>
    </row>
    <row r="592" ht="13.5" customHeight="1">
      <c r="A592" s="572"/>
      <c r="B592" s="572"/>
      <c r="C592" s="572"/>
      <c r="D592" s="584"/>
      <c r="E592" s="570"/>
      <c r="F592" s="570"/>
      <c r="G592" s="572"/>
      <c r="H592" s="572"/>
      <c r="I592" s="572"/>
      <c r="J592" s="572"/>
      <c r="K592" s="572"/>
      <c r="L592" s="572"/>
      <c r="M592" s="572"/>
      <c r="N592" s="572"/>
      <c r="O592" s="574"/>
    </row>
    <row r="593" ht="13.5" customHeight="1">
      <c r="A593" s="572"/>
      <c r="B593" s="572"/>
      <c r="C593" s="572"/>
      <c r="D593" s="584"/>
      <c r="E593" s="570"/>
      <c r="F593" s="570"/>
      <c r="G593" s="572"/>
      <c r="H593" s="572"/>
      <c r="I593" s="572"/>
      <c r="J593" s="572"/>
      <c r="K593" s="572"/>
      <c r="L593" s="572"/>
      <c r="M593" s="572"/>
      <c r="N593" s="572"/>
      <c r="O593" s="574"/>
    </row>
    <row r="594" ht="13.5" customHeight="1">
      <c r="A594" s="572"/>
      <c r="B594" s="572"/>
      <c r="C594" s="572"/>
      <c r="D594" s="584"/>
      <c r="E594" s="570"/>
      <c r="F594" s="570"/>
      <c r="G594" s="572"/>
      <c r="H594" s="572"/>
      <c r="I594" s="572"/>
      <c r="J594" s="572"/>
      <c r="K594" s="572"/>
      <c r="L594" s="572"/>
      <c r="M594" s="572"/>
      <c r="N594" s="572"/>
      <c r="O594" s="574"/>
    </row>
    <row r="595" ht="13.5" customHeight="1">
      <c r="A595" s="572"/>
      <c r="B595" s="572"/>
      <c r="C595" s="572"/>
      <c r="D595" s="584"/>
      <c r="E595" s="570"/>
      <c r="F595" s="570"/>
      <c r="G595" s="572"/>
      <c r="H595" s="572"/>
      <c r="I595" s="572"/>
      <c r="J595" s="572"/>
      <c r="K595" s="572"/>
      <c r="L595" s="572"/>
      <c r="M595" s="572"/>
      <c r="N595" s="572"/>
      <c r="O595" s="574"/>
    </row>
    <row r="596" ht="13.5" customHeight="1">
      <c r="A596" s="572"/>
      <c r="B596" s="572"/>
      <c r="C596" s="572"/>
      <c r="D596" s="584"/>
      <c r="E596" s="570"/>
      <c r="F596" s="570"/>
      <c r="G596" s="572"/>
      <c r="H596" s="572"/>
      <c r="I596" s="572"/>
      <c r="J596" s="572"/>
      <c r="K596" s="572"/>
      <c r="L596" s="572"/>
      <c r="M596" s="572"/>
      <c r="N596" s="572"/>
      <c r="O596" s="574"/>
    </row>
    <row r="597" ht="13.5" customHeight="1">
      <c r="A597" s="572"/>
      <c r="B597" s="572"/>
      <c r="C597" s="572"/>
      <c r="D597" s="584"/>
      <c r="E597" s="570"/>
      <c r="F597" s="570"/>
      <c r="G597" s="572"/>
      <c r="H597" s="572"/>
      <c r="I597" s="572"/>
      <c r="J597" s="572"/>
      <c r="K597" s="572"/>
      <c r="L597" s="572"/>
      <c r="M597" s="572"/>
      <c r="N597" s="572"/>
      <c r="O597" s="574"/>
    </row>
    <row r="598" ht="13.5" customHeight="1">
      <c r="A598" s="572"/>
      <c r="B598" s="572"/>
      <c r="C598" s="572"/>
      <c r="D598" s="584"/>
      <c r="E598" s="570"/>
      <c r="F598" s="570"/>
      <c r="G598" s="572"/>
      <c r="H598" s="572"/>
      <c r="I598" s="572"/>
      <c r="J598" s="572"/>
      <c r="K598" s="572"/>
      <c r="L598" s="572"/>
      <c r="M598" s="572"/>
      <c r="N598" s="572"/>
      <c r="O598" s="574"/>
    </row>
    <row r="599" ht="13.5" customHeight="1">
      <c r="A599" s="572"/>
      <c r="B599" s="572"/>
      <c r="C599" s="572"/>
      <c r="D599" s="584"/>
      <c r="E599" s="570"/>
      <c r="F599" s="570"/>
      <c r="G599" s="572"/>
      <c r="H599" s="572"/>
      <c r="I599" s="572"/>
      <c r="J599" s="572"/>
      <c r="K599" s="572"/>
      <c r="L599" s="572"/>
      <c r="M599" s="572"/>
      <c r="N599" s="572"/>
      <c r="O599" s="574"/>
    </row>
    <row r="600" ht="13.5" customHeight="1">
      <c r="A600" s="572"/>
      <c r="B600" s="572"/>
      <c r="C600" s="572"/>
      <c r="D600" s="584"/>
      <c r="E600" s="570"/>
      <c r="F600" s="570"/>
      <c r="G600" s="572"/>
      <c r="H600" s="572"/>
      <c r="I600" s="572"/>
      <c r="J600" s="572"/>
      <c r="K600" s="572"/>
      <c r="L600" s="572"/>
      <c r="M600" s="572"/>
      <c r="N600" s="572"/>
      <c r="O600" s="574"/>
    </row>
    <row r="601" ht="13.5" customHeight="1">
      <c r="A601" s="572"/>
      <c r="B601" s="572"/>
      <c r="C601" s="572"/>
      <c r="D601" s="584"/>
      <c r="E601" s="570"/>
      <c r="F601" s="570"/>
      <c r="G601" s="572"/>
      <c r="H601" s="572"/>
      <c r="I601" s="572"/>
      <c r="J601" s="572"/>
      <c r="K601" s="572"/>
      <c r="L601" s="572"/>
      <c r="M601" s="572"/>
      <c r="N601" s="572"/>
      <c r="O601" s="574"/>
    </row>
    <row r="602" ht="13.5" customHeight="1">
      <c r="A602" s="572"/>
      <c r="B602" s="572"/>
      <c r="C602" s="572"/>
      <c r="D602" s="584"/>
      <c r="E602" s="570"/>
      <c r="F602" s="570"/>
      <c r="G602" s="572"/>
      <c r="H602" s="572"/>
      <c r="I602" s="572"/>
      <c r="J602" s="572"/>
      <c r="K602" s="572"/>
      <c r="L602" s="572"/>
      <c r="M602" s="572"/>
      <c r="N602" s="572"/>
      <c r="O602" s="574"/>
    </row>
    <row r="603" ht="13.5" customHeight="1">
      <c r="A603" s="572"/>
      <c r="B603" s="572"/>
      <c r="C603" s="572"/>
      <c r="D603" s="584"/>
      <c r="E603" s="570"/>
      <c r="F603" s="570"/>
      <c r="G603" s="572"/>
      <c r="H603" s="572"/>
      <c r="I603" s="572"/>
      <c r="J603" s="572"/>
      <c r="K603" s="572"/>
      <c r="L603" s="572"/>
      <c r="M603" s="572"/>
      <c r="N603" s="572"/>
      <c r="O603" s="574"/>
    </row>
    <row r="604" ht="13.5" customHeight="1">
      <c r="A604" s="572"/>
      <c r="B604" s="572"/>
      <c r="C604" s="572"/>
      <c r="D604" s="584"/>
      <c r="E604" s="570"/>
      <c r="F604" s="570"/>
      <c r="G604" s="572"/>
      <c r="H604" s="572"/>
      <c r="I604" s="572"/>
      <c r="J604" s="572"/>
      <c r="K604" s="572"/>
      <c r="L604" s="572"/>
      <c r="M604" s="572"/>
      <c r="N604" s="572"/>
      <c r="O604" s="574"/>
    </row>
    <row r="605" ht="13.5" customHeight="1">
      <c r="A605" s="572"/>
      <c r="B605" s="572"/>
      <c r="C605" s="572"/>
      <c r="D605" s="584"/>
      <c r="E605" s="570"/>
      <c r="F605" s="570"/>
      <c r="G605" s="572"/>
      <c r="H605" s="572"/>
      <c r="I605" s="572"/>
      <c r="J605" s="572"/>
      <c r="K605" s="572"/>
      <c r="L605" s="572"/>
      <c r="M605" s="572"/>
      <c r="N605" s="572"/>
      <c r="O605" s="574"/>
    </row>
    <row r="606" ht="13.5" customHeight="1">
      <c r="A606" s="572"/>
      <c r="B606" s="572"/>
      <c r="C606" s="572"/>
      <c r="D606" s="584"/>
      <c r="E606" s="570"/>
      <c r="F606" s="570"/>
      <c r="G606" s="572"/>
      <c r="H606" s="572"/>
      <c r="I606" s="572"/>
      <c r="J606" s="572"/>
      <c r="K606" s="572"/>
      <c r="L606" s="572"/>
      <c r="M606" s="572"/>
      <c r="N606" s="572"/>
      <c r="O606" s="574"/>
    </row>
    <row r="607" ht="13.5" customHeight="1">
      <c r="A607" s="572"/>
      <c r="B607" s="572"/>
      <c r="C607" s="572"/>
      <c r="D607" s="584"/>
      <c r="E607" s="570"/>
      <c r="F607" s="570"/>
      <c r="G607" s="572"/>
      <c r="H607" s="572"/>
      <c r="I607" s="572"/>
      <c r="J607" s="572"/>
      <c r="K607" s="572"/>
      <c r="L607" s="572"/>
      <c r="M607" s="572"/>
      <c r="N607" s="572"/>
      <c r="O607" s="574"/>
    </row>
    <row r="608" ht="13.5" customHeight="1">
      <c r="A608" s="572"/>
      <c r="B608" s="572"/>
      <c r="C608" s="572"/>
      <c r="D608" s="584"/>
      <c r="E608" s="570"/>
      <c r="F608" s="570"/>
      <c r="G608" s="572"/>
      <c r="H608" s="572"/>
      <c r="I608" s="572"/>
      <c r="J608" s="572"/>
      <c r="K608" s="572"/>
      <c r="L608" s="572"/>
      <c r="M608" s="572"/>
      <c r="N608" s="572"/>
      <c r="O608" s="574"/>
    </row>
    <row r="609" ht="13.5" customHeight="1">
      <c r="A609" s="572"/>
      <c r="B609" s="572"/>
      <c r="C609" s="572"/>
      <c r="D609" s="584"/>
      <c r="E609" s="570"/>
      <c r="F609" s="570"/>
      <c r="G609" s="572"/>
      <c r="H609" s="572"/>
      <c r="I609" s="572"/>
      <c r="J609" s="572"/>
      <c r="K609" s="572"/>
      <c r="L609" s="572"/>
      <c r="M609" s="572"/>
      <c r="N609" s="572"/>
      <c r="O609" s="574"/>
    </row>
    <row r="610" ht="13.5" customHeight="1">
      <c r="A610" s="572"/>
      <c r="B610" s="572"/>
      <c r="C610" s="572"/>
      <c r="D610" s="584"/>
      <c r="E610" s="570"/>
      <c r="F610" s="570"/>
      <c r="G610" s="572"/>
      <c r="H610" s="572"/>
      <c r="I610" s="572"/>
      <c r="J610" s="572"/>
      <c r="K610" s="572"/>
      <c r="L610" s="572"/>
      <c r="M610" s="572"/>
      <c r="N610" s="572"/>
      <c r="O610" s="574"/>
    </row>
    <row r="611" ht="13.5" customHeight="1">
      <c r="A611" s="572"/>
      <c r="B611" s="572"/>
      <c r="C611" s="572"/>
      <c r="D611" s="584"/>
      <c r="E611" s="570"/>
      <c r="F611" s="570"/>
      <c r="G611" s="572"/>
      <c r="H611" s="572"/>
      <c r="I611" s="572"/>
      <c r="J611" s="572"/>
      <c r="K611" s="572"/>
      <c r="L611" s="572"/>
      <c r="M611" s="572"/>
      <c r="N611" s="572"/>
      <c r="O611" s="574"/>
    </row>
    <row r="612" ht="13.5" customHeight="1">
      <c r="A612" s="572"/>
      <c r="B612" s="572"/>
      <c r="C612" s="572"/>
      <c r="D612" s="584"/>
      <c r="E612" s="570"/>
      <c r="F612" s="570"/>
      <c r="G612" s="572"/>
      <c r="H612" s="572"/>
      <c r="I612" s="572"/>
      <c r="J612" s="572"/>
      <c r="K612" s="572"/>
      <c r="L612" s="572"/>
      <c r="M612" s="572"/>
      <c r="N612" s="572"/>
      <c r="O612" s="574"/>
    </row>
    <row r="613" ht="13.5" customHeight="1">
      <c r="A613" s="572"/>
      <c r="B613" s="572"/>
      <c r="C613" s="572"/>
      <c r="D613" s="584"/>
      <c r="E613" s="570"/>
      <c r="F613" s="570"/>
      <c r="G613" s="572"/>
      <c r="H613" s="572"/>
      <c r="I613" s="572"/>
      <c r="J613" s="572"/>
      <c r="K613" s="572"/>
      <c r="L613" s="572"/>
      <c r="M613" s="572"/>
      <c r="N613" s="572"/>
      <c r="O613" s="574"/>
    </row>
    <row r="614" ht="13.5" customHeight="1">
      <c r="A614" s="572"/>
      <c r="B614" s="572"/>
      <c r="C614" s="572"/>
      <c r="D614" s="584"/>
      <c r="E614" s="570"/>
      <c r="F614" s="570"/>
      <c r="G614" s="572"/>
      <c r="H614" s="572"/>
      <c r="I614" s="572"/>
      <c r="J614" s="572"/>
      <c r="K614" s="572"/>
      <c r="L614" s="572"/>
      <c r="M614" s="572"/>
      <c r="N614" s="572"/>
      <c r="O614" s="574"/>
    </row>
    <row r="615" ht="13.5" customHeight="1">
      <c r="A615" s="572"/>
      <c r="B615" s="572"/>
      <c r="C615" s="572"/>
      <c r="D615" s="584"/>
      <c r="E615" s="570"/>
      <c r="F615" s="570"/>
      <c r="G615" s="572"/>
      <c r="H615" s="572"/>
      <c r="I615" s="572"/>
      <c r="J615" s="572"/>
      <c r="K615" s="572"/>
      <c r="L615" s="572"/>
      <c r="M615" s="572"/>
      <c r="N615" s="572"/>
      <c r="O615" s="574"/>
    </row>
    <row r="616" ht="13.5" customHeight="1">
      <c r="A616" s="572"/>
      <c r="B616" s="572"/>
      <c r="C616" s="572"/>
      <c r="D616" s="584"/>
      <c r="E616" s="570"/>
      <c r="F616" s="570"/>
      <c r="G616" s="572"/>
      <c r="H616" s="572"/>
      <c r="I616" s="572"/>
      <c r="J616" s="572"/>
      <c r="K616" s="572"/>
      <c r="L616" s="572"/>
      <c r="M616" s="572"/>
      <c r="N616" s="572"/>
      <c r="O616" s="574"/>
    </row>
    <row r="617" ht="13.5" customHeight="1">
      <c r="A617" s="572"/>
      <c r="B617" s="572"/>
      <c r="C617" s="572"/>
      <c r="D617" s="584"/>
      <c r="E617" s="570"/>
      <c r="F617" s="570"/>
      <c r="G617" s="572"/>
      <c r="H617" s="572"/>
      <c r="I617" s="572"/>
      <c r="J617" s="572"/>
      <c r="K617" s="572"/>
      <c r="L617" s="572"/>
      <c r="M617" s="572"/>
      <c r="N617" s="572"/>
      <c r="O617" s="574"/>
    </row>
    <row r="618" ht="13.5" customHeight="1">
      <c r="A618" s="572"/>
      <c r="B618" s="572"/>
      <c r="C618" s="572"/>
      <c r="D618" s="584"/>
      <c r="E618" s="570"/>
      <c r="F618" s="570"/>
      <c r="G618" s="572"/>
      <c r="H618" s="572"/>
      <c r="I618" s="572"/>
      <c r="J618" s="572"/>
      <c r="K618" s="572"/>
      <c r="L618" s="572"/>
      <c r="M618" s="572"/>
      <c r="N618" s="572"/>
      <c r="O618" s="574"/>
    </row>
    <row r="619" ht="13.5" customHeight="1">
      <c r="A619" s="572"/>
      <c r="B619" s="572"/>
      <c r="C619" s="572"/>
      <c r="D619" s="584"/>
      <c r="E619" s="570"/>
      <c r="F619" s="570"/>
      <c r="G619" s="572"/>
      <c r="H619" s="572"/>
      <c r="I619" s="572"/>
      <c r="J619" s="572"/>
      <c r="K619" s="572"/>
      <c r="L619" s="572"/>
      <c r="M619" s="572"/>
      <c r="N619" s="572"/>
      <c r="O619" s="574"/>
    </row>
    <row r="620" ht="13.5" customHeight="1">
      <c r="A620" s="572"/>
      <c r="B620" s="572"/>
      <c r="C620" s="572"/>
      <c r="D620" s="584"/>
      <c r="E620" s="570"/>
      <c r="F620" s="570"/>
      <c r="G620" s="572"/>
      <c r="H620" s="572"/>
      <c r="I620" s="572"/>
      <c r="J620" s="572"/>
      <c r="K620" s="572"/>
      <c r="L620" s="572"/>
      <c r="M620" s="572"/>
      <c r="N620" s="572"/>
      <c r="O620" s="574"/>
    </row>
    <row r="621" ht="13.5" customHeight="1">
      <c r="A621" s="572"/>
      <c r="B621" s="572"/>
      <c r="C621" s="572"/>
      <c r="D621" s="584"/>
      <c r="E621" s="570"/>
      <c r="F621" s="570"/>
      <c r="G621" s="572"/>
      <c r="H621" s="572"/>
      <c r="I621" s="572"/>
      <c r="J621" s="572"/>
      <c r="K621" s="572"/>
      <c r="L621" s="572"/>
      <c r="M621" s="572"/>
      <c r="N621" s="572"/>
      <c r="O621" s="574"/>
    </row>
    <row r="622" ht="13.5" customHeight="1">
      <c r="A622" s="572"/>
      <c r="B622" s="572"/>
      <c r="C622" s="572"/>
      <c r="D622" s="584"/>
      <c r="E622" s="570"/>
      <c r="F622" s="570"/>
      <c r="G622" s="572"/>
      <c r="H622" s="572"/>
      <c r="I622" s="572"/>
      <c r="J622" s="572"/>
      <c r="K622" s="572"/>
      <c r="L622" s="572"/>
      <c r="M622" s="572"/>
      <c r="N622" s="572"/>
      <c r="O622" s="574"/>
    </row>
    <row r="623" ht="13.5" customHeight="1">
      <c r="A623" s="572"/>
      <c r="B623" s="572"/>
      <c r="C623" s="572"/>
      <c r="D623" s="584"/>
      <c r="E623" s="570"/>
      <c r="F623" s="570"/>
      <c r="G623" s="572"/>
      <c r="H623" s="572"/>
      <c r="I623" s="572"/>
      <c r="J623" s="572"/>
      <c r="K623" s="572"/>
      <c r="L623" s="572"/>
      <c r="M623" s="572"/>
      <c r="N623" s="572"/>
      <c r="O623" s="574"/>
    </row>
    <row r="624" ht="13.5" customHeight="1">
      <c r="A624" s="572"/>
      <c r="B624" s="572"/>
      <c r="C624" s="572"/>
      <c r="D624" s="584"/>
      <c r="E624" s="570"/>
      <c r="F624" s="570"/>
      <c r="G624" s="572"/>
      <c r="H624" s="572"/>
      <c r="I624" s="572"/>
      <c r="J624" s="572"/>
      <c r="K624" s="572"/>
      <c r="L624" s="572"/>
      <c r="M624" s="572"/>
      <c r="N624" s="572"/>
      <c r="O624" s="574"/>
    </row>
    <row r="625" ht="13.5" customHeight="1">
      <c r="A625" s="572"/>
      <c r="B625" s="572"/>
      <c r="C625" s="572"/>
      <c r="D625" s="584"/>
      <c r="E625" s="570"/>
      <c r="F625" s="570"/>
      <c r="G625" s="572"/>
      <c r="H625" s="572"/>
      <c r="I625" s="572"/>
      <c r="J625" s="572"/>
      <c r="K625" s="572"/>
      <c r="L625" s="572"/>
      <c r="M625" s="572"/>
      <c r="N625" s="572"/>
      <c r="O625" s="574"/>
    </row>
    <row r="626" ht="13.5" customHeight="1">
      <c r="A626" s="572"/>
      <c r="B626" s="572"/>
      <c r="C626" s="572"/>
      <c r="D626" s="584"/>
      <c r="E626" s="570"/>
      <c r="F626" s="570"/>
      <c r="G626" s="572"/>
      <c r="H626" s="572"/>
      <c r="I626" s="572"/>
      <c r="J626" s="572"/>
      <c r="K626" s="572"/>
      <c r="L626" s="572"/>
      <c r="M626" s="572"/>
      <c r="N626" s="572"/>
      <c r="O626" s="574"/>
    </row>
    <row r="627" ht="13.5" customHeight="1">
      <c r="A627" s="572"/>
      <c r="B627" s="572"/>
      <c r="C627" s="572"/>
      <c r="D627" s="584"/>
      <c r="E627" s="570"/>
      <c r="F627" s="570"/>
      <c r="G627" s="572"/>
      <c r="H627" s="572"/>
      <c r="I627" s="572"/>
      <c r="J627" s="572"/>
      <c r="K627" s="572"/>
      <c r="L627" s="572"/>
      <c r="M627" s="572"/>
      <c r="N627" s="572"/>
      <c r="O627" s="574"/>
    </row>
    <row r="628" ht="13.5" customHeight="1">
      <c r="A628" s="572"/>
      <c r="B628" s="572"/>
      <c r="C628" s="572"/>
      <c r="D628" s="584"/>
      <c r="E628" s="570"/>
      <c r="F628" s="570"/>
      <c r="G628" s="572"/>
      <c r="H628" s="572"/>
      <c r="I628" s="572"/>
      <c r="J628" s="572"/>
      <c r="K628" s="572"/>
      <c r="L628" s="572"/>
      <c r="M628" s="572"/>
      <c r="N628" s="572"/>
      <c r="O628" s="574"/>
    </row>
    <row r="629" ht="13.5" customHeight="1">
      <c r="A629" s="572"/>
      <c r="B629" s="572"/>
      <c r="C629" s="572"/>
      <c r="D629" s="584"/>
      <c r="E629" s="570"/>
      <c r="F629" s="570"/>
      <c r="G629" s="572"/>
      <c r="H629" s="572"/>
      <c r="I629" s="572"/>
      <c r="J629" s="572"/>
      <c r="K629" s="572"/>
      <c r="L629" s="572"/>
      <c r="M629" s="572"/>
      <c r="N629" s="572"/>
      <c r="O629" s="574"/>
    </row>
    <row r="630" ht="13.5" customHeight="1">
      <c r="A630" s="572"/>
      <c r="B630" s="572"/>
      <c r="C630" s="572"/>
      <c r="D630" s="584"/>
      <c r="E630" s="570"/>
      <c r="F630" s="570"/>
      <c r="G630" s="572"/>
      <c r="H630" s="572"/>
      <c r="I630" s="572"/>
      <c r="J630" s="572"/>
      <c r="K630" s="572"/>
      <c r="L630" s="572"/>
      <c r="M630" s="572"/>
      <c r="N630" s="572"/>
      <c r="O630" s="574"/>
    </row>
    <row r="631" ht="13.5" customHeight="1">
      <c r="A631" s="572"/>
      <c r="B631" s="572"/>
      <c r="C631" s="572"/>
      <c r="D631" s="584"/>
      <c r="E631" s="570"/>
      <c r="F631" s="570"/>
      <c r="G631" s="572"/>
      <c r="H631" s="572"/>
      <c r="I631" s="572"/>
      <c r="J631" s="572"/>
      <c r="K631" s="572"/>
      <c r="L631" s="572"/>
      <c r="M631" s="572"/>
      <c r="N631" s="572"/>
      <c r="O631" s="574"/>
    </row>
    <row r="632" ht="13.5" customHeight="1">
      <c r="A632" s="572"/>
      <c r="B632" s="572"/>
      <c r="C632" s="572"/>
      <c r="D632" s="584"/>
      <c r="E632" s="570"/>
      <c r="F632" s="570"/>
      <c r="G632" s="572"/>
      <c r="H632" s="572"/>
      <c r="I632" s="572"/>
      <c r="J632" s="572"/>
      <c r="K632" s="572"/>
      <c r="L632" s="572"/>
      <c r="M632" s="572"/>
      <c r="N632" s="572"/>
      <c r="O632" s="574"/>
    </row>
    <row r="633" ht="13.5" customHeight="1">
      <c r="A633" s="572"/>
      <c r="B633" s="572"/>
      <c r="C633" s="572"/>
      <c r="D633" s="584"/>
      <c r="E633" s="570"/>
      <c r="F633" s="570"/>
      <c r="G633" s="572"/>
      <c r="H633" s="572"/>
      <c r="I633" s="572"/>
      <c r="J633" s="572"/>
      <c r="K633" s="572"/>
      <c r="L633" s="572"/>
      <c r="M633" s="572"/>
      <c r="N633" s="572"/>
      <c r="O633" s="574"/>
    </row>
    <row r="634" ht="13.5" customHeight="1">
      <c r="A634" s="572"/>
      <c r="B634" s="572"/>
      <c r="C634" s="572"/>
      <c r="D634" s="584"/>
      <c r="E634" s="570"/>
      <c r="F634" s="570"/>
      <c r="G634" s="572"/>
      <c r="H634" s="572"/>
      <c r="I634" s="572"/>
      <c r="J634" s="572"/>
      <c r="K634" s="572"/>
      <c r="L634" s="572"/>
      <c r="M634" s="572"/>
      <c r="N634" s="572"/>
      <c r="O634" s="574"/>
    </row>
    <row r="635" ht="13.5" customHeight="1">
      <c r="A635" s="572"/>
      <c r="B635" s="572"/>
      <c r="C635" s="572"/>
      <c r="D635" s="584"/>
      <c r="E635" s="570"/>
      <c r="F635" s="570"/>
      <c r="G635" s="572"/>
      <c r="H635" s="572"/>
      <c r="I635" s="572"/>
      <c r="J635" s="572"/>
      <c r="K635" s="572"/>
      <c r="L635" s="572"/>
      <c r="M635" s="572"/>
      <c r="N635" s="572"/>
      <c r="O635" s="574"/>
    </row>
    <row r="636" ht="13.5" customHeight="1">
      <c r="A636" s="572"/>
      <c r="B636" s="572"/>
      <c r="C636" s="572"/>
      <c r="D636" s="584"/>
      <c r="E636" s="570"/>
      <c r="F636" s="570"/>
      <c r="G636" s="572"/>
      <c r="H636" s="572"/>
      <c r="I636" s="572"/>
      <c r="J636" s="572"/>
      <c r="K636" s="572"/>
      <c r="L636" s="572"/>
      <c r="M636" s="572"/>
      <c r="N636" s="572"/>
      <c r="O636" s="574"/>
    </row>
    <row r="637" ht="13.5" customHeight="1">
      <c r="A637" s="572"/>
      <c r="B637" s="572"/>
      <c r="C637" s="572"/>
      <c r="D637" s="584"/>
      <c r="E637" s="570"/>
      <c r="F637" s="570"/>
      <c r="G637" s="572"/>
      <c r="H637" s="572"/>
      <c r="I637" s="572"/>
      <c r="J637" s="572"/>
      <c r="K637" s="572"/>
      <c r="L637" s="572"/>
      <c r="M637" s="572"/>
      <c r="N637" s="572"/>
      <c r="O637" s="574"/>
    </row>
    <row r="638" ht="13.5" customHeight="1">
      <c r="A638" s="572"/>
      <c r="B638" s="572"/>
      <c r="C638" s="572"/>
      <c r="D638" s="584"/>
      <c r="E638" s="570"/>
      <c r="F638" s="570"/>
      <c r="G638" s="572"/>
      <c r="H638" s="572"/>
      <c r="I638" s="572"/>
      <c r="J638" s="572"/>
      <c r="K638" s="572"/>
      <c r="L638" s="572"/>
      <c r="M638" s="572"/>
      <c r="N638" s="572"/>
      <c r="O638" s="574"/>
    </row>
    <row r="639" ht="13.5" customHeight="1">
      <c r="A639" s="572"/>
      <c r="B639" s="572"/>
      <c r="C639" s="572"/>
      <c r="D639" s="584"/>
      <c r="E639" s="570"/>
      <c r="F639" s="570"/>
      <c r="G639" s="572"/>
      <c r="H639" s="572"/>
      <c r="I639" s="572"/>
      <c r="J639" s="572"/>
      <c r="K639" s="572"/>
      <c r="L639" s="572"/>
      <c r="M639" s="572"/>
      <c r="N639" s="572"/>
      <c r="O639" s="574"/>
    </row>
    <row r="640" ht="13.5" customHeight="1">
      <c r="A640" s="572"/>
      <c r="B640" s="572"/>
      <c r="C640" s="572"/>
      <c r="D640" s="584"/>
      <c r="E640" s="570"/>
      <c r="F640" s="570"/>
      <c r="G640" s="572"/>
      <c r="H640" s="572"/>
      <c r="I640" s="572"/>
      <c r="J640" s="572"/>
      <c r="K640" s="572"/>
      <c r="L640" s="572"/>
      <c r="M640" s="572"/>
      <c r="N640" s="572"/>
      <c r="O640" s="574"/>
    </row>
    <row r="641" ht="13.5" customHeight="1">
      <c r="A641" s="572"/>
      <c r="B641" s="572"/>
      <c r="C641" s="572"/>
      <c r="D641" s="584"/>
      <c r="E641" s="570"/>
      <c r="F641" s="570"/>
      <c r="G641" s="572"/>
      <c r="H641" s="572"/>
      <c r="I641" s="572"/>
      <c r="J641" s="572"/>
      <c r="K641" s="572"/>
      <c r="L641" s="572"/>
      <c r="M641" s="572"/>
      <c r="N641" s="572"/>
      <c r="O641" s="574"/>
    </row>
    <row r="642" ht="13.5" customHeight="1">
      <c r="A642" s="572"/>
      <c r="B642" s="572"/>
      <c r="C642" s="572"/>
      <c r="D642" s="584"/>
      <c r="E642" s="570"/>
      <c r="F642" s="570"/>
      <c r="G642" s="572"/>
      <c r="H642" s="572"/>
      <c r="I642" s="572"/>
      <c r="J642" s="572"/>
      <c r="K642" s="572"/>
      <c r="L642" s="572"/>
      <c r="M642" s="572"/>
      <c r="N642" s="572"/>
      <c r="O642" s="574"/>
    </row>
    <row r="643" ht="13.5" customHeight="1">
      <c r="A643" s="572"/>
      <c r="B643" s="572"/>
      <c r="C643" s="572"/>
      <c r="D643" s="584"/>
      <c r="E643" s="570"/>
      <c r="F643" s="570"/>
      <c r="G643" s="572"/>
      <c r="H643" s="572"/>
      <c r="I643" s="572"/>
      <c r="J643" s="572"/>
      <c r="K643" s="572"/>
      <c r="L643" s="572"/>
      <c r="M643" s="572"/>
      <c r="N643" s="572"/>
      <c r="O643" s="574"/>
    </row>
    <row r="644" ht="13.5" customHeight="1">
      <c r="A644" s="572"/>
      <c r="B644" s="572"/>
      <c r="C644" s="572"/>
      <c r="D644" s="584"/>
      <c r="E644" s="570"/>
      <c r="F644" s="570"/>
      <c r="G644" s="572"/>
      <c r="H644" s="572"/>
      <c r="I644" s="572"/>
      <c r="J644" s="572"/>
      <c r="K644" s="572"/>
      <c r="L644" s="572"/>
      <c r="M644" s="572"/>
      <c r="N644" s="572"/>
      <c r="O644" s="574"/>
    </row>
    <row r="645" ht="13.5" customHeight="1">
      <c r="A645" s="572"/>
      <c r="B645" s="572"/>
      <c r="C645" s="572"/>
      <c r="D645" s="584"/>
      <c r="E645" s="570"/>
      <c r="F645" s="570"/>
      <c r="G645" s="572"/>
      <c r="H645" s="572"/>
      <c r="I645" s="572"/>
      <c r="J645" s="572"/>
      <c r="K645" s="572"/>
      <c r="L645" s="572"/>
      <c r="M645" s="572"/>
      <c r="N645" s="572"/>
      <c r="O645" s="574"/>
    </row>
    <row r="646" ht="13.5" customHeight="1">
      <c r="A646" s="572"/>
      <c r="B646" s="572"/>
      <c r="C646" s="572"/>
      <c r="D646" s="584"/>
      <c r="E646" s="570"/>
      <c r="F646" s="570"/>
      <c r="G646" s="572"/>
      <c r="H646" s="572"/>
      <c r="I646" s="572"/>
      <c r="J646" s="572"/>
      <c r="K646" s="572"/>
      <c r="L646" s="572"/>
      <c r="M646" s="572"/>
      <c r="N646" s="572"/>
      <c r="O646" s="574"/>
    </row>
    <row r="647" ht="13.5" customHeight="1">
      <c r="A647" s="572"/>
      <c r="B647" s="572"/>
      <c r="C647" s="572"/>
      <c r="D647" s="584"/>
      <c r="E647" s="570"/>
      <c r="F647" s="570"/>
      <c r="G647" s="572"/>
      <c r="H647" s="572"/>
      <c r="I647" s="572"/>
      <c r="J647" s="572"/>
      <c r="K647" s="572"/>
      <c r="L647" s="572"/>
      <c r="M647" s="572"/>
      <c r="N647" s="572"/>
      <c r="O647" s="574"/>
    </row>
    <row r="648" ht="13.5" customHeight="1">
      <c r="A648" s="572"/>
      <c r="B648" s="572"/>
      <c r="C648" s="572"/>
      <c r="D648" s="584"/>
      <c r="E648" s="570"/>
      <c r="F648" s="570"/>
      <c r="G648" s="572"/>
      <c r="H648" s="572"/>
      <c r="I648" s="572"/>
      <c r="J648" s="572"/>
      <c r="K648" s="572"/>
      <c r="L648" s="572"/>
      <c r="M648" s="572"/>
      <c r="N648" s="572"/>
      <c r="O648" s="574"/>
    </row>
    <row r="649" ht="13.5" customHeight="1">
      <c r="A649" s="572"/>
      <c r="B649" s="572"/>
      <c r="C649" s="572"/>
      <c r="D649" s="584"/>
      <c r="E649" s="570"/>
      <c r="F649" s="570"/>
      <c r="G649" s="572"/>
      <c r="H649" s="572"/>
      <c r="I649" s="572"/>
      <c r="J649" s="572"/>
      <c r="K649" s="572"/>
      <c r="L649" s="572"/>
      <c r="M649" s="572"/>
      <c r="N649" s="572"/>
      <c r="O649" s="574"/>
    </row>
    <row r="650" ht="13.5" customHeight="1">
      <c r="A650" s="572"/>
      <c r="B650" s="572"/>
      <c r="C650" s="572"/>
      <c r="D650" s="584"/>
      <c r="E650" s="570"/>
      <c r="F650" s="570"/>
      <c r="G650" s="572"/>
      <c r="H650" s="572"/>
      <c r="I650" s="572"/>
      <c r="J650" s="572"/>
      <c r="K650" s="572"/>
      <c r="L650" s="572"/>
      <c r="M650" s="572"/>
      <c r="N650" s="572"/>
      <c r="O650" s="574"/>
    </row>
    <row r="651" ht="13.5" customHeight="1">
      <c r="A651" s="572"/>
      <c r="B651" s="572"/>
      <c r="C651" s="572"/>
      <c r="D651" s="584"/>
      <c r="E651" s="570"/>
      <c r="F651" s="570"/>
      <c r="G651" s="572"/>
      <c r="H651" s="572"/>
      <c r="I651" s="572"/>
      <c r="J651" s="572"/>
      <c r="K651" s="572"/>
      <c r="L651" s="572"/>
      <c r="M651" s="572"/>
      <c r="N651" s="572"/>
      <c r="O651" s="574"/>
    </row>
    <row r="652" ht="13.5" customHeight="1">
      <c r="A652" s="572"/>
      <c r="B652" s="572"/>
      <c r="C652" s="572"/>
      <c r="D652" s="584"/>
      <c r="E652" s="570"/>
      <c r="F652" s="570"/>
      <c r="G652" s="572"/>
      <c r="H652" s="572"/>
      <c r="I652" s="572"/>
      <c r="J652" s="572"/>
      <c r="K652" s="572"/>
      <c r="L652" s="572"/>
      <c r="M652" s="572"/>
      <c r="N652" s="572"/>
      <c r="O652" s="574"/>
    </row>
    <row r="653" ht="13.5" customHeight="1">
      <c r="A653" s="572"/>
      <c r="B653" s="572"/>
      <c r="C653" s="572"/>
      <c r="D653" s="584"/>
      <c r="E653" s="570"/>
      <c r="F653" s="570"/>
      <c r="G653" s="572"/>
      <c r="H653" s="572"/>
      <c r="I653" s="572"/>
      <c r="J653" s="572"/>
      <c r="K653" s="572"/>
      <c r="L653" s="572"/>
      <c r="M653" s="572"/>
      <c r="N653" s="572"/>
      <c r="O653" s="574"/>
    </row>
    <row r="654" ht="13.5" customHeight="1">
      <c r="A654" s="572"/>
      <c r="B654" s="572"/>
      <c r="C654" s="572"/>
      <c r="D654" s="584"/>
      <c r="E654" s="570"/>
      <c r="F654" s="570"/>
      <c r="G654" s="572"/>
      <c r="H654" s="572"/>
      <c r="I654" s="572"/>
      <c r="J654" s="572"/>
      <c r="K654" s="572"/>
      <c r="L654" s="572"/>
      <c r="M654" s="572"/>
      <c r="N654" s="572"/>
      <c r="O654" s="574"/>
    </row>
    <row r="655" ht="13.5" customHeight="1">
      <c r="A655" s="572"/>
      <c r="B655" s="572"/>
      <c r="C655" s="572"/>
      <c r="D655" s="584"/>
      <c r="E655" s="570"/>
      <c r="F655" s="570"/>
      <c r="G655" s="572"/>
      <c r="H655" s="572"/>
      <c r="I655" s="572"/>
      <c r="J655" s="572"/>
      <c r="K655" s="572"/>
      <c r="L655" s="572"/>
      <c r="M655" s="572"/>
      <c r="N655" s="572"/>
      <c r="O655" s="574"/>
    </row>
    <row r="656" ht="13.5" customHeight="1">
      <c r="A656" s="572"/>
      <c r="B656" s="572"/>
      <c r="C656" s="572"/>
      <c r="D656" s="584"/>
      <c r="E656" s="570"/>
      <c r="F656" s="570"/>
      <c r="G656" s="572"/>
      <c r="H656" s="572"/>
      <c r="I656" s="572"/>
      <c r="J656" s="572"/>
      <c r="K656" s="572"/>
      <c r="L656" s="572"/>
      <c r="M656" s="572"/>
      <c r="N656" s="572"/>
      <c r="O656" s="574"/>
    </row>
    <row r="657" ht="13.5" customHeight="1">
      <c r="A657" s="572"/>
      <c r="B657" s="572"/>
      <c r="C657" s="572"/>
      <c r="D657" s="584"/>
      <c r="E657" s="570"/>
      <c r="F657" s="570"/>
      <c r="G657" s="572"/>
      <c r="H657" s="572"/>
      <c r="I657" s="572"/>
      <c r="J657" s="572"/>
      <c r="K657" s="572"/>
      <c r="L657" s="572"/>
      <c r="M657" s="572"/>
      <c r="N657" s="572"/>
      <c r="O657" s="574"/>
    </row>
    <row r="658" ht="13.5" customHeight="1">
      <c r="A658" s="572"/>
      <c r="B658" s="572"/>
      <c r="C658" s="572"/>
      <c r="D658" s="584"/>
      <c r="E658" s="570"/>
      <c r="F658" s="570"/>
      <c r="G658" s="572"/>
      <c r="H658" s="572"/>
      <c r="I658" s="572"/>
      <c r="J658" s="572"/>
      <c r="K658" s="572"/>
      <c r="L658" s="572"/>
      <c r="M658" s="572"/>
      <c r="N658" s="572"/>
      <c r="O658" s="574"/>
    </row>
    <row r="659" ht="13.5" customHeight="1">
      <c r="A659" s="572"/>
      <c r="B659" s="572"/>
      <c r="C659" s="572"/>
      <c r="D659" s="584"/>
      <c r="E659" s="570"/>
      <c r="F659" s="570"/>
      <c r="G659" s="572"/>
      <c r="H659" s="572"/>
      <c r="I659" s="572"/>
      <c r="J659" s="572"/>
      <c r="K659" s="572"/>
      <c r="L659" s="572"/>
      <c r="M659" s="572"/>
      <c r="N659" s="572"/>
      <c r="O659" s="574"/>
    </row>
    <row r="660" ht="13.5" customHeight="1">
      <c r="A660" s="572"/>
      <c r="B660" s="572"/>
      <c r="C660" s="572"/>
      <c r="D660" s="584"/>
      <c r="E660" s="570"/>
      <c r="F660" s="570"/>
      <c r="G660" s="572"/>
      <c r="H660" s="572"/>
      <c r="I660" s="572"/>
      <c r="J660" s="572"/>
      <c r="K660" s="572"/>
      <c r="L660" s="572"/>
      <c r="M660" s="572"/>
      <c r="N660" s="572"/>
      <c r="O660" s="574"/>
    </row>
    <row r="661" ht="13.5" customHeight="1">
      <c r="A661" s="572"/>
      <c r="B661" s="572"/>
      <c r="C661" s="572"/>
      <c r="D661" s="584"/>
      <c r="E661" s="570"/>
      <c r="F661" s="570"/>
      <c r="G661" s="572"/>
      <c r="H661" s="572"/>
      <c r="I661" s="572"/>
      <c r="J661" s="572"/>
      <c r="K661" s="572"/>
      <c r="L661" s="572"/>
      <c r="M661" s="572"/>
      <c r="N661" s="572"/>
      <c r="O661" s="574"/>
    </row>
    <row r="662" ht="13.5" customHeight="1">
      <c r="A662" s="572"/>
      <c r="B662" s="572"/>
      <c r="C662" s="572"/>
      <c r="D662" s="584"/>
      <c r="E662" s="570"/>
      <c r="F662" s="570"/>
      <c r="G662" s="572"/>
      <c r="H662" s="572"/>
      <c r="I662" s="572"/>
      <c r="J662" s="572"/>
      <c r="K662" s="572"/>
      <c r="L662" s="572"/>
      <c r="M662" s="572"/>
      <c r="N662" s="572"/>
      <c r="O662" s="574"/>
    </row>
    <row r="663" ht="13.5" customHeight="1">
      <c r="A663" s="572"/>
      <c r="B663" s="572"/>
      <c r="C663" s="572"/>
      <c r="D663" s="584"/>
      <c r="E663" s="570"/>
      <c r="F663" s="570"/>
      <c r="G663" s="572"/>
      <c r="H663" s="572"/>
      <c r="I663" s="572"/>
      <c r="J663" s="572"/>
      <c r="K663" s="572"/>
      <c r="L663" s="572"/>
      <c r="M663" s="572"/>
      <c r="N663" s="572"/>
      <c r="O663" s="574"/>
    </row>
    <row r="664" ht="13.5" customHeight="1">
      <c r="A664" s="572"/>
      <c r="B664" s="572"/>
      <c r="C664" s="572"/>
      <c r="D664" s="584"/>
      <c r="E664" s="570"/>
      <c r="F664" s="570"/>
      <c r="G664" s="572"/>
      <c r="H664" s="572"/>
      <c r="I664" s="572"/>
      <c r="J664" s="572"/>
      <c r="K664" s="572"/>
      <c r="L664" s="572"/>
      <c r="M664" s="572"/>
      <c r="N664" s="572"/>
      <c r="O664" s="574"/>
    </row>
    <row r="665" ht="13.5" customHeight="1">
      <c r="A665" s="572"/>
      <c r="B665" s="572"/>
      <c r="C665" s="572"/>
      <c r="D665" s="584"/>
      <c r="E665" s="570"/>
      <c r="F665" s="570"/>
      <c r="G665" s="572"/>
      <c r="H665" s="572"/>
      <c r="I665" s="572"/>
      <c r="J665" s="572"/>
      <c r="K665" s="572"/>
      <c r="L665" s="572"/>
      <c r="M665" s="572"/>
      <c r="N665" s="572"/>
      <c r="O665" s="574"/>
    </row>
    <row r="666" ht="13.5" customHeight="1">
      <c r="A666" s="572"/>
      <c r="B666" s="572"/>
      <c r="C666" s="572"/>
      <c r="D666" s="584"/>
      <c r="E666" s="570"/>
      <c r="F666" s="570"/>
      <c r="G666" s="572"/>
      <c r="H666" s="572"/>
      <c r="I666" s="572"/>
      <c r="J666" s="572"/>
      <c r="K666" s="572"/>
      <c r="L666" s="572"/>
      <c r="M666" s="572"/>
      <c r="N666" s="572"/>
      <c r="O666" s="574"/>
    </row>
    <row r="667" ht="13.5" customHeight="1">
      <c r="A667" s="572"/>
      <c r="B667" s="572"/>
      <c r="C667" s="572"/>
      <c r="D667" s="584"/>
      <c r="E667" s="570"/>
      <c r="F667" s="570"/>
      <c r="G667" s="572"/>
      <c r="H667" s="572"/>
      <c r="I667" s="572"/>
      <c r="J667" s="572"/>
      <c r="K667" s="572"/>
      <c r="L667" s="572"/>
      <c r="M667" s="572"/>
      <c r="N667" s="572"/>
      <c r="O667" s="574"/>
    </row>
    <row r="668" ht="13.5" customHeight="1">
      <c r="A668" s="572"/>
      <c r="B668" s="572"/>
      <c r="C668" s="572"/>
      <c r="D668" s="584"/>
      <c r="E668" s="570"/>
      <c r="F668" s="570"/>
      <c r="G668" s="572"/>
      <c r="H668" s="572"/>
      <c r="I668" s="572"/>
      <c r="J668" s="572"/>
      <c r="K668" s="572"/>
      <c r="L668" s="572"/>
      <c r="M668" s="572"/>
      <c r="N668" s="572"/>
      <c r="O668" s="574"/>
    </row>
    <row r="669" ht="13.5" customHeight="1">
      <c r="A669" s="572"/>
      <c r="B669" s="572"/>
      <c r="C669" s="572"/>
      <c r="D669" s="584"/>
      <c r="E669" s="570"/>
      <c r="F669" s="570"/>
      <c r="G669" s="572"/>
      <c r="H669" s="572"/>
      <c r="I669" s="572"/>
      <c r="J669" s="572"/>
      <c r="K669" s="572"/>
      <c r="L669" s="572"/>
      <c r="M669" s="572"/>
      <c r="N669" s="572"/>
      <c r="O669" s="574"/>
    </row>
    <row r="670" ht="13.5" customHeight="1">
      <c r="A670" s="572"/>
      <c r="B670" s="572"/>
      <c r="C670" s="572"/>
      <c r="D670" s="584"/>
      <c r="E670" s="570"/>
      <c r="F670" s="570"/>
      <c r="G670" s="572"/>
      <c r="H670" s="572"/>
      <c r="I670" s="572"/>
      <c r="J670" s="572"/>
      <c r="K670" s="572"/>
      <c r="L670" s="572"/>
      <c r="M670" s="572"/>
      <c r="N670" s="572"/>
      <c r="O670" s="574"/>
    </row>
    <row r="671" ht="13.5" customHeight="1">
      <c r="A671" s="572"/>
      <c r="B671" s="572"/>
      <c r="C671" s="572"/>
      <c r="D671" s="584"/>
      <c r="E671" s="570"/>
      <c r="F671" s="570"/>
      <c r="G671" s="572"/>
      <c r="H671" s="572"/>
      <c r="I671" s="572"/>
      <c r="J671" s="572"/>
      <c r="K671" s="572"/>
      <c r="L671" s="572"/>
      <c r="M671" s="572"/>
      <c r="N671" s="572"/>
      <c r="O671" s="574"/>
    </row>
    <row r="672" ht="13.5" customHeight="1">
      <c r="A672" s="572"/>
      <c r="B672" s="572"/>
      <c r="C672" s="572"/>
      <c r="D672" s="584"/>
      <c r="E672" s="570"/>
      <c r="F672" s="570"/>
      <c r="G672" s="572"/>
      <c r="H672" s="572"/>
      <c r="I672" s="572"/>
      <c r="J672" s="572"/>
      <c r="K672" s="572"/>
      <c r="L672" s="572"/>
      <c r="M672" s="572"/>
      <c r="N672" s="572"/>
      <c r="O672" s="574"/>
    </row>
    <row r="673" ht="13.5" customHeight="1">
      <c r="A673" s="572"/>
      <c r="B673" s="572"/>
      <c r="C673" s="572"/>
      <c r="D673" s="584"/>
      <c r="E673" s="570"/>
      <c r="F673" s="570"/>
      <c r="G673" s="572"/>
      <c r="H673" s="572"/>
      <c r="I673" s="572"/>
      <c r="J673" s="572"/>
      <c r="K673" s="572"/>
      <c r="L673" s="572"/>
      <c r="M673" s="572"/>
      <c r="N673" s="572"/>
      <c r="O673" s="574"/>
    </row>
    <row r="674" ht="13.5" customHeight="1">
      <c r="A674" s="572"/>
      <c r="B674" s="572"/>
      <c r="C674" s="572"/>
      <c r="D674" s="584"/>
      <c r="E674" s="570"/>
      <c r="F674" s="570"/>
      <c r="G674" s="572"/>
      <c r="H674" s="572"/>
      <c r="I674" s="572"/>
      <c r="J674" s="572"/>
      <c r="K674" s="572"/>
      <c r="L674" s="572"/>
      <c r="M674" s="572"/>
      <c r="N674" s="572"/>
      <c r="O674" s="574"/>
    </row>
    <row r="675" ht="13.5" customHeight="1">
      <c r="A675" s="572"/>
      <c r="B675" s="572"/>
      <c r="C675" s="572"/>
      <c r="D675" s="584"/>
      <c r="E675" s="570"/>
      <c r="F675" s="570"/>
      <c r="G675" s="572"/>
      <c r="H675" s="572"/>
      <c r="I675" s="572"/>
      <c r="J675" s="572"/>
      <c r="K675" s="572"/>
      <c r="L675" s="572"/>
      <c r="M675" s="572"/>
      <c r="N675" s="572"/>
      <c r="O675" s="574"/>
    </row>
    <row r="676" ht="13.5" customHeight="1">
      <c r="A676" s="572"/>
      <c r="B676" s="572"/>
      <c r="C676" s="572"/>
      <c r="D676" s="584"/>
      <c r="E676" s="570"/>
      <c r="F676" s="570"/>
      <c r="G676" s="572"/>
      <c r="H676" s="572"/>
      <c r="I676" s="572"/>
      <c r="J676" s="572"/>
      <c r="K676" s="572"/>
      <c r="L676" s="572"/>
      <c r="M676" s="572"/>
      <c r="N676" s="572"/>
      <c r="O676" s="574"/>
    </row>
    <row r="677" ht="13.5" customHeight="1">
      <c r="A677" s="572"/>
      <c r="B677" s="572"/>
      <c r="C677" s="572"/>
      <c r="D677" s="584"/>
      <c r="E677" s="570"/>
      <c r="F677" s="570"/>
      <c r="G677" s="572"/>
      <c r="H677" s="572"/>
      <c r="I677" s="572"/>
      <c r="J677" s="572"/>
      <c r="K677" s="572"/>
      <c r="L677" s="572"/>
      <c r="M677" s="572"/>
      <c r="N677" s="572"/>
      <c r="O677" s="574"/>
    </row>
    <row r="678" ht="13.5" customHeight="1">
      <c r="A678" s="572"/>
      <c r="B678" s="572"/>
      <c r="C678" s="572"/>
      <c r="D678" s="584"/>
      <c r="E678" s="570"/>
      <c r="F678" s="570"/>
      <c r="G678" s="572"/>
      <c r="H678" s="572"/>
      <c r="I678" s="572"/>
      <c r="J678" s="572"/>
      <c r="K678" s="572"/>
      <c r="L678" s="572"/>
      <c r="M678" s="572"/>
      <c r="N678" s="572"/>
      <c r="O678" s="574"/>
    </row>
    <row r="679" ht="13.5" customHeight="1">
      <c r="A679" s="572"/>
      <c r="B679" s="572"/>
      <c r="C679" s="572"/>
      <c r="D679" s="584"/>
      <c r="E679" s="570"/>
      <c r="F679" s="570"/>
      <c r="G679" s="572"/>
      <c r="H679" s="572"/>
      <c r="I679" s="572"/>
      <c r="J679" s="572"/>
      <c r="K679" s="572"/>
      <c r="L679" s="572"/>
      <c r="M679" s="572"/>
      <c r="N679" s="572"/>
      <c r="O679" s="574"/>
    </row>
    <row r="680" ht="13.5" customHeight="1">
      <c r="A680" s="572"/>
      <c r="B680" s="572"/>
      <c r="C680" s="572"/>
      <c r="D680" s="584"/>
      <c r="E680" s="570"/>
      <c r="F680" s="570"/>
      <c r="G680" s="572"/>
      <c r="H680" s="572"/>
      <c r="I680" s="572"/>
      <c r="J680" s="572"/>
      <c r="K680" s="572"/>
      <c r="L680" s="572"/>
      <c r="M680" s="572"/>
      <c r="N680" s="572"/>
      <c r="O680" s="574"/>
    </row>
    <row r="681" ht="13.5" customHeight="1">
      <c r="A681" s="572"/>
      <c r="B681" s="572"/>
      <c r="C681" s="572"/>
      <c r="D681" s="584"/>
      <c r="E681" s="570"/>
      <c r="F681" s="570"/>
      <c r="G681" s="572"/>
      <c r="H681" s="572"/>
      <c r="I681" s="572"/>
      <c r="J681" s="572"/>
      <c r="K681" s="572"/>
      <c r="L681" s="572"/>
      <c r="M681" s="572"/>
      <c r="N681" s="572"/>
      <c r="O681" s="574"/>
    </row>
    <row r="682" ht="13.5" customHeight="1">
      <c r="A682" s="572"/>
      <c r="B682" s="572"/>
      <c r="C682" s="572"/>
      <c r="D682" s="584"/>
      <c r="E682" s="570"/>
      <c r="F682" s="570"/>
      <c r="G682" s="572"/>
      <c r="H682" s="572"/>
      <c r="I682" s="572"/>
      <c r="J682" s="572"/>
      <c r="K682" s="572"/>
      <c r="L682" s="572"/>
      <c r="M682" s="572"/>
      <c r="N682" s="572"/>
      <c r="O682" s="574"/>
    </row>
    <row r="683" ht="13.5" customHeight="1">
      <c r="A683" s="572"/>
      <c r="B683" s="572"/>
      <c r="C683" s="572"/>
      <c r="D683" s="584"/>
      <c r="E683" s="570"/>
      <c r="F683" s="570"/>
      <c r="G683" s="572"/>
      <c r="H683" s="572"/>
      <c r="I683" s="572"/>
      <c r="J683" s="572"/>
      <c r="K683" s="572"/>
      <c r="L683" s="572"/>
      <c r="M683" s="572"/>
      <c r="N683" s="572"/>
      <c r="O683" s="574"/>
    </row>
    <row r="684" ht="13.5" customHeight="1">
      <c r="A684" s="572"/>
      <c r="B684" s="572"/>
      <c r="C684" s="572"/>
      <c r="D684" s="584"/>
      <c r="E684" s="570"/>
      <c r="F684" s="570"/>
      <c r="G684" s="572"/>
      <c r="H684" s="572"/>
      <c r="I684" s="572"/>
      <c r="J684" s="572"/>
      <c r="K684" s="572"/>
      <c r="L684" s="572"/>
      <c r="M684" s="572"/>
      <c r="N684" s="572"/>
      <c r="O684" s="574"/>
    </row>
    <row r="685" ht="13.5" customHeight="1">
      <c r="A685" s="572"/>
      <c r="B685" s="572"/>
      <c r="C685" s="572"/>
      <c r="D685" s="584"/>
      <c r="E685" s="570"/>
      <c r="F685" s="570"/>
      <c r="G685" s="572"/>
      <c r="H685" s="572"/>
      <c r="I685" s="572"/>
      <c r="J685" s="572"/>
      <c r="K685" s="572"/>
      <c r="L685" s="572"/>
      <c r="M685" s="572"/>
      <c r="N685" s="572"/>
      <c r="O685" s="574"/>
    </row>
    <row r="686" ht="13.5" customHeight="1">
      <c r="A686" s="572"/>
      <c r="B686" s="572"/>
      <c r="C686" s="572"/>
      <c r="D686" s="584"/>
      <c r="E686" s="570"/>
      <c r="F686" s="570"/>
      <c r="G686" s="572"/>
      <c r="H686" s="572"/>
      <c r="I686" s="572"/>
      <c r="J686" s="572"/>
      <c r="K686" s="572"/>
      <c r="L686" s="572"/>
      <c r="M686" s="572"/>
      <c r="N686" s="572"/>
      <c r="O686" s="574"/>
    </row>
    <row r="687" ht="13.5" customHeight="1">
      <c r="A687" s="572"/>
      <c r="B687" s="572"/>
      <c r="C687" s="572"/>
      <c r="D687" s="584"/>
      <c r="E687" s="570"/>
      <c r="F687" s="570"/>
      <c r="G687" s="572"/>
      <c r="H687" s="572"/>
      <c r="I687" s="572"/>
      <c r="J687" s="572"/>
      <c r="K687" s="572"/>
      <c r="L687" s="572"/>
      <c r="M687" s="572"/>
      <c r="N687" s="572"/>
      <c r="O687" s="574"/>
    </row>
    <row r="688" ht="13.5" customHeight="1">
      <c r="A688" s="572"/>
      <c r="B688" s="572"/>
      <c r="C688" s="572"/>
      <c r="D688" s="584"/>
      <c r="E688" s="570"/>
      <c r="F688" s="570"/>
      <c r="G688" s="572"/>
      <c r="H688" s="572"/>
      <c r="I688" s="572"/>
      <c r="J688" s="572"/>
      <c r="K688" s="572"/>
      <c r="L688" s="572"/>
      <c r="M688" s="572"/>
      <c r="N688" s="572"/>
      <c r="O688" s="574"/>
    </row>
    <row r="689" ht="13.5" customHeight="1">
      <c r="A689" s="572"/>
      <c r="B689" s="572"/>
      <c r="C689" s="572"/>
      <c r="D689" s="584"/>
      <c r="E689" s="570"/>
      <c r="F689" s="570"/>
      <c r="G689" s="572"/>
      <c r="H689" s="572"/>
      <c r="I689" s="572"/>
      <c r="J689" s="572"/>
      <c r="K689" s="572"/>
      <c r="L689" s="572"/>
      <c r="M689" s="572"/>
      <c r="N689" s="572"/>
      <c r="O689" s="574"/>
    </row>
    <row r="690" ht="13.5" customHeight="1">
      <c r="A690" s="572"/>
      <c r="B690" s="572"/>
      <c r="C690" s="572"/>
      <c r="D690" s="584"/>
      <c r="E690" s="570"/>
      <c r="F690" s="570"/>
      <c r="G690" s="572"/>
      <c r="H690" s="572"/>
      <c r="I690" s="572"/>
      <c r="J690" s="572"/>
      <c r="K690" s="572"/>
      <c r="L690" s="572"/>
      <c r="M690" s="572"/>
      <c r="N690" s="572"/>
      <c r="O690" s="574"/>
    </row>
    <row r="691" ht="13.5" customHeight="1">
      <c r="A691" s="572"/>
      <c r="B691" s="572"/>
      <c r="C691" s="572"/>
      <c r="D691" s="584"/>
      <c r="E691" s="570"/>
      <c r="F691" s="570"/>
      <c r="G691" s="572"/>
      <c r="H691" s="572"/>
      <c r="I691" s="572"/>
      <c r="J691" s="572"/>
      <c r="K691" s="572"/>
      <c r="L691" s="572"/>
      <c r="M691" s="572"/>
      <c r="N691" s="572"/>
      <c r="O691" s="574"/>
    </row>
    <row r="692" ht="13.5" customHeight="1">
      <c r="A692" s="572"/>
      <c r="B692" s="572"/>
      <c r="C692" s="572"/>
      <c r="D692" s="584"/>
      <c r="E692" s="570"/>
      <c r="F692" s="570"/>
      <c r="G692" s="572"/>
      <c r="H692" s="572"/>
      <c r="I692" s="572"/>
      <c r="J692" s="572"/>
      <c r="K692" s="572"/>
      <c r="L692" s="572"/>
      <c r="M692" s="572"/>
      <c r="N692" s="572"/>
      <c r="O692" s="574"/>
    </row>
    <row r="693" ht="13.5" customHeight="1">
      <c r="A693" s="572"/>
      <c r="B693" s="572"/>
      <c r="C693" s="572"/>
      <c r="D693" s="584"/>
      <c r="E693" s="570"/>
      <c r="F693" s="570"/>
      <c r="G693" s="572"/>
      <c r="H693" s="572"/>
      <c r="I693" s="572"/>
      <c r="J693" s="572"/>
      <c r="K693" s="572"/>
      <c r="L693" s="572"/>
      <c r="M693" s="572"/>
      <c r="N693" s="572"/>
      <c r="O693" s="574"/>
    </row>
    <row r="694" ht="13.5" customHeight="1">
      <c r="A694" s="572"/>
      <c r="B694" s="572"/>
      <c r="C694" s="572"/>
      <c r="D694" s="584"/>
      <c r="E694" s="570"/>
      <c r="F694" s="570"/>
      <c r="G694" s="572"/>
      <c r="H694" s="572"/>
      <c r="I694" s="572"/>
      <c r="J694" s="572"/>
      <c r="K694" s="572"/>
      <c r="L694" s="572"/>
      <c r="M694" s="572"/>
      <c r="N694" s="572"/>
      <c r="O694" s="574"/>
    </row>
    <row r="695" ht="13.5" customHeight="1">
      <c r="A695" s="572"/>
      <c r="B695" s="572"/>
      <c r="C695" s="572"/>
      <c r="D695" s="584"/>
      <c r="E695" s="570"/>
      <c r="F695" s="570"/>
      <c r="G695" s="572"/>
      <c r="H695" s="572"/>
      <c r="I695" s="572"/>
      <c r="J695" s="572"/>
      <c r="K695" s="572"/>
      <c r="L695" s="572"/>
      <c r="M695" s="572"/>
      <c r="N695" s="572"/>
      <c r="O695" s="574"/>
    </row>
    <row r="696" ht="13.5" customHeight="1">
      <c r="A696" s="572"/>
      <c r="B696" s="572"/>
      <c r="C696" s="572"/>
      <c r="D696" s="584"/>
      <c r="E696" s="570"/>
      <c r="F696" s="570"/>
      <c r="G696" s="572"/>
      <c r="H696" s="572"/>
      <c r="I696" s="572"/>
      <c r="J696" s="572"/>
      <c r="K696" s="572"/>
      <c r="L696" s="572"/>
      <c r="M696" s="572"/>
      <c r="N696" s="572"/>
      <c r="O696" s="574"/>
    </row>
    <row r="697" ht="13.5" customHeight="1">
      <c r="A697" s="572"/>
      <c r="B697" s="572"/>
      <c r="C697" s="572"/>
      <c r="D697" s="584"/>
      <c r="E697" s="570"/>
      <c r="F697" s="570"/>
      <c r="G697" s="572"/>
      <c r="H697" s="572"/>
      <c r="I697" s="572"/>
      <c r="J697" s="572"/>
      <c r="K697" s="572"/>
      <c r="L697" s="572"/>
      <c r="M697" s="572"/>
      <c r="N697" s="572"/>
      <c r="O697" s="574"/>
    </row>
    <row r="698" ht="13.5" customHeight="1">
      <c r="A698" s="572"/>
      <c r="B698" s="572"/>
      <c r="C698" s="572"/>
      <c r="D698" s="584"/>
      <c r="E698" s="570"/>
      <c r="F698" s="570"/>
      <c r="G698" s="572"/>
      <c r="H698" s="572"/>
      <c r="I698" s="572"/>
      <c r="J698" s="572"/>
      <c r="K698" s="572"/>
      <c r="L698" s="572"/>
      <c r="M698" s="572"/>
      <c r="N698" s="572"/>
      <c r="O698" s="574"/>
    </row>
    <row r="699" ht="13.5" customHeight="1">
      <c r="A699" s="572"/>
      <c r="B699" s="572"/>
      <c r="C699" s="572"/>
      <c r="D699" s="584"/>
      <c r="E699" s="570"/>
      <c r="F699" s="570"/>
      <c r="G699" s="572"/>
      <c r="H699" s="572"/>
      <c r="I699" s="572"/>
      <c r="J699" s="572"/>
      <c r="K699" s="572"/>
      <c r="L699" s="572"/>
      <c r="M699" s="572"/>
      <c r="N699" s="572"/>
      <c r="O699" s="574"/>
    </row>
    <row r="700" ht="13.5" customHeight="1">
      <c r="A700" s="572"/>
      <c r="B700" s="572"/>
      <c r="C700" s="572"/>
      <c r="D700" s="584"/>
      <c r="E700" s="570"/>
      <c r="F700" s="570"/>
      <c r="G700" s="572"/>
      <c r="H700" s="572"/>
      <c r="I700" s="572"/>
      <c r="J700" s="572"/>
      <c r="K700" s="572"/>
      <c r="L700" s="572"/>
      <c r="M700" s="572"/>
      <c r="N700" s="572"/>
      <c r="O700" s="574"/>
    </row>
    <row r="701" ht="13.5" customHeight="1">
      <c r="A701" s="572"/>
      <c r="B701" s="572"/>
      <c r="C701" s="572"/>
      <c r="D701" s="584"/>
      <c r="E701" s="570"/>
      <c r="F701" s="570"/>
      <c r="G701" s="572"/>
      <c r="H701" s="572"/>
      <c r="I701" s="572"/>
      <c r="J701" s="572"/>
      <c r="K701" s="572"/>
      <c r="L701" s="572"/>
      <c r="M701" s="572"/>
      <c r="N701" s="572"/>
      <c r="O701" s="574"/>
    </row>
    <row r="702" ht="13.5" customHeight="1">
      <c r="A702" s="572"/>
      <c r="B702" s="572"/>
      <c r="C702" s="572"/>
      <c r="D702" s="584"/>
      <c r="E702" s="570"/>
      <c r="F702" s="570"/>
      <c r="G702" s="572"/>
      <c r="H702" s="572"/>
      <c r="I702" s="572"/>
      <c r="J702" s="572"/>
      <c r="K702" s="572"/>
      <c r="L702" s="572"/>
      <c r="M702" s="572"/>
      <c r="N702" s="572"/>
      <c r="O702" s="574"/>
    </row>
    <row r="703" ht="13.5" customHeight="1">
      <c r="A703" s="572"/>
      <c r="B703" s="572"/>
      <c r="C703" s="572"/>
      <c r="D703" s="584"/>
      <c r="E703" s="570"/>
      <c r="F703" s="570"/>
      <c r="G703" s="572"/>
      <c r="H703" s="572"/>
      <c r="I703" s="572"/>
      <c r="J703" s="572"/>
      <c r="K703" s="572"/>
      <c r="L703" s="572"/>
      <c r="M703" s="572"/>
      <c r="N703" s="572"/>
      <c r="O703" s="574"/>
    </row>
    <row r="704" ht="13.5" customHeight="1">
      <c r="A704" s="572"/>
      <c r="B704" s="572"/>
      <c r="C704" s="572"/>
      <c r="D704" s="584"/>
      <c r="E704" s="570"/>
      <c r="F704" s="570"/>
      <c r="G704" s="572"/>
      <c r="H704" s="572"/>
      <c r="I704" s="572"/>
      <c r="J704" s="572"/>
      <c r="K704" s="572"/>
      <c r="L704" s="572"/>
      <c r="M704" s="572"/>
      <c r="N704" s="572"/>
      <c r="O704" s="574"/>
    </row>
    <row r="705" ht="13.5" customHeight="1">
      <c r="A705" s="572"/>
      <c r="B705" s="572"/>
      <c r="C705" s="572"/>
      <c r="D705" s="584"/>
      <c r="E705" s="570"/>
      <c r="F705" s="570"/>
      <c r="G705" s="572"/>
      <c r="H705" s="572"/>
      <c r="I705" s="572"/>
      <c r="J705" s="572"/>
      <c r="K705" s="572"/>
      <c r="L705" s="572"/>
      <c r="M705" s="572"/>
      <c r="N705" s="572"/>
      <c r="O705" s="574"/>
    </row>
    <row r="706" ht="13.5" customHeight="1">
      <c r="A706" s="572"/>
      <c r="B706" s="572"/>
      <c r="C706" s="572"/>
      <c r="D706" s="584"/>
      <c r="E706" s="570"/>
      <c r="F706" s="570"/>
      <c r="G706" s="572"/>
      <c r="H706" s="572"/>
      <c r="I706" s="572"/>
      <c r="J706" s="572"/>
      <c r="K706" s="572"/>
      <c r="L706" s="572"/>
      <c r="M706" s="572"/>
      <c r="N706" s="572"/>
      <c r="O706" s="574"/>
    </row>
    <row r="707" ht="13.5" customHeight="1">
      <c r="A707" s="572"/>
      <c r="B707" s="572"/>
      <c r="C707" s="572"/>
      <c r="D707" s="584"/>
      <c r="E707" s="570"/>
      <c r="F707" s="570"/>
      <c r="G707" s="572"/>
      <c r="H707" s="572"/>
      <c r="I707" s="572"/>
      <c r="J707" s="572"/>
      <c r="K707" s="572"/>
      <c r="L707" s="572"/>
      <c r="M707" s="572"/>
      <c r="N707" s="572"/>
      <c r="O707" s="574"/>
    </row>
    <row r="708" ht="13.5" customHeight="1">
      <c r="A708" s="572"/>
      <c r="B708" s="572"/>
      <c r="C708" s="572"/>
      <c r="D708" s="584"/>
      <c r="E708" s="570"/>
      <c r="F708" s="570"/>
      <c r="G708" s="572"/>
      <c r="H708" s="572"/>
      <c r="I708" s="572"/>
      <c r="J708" s="572"/>
      <c r="K708" s="572"/>
      <c r="L708" s="572"/>
      <c r="M708" s="572"/>
      <c r="N708" s="572"/>
      <c r="O708" s="574"/>
    </row>
    <row r="709" ht="13.5" customHeight="1">
      <c r="A709" s="572"/>
      <c r="B709" s="572"/>
      <c r="C709" s="572"/>
      <c r="D709" s="584"/>
      <c r="E709" s="570"/>
      <c r="F709" s="570"/>
      <c r="G709" s="572"/>
      <c r="H709" s="572"/>
      <c r="I709" s="572"/>
      <c r="J709" s="572"/>
      <c r="K709" s="572"/>
      <c r="L709" s="572"/>
      <c r="M709" s="572"/>
      <c r="N709" s="572"/>
      <c r="O709" s="574"/>
    </row>
    <row r="710" ht="13.5" customHeight="1">
      <c r="A710" s="572"/>
      <c r="B710" s="572"/>
      <c r="C710" s="572"/>
      <c r="D710" s="584"/>
      <c r="E710" s="570"/>
      <c r="F710" s="570"/>
      <c r="G710" s="572"/>
      <c r="H710" s="572"/>
      <c r="I710" s="572"/>
      <c r="J710" s="572"/>
      <c r="K710" s="572"/>
      <c r="L710" s="572"/>
      <c r="M710" s="572"/>
      <c r="N710" s="572"/>
      <c r="O710" s="574"/>
    </row>
    <row r="711" ht="13.5" customHeight="1">
      <c r="A711" s="572"/>
      <c r="B711" s="572"/>
      <c r="C711" s="572"/>
      <c r="D711" s="584"/>
      <c r="E711" s="570"/>
      <c r="F711" s="570"/>
      <c r="G711" s="572"/>
      <c r="H711" s="572"/>
      <c r="I711" s="572"/>
      <c r="J711" s="572"/>
      <c r="K711" s="572"/>
      <c r="L711" s="572"/>
      <c r="M711" s="572"/>
      <c r="N711" s="572"/>
      <c r="O711" s="574"/>
    </row>
    <row r="712" ht="13.5" customHeight="1">
      <c r="A712" s="572"/>
      <c r="B712" s="572"/>
      <c r="C712" s="572"/>
      <c r="D712" s="584"/>
      <c r="E712" s="570"/>
      <c r="F712" s="570"/>
      <c r="G712" s="572"/>
      <c r="H712" s="572"/>
      <c r="I712" s="572"/>
      <c r="J712" s="572"/>
      <c r="K712" s="572"/>
      <c r="L712" s="572"/>
      <c r="M712" s="572"/>
      <c r="N712" s="572"/>
      <c r="O712" s="574"/>
    </row>
    <row r="713" ht="13.5" customHeight="1">
      <c r="A713" s="572"/>
      <c r="B713" s="572"/>
      <c r="C713" s="572"/>
      <c r="D713" s="584"/>
      <c r="E713" s="570"/>
      <c r="F713" s="570"/>
      <c r="G713" s="572"/>
      <c r="H713" s="572"/>
      <c r="I713" s="572"/>
      <c r="J713" s="572"/>
      <c r="K713" s="572"/>
      <c r="L713" s="572"/>
      <c r="M713" s="572"/>
      <c r="N713" s="572"/>
      <c r="O713" s="574"/>
    </row>
    <row r="714" ht="13.5" customHeight="1">
      <c r="A714" s="572"/>
      <c r="B714" s="572"/>
      <c r="C714" s="572"/>
      <c r="D714" s="584"/>
      <c r="E714" s="570"/>
      <c r="F714" s="570"/>
      <c r="G714" s="572"/>
      <c r="H714" s="572"/>
      <c r="I714" s="572"/>
      <c r="J714" s="572"/>
      <c r="K714" s="572"/>
      <c r="L714" s="572"/>
      <c r="M714" s="572"/>
      <c r="N714" s="572"/>
      <c r="O714" s="574"/>
    </row>
    <row r="715" ht="13.5" customHeight="1">
      <c r="A715" s="572"/>
      <c r="B715" s="572"/>
      <c r="C715" s="572"/>
      <c r="D715" s="584"/>
      <c r="E715" s="570"/>
      <c r="F715" s="570"/>
      <c r="G715" s="572"/>
      <c r="H715" s="572"/>
      <c r="I715" s="572"/>
      <c r="J715" s="572"/>
      <c r="K715" s="572"/>
      <c r="L715" s="572"/>
      <c r="M715" s="572"/>
      <c r="N715" s="572"/>
      <c r="O715" s="574"/>
    </row>
    <row r="716" ht="13.5" customHeight="1">
      <c r="A716" s="572"/>
      <c r="B716" s="572"/>
      <c r="C716" s="572"/>
      <c r="D716" s="584"/>
      <c r="E716" s="570"/>
      <c r="F716" s="570"/>
      <c r="G716" s="572"/>
      <c r="H716" s="572"/>
      <c r="I716" s="572"/>
      <c r="J716" s="572"/>
      <c r="K716" s="572"/>
      <c r="L716" s="572"/>
      <c r="M716" s="572"/>
      <c r="N716" s="572"/>
      <c r="O716" s="574"/>
    </row>
    <row r="717" ht="13.5" customHeight="1">
      <c r="A717" s="572"/>
      <c r="B717" s="572"/>
      <c r="C717" s="572"/>
      <c r="D717" s="584"/>
      <c r="E717" s="570"/>
      <c r="F717" s="570"/>
      <c r="G717" s="572"/>
      <c r="H717" s="572"/>
      <c r="I717" s="572"/>
      <c r="J717" s="572"/>
      <c r="K717" s="572"/>
      <c r="L717" s="572"/>
      <c r="M717" s="572"/>
      <c r="N717" s="572"/>
      <c r="O717" s="574"/>
    </row>
    <row r="718" ht="13.5" customHeight="1">
      <c r="A718" s="572"/>
      <c r="B718" s="572"/>
      <c r="C718" s="572"/>
      <c r="D718" s="584"/>
      <c r="E718" s="570"/>
      <c r="F718" s="570"/>
      <c r="G718" s="572"/>
      <c r="H718" s="572"/>
      <c r="I718" s="572"/>
      <c r="J718" s="572"/>
      <c r="K718" s="572"/>
      <c r="L718" s="572"/>
      <c r="M718" s="572"/>
      <c r="N718" s="572"/>
      <c r="O718" s="574"/>
    </row>
    <row r="719" ht="13.5" customHeight="1">
      <c r="A719" s="572"/>
      <c r="B719" s="572"/>
      <c r="C719" s="572"/>
      <c r="D719" s="584"/>
      <c r="E719" s="570"/>
      <c r="F719" s="570"/>
      <c r="G719" s="572"/>
      <c r="H719" s="572"/>
      <c r="I719" s="572"/>
      <c r="J719" s="572"/>
      <c r="K719" s="572"/>
      <c r="L719" s="572"/>
      <c r="M719" s="572"/>
      <c r="N719" s="572"/>
      <c r="O719" s="574"/>
    </row>
    <row r="720" ht="13.5" customHeight="1">
      <c r="A720" s="572"/>
      <c r="B720" s="572"/>
      <c r="C720" s="572"/>
      <c r="D720" s="584"/>
      <c r="E720" s="570"/>
      <c r="F720" s="570"/>
      <c r="G720" s="572"/>
      <c r="H720" s="572"/>
      <c r="I720" s="572"/>
      <c r="J720" s="572"/>
      <c r="K720" s="572"/>
      <c r="L720" s="572"/>
      <c r="M720" s="572"/>
      <c r="N720" s="572"/>
      <c r="O720" s="574"/>
    </row>
    <row r="721" ht="13.5" customHeight="1">
      <c r="A721" s="572"/>
      <c r="B721" s="572"/>
      <c r="C721" s="572"/>
      <c r="D721" s="584"/>
      <c r="E721" s="570"/>
      <c r="F721" s="570"/>
      <c r="G721" s="572"/>
      <c r="H721" s="572"/>
      <c r="I721" s="572"/>
      <c r="J721" s="572"/>
      <c r="K721" s="572"/>
      <c r="L721" s="572"/>
      <c r="M721" s="572"/>
      <c r="N721" s="572"/>
      <c r="O721" s="574"/>
    </row>
    <row r="722" ht="13.5" customHeight="1">
      <c r="A722" s="572"/>
      <c r="B722" s="572"/>
      <c r="C722" s="572"/>
      <c r="D722" s="584"/>
      <c r="E722" s="570"/>
      <c r="F722" s="570"/>
      <c r="G722" s="572"/>
      <c r="H722" s="572"/>
      <c r="I722" s="572"/>
      <c r="J722" s="572"/>
      <c r="K722" s="572"/>
      <c r="L722" s="572"/>
      <c r="M722" s="572"/>
      <c r="N722" s="572"/>
      <c r="O722" s="574"/>
    </row>
    <row r="723" ht="13.5" customHeight="1">
      <c r="A723" s="572"/>
      <c r="B723" s="572"/>
      <c r="C723" s="572"/>
      <c r="D723" s="584"/>
      <c r="E723" s="570"/>
      <c r="F723" s="570"/>
      <c r="G723" s="572"/>
      <c r="H723" s="572"/>
      <c r="I723" s="572"/>
      <c r="J723" s="572"/>
      <c r="K723" s="572"/>
      <c r="L723" s="572"/>
      <c r="M723" s="572"/>
      <c r="N723" s="572"/>
      <c r="O723" s="574"/>
    </row>
    <row r="724" ht="13.5" customHeight="1">
      <c r="A724" s="572"/>
      <c r="B724" s="572"/>
      <c r="C724" s="572"/>
      <c r="D724" s="584"/>
      <c r="E724" s="570"/>
      <c r="F724" s="570"/>
      <c r="G724" s="572"/>
      <c r="H724" s="572"/>
      <c r="I724" s="572"/>
      <c r="J724" s="572"/>
      <c r="K724" s="572"/>
      <c r="L724" s="572"/>
      <c r="M724" s="572"/>
      <c r="N724" s="572"/>
      <c r="O724" s="574"/>
    </row>
    <row r="725" ht="13.5" customHeight="1">
      <c r="A725" s="572"/>
      <c r="B725" s="572"/>
      <c r="C725" s="572"/>
      <c r="D725" s="584"/>
      <c r="E725" s="570"/>
      <c r="F725" s="570"/>
      <c r="G725" s="572"/>
      <c r="H725" s="572"/>
      <c r="I725" s="572"/>
      <c r="J725" s="572"/>
      <c r="K725" s="572"/>
      <c r="L725" s="572"/>
      <c r="M725" s="572"/>
      <c r="N725" s="572"/>
      <c r="O725" s="574"/>
    </row>
    <row r="726" ht="13.5" customHeight="1">
      <c r="A726" s="572"/>
      <c r="B726" s="572"/>
      <c r="C726" s="572"/>
      <c r="D726" s="584"/>
      <c r="E726" s="570"/>
      <c r="F726" s="570"/>
      <c r="G726" s="572"/>
      <c r="H726" s="572"/>
      <c r="I726" s="572"/>
      <c r="J726" s="572"/>
      <c r="K726" s="572"/>
      <c r="L726" s="572"/>
      <c r="M726" s="572"/>
      <c r="N726" s="572"/>
      <c r="O726" s="574"/>
    </row>
    <row r="727" ht="13.5" customHeight="1">
      <c r="A727" s="572"/>
      <c r="B727" s="572"/>
      <c r="C727" s="572"/>
      <c r="D727" s="584"/>
      <c r="E727" s="570"/>
      <c r="F727" s="570"/>
      <c r="G727" s="572"/>
      <c r="H727" s="572"/>
      <c r="I727" s="572"/>
      <c r="J727" s="572"/>
      <c r="K727" s="572"/>
      <c r="L727" s="572"/>
      <c r="M727" s="572"/>
      <c r="N727" s="572"/>
      <c r="O727" s="574"/>
    </row>
    <row r="728" ht="13.5" customHeight="1">
      <c r="A728" s="572"/>
      <c r="B728" s="572"/>
      <c r="C728" s="572"/>
      <c r="D728" s="584"/>
      <c r="E728" s="570"/>
      <c r="F728" s="570"/>
      <c r="G728" s="572"/>
      <c r="H728" s="572"/>
      <c r="I728" s="572"/>
      <c r="J728" s="572"/>
      <c r="K728" s="572"/>
      <c r="L728" s="572"/>
      <c r="M728" s="572"/>
      <c r="N728" s="572"/>
      <c r="O728" s="574"/>
    </row>
    <row r="729" ht="13.5" customHeight="1">
      <c r="A729" s="572"/>
      <c r="B729" s="572"/>
      <c r="C729" s="572"/>
      <c r="D729" s="584"/>
      <c r="E729" s="570"/>
      <c r="F729" s="570"/>
      <c r="G729" s="572"/>
      <c r="H729" s="572"/>
      <c r="I729" s="572"/>
      <c r="J729" s="572"/>
      <c r="K729" s="572"/>
      <c r="L729" s="572"/>
      <c r="M729" s="572"/>
      <c r="N729" s="572"/>
      <c r="O729" s="574"/>
    </row>
    <row r="730" ht="13.5" customHeight="1">
      <c r="A730" s="572"/>
      <c r="B730" s="572"/>
      <c r="C730" s="572"/>
      <c r="D730" s="584"/>
      <c r="E730" s="570"/>
      <c r="F730" s="570"/>
      <c r="G730" s="572"/>
      <c r="H730" s="572"/>
      <c r="I730" s="572"/>
      <c r="J730" s="572"/>
      <c r="K730" s="572"/>
      <c r="L730" s="572"/>
      <c r="M730" s="572"/>
      <c r="N730" s="572"/>
      <c r="O730" s="574"/>
    </row>
    <row r="731" ht="13.5" customHeight="1">
      <c r="A731" s="572"/>
      <c r="B731" s="572"/>
      <c r="C731" s="572"/>
      <c r="D731" s="584"/>
      <c r="E731" s="570"/>
      <c r="F731" s="570"/>
      <c r="G731" s="572"/>
      <c r="H731" s="572"/>
      <c r="I731" s="572"/>
      <c r="J731" s="572"/>
      <c r="K731" s="572"/>
      <c r="L731" s="572"/>
      <c r="M731" s="572"/>
      <c r="N731" s="572"/>
      <c r="O731" s="574"/>
    </row>
    <row r="732" ht="13.5" customHeight="1">
      <c r="A732" s="572"/>
      <c r="B732" s="572"/>
      <c r="C732" s="572"/>
      <c r="D732" s="584"/>
      <c r="E732" s="570"/>
      <c r="F732" s="570"/>
      <c r="G732" s="572"/>
      <c r="H732" s="572"/>
      <c r="I732" s="572"/>
      <c r="J732" s="572"/>
      <c r="K732" s="572"/>
      <c r="L732" s="572"/>
      <c r="M732" s="572"/>
      <c r="N732" s="572"/>
      <c r="O732" s="574"/>
    </row>
    <row r="733" ht="13.5" customHeight="1">
      <c r="A733" s="572"/>
      <c r="B733" s="572"/>
      <c r="C733" s="572"/>
      <c r="D733" s="584"/>
      <c r="E733" s="570"/>
      <c r="F733" s="570"/>
      <c r="G733" s="572"/>
      <c r="H733" s="572"/>
      <c r="I733" s="572"/>
      <c r="J733" s="572"/>
      <c r="K733" s="572"/>
      <c r="L733" s="572"/>
      <c r="M733" s="572"/>
      <c r="N733" s="572"/>
      <c r="O733" s="574"/>
    </row>
    <row r="734" ht="13.5" customHeight="1">
      <c r="A734" s="572"/>
      <c r="B734" s="572"/>
      <c r="C734" s="572"/>
      <c r="D734" s="584"/>
      <c r="E734" s="570"/>
      <c r="F734" s="570"/>
      <c r="G734" s="572"/>
      <c r="H734" s="572"/>
      <c r="I734" s="572"/>
      <c r="J734" s="572"/>
      <c r="K734" s="572"/>
      <c r="L734" s="572"/>
      <c r="M734" s="572"/>
      <c r="N734" s="572"/>
      <c r="O734" s="574"/>
    </row>
    <row r="735" ht="13.5" customHeight="1">
      <c r="A735" s="572"/>
      <c r="B735" s="572"/>
      <c r="C735" s="572"/>
      <c r="D735" s="584"/>
      <c r="E735" s="570"/>
      <c r="F735" s="570"/>
      <c r="G735" s="572"/>
      <c r="H735" s="572"/>
      <c r="I735" s="572"/>
      <c r="J735" s="572"/>
      <c r="K735" s="572"/>
      <c r="L735" s="572"/>
      <c r="M735" s="572"/>
      <c r="N735" s="572"/>
      <c r="O735" s="574"/>
    </row>
    <row r="736" ht="13.5" customHeight="1">
      <c r="A736" s="572"/>
      <c r="B736" s="572"/>
      <c r="C736" s="572"/>
      <c r="D736" s="584"/>
      <c r="E736" s="570"/>
      <c r="F736" s="570"/>
      <c r="G736" s="572"/>
      <c r="H736" s="572"/>
      <c r="I736" s="572"/>
      <c r="J736" s="572"/>
      <c r="K736" s="572"/>
      <c r="L736" s="572"/>
      <c r="M736" s="572"/>
      <c r="N736" s="572"/>
      <c r="O736" s="574"/>
    </row>
    <row r="737" ht="13.5" customHeight="1">
      <c r="A737" s="572"/>
      <c r="B737" s="572"/>
      <c r="C737" s="572"/>
      <c r="D737" s="584"/>
      <c r="E737" s="570"/>
      <c r="F737" s="570"/>
      <c r="G737" s="572"/>
      <c r="H737" s="572"/>
      <c r="I737" s="572"/>
      <c r="J737" s="572"/>
      <c r="K737" s="572"/>
      <c r="L737" s="572"/>
      <c r="M737" s="572"/>
      <c r="N737" s="572"/>
      <c r="O737" s="574"/>
    </row>
    <row r="738" ht="13.5" customHeight="1">
      <c r="A738" s="572"/>
      <c r="B738" s="572"/>
      <c r="C738" s="572"/>
      <c r="D738" s="584"/>
      <c r="E738" s="570"/>
      <c r="F738" s="570"/>
      <c r="G738" s="572"/>
      <c r="H738" s="572"/>
      <c r="I738" s="572"/>
      <c r="J738" s="572"/>
      <c r="K738" s="572"/>
      <c r="L738" s="572"/>
      <c r="M738" s="572"/>
      <c r="N738" s="572"/>
      <c r="O738" s="574"/>
    </row>
    <row r="739" ht="13.5" customHeight="1">
      <c r="A739" s="572"/>
      <c r="B739" s="572"/>
      <c r="C739" s="572"/>
      <c r="D739" s="584"/>
      <c r="E739" s="570"/>
      <c r="F739" s="570"/>
      <c r="G739" s="572"/>
      <c r="H739" s="572"/>
      <c r="I739" s="572"/>
      <c r="J739" s="572"/>
      <c r="K739" s="572"/>
      <c r="L739" s="572"/>
      <c r="M739" s="572"/>
      <c r="N739" s="572"/>
      <c r="O739" s="574"/>
    </row>
    <row r="740" ht="13.5" customHeight="1">
      <c r="A740" s="572"/>
      <c r="B740" s="572"/>
      <c r="C740" s="572"/>
      <c r="D740" s="584"/>
      <c r="E740" s="570"/>
      <c r="F740" s="570"/>
      <c r="G740" s="572"/>
      <c r="H740" s="572"/>
      <c r="I740" s="572"/>
      <c r="J740" s="572"/>
      <c r="K740" s="572"/>
      <c r="L740" s="572"/>
      <c r="M740" s="572"/>
      <c r="N740" s="572"/>
      <c r="O740" s="574"/>
    </row>
    <row r="741" ht="13.5" customHeight="1">
      <c r="A741" s="572"/>
      <c r="B741" s="572"/>
      <c r="C741" s="572"/>
      <c r="D741" s="584"/>
      <c r="E741" s="570"/>
      <c r="F741" s="570"/>
      <c r="G741" s="572"/>
      <c r="H741" s="572"/>
      <c r="I741" s="572"/>
      <c r="J741" s="572"/>
      <c r="K741" s="572"/>
      <c r="L741" s="572"/>
      <c r="M741" s="572"/>
      <c r="N741" s="572"/>
      <c r="O741" s="574"/>
    </row>
    <row r="742" ht="13.5" customHeight="1">
      <c r="A742" s="572"/>
      <c r="B742" s="572"/>
      <c r="C742" s="572"/>
      <c r="D742" s="584"/>
      <c r="E742" s="570"/>
      <c r="F742" s="570"/>
      <c r="G742" s="572"/>
      <c r="H742" s="572"/>
      <c r="I742" s="572"/>
      <c r="J742" s="572"/>
      <c r="K742" s="572"/>
      <c r="L742" s="572"/>
      <c r="M742" s="572"/>
      <c r="N742" s="572"/>
      <c r="O742" s="574"/>
    </row>
    <row r="743" ht="13.5" customHeight="1">
      <c r="A743" s="572"/>
      <c r="B743" s="572"/>
      <c r="C743" s="572"/>
      <c r="D743" s="584"/>
      <c r="E743" s="570"/>
      <c r="F743" s="570"/>
      <c r="G743" s="572"/>
      <c r="H743" s="572"/>
      <c r="I743" s="572"/>
      <c r="J743" s="572"/>
      <c r="K743" s="572"/>
      <c r="L743" s="572"/>
      <c r="M743" s="572"/>
      <c r="N743" s="572"/>
      <c r="O743" s="574"/>
    </row>
    <row r="744" ht="13.5" customHeight="1">
      <c r="A744" s="572"/>
      <c r="B744" s="572"/>
      <c r="C744" s="572"/>
      <c r="D744" s="584"/>
      <c r="E744" s="570"/>
      <c r="F744" s="570"/>
      <c r="G744" s="572"/>
      <c r="H744" s="572"/>
      <c r="I744" s="572"/>
      <c r="J744" s="572"/>
      <c r="K744" s="572"/>
      <c r="L744" s="572"/>
      <c r="M744" s="572"/>
      <c r="N744" s="572"/>
      <c r="O744" s="574"/>
    </row>
    <row r="745" ht="13.5" customHeight="1">
      <c r="A745" s="572"/>
      <c r="B745" s="572"/>
      <c r="C745" s="572"/>
      <c r="D745" s="584"/>
      <c r="E745" s="570"/>
      <c r="F745" s="570"/>
      <c r="G745" s="572"/>
      <c r="H745" s="572"/>
      <c r="I745" s="572"/>
      <c r="J745" s="572"/>
      <c r="K745" s="572"/>
      <c r="L745" s="572"/>
      <c r="M745" s="572"/>
      <c r="N745" s="572"/>
      <c r="O745" s="574"/>
    </row>
    <row r="746" ht="13.5" customHeight="1">
      <c r="A746" s="572"/>
      <c r="B746" s="572"/>
      <c r="C746" s="572"/>
      <c r="D746" s="584"/>
      <c r="E746" s="570"/>
      <c r="F746" s="570"/>
      <c r="G746" s="572"/>
      <c r="H746" s="572"/>
      <c r="I746" s="572"/>
      <c r="J746" s="572"/>
      <c r="K746" s="572"/>
      <c r="L746" s="572"/>
      <c r="M746" s="572"/>
      <c r="N746" s="572"/>
      <c r="O746" s="574"/>
    </row>
    <row r="747" ht="13.5" customHeight="1">
      <c r="A747" s="572"/>
      <c r="B747" s="572"/>
      <c r="C747" s="572"/>
      <c r="D747" s="584"/>
      <c r="E747" s="570"/>
      <c r="F747" s="570"/>
      <c r="G747" s="572"/>
      <c r="H747" s="572"/>
      <c r="I747" s="572"/>
      <c r="J747" s="572"/>
      <c r="K747" s="572"/>
      <c r="L747" s="572"/>
      <c r="M747" s="572"/>
      <c r="N747" s="572"/>
      <c r="O747" s="574"/>
    </row>
    <row r="748" ht="13.5" customHeight="1">
      <c r="A748" s="572"/>
      <c r="B748" s="572"/>
      <c r="C748" s="572"/>
      <c r="D748" s="584"/>
      <c r="E748" s="570"/>
      <c r="F748" s="570"/>
      <c r="G748" s="572"/>
      <c r="H748" s="572"/>
      <c r="I748" s="572"/>
      <c r="J748" s="572"/>
      <c r="K748" s="572"/>
      <c r="L748" s="572"/>
      <c r="M748" s="572"/>
      <c r="N748" s="572"/>
      <c r="O748" s="574"/>
    </row>
    <row r="749" ht="13.5" customHeight="1">
      <c r="A749" s="572"/>
      <c r="B749" s="572"/>
      <c r="C749" s="572"/>
      <c r="D749" s="584"/>
      <c r="E749" s="570"/>
      <c r="F749" s="570"/>
      <c r="G749" s="572"/>
      <c r="H749" s="572"/>
      <c r="I749" s="572"/>
      <c r="J749" s="572"/>
      <c r="K749" s="572"/>
      <c r="L749" s="572"/>
      <c r="M749" s="572"/>
      <c r="N749" s="572"/>
      <c r="O749" s="574"/>
    </row>
    <row r="750" ht="13.5" customHeight="1">
      <c r="A750" s="572"/>
      <c r="B750" s="572"/>
      <c r="C750" s="572"/>
      <c r="D750" s="584"/>
      <c r="E750" s="570"/>
      <c r="F750" s="570"/>
      <c r="G750" s="572"/>
      <c r="H750" s="572"/>
      <c r="I750" s="572"/>
      <c r="J750" s="572"/>
      <c r="K750" s="572"/>
      <c r="L750" s="572"/>
      <c r="M750" s="572"/>
      <c r="N750" s="572"/>
      <c r="O750" s="574"/>
    </row>
    <row r="751" ht="13.5" customHeight="1">
      <c r="A751" s="572"/>
      <c r="B751" s="572"/>
      <c r="C751" s="572"/>
      <c r="D751" s="584"/>
      <c r="E751" s="570"/>
      <c r="F751" s="570"/>
      <c r="G751" s="572"/>
      <c r="H751" s="572"/>
      <c r="I751" s="572"/>
      <c r="J751" s="572"/>
      <c r="K751" s="572"/>
      <c r="L751" s="572"/>
      <c r="M751" s="572"/>
      <c r="N751" s="572"/>
      <c r="O751" s="574"/>
    </row>
    <row r="752" ht="13.5" customHeight="1">
      <c r="A752" s="572"/>
      <c r="B752" s="572"/>
      <c r="C752" s="572"/>
      <c r="D752" s="584"/>
      <c r="E752" s="570"/>
      <c r="F752" s="570"/>
      <c r="G752" s="572"/>
      <c r="H752" s="572"/>
      <c r="I752" s="572"/>
      <c r="J752" s="572"/>
      <c r="K752" s="572"/>
      <c r="L752" s="572"/>
      <c r="M752" s="572"/>
      <c r="N752" s="572"/>
      <c r="O752" s="574"/>
    </row>
    <row r="753" ht="13.5" customHeight="1">
      <c r="A753" s="572"/>
      <c r="B753" s="572"/>
      <c r="C753" s="572"/>
      <c r="D753" s="584"/>
      <c r="E753" s="570"/>
      <c r="F753" s="570"/>
      <c r="G753" s="572"/>
      <c r="H753" s="572"/>
      <c r="I753" s="572"/>
      <c r="J753" s="572"/>
      <c r="K753" s="572"/>
      <c r="L753" s="572"/>
      <c r="M753" s="572"/>
      <c r="N753" s="572"/>
      <c r="O753" s="574"/>
    </row>
    <row r="754" ht="13.5" customHeight="1">
      <c r="A754" s="572"/>
      <c r="B754" s="572"/>
      <c r="C754" s="572"/>
      <c r="D754" s="584"/>
      <c r="E754" s="570"/>
      <c r="F754" s="570"/>
      <c r="G754" s="572"/>
      <c r="H754" s="572"/>
      <c r="I754" s="572"/>
      <c r="J754" s="572"/>
      <c r="K754" s="572"/>
      <c r="L754" s="572"/>
      <c r="M754" s="572"/>
      <c r="N754" s="572"/>
      <c r="O754" s="574"/>
    </row>
    <row r="755" ht="13.5" customHeight="1">
      <c r="A755" s="572"/>
      <c r="B755" s="572"/>
      <c r="C755" s="572"/>
      <c r="D755" s="584"/>
      <c r="E755" s="570"/>
      <c r="F755" s="570"/>
      <c r="G755" s="572"/>
      <c r="H755" s="572"/>
      <c r="I755" s="572"/>
      <c r="J755" s="572"/>
      <c r="K755" s="572"/>
      <c r="L755" s="572"/>
      <c r="M755" s="572"/>
      <c r="N755" s="572"/>
      <c r="O755" s="574"/>
    </row>
    <row r="756" ht="13.5" customHeight="1">
      <c r="A756" s="572"/>
      <c r="B756" s="572"/>
      <c r="C756" s="572"/>
      <c r="D756" s="584"/>
      <c r="E756" s="570"/>
      <c r="F756" s="570"/>
      <c r="G756" s="572"/>
      <c r="H756" s="572"/>
      <c r="I756" s="572"/>
      <c r="J756" s="572"/>
      <c r="K756" s="572"/>
      <c r="L756" s="572"/>
      <c r="M756" s="572"/>
      <c r="N756" s="572"/>
      <c r="O756" s="574"/>
    </row>
    <row r="757" ht="13.5" customHeight="1">
      <c r="A757" s="572"/>
      <c r="B757" s="572"/>
      <c r="C757" s="572"/>
      <c r="D757" s="584"/>
      <c r="E757" s="570"/>
      <c r="F757" s="570"/>
      <c r="G757" s="572"/>
      <c r="H757" s="572"/>
      <c r="I757" s="572"/>
      <c r="J757" s="572"/>
      <c r="K757" s="572"/>
      <c r="L757" s="572"/>
      <c r="M757" s="572"/>
      <c r="N757" s="572"/>
      <c r="O757" s="574"/>
    </row>
    <row r="758" ht="13.5" customHeight="1">
      <c r="A758" s="572"/>
      <c r="B758" s="572"/>
      <c r="C758" s="572"/>
      <c r="D758" s="584"/>
      <c r="E758" s="570"/>
      <c r="F758" s="570"/>
      <c r="G758" s="572"/>
      <c r="H758" s="572"/>
      <c r="I758" s="572"/>
      <c r="J758" s="572"/>
      <c r="K758" s="572"/>
      <c r="L758" s="572"/>
      <c r="M758" s="572"/>
      <c r="N758" s="572"/>
      <c r="O758" s="574"/>
    </row>
    <row r="759" ht="13.5" customHeight="1">
      <c r="A759" s="572"/>
      <c r="B759" s="572"/>
      <c r="C759" s="572"/>
      <c r="D759" s="584"/>
      <c r="E759" s="570"/>
      <c r="F759" s="570"/>
      <c r="G759" s="572"/>
      <c r="H759" s="572"/>
      <c r="I759" s="572"/>
      <c r="J759" s="572"/>
      <c r="K759" s="572"/>
      <c r="L759" s="572"/>
      <c r="M759" s="572"/>
      <c r="N759" s="572"/>
      <c r="O759" s="574"/>
    </row>
    <row r="760" ht="13.5" customHeight="1">
      <c r="A760" s="572"/>
      <c r="B760" s="572"/>
      <c r="C760" s="572"/>
      <c r="D760" s="584"/>
      <c r="E760" s="570"/>
      <c r="F760" s="570"/>
      <c r="G760" s="572"/>
      <c r="H760" s="572"/>
      <c r="I760" s="572"/>
      <c r="J760" s="572"/>
      <c r="K760" s="572"/>
      <c r="L760" s="572"/>
      <c r="M760" s="572"/>
      <c r="N760" s="572"/>
      <c r="O760" s="574"/>
    </row>
    <row r="761" ht="13.5" customHeight="1">
      <c r="A761" s="572"/>
      <c r="B761" s="572"/>
      <c r="C761" s="572"/>
      <c r="D761" s="584"/>
      <c r="E761" s="570"/>
      <c r="F761" s="570"/>
      <c r="G761" s="572"/>
      <c r="H761" s="572"/>
      <c r="I761" s="572"/>
      <c r="J761" s="572"/>
      <c r="K761" s="572"/>
      <c r="L761" s="572"/>
      <c r="M761" s="572"/>
      <c r="N761" s="572"/>
      <c r="O761" s="574"/>
    </row>
    <row r="762" ht="13.5" customHeight="1">
      <c r="A762" s="572"/>
      <c r="B762" s="572"/>
      <c r="C762" s="572"/>
      <c r="D762" s="584"/>
      <c r="E762" s="570"/>
      <c r="F762" s="570"/>
      <c r="G762" s="572"/>
      <c r="H762" s="572"/>
      <c r="I762" s="572"/>
      <c r="J762" s="572"/>
      <c r="K762" s="572"/>
      <c r="L762" s="572"/>
      <c r="M762" s="572"/>
      <c r="N762" s="572"/>
      <c r="O762" s="574"/>
    </row>
    <row r="763" ht="13.5" customHeight="1">
      <c r="A763" s="572"/>
      <c r="B763" s="572"/>
      <c r="C763" s="572"/>
      <c r="D763" s="584"/>
      <c r="E763" s="570"/>
      <c r="F763" s="570"/>
      <c r="G763" s="572"/>
      <c r="H763" s="572"/>
      <c r="I763" s="572"/>
      <c r="J763" s="572"/>
      <c r="K763" s="572"/>
      <c r="L763" s="572"/>
      <c r="M763" s="572"/>
      <c r="N763" s="572"/>
      <c r="O763" s="574"/>
    </row>
    <row r="764" ht="13.5" customHeight="1">
      <c r="A764" s="572"/>
      <c r="B764" s="572"/>
      <c r="C764" s="572"/>
      <c r="D764" s="584"/>
      <c r="E764" s="570"/>
      <c r="F764" s="570"/>
      <c r="G764" s="572"/>
      <c r="H764" s="572"/>
      <c r="I764" s="572"/>
      <c r="J764" s="572"/>
      <c r="K764" s="572"/>
      <c r="L764" s="572"/>
      <c r="M764" s="572"/>
      <c r="N764" s="572"/>
      <c r="O764" s="574"/>
    </row>
    <row r="765" ht="13.5" customHeight="1">
      <c r="A765" s="572"/>
      <c r="B765" s="572"/>
      <c r="C765" s="572"/>
      <c r="D765" s="584"/>
      <c r="E765" s="570"/>
      <c r="F765" s="570"/>
      <c r="G765" s="572"/>
      <c r="H765" s="572"/>
      <c r="I765" s="572"/>
      <c r="J765" s="572"/>
      <c r="K765" s="572"/>
      <c r="L765" s="572"/>
      <c r="M765" s="572"/>
      <c r="N765" s="572"/>
      <c r="O765" s="574"/>
    </row>
    <row r="766" ht="13.5" customHeight="1">
      <c r="A766" s="572"/>
      <c r="B766" s="572"/>
      <c r="C766" s="572"/>
      <c r="D766" s="584"/>
      <c r="E766" s="570"/>
      <c r="F766" s="570"/>
      <c r="G766" s="572"/>
      <c r="H766" s="572"/>
      <c r="I766" s="572"/>
      <c r="J766" s="572"/>
      <c r="K766" s="572"/>
      <c r="L766" s="572"/>
      <c r="M766" s="572"/>
      <c r="N766" s="572"/>
      <c r="O766" s="574"/>
    </row>
    <row r="767" ht="13.5" customHeight="1">
      <c r="A767" s="572"/>
      <c r="B767" s="572"/>
      <c r="C767" s="572"/>
      <c r="D767" s="584"/>
      <c r="E767" s="570"/>
      <c r="F767" s="570"/>
      <c r="G767" s="572"/>
      <c r="H767" s="572"/>
      <c r="I767" s="572"/>
      <c r="J767" s="572"/>
      <c r="K767" s="572"/>
      <c r="L767" s="572"/>
      <c r="M767" s="572"/>
      <c r="N767" s="572"/>
      <c r="O767" s="574"/>
    </row>
    <row r="768" ht="13.5" customHeight="1">
      <c r="A768" s="572"/>
      <c r="B768" s="572"/>
      <c r="C768" s="572"/>
      <c r="D768" s="584"/>
      <c r="E768" s="570"/>
      <c r="F768" s="570"/>
      <c r="G768" s="572"/>
      <c r="H768" s="572"/>
      <c r="I768" s="572"/>
      <c r="J768" s="572"/>
      <c r="K768" s="572"/>
      <c r="L768" s="572"/>
      <c r="M768" s="572"/>
      <c r="N768" s="572"/>
      <c r="O768" s="574"/>
    </row>
    <row r="769" ht="13.5" customHeight="1">
      <c r="A769" s="572"/>
      <c r="B769" s="572"/>
      <c r="C769" s="572"/>
      <c r="D769" s="584"/>
      <c r="E769" s="570"/>
      <c r="F769" s="570"/>
      <c r="G769" s="572"/>
      <c r="H769" s="572"/>
      <c r="I769" s="572"/>
      <c r="J769" s="572"/>
      <c r="K769" s="572"/>
      <c r="L769" s="572"/>
      <c r="M769" s="572"/>
      <c r="N769" s="572"/>
      <c r="O769" s="574"/>
    </row>
    <row r="770" ht="13.5" customHeight="1">
      <c r="A770" s="572"/>
      <c r="B770" s="572"/>
      <c r="C770" s="572"/>
      <c r="D770" s="584"/>
      <c r="E770" s="570"/>
      <c r="F770" s="570"/>
      <c r="G770" s="572"/>
      <c r="H770" s="572"/>
      <c r="I770" s="572"/>
      <c r="J770" s="572"/>
      <c r="K770" s="572"/>
      <c r="L770" s="572"/>
      <c r="M770" s="572"/>
      <c r="N770" s="572"/>
      <c r="O770" s="574"/>
    </row>
    <row r="771" ht="13.5" customHeight="1">
      <c r="A771" s="572"/>
      <c r="B771" s="572"/>
      <c r="C771" s="572"/>
      <c r="D771" s="584"/>
      <c r="E771" s="570"/>
      <c r="F771" s="570"/>
      <c r="G771" s="572"/>
      <c r="H771" s="572"/>
      <c r="I771" s="572"/>
      <c r="J771" s="572"/>
      <c r="K771" s="572"/>
      <c r="L771" s="572"/>
      <c r="M771" s="572"/>
      <c r="N771" s="572"/>
      <c r="O771" s="574"/>
    </row>
    <row r="772" ht="13.5" customHeight="1">
      <c r="A772" s="572"/>
      <c r="B772" s="572"/>
      <c r="C772" s="572"/>
      <c r="D772" s="584"/>
      <c r="E772" s="570"/>
      <c r="F772" s="570"/>
      <c r="G772" s="572"/>
      <c r="H772" s="572"/>
      <c r="I772" s="572"/>
      <c r="J772" s="572"/>
      <c r="K772" s="572"/>
      <c r="L772" s="572"/>
      <c r="M772" s="572"/>
      <c r="N772" s="572"/>
      <c r="O772" s="574"/>
    </row>
    <row r="773" ht="13.5" customHeight="1">
      <c r="A773" s="572"/>
      <c r="B773" s="572"/>
      <c r="C773" s="572"/>
      <c r="D773" s="584"/>
      <c r="E773" s="570"/>
      <c r="F773" s="570"/>
      <c r="G773" s="572"/>
      <c r="H773" s="572"/>
      <c r="I773" s="572"/>
      <c r="J773" s="572"/>
      <c r="K773" s="572"/>
      <c r="L773" s="572"/>
      <c r="M773" s="572"/>
      <c r="N773" s="572"/>
      <c r="O773" s="574"/>
    </row>
    <row r="774" ht="13.5" customHeight="1">
      <c r="A774" s="572"/>
      <c r="B774" s="572"/>
      <c r="C774" s="572"/>
      <c r="D774" s="584"/>
      <c r="E774" s="570"/>
      <c r="F774" s="570"/>
      <c r="G774" s="572"/>
      <c r="H774" s="572"/>
      <c r="I774" s="572"/>
      <c r="J774" s="572"/>
      <c r="K774" s="572"/>
      <c r="L774" s="572"/>
      <c r="M774" s="572"/>
      <c r="N774" s="572"/>
      <c r="O774" s="574"/>
    </row>
    <row r="775" ht="13.5" customHeight="1">
      <c r="A775" s="572"/>
      <c r="B775" s="572"/>
      <c r="C775" s="572"/>
      <c r="D775" s="584"/>
      <c r="E775" s="570"/>
      <c r="F775" s="570"/>
      <c r="G775" s="572"/>
      <c r="H775" s="572"/>
      <c r="I775" s="572"/>
      <c r="J775" s="572"/>
      <c r="K775" s="572"/>
      <c r="L775" s="572"/>
      <c r="M775" s="572"/>
      <c r="N775" s="572"/>
      <c r="O775" s="574"/>
    </row>
    <row r="776" ht="13.5" customHeight="1">
      <c r="A776" s="572"/>
      <c r="B776" s="572"/>
      <c r="C776" s="572"/>
      <c r="D776" s="584"/>
      <c r="E776" s="570"/>
      <c r="F776" s="570"/>
      <c r="G776" s="572"/>
      <c r="H776" s="572"/>
      <c r="I776" s="572"/>
      <c r="J776" s="572"/>
      <c r="K776" s="572"/>
      <c r="L776" s="572"/>
      <c r="M776" s="572"/>
      <c r="N776" s="572"/>
      <c r="O776" s="574"/>
    </row>
    <row r="777" ht="13.5" customHeight="1">
      <c r="A777" s="572"/>
      <c r="B777" s="572"/>
      <c r="C777" s="572"/>
      <c r="D777" s="584"/>
      <c r="E777" s="570"/>
      <c r="F777" s="570"/>
      <c r="G777" s="572"/>
      <c r="H777" s="572"/>
      <c r="I777" s="572"/>
      <c r="J777" s="572"/>
      <c r="K777" s="572"/>
      <c r="L777" s="572"/>
      <c r="M777" s="572"/>
      <c r="N777" s="572"/>
      <c r="O777" s="574"/>
    </row>
    <row r="778" ht="13.5" customHeight="1">
      <c r="A778" s="572"/>
      <c r="B778" s="572"/>
      <c r="C778" s="572"/>
      <c r="D778" s="584"/>
      <c r="E778" s="570"/>
      <c r="F778" s="570"/>
      <c r="G778" s="572"/>
      <c r="H778" s="572"/>
      <c r="I778" s="572"/>
      <c r="J778" s="572"/>
      <c r="K778" s="572"/>
      <c r="L778" s="572"/>
      <c r="M778" s="572"/>
      <c r="N778" s="572"/>
      <c r="O778" s="574"/>
    </row>
    <row r="779" ht="13.5" customHeight="1">
      <c r="A779" s="572"/>
      <c r="B779" s="572"/>
      <c r="C779" s="572"/>
      <c r="D779" s="584"/>
      <c r="E779" s="570"/>
      <c r="F779" s="570"/>
      <c r="G779" s="572"/>
      <c r="H779" s="572"/>
      <c r="I779" s="572"/>
      <c r="J779" s="572"/>
      <c r="K779" s="572"/>
      <c r="L779" s="572"/>
      <c r="M779" s="572"/>
      <c r="N779" s="572"/>
      <c r="O779" s="574"/>
    </row>
    <row r="780" ht="13.5" customHeight="1">
      <c r="A780" s="572"/>
      <c r="B780" s="572"/>
      <c r="C780" s="572"/>
      <c r="D780" s="584"/>
      <c r="E780" s="570"/>
      <c r="F780" s="570"/>
      <c r="G780" s="572"/>
      <c r="H780" s="572"/>
      <c r="I780" s="572"/>
      <c r="J780" s="572"/>
      <c r="K780" s="572"/>
      <c r="L780" s="572"/>
      <c r="M780" s="572"/>
      <c r="N780" s="572"/>
      <c r="O780" s="574"/>
    </row>
    <row r="781" ht="13.5" customHeight="1">
      <c r="A781" s="572"/>
      <c r="B781" s="572"/>
      <c r="C781" s="572"/>
      <c r="D781" s="584"/>
      <c r="E781" s="570"/>
      <c r="F781" s="570"/>
      <c r="G781" s="572"/>
      <c r="H781" s="572"/>
      <c r="I781" s="572"/>
      <c r="J781" s="572"/>
      <c r="K781" s="572"/>
      <c r="L781" s="572"/>
      <c r="M781" s="572"/>
      <c r="N781" s="572"/>
      <c r="O781" s="574"/>
    </row>
    <row r="782" ht="13.5" customHeight="1">
      <c r="A782" s="572"/>
      <c r="B782" s="572"/>
      <c r="C782" s="572"/>
      <c r="D782" s="584"/>
      <c r="E782" s="570"/>
      <c r="F782" s="570"/>
      <c r="G782" s="572"/>
      <c r="H782" s="572"/>
      <c r="I782" s="572"/>
      <c r="J782" s="572"/>
      <c r="K782" s="572"/>
      <c r="L782" s="572"/>
      <c r="M782" s="572"/>
      <c r="N782" s="572"/>
      <c r="O782" s="574"/>
    </row>
    <row r="783" ht="13.5" customHeight="1">
      <c r="A783" s="572"/>
      <c r="B783" s="572"/>
      <c r="C783" s="572"/>
      <c r="D783" s="584"/>
      <c r="E783" s="570"/>
      <c r="F783" s="570"/>
      <c r="G783" s="572"/>
      <c r="H783" s="572"/>
      <c r="I783" s="572"/>
      <c r="J783" s="572"/>
      <c r="K783" s="572"/>
      <c r="L783" s="572"/>
      <c r="M783" s="572"/>
      <c r="N783" s="572"/>
      <c r="O783" s="574"/>
    </row>
    <row r="784" ht="13.5" customHeight="1">
      <c r="A784" s="572"/>
      <c r="B784" s="572"/>
      <c r="C784" s="572"/>
      <c r="D784" s="584"/>
      <c r="E784" s="570"/>
      <c r="F784" s="570"/>
      <c r="G784" s="572"/>
      <c r="H784" s="572"/>
      <c r="I784" s="572"/>
      <c r="J784" s="572"/>
      <c r="K784" s="572"/>
      <c r="L784" s="572"/>
      <c r="M784" s="572"/>
      <c r="N784" s="572"/>
      <c r="O784" s="574"/>
    </row>
    <row r="785" ht="13.5" customHeight="1">
      <c r="A785" s="572"/>
      <c r="B785" s="572"/>
      <c r="C785" s="572"/>
      <c r="D785" s="584"/>
      <c r="E785" s="570"/>
      <c r="F785" s="570"/>
      <c r="G785" s="572"/>
      <c r="H785" s="572"/>
      <c r="I785" s="572"/>
      <c r="J785" s="572"/>
      <c r="K785" s="572"/>
      <c r="L785" s="572"/>
      <c r="M785" s="572"/>
      <c r="N785" s="572"/>
      <c r="O785" s="574"/>
    </row>
    <row r="786" ht="13.5" customHeight="1">
      <c r="A786" s="572"/>
      <c r="B786" s="572"/>
      <c r="C786" s="572"/>
      <c r="D786" s="584"/>
      <c r="E786" s="570"/>
      <c r="F786" s="570"/>
      <c r="G786" s="572"/>
      <c r="H786" s="572"/>
      <c r="I786" s="572"/>
      <c r="J786" s="572"/>
      <c r="K786" s="572"/>
      <c r="L786" s="572"/>
      <c r="M786" s="572"/>
      <c r="N786" s="572"/>
      <c r="O786" s="574"/>
    </row>
    <row r="787" ht="13.5" customHeight="1">
      <c r="A787" s="572"/>
      <c r="B787" s="572"/>
      <c r="C787" s="572"/>
      <c r="D787" s="584"/>
      <c r="E787" s="570"/>
      <c r="F787" s="570"/>
      <c r="G787" s="572"/>
      <c r="H787" s="572"/>
      <c r="I787" s="572"/>
      <c r="J787" s="572"/>
      <c r="K787" s="572"/>
      <c r="L787" s="572"/>
      <c r="M787" s="572"/>
      <c r="N787" s="572"/>
      <c r="O787" s="574"/>
    </row>
    <row r="788" ht="13.5" customHeight="1">
      <c r="A788" s="572"/>
      <c r="B788" s="572"/>
      <c r="C788" s="572"/>
      <c r="D788" s="584"/>
      <c r="E788" s="570"/>
      <c r="F788" s="570"/>
      <c r="G788" s="572"/>
      <c r="H788" s="572"/>
      <c r="I788" s="572"/>
      <c r="J788" s="572"/>
      <c r="K788" s="572"/>
      <c r="L788" s="572"/>
      <c r="M788" s="572"/>
      <c r="N788" s="572"/>
      <c r="O788" s="574"/>
    </row>
    <row r="789" ht="13.5" customHeight="1">
      <c r="A789" s="572"/>
      <c r="B789" s="572"/>
      <c r="C789" s="572"/>
      <c r="D789" s="584"/>
      <c r="E789" s="570"/>
      <c r="F789" s="570"/>
      <c r="G789" s="572"/>
      <c r="H789" s="572"/>
      <c r="I789" s="572"/>
      <c r="J789" s="572"/>
      <c r="K789" s="572"/>
      <c r="L789" s="572"/>
      <c r="M789" s="572"/>
      <c r="N789" s="572"/>
      <c r="O789" s="574"/>
    </row>
    <row r="790" ht="13.5" customHeight="1">
      <c r="A790" s="572"/>
      <c r="B790" s="572"/>
      <c r="C790" s="572"/>
      <c r="D790" s="584"/>
      <c r="E790" s="570"/>
      <c r="F790" s="570"/>
      <c r="G790" s="572"/>
      <c r="H790" s="572"/>
      <c r="I790" s="572"/>
      <c r="J790" s="572"/>
      <c r="K790" s="572"/>
      <c r="L790" s="572"/>
      <c r="M790" s="572"/>
      <c r="N790" s="572"/>
      <c r="O790" s="574"/>
    </row>
    <row r="791" ht="13.5" customHeight="1">
      <c r="A791" s="572"/>
      <c r="B791" s="572"/>
      <c r="C791" s="572"/>
      <c r="D791" s="584"/>
      <c r="E791" s="570"/>
      <c r="F791" s="570"/>
      <c r="G791" s="572"/>
      <c r="H791" s="572"/>
      <c r="I791" s="572"/>
      <c r="J791" s="572"/>
      <c r="K791" s="572"/>
      <c r="L791" s="572"/>
      <c r="M791" s="572"/>
      <c r="N791" s="572"/>
      <c r="O791" s="574"/>
    </row>
    <row r="792" ht="13.5" customHeight="1">
      <c r="A792" s="572"/>
      <c r="B792" s="572"/>
      <c r="C792" s="572"/>
      <c r="D792" s="584"/>
      <c r="E792" s="570"/>
      <c r="F792" s="570"/>
      <c r="G792" s="572"/>
      <c r="H792" s="572"/>
      <c r="I792" s="572"/>
      <c r="J792" s="572"/>
      <c r="K792" s="572"/>
      <c r="L792" s="572"/>
      <c r="M792" s="572"/>
      <c r="N792" s="572"/>
      <c r="O792" s="574"/>
    </row>
    <row r="793" ht="13.5" customHeight="1">
      <c r="A793" s="572"/>
      <c r="B793" s="572"/>
      <c r="C793" s="572"/>
      <c r="D793" s="584"/>
      <c r="E793" s="570"/>
      <c r="F793" s="570"/>
      <c r="G793" s="572"/>
      <c r="H793" s="572"/>
      <c r="I793" s="572"/>
      <c r="J793" s="572"/>
      <c r="K793" s="572"/>
      <c r="L793" s="572"/>
      <c r="M793" s="572"/>
      <c r="N793" s="572"/>
      <c r="O793" s="574"/>
    </row>
    <row r="794" ht="13.5" customHeight="1">
      <c r="A794" s="572"/>
      <c r="B794" s="572"/>
      <c r="C794" s="572"/>
      <c r="D794" s="584"/>
      <c r="E794" s="570"/>
      <c r="F794" s="570"/>
      <c r="G794" s="572"/>
      <c r="H794" s="572"/>
      <c r="I794" s="572"/>
      <c r="J794" s="572"/>
      <c r="K794" s="572"/>
      <c r="L794" s="572"/>
      <c r="M794" s="572"/>
      <c r="N794" s="572"/>
      <c r="O794" s="574"/>
    </row>
    <row r="795" ht="13.5" customHeight="1">
      <c r="A795" s="572"/>
      <c r="B795" s="572"/>
      <c r="C795" s="572"/>
      <c r="D795" s="584"/>
      <c r="E795" s="570"/>
      <c r="F795" s="570"/>
      <c r="G795" s="572"/>
      <c r="H795" s="572"/>
      <c r="I795" s="572"/>
      <c r="J795" s="572"/>
      <c r="K795" s="572"/>
      <c r="L795" s="572"/>
      <c r="M795" s="572"/>
      <c r="N795" s="572"/>
      <c r="O795" s="574"/>
    </row>
    <row r="796" ht="13.5" customHeight="1">
      <c r="A796" s="572"/>
      <c r="B796" s="572"/>
      <c r="C796" s="572"/>
      <c r="D796" s="584"/>
      <c r="E796" s="570"/>
      <c r="F796" s="570"/>
      <c r="G796" s="572"/>
      <c r="H796" s="572"/>
      <c r="I796" s="572"/>
      <c r="J796" s="572"/>
      <c r="K796" s="572"/>
      <c r="L796" s="572"/>
      <c r="M796" s="572"/>
      <c r="N796" s="572"/>
      <c r="O796" s="574"/>
    </row>
    <row r="797" ht="13.5" customHeight="1">
      <c r="A797" s="572"/>
      <c r="B797" s="572"/>
      <c r="C797" s="572"/>
      <c r="D797" s="584"/>
      <c r="E797" s="570"/>
      <c r="F797" s="570"/>
      <c r="G797" s="572"/>
      <c r="H797" s="572"/>
      <c r="I797" s="572"/>
      <c r="J797" s="572"/>
      <c r="K797" s="572"/>
      <c r="L797" s="572"/>
      <c r="M797" s="572"/>
      <c r="N797" s="572"/>
      <c r="O797" s="574"/>
    </row>
    <row r="798" ht="13.5" customHeight="1">
      <c r="A798" s="572"/>
      <c r="B798" s="572"/>
      <c r="C798" s="572"/>
      <c r="D798" s="584"/>
      <c r="E798" s="570"/>
      <c r="F798" s="570"/>
      <c r="G798" s="572"/>
      <c r="H798" s="572"/>
      <c r="I798" s="572"/>
      <c r="J798" s="572"/>
      <c r="K798" s="572"/>
      <c r="L798" s="572"/>
      <c r="M798" s="572"/>
      <c r="N798" s="572"/>
      <c r="O798" s="574"/>
    </row>
    <row r="799" ht="13.5" customHeight="1">
      <c r="A799" s="572"/>
      <c r="B799" s="572"/>
      <c r="C799" s="572"/>
      <c r="D799" s="584"/>
      <c r="E799" s="570"/>
      <c r="F799" s="570"/>
      <c r="G799" s="572"/>
      <c r="H799" s="572"/>
      <c r="I799" s="572"/>
      <c r="J799" s="572"/>
      <c r="K799" s="572"/>
      <c r="L799" s="572"/>
      <c r="M799" s="572"/>
      <c r="N799" s="572"/>
      <c r="O799" s="574"/>
    </row>
    <row r="800" ht="13.5" customHeight="1">
      <c r="A800" s="572"/>
      <c r="B800" s="572"/>
      <c r="C800" s="572"/>
      <c r="D800" s="584"/>
      <c r="E800" s="570"/>
      <c r="F800" s="570"/>
      <c r="G800" s="572"/>
      <c r="H800" s="572"/>
      <c r="I800" s="572"/>
      <c r="J800" s="572"/>
      <c r="K800" s="572"/>
      <c r="L800" s="572"/>
      <c r="M800" s="572"/>
      <c r="N800" s="572"/>
      <c r="O800" s="574"/>
    </row>
    <row r="801" ht="13.5" customHeight="1">
      <c r="A801" s="572"/>
      <c r="B801" s="572"/>
      <c r="C801" s="572"/>
      <c r="D801" s="584"/>
      <c r="E801" s="570"/>
      <c r="F801" s="570"/>
      <c r="G801" s="572"/>
      <c r="H801" s="572"/>
      <c r="I801" s="572"/>
      <c r="J801" s="572"/>
      <c r="K801" s="572"/>
      <c r="L801" s="572"/>
      <c r="M801" s="572"/>
      <c r="N801" s="572"/>
      <c r="O801" s="574"/>
    </row>
    <row r="802" ht="13.5" customHeight="1">
      <c r="A802" s="572"/>
      <c r="B802" s="572"/>
      <c r="C802" s="572"/>
      <c r="D802" s="584"/>
      <c r="E802" s="570"/>
      <c r="F802" s="570"/>
      <c r="G802" s="572"/>
      <c r="H802" s="572"/>
      <c r="I802" s="572"/>
      <c r="J802" s="572"/>
      <c r="K802" s="572"/>
      <c r="L802" s="572"/>
      <c r="M802" s="572"/>
      <c r="N802" s="572"/>
      <c r="O802" s="574"/>
    </row>
    <row r="803" ht="13.5" customHeight="1">
      <c r="A803" s="572"/>
      <c r="B803" s="572"/>
      <c r="C803" s="572"/>
      <c r="D803" s="584"/>
      <c r="E803" s="570"/>
      <c r="F803" s="570"/>
      <c r="G803" s="572"/>
      <c r="H803" s="572"/>
      <c r="I803" s="572"/>
      <c r="J803" s="572"/>
      <c r="K803" s="572"/>
      <c r="L803" s="572"/>
      <c r="M803" s="572"/>
      <c r="N803" s="572"/>
      <c r="O803" s="574"/>
    </row>
    <row r="804" ht="13.5" customHeight="1">
      <c r="A804" s="572"/>
      <c r="B804" s="572"/>
      <c r="C804" s="572"/>
      <c r="D804" s="584"/>
      <c r="E804" s="570"/>
      <c r="F804" s="570"/>
      <c r="G804" s="572"/>
      <c r="H804" s="572"/>
      <c r="I804" s="572"/>
      <c r="J804" s="572"/>
      <c r="K804" s="572"/>
      <c r="L804" s="572"/>
      <c r="M804" s="572"/>
      <c r="N804" s="572"/>
      <c r="O804" s="574"/>
    </row>
    <row r="805" ht="13.5" customHeight="1">
      <c r="A805" s="572"/>
      <c r="B805" s="572"/>
      <c r="C805" s="572"/>
      <c r="D805" s="584"/>
      <c r="E805" s="570"/>
      <c r="F805" s="570"/>
      <c r="G805" s="572"/>
      <c r="H805" s="572"/>
      <c r="I805" s="572"/>
      <c r="J805" s="572"/>
      <c r="K805" s="572"/>
      <c r="L805" s="572"/>
      <c r="M805" s="572"/>
      <c r="N805" s="572"/>
      <c r="O805" s="574"/>
    </row>
    <row r="806" ht="13.5" customHeight="1">
      <c r="A806" s="572"/>
      <c r="B806" s="572"/>
      <c r="C806" s="572"/>
      <c r="D806" s="584"/>
      <c r="E806" s="570"/>
      <c r="F806" s="570"/>
      <c r="G806" s="572"/>
      <c r="H806" s="572"/>
      <c r="I806" s="572"/>
      <c r="J806" s="572"/>
      <c r="K806" s="572"/>
      <c r="L806" s="572"/>
      <c r="M806" s="572"/>
      <c r="N806" s="572"/>
      <c r="O806" s="574"/>
    </row>
    <row r="807" ht="13.5" customHeight="1">
      <c r="A807" s="572"/>
      <c r="B807" s="572"/>
      <c r="C807" s="572"/>
      <c r="D807" s="584"/>
      <c r="E807" s="570"/>
      <c r="F807" s="570"/>
      <c r="G807" s="572"/>
      <c r="H807" s="572"/>
      <c r="I807" s="572"/>
      <c r="J807" s="572"/>
      <c r="K807" s="572"/>
      <c r="L807" s="572"/>
      <c r="M807" s="572"/>
      <c r="N807" s="572"/>
      <c r="O807" s="574"/>
    </row>
    <row r="808" ht="13.5" customHeight="1">
      <c r="A808" s="572"/>
      <c r="B808" s="572"/>
      <c r="C808" s="572"/>
      <c r="D808" s="584"/>
      <c r="E808" s="570"/>
      <c r="F808" s="570"/>
      <c r="G808" s="572"/>
      <c r="H808" s="572"/>
      <c r="I808" s="572"/>
      <c r="J808" s="572"/>
      <c r="K808" s="572"/>
      <c r="L808" s="572"/>
      <c r="M808" s="572"/>
      <c r="N808" s="572"/>
      <c r="O808" s="574"/>
    </row>
    <row r="809" ht="13.5" customHeight="1">
      <c r="A809" s="572"/>
      <c r="B809" s="572"/>
      <c r="C809" s="572"/>
      <c r="D809" s="584"/>
      <c r="E809" s="570"/>
      <c r="F809" s="570"/>
      <c r="G809" s="572"/>
      <c r="H809" s="572"/>
      <c r="I809" s="572"/>
      <c r="J809" s="572"/>
      <c r="K809" s="572"/>
      <c r="L809" s="572"/>
      <c r="M809" s="572"/>
      <c r="N809" s="572"/>
      <c r="O809" s="574"/>
    </row>
    <row r="810" ht="13.5" customHeight="1">
      <c r="A810" s="572"/>
      <c r="B810" s="572"/>
      <c r="C810" s="572"/>
      <c r="D810" s="584"/>
      <c r="E810" s="570"/>
      <c r="F810" s="570"/>
      <c r="G810" s="572"/>
      <c r="H810" s="572"/>
      <c r="I810" s="572"/>
      <c r="J810" s="572"/>
      <c r="K810" s="572"/>
      <c r="L810" s="572"/>
      <c r="M810" s="572"/>
      <c r="N810" s="572"/>
      <c r="O810" s="574"/>
    </row>
    <row r="811" ht="13.5" customHeight="1">
      <c r="A811" s="572"/>
      <c r="B811" s="572"/>
      <c r="C811" s="572"/>
      <c r="D811" s="584"/>
      <c r="E811" s="570"/>
      <c r="F811" s="570"/>
      <c r="G811" s="572"/>
      <c r="H811" s="572"/>
      <c r="I811" s="572"/>
      <c r="J811" s="572"/>
      <c r="K811" s="572"/>
      <c r="L811" s="572"/>
      <c r="M811" s="572"/>
      <c r="N811" s="572"/>
      <c r="O811" s="574"/>
    </row>
    <row r="812" ht="13.5" customHeight="1">
      <c r="A812" s="572"/>
      <c r="B812" s="572"/>
      <c r="C812" s="572"/>
      <c r="D812" s="584"/>
      <c r="E812" s="570"/>
      <c r="F812" s="570"/>
      <c r="G812" s="572"/>
      <c r="H812" s="572"/>
      <c r="I812" s="572"/>
      <c r="J812" s="572"/>
      <c r="K812" s="572"/>
      <c r="L812" s="572"/>
      <c r="M812" s="572"/>
      <c r="N812" s="572"/>
      <c r="O812" s="574"/>
    </row>
    <row r="813" ht="13.5" customHeight="1">
      <c r="A813" s="572"/>
      <c r="B813" s="572"/>
      <c r="C813" s="572"/>
      <c r="D813" s="584"/>
      <c r="E813" s="570"/>
      <c r="F813" s="570"/>
      <c r="G813" s="572"/>
      <c r="H813" s="572"/>
      <c r="I813" s="572"/>
      <c r="J813" s="572"/>
      <c r="K813" s="572"/>
      <c r="L813" s="572"/>
      <c r="M813" s="572"/>
      <c r="N813" s="572"/>
      <c r="O813" s="574"/>
    </row>
    <row r="814" ht="13.5" customHeight="1">
      <c r="A814" s="572"/>
      <c r="B814" s="572"/>
      <c r="C814" s="572"/>
      <c r="D814" s="584"/>
      <c r="E814" s="570"/>
      <c r="F814" s="570"/>
      <c r="G814" s="572"/>
      <c r="H814" s="572"/>
      <c r="I814" s="572"/>
      <c r="J814" s="572"/>
      <c r="K814" s="572"/>
      <c r="L814" s="572"/>
      <c r="M814" s="572"/>
      <c r="N814" s="572"/>
      <c r="O814" s="574"/>
    </row>
    <row r="815" ht="13.5" customHeight="1">
      <c r="A815" s="572"/>
      <c r="B815" s="572"/>
      <c r="C815" s="572"/>
      <c r="D815" s="584"/>
      <c r="E815" s="570"/>
      <c r="F815" s="570"/>
      <c r="G815" s="572"/>
      <c r="H815" s="572"/>
      <c r="I815" s="572"/>
      <c r="J815" s="572"/>
      <c r="K815" s="572"/>
      <c r="L815" s="572"/>
      <c r="M815" s="572"/>
      <c r="N815" s="572"/>
      <c r="O815" s="574"/>
    </row>
    <row r="816" ht="13.5" customHeight="1">
      <c r="A816" s="572"/>
      <c r="B816" s="572"/>
      <c r="C816" s="572"/>
      <c r="D816" s="584"/>
      <c r="E816" s="570"/>
      <c r="F816" s="570"/>
      <c r="G816" s="572"/>
      <c r="H816" s="572"/>
      <c r="I816" s="572"/>
      <c r="J816" s="572"/>
      <c r="K816" s="572"/>
      <c r="L816" s="572"/>
      <c r="M816" s="572"/>
      <c r="N816" s="572"/>
      <c r="O816" s="574"/>
    </row>
    <row r="817" ht="13.5" customHeight="1">
      <c r="A817" s="572"/>
      <c r="B817" s="572"/>
      <c r="C817" s="572"/>
      <c r="D817" s="584"/>
      <c r="E817" s="570"/>
      <c r="F817" s="570"/>
      <c r="G817" s="572"/>
      <c r="H817" s="572"/>
      <c r="I817" s="572"/>
      <c r="J817" s="572"/>
      <c r="K817" s="572"/>
      <c r="L817" s="572"/>
      <c r="M817" s="572"/>
      <c r="N817" s="572"/>
      <c r="O817" s="574"/>
    </row>
    <row r="818" ht="13.5" customHeight="1">
      <c r="A818" s="572"/>
      <c r="B818" s="572"/>
      <c r="C818" s="572"/>
      <c r="D818" s="584"/>
      <c r="E818" s="570"/>
      <c r="F818" s="570"/>
      <c r="G818" s="572"/>
      <c r="H818" s="572"/>
      <c r="I818" s="572"/>
      <c r="J818" s="572"/>
      <c r="K818" s="572"/>
      <c r="L818" s="572"/>
      <c r="M818" s="572"/>
      <c r="N818" s="572"/>
      <c r="O818" s="574"/>
    </row>
    <row r="819" ht="13.5" customHeight="1">
      <c r="A819" s="572"/>
      <c r="B819" s="572"/>
      <c r="C819" s="572"/>
      <c r="D819" s="584"/>
      <c r="E819" s="570"/>
      <c r="F819" s="570"/>
      <c r="G819" s="572"/>
      <c r="H819" s="572"/>
      <c r="I819" s="572"/>
      <c r="J819" s="572"/>
      <c r="K819" s="572"/>
      <c r="L819" s="572"/>
      <c r="M819" s="572"/>
      <c r="N819" s="572"/>
      <c r="O819" s="574"/>
    </row>
    <row r="820" ht="13.5" customHeight="1">
      <c r="A820" s="572"/>
      <c r="B820" s="572"/>
      <c r="C820" s="572"/>
      <c r="D820" s="584"/>
      <c r="E820" s="570"/>
      <c r="F820" s="570"/>
      <c r="G820" s="572"/>
      <c r="H820" s="572"/>
      <c r="I820" s="572"/>
      <c r="J820" s="572"/>
      <c r="K820" s="572"/>
      <c r="L820" s="572"/>
      <c r="M820" s="572"/>
      <c r="N820" s="572"/>
      <c r="O820" s="574"/>
    </row>
    <row r="821" ht="13.5" customHeight="1">
      <c r="A821" s="572"/>
      <c r="B821" s="572"/>
      <c r="C821" s="572"/>
      <c r="D821" s="584"/>
      <c r="E821" s="570"/>
      <c r="F821" s="570"/>
      <c r="G821" s="572"/>
      <c r="H821" s="572"/>
      <c r="I821" s="572"/>
      <c r="J821" s="572"/>
      <c r="K821" s="572"/>
      <c r="L821" s="572"/>
      <c r="M821" s="572"/>
      <c r="N821" s="572"/>
      <c r="O821" s="574"/>
    </row>
    <row r="822" ht="13.5" customHeight="1">
      <c r="A822" s="572"/>
      <c r="B822" s="572"/>
      <c r="C822" s="572"/>
      <c r="D822" s="584"/>
      <c r="E822" s="570"/>
      <c r="F822" s="570"/>
      <c r="G822" s="572"/>
      <c r="H822" s="572"/>
      <c r="I822" s="572"/>
      <c r="J822" s="572"/>
      <c r="K822" s="572"/>
      <c r="L822" s="572"/>
      <c r="M822" s="572"/>
      <c r="N822" s="572"/>
      <c r="O822" s="574"/>
    </row>
    <row r="823" ht="13.5" customHeight="1">
      <c r="A823" s="572"/>
      <c r="B823" s="572"/>
      <c r="C823" s="572"/>
      <c r="D823" s="584"/>
      <c r="E823" s="570"/>
      <c r="F823" s="570"/>
      <c r="G823" s="572"/>
      <c r="H823" s="572"/>
      <c r="I823" s="572"/>
      <c r="J823" s="572"/>
      <c r="K823" s="572"/>
      <c r="L823" s="572"/>
      <c r="M823" s="572"/>
      <c r="N823" s="572"/>
      <c r="O823" s="574"/>
    </row>
    <row r="824" ht="13.5" customHeight="1">
      <c r="A824" s="572"/>
      <c r="B824" s="572"/>
      <c r="C824" s="572"/>
      <c r="D824" s="584"/>
      <c r="E824" s="570"/>
      <c r="F824" s="570"/>
      <c r="G824" s="572"/>
      <c r="H824" s="572"/>
      <c r="I824" s="572"/>
      <c r="J824" s="572"/>
      <c r="K824" s="572"/>
      <c r="L824" s="572"/>
      <c r="M824" s="572"/>
      <c r="N824" s="572"/>
      <c r="O824" s="574"/>
    </row>
    <row r="825" ht="13.5" customHeight="1">
      <c r="A825" s="572"/>
      <c r="B825" s="572"/>
      <c r="C825" s="572"/>
      <c r="D825" s="584"/>
      <c r="E825" s="570"/>
      <c r="F825" s="570"/>
      <c r="G825" s="572"/>
      <c r="H825" s="572"/>
      <c r="I825" s="572"/>
      <c r="J825" s="572"/>
      <c r="K825" s="572"/>
      <c r="L825" s="572"/>
      <c r="M825" s="572"/>
      <c r="N825" s="572"/>
      <c r="O825" s="574"/>
    </row>
    <row r="826" ht="13.5" customHeight="1">
      <c r="A826" s="572"/>
      <c r="B826" s="572"/>
      <c r="C826" s="572"/>
      <c r="D826" s="584"/>
      <c r="E826" s="570"/>
      <c r="F826" s="570"/>
      <c r="G826" s="572"/>
      <c r="H826" s="572"/>
      <c r="I826" s="572"/>
      <c r="J826" s="572"/>
      <c r="K826" s="572"/>
      <c r="L826" s="572"/>
      <c r="M826" s="572"/>
      <c r="N826" s="572"/>
      <c r="O826" s="574"/>
    </row>
    <row r="827" ht="13.5" customHeight="1">
      <c r="A827" s="572"/>
      <c r="B827" s="572"/>
      <c r="C827" s="572"/>
      <c r="D827" s="584"/>
      <c r="E827" s="570"/>
      <c r="F827" s="570"/>
      <c r="G827" s="572"/>
      <c r="H827" s="572"/>
      <c r="I827" s="572"/>
      <c r="J827" s="572"/>
      <c r="K827" s="572"/>
      <c r="L827" s="572"/>
      <c r="M827" s="572"/>
      <c r="N827" s="572"/>
      <c r="O827" s="574"/>
    </row>
    <row r="828" ht="13.5" customHeight="1">
      <c r="A828" s="572"/>
      <c r="B828" s="572"/>
      <c r="C828" s="572"/>
      <c r="D828" s="584"/>
      <c r="E828" s="570"/>
      <c r="F828" s="570"/>
      <c r="G828" s="572"/>
      <c r="H828" s="572"/>
      <c r="I828" s="572"/>
      <c r="J828" s="572"/>
      <c r="K828" s="572"/>
      <c r="L828" s="572"/>
      <c r="M828" s="572"/>
      <c r="N828" s="572"/>
      <c r="O828" s="574"/>
    </row>
    <row r="829" ht="13.5" customHeight="1">
      <c r="A829" s="572"/>
      <c r="B829" s="572"/>
      <c r="C829" s="572"/>
      <c r="D829" s="584"/>
      <c r="E829" s="570"/>
      <c r="F829" s="570"/>
      <c r="G829" s="572"/>
      <c r="H829" s="572"/>
      <c r="I829" s="572"/>
      <c r="J829" s="572"/>
      <c r="K829" s="572"/>
      <c r="L829" s="572"/>
      <c r="M829" s="572"/>
      <c r="N829" s="572"/>
      <c r="O829" s="574"/>
    </row>
    <row r="830" ht="13.5" customHeight="1">
      <c r="A830" s="572"/>
      <c r="B830" s="572"/>
      <c r="C830" s="572"/>
      <c r="D830" s="584"/>
      <c r="E830" s="570"/>
      <c r="F830" s="570"/>
      <c r="G830" s="572"/>
      <c r="H830" s="572"/>
      <c r="I830" s="572"/>
      <c r="J830" s="572"/>
      <c r="K830" s="572"/>
      <c r="L830" s="572"/>
      <c r="M830" s="572"/>
      <c r="N830" s="572"/>
      <c r="O830" s="574"/>
    </row>
    <row r="831" ht="13.5" customHeight="1">
      <c r="A831" s="572"/>
      <c r="B831" s="572"/>
      <c r="C831" s="572"/>
      <c r="D831" s="584"/>
      <c r="E831" s="570"/>
      <c r="F831" s="570"/>
      <c r="G831" s="572"/>
      <c r="H831" s="572"/>
      <c r="I831" s="572"/>
      <c r="J831" s="572"/>
      <c r="K831" s="572"/>
      <c r="L831" s="572"/>
      <c r="M831" s="572"/>
      <c r="N831" s="572"/>
      <c r="O831" s="574"/>
    </row>
    <row r="832" ht="13.5" customHeight="1">
      <c r="A832" s="572"/>
      <c r="B832" s="572"/>
      <c r="C832" s="572"/>
      <c r="D832" s="584"/>
      <c r="E832" s="570"/>
      <c r="F832" s="570"/>
      <c r="G832" s="572"/>
      <c r="H832" s="572"/>
      <c r="I832" s="572"/>
      <c r="J832" s="572"/>
      <c r="K832" s="572"/>
      <c r="L832" s="572"/>
      <c r="M832" s="572"/>
      <c r="N832" s="572"/>
      <c r="O832" s="574"/>
    </row>
    <row r="833" ht="13.5" customHeight="1">
      <c r="A833" s="572"/>
      <c r="B833" s="572"/>
      <c r="C833" s="572"/>
      <c r="D833" s="584"/>
      <c r="E833" s="570"/>
      <c r="F833" s="570"/>
      <c r="G833" s="572"/>
      <c r="H833" s="572"/>
      <c r="I833" s="572"/>
      <c r="J833" s="572"/>
      <c r="K833" s="572"/>
      <c r="L833" s="572"/>
      <c r="M833" s="572"/>
      <c r="N833" s="572"/>
      <c r="O833" s="574"/>
    </row>
    <row r="834" ht="13.5" customHeight="1">
      <c r="A834" s="572"/>
      <c r="B834" s="572"/>
      <c r="C834" s="572"/>
      <c r="D834" s="584"/>
      <c r="E834" s="570"/>
      <c r="F834" s="570"/>
      <c r="G834" s="572"/>
      <c r="H834" s="572"/>
      <c r="I834" s="572"/>
      <c r="J834" s="572"/>
      <c r="K834" s="572"/>
      <c r="L834" s="572"/>
      <c r="M834" s="572"/>
      <c r="N834" s="572"/>
      <c r="O834" s="574"/>
    </row>
    <row r="835" ht="13.5" customHeight="1">
      <c r="A835" s="572"/>
      <c r="B835" s="572"/>
      <c r="C835" s="572"/>
      <c r="D835" s="584"/>
      <c r="E835" s="570"/>
      <c r="F835" s="570"/>
      <c r="G835" s="572"/>
      <c r="H835" s="572"/>
      <c r="I835" s="572"/>
      <c r="J835" s="572"/>
      <c r="K835" s="572"/>
      <c r="L835" s="572"/>
      <c r="M835" s="572"/>
      <c r="N835" s="572"/>
      <c r="O835" s="574"/>
    </row>
    <row r="836" ht="13.5" customHeight="1">
      <c r="A836" s="572"/>
      <c r="B836" s="572"/>
      <c r="C836" s="572"/>
      <c r="D836" s="584"/>
      <c r="E836" s="570"/>
      <c r="F836" s="570"/>
      <c r="G836" s="572"/>
      <c r="H836" s="572"/>
      <c r="I836" s="572"/>
      <c r="J836" s="572"/>
      <c r="K836" s="572"/>
      <c r="L836" s="572"/>
      <c r="M836" s="572"/>
      <c r="N836" s="572"/>
      <c r="O836" s="574"/>
    </row>
    <row r="837" ht="13.5" customHeight="1">
      <c r="A837" s="572"/>
      <c r="B837" s="572"/>
      <c r="C837" s="572"/>
      <c r="D837" s="584"/>
      <c r="E837" s="570"/>
      <c r="F837" s="570"/>
      <c r="G837" s="572"/>
      <c r="H837" s="572"/>
      <c r="I837" s="572"/>
      <c r="J837" s="572"/>
      <c r="K837" s="572"/>
      <c r="L837" s="572"/>
      <c r="M837" s="572"/>
      <c r="N837" s="572"/>
      <c r="O837" s="574"/>
    </row>
    <row r="838" ht="13.5" customHeight="1">
      <c r="A838" s="572"/>
      <c r="B838" s="572"/>
      <c r="C838" s="572"/>
      <c r="D838" s="584"/>
      <c r="E838" s="570"/>
      <c r="F838" s="570"/>
      <c r="G838" s="572"/>
      <c r="H838" s="572"/>
      <c r="I838" s="572"/>
      <c r="J838" s="572"/>
      <c r="K838" s="572"/>
      <c r="L838" s="572"/>
      <c r="M838" s="572"/>
      <c r="N838" s="572"/>
      <c r="O838" s="574"/>
    </row>
    <row r="839" ht="13.5" customHeight="1">
      <c r="A839" s="572"/>
      <c r="B839" s="572"/>
      <c r="C839" s="572"/>
      <c r="D839" s="584"/>
      <c r="E839" s="570"/>
      <c r="F839" s="570"/>
      <c r="G839" s="572"/>
      <c r="H839" s="572"/>
      <c r="I839" s="572"/>
      <c r="J839" s="572"/>
      <c r="K839" s="572"/>
      <c r="L839" s="572"/>
      <c r="M839" s="572"/>
      <c r="N839" s="572"/>
      <c r="O839" s="574"/>
    </row>
    <row r="840" ht="13.5" customHeight="1">
      <c r="A840" s="572"/>
      <c r="B840" s="572"/>
      <c r="C840" s="572"/>
      <c r="D840" s="584"/>
      <c r="E840" s="570"/>
      <c r="F840" s="570"/>
      <c r="G840" s="572"/>
      <c r="H840" s="572"/>
      <c r="I840" s="572"/>
      <c r="J840" s="572"/>
      <c r="K840" s="572"/>
      <c r="L840" s="572"/>
      <c r="M840" s="572"/>
      <c r="N840" s="572"/>
      <c r="O840" s="574"/>
    </row>
    <row r="841" ht="13.5" customHeight="1">
      <c r="A841" s="572"/>
      <c r="B841" s="572"/>
      <c r="C841" s="572"/>
      <c r="D841" s="584"/>
      <c r="E841" s="570"/>
      <c r="F841" s="570"/>
      <c r="G841" s="572"/>
      <c r="H841" s="572"/>
      <c r="I841" s="572"/>
      <c r="J841" s="572"/>
      <c r="K841" s="572"/>
      <c r="L841" s="572"/>
      <c r="M841" s="572"/>
      <c r="N841" s="572"/>
      <c r="O841" s="574"/>
    </row>
    <row r="842" ht="13.5" customHeight="1">
      <c r="A842" s="572"/>
      <c r="B842" s="572"/>
      <c r="C842" s="572"/>
      <c r="D842" s="584"/>
      <c r="E842" s="570"/>
      <c r="F842" s="570"/>
      <c r="G842" s="572"/>
      <c r="H842" s="572"/>
      <c r="I842" s="572"/>
      <c r="J842" s="572"/>
      <c r="K842" s="572"/>
      <c r="L842" s="572"/>
      <c r="M842" s="572"/>
      <c r="N842" s="572"/>
      <c r="O842" s="574"/>
    </row>
    <row r="843" ht="13.5" customHeight="1">
      <c r="A843" s="572"/>
      <c r="B843" s="572"/>
      <c r="C843" s="572"/>
      <c r="D843" s="584"/>
      <c r="E843" s="570"/>
      <c r="F843" s="570"/>
      <c r="G843" s="572"/>
      <c r="H843" s="572"/>
      <c r="I843" s="572"/>
      <c r="J843" s="572"/>
      <c r="K843" s="572"/>
      <c r="L843" s="572"/>
      <c r="M843" s="572"/>
      <c r="N843" s="572"/>
      <c r="O843" s="574"/>
    </row>
    <row r="844" ht="13.5" customHeight="1">
      <c r="A844" s="572"/>
      <c r="B844" s="572"/>
      <c r="C844" s="572"/>
      <c r="D844" s="584"/>
      <c r="E844" s="570"/>
      <c r="F844" s="570"/>
      <c r="G844" s="572"/>
      <c r="H844" s="572"/>
      <c r="I844" s="572"/>
      <c r="J844" s="572"/>
      <c r="K844" s="572"/>
      <c r="L844" s="572"/>
      <c r="M844" s="572"/>
      <c r="N844" s="572"/>
      <c r="O844" s="574"/>
    </row>
    <row r="845" ht="13.5" customHeight="1">
      <c r="A845" s="572"/>
      <c r="B845" s="572"/>
      <c r="C845" s="572"/>
      <c r="D845" s="584"/>
      <c r="E845" s="570"/>
      <c r="F845" s="570"/>
      <c r="G845" s="572"/>
      <c r="H845" s="572"/>
      <c r="I845" s="572"/>
      <c r="J845" s="572"/>
      <c r="K845" s="572"/>
      <c r="L845" s="572"/>
      <c r="M845" s="572"/>
      <c r="N845" s="572"/>
      <c r="O845" s="574"/>
    </row>
    <row r="846" ht="13.5" customHeight="1">
      <c r="A846" s="572"/>
      <c r="B846" s="572"/>
      <c r="C846" s="572"/>
      <c r="D846" s="584"/>
      <c r="E846" s="570"/>
      <c r="F846" s="570"/>
      <c r="G846" s="572"/>
      <c r="H846" s="572"/>
      <c r="I846" s="572"/>
      <c r="J846" s="572"/>
      <c r="K846" s="572"/>
      <c r="L846" s="572"/>
      <c r="M846" s="572"/>
      <c r="N846" s="572"/>
      <c r="O846" s="574"/>
    </row>
    <row r="847" ht="13.5" customHeight="1">
      <c r="A847" s="572"/>
      <c r="B847" s="572"/>
      <c r="C847" s="572"/>
      <c r="D847" s="584"/>
      <c r="E847" s="570"/>
      <c r="F847" s="570"/>
      <c r="G847" s="572"/>
      <c r="H847" s="572"/>
      <c r="I847" s="572"/>
      <c r="J847" s="572"/>
      <c r="K847" s="572"/>
      <c r="L847" s="572"/>
      <c r="M847" s="572"/>
      <c r="N847" s="572"/>
      <c r="O847" s="574"/>
    </row>
    <row r="848" ht="13.5" customHeight="1">
      <c r="A848" s="572"/>
      <c r="B848" s="572"/>
      <c r="C848" s="572"/>
      <c r="D848" s="584"/>
      <c r="E848" s="570"/>
      <c r="F848" s="570"/>
      <c r="G848" s="572"/>
      <c r="H848" s="572"/>
      <c r="I848" s="572"/>
      <c r="J848" s="572"/>
      <c r="K848" s="572"/>
      <c r="L848" s="572"/>
      <c r="M848" s="572"/>
      <c r="N848" s="572"/>
      <c r="O848" s="574"/>
    </row>
    <row r="849" ht="13.5" customHeight="1">
      <c r="A849" s="572"/>
      <c r="B849" s="572"/>
      <c r="C849" s="572"/>
      <c r="D849" s="584"/>
      <c r="E849" s="570"/>
      <c r="F849" s="570"/>
      <c r="G849" s="572"/>
      <c r="H849" s="572"/>
      <c r="I849" s="572"/>
      <c r="J849" s="572"/>
      <c r="K849" s="572"/>
      <c r="L849" s="572"/>
      <c r="M849" s="572"/>
      <c r="N849" s="572"/>
      <c r="O849" s="574"/>
    </row>
    <row r="850" ht="13.5" customHeight="1">
      <c r="A850" s="572"/>
      <c r="B850" s="572"/>
      <c r="C850" s="572"/>
      <c r="D850" s="584"/>
      <c r="E850" s="570"/>
      <c r="F850" s="570"/>
      <c r="G850" s="572"/>
      <c r="H850" s="572"/>
      <c r="I850" s="572"/>
      <c r="J850" s="572"/>
      <c r="K850" s="572"/>
      <c r="L850" s="572"/>
      <c r="M850" s="572"/>
      <c r="N850" s="572"/>
      <c r="O850" s="574"/>
    </row>
    <row r="851" ht="13.5" customHeight="1">
      <c r="A851" s="572"/>
      <c r="B851" s="572"/>
      <c r="C851" s="572"/>
      <c r="D851" s="584"/>
      <c r="E851" s="570"/>
      <c r="F851" s="570"/>
      <c r="G851" s="572"/>
      <c r="H851" s="572"/>
      <c r="I851" s="572"/>
      <c r="J851" s="572"/>
      <c r="K851" s="572"/>
      <c r="L851" s="572"/>
      <c r="M851" s="572"/>
      <c r="N851" s="572"/>
      <c r="O851" s="574"/>
    </row>
    <row r="852" ht="13.5" customHeight="1">
      <c r="A852" s="572"/>
      <c r="B852" s="572"/>
      <c r="C852" s="572"/>
      <c r="D852" s="584"/>
      <c r="E852" s="570"/>
      <c r="F852" s="570"/>
      <c r="G852" s="572"/>
      <c r="H852" s="572"/>
      <c r="I852" s="572"/>
      <c r="J852" s="572"/>
      <c r="K852" s="572"/>
      <c r="L852" s="572"/>
      <c r="M852" s="572"/>
      <c r="N852" s="572"/>
      <c r="O852" s="574"/>
    </row>
    <row r="853" ht="13.5" customHeight="1">
      <c r="A853" s="572"/>
      <c r="B853" s="572"/>
      <c r="C853" s="572"/>
      <c r="D853" s="584"/>
      <c r="E853" s="570"/>
      <c r="F853" s="570"/>
      <c r="G853" s="572"/>
      <c r="H853" s="572"/>
      <c r="I853" s="572"/>
      <c r="J853" s="572"/>
      <c r="K853" s="572"/>
      <c r="L853" s="572"/>
      <c r="M853" s="572"/>
      <c r="N853" s="572"/>
      <c r="O853" s="574"/>
    </row>
    <row r="854" ht="13.5" customHeight="1">
      <c r="A854" s="572"/>
      <c r="B854" s="572"/>
      <c r="C854" s="572"/>
      <c r="D854" s="584"/>
      <c r="E854" s="570"/>
      <c r="F854" s="570"/>
      <c r="G854" s="572"/>
      <c r="H854" s="572"/>
      <c r="I854" s="572"/>
      <c r="J854" s="572"/>
      <c r="K854" s="572"/>
      <c r="L854" s="572"/>
      <c r="M854" s="572"/>
      <c r="N854" s="572"/>
      <c r="O854" s="574"/>
    </row>
    <row r="855" ht="13.5" customHeight="1">
      <c r="A855" s="572"/>
      <c r="B855" s="572"/>
      <c r="C855" s="572"/>
      <c r="D855" s="584"/>
      <c r="E855" s="570"/>
      <c r="F855" s="570"/>
      <c r="G855" s="572"/>
      <c r="H855" s="572"/>
      <c r="I855" s="572"/>
      <c r="J855" s="572"/>
      <c r="K855" s="572"/>
      <c r="L855" s="572"/>
      <c r="M855" s="572"/>
      <c r="N855" s="572"/>
      <c r="O855" s="574"/>
    </row>
    <row r="856" ht="13.5" customHeight="1">
      <c r="A856" s="572"/>
      <c r="B856" s="572"/>
      <c r="C856" s="572"/>
      <c r="D856" s="584"/>
      <c r="E856" s="570"/>
      <c r="F856" s="570"/>
      <c r="G856" s="572"/>
      <c r="H856" s="572"/>
      <c r="I856" s="572"/>
      <c r="J856" s="572"/>
      <c r="K856" s="572"/>
      <c r="L856" s="572"/>
      <c r="M856" s="572"/>
      <c r="N856" s="572"/>
      <c r="O856" s="574"/>
    </row>
    <row r="857" ht="13.5" customHeight="1">
      <c r="A857" s="572"/>
      <c r="B857" s="572"/>
      <c r="C857" s="572"/>
      <c r="D857" s="584"/>
      <c r="E857" s="570"/>
      <c r="F857" s="570"/>
      <c r="G857" s="572"/>
      <c r="H857" s="572"/>
      <c r="I857" s="572"/>
      <c r="J857" s="572"/>
      <c r="K857" s="572"/>
      <c r="L857" s="572"/>
      <c r="M857" s="572"/>
      <c r="N857" s="572"/>
      <c r="O857" s="574"/>
    </row>
    <row r="858" ht="13.5" customHeight="1">
      <c r="A858" s="572"/>
      <c r="B858" s="572"/>
      <c r="C858" s="572"/>
      <c r="D858" s="584"/>
      <c r="E858" s="570"/>
      <c r="F858" s="570"/>
      <c r="G858" s="572"/>
      <c r="H858" s="572"/>
      <c r="I858" s="572"/>
      <c r="J858" s="572"/>
      <c r="K858" s="572"/>
      <c r="L858" s="572"/>
      <c r="M858" s="572"/>
      <c r="N858" s="572"/>
      <c r="O858" s="574"/>
    </row>
    <row r="859" ht="13.5" customHeight="1">
      <c r="A859" s="572"/>
      <c r="B859" s="572"/>
      <c r="C859" s="572"/>
      <c r="D859" s="584"/>
      <c r="E859" s="570"/>
      <c r="F859" s="570"/>
      <c r="G859" s="572"/>
      <c r="H859" s="572"/>
      <c r="I859" s="572"/>
      <c r="J859" s="572"/>
      <c r="K859" s="572"/>
      <c r="L859" s="572"/>
      <c r="M859" s="572"/>
      <c r="N859" s="572"/>
      <c r="O859" s="574"/>
    </row>
    <row r="860" ht="13.5" customHeight="1">
      <c r="A860" s="572"/>
      <c r="B860" s="572"/>
      <c r="C860" s="572"/>
      <c r="D860" s="584"/>
      <c r="E860" s="570"/>
      <c r="F860" s="570"/>
      <c r="G860" s="572"/>
      <c r="H860" s="572"/>
      <c r="I860" s="572"/>
      <c r="J860" s="572"/>
      <c r="K860" s="572"/>
      <c r="L860" s="572"/>
      <c r="M860" s="572"/>
      <c r="N860" s="572"/>
      <c r="O860" s="574"/>
    </row>
    <row r="861" ht="13.5" customHeight="1">
      <c r="A861" s="572"/>
      <c r="B861" s="572"/>
      <c r="C861" s="572"/>
      <c r="D861" s="584"/>
      <c r="E861" s="570"/>
      <c r="F861" s="570"/>
      <c r="G861" s="572"/>
      <c r="H861" s="572"/>
      <c r="I861" s="572"/>
      <c r="J861" s="572"/>
      <c r="K861" s="572"/>
      <c r="L861" s="572"/>
      <c r="M861" s="572"/>
      <c r="N861" s="572"/>
      <c r="O861" s="574"/>
    </row>
    <row r="862" ht="13.5" customHeight="1">
      <c r="A862" s="572"/>
      <c r="B862" s="572"/>
      <c r="C862" s="572"/>
      <c r="D862" s="584"/>
      <c r="E862" s="570"/>
      <c r="F862" s="570"/>
      <c r="G862" s="572"/>
      <c r="H862" s="572"/>
      <c r="I862" s="572"/>
      <c r="J862" s="572"/>
      <c r="K862" s="572"/>
      <c r="L862" s="572"/>
      <c r="M862" s="572"/>
      <c r="N862" s="572"/>
      <c r="O862" s="574"/>
    </row>
    <row r="863" ht="13.5" customHeight="1">
      <c r="A863" s="572"/>
      <c r="B863" s="572"/>
      <c r="C863" s="572"/>
      <c r="D863" s="584"/>
      <c r="E863" s="570"/>
      <c r="F863" s="570"/>
      <c r="G863" s="572"/>
      <c r="H863" s="572"/>
      <c r="I863" s="572"/>
      <c r="J863" s="572"/>
      <c r="K863" s="572"/>
      <c r="L863" s="572"/>
      <c r="M863" s="572"/>
      <c r="N863" s="572"/>
      <c r="O863" s="574"/>
    </row>
    <row r="864" ht="13.5" customHeight="1">
      <c r="A864" s="572"/>
      <c r="B864" s="572"/>
      <c r="C864" s="572"/>
      <c r="D864" s="584"/>
      <c r="E864" s="570"/>
      <c r="F864" s="570"/>
      <c r="G864" s="572"/>
      <c r="H864" s="572"/>
      <c r="I864" s="572"/>
      <c r="J864" s="572"/>
      <c r="K864" s="572"/>
      <c r="L864" s="572"/>
      <c r="M864" s="572"/>
      <c r="N864" s="572"/>
      <c r="O864" s="574"/>
    </row>
    <row r="865" ht="13.5" customHeight="1">
      <c r="A865" s="572"/>
      <c r="B865" s="572"/>
      <c r="C865" s="572"/>
      <c r="D865" s="584"/>
      <c r="E865" s="570"/>
      <c r="F865" s="570"/>
      <c r="G865" s="572"/>
      <c r="H865" s="572"/>
      <c r="I865" s="572"/>
      <c r="J865" s="572"/>
      <c r="K865" s="572"/>
      <c r="L865" s="572"/>
      <c r="M865" s="572"/>
      <c r="N865" s="572"/>
      <c r="O865" s="574"/>
    </row>
    <row r="866" ht="13.5" customHeight="1">
      <c r="A866" s="572"/>
      <c r="B866" s="572"/>
      <c r="C866" s="572"/>
      <c r="D866" s="584"/>
      <c r="E866" s="570"/>
      <c r="F866" s="570"/>
      <c r="G866" s="572"/>
      <c r="H866" s="572"/>
      <c r="I866" s="572"/>
      <c r="J866" s="572"/>
      <c r="K866" s="572"/>
      <c r="L866" s="572"/>
      <c r="M866" s="572"/>
      <c r="N866" s="572"/>
      <c r="O866" s="574"/>
    </row>
    <row r="867" ht="13.5" customHeight="1">
      <c r="A867" s="572"/>
      <c r="B867" s="572"/>
      <c r="C867" s="572"/>
      <c r="D867" s="584"/>
      <c r="E867" s="570"/>
      <c r="F867" s="570"/>
      <c r="G867" s="572"/>
      <c r="H867" s="572"/>
      <c r="I867" s="572"/>
      <c r="J867" s="572"/>
      <c r="K867" s="572"/>
      <c r="L867" s="572"/>
      <c r="M867" s="572"/>
      <c r="N867" s="572"/>
      <c r="O867" s="574"/>
    </row>
    <row r="868" ht="13.5" customHeight="1">
      <c r="A868" s="572"/>
      <c r="B868" s="572"/>
      <c r="C868" s="572"/>
      <c r="D868" s="584"/>
      <c r="E868" s="570"/>
      <c r="F868" s="570"/>
      <c r="G868" s="572"/>
      <c r="H868" s="572"/>
      <c r="I868" s="572"/>
      <c r="J868" s="572"/>
      <c r="K868" s="572"/>
      <c r="L868" s="572"/>
      <c r="M868" s="572"/>
      <c r="N868" s="572"/>
      <c r="O868" s="574"/>
    </row>
    <row r="869" ht="13.5" customHeight="1">
      <c r="A869" s="572"/>
      <c r="B869" s="572"/>
      <c r="C869" s="572"/>
      <c r="D869" s="584"/>
      <c r="E869" s="570"/>
      <c r="F869" s="570"/>
      <c r="G869" s="572"/>
      <c r="H869" s="572"/>
      <c r="I869" s="572"/>
      <c r="J869" s="572"/>
      <c r="K869" s="572"/>
      <c r="L869" s="572"/>
      <c r="M869" s="572"/>
      <c r="N869" s="572"/>
      <c r="O869" s="574"/>
    </row>
    <row r="870" ht="13.5" customHeight="1">
      <c r="A870" s="572"/>
      <c r="B870" s="572"/>
      <c r="C870" s="572"/>
      <c r="D870" s="584"/>
      <c r="E870" s="570"/>
      <c r="F870" s="570"/>
      <c r="G870" s="572"/>
      <c r="H870" s="572"/>
      <c r="I870" s="572"/>
      <c r="J870" s="572"/>
      <c r="K870" s="572"/>
      <c r="L870" s="572"/>
      <c r="M870" s="572"/>
      <c r="N870" s="572"/>
      <c r="O870" s="574"/>
    </row>
    <row r="871" ht="13.5" customHeight="1">
      <c r="A871" s="572"/>
      <c r="B871" s="572"/>
      <c r="C871" s="572"/>
      <c r="D871" s="584"/>
      <c r="E871" s="570"/>
      <c r="F871" s="570"/>
      <c r="G871" s="572"/>
      <c r="H871" s="572"/>
      <c r="I871" s="572"/>
      <c r="J871" s="572"/>
      <c r="K871" s="572"/>
      <c r="L871" s="572"/>
      <c r="M871" s="572"/>
      <c r="N871" s="572"/>
      <c r="O871" s="574"/>
    </row>
    <row r="872" ht="13.5" customHeight="1">
      <c r="A872" s="572"/>
      <c r="B872" s="572"/>
      <c r="C872" s="572"/>
      <c r="D872" s="584"/>
      <c r="E872" s="570"/>
      <c r="F872" s="570"/>
      <c r="G872" s="572"/>
      <c r="H872" s="572"/>
      <c r="I872" s="572"/>
      <c r="J872" s="572"/>
      <c r="K872" s="572"/>
      <c r="L872" s="572"/>
      <c r="M872" s="572"/>
      <c r="N872" s="572"/>
      <c r="O872" s="574"/>
    </row>
    <row r="873" ht="13.5" customHeight="1">
      <c r="A873" s="572"/>
      <c r="B873" s="572"/>
      <c r="C873" s="572"/>
      <c r="D873" s="584"/>
      <c r="E873" s="570"/>
      <c r="F873" s="570"/>
      <c r="G873" s="572"/>
      <c r="H873" s="572"/>
      <c r="I873" s="572"/>
      <c r="J873" s="572"/>
      <c r="K873" s="572"/>
      <c r="L873" s="572"/>
      <c r="M873" s="572"/>
      <c r="N873" s="572"/>
      <c r="O873" s="574"/>
    </row>
    <row r="874" ht="13.5" customHeight="1">
      <c r="A874" s="572"/>
      <c r="B874" s="572"/>
      <c r="C874" s="572"/>
      <c r="D874" s="584"/>
      <c r="E874" s="570"/>
      <c r="F874" s="570"/>
      <c r="G874" s="572"/>
      <c r="H874" s="572"/>
      <c r="I874" s="572"/>
      <c r="J874" s="572"/>
      <c r="K874" s="572"/>
      <c r="L874" s="572"/>
      <c r="M874" s="572"/>
      <c r="N874" s="572"/>
      <c r="O874" s="574"/>
    </row>
    <row r="875" ht="13.5" customHeight="1">
      <c r="A875" s="572"/>
      <c r="B875" s="572"/>
      <c r="C875" s="572"/>
      <c r="D875" s="584"/>
      <c r="E875" s="570"/>
      <c r="F875" s="570"/>
      <c r="G875" s="572"/>
      <c r="H875" s="572"/>
      <c r="I875" s="572"/>
      <c r="J875" s="572"/>
      <c r="K875" s="572"/>
      <c r="L875" s="572"/>
      <c r="M875" s="572"/>
      <c r="N875" s="572"/>
      <c r="O875" s="574"/>
    </row>
    <row r="876" ht="13.5" customHeight="1">
      <c r="A876" s="572"/>
      <c r="B876" s="572"/>
      <c r="C876" s="572"/>
      <c r="D876" s="584"/>
      <c r="E876" s="570"/>
      <c r="F876" s="570"/>
      <c r="G876" s="572"/>
      <c r="H876" s="572"/>
      <c r="I876" s="572"/>
      <c r="J876" s="572"/>
      <c r="K876" s="572"/>
      <c r="L876" s="572"/>
      <c r="M876" s="572"/>
      <c r="N876" s="572"/>
      <c r="O876" s="574"/>
    </row>
    <row r="877" ht="13.5" customHeight="1">
      <c r="A877" s="572"/>
      <c r="B877" s="572"/>
      <c r="C877" s="572"/>
      <c r="D877" s="584"/>
      <c r="E877" s="570"/>
      <c r="F877" s="570"/>
      <c r="G877" s="572"/>
      <c r="H877" s="572"/>
      <c r="I877" s="572"/>
      <c r="J877" s="572"/>
      <c r="K877" s="572"/>
      <c r="L877" s="572"/>
      <c r="M877" s="572"/>
      <c r="N877" s="572"/>
      <c r="O877" s="574"/>
    </row>
    <row r="878" ht="13.5" customHeight="1">
      <c r="A878" s="572"/>
      <c r="B878" s="572"/>
      <c r="C878" s="572"/>
      <c r="D878" s="584"/>
      <c r="E878" s="570"/>
      <c r="F878" s="570"/>
      <c r="G878" s="572"/>
      <c r="H878" s="572"/>
      <c r="I878" s="572"/>
      <c r="J878" s="572"/>
      <c r="K878" s="572"/>
      <c r="L878" s="572"/>
      <c r="M878" s="572"/>
      <c r="N878" s="572"/>
      <c r="O878" s="574"/>
    </row>
    <row r="879" ht="13.5" customHeight="1">
      <c r="A879" s="572"/>
      <c r="B879" s="572"/>
      <c r="C879" s="572"/>
      <c r="D879" s="584"/>
      <c r="E879" s="570"/>
      <c r="F879" s="570"/>
      <c r="G879" s="572"/>
      <c r="H879" s="572"/>
      <c r="I879" s="572"/>
      <c r="J879" s="572"/>
      <c r="K879" s="572"/>
      <c r="L879" s="572"/>
      <c r="M879" s="572"/>
      <c r="N879" s="572"/>
      <c r="O879" s="574"/>
    </row>
    <row r="880" ht="13.5" customHeight="1">
      <c r="A880" s="572"/>
      <c r="B880" s="572"/>
      <c r="C880" s="572"/>
      <c r="D880" s="584"/>
      <c r="E880" s="570"/>
      <c r="F880" s="570"/>
      <c r="G880" s="572"/>
      <c r="H880" s="572"/>
      <c r="I880" s="572"/>
      <c r="J880" s="572"/>
      <c r="K880" s="572"/>
      <c r="L880" s="572"/>
      <c r="M880" s="572"/>
      <c r="N880" s="572"/>
      <c r="O880" s="574"/>
    </row>
    <row r="881" ht="13.5" customHeight="1">
      <c r="A881" s="572"/>
      <c r="B881" s="572"/>
      <c r="C881" s="572"/>
      <c r="D881" s="584"/>
      <c r="E881" s="570"/>
      <c r="F881" s="570"/>
      <c r="G881" s="572"/>
      <c r="H881" s="572"/>
      <c r="I881" s="572"/>
      <c r="J881" s="572"/>
      <c r="K881" s="572"/>
      <c r="L881" s="572"/>
      <c r="M881" s="572"/>
      <c r="N881" s="572"/>
      <c r="O881" s="574"/>
    </row>
    <row r="882" ht="13.5" customHeight="1">
      <c r="A882" s="572"/>
      <c r="B882" s="572"/>
      <c r="C882" s="572"/>
      <c r="D882" s="584"/>
      <c r="E882" s="570"/>
      <c r="F882" s="570"/>
      <c r="G882" s="572"/>
      <c r="H882" s="572"/>
      <c r="I882" s="572"/>
      <c r="J882" s="572"/>
      <c r="K882" s="572"/>
      <c r="L882" s="572"/>
      <c r="M882" s="572"/>
      <c r="N882" s="572"/>
      <c r="O882" s="574"/>
    </row>
    <row r="883" ht="13.5" customHeight="1">
      <c r="A883" s="572"/>
      <c r="B883" s="572"/>
      <c r="C883" s="572"/>
      <c r="D883" s="584"/>
      <c r="E883" s="570"/>
      <c r="F883" s="570"/>
      <c r="G883" s="572"/>
      <c r="H883" s="572"/>
      <c r="I883" s="572"/>
      <c r="J883" s="572"/>
      <c r="K883" s="572"/>
      <c r="L883" s="572"/>
      <c r="M883" s="572"/>
      <c r="N883" s="572"/>
      <c r="O883" s="574"/>
    </row>
    <row r="884" ht="13.5" customHeight="1">
      <c r="A884" s="572"/>
      <c r="B884" s="572"/>
      <c r="C884" s="572"/>
      <c r="D884" s="584"/>
      <c r="E884" s="570"/>
      <c r="F884" s="570"/>
      <c r="G884" s="572"/>
      <c r="H884" s="572"/>
      <c r="I884" s="572"/>
      <c r="J884" s="572"/>
      <c r="K884" s="572"/>
      <c r="L884" s="572"/>
      <c r="M884" s="572"/>
      <c r="N884" s="572"/>
      <c r="O884" s="574"/>
    </row>
    <row r="885" ht="13.5" customHeight="1">
      <c r="A885" s="572"/>
      <c r="B885" s="572"/>
      <c r="C885" s="572"/>
      <c r="D885" s="584"/>
      <c r="E885" s="570"/>
      <c r="F885" s="570"/>
      <c r="G885" s="572"/>
      <c r="H885" s="572"/>
      <c r="I885" s="572"/>
      <c r="J885" s="572"/>
      <c r="K885" s="572"/>
      <c r="L885" s="572"/>
      <c r="M885" s="572"/>
      <c r="N885" s="572"/>
      <c r="O885" s="574"/>
    </row>
    <row r="886" ht="13.5" customHeight="1">
      <c r="A886" s="572"/>
      <c r="B886" s="572"/>
      <c r="C886" s="572"/>
      <c r="D886" s="584"/>
      <c r="E886" s="570"/>
      <c r="F886" s="570"/>
      <c r="G886" s="572"/>
      <c r="H886" s="572"/>
      <c r="I886" s="572"/>
      <c r="J886" s="572"/>
      <c r="K886" s="572"/>
      <c r="L886" s="572"/>
      <c r="M886" s="572"/>
      <c r="N886" s="572"/>
      <c r="O886" s="574"/>
    </row>
    <row r="887" ht="13.5" customHeight="1">
      <c r="A887" s="572"/>
      <c r="B887" s="572"/>
      <c r="C887" s="572"/>
      <c r="D887" s="584"/>
      <c r="E887" s="570"/>
      <c r="F887" s="570"/>
      <c r="G887" s="572"/>
      <c r="H887" s="572"/>
      <c r="I887" s="572"/>
      <c r="J887" s="572"/>
      <c r="K887" s="572"/>
      <c r="L887" s="572"/>
      <c r="M887" s="572"/>
      <c r="N887" s="572"/>
      <c r="O887" s="574"/>
    </row>
    <row r="888" ht="13.5" customHeight="1">
      <c r="A888" s="572"/>
      <c r="B888" s="572"/>
      <c r="C888" s="572"/>
      <c r="D888" s="584"/>
      <c r="E888" s="570"/>
      <c r="F888" s="570"/>
      <c r="G888" s="572"/>
      <c r="H888" s="572"/>
      <c r="I888" s="572"/>
      <c r="J888" s="572"/>
      <c r="K888" s="572"/>
      <c r="L888" s="572"/>
      <c r="M888" s="572"/>
      <c r="N888" s="572"/>
      <c r="O888" s="574"/>
    </row>
    <row r="889" ht="13.5" customHeight="1">
      <c r="A889" s="572"/>
      <c r="B889" s="572"/>
      <c r="C889" s="572"/>
      <c r="D889" s="584"/>
      <c r="E889" s="570"/>
      <c r="F889" s="570"/>
      <c r="G889" s="572"/>
      <c r="H889" s="572"/>
      <c r="I889" s="572"/>
      <c r="J889" s="572"/>
      <c r="K889" s="572"/>
      <c r="L889" s="572"/>
      <c r="M889" s="572"/>
      <c r="N889" s="572"/>
      <c r="O889" s="574"/>
    </row>
    <row r="890" ht="13.5" customHeight="1">
      <c r="A890" s="572"/>
      <c r="B890" s="572"/>
      <c r="C890" s="572"/>
      <c r="D890" s="584"/>
      <c r="E890" s="570"/>
      <c r="F890" s="570"/>
      <c r="G890" s="572"/>
      <c r="H890" s="572"/>
      <c r="I890" s="572"/>
      <c r="J890" s="572"/>
      <c r="K890" s="572"/>
      <c r="L890" s="572"/>
      <c r="M890" s="572"/>
      <c r="N890" s="572"/>
      <c r="O890" s="574"/>
    </row>
    <row r="891" ht="13.5" customHeight="1">
      <c r="A891" s="572"/>
      <c r="B891" s="572"/>
      <c r="C891" s="572"/>
      <c r="D891" s="584"/>
      <c r="E891" s="570"/>
      <c r="F891" s="570"/>
      <c r="G891" s="572"/>
      <c r="H891" s="572"/>
      <c r="I891" s="572"/>
      <c r="J891" s="572"/>
      <c r="K891" s="572"/>
      <c r="L891" s="572"/>
      <c r="M891" s="572"/>
      <c r="N891" s="572"/>
      <c r="O891" s="574"/>
    </row>
    <row r="892" ht="13.5" customHeight="1">
      <c r="A892" s="572"/>
      <c r="B892" s="572"/>
      <c r="C892" s="572"/>
      <c r="D892" s="584"/>
      <c r="E892" s="570"/>
      <c r="F892" s="570"/>
      <c r="G892" s="572"/>
      <c r="H892" s="572"/>
      <c r="I892" s="572"/>
      <c r="J892" s="572"/>
      <c r="K892" s="572"/>
      <c r="L892" s="572"/>
      <c r="M892" s="572"/>
      <c r="N892" s="572"/>
      <c r="O892" s="574"/>
    </row>
    <row r="893" ht="13.5" customHeight="1">
      <c r="A893" s="572"/>
      <c r="B893" s="572"/>
      <c r="C893" s="572"/>
      <c r="D893" s="584"/>
      <c r="E893" s="570"/>
      <c r="F893" s="570"/>
      <c r="G893" s="572"/>
      <c r="H893" s="572"/>
      <c r="I893" s="572"/>
      <c r="J893" s="572"/>
      <c r="K893" s="572"/>
      <c r="L893" s="572"/>
      <c r="M893" s="572"/>
      <c r="N893" s="572"/>
      <c r="O893" s="574"/>
    </row>
    <row r="894" ht="13.5" customHeight="1">
      <c r="A894" s="572"/>
      <c r="B894" s="572"/>
      <c r="C894" s="572"/>
      <c r="D894" s="584"/>
      <c r="E894" s="570"/>
      <c r="F894" s="570"/>
      <c r="G894" s="572"/>
      <c r="H894" s="572"/>
      <c r="I894" s="572"/>
      <c r="J894" s="572"/>
      <c r="K894" s="572"/>
      <c r="L894" s="572"/>
      <c r="M894" s="572"/>
      <c r="N894" s="572"/>
      <c r="O894" s="574"/>
    </row>
    <row r="895" ht="13.5" customHeight="1">
      <c r="A895" s="572"/>
      <c r="B895" s="572"/>
      <c r="C895" s="572"/>
      <c r="D895" s="584"/>
      <c r="E895" s="570"/>
      <c r="F895" s="570"/>
      <c r="G895" s="572"/>
      <c r="H895" s="572"/>
      <c r="I895" s="572"/>
      <c r="J895" s="572"/>
      <c r="K895" s="572"/>
      <c r="L895" s="572"/>
      <c r="M895" s="572"/>
      <c r="N895" s="572"/>
      <c r="O895" s="574"/>
    </row>
    <row r="896" ht="13.5" customHeight="1">
      <c r="A896" s="572"/>
      <c r="B896" s="572"/>
      <c r="C896" s="572"/>
      <c r="D896" s="584"/>
      <c r="E896" s="570"/>
      <c r="F896" s="570"/>
      <c r="G896" s="572"/>
      <c r="H896" s="572"/>
      <c r="I896" s="572"/>
      <c r="J896" s="572"/>
      <c r="K896" s="572"/>
      <c r="L896" s="572"/>
      <c r="M896" s="572"/>
      <c r="N896" s="572"/>
      <c r="O896" s="574"/>
    </row>
    <row r="897" ht="13.5" customHeight="1">
      <c r="A897" s="572"/>
      <c r="B897" s="572"/>
      <c r="C897" s="572"/>
      <c r="D897" s="584"/>
      <c r="E897" s="570"/>
      <c r="F897" s="570"/>
      <c r="G897" s="572"/>
      <c r="H897" s="572"/>
      <c r="I897" s="572"/>
      <c r="J897" s="572"/>
      <c r="K897" s="572"/>
      <c r="L897" s="572"/>
      <c r="M897" s="572"/>
      <c r="N897" s="572"/>
      <c r="O897" s="574"/>
    </row>
    <row r="898" ht="13.5" customHeight="1">
      <c r="A898" s="572"/>
      <c r="B898" s="572"/>
      <c r="C898" s="572"/>
      <c r="D898" s="584"/>
      <c r="E898" s="570"/>
      <c r="F898" s="570"/>
      <c r="G898" s="572"/>
      <c r="H898" s="572"/>
      <c r="I898" s="572"/>
      <c r="J898" s="572"/>
      <c r="K898" s="572"/>
      <c r="L898" s="572"/>
      <c r="M898" s="572"/>
      <c r="N898" s="572"/>
      <c r="O898" s="574"/>
    </row>
    <row r="899" ht="13.5" customHeight="1">
      <c r="A899" s="572"/>
      <c r="B899" s="572"/>
      <c r="C899" s="572"/>
      <c r="D899" s="584"/>
      <c r="E899" s="570"/>
      <c r="F899" s="570"/>
      <c r="G899" s="572"/>
      <c r="H899" s="572"/>
      <c r="I899" s="572"/>
      <c r="J899" s="572"/>
      <c r="K899" s="572"/>
      <c r="L899" s="572"/>
      <c r="M899" s="572"/>
      <c r="N899" s="572"/>
      <c r="O899" s="574"/>
    </row>
    <row r="900" ht="13.5" customHeight="1">
      <c r="A900" s="572"/>
      <c r="B900" s="572"/>
      <c r="C900" s="572"/>
      <c r="D900" s="584"/>
      <c r="E900" s="570"/>
      <c r="F900" s="570"/>
      <c r="G900" s="572"/>
      <c r="H900" s="572"/>
      <c r="I900" s="572"/>
      <c r="J900" s="572"/>
      <c r="K900" s="572"/>
      <c r="L900" s="572"/>
      <c r="M900" s="572"/>
      <c r="N900" s="572"/>
      <c r="O900" s="574"/>
    </row>
    <row r="901" ht="13.5" customHeight="1">
      <c r="A901" s="572"/>
      <c r="B901" s="572"/>
      <c r="C901" s="572"/>
      <c r="D901" s="584"/>
      <c r="E901" s="570"/>
      <c r="F901" s="570"/>
      <c r="G901" s="572"/>
      <c r="H901" s="572"/>
      <c r="I901" s="572"/>
      <c r="J901" s="572"/>
      <c r="K901" s="572"/>
      <c r="L901" s="572"/>
      <c r="M901" s="572"/>
      <c r="N901" s="572"/>
      <c r="O901" s="574"/>
    </row>
    <row r="902" ht="13.5" customHeight="1">
      <c r="A902" s="572"/>
      <c r="B902" s="572"/>
      <c r="C902" s="572"/>
      <c r="D902" s="584"/>
      <c r="E902" s="570"/>
      <c r="F902" s="570"/>
      <c r="G902" s="572"/>
      <c r="H902" s="572"/>
      <c r="I902" s="572"/>
      <c r="J902" s="572"/>
      <c r="K902" s="572"/>
      <c r="L902" s="572"/>
      <c r="M902" s="572"/>
      <c r="N902" s="572"/>
      <c r="O902" s="574"/>
    </row>
    <row r="903" ht="13.5" customHeight="1">
      <c r="A903" s="572"/>
      <c r="B903" s="572"/>
      <c r="C903" s="572"/>
      <c r="D903" s="584"/>
      <c r="E903" s="570"/>
      <c r="F903" s="570"/>
      <c r="G903" s="572"/>
      <c r="H903" s="572"/>
      <c r="I903" s="572"/>
      <c r="J903" s="572"/>
      <c r="K903" s="572"/>
      <c r="L903" s="572"/>
      <c r="M903" s="572"/>
      <c r="N903" s="572"/>
      <c r="O903" s="574"/>
    </row>
    <row r="904" ht="13.5" customHeight="1">
      <c r="A904" s="572"/>
      <c r="B904" s="572"/>
      <c r="C904" s="572"/>
      <c r="D904" s="584"/>
      <c r="E904" s="570"/>
      <c r="F904" s="570"/>
      <c r="G904" s="572"/>
      <c r="H904" s="572"/>
      <c r="I904" s="572"/>
      <c r="J904" s="572"/>
      <c r="K904" s="572"/>
      <c r="L904" s="572"/>
      <c r="M904" s="572"/>
      <c r="N904" s="572"/>
      <c r="O904" s="574"/>
    </row>
    <row r="905" ht="13.5" customHeight="1">
      <c r="A905" s="572"/>
      <c r="B905" s="572"/>
      <c r="C905" s="572"/>
      <c r="D905" s="584"/>
      <c r="E905" s="570"/>
      <c r="F905" s="570"/>
      <c r="G905" s="572"/>
      <c r="H905" s="572"/>
      <c r="I905" s="572"/>
      <c r="J905" s="572"/>
      <c r="K905" s="572"/>
      <c r="L905" s="572"/>
      <c r="M905" s="572"/>
      <c r="N905" s="572"/>
      <c r="O905" s="574"/>
    </row>
    <row r="906" ht="13.5" customHeight="1">
      <c r="A906" s="572"/>
      <c r="B906" s="572"/>
      <c r="C906" s="572"/>
      <c r="D906" s="584"/>
      <c r="E906" s="570"/>
      <c r="F906" s="570"/>
      <c r="G906" s="572"/>
      <c r="H906" s="572"/>
      <c r="I906" s="572"/>
      <c r="J906" s="572"/>
      <c r="K906" s="572"/>
      <c r="L906" s="572"/>
      <c r="M906" s="572"/>
      <c r="N906" s="572"/>
      <c r="O906" s="574"/>
    </row>
    <row r="907" ht="13.5" customHeight="1">
      <c r="A907" s="572"/>
      <c r="B907" s="572"/>
      <c r="C907" s="572"/>
      <c r="D907" s="584"/>
      <c r="E907" s="570"/>
      <c r="F907" s="570"/>
      <c r="G907" s="572"/>
      <c r="H907" s="572"/>
      <c r="I907" s="572"/>
      <c r="J907" s="572"/>
      <c r="K907" s="572"/>
      <c r="L907" s="572"/>
      <c r="M907" s="572"/>
      <c r="N907" s="572"/>
      <c r="O907" s="574"/>
    </row>
    <row r="908" ht="13.5" customHeight="1">
      <c r="A908" s="572"/>
      <c r="B908" s="572"/>
      <c r="C908" s="572"/>
      <c r="D908" s="584"/>
      <c r="E908" s="570"/>
      <c r="F908" s="570"/>
      <c r="G908" s="572"/>
      <c r="H908" s="572"/>
      <c r="I908" s="572"/>
      <c r="J908" s="572"/>
      <c r="K908" s="572"/>
      <c r="L908" s="572"/>
      <c r="M908" s="572"/>
      <c r="N908" s="572"/>
      <c r="O908" s="574"/>
    </row>
    <row r="909" ht="13.5" customHeight="1">
      <c r="A909" s="572"/>
      <c r="B909" s="572"/>
      <c r="C909" s="572"/>
      <c r="D909" s="584"/>
      <c r="E909" s="570"/>
      <c r="F909" s="570"/>
      <c r="G909" s="572"/>
      <c r="H909" s="572"/>
      <c r="I909" s="572"/>
      <c r="J909" s="572"/>
      <c r="K909" s="572"/>
      <c r="L909" s="572"/>
      <c r="M909" s="572"/>
      <c r="N909" s="572"/>
      <c r="O909" s="574"/>
    </row>
    <row r="910" ht="13.5" customHeight="1">
      <c r="A910" s="572"/>
      <c r="B910" s="572"/>
      <c r="C910" s="572"/>
      <c r="D910" s="584"/>
      <c r="E910" s="570"/>
      <c r="F910" s="570"/>
      <c r="G910" s="572"/>
      <c r="H910" s="572"/>
      <c r="I910" s="572"/>
      <c r="J910" s="572"/>
      <c r="K910" s="572"/>
      <c r="L910" s="572"/>
      <c r="M910" s="572"/>
      <c r="N910" s="572"/>
      <c r="O910" s="574"/>
    </row>
    <row r="911" ht="13.5" customHeight="1">
      <c r="A911" s="572"/>
      <c r="B911" s="572"/>
      <c r="C911" s="572"/>
      <c r="D911" s="584"/>
      <c r="E911" s="570"/>
      <c r="F911" s="570"/>
      <c r="G911" s="572"/>
      <c r="H911" s="572"/>
      <c r="I911" s="572"/>
      <c r="J911" s="572"/>
      <c r="K911" s="572"/>
      <c r="L911" s="572"/>
      <c r="M911" s="572"/>
      <c r="N911" s="572"/>
      <c r="O911" s="574"/>
    </row>
    <row r="912" ht="13.5" customHeight="1">
      <c r="A912" s="572"/>
      <c r="B912" s="572"/>
      <c r="C912" s="572"/>
      <c r="D912" s="584"/>
      <c r="E912" s="570"/>
      <c r="F912" s="570"/>
      <c r="G912" s="572"/>
      <c r="H912" s="572"/>
      <c r="I912" s="572"/>
      <c r="J912" s="572"/>
      <c r="K912" s="572"/>
      <c r="L912" s="572"/>
      <c r="M912" s="572"/>
      <c r="N912" s="572"/>
      <c r="O912" s="574"/>
    </row>
    <row r="913" ht="13.5" customHeight="1">
      <c r="A913" s="572"/>
      <c r="B913" s="572"/>
      <c r="C913" s="572"/>
      <c r="D913" s="584"/>
      <c r="E913" s="570"/>
      <c r="F913" s="570"/>
      <c r="G913" s="572"/>
      <c r="H913" s="572"/>
      <c r="I913" s="572"/>
      <c r="J913" s="572"/>
      <c r="K913" s="572"/>
      <c r="L913" s="572"/>
      <c r="M913" s="572"/>
      <c r="N913" s="572"/>
      <c r="O913" s="574"/>
    </row>
    <row r="914" ht="13.5" customHeight="1">
      <c r="A914" s="572"/>
      <c r="B914" s="572"/>
      <c r="C914" s="572"/>
      <c r="D914" s="584"/>
      <c r="E914" s="570"/>
      <c r="F914" s="570"/>
      <c r="G914" s="572"/>
      <c r="H914" s="572"/>
      <c r="I914" s="572"/>
      <c r="J914" s="572"/>
      <c r="K914" s="572"/>
      <c r="L914" s="572"/>
      <c r="M914" s="572"/>
      <c r="N914" s="572"/>
      <c r="O914" s="574"/>
    </row>
    <row r="915" ht="13.5" customHeight="1">
      <c r="A915" s="572"/>
      <c r="B915" s="572"/>
      <c r="C915" s="572"/>
      <c r="D915" s="584"/>
      <c r="E915" s="570"/>
      <c r="F915" s="570"/>
      <c r="G915" s="572"/>
      <c r="H915" s="572"/>
      <c r="I915" s="572"/>
      <c r="J915" s="572"/>
      <c r="K915" s="572"/>
      <c r="L915" s="572"/>
      <c r="M915" s="572"/>
      <c r="N915" s="572"/>
      <c r="O915" s="574"/>
    </row>
    <row r="916" ht="13.5" customHeight="1">
      <c r="A916" s="572"/>
      <c r="B916" s="572"/>
      <c r="C916" s="572"/>
      <c r="D916" s="584"/>
      <c r="E916" s="570"/>
      <c r="F916" s="570"/>
      <c r="G916" s="572"/>
      <c r="H916" s="572"/>
      <c r="I916" s="572"/>
      <c r="J916" s="572"/>
      <c r="K916" s="572"/>
      <c r="L916" s="572"/>
      <c r="M916" s="572"/>
      <c r="N916" s="572"/>
      <c r="O916" s="574"/>
    </row>
    <row r="917" ht="13.5" customHeight="1">
      <c r="A917" s="572"/>
      <c r="B917" s="572"/>
      <c r="C917" s="572"/>
      <c r="D917" s="584"/>
      <c r="E917" s="570"/>
      <c r="F917" s="570"/>
      <c r="G917" s="572"/>
      <c r="H917" s="572"/>
      <c r="I917" s="572"/>
      <c r="J917" s="572"/>
      <c r="K917" s="572"/>
      <c r="L917" s="572"/>
      <c r="M917" s="572"/>
      <c r="N917" s="572"/>
      <c r="O917" s="574"/>
    </row>
    <row r="918" ht="13.5" customHeight="1">
      <c r="A918" s="572"/>
      <c r="B918" s="572"/>
      <c r="C918" s="572"/>
      <c r="D918" s="584"/>
      <c r="E918" s="570"/>
      <c r="F918" s="570"/>
      <c r="G918" s="572"/>
      <c r="H918" s="572"/>
      <c r="I918" s="572"/>
      <c r="J918" s="572"/>
      <c r="K918" s="572"/>
      <c r="L918" s="572"/>
      <c r="M918" s="572"/>
      <c r="N918" s="572"/>
      <c r="O918" s="574"/>
    </row>
    <row r="919" ht="13.5" customHeight="1">
      <c r="A919" s="572"/>
      <c r="B919" s="572"/>
      <c r="C919" s="572"/>
      <c r="D919" s="584"/>
      <c r="E919" s="570"/>
      <c r="F919" s="570"/>
      <c r="G919" s="572"/>
      <c r="H919" s="572"/>
      <c r="I919" s="572"/>
      <c r="J919" s="572"/>
      <c r="K919" s="572"/>
      <c r="L919" s="572"/>
      <c r="M919" s="572"/>
      <c r="N919" s="572"/>
      <c r="O919" s="574"/>
    </row>
    <row r="920" ht="13.5" customHeight="1">
      <c r="A920" s="572"/>
      <c r="B920" s="572"/>
      <c r="C920" s="572"/>
      <c r="D920" s="584"/>
      <c r="E920" s="570"/>
      <c r="F920" s="570"/>
      <c r="G920" s="572"/>
      <c r="H920" s="572"/>
      <c r="I920" s="572"/>
      <c r="J920" s="572"/>
      <c r="K920" s="572"/>
      <c r="L920" s="572"/>
      <c r="M920" s="572"/>
      <c r="N920" s="572"/>
      <c r="O920" s="574"/>
    </row>
    <row r="921" ht="13.5" customHeight="1">
      <c r="A921" s="572"/>
      <c r="B921" s="572"/>
      <c r="C921" s="572"/>
      <c r="D921" s="584"/>
      <c r="E921" s="570"/>
      <c r="F921" s="570"/>
      <c r="G921" s="572"/>
      <c r="H921" s="572"/>
      <c r="I921" s="572"/>
      <c r="J921" s="572"/>
      <c r="K921" s="572"/>
      <c r="L921" s="572"/>
      <c r="M921" s="572"/>
      <c r="N921" s="572"/>
      <c r="O921" s="574"/>
    </row>
    <row r="922" ht="13.5" customHeight="1">
      <c r="A922" s="572"/>
      <c r="B922" s="572"/>
      <c r="C922" s="572"/>
      <c r="D922" s="584"/>
      <c r="E922" s="570"/>
      <c r="F922" s="570"/>
      <c r="G922" s="572"/>
      <c r="H922" s="572"/>
      <c r="I922" s="572"/>
      <c r="J922" s="572"/>
      <c r="K922" s="572"/>
      <c r="L922" s="572"/>
      <c r="M922" s="572"/>
      <c r="N922" s="572"/>
      <c r="O922" s="574"/>
    </row>
    <row r="923" ht="13.5" customHeight="1">
      <c r="A923" s="572"/>
      <c r="B923" s="572"/>
      <c r="C923" s="572"/>
      <c r="D923" s="584"/>
      <c r="E923" s="570"/>
      <c r="F923" s="570"/>
      <c r="G923" s="572"/>
      <c r="H923" s="572"/>
      <c r="I923" s="572"/>
      <c r="J923" s="572"/>
      <c r="K923" s="572"/>
      <c r="L923" s="572"/>
      <c r="M923" s="572"/>
      <c r="N923" s="572"/>
      <c r="O923" s="574"/>
    </row>
    <row r="924" ht="13.5" customHeight="1">
      <c r="A924" s="572"/>
      <c r="B924" s="572"/>
      <c r="C924" s="572"/>
      <c r="D924" s="584"/>
      <c r="E924" s="570"/>
      <c r="F924" s="570"/>
      <c r="G924" s="572"/>
      <c r="H924" s="572"/>
      <c r="I924" s="572"/>
      <c r="J924" s="572"/>
      <c r="K924" s="572"/>
      <c r="L924" s="572"/>
      <c r="M924" s="572"/>
      <c r="N924" s="572"/>
      <c r="O924" s="574"/>
    </row>
    <row r="925" ht="13.5" customHeight="1">
      <c r="A925" s="572"/>
      <c r="B925" s="572"/>
      <c r="C925" s="572"/>
      <c r="D925" s="584"/>
      <c r="E925" s="570"/>
      <c r="F925" s="570"/>
      <c r="G925" s="572"/>
      <c r="H925" s="572"/>
      <c r="I925" s="572"/>
      <c r="J925" s="572"/>
      <c r="K925" s="572"/>
      <c r="L925" s="572"/>
      <c r="M925" s="572"/>
      <c r="N925" s="572"/>
      <c r="O925" s="574"/>
    </row>
    <row r="926" ht="13.5" customHeight="1">
      <c r="A926" s="572"/>
      <c r="B926" s="572"/>
      <c r="C926" s="572"/>
      <c r="D926" s="584"/>
      <c r="E926" s="570"/>
      <c r="F926" s="570"/>
      <c r="G926" s="572"/>
      <c r="H926" s="572"/>
      <c r="I926" s="572"/>
      <c r="J926" s="572"/>
      <c r="K926" s="572"/>
      <c r="L926" s="572"/>
      <c r="M926" s="572"/>
      <c r="N926" s="572"/>
      <c r="O926" s="574"/>
    </row>
    <row r="927" ht="13.5" customHeight="1">
      <c r="A927" s="572"/>
      <c r="B927" s="572"/>
      <c r="C927" s="572"/>
      <c r="D927" s="584"/>
      <c r="E927" s="570"/>
      <c r="F927" s="570"/>
      <c r="G927" s="572"/>
      <c r="H927" s="572"/>
      <c r="I927" s="572"/>
      <c r="J927" s="572"/>
      <c r="K927" s="572"/>
      <c r="L927" s="572"/>
      <c r="M927" s="572"/>
      <c r="N927" s="572"/>
      <c r="O927" s="574"/>
    </row>
    <row r="928" ht="13.5" customHeight="1">
      <c r="A928" s="572"/>
      <c r="B928" s="572"/>
      <c r="C928" s="572"/>
      <c r="D928" s="584"/>
      <c r="E928" s="570"/>
      <c r="F928" s="570"/>
      <c r="G928" s="572"/>
      <c r="H928" s="572"/>
      <c r="I928" s="572"/>
      <c r="J928" s="572"/>
      <c r="K928" s="572"/>
      <c r="L928" s="572"/>
      <c r="M928" s="572"/>
      <c r="N928" s="572"/>
      <c r="O928" s="574"/>
    </row>
    <row r="929" ht="13.5" customHeight="1">
      <c r="A929" s="572"/>
      <c r="B929" s="572"/>
      <c r="C929" s="572"/>
      <c r="D929" s="584"/>
      <c r="E929" s="570"/>
      <c r="F929" s="570"/>
      <c r="G929" s="572"/>
      <c r="H929" s="572"/>
      <c r="I929" s="572"/>
      <c r="J929" s="572"/>
      <c r="K929" s="572"/>
      <c r="L929" s="572"/>
      <c r="M929" s="572"/>
      <c r="N929" s="572"/>
      <c r="O929" s="574"/>
    </row>
    <row r="930" ht="13.5" customHeight="1">
      <c r="A930" s="572"/>
      <c r="B930" s="572"/>
      <c r="C930" s="572"/>
      <c r="D930" s="584"/>
      <c r="E930" s="570"/>
      <c r="F930" s="570"/>
      <c r="G930" s="572"/>
      <c r="H930" s="572"/>
      <c r="I930" s="572"/>
      <c r="J930" s="572"/>
      <c r="K930" s="572"/>
      <c r="L930" s="572"/>
      <c r="M930" s="572"/>
      <c r="N930" s="572"/>
      <c r="O930" s="574"/>
    </row>
    <row r="931" ht="13.5" customHeight="1">
      <c r="A931" s="572"/>
      <c r="B931" s="572"/>
      <c r="C931" s="572"/>
      <c r="D931" s="584"/>
      <c r="E931" s="570"/>
      <c r="F931" s="570"/>
      <c r="G931" s="572"/>
      <c r="H931" s="572"/>
      <c r="I931" s="572"/>
      <c r="J931" s="572"/>
      <c r="K931" s="572"/>
      <c r="L931" s="572"/>
      <c r="M931" s="572"/>
      <c r="N931" s="572"/>
      <c r="O931" s="574"/>
    </row>
    <row r="932" ht="13.5" customHeight="1">
      <c r="A932" s="572"/>
      <c r="B932" s="572"/>
      <c r="C932" s="572"/>
      <c r="D932" s="584"/>
      <c r="E932" s="570"/>
      <c r="F932" s="570"/>
      <c r="G932" s="572"/>
      <c r="H932" s="572"/>
      <c r="I932" s="572"/>
      <c r="J932" s="572"/>
      <c r="K932" s="572"/>
      <c r="L932" s="572"/>
      <c r="M932" s="572"/>
      <c r="N932" s="572"/>
      <c r="O932" s="574"/>
    </row>
    <row r="933" ht="13.5" customHeight="1">
      <c r="A933" s="572"/>
      <c r="B933" s="572"/>
      <c r="C933" s="572"/>
      <c r="D933" s="584"/>
      <c r="E933" s="570"/>
      <c r="F933" s="570"/>
      <c r="G933" s="572"/>
      <c r="H933" s="572"/>
      <c r="I933" s="572"/>
      <c r="J933" s="572"/>
      <c r="K933" s="572"/>
      <c r="L933" s="572"/>
      <c r="M933" s="572"/>
      <c r="N933" s="572"/>
      <c r="O933" s="574"/>
    </row>
    <row r="934" ht="13.5" customHeight="1">
      <c r="A934" s="572"/>
      <c r="B934" s="572"/>
      <c r="C934" s="572"/>
      <c r="D934" s="584"/>
      <c r="E934" s="570"/>
      <c r="F934" s="570"/>
      <c r="G934" s="572"/>
      <c r="H934" s="572"/>
      <c r="I934" s="572"/>
      <c r="J934" s="572"/>
      <c r="K934" s="572"/>
      <c r="L934" s="572"/>
      <c r="M934" s="572"/>
      <c r="N934" s="572"/>
      <c r="O934" s="574"/>
    </row>
    <row r="935" ht="13.5" customHeight="1">
      <c r="A935" s="572"/>
      <c r="B935" s="572"/>
      <c r="C935" s="572"/>
      <c r="D935" s="584"/>
      <c r="E935" s="570"/>
      <c r="F935" s="570"/>
      <c r="G935" s="572"/>
      <c r="H935" s="572"/>
      <c r="I935" s="572"/>
      <c r="J935" s="572"/>
      <c r="K935" s="572"/>
      <c r="L935" s="572"/>
      <c r="M935" s="572"/>
      <c r="N935" s="572"/>
      <c r="O935" s="574"/>
    </row>
    <row r="936" ht="13.5" customHeight="1">
      <c r="A936" s="572"/>
      <c r="B936" s="572"/>
      <c r="C936" s="572"/>
      <c r="D936" s="584"/>
      <c r="E936" s="570"/>
      <c r="F936" s="570"/>
      <c r="G936" s="572"/>
      <c r="H936" s="572"/>
      <c r="I936" s="572"/>
      <c r="J936" s="572"/>
      <c r="K936" s="572"/>
      <c r="L936" s="572"/>
      <c r="M936" s="572"/>
      <c r="N936" s="572"/>
      <c r="O936" s="574"/>
    </row>
    <row r="937" ht="13.5" customHeight="1">
      <c r="A937" s="572"/>
      <c r="B937" s="572"/>
      <c r="C937" s="572"/>
      <c r="D937" s="584"/>
      <c r="E937" s="570"/>
      <c r="F937" s="570"/>
      <c r="G937" s="572"/>
      <c r="H937" s="572"/>
      <c r="I937" s="572"/>
      <c r="J937" s="572"/>
      <c r="K937" s="572"/>
      <c r="L937" s="572"/>
      <c r="M937" s="572"/>
      <c r="N937" s="572"/>
      <c r="O937" s="574"/>
    </row>
    <row r="938" ht="13.5" customHeight="1">
      <c r="A938" s="572"/>
      <c r="B938" s="572"/>
      <c r="C938" s="572"/>
      <c r="D938" s="584"/>
      <c r="E938" s="570"/>
      <c r="F938" s="570"/>
      <c r="G938" s="572"/>
      <c r="H938" s="572"/>
      <c r="I938" s="572"/>
      <c r="J938" s="572"/>
      <c r="K938" s="572"/>
      <c r="L938" s="572"/>
      <c r="M938" s="572"/>
      <c r="N938" s="572"/>
      <c r="O938" s="574"/>
    </row>
    <row r="939" ht="13.5" customHeight="1">
      <c r="A939" s="572"/>
      <c r="B939" s="572"/>
      <c r="C939" s="572"/>
      <c r="D939" s="584"/>
      <c r="E939" s="570"/>
      <c r="F939" s="570"/>
      <c r="G939" s="572"/>
      <c r="H939" s="572"/>
      <c r="I939" s="572"/>
      <c r="J939" s="572"/>
      <c r="K939" s="572"/>
      <c r="L939" s="572"/>
      <c r="M939" s="572"/>
      <c r="N939" s="572"/>
      <c r="O939" s="574"/>
    </row>
    <row r="940" ht="13.5" customHeight="1">
      <c r="A940" s="572"/>
      <c r="B940" s="572"/>
      <c r="C940" s="572"/>
      <c r="D940" s="584"/>
      <c r="E940" s="570"/>
      <c r="F940" s="570"/>
      <c r="G940" s="572"/>
      <c r="H940" s="572"/>
      <c r="I940" s="572"/>
      <c r="J940" s="572"/>
      <c r="K940" s="572"/>
      <c r="L940" s="572"/>
      <c r="M940" s="572"/>
      <c r="N940" s="572"/>
      <c r="O940" s="574"/>
    </row>
    <row r="941" ht="13.5" customHeight="1">
      <c r="A941" s="572"/>
      <c r="B941" s="572"/>
      <c r="C941" s="572"/>
      <c r="D941" s="584"/>
      <c r="E941" s="570"/>
      <c r="F941" s="570"/>
      <c r="G941" s="572"/>
      <c r="H941" s="572"/>
      <c r="I941" s="572"/>
      <c r="J941" s="572"/>
      <c r="K941" s="572"/>
      <c r="L941" s="572"/>
      <c r="M941" s="572"/>
      <c r="N941" s="572"/>
      <c r="O941" s="574"/>
    </row>
    <row r="942" ht="13.5" customHeight="1">
      <c r="A942" s="572"/>
      <c r="B942" s="572"/>
      <c r="C942" s="572"/>
      <c r="D942" s="584"/>
      <c r="E942" s="570"/>
      <c r="F942" s="570"/>
      <c r="G942" s="572"/>
      <c r="H942" s="572"/>
      <c r="I942" s="572"/>
      <c r="J942" s="572"/>
      <c r="K942" s="572"/>
      <c r="L942" s="572"/>
      <c r="M942" s="572"/>
      <c r="N942" s="572"/>
      <c r="O942" s="574"/>
    </row>
    <row r="943" ht="13.5" customHeight="1">
      <c r="A943" s="572"/>
      <c r="B943" s="572"/>
      <c r="C943" s="572"/>
      <c r="D943" s="584"/>
      <c r="E943" s="570"/>
      <c r="F943" s="570"/>
      <c r="G943" s="572"/>
      <c r="H943" s="572"/>
      <c r="I943" s="572"/>
      <c r="J943" s="572"/>
      <c r="K943" s="572"/>
      <c r="L943" s="572"/>
      <c r="M943" s="572"/>
      <c r="N943" s="572"/>
      <c r="O943" s="574"/>
    </row>
    <row r="944" ht="13.5" customHeight="1">
      <c r="A944" s="572"/>
      <c r="B944" s="572"/>
      <c r="C944" s="572"/>
      <c r="D944" s="584"/>
      <c r="E944" s="570"/>
      <c r="F944" s="570"/>
      <c r="G944" s="572"/>
      <c r="H944" s="572"/>
      <c r="I944" s="572"/>
      <c r="J944" s="572"/>
      <c r="K944" s="572"/>
      <c r="L944" s="572"/>
      <c r="M944" s="572"/>
      <c r="N944" s="572"/>
      <c r="O944" s="574"/>
    </row>
    <row r="945" ht="13.5" customHeight="1">
      <c r="A945" s="572"/>
      <c r="B945" s="572"/>
      <c r="C945" s="572"/>
      <c r="D945" s="584"/>
      <c r="E945" s="570"/>
      <c r="F945" s="570"/>
      <c r="G945" s="572"/>
      <c r="H945" s="572"/>
      <c r="I945" s="572"/>
      <c r="J945" s="572"/>
      <c r="K945" s="572"/>
      <c r="L945" s="572"/>
      <c r="M945" s="572"/>
      <c r="N945" s="572"/>
      <c r="O945" s="574"/>
    </row>
    <row r="946" ht="13.5" customHeight="1">
      <c r="A946" s="572"/>
      <c r="B946" s="572"/>
      <c r="C946" s="572"/>
      <c r="D946" s="584"/>
      <c r="E946" s="570"/>
      <c r="F946" s="570"/>
      <c r="G946" s="572"/>
      <c r="H946" s="572"/>
      <c r="I946" s="572"/>
      <c r="J946" s="572"/>
      <c r="K946" s="572"/>
      <c r="L946" s="572"/>
      <c r="M946" s="572"/>
      <c r="N946" s="572"/>
      <c r="O946" s="574"/>
    </row>
    <row r="947" ht="13.5" customHeight="1">
      <c r="A947" s="572"/>
      <c r="B947" s="572"/>
      <c r="C947" s="572"/>
      <c r="D947" s="584"/>
      <c r="E947" s="570"/>
      <c r="F947" s="570"/>
      <c r="G947" s="572"/>
      <c r="H947" s="572"/>
      <c r="I947" s="572"/>
      <c r="J947" s="572"/>
      <c r="K947" s="572"/>
      <c r="L947" s="572"/>
      <c r="M947" s="572"/>
      <c r="N947" s="572"/>
      <c r="O947" s="574"/>
    </row>
    <row r="948" ht="13.5" customHeight="1">
      <c r="A948" s="572"/>
      <c r="B948" s="572"/>
      <c r="C948" s="572"/>
      <c r="D948" s="584"/>
      <c r="E948" s="570"/>
      <c r="F948" s="570"/>
      <c r="G948" s="572"/>
      <c r="H948" s="572"/>
      <c r="I948" s="572"/>
      <c r="J948" s="572"/>
      <c r="K948" s="572"/>
      <c r="L948" s="572"/>
      <c r="M948" s="572"/>
      <c r="N948" s="572"/>
      <c r="O948" s="574"/>
    </row>
    <row r="949" ht="13.5" customHeight="1">
      <c r="A949" s="572"/>
      <c r="B949" s="572"/>
      <c r="C949" s="572"/>
      <c r="D949" s="584"/>
      <c r="E949" s="570"/>
      <c r="F949" s="570"/>
      <c r="G949" s="572"/>
      <c r="H949" s="572"/>
      <c r="I949" s="572"/>
      <c r="J949" s="572"/>
      <c r="K949" s="572"/>
      <c r="L949" s="572"/>
      <c r="M949" s="572"/>
      <c r="N949" s="572"/>
      <c r="O949" s="574"/>
    </row>
    <row r="950" ht="13.5" customHeight="1">
      <c r="A950" s="572"/>
      <c r="B950" s="572"/>
      <c r="C950" s="572"/>
      <c r="D950" s="584"/>
      <c r="E950" s="570"/>
      <c r="F950" s="570"/>
      <c r="G950" s="572"/>
      <c r="H950" s="572"/>
      <c r="I950" s="572"/>
      <c r="J950" s="572"/>
      <c r="K950" s="572"/>
      <c r="L950" s="572"/>
      <c r="M950" s="572"/>
      <c r="N950" s="572"/>
      <c r="O950" s="574"/>
    </row>
    <row r="951" ht="13.5" customHeight="1">
      <c r="A951" s="572"/>
      <c r="B951" s="572"/>
      <c r="C951" s="572"/>
      <c r="D951" s="584"/>
      <c r="E951" s="570"/>
      <c r="F951" s="570"/>
      <c r="G951" s="572"/>
      <c r="H951" s="572"/>
      <c r="I951" s="572"/>
      <c r="J951" s="572"/>
      <c r="K951" s="572"/>
      <c r="L951" s="572"/>
      <c r="M951" s="572"/>
      <c r="N951" s="572"/>
      <c r="O951" s="574"/>
    </row>
    <row r="952" ht="13.5" customHeight="1">
      <c r="A952" s="572"/>
      <c r="B952" s="572"/>
      <c r="C952" s="572"/>
      <c r="D952" s="584"/>
      <c r="E952" s="570"/>
      <c r="F952" s="570"/>
      <c r="G952" s="572"/>
      <c r="H952" s="572"/>
      <c r="I952" s="572"/>
      <c r="J952" s="572"/>
      <c r="K952" s="572"/>
      <c r="L952" s="572"/>
      <c r="M952" s="572"/>
      <c r="N952" s="572"/>
      <c r="O952" s="574"/>
    </row>
    <row r="953" ht="13.5" customHeight="1">
      <c r="A953" s="572"/>
      <c r="B953" s="572"/>
      <c r="C953" s="572"/>
      <c r="D953" s="584"/>
      <c r="E953" s="570"/>
      <c r="F953" s="570"/>
      <c r="G953" s="572"/>
      <c r="H953" s="572"/>
      <c r="I953" s="572"/>
      <c r="J953" s="572"/>
      <c r="K953" s="572"/>
      <c r="L953" s="572"/>
      <c r="M953" s="572"/>
      <c r="N953" s="572"/>
      <c r="O953" s="574"/>
    </row>
    <row r="954" ht="13.5" customHeight="1">
      <c r="A954" s="572"/>
      <c r="B954" s="572"/>
      <c r="C954" s="572"/>
      <c r="D954" s="584"/>
      <c r="E954" s="570"/>
      <c r="F954" s="570"/>
      <c r="G954" s="572"/>
      <c r="H954" s="572"/>
      <c r="I954" s="572"/>
      <c r="J954" s="572"/>
      <c r="K954" s="572"/>
      <c r="L954" s="572"/>
      <c r="M954" s="572"/>
      <c r="N954" s="572"/>
      <c r="O954" s="574"/>
    </row>
    <row r="955" ht="13.5" customHeight="1">
      <c r="A955" s="572"/>
      <c r="B955" s="572"/>
      <c r="C955" s="572"/>
      <c r="D955" s="584"/>
      <c r="E955" s="570"/>
      <c r="F955" s="570"/>
      <c r="G955" s="572"/>
      <c r="H955" s="572"/>
      <c r="I955" s="572"/>
      <c r="J955" s="572"/>
      <c r="K955" s="572"/>
      <c r="L955" s="572"/>
      <c r="M955" s="572"/>
      <c r="N955" s="572"/>
      <c r="O955" s="574"/>
    </row>
    <row r="956" ht="13.5" customHeight="1">
      <c r="A956" s="572"/>
      <c r="B956" s="572"/>
      <c r="C956" s="572"/>
      <c r="D956" s="584"/>
      <c r="E956" s="570"/>
      <c r="F956" s="570"/>
      <c r="G956" s="572"/>
      <c r="H956" s="572"/>
      <c r="I956" s="572"/>
      <c r="J956" s="572"/>
      <c r="K956" s="572"/>
      <c r="L956" s="572"/>
      <c r="M956" s="572"/>
      <c r="N956" s="572"/>
      <c r="O956" s="574"/>
    </row>
    <row r="957" ht="13.5" customHeight="1">
      <c r="A957" s="572"/>
      <c r="B957" s="572"/>
      <c r="C957" s="572"/>
      <c r="D957" s="584"/>
      <c r="E957" s="570"/>
      <c r="F957" s="570"/>
      <c r="G957" s="572"/>
      <c r="H957" s="572"/>
      <c r="I957" s="572"/>
      <c r="J957" s="572"/>
      <c r="K957" s="572"/>
      <c r="L957" s="572"/>
      <c r="M957" s="572"/>
      <c r="N957" s="572"/>
      <c r="O957" s="574"/>
    </row>
    <row r="958" ht="13.5" customHeight="1">
      <c r="A958" s="572"/>
      <c r="B958" s="572"/>
      <c r="C958" s="572"/>
      <c r="D958" s="584"/>
      <c r="E958" s="570"/>
      <c r="F958" s="570"/>
      <c r="G958" s="572"/>
      <c r="H958" s="572"/>
      <c r="I958" s="572"/>
      <c r="J958" s="572"/>
      <c r="K958" s="572"/>
      <c r="L958" s="572"/>
      <c r="M958" s="572"/>
      <c r="N958" s="572"/>
      <c r="O958" s="574"/>
    </row>
    <row r="959" ht="13.5" customHeight="1">
      <c r="A959" s="572"/>
      <c r="B959" s="572"/>
      <c r="C959" s="572"/>
      <c r="D959" s="584"/>
      <c r="E959" s="570"/>
      <c r="F959" s="570"/>
      <c r="G959" s="572"/>
      <c r="H959" s="572"/>
      <c r="I959" s="572"/>
      <c r="J959" s="572"/>
      <c r="K959" s="572"/>
      <c r="L959" s="572"/>
      <c r="M959" s="572"/>
      <c r="N959" s="572"/>
      <c r="O959" s="574"/>
    </row>
    <row r="960" ht="13.5" customHeight="1">
      <c r="A960" s="572"/>
      <c r="B960" s="572"/>
      <c r="C960" s="572"/>
      <c r="D960" s="584"/>
      <c r="E960" s="570"/>
      <c r="F960" s="570"/>
      <c r="G960" s="572"/>
      <c r="H960" s="572"/>
      <c r="I960" s="572"/>
      <c r="J960" s="572"/>
      <c r="K960" s="572"/>
      <c r="L960" s="572"/>
      <c r="M960" s="572"/>
      <c r="N960" s="572"/>
      <c r="O960" s="574"/>
    </row>
    <row r="961" ht="13.5" customHeight="1">
      <c r="A961" s="572"/>
      <c r="B961" s="572"/>
      <c r="C961" s="572"/>
      <c r="D961" s="584"/>
      <c r="E961" s="570"/>
      <c r="F961" s="570"/>
      <c r="G961" s="572"/>
      <c r="H961" s="572"/>
      <c r="I961" s="572"/>
      <c r="J961" s="572"/>
      <c r="K961" s="572"/>
      <c r="L961" s="572"/>
      <c r="M961" s="572"/>
      <c r="N961" s="572"/>
      <c r="O961" s="574"/>
    </row>
    <row r="962" ht="13.5" customHeight="1">
      <c r="A962" s="572"/>
      <c r="B962" s="572"/>
      <c r="C962" s="572"/>
      <c r="D962" s="584"/>
      <c r="E962" s="570"/>
      <c r="F962" s="570"/>
      <c r="G962" s="572"/>
      <c r="H962" s="572"/>
      <c r="I962" s="572"/>
      <c r="J962" s="572"/>
      <c r="K962" s="572"/>
      <c r="L962" s="572"/>
      <c r="M962" s="572"/>
      <c r="N962" s="572"/>
      <c r="O962" s="574"/>
    </row>
    <row r="963" ht="13.5" customHeight="1">
      <c r="A963" s="572"/>
      <c r="B963" s="572"/>
      <c r="C963" s="572"/>
      <c r="D963" s="584"/>
      <c r="E963" s="570"/>
      <c r="F963" s="570"/>
      <c r="G963" s="572"/>
      <c r="H963" s="572"/>
      <c r="I963" s="572"/>
      <c r="J963" s="572"/>
      <c r="K963" s="572"/>
      <c r="L963" s="572"/>
      <c r="M963" s="572"/>
      <c r="N963" s="572"/>
      <c r="O963" s="574"/>
    </row>
    <row r="964" ht="13.5" customHeight="1">
      <c r="A964" s="572"/>
      <c r="B964" s="572"/>
      <c r="C964" s="572"/>
      <c r="D964" s="584"/>
      <c r="E964" s="570"/>
      <c r="F964" s="570"/>
      <c r="G964" s="572"/>
      <c r="H964" s="572"/>
      <c r="I964" s="572"/>
      <c r="J964" s="572"/>
      <c r="K964" s="572"/>
      <c r="L964" s="572"/>
      <c r="M964" s="572"/>
      <c r="N964" s="572"/>
      <c r="O964" s="574"/>
    </row>
    <row r="965" ht="13.5" customHeight="1">
      <c r="A965" s="572"/>
      <c r="B965" s="572"/>
      <c r="C965" s="572"/>
      <c r="D965" s="584"/>
      <c r="E965" s="570"/>
      <c r="F965" s="570"/>
      <c r="G965" s="572"/>
      <c r="H965" s="572"/>
      <c r="I965" s="572"/>
      <c r="J965" s="572"/>
      <c r="K965" s="572"/>
      <c r="L965" s="572"/>
      <c r="M965" s="572"/>
      <c r="N965" s="572"/>
      <c r="O965" s="574"/>
    </row>
    <row r="966" ht="13.5" customHeight="1">
      <c r="A966" s="572"/>
      <c r="B966" s="572"/>
      <c r="C966" s="572"/>
      <c r="D966" s="584"/>
      <c r="E966" s="570"/>
      <c r="F966" s="570"/>
      <c r="G966" s="572"/>
      <c r="H966" s="572"/>
      <c r="I966" s="572"/>
      <c r="J966" s="572"/>
      <c r="K966" s="572"/>
      <c r="L966" s="572"/>
      <c r="M966" s="572"/>
      <c r="N966" s="572"/>
      <c r="O966" s="574"/>
    </row>
    <row r="967" ht="13.5" customHeight="1">
      <c r="A967" s="572"/>
      <c r="B967" s="572"/>
      <c r="C967" s="572"/>
      <c r="D967" s="584"/>
      <c r="E967" s="570"/>
      <c r="F967" s="570"/>
      <c r="G967" s="572"/>
      <c r="H967" s="572"/>
      <c r="I967" s="572"/>
      <c r="J967" s="572"/>
      <c r="K967" s="572"/>
      <c r="L967" s="572"/>
      <c r="M967" s="572"/>
      <c r="N967" s="572"/>
      <c r="O967" s="574"/>
    </row>
    <row r="968" ht="13.5" customHeight="1">
      <c r="A968" s="572"/>
      <c r="B968" s="572"/>
      <c r="C968" s="572"/>
      <c r="D968" s="584"/>
      <c r="E968" s="570"/>
      <c r="F968" s="570"/>
      <c r="G968" s="572"/>
      <c r="H968" s="572"/>
      <c r="I968" s="572"/>
      <c r="J968" s="572"/>
      <c r="K968" s="572"/>
      <c r="L968" s="572"/>
      <c r="M968" s="572"/>
      <c r="N968" s="572"/>
      <c r="O968" s="574"/>
    </row>
    <row r="969" ht="13.5" customHeight="1">
      <c r="A969" s="572"/>
      <c r="B969" s="572"/>
      <c r="C969" s="572"/>
      <c r="D969" s="584"/>
      <c r="E969" s="570"/>
      <c r="F969" s="570"/>
      <c r="G969" s="572"/>
      <c r="H969" s="572"/>
      <c r="I969" s="572"/>
      <c r="J969" s="572"/>
      <c r="K969" s="572"/>
      <c r="L969" s="572"/>
      <c r="M969" s="572"/>
      <c r="N969" s="572"/>
      <c r="O969" s="574"/>
    </row>
    <row r="970" ht="13.5" customHeight="1">
      <c r="A970" s="572"/>
      <c r="B970" s="572"/>
      <c r="C970" s="572"/>
      <c r="D970" s="584"/>
      <c r="E970" s="570"/>
      <c r="F970" s="570"/>
      <c r="G970" s="572"/>
      <c r="H970" s="572"/>
      <c r="I970" s="572"/>
      <c r="J970" s="572"/>
      <c r="K970" s="572"/>
      <c r="L970" s="572"/>
      <c r="M970" s="572"/>
      <c r="N970" s="572"/>
      <c r="O970" s="574"/>
    </row>
    <row r="971" ht="13.5" customHeight="1">
      <c r="A971" s="572"/>
      <c r="B971" s="572"/>
      <c r="C971" s="572"/>
      <c r="D971" s="584"/>
      <c r="E971" s="570"/>
      <c r="F971" s="570"/>
      <c r="G971" s="572"/>
      <c r="H971" s="572"/>
      <c r="I971" s="572"/>
      <c r="J971" s="572"/>
      <c r="K971" s="572"/>
      <c r="L971" s="572"/>
      <c r="M971" s="572"/>
      <c r="N971" s="572"/>
      <c r="O971" s="574"/>
    </row>
    <row r="972" ht="13.5" customHeight="1">
      <c r="A972" s="572"/>
      <c r="B972" s="572"/>
      <c r="C972" s="572"/>
      <c r="D972" s="584"/>
      <c r="E972" s="570"/>
      <c r="F972" s="570"/>
      <c r="G972" s="572"/>
      <c r="H972" s="572"/>
      <c r="I972" s="572"/>
      <c r="J972" s="572"/>
      <c r="K972" s="572"/>
      <c r="L972" s="572"/>
      <c r="M972" s="572"/>
      <c r="N972" s="572"/>
      <c r="O972" s="574"/>
    </row>
    <row r="973" ht="13.5" customHeight="1">
      <c r="A973" s="572"/>
      <c r="B973" s="572"/>
      <c r="C973" s="572"/>
      <c r="D973" s="584"/>
      <c r="E973" s="570"/>
      <c r="F973" s="570"/>
      <c r="G973" s="572"/>
      <c r="H973" s="572"/>
      <c r="I973" s="572"/>
      <c r="J973" s="572"/>
      <c r="K973" s="572"/>
      <c r="L973" s="572"/>
      <c r="M973" s="572"/>
      <c r="N973" s="572"/>
      <c r="O973" s="574"/>
    </row>
    <row r="974" ht="13.5" customHeight="1">
      <c r="A974" s="572"/>
      <c r="B974" s="572"/>
      <c r="C974" s="572"/>
      <c r="D974" s="584"/>
      <c r="E974" s="570"/>
      <c r="F974" s="570"/>
      <c r="G974" s="572"/>
      <c r="H974" s="572"/>
      <c r="I974" s="572"/>
      <c r="J974" s="572"/>
      <c r="K974" s="572"/>
      <c r="L974" s="572"/>
      <c r="M974" s="572"/>
      <c r="N974" s="572"/>
      <c r="O974" s="574"/>
    </row>
    <row r="975" ht="13.5" customHeight="1">
      <c r="A975" s="572"/>
      <c r="B975" s="572"/>
      <c r="C975" s="572"/>
      <c r="D975" s="584"/>
      <c r="E975" s="570"/>
      <c r="F975" s="570"/>
      <c r="G975" s="572"/>
      <c r="H975" s="572"/>
      <c r="I975" s="572"/>
      <c r="J975" s="572"/>
      <c r="K975" s="572"/>
      <c r="L975" s="572"/>
      <c r="M975" s="572"/>
      <c r="N975" s="572"/>
      <c r="O975" s="574"/>
    </row>
    <row r="976" ht="13.5" customHeight="1">
      <c r="A976" s="572"/>
      <c r="B976" s="572"/>
      <c r="C976" s="572"/>
      <c r="D976" s="584"/>
      <c r="E976" s="570"/>
      <c r="F976" s="570"/>
      <c r="G976" s="572"/>
      <c r="H976" s="572"/>
      <c r="I976" s="572"/>
      <c r="J976" s="572"/>
      <c r="K976" s="572"/>
      <c r="L976" s="572"/>
      <c r="M976" s="572"/>
      <c r="N976" s="572"/>
      <c r="O976" s="574"/>
    </row>
    <row r="977" ht="13.5" customHeight="1">
      <c r="A977" s="572"/>
      <c r="B977" s="572"/>
      <c r="C977" s="572"/>
      <c r="D977" s="584"/>
      <c r="E977" s="570"/>
      <c r="F977" s="570"/>
      <c r="G977" s="572"/>
      <c r="H977" s="572"/>
      <c r="I977" s="572"/>
      <c r="J977" s="572"/>
      <c r="K977" s="572"/>
      <c r="L977" s="572"/>
      <c r="M977" s="572"/>
      <c r="N977" s="572"/>
      <c r="O977" s="574"/>
    </row>
    <row r="978" ht="13.5" customHeight="1">
      <c r="A978" s="572"/>
      <c r="B978" s="572"/>
      <c r="C978" s="572"/>
      <c r="D978" s="584"/>
      <c r="E978" s="570"/>
      <c r="F978" s="570"/>
      <c r="G978" s="572"/>
      <c r="H978" s="572"/>
      <c r="I978" s="572"/>
      <c r="J978" s="572"/>
      <c r="K978" s="572"/>
      <c r="L978" s="572"/>
      <c r="M978" s="572"/>
      <c r="N978" s="572"/>
      <c r="O978" s="574"/>
    </row>
    <row r="979" ht="13.5" customHeight="1">
      <c r="A979" s="572"/>
      <c r="B979" s="572"/>
      <c r="C979" s="572"/>
      <c r="D979" s="584"/>
      <c r="E979" s="570"/>
      <c r="F979" s="570"/>
      <c r="G979" s="572"/>
      <c r="H979" s="572"/>
      <c r="I979" s="572"/>
      <c r="J979" s="572"/>
      <c r="K979" s="572"/>
      <c r="L979" s="572"/>
      <c r="M979" s="572"/>
      <c r="N979" s="572"/>
      <c r="O979" s="574"/>
    </row>
    <row r="980" ht="13.5" customHeight="1">
      <c r="A980" s="572"/>
      <c r="B980" s="572"/>
      <c r="C980" s="572"/>
      <c r="D980" s="584"/>
      <c r="E980" s="570"/>
      <c r="F980" s="570"/>
      <c r="G980" s="572"/>
      <c r="H980" s="572"/>
      <c r="I980" s="572"/>
      <c r="J980" s="572"/>
      <c r="K980" s="572"/>
      <c r="L980" s="572"/>
      <c r="M980" s="572"/>
      <c r="N980" s="572"/>
      <c r="O980" s="574"/>
    </row>
    <row r="981" ht="13.5" customHeight="1">
      <c r="A981" s="572"/>
      <c r="B981" s="572"/>
      <c r="C981" s="572"/>
      <c r="D981" s="584"/>
      <c r="E981" s="570"/>
      <c r="F981" s="570"/>
      <c r="G981" s="572"/>
      <c r="H981" s="572"/>
      <c r="I981" s="572"/>
      <c r="J981" s="572"/>
      <c r="K981" s="572"/>
      <c r="L981" s="572"/>
      <c r="M981" s="572"/>
      <c r="N981" s="572"/>
      <c r="O981" s="574"/>
    </row>
    <row r="982" ht="13.5" customHeight="1">
      <c r="A982" s="572"/>
      <c r="B982" s="572"/>
      <c r="C982" s="572"/>
      <c r="D982" s="584"/>
      <c r="E982" s="570"/>
      <c r="F982" s="570"/>
      <c r="G982" s="572"/>
      <c r="H982" s="572"/>
      <c r="I982" s="572"/>
      <c r="J982" s="572"/>
      <c r="K982" s="572"/>
      <c r="L982" s="572"/>
      <c r="M982" s="572"/>
      <c r="N982" s="572"/>
      <c r="O982" s="574"/>
    </row>
    <row r="983" ht="13.5" customHeight="1">
      <c r="A983" s="572"/>
      <c r="B983" s="572"/>
      <c r="C983" s="572"/>
      <c r="D983" s="584"/>
      <c r="E983" s="570"/>
      <c r="F983" s="570"/>
      <c r="G983" s="572"/>
      <c r="H983" s="572"/>
      <c r="I983" s="572"/>
      <c r="J983" s="572"/>
      <c r="K983" s="572"/>
      <c r="L983" s="572"/>
      <c r="M983" s="572"/>
      <c r="N983" s="572"/>
      <c r="O983" s="574"/>
    </row>
    <row r="984" ht="13.5" customHeight="1">
      <c r="A984" s="572"/>
      <c r="B984" s="572"/>
      <c r="C984" s="572"/>
      <c r="D984" s="584"/>
      <c r="E984" s="570"/>
      <c r="F984" s="570"/>
      <c r="G984" s="572"/>
      <c r="H984" s="572"/>
      <c r="I984" s="572"/>
      <c r="J984" s="572"/>
      <c r="K984" s="572"/>
      <c r="L984" s="572"/>
      <c r="M984" s="572"/>
      <c r="N984" s="572"/>
      <c r="O984" s="574"/>
    </row>
    <row r="985" ht="13.5" customHeight="1">
      <c r="A985" s="572"/>
      <c r="B985" s="572"/>
      <c r="C985" s="572"/>
      <c r="D985" s="584"/>
      <c r="E985" s="570"/>
      <c r="F985" s="570"/>
      <c r="G985" s="572"/>
      <c r="H985" s="572"/>
      <c r="I985" s="572"/>
      <c r="J985" s="572"/>
      <c r="K985" s="572"/>
      <c r="L985" s="572"/>
      <c r="M985" s="572"/>
      <c r="N985" s="572"/>
      <c r="O985" s="574"/>
    </row>
    <row r="986" ht="13.5" customHeight="1">
      <c r="A986" s="572"/>
      <c r="B986" s="572"/>
      <c r="C986" s="572"/>
      <c r="D986" s="584"/>
      <c r="E986" s="570"/>
      <c r="F986" s="570"/>
      <c r="G986" s="572"/>
      <c r="H986" s="572"/>
      <c r="I986" s="572"/>
      <c r="J986" s="572"/>
      <c r="K986" s="572"/>
      <c r="L986" s="572"/>
      <c r="M986" s="572"/>
      <c r="N986" s="572"/>
      <c r="O986" s="574"/>
    </row>
    <row r="987" ht="13.5" customHeight="1">
      <c r="A987" s="572"/>
      <c r="B987" s="572"/>
      <c r="C987" s="572"/>
      <c r="D987" s="584"/>
      <c r="E987" s="570"/>
      <c r="F987" s="570"/>
      <c r="G987" s="572"/>
      <c r="H987" s="572"/>
      <c r="I987" s="572"/>
      <c r="J987" s="572"/>
      <c r="K987" s="572"/>
      <c r="L987" s="572"/>
      <c r="M987" s="572"/>
      <c r="N987" s="572"/>
      <c r="O987" s="574"/>
    </row>
    <row r="988" ht="13.5" customHeight="1">
      <c r="A988" s="572"/>
      <c r="B988" s="572"/>
      <c r="C988" s="572"/>
      <c r="D988" s="584"/>
      <c r="E988" s="570"/>
      <c r="F988" s="570"/>
      <c r="G988" s="572"/>
      <c r="H988" s="572"/>
      <c r="I988" s="572"/>
      <c r="J988" s="572"/>
      <c r="K988" s="572"/>
      <c r="L988" s="572"/>
      <c r="M988" s="572"/>
      <c r="N988" s="572"/>
      <c r="O988" s="574"/>
    </row>
    <row r="989" ht="13.5" customHeight="1">
      <c r="A989" s="572"/>
      <c r="B989" s="572"/>
      <c r="C989" s="572"/>
      <c r="D989" s="584"/>
      <c r="E989" s="570"/>
      <c r="F989" s="570"/>
      <c r="G989" s="572"/>
      <c r="H989" s="572"/>
      <c r="I989" s="572"/>
      <c r="J989" s="572"/>
      <c r="K989" s="572"/>
      <c r="L989" s="572"/>
      <c r="M989" s="572"/>
      <c r="N989" s="572"/>
      <c r="O989" s="574"/>
    </row>
    <row r="990" ht="13.5" customHeight="1">
      <c r="A990" s="572"/>
      <c r="B990" s="572"/>
      <c r="C990" s="572"/>
      <c r="D990" s="584"/>
      <c r="E990" s="570"/>
      <c r="F990" s="570"/>
      <c r="G990" s="572"/>
      <c r="H990" s="572"/>
      <c r="I990" s="572"/>
      <c r="J990" s="572"/>
      <c r="K990" s="572"/>
      <c r="L990" s="572"/>
      <c r="M990" s="572"/>
      <c r="N990" s="572"/>
      <c r="O990" s="574"/>
    </row>
    <row r="991" ht="13.5" customHeight="1">
      <c r="A991" s="572"/>
      <c r="B991" s="572"/>
      <c r="C991" s="572"/>
      <c r="D991" s="584"/>
      <c r="E991" s="570"/>
      <c r="F991" s="570"/>
      <c r="G991" s="572"/>
      <c r="H991" s="572"/>
      <c r="I991" s="572"/>
      <c r="J991" s="572"/>
      <c r="K991" s="572"/>
      <c r="L991" s="572"/>
      <c r="M991" s="572"/>
      <c r="N991" s="572"/>
      <c r="O991" s="574"/>
    </row>
    <row r="992" ht="13.5" customHeight="1">
      <c r="A992" s="572"/>
      <c r="B992" s="572"/>
      <c r="C992" s="572"/>
      <c r="D992" s="584"/>
      <c r="E992" s="570"/>
      <c r="F992" s="570"/>
      <c r="G992" s="572"/>
      <c r="H992" s="572"/>
      <c r="I992" s="572"/>
      <c r="J992" s="572"/>
      <c r="K992" s="572"/>
      <c r="L992" s="572"/>
      <c r="M992" s="572"/>
      <c r="N992" s="572"/>
      <c r="O992" s="574"/>
    </row>
    <row r="993" ht="13.5" customHeight="1">
      <c r="A993" s="572"/>
      <c r="B993" s="572"/>
      <c r="C993" s="572"/>
      <c r="D993" s="584"/>
      <c r="E993" s="570"/>
      <c r="F993" s="570"/>
      <c r="G993" s="572"/>
      <c r="H993" s="572"/>
      <c r="I993" s="572"/>
      <c r="J993" s="572"/>
      <c r="K993" s="572"/>
      <c r="L993" s="572"/>
      <c r="M993" s="572"/>
      <c r="N993" s="572"/>
      <c r="O993" s="574"/>
    </row>
    <row r="994" ht="13.5" customHeight="1">
      <c r="A994" s="572"/>
      <c r="B994" s="572"/>
      <c r="C994" s="572"/>
      <c r="D994" s="584"/>
      <c r="E994" s="570"/>
      <c r="F994" s="570"/>
      <c r="G994" s="572"/>
      <c r="H994" s="572"/>
      <c r="I994" s="572"/>
      <c r="J994" s="572"/>
      <c r="K994" s="572"/>
      <c r="L994" s="572"/>
      <c r="M994" s="572"/>
      <c r="N994" s="572"/>
      <c r="O994" s="574"/>
    </row>
    <row r="995" ht="13.5" customHeight="1">
      <c r="A995" s="572"/>
      <c r="B995" s="572"/>
      <c r="C995" s="572"/>
      <c r="D995" s="584"/>
      <c r="E995" s="570"/>
      <c r="F995" s="570"/>
      <c r="G995" s="572"/>
      <c r="H995" s="572"/>
      <c r="I995" s="572"/>
      <c r="J995" s="572"/>
      <c r="K995" s="572"/>
      <c r="L995" s="572"/>
      <c r="M995" s="572"/>
      <c r="N995" s="572"/>
      <c r="O995" s="574"/>
    </row>
    <row r="996" ht="13.5" customHeight="1">
      <c r="A996" s="572"/>
      <c r="B996" s="572"/>
      <c r="C996" s="572"/>
      <c r="D996" s="584"/>
      <c r="E996" s="570"/>
      <c r="F996" s="570"/>
      <c r="G996" s="572"/>
      <c r="H996" s="572"/>
      <c r="I996" s="572"/>
      <c r="J996" s="572"/>
      <c r="K996" s="572"/>
      <c r="L996" s="572"/>
      <c r="M996" s="572"/>
      <c r="N996" s="572"/>
      <c r="O996" s="574"/>
    </row>
    <row r="997" ht="13.5" customHeight="1">
      <c r="A997" s="572"/>
      <c r="B997" s="572"/>
      <c r="C997" s="572"/>
      <c r="D997" s="584"/>
      <c r="E997" s="570"/>
      <c r="F997" s="570"/>
      <c r="G997" s="572"/>
      <c r="H997" s="572"/>
      <c r="I997" s="572"/>
      <c r="J997" s="572"/>
      <c r="K997" s="572"/>
      <c r="L997" s="572"/>
      <c r="M997" s="572"/>
      <c r="N997" s="572"/>
      <c r="O997" s="574"/>
    </row>
    <row r="998" ht="13.5" customHeight="1">
      <c r="A998" s="572"/>
      <c r="B998" s="572"/>
      <c r="C998" s="572"/>
      <c r="D998" s="584"/>
      <c r="E998" s="570"/>
      <c r="F998" s="570"/>
      <c r="G998" s="572"/>
      <c r="H998" s="572"/>
      <c r="I998" s="572"/>
      <c r="J998" s="572"/>
      <c r="K998" s="572"/>
      <c r="L998" s="572"/>
      <c r="M998" s="572"/>
      <c r="N998" s="572"/>
      <c r="O998" s="574"/>
    </row>
    <row r="999" ht="13.5" customHeight="1">
      <c r="A999" s="572"/>
      <c r="B999" s="572"/>
      <c r="C999" s="572"/>
      <c r="D999" s="584"/>
      <c r="E999" s="570"/>
      <c r="F999" s="570"/>
      <c r="G999" s="572"/>
      <c r="H999" s="572"/>
      <c r="I999" s="572"/>
      <c r="J999" s="572"/>
      <c r="K999" s="572"/>
      <c r="L999" s="572"/>
      <c r="M999" s="572"/>
      <c r="N999" s="572"/>
      <c r="O999" s="574"/>
    </row>
    <row r="1000" ht="13.5" customHeight="1">
      <c r="A1000" s="572"/>
      <c r="B1000" s="572"/>
      <c r="C1000" s="572"/>
      <c r="D1000" s="584"/>
      <c r="E1000" s="570"/>
      <c r="F1000" s="570"/>
      <c r="G1000" s="572"/>
      <c r="H1000" s="572"/>
      <c r="I1000" s="572"/>
      <c r="J1000" s="572"/>
      <c r="K1000" s="572"/>
      <c r="L1000" s="572"/>
      <c r="M1000" s="572"/>
      <c r="N1000" s="572"/>
      <c r="O1000" s="574"/>
    </row>
    <row r="1001" ht="13.5" customHeight="1">
      <c r="A1001" s="572"/>
      <c r="B1001" s="572"/>
      <c r="C1001" s="572"/>
      <c r="D1001" s="584"/>
      <c r="E1001" s="570"/>
      <c r="F1001" s="570"/>
      <c r="G1001" s="572"/>
      <c r="H1001" s="572"/>
      <c r="I1001" s="572"/>
      <c r="J1001" s="572"/>
      <c r="K1001" s="572"/>
      <c r="L1001" s="572"/>
      <c r="M1001" s="572"/>
      <c r="N1001" s="572"/>
      <c r="O1001" s="574"/>
    </row>
    <row r="1002" ht="13.5" customHeight="1">
      <c r="A1002" s="572"/>
      <c r="B1002" s="572"/>
      <c r="C1002" s="572"/>
      <c r="D1002" s="584"/>
      <c r="E1002" s="570"/>
      <c r="F1002" s="570"/>
      <c r="G1002" s="572"/>
      <c r="H1002" s="572"/>
      <c r="I1002" s="572"/>
      <c r="J1002" s="572"/>
      <c r="K1002" s="572"/>
      <c r="L1002" s="572"/>
      <c r="M1002" s="572"/>
      <c r="N1002" s="572"/>
      <c r="O1002" s="574"/>
    </row>
    <row r="1003" ht="13.5" customHeight="1">
      <c r="A1003" s="572"/>
      <c r="B1003" s="572"/>
      <c r="C1003" s="572"/>
      <c r="D1003" s="584"/>
      <c r="E1003" s="570"/>
      <c r="F1003" s="570"/>
      <c r="G1003" s="572"/>
      <c r="H1003" s="572"/>
      <c r="I1003" s="572"/>
      <c r="J1003" s="572"/>
      <c r="K1003" s="572"/>
      <c r="L1003" s="572"/>
      <c r="M1003" s="572"/>
      <c r="N1003" s="572"/>
      <c r="O1003" s="574"/>
    </row>
    <row r="1004" ht="13.5" customHeight="1">
      <c r="A1004" s="572"/>
      <c r="B1004" s="572"/>
      <c r="C1004" s="572"/>
      <c r="D1004" s="584"/>
      <c r="E1004" s="570"/>
      <c r="F1004" s="570"/>
      <c r="G1004" s="572"/>
      <c r="H1004" s="572"/>
      <c r="I1004" s="572"/>
      <c r="J1004" s="572"/>
      <c r="K1004" s="572"/>
      <c r="L1004" s="572"/>
      <c r="M1004" s="572"/>
      <c r="N1004" s="572"/>
      <c r="O1004" s="574"/>
    </row>
    <row r="1005" ht="13.5" customHeight="1">
      <c r="A1005" s="572"/>
      <c r="B1005" s="572"/>
      <c r="C1005" s="572"/>
      <c r="D1005" s="584"/>
      <c r="E1005" s="570"/>
      <c r="F1005" s="570"/>
      <c r="G1005" s="572"/>
      <c r="H1005" s="572"/>
      <c r="I1005" s="572"/>
      <c r="J1005" s="572"/>
      <c r="K1005" s="572"/>
      <c r="L1005" s="572"/>
      <c r="M1005" s="572"/>
      <c r="N1005" s="572"/>
      <c r="O1005" s="574"/>
    </row>
    <row r="1006" ht="13.5" customHeight="1">
      <c r="A1006" s="572"/>
      <c r="B1006" s="572"/>
      <c r="C1006" s="572"/>
      <c r="D1006" s="584"/>
      <c r="E1006" s="570"/>
      <c r="F1006" s="570"/>
      <c r="G1006" s="572"/>
      <c r="H1006" s="572"/>
      <c r="I1006" s="572"/>
      <c r="J1006" s="572"/>
      <c r="K1006" s="572"/>
      <c r="L1006" s="572"/>
      <c r="M1006" s="572"/>
      <c r="N1006" s="572"/>
      <c r="O1006" s="574"/>
    </row>
    <row r="1007" ht="13.5" customHeight="1">
      <c r="A1007" s="572"/>
      <c r="B1007" s="572"/>
      <c r="C1007" s="572"/>
      <c r="D1007" s="584"/>
      <c r="E1007" s="570"/>
      <c r="F1007" s="570"/>
      <c r="G1007" s="572"/>
      <c r="H1007" s="572"/>
      <c r="I1007" s="572"/>
      <c r="J1007" s="572"/>
      <c r="K1007" s="572"/>
      <c r="L1007" s="572"/>
      <c r="M1007" s="572"/>
      <c r="N1007" s="572"/>
      <c r="O1007" s="574"/>
    </row>
    <row r="1008" ht="13.5" customHeight="1">
      <c r="A1008" s="572"/>
      <c r="B1008" s="572"/>
      <c r="C1008" s="572"/>
      <c r="D1008" s="584"/>
      <c r="E1008" s="570"/>
      <c r="F1008" s="570"/>
      <c r="G1008" s="572"/>
      <c r="H1008" s="572"/>
      <c r="I1008" s="572"/>
      <c r="J1008" s="572"/>
      <c r="K1008" s="572"/>
      <c r="L1008" s="572"/>
      <c r="M1008" s="572"/>
      <c r="N1008" s="572"/>
      <c r="O1008" s="574"/>
    </row>
    <row r="1009" ht="13.5" customHeight="1">
      <c r="A1009" s="572"/>
      <c r="B1009" s="572"/>
      <c r="C1009" s="572"/>
      <c r="D1009" s="584"/>
      <c r="E1009" s="570"/>
      <c r="F1009" s="570"/>
      <c r="G1009" s="572"/>
      <c r="H1009" s="572"/>
      <c r="I1009" s="572"/>
      <c r="J1009" s="572"/>
      <c r="K1009" s="572"/>
      <c r="L1009" s="572"/>
      <c r="M1009" s="572"/>
      <c r="N1009" s="572"/>
      <c r="O1009" s="574"/>
    </row>
    <row r="1010" ht="13.5" customHeight="1">
      <c r="A1010" s="572"/>
      <c r="B1010" s="572"/>
      <c r="C1010" s="572"/>
      <c r="D1010" s="584"/>
      <c r="E1010" s="570"/>
      <c r="F1010" s="570"/>
      <c r="G1010" s="572"/>
      <c r="H1010" s="572"/>
      <c r="I1010" s="572"/>
      <c r="J1010" s="572"/>
      <c r="K1010" s="572"/>
      <c r="L1010" s="572"/>
      <c r="M1010" s="572"/>
      <c r="N1010" s="572"/>
      <c r="O1010" s="574"/>
    </row>
    <row r="1011" ht="13.5" customHeight="1">
      <c r="A1011" s="572"/>
      <c r="B1011" s="572"/>
      <c r="C1011" s="572"/>
      <c r="D1011" s="584"/>
      <c r="E1011" s="570"/>
      <c r="F1011" s="570"/>
      <c r="G1011" s="572"/>
      <c r="H1011" s="572"/>
      <c r="I1011" s="572"/>
      <c r="J1011" s="572"/>
      <c r="K1011" s="572"/>
      <c r="L1011" s="572"/>
      <c r="M1011" s="572"/>
      <c r="N1011" s="572"/>
      <c r="O1011" s="574"/>
    </row>
    <row r="1012" ht="13.5" customHeight="1">
      <c r="A1012" s="572"/>
      <c r="B1012" s="572"/>
      <c r="C1012" s="572"/>
      <c r="D1012" s="584"/>
      <c r="E1012" s="570"/>
      <c r="F1012" s="570"/>
      <c r="G1012" s="572"/>
      <c r="H1012" s="572"/>
      <c r="I1012" s="572"/>
      <c r="J1012" s="572"/>
      <c r="K1012" s="572"/>
      <c r="L1012" s="572"/>
      <c r="M1012" s="572"/>
      <c r="N1012" s="572"/>
      <c r="O1012" s="574"/>
    </row>
    <row r="1013" ht="13.5" customHeight="1">
      <c r="A1013" s="572"/>
      <c r="B1013" s="572"/>
      <c r="C1013" s="572"/>
      <c r="D1013" s="584"/>
      <c r="E1013" s="570"/>
      <c r="F1013" s="570"/>
      <c r="G1013" s="572"/>
      <c r="H1013" s="572"/>
      <c r="I1013" s="572"/>
      <c r="J1013" s="572"/>
      <c r="K1013" s="572"/>
      <c r="L1013" s="572"/>
      <c r="M1013" s="572"/>
      <c r="N1013" s="572"/>
      <c r="O1013" s="574"/>
    </row>
    <row r="1014" ht="13.5" customHeight="1">
      <c r="A1014" s="572"/>
      <c r="B1014" s="572"/>
      <c r="C1014" s="572"/>
      <c r="D1014" s="584"/>
      <c r="E1014" s="570"/>
      <c r="F1014" s="570"/>
      <c r="G1014" s="572"/>
      <c r="H1014" s="572"/>
      <c r="I1014" s="572"/>
      <c r="J1014" s="572"/>
      <c r="K1014" s="572"/>
      <c r="L1014" s="572"/>
      <c r="M1014" s="572"/>
      <c r="N1014" s="572"/>
      <c r="O1014" s="574"/>
    </row>
    <row r="1015" ht="13.5" customHeight="1">
      <c r="A1015" s="572"/>
      <c r="B1015" s="572"/>
      <c r="C1015" s="572"/>
      <c r="D1015" s="584"/>
      <c r="E1015" s="570"/>
      <c r="F1015" s="570"/>
      <c r="G1015" s="572"/>
      <c r="H1015" s="572"/>
      <c r="I1015" s="572"/>
      <c r="J1015" s="572"/>
      <c r="K1015" s="572"/>
      <c r="L1015" s="572"/>
      <c r="M1015" s="572"/>
      <c r="N1015" s="572"/>
      <c r="O1015" s="574"/>
    </row>
    <row r="1016" ht="13.5" customHeight="1">
      <c r="A1016" s="572"/>
      <c r="B1016" s="572"/>
      <c r="C1016" s="572"/>
      <c r="D1016" s="584"/>
      <c r="E1016" s="570"/>
      <c r="F1016" s="570"/>
      <c r="G1016" s="572"/>
      <c r="H1016" s="572"/>
      <c r="I1016" s="572"/>
      <c r="J1016" s="572"/>
      <c r="K1016" s="572"/>
      <c r="L1016" s="572"/>
      <c r="M1016" s="572"/>
      <c r="N1016" s="572"/>
      <c r="O1016" s="574"/>
    </row>
    <row r="1017" ht="13.5" customHeight="1">
      <c r="A1017" s="572"/>
      <c r="B1017" s="572"/>
      <c r="C1017" s="572"/>
      <c r="D1017" s="584"/>
      <c r="E1017" s="570"/>
      <c r="F1017" s="570"/>
      <c r="G1017" s="572"/>
      <c r="H1017" s="572"/>
      <c r="I1017" s="572"/>
      <c r="J1017" s="572"/>
      <c r="K1017" s="572"/>
      <c r="L1017" s="572"/>
      <c r="M1017" s="572"/>
      <c r="N1017" s="572"/>
      <c r="O1017" s="574"/>
    </row>
  </sheetData>
  <mergeCells count="1">
    <mergeCell ref="A1:B1"/>
  </mergeCells>
  <conditionalFormatting sqref="D9:D534">
    <cfRule type="notContainsBlanks" dxfId="3" priority="1">
      <formula>LEN(TRIM(D9))&gt;0</formula>
    </cfRule>
  </conditionalFormatting>
  <dataValidations>
    <dataValidation type="list" allowBlank="1" showErrorMessage="1" sqref="I405">
      <formula1>"BSD,Deltamas"</formula1>
    </dataValidation>
    <dataValidation type="list" allowBlank="1" showErrorMessage="1" sqref="I1:I8 I10:I404 I406:I1017">
      <formula1>"BSD,Deltamas"</formula1>
    </dataValidation>
    <dataValidation type="list" allowBlank="1" showErrorMessage="1" sqref="N1:N8 N10:N1017">
      <formula1>"Active,Broken,Lost/ Missing,Sell"</formula1>
    </dataValidation>
    <dataValidation type="list" allowBlank="1" showErrorMessage="1" sqref="H1:H8 H10:H1017">
      <formula1>"BOD,Business Development,Digital Marketing &amp; Creative,Engineering,Finance &amp; Accounting,HRGA &amp; Legal,Operational,PITD,QA/QC,Sales &amp; Marketing,Supply Chain"</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1.22" defaultRowHeight="15.0"/>
  <cols>
    <col customWidth="1" min="1" max="1" width="5.11"/>
    <col customWidth="1" min="2" max="2" width="15.67"/>
    <col customWidth="1" min="3" max="3" width="46.44"/>
    <col customWidth="1" min="4" max="4" width="13.67"/>
    <col customWidth="1" min="5" max="5" width="14.33"/>
    <col customWidth="1" min="6" max="6" width="18.11"/>
    <col customWidth="1" min="7" max="7" width="11.33"/>
    <col customWidth="1" min="8" max="8" width="15.33"/>
    <col customWidth="1" min="9" max="9" width="12.33"/>
    <col customWidth="1" min="10" max="10" width="9.67"/>
    <col customWidth="1" min="11" max="12" width="10.78"/>
    <col customWidth="1" min="13" max="13" width="22.89"/>
    <col customWidth="1" min="14" max="14" width="13.44"/>
    <col customWidth="1" min="15" max="15" width="14.67"/>
  </cols>
  <sheetData>
    <row r="1" ht="13.5" hidden="1" customHeight="1">
      <c r="A1" s="566" t="s">
        <v>0</v>
      </c>
      <c r="C1" s="567"/>
      <c r="D1" s="584"/>
      <c r="E1" s="570"/>
      <c r="F1" s="570"/>
      <c r="G1" s="572"/>
      <c r="H1" s="572"/>
      <c r="I1" s="572"/>
      <c r="J1" s="572"/>
      <c r="K1" s="572"/>
      <c r="L1" s="572"/>
      <c r="M1" s="572"/>
      <c r="N1" s="572"/>
      <c r="O1" s="574"/>
    </row>
    <row r="2" ht="13.5" hidden="1" customHeight="1">
      <c r="A2" s="575"/>
      <c r="B2" s="572" t="s">
        <v>5</v>
      </c>
      <c r="C2" s="572"/>
      <c r="D2" s="584"/>
      <c r="E2" s="570"/>
      <c r="F2" s="570"/>
      <c r="G2" s="572"/>
      <c r="H2" s="572"/>
      <c r="I2" s="572"/>
      <c r="J2" s="572"/>
      <c r="K2" s="572"/>
      <c r="L2" s="572"/>
      <c r="M2" s="572"/>
      <c r="N2" s="572"/>
      <c r="O2" s="574"/>
    </row>
    <row r="3" ht="13.5" hidden="1" customHeight="1">
      <c r="A3" s="580"/>
      <c r="B3" s="572" t="s">
        <v>10</v>
      </c>
      <c r="C3" s="572"/>
      <c r="D3" s="584"/>
      <c r="E3" s="570"/>
      <c r="F3" s="570"/>
      <c r="G3" s="572"/>
      <c r="H3" s="572"/>
      <c r="I3" s="572"/>
      <c r="J3" s="572"/>
      <c r="K3" s="572"/>
      <c r="L3" s="572"/>
      <c r="M3" s="572"/>
      <c r="N3" s="572"/>
      <c r="O3" s="574"/>
    </row>
    <row r="4" ht="13.5" hidden="1" customHeight="1">
      <c r="A4" s="581"/>
      <c r="B4" s="572" t="s">
        <v>15</v>
      </c>
      <c r="C4" s="572"/>
      <c r="D4" s="584"/>
      <c r="E4" s="570"/>
      <c r="F4" s="570"/>
      <c r="G4" s="572"/>
      <c r="H4" s="572"/>
      <c r="I4" s="572"/>
      <c r="J4" s="572"/>
      <c r="K4" s="572"/>
      <c r="L4" s="572"/>
      <c r="M4" s="572"/>
      <c r="N4" s="572"/>
      <c r="O4" s="574"/>
    </row>
    <row r="5" ht="13.5" hidden="1" customHeight="1">
      <c r="A5" s="582"/>
      <c r="B5" s="572" t="s">
        <v>20</v>
      </c>
      <c r="C5" s="572"/>
      <c r="D5" s="584"/>
      <c r="E5" s="570"/>
      <c r="F5" s="570"/>
      <c r="G5" s="572"/>
      <c r="H5" s="572"/>
      <c r="I5" s="572"/>
      <c r="J5" s="572"/>
      <c r="K5" s="572"/>
      <c r="L5" s="572"/>
      <c r="M5" s="572"/>
      <c r="N5" s="572"/>
      <c r="O5" s="574"/>
    </row>
    <row r="6" ht="13.5" hidden="1" customHeight="1">
      <c r="A6" s="583"/>
      <c r="B6" s="572" t="s">
        <v>23</v>
      </c>
      <c r="C6" s="572"/>
      <c r="D6" s="584"/>
      <c r="E6" s="570"/>
      <c r="F6" s="570"/>
      <c r="G6" s="572"/>
      <c r="H6" s="572"/>
      <c r="I6" s="572"/>
      <c r="J6" s="572"/>
      <c r="K6" s="572"/>
      <c r="L6" s="572"/>
      <c r="M6" s="572"/>
      <c r="N6" s="572"/>
      <c r="O6" s="574"/>
    </row>
    <row r="7" ht="13.5" hidden="1" customHeight="1">
      <c r="A7" s="572"/>
      <c r="B7" s="572"/>
      <c r="C7" s="572"/>
      <c r="D7" s="584"/>
      <c r="E7" s="570"/>
      <c r="F7" s="570"/>
      <c r="G7" s="572"/>
      <c r="H7" s="572"/>
      <c r="I7" s="572"/>
      <c r="J7" s="572"/>
      <c r="K7" s="572"/>
      <c r="L7" s="572"/>
      <c r="M7" s="572"/>
      <c r="N7" s="572"/>
      <c r="O7" s="574"/>
    </row>
    <row r="8" ht="13.5" hidden="1" customHeight="1">
      <c r="A8" s="572"/>
      <c r="B8" s="572"/>
      <c r="C8" s="572"/>
      <c r="D8" s="584"/>
      <c r="E8" s="570"/>
      <c r="F8" s="570"/>
      <c r="G8" s="572"/>
      <c r="H8" s="572"/>
      <c r="I8" s="572"/>
      <c r="J8" s="572"/>
      <c r="K8" s="572"/>
      <c r="L8" s="572"/>
      <c r="M8" s="572"/>
      <c r="N8" s="572"/>
      <c r="O8" s="574"/>
    </row>
    <row r="9" ht="13.5" customHeight="1">
      <c r="A9" s="585"/>
      <c r="B9" s="585" t="s">
        <v>28</v>
      </c>
      <c r="C9" s="585" t="s">
        <v>29</v>
      </c>
      <c r="D9" s="740" t="s">
        <v>30</v>
      </c>
      <c r="E9" s="588" t="s">
        <v>31</v>
      </c>
      <c r="F9" s="589" t="s">
        <v>32</v>
      </c>
      <c r="G9" s="585" t="s">
        <v>33</v>
      </c>
      <c r="H9" s="586" t="s">
        <v>34</v>
      </c>
      <c r="I9" s="586" t="s">
        <v>3</v>
      </c>
      <c r="J9" s="585" t="s">
        <v>35</v>
      </c>
      <c r="K9" s="585" t="s">
        <v>36</v>
      </c>
      <c r="L9" s="585" t="s">
        <v>37</v>
      </c>
      <c r="M9" s="585" t="s">
        <v>1880</v>
      </c>
      <c r="N9" s="586" t="s">
        <v>39</v>
      </c>
      <c r="O9" s="590" t="s">
        <v>40</v>
      </c>
    </row>
    <row r="10" ht="13.5" customHeight="1">
      <c r="A10" s="602">
        <v>365.0</v>
      </c>
      <c r="B10" s="401" t="s">
        <v>1654</v>
      </c>
      <c r="C10" s="748" t="s">
        <v>731</v>
      </c>
      <c r="D10" s="595">
        <v>45309.0</v>
      </c>
      <c r="E10" s="684">
        <v>2.1478311E7</v>
      </c>
      <c r="F10" s="684"/>
      <c r="G10" s="608" t="s">
        <v>120</v>
      </c>
      <c r="H10" s="608" t="s">
        <v>95</v>
      </c>
      <c r="I10" s="608" t="s">
        <v>8</v>
      </c>
      <c r="J10" s="608" t="s">
        <v>732</v>
      </c>
      <c r="K10" s="608"/>
      <c r="L10" s="608"/>
      <c r="M10" s="608"/>
      <c r="N10" s="401" t="s">
        <v>52</v>
      </c>
      <c r="O10" s="610"/>
    </row>
    <row r="11" ht="13.5" customHeight="1">
      <c r="A11" s="602">
        <v>375.0</v>
      </c>
      <c r="B11" s="401" t="s">
        <v>2315</v>
      </c>
      <c r="C11" s="608" t="s">
        <v>749</v>
      </c>
      <c r="D11" s="606">
        <v>45344.0</v>
      </c>
      <c r="E11" s="704">
        <v>777900.0</v>
      </c>
      <c r="F11" s="684"/>
      <c r="G11" s="608"/>
      <c r="H11" s="608" t="s">
        <v>95</v>
      </c>
      <c r="I11" s="608" t="s">
        <v>8</v>
      </c>
      <c r="J11" s="608"/>
      <c r="K11" s="608"/>
      <c r="L11" s="608"/>
      <c r="M11" s="608"/>
      <c r="N11" s="401" t="s">
        <v>52</v>
      </c>
      <c r="O11" s="610"/>
    </row>
    <row r="12" ht="13.5" customHeight="1">
      <c r="A12" s="602">
        <v>376.0</v>
      </c>
      <c r="B12" s="401" t="s">
        <v>2316</v>
      </c>
      <c r="C12" s="608" t="s">
        <v>751</v>
      </c>
      <c r="D12" s="606">
        <v>45344.0</v>
      </c>
      <c r="E12" s="704">
        <v>963400.0</v>
      </c>
      <c r="F12" s="684"/>
      <c r="G12" s="608" t="s">
        <v>372</v>
      </c>
      <c r="H12" s="608" t="s">
        <v>1890</v>
      </c>
      <c r="I12" s="608" t="s">
        <v>8</v>
      </c>
      <c r="J12" s="608" t="s">
        <v>752</v>
      </c>
      <c r="K12" s="608"/>
      <c r="L12" s="608"/>
      <c r="M12" s="608"/>
      <c r="N12" s="401" t="s">
        <v>52</v>
      </c>
      <c r="O12" s="610"/>
    </row>
    <row r="13" ht="13.5" customHeight="1">
      <c r="A13" s="602">
        <v>377.0</v>
      </c>
      <c r="B13" s="401" t="s">
        <v>2317</v>
      </c>
      <c r="C13" s="608" t="s">
        <v>751</v>
      </c>
      <c r="D13" s="606">
        <v>45344.0</v>
      </c>
      <c r="E13" s="704">
        <v>963400.0</v>
      </c>
      <c r="F13" s="684"/>
      <c r="G13" s="608" t="s">
        <v>372</v>
      </c>
      <c r="H13" s="608" t="s">
        <v>1890</v>
      </c>
      <c r="I13" s="608" t="s">
        <v>8</v>
      </c>
      <c r="J13" s="608" t="s">
        <v>752</v>
      </c>
      <c r="K13" s="608"/>
      <c r="L13" s="608"/>
      <c r="M13" s="608"/>
      <c r="N13" s="401" t="s">
        <v>52</v>
      </c>
      <c r="O13" s="610"/>
    </row>
    <row r="14" ht="13.5" customHeight="1">
      <c r="A14" s="602">
        <v>378.0</v>
      </c>
      <c r="B14" s="401" t="s">
        <v>2318</v>
      </c>
      <c r="C14" s="401" t="s">
        <v>1944</v>
      </c>
      <c r="D14" s="606">
        <v>45345.0</v>
      </c>
      <c r="E14" s="704">
        <v>859000.0</v>
      </c>
      <c r="F14" s="684"/>
      <c r="G14" s="608"/>
      <c r="H14" s="608" t="s">
        <v>95</v>
      </c>
      <c r="I14" s="608" t="s">
        <v>8</v>
      </c>
      <c r="J14" s="608" t="s">
        <v>155</v>
      </c>
      <c r="K14" s="608"/>
      <c r="L14" s="608"/>
      <c r="M14" s="608"/>
      <c r="N14" s="401" t="s">
        <v>52</v>
      </c>
      <c r="O14" s="610"/>
    </row>
    <row r="15" ht="13.5" customHeight="1">
      <c r="A15" s="697">
        <v>379.0</v>
      </c>
      <c r="B15" s="401" t="s">
        <v>2319</v>
      </c>
      <c r="C15" s="401" t="s">
        <v>1944</v>
      </c>
      <c r="D15" s="606">
        <v>45345.0</v>
      </c>
      <c r="E15" s="704">
        <v>859000.0</v>
      </c>
      <c r="F15" s="684"/>
      <c r="G15" s="608"/>
      <c r="H15" s="608" t="s">
        <v>95</v>
      </c>
      <c r="I15" s="608" t="s">
        <v>8</v>
      </c>
      <c r="J15" s="608" t="s">
        <v>155</v>
      </c>
      <c r="K15" s="608"/>
      <c r="L15" s="608"/>
      <c r="M15" s="608"/>
      <c r="N15" s="401" t="s">
        <v>52</v>
      </c>
      <c r="O15" s="610"/>
    </row>
    <row r="16" ht="13.5" customHeight="1">
      <c r="A16" s="602">
        <v>380.0</v>
      </c>
      <c r="B16" s="401" t="s">
        <v>2320</v>
      </c>
      <c r="C16" s="401" t="s">
        <v>1944</v>
      </c>
      <c r="D16" s="606">
        <v>45345.0</v>
      </c>
      <c r="E16" s="704">
        <v>859000.0</v>
      </c>
      <c r="F16" s="684"/>
      <c r="G16" s="608"/>
      <c r="H16" s="608" t="s">
        <v>95</v>
      </c>
      <c r="I16" s="608" t="s">
        <v>8</v>
      </c>
      <c r="J16" s="608" t="s">
        <v>155</v>
      </c>
      <c r="K16" s="608"/>
      <c r="L16" s="608"/>
      <c r="M16" s="608"/>
      <c r="N16" s="401" t="s">
        <v>52</v>
      </c>
      <c r="O16" s="610"/>
    </row>
    <row r="17" ht="13.5" customHeight="1">
      <c r="A17" s="602">
        <v>381.0</v>
      </c>
      <c r="B17" s="401" t="s">
        <v>2321</v>
      </c>
      <c r="C17" s="401" t="s">
        <v>1946</v>
      </c>
      <c r="D17" s="606">
        <v>45345.0</v>
      </c>
      <c r="E17" s="704">
        <v>899000.0</v>
      </c>
      <c r="F17" s="684"/>
      <c r="G17" s="608"/>
      <c r="H17" s="401" t="s">
        <v>95</v>
      </c>
      <c r="I17" s="401" t="s">
        <v>8</v>
      </c>
      <c r="J17" s="401" t="s">
        <v>155</v>
      </c>
      <c r="K17" s="608"/>
      <c r="L17" s="608"/>
      <c r="M17" s="608"/>
      <c r="N17" s="401"/>
      <c r="O17" s="610"/>
    </row>
    <row r="18" ht="13.5" customHeight="1">
      <c r="A18" s="602">
        <v>382.0</v>
      </c>
      <c r="B18" s="401" t="s">
        <v>2322</v>
      </c>
      <c r="C18" s="401" t="s">
        <v>1946</v>
      </c>
      <c r="D18" s="606">
        <v>45345.0</v>
      </c>
      <c r="E18" s="704">
        <v>899000.0</v>
      </c>
      <c r="F18" s="684"/>
      <c r="G18" s="608"/>
      <c r="H18" s="401" t="s">
        <v>95</v>
      </c>
      <c r="I18" s="401" t="s">
        <v>8</v>
      </c>
      <c r="J18" s="401" t="s">
        <v>155</v>
      </c>
      <c r="K18" s="608"/>
      <c r="L18" s="608"/>
      <c r="M18" s="608"/>
      <c r="N18" s="401"/>
      <c r="O18" s="610"/>
    </row>
    <row r="19" ht="13.5" customHeight="1">
      <c r="A19" s="602">
        <v>384.0</v>
      </c>
      <c r="B19" s="401" t="s">
        <v>2323</v>
      </c>
      <c r="C19" s="608" t="s">
        <v>762</v>
      </c>
      <c r="D19" s="647">
        <v>45351.0</v>
      </c>
      <c r="E19" s="684">
        <v>2068400.0</v>
      </c>
      <c r="F19" s="684"/>
      <c r="G19" s="608" t="s">
        <v>439</v>
      </c>
      <c r="H19" s="608" t="s">
        <v>51</v>
      </c>
      <c r="I19" s="608" t="s">
        <v>8</v>
      </c>
      <c r="J19" s="608" t="s">
        <v>127</v>
      </c>
      <c r="K19" s="608"/>
      <c r="L19" s="608"/>
      <c r="M19" s="608"/>
      <c r="N19" s="401" t="s">
        <v>52</v>
      </c>
      <c r="O19" s="610"/>
    </row>
    <row r="20" ht="13.5" customHeight="1">
      <c r="A20" s="602">
        <v>385.0</v>
      </c>
      <c r="B20" s="401" t="s">
        <v>2324</v>
      </c>
      <c r="C20" s="750" t="s">
        <v>764</v>
      </c>
      <c r="D20" s="606">
        <v>45355.0</v>
      </c>
      <c r="E20" s="684">
        <v>3.1E9</v>
      </c>
      <c r="F20" s="684"/>
      <c r="G20" s="608" t="s">
        <v>97</v>
      </c>
      <c r="H20" s="608" t="s">
        <v>51</v>
      </c>
      <c r="I20" s="608" t="s">
        <v>8</v>
      </c>
      <c r="J20" s="401" t="s">
        <v>765</v>
      </c>
      <c r="K20" s="608"/>
      <c r="L20" s="608"/>
      <c r="M20" s="608"/>
      <c r="N20" s="401" t="s">
        <v>52</v>
      </c>
      <c r="O20" s="610"/>
    </row>
    <row r="21" ht="13.5" customHeight="1">
      <c r="A21" s="602">
        <v>386.0</v>
      </c>
      <c r="B21" s="401" t="s">
        <v>2325</v>
      </c>
      <c r="C21" s="750" t="s">
        <v>767</v>
      </c>
      <c r="D21" s="606">
        <v>45365.0</v>
      </c>
      <c r="E21" s="684">
        <v>1370850.4504504504</v>
      </c>
      <c r="F21" s="684"/>
      <c r="G21" s="401" t="s">
        <v>1660</v>
      </c>
      <c r="H21" s="608" t="s">
        <v>95</v>
      </c>
      <c r="I21" s="608" t="s">
        <v>8</v>
      </c>
      <c r="J21" s="608" t="s">
        <v>768</v>
      </c>
      <c r="K21" s="608"/>
      <c r="L21" s="608"/>
      <c r="M21" s="608"/>
      <c r="N21" s="401" t="s">
        <v>52</v>
      </c>
      <c r="O21" s="610"/>
    </row>
    <row r="22" ht="13.5" customHeight="1">
      <c r="A22" s="697">
        <v>387.0</v>
      </c>
      <c r="B22" s="401" t="s">
        <v>2326</v>
      </c>
      <c r="C22" s="750" t="s">
        <v>767</v>
      </c>
      <c r="D22" s="606">
        <v>45365.0</v>
      </c>
      <c r="E22" s="684">
        <v>1370850.4504504504</v>
      </c>
      <c r="F22" s="684"/>
      <c r="G22" s="401" t="s">
        <v>1887</v>
      </c>
      <c r="H22" s="401" t="s">
        <v>95</v>
      </c>
      <c r="I22" s="608" t="s">
        <v>8</v>
      </c>
      <c r="J22" s="608" t="s">
        <v>768</v>
      </c>
      <c r="K22" s="608"/>
      <c r="L22" s="608"/>
      <c r="M22" s="608"/>
      <c r="N22" s="401" t="s">
        <v>52</v>
      </c>
      <c r="O22" s="610"/>
    </row>
    <row r="23" ht="13.5" customHeight="1">
      <c r="A23" s="602">
        <v>388.0</v>
      </c>
      <c r="B23" s="401" t="s">
        <v>2327</v>
      </c>
      <c r="C23" s="750" t="s">
        <v>767</v>
      </c>
      <c r="D23" s="606">
        <v>45365.0</v>
      </c>
      <c r="E23" s="684">
        <v>1370850.4504504504</v>
      </c>
      <c r="F23" s="684"/>
      <c r="G23" s="401" t="s">
        <v>160</v>
      </c>
      <c r="H23" s="401" t="s">
        <v>158</v>
      </c>
      <c r="I23" s="608" t="s">
        <v>8</v>
      </c>
      <c r="J23" s="608" t="s">
        <v>768</v>
      </c>
      <c r="K23" s="608"/>
      <c r="L23" s="608"/>
      <c r="M23" s="608"/>
      <c r="N23" s="401" t="s">
        <v>52</v>
      </c>
      <c r="O23" s="610"/>
    </row>
    <row r="24" ht="13.5" customHeight="1">
      <c r="A24" s="602">
        <v>389.0</v>
      </c>
      <c r="B24" s="401" t="s">
        <v>2328</v>
      </c>
      <c r="C24" s="750" t="s">
        <v>767</v>
      </c>
      <c r="D24" s="606">
        <v>45365.0</v>
      </c>
      <c r="E24" s="684">
        <v>1370850.4504504504</v>
      </c>
      <c r="F24" s="684"/>
      <c r="G24" s="401" t="s">
        <v>1911</v>
      </c>
      <c r="H24" s="401" t="s">
        <v>47</v>
      </c>
      <c r="I24" s="608" t="s">
        <v>8</v>
      </c>
      <c r="J24" s="608" t="s">
        <v>768</v>
      </c>
      <c r="K24" s="608"/>
      <c r="L24" s="608"/>
      <c r="M24" s="608"/>
      <c r="N24" s="401" t="s">
        <v>52</v>
      </c>
      <c r="O24" s="610"/>
    </row>
    <row r="25" ht="13.5" customHeight="1">
      <c r="A25" s="602">
        <v>390.0</v>
      </c>
      <c r="B25" s="401" t="s">
        <v>2329</v>
      </c>
      <c r="C25" s="608" t="s">
        <v>773</v>
      </c>
      <c r="D25" s="606">
        <v>45365.0</v>
      </c>
      <c r="E25" s="684">
        <v>1370850.4504504504</v>
      </c>
      <c r="F25" s="684"/>
      <c r="G25" s="401" t="s">
        <v>357</v>
      </c>
      <c r="H25" s="401" t="s">
        <v>81</v>
      </c>
      <c r="I25" s="608" t="s">
        <v>8</v>
      </c>
      <c r="J25" s="608" t="s">
        <v>768</v>
      </c>
      <c r="K25" s="608"/>
      <c r="L25" s="608"/>
      <c r="M25" s="608"/>
      <c r="N25" s="401" t="s">
        <v>52</v>
      </c>
      <c r="O25" s="610"/>
    </row>
    <row r="26" ht="13.5" customHeight="1">
      <c r="A26" s="602">
        <v>391.0</v>
      </c>
      <c r="B26" s="401" t="s">
        <v>2330</v>
      </c>
      <c r="C26" s="750" t="s">
        <v>775</v>
      </c>
      <c r="D26" s="606">
        <v>45366.0</v>
      </c>
      <c r="E26" s="684">
        <v>1.6E9</v>
      </c>
      <c r="F26" s="684"/>
      <c r="G26" s="608" t="s">
        <v>97</v>
      </c>
      <c r="H26" s="608" t="s">
        <v>51</v>
      </c>
      <c r="I26" s="608" t="s">
        <v>8</v>
      </c>
      <c r="J26" s="608" t="s">
        <v>293</v>
      </c>
      <c r="K26" s="608"/>
      <c r="L26" s="608"/>
      <c r="M26" s="608"/>
      <c r="N26" s="401" t="s">
        <v>52</v>
      </c>
      <c r="O26" s="610"/>
    </row>
    <row r="27" ht="13.5" customHeight="1">
      <c r="A27" s="697">
        <v>393.0</v>
      </c>
      <c r="B27" s="401" t="s">
        <v>2331</v>
      </c>
      <c r="C27" s="608" t="s">
        <v>777</v>
      </c>
      <c r="D27" s="739">
        <v>45366.0</v>
      </c>
      <c r="E27" s="704">
        <v>1531532.0</v>
      </c>
      <c r="F27" s="684"/>
      <c r="G27" s="608" t="s">
        <v>120</v>
      </c>
      <c r="H27" s="608" t="s">
        <v>95</v>
      </c>
      <c r="I27" s="401" t="s">
        <v>8</v>
      </c>
      <c r="J27" s="608" t="s">
        <v>778</v>
      </c>
      <c r="K27" s="608"/>
      <c r="L27" s="608"/>
      <c r="M27" s="608"/>
      <c r="N27" s="401" t="s">
        <v>52</v>
      </c>
      <c r="O27" s="610"/>
    </row>
    <row r="28" ht="13.5" customHeight="1">
      <c r="A28" s="602">
        <v>394.0</v>
      </c>
      <c r="B28" s="401" t="s">
        <v>2332</v>
      </c>
      <c r="C28" s="750" t="s">
        <v>781</v>
      </c>
      <c r="D28" s="606">
        <v>45378.0</v>
      </c>
      <c r="E28" s="704">
        <v>3.1E7</v>
      </c>
      <c r="F28" s="684"/>
      <c r="G28" s="608" t="s">
        <v>97</v>
      </c>
      <c r="H28" s="608" t="s">
        <v>51</v>
      </c>
      <c r="I28" s="401" t="s">
        <v>8</v>
      </c>
      <c r="J28" s="608"/>
      <c r="K28" s="608"/>
      <c r="L28" s="608"/>
      <c r="M28" s="608"/>
      <c r="N28" s="401" t="s">
        <v>52</v>
      </c>
      <c r="O28" s="610"/>
    </row>
    <row r="29" ht="13.5" customHeight="1">
      <c r="A29" s="602">
        <v>395.0</v>
      </c>
      <c r="B29" s="401" t="s">
        <v>2333</v>
      </c>
      <c r="C29" s="774" t="s">
        <v>783</v>
      </c>
      <c r="D29" s="606">
        <v>45378.0</v>
      </c>
      <c r="E29" s="684">
        <v>7000000.0</v>
      </c>
      <c r="F29" s="684"/>
      <c r="G29" s="608" t="s">
        <v>97</v>
      </c>
      <c r="H29" s="608" t="s">
        <v>51</v>
      </c>
      <c r="I29" s="401" t="s">
        <v>8</v>
      </c>
      <c r="J29" s="608"/>
      <c r="K29" s="608"/>
      <c r="L29" s="608"/>
      <c r="M29" s="608"/>
      <c r="N29" s="401" t="s">
        <v>52</v>
      </c>
      <c r="O29" s="610"/>
    </row>
    <row r="30" ht="13.5" customHeight="1">
      <c r="A30" s="602">
        <v>396.0</v>
      </c>
      <c r="B30" s="401" t="s">
        <v>2334</v>
      </c>
      <c r="C30" s="774" t="s">
        <v>785</v>
      </c>
      <c r="D30" s="606">
        <v>45378.0</v>
      </c>
      <c r="E30" s="684">
        <v>7000000.0</v>
      </c>
      <c r="F30" s="684"/>
      <c r="G30" s="608" t="s">
        <v>97</v>
      </c>
      <c r="H30" s="608" t="s">
        <v>51</v>
      </c>
      <c r="I30" s="401" t="s">
        <v>8</v>
      </c>
      <c r="J30" s="608"/>
      <c r="K30" s="608"/>
      <c r="L30" s="608"/>
      <c r="M30" s="608"/>
      <c r="N30" s="401" t="s">
        <v>52</v>
      </c>
      <c r="O30" s="610"/>
    </row>
    <row r="31" ht="13.5" customHeight="1">
      <c r="A31" s="602">
        <v>398.0</v>
      </c>
      <c r="B31" s="401" t="s">
        <v>1672</v>
      </c>
      <c r="C31" s="608" t="s">
        <v>790</v>
      </c>
      <c r="D31" s="606">
        <v>45412.0</v>
      </c>
      <c r="E31" s="684">
        <v>3975000.0</v>
      </c>
      <c r="F31" s="684"/>
      <c r="G31" s="608"/>
      <c r="H31" s="608" t="s">
        <v>95</v>
      </c>
      <c r="I31" s="608" t="s">
        <v>8</v>
      </c>
      <c r="J31" s="608" t="s">
        <v>791</v>
      </c>
      <c r="K31" s="608"/>
      <c r="L31" s="608"/>
      <c r="M31" s="608"/>
      <c r="N31" s="401" t="s">
        <v>52</v>
      </c>
      <c r="O31" s="610"/>
    </row>
    <row r="32" ht="13.5" customHeight="1">
      <c r="A32" s="697">
        <v>402.0</v>
      </c>
      <c r="B32" s="401" t="s">
        <v>2335</v>
      </c>
      <c r="C32" s="401" t="s">
        <v>798</v>
      </c>
      <c r="D32" s="739">
        <v>45420.0</v>
      </c>
      <c r="E32" s="704">
        <v>642100.0</v>
      </c>
      <c r="F32" s="704"/>
      <c r="G32" s="401"/>
      <c r="H32" s="401" t="s">
        <v>95</v>
      </c>
      <c r="I32" s="401" t="s">
        <v>8</v>
      </c>
      <c r="J32" s="401" t="s">
        <v>799</v>
      </c>
      <c r="K32" s="608"/>
      <c r="L32" s="608"/>
      <c r="M32" s="608"/>
      <c r="N32" s="401" t="s">
        <v>52</v>
      </c>
      <c r="O32" s="610"/>
    </row>
    <row r="33" ht="13.5" customHeight="1">
      <c r="A33" s="602">
        <v>403.0</v>
      </c>
      <c r="B33" s="401" t="s">
        <v>2336</v>
      </c>
      <c r="C33" s="401" t="s">
        <v>798</v>
      </c>
      <c r="D33" s="739">
        <v>45420.0</v>
      </c>
      <c r="E33" s="704">
        <v>642100.0</v>
      </c>
      <c r="F33" s="704"/>
      <c r="G33" s="401"/>
      <c r="H33" s="401" t="s">
        <v>95</v>
      </c>
      <c r="I33" s="401" t="s">
        <v>8</v>
      </c>
      <c r="J33" s="401" t="s">
        <v>799</v>
      </c>
      <c r="K33" s="608"/>
      <c r="L33" s="608"/>
      <c r="M33" s="608"/>
      <c r="N33" s="401" t="s">
        <v>52</v>
      </c>
      <c r="O33" s="610"/>
    </row>
    <row r="34" ht="13.5" customHeight="1">
      <c r="A34" s="602">
        <v>404.0</v>
      </c>
      <c r="B34" s="401" t="s">
        <v>2337</v>
      </c>
      <c r="C34" s="401" t="s">
        <v>798</v>
      </c>
      <c r="D34" s="739">
        <v>45420.0</v>
      </c>
      <c r="E34" s="704">
        <v>642100.0</v>
      </c>
      <c r="F34" s="704"/>
      <c r="G34" s="401"/>
      <c r="H34" s="401" t="s">
        <v>95</v>
      </c>
      <c r="I34" s="401" t="s">
        <v>8</v>
      </c>
      <c r="J34" s="401" t="s">
        <v>799</v>
      </c>
      <c r="K34" s="608"/>
      <c r="L34" s="608"/>
      <c r="M34" s="608"/>
      <c r="N34" s="401" t="s">
        <v>52</v>
      </c>
      <c r="O34" s="610"/>
    </row>
    <row r="35" ht="13.5" customHeight="1">
      <c r="A35" s="602">
        <v>405.0</v>
      </c>
      <c r="B35" s="401" t="s">
        <v>2338</v>
      </c>
      <c r="C35" s="401" t="s">
        <v>798</v>
      </c>
      <c r="D35" s="739">
        <v>45420.0</v>
      </c>
      <c r="E35" s="704">
        <v>642100.0</v>
      </c>
      <c r="F35" s="704"/>
      <c r="G35" s="401"/>
      <c r="H35" s="401" t="s">
        <v>95</v>
      </c>
      <c r="I35" s="401" t="s">
        <v>8</v>
      </c>
      <c r="J35" s="401" t="s">
        <v>799</v>
      </c>
      <c r="K35" s="608"/>
      <c r="L35" s="608"/>
      <c r="M35" s="608"/>
      <c r="N35" s="401" t="s">
        <v>52</v>
      </c>
      <c r="O35" s="610"/>
    </row>
    <row r="36" ht="13.5" customHeight="1">
      <c r="A36" s="602">
        <v>406.0</v>
      </c>
      <c r="B36" s="401" t="s">
        <v>2339</v>
      </c>
      <c r="C36" s="401" t="s">
        <v>798</v>
      </c>
      <c r="D36" s="739">
        <v>45420.0</v>
      </c>
      <c r="E36" s="704">
        <v>642100.0</v>
      </c>
      <c r="F36" s="704"/>
      <c r="G36" s="401"/>
      <c r="H36" s="401" t="s">
        <v>95</v>
      </c>
      <c r="I36" s="401" t="s">
        <v>8</v>
      </c>
      <c r="J36" s="401" t="s">
        <v>799</v>
      </c>
      <c r="K36" s="608"/>
      <c r="L36" s="608"/>
      <c r="M36" s="608"/>
      <c r="N36" s="401" t="s">
        <v>52</v>
      </c>
      <c r="O36" s="610"/>
    </row>
    <row r="37" ht="13.5" customHeight="1">
      <c r="A37" s="697">
        <v>407.0</v>
      </c>
      <c r="B37" s="401" t="s">
        <v>2340</v>
      </c>
      <c r="C37" s="401" t="s">
        <v>798</v>
      </c>
      <c r="D37" s="739">
        <v>45420.0</v>
      </c>
      <c r="E37" s="704">
        <v>642100.0</v>
      </c>
      <c r="F37" s="704"/>
      <c r="G37" s="401"/>
      <c r="H37" s="401" t="s">
        <v>95</v>
      </c>
      <c r="I37" s="401" t="s">
        <v>8</v>
      </c>
      <c r="J37" s="401" t="s">
        <v>799</v>
      </c>
      <c r="K37" s="608"/>
      <c r="L37" s="608"/>
      <c r="M37" s="608"/>
      <c r="N37" s="401" t="s">
        <v>52</v>
      </c>
      <c r="O37" s="610"/>
    </row>
    <row r="38" ht="13.5" customHeight="1">
      <c r="A38" s="602">
        <v>408.0</v>
      </c>
      <c r="B38" s="401" t="s">
        <v>2341</v>
      </c>
      <c r="C38" s="401" t="s">
        <v>798</v>
      </c>
      <c r="D38" s="739">
        <v>45420.0</v>
      </c>
      <c r="E38" s="704">
        <v>642100.0</v>
      </c>
      <c r="F38" s="704"/>
      <c r="G38" s="401"/>
      <c r="H38" s="401" t="s">
        <v>95</v>
      </c>
      <c r="I38" s="401" t="s">
        <v>8</v>
      </c>
      <c r="J38" s="401" t="s">
        <v>799</v>
      </c>
      <c r="K38" s="608"/>
      <c r="L38" s="608"/>
      <c r="M38" s="608"/>
      <c r="N38" s="401" t="s">
        <v>52</v>
      </c>
      <c r="O38" s="610"/>
    </row>
    <row r="39" ht="13.5" customHeight="1">
      <c r="A39" s="602">
        <v>409.0</v>
      </c>
      <c r="B39" s="401" t="s">
        <v>2342</v>
      </c>
      <c r="C39" s="401" t="s">
        <v>798</v>
      </c>
      <c r="D39" s="739">
        <v>45420.0</v>
      </c>
      <c r="E39" s="704">
        <v>642100.0</v>
      </c>
      <c r="F39" s="704"/>
      <c r="G39" s="401"/>
      <c r="H39" s="401" t="s">
        <v>95</v>
      </c>
      <c r="I39" s="401" t="s">
        <v>8</v>
      </c>
      <c r="J39" s="401" t="s">
        <v>799</v>
      </c>
      <c r="K39" s="608"/>
      <c r="L39" s="608"/>
      <c r="M39" s="608"/>
      <c r="N39" s="401" t="s">
        <v>52</v>
      </c>
      <c r="O39" s="610"/>
    </row>
    <row r="40" ht="13.5" customHeight="1">
      <c r="A40" s="602">
        <v>410.0</v>
      </c>
      <c r="B40" s="401" t="s">
        <v>2343</v>
      </c>
      <c r="C40" s="401" t="s">
        <v>798</v>
      </c>
      <c r="D40" s="739">
        <v>45420.0</v>
      </c>
      <c r="E40" s="704">
        <v>642100.0</v>
      </c>
      <c r="F40" s="704"/>
      <c r="G40" s="401"/>
      <c r="H40" s="401" t="s">
        <v>95</v>
      </c>
      <c r="I40" s="401" t="s">
        <v>8</v>
      </c>
      <c r="J40" s="401" t="s">
        <v>799</v>
      </c>
      <c r="K40" s="608"/>
      <c r="L40" s="608"/>
      <c r="M40" s="608"/>
      <c r="N40" s="401" t="s">
        <v>52</v>
      </c>
      <c r="O40" s="610"/>
    </row>
    <row r="41" ht="13.5" customHeight="1">
      <c r="A41" s="602">
        <v>411.0</v>
      </c>
      <c r="B41" s="401" t="s">
        <v>2344</v>
      </c>
      <c r="C41" s="401" t="s">
        <v>798</v>
      </c>
      <c r="D41" s="739">
        <v>45420.0</v>
      </c>
      <c r="E41" s="704">
        <v>642100.0</v>
      </c>
      <c r="F41" s="704"/>
      <c r="G41" s="401"/>
      <c r="H41" s="401" t="s">
        <v>95</v>
      </c>
      <c r="I41" s="401" t="s">
        <v>8</v>
      </c>
      <c r="J41" s="401" t="s">
        <v>799</v>
      </c>
      <c r="K41" s="608"/>
      <c r="L41" s="608"/>
      <c r="M41" s="608"/>
      <c r="N41" s="401" t="s">
        <v>52</v>
      </c>
      <c r="O41" s="610"/>
    </row>
    <row r="42" ht="13.5" customHeight="1">
      <c r="A42" s="697">
        <v>412.0</v>
      </c>
      <c r="B42" s="401" t="s">
        <v>2345</v>
      </c>
      <c r="C42" s="401" t="s">
        <v>798</v>
      </c>
      <c r="D42" s="739">
        <v>45420.0</v>
      </c>
      <c r="E42" s="704">
        <v>642100.0</v>
      </c>
      <c r="F42" s="704"/>
      <c r="G42" s="401"/>
      <c r="H42" s="401" t="s">
        <v>95</v>
      </c>
      <c r="I42" s="401" t="s">
        <v>8</v>
      </c>
      <c r="J42" s="401" t="s">
        <v>799</v>
      </c>
      <c r="K42" s="608"/>
      <c r="L42" s="608"/>
      <c r="M42" s="608"/>
      <c r="N42" s="401" t="s">
        <v>52</v>
      </c>
      <c r="O42" s="610"/>
    </row>
    <row r="43" ht="13.5" customHeight="1">
      <c r="A43" s="602">
        <v>413.0</v>
      </c>
      <c r="B43" s="401" t="s">
        <v>2346</v>
      </c>
      <c r="C43" s="401" t="s">
        <v>798</v>
      </c>
      <c r="D43" s="739">
        <v>45420.0</v>
      </c>
      <c r="E43" s="704">
        <v>642100.0</v>
      </c>
      <c r="F43" s="704"/>
      <c r="G43" s="401"/>
      <c r="H43" s="401" t="s">
        <v>95</v>
      </c>
      <c r="I43" s="401" t="s">
        <v>8</v>
      </c>
      <c r="J43" s="401" t="s">
        <v>799</v>
      </c>
      <c r="K43" s="608"/>
      <c r="L43" s="608"/>
      <c r="M43" s="608"/>
      <c r="N43" s="401" t="s">
        <v>52</v>
      </c>
      <c r="O43" s="610"/>
    </row>
    <row r="44" ht="13.5" customHeight="1">
      <c r="A44" s="602">
        <v>414.0</v>
      </c>
      <c r="B44" s="401" t="s">
        <v>2347</v>
      </c>
      <c r="C44" s="608" t="s">
        <v>812</v>
      </c>
      <c r="D44" s="606">
        <v>45420.0</v>
      </c>
      <c r="E44" s="704">
        <v>1210200.0</v>
      </c>
      <c r="F44" s="684"/>
      <c r="G44" s="401"/>
      <c r="H44" s="608" t="s">
        <v>95</v>
      </c>
      <c r="I44" s="608" t="s">
        <v>8</v>
      </c>
      <c r="J44" s="608" t="s">
        <v>813</v>
      </c>
      <c r="K44" s="608"/>
      <c r="L44" s="608"/>
      <c r="M44" s="608"/>
      <c r="N44" s="608" t="s">
        <v>52</v>
      </c>
      <c r="O44" s="610"/>
    </row>
    <row r="45" ht="13.5" customHeight="1">
      <c r="A45" s="602">
        <v>415.0</v>
      </c>
      <c r="B45" s="401" t="s">
        <v>2348</v>
      </c>
      <c r="C45" s="608" t="s">
        <v>815</v>
      </c>
      <c r="D45" s="606">
        <v>45420.0</v>
      </c>
      <c r="E45" s="704">
        <v>816900.0</v>
      </c>
      <c r="F45" s="684"/>
      <c r="G45" s="401" t="s">
        <v>1660</v>
      </c>
      <c r="H45" s="608" t="s">
        <v>95</v>
      </c>
      <c r="I45" s="608" t="s">
        <v>8</v>
      </c>
      <c r="J45" s="608"/>
      <c r="K45" s="608"/>
      <c r="L45" s="608"/>
      <c r="M45" s="608"/>
      <c r="N45" s="401" t="s">
        <v>52</v>
      </c>
      <c r="O45" s="610"/>
    </row>
    <row r="46" ht="13.5" customHeight="1">
      <c r="A46" s="602">
        <v>416.0</v>
      </c>
      <c r="B46" s="401" t="s">
        <v>2349</v>
      </c>
      <c r="C46" s="608" t="s">
        <v>815</v>
      </c>
      <c r="D46" s="606">
        <v>45420.0</v>
      </c>
      <c r="E46" s="704">
        <v>816900.0</v>
      </c>
      <c r="F46" s="684"/>
      <c r="G46" s="401" t="s">
        <v>1660</v>
      </c>
      <c r="H46" s="401" t="s">
        <v>51</v>
      </c>
      <c r="I46" s="608" t="s">
        <v>8</v>
      </c>
      <c r="J46" s="608"/>
      <c r="K46" s="608"/>
      <c r="L46" s="608"/>
      <c r="M46" s="608"/>
      <c r="N46" s="401" t="s">
        <v>52</v>
      </c>
      <c r="O46" s="610"/>
    </row>
    <row r="47" ht="13.5" customHeight="1">
      <c r="A47" s="697">
        <v>417.0</v>
      </c>
      <c r="B47" s="401" t="s">
        <v>2350</v>
      </c>
      <c r="C47" s="608" t="s">
        <v>1947</v>
      </c>
      <c r="D47" s="606">
        <v>45443.0</v>
      </c>
      <c r="E47" s="704">
        <v>799000.0</v>
      </c>
      <c r="F47" s="684"/>
      <c r="G47" s="401" t="s">
        <v>1925</v>
      </c>
      <c r="H47" s="608" t="s">
        <v>95</v>
      </c>
      <c r="I47" s="608" t="s">
        <v>8</v>
      </c>
      <c r="J47" s="608" t="s">
        <v>155</v>
      </c>
      <c r="K47" s="608"/>
      <c r="L47" s="608"/>
      <c r="M47" s="608"/>
      <c r="N47" s="401" t="s">
        <v>52</v>
      </c>
      <c r="O47" s="610"/>
    </row>
    <row r="48" ht="13.5" customHeight="1">
      <c r="A48" s="602">
        <v>418.0</v>
      </c>
      <c r="B48" s="401" t="s">
        <v>2351</v>
      </c>
      <c r="C48" s="608" t="s">
        <v>1947</v>
      </c>
      <c r="D48" s="606">
        <v>45443.0</v>
      </c>
      <c r="E48" s="704">
        <v>799000.0</v>
      </c>
      <c r="F48" s="684"/>
      <c r="G48" s="401" t="s">
        <v>1924</v>
      </c>
      <c r="H48" s="608" t="s">
        <v>95</v>
      </c>
      <c r="I48" s="608" t="s">
        <v>8</v>
      </c>
      <c r="J48" s="608" t="s">
        <v>155</v>
      </c>
      <c r="K48" s="608"/>
      <c r="L48" s="608"/>
      <c r="M48" s="608"/>
      <c r="N48" s="401" t="s">
        <v>52</v>
      </c>
      <c r="O48" s="610"/>
    </row>
    <row r="49" ht="13.5" customHeight="1">
      <c r="A49" s="602">
        <v>419.0</v>
      </c>
      <c r="B49" s="401" t="s">
        <v>2352</v>
      </c>
      <c r="C49" s="608" t="s">
        <v>1947</v>
      </c>
      <c r="D49" s="606">
        <v>45443.0</v>
      </c>
      <c r="E49" s="704">
        <v>799000.0</v>
      </c>
      <c r="F49" s="684"/>
      <c r="G49" s="401" t="s">
        <v>2311</v>
      </c>
      <c r="H49" s="608" t="s">
        <v>95</v>
      </c>
      <c r="I49" s="608" t="s">
        <v>8</v>
      </c>
      <c r="J49" s="608" t="s">
        <v>155</v>
      </c>
      <c r="K49" s="608"/>
      <c r="L49" s="608"/>
      <c r="M49" s="608"/>
      <c r="N49" s="401" t="s">
        <v>52</v>
      </c>
      <c r="O49" s="610"/>
    </row>
    <row r="50" ht="13.5" customHeight="1">
      <c r="A50" s="602">
        <v>420.0</v>
      </c>
      <c r="B50" s="401" t="s">
        <v>2353</v>
      </c>
      <c r="C50" s="401" t="s">
        <v>798</v>
      </c>
      <c r="D50" s="739">
        <v>45447.0</v>
      </c>
      <c r="E50" s="704">
        <v>651200.0</v>
      </c>
      <c r="F50" s="704"/>
      <c r="G50" s="608"/>
      <c r="H50" s="401" t="s">
        <v>95</v>
      </c>
      <c r="I50" s="401" t="s">
        <v>8</v>
      </c>
      <c r="J50" s="401" t="s">
        <v>799</v>
      </c>
      <c r="K50" s="608"/>
      <c r="L50" s="608"/>
      <c r="M50" s="608"/>
      <c r="N50" s="401" t="s">
        <v>52</v>
      </c>
      <c r="O50" s="610"/>
    </row>
    <row r="51" ht="13.5" customHeight="1">
      <c r="A51" s="602">
        <v>421.0</v>
      </c>
      <c r="B51" s="401" t="s">
        <v>2354</v>
      </c>
      <c r="C51" s="401" t="s">
        <v>822</v>
      </c>
      <c r="D51" s="739">
        <v>45450.0</v>
      </c>
      <c r="E51" s="704">
        <v>5396175.0</v>
      </c>
      <c r="F51" s="704"/>
      <c r="G51" s="401" t="s">
        <v>1887</v>
      </c>
      <c r="H51" s="401" t="s">
        <v>95</v>
      </c>
      <c r="I51" s="401" t="s">
        <v>8</v>
      </c>
      <c r="J51" s="401" t="s">
        <v>121</v>
      </c>
      <c r="K51" s="608"/>
      <c r="L51" s="608"/>
      <c r="M51" s="608"/>
      <c r="N51" s="401" t="s">
        <v>52</v>
      </c>
      <c r="O51" s="610"/>
    </row>
    <row r="52" ht="13.5" customHeight="1">
      <c r="A52" s="697">
        <v>422.0</v>
      </c>
      <c r="B52" s="401" t="s">
        <v>2355</v>
      </c>
      <c r="C52" s="401" t="s">
        <v>824</v>
      </c>
      <c r="D52" s="739">
        <v>45462.0</v>
      </c>
      <c r="E52" s="704">
        <v>576340.0</v>
      </c>
      <c r="F52" s="704"/>
      <c r="G52" s="401" t="s">
        <v>1916</v>
      </c>
      <c r="H52" s="401" t="s">
        <v>47</v>
      </c>
      <c r="I52" s="401" t="s">
        <v>8</v>
      </c>
      <c r="J52" s="608"/>
      <c r="K52" s="608"/>
      <c r="L52" s="608"/>
      <c r="M52" s="608"/>
      <c r="N52" s="401" t="s">
        <v>52</v>
      </c>
      <c r="O52" s="610"/>
    </row>
    <row r="53" ht="13.5" customHeight="1">
      <c r="A53" s="602">
        <v>423.0</v>
      </c>
      <c r="B53" s="401" t="s">
        <v>2356</v>
      </c>
      <c r="C53" s="765" t="s">
        <v>826</v>
      </c>
      <c r="D53" s="766">
        <v>45471.0</v>
      </c>
      <c r="E53" s="775">
        <v>983900.0</v>
      </c>
      <c r="F53" s="775"/>
      <c r="G53" s="608"/>
      <c r="H53" s="401" t="s">
        <v>51</v>
      </c>
      <c r="I53" s="401" t="s">
        <v>8</v>
      </c>
      <c r="J53" s="401" t="s">
        <v>827</v>
      </c>
      <c r="K53" s="608"/>
      <c r="L53" s="608"/>
      <c r="M53" s="608"/>
      <c r="N53" s="401" t="s">
        <v>52</v>
      </c>
      <c r="O53" s="610"/>
    </row>
    <row r="54" ht="13.5" customHeight="1">
      <c r="A54" s="602">
        <v>424.0</v>
      </c>
      <c r="B54" s="401" t="s">
        <v>2357</v>
      </c>
      <c r="C54" s="776" t="s">
        <v>829</v>
      </c>
      <c r="D54" s="777">
        <v>45471.0</v>
      </c>
      <c r="E54" s="778">
        <v>563000.0</v>
      </c>
      <c r="F54" s="779"/>
      <c r="G54" s="608"/>
      <c r="H54" s="401" t="s">
        <v>51</v>
      </c>
      <c r="I54" s="401" t="s">
        <v>8</v>
      </c>
      <c r="J54" s="401"/>
      <c r="K54" s="608"/>
      <c r="L54" s="608"/>
      <c r="M54" s="608"/>
      <c r="N54" s="401" t="s">
        <v>52</v>
      </c>
      <c r="O54" s="610"/>
    </row>
    <row r="55" ht="13.5" customHeight="1">
      <c r="A55" s="602">
        <v>425.0</v>
      </c>
      <c r="B55" s="401" t="s">
        <v>2358</v>
      </c>
      <c r="C55" s="401" t="s">
        <v>831</v>
      </c>
      <c r="D55" s="739">
        <v>45478.0</v>
      </c>
      <c r="E55" s="704">
        <v>1150000.0</v>
      </c>
      <c r="F55" s="704"/>
      <c r="G55" s="608"/>
      <c r="H55" s="401" t="s">
        <v>95</v>
      </c>
      <c r="I55" s="401" t="s">
        <v>8</v>
      </c>
      <c r="J55" s="401" t="s">
        <v>832</v>
      </c>
      <c r="K55" s="608"/>
      <c r="L55" s="608"/>
      <c r="M55" s="608"/>
      <c r="N55" s="401" t="s">
        <v>52</v>
      </c>
      <c r="O55" s="610"/>
    </row>
    <row r="56" ht="13.5" customHeight="1">
      <c r="A56" s="602">
        <v>426.0</v>
      </c>
      <c r="B56" s="401" t="s">
        <v>2359</v>
      </c>
      <c r="C56" s="401" t="s">
        <v>834</v>
      </c>
      <c r="D56" s="739">
        <v>45455.0</v>
      </c>
      <c r="E56" s="704">
        <v>1399000.0</v>
      </c>
      <c r="F56" s="704"/>
      <c r="G56" s="608"/>
      <c r="H56" s="401" t="s">
        <v>95</v>
      </c>
      <c r="I56" s="401" t="s">
        <v>8</v>
      </c>
      <c r="J56" s="401" t="s">
        <v>155</v>
      </c>
      <c r="K56" s="608"/>
      <c r="L56" s="608"/>
      <c r="M56" s="608"/>
      <c r="N56" s="401" t="s">
        <v>52</v>
      </c>
      <c r="O56" s="610"/>
    </row>
    <row r="57" ht="13.5" customHeight="1">
      <c r="A57" s="697">
        <v>427.0</v>
      </c>
      <c r="B57" s="401" t="s">
        <v>2360</v>
      </c>
      <c r="C57" s="771" t="s">
        <v>836</v>
      </c>
      <c r="D57" s="772">
        <v>45476.0</v>
      </c>
      <c r="E57" s="780">
        <v>1350000.0</v>
      </c>
      <c r="F57" s="780"/>
      <c r="G57" s="608"/>
      <c r="H57" s="401" t="s">
        <v>51</v>
      </c>
      <c r="I57" s="401" t="s">
        <v>8</v>
      </c>
      <c r="J57" s="401" t="s">
        <v>837</v>
      </c>
      <c r="K57" s="608"/>
      <c r="L57" s="608"/>
      <c r="M57" s="608"/>
      <c r="N57" s="401" t="s">
        <v>52</v>
      </c>
      <c r="O57" s="610"/>
    </row>
    <row r="58" ht="13.5" customHeight="1">
      <c r="A58" s="602">
        <v>428.0</v>
      </c>
      <c r="B58" s="401" t="s">
        <v>2361</v>
      </c>
      <c r="C58" s="768" t="s">
        <v>839</v>
      </c>
      <c r="D58" s="772">
        <v>45485.0</v>
      </c>
      <c r="E58" s="780">
        <v>880000.0</v>
      </c>
      <c r="F58" s="780"/>
      <c r="G58" s="608"/>
      <c r="H58" s="401" t="s">
        <v>51</v>
      </c>
      <c r="I58" s="401" t="s">
        <v>8</v>
      </c>
      <c r="J58" s="401" t="s">
        <v>827</v>
      </c>
      <c r="K58" s="608"/>
      <c r="L58" s="608"/>
      <c r="M58" s="608"/>
      <c r="N58" s="401" t="s">
        <v>52</v>
      </c>
      <c r="O58" s="610"/>
    </row>
    <row r="59" ht="13.5" customHeight="1">
      <c r="A59" s="602">
        <v>429.0</v>
      </c>
      <c r="B59" s="401" t="s">
        <v>2362</v>
      </c>
      <c r="C59" s="771" t="s">
        <v>841</v>
      </c>
      <c r="D59" s="781">
        <v>45492.0</v>
      </c>
      <c r="E59" s="780">
        <v>2500000.0</v>
      </c>
      <c r="F59" s="780"/>
      <c r="G59" s="608"/>
      <c r="H59" s="401" t="s">
        <v>51</v>
      </c>
      <c r="I59" s="401" t="s">
        <v>8</v>
      </c>
      <c r="J59" s="401" t="s">
        <v>837</v>
      </c>
      <c r="K59" s="608"/>
      <c r="L59" s="608"/>
      <c r="M59" s="608"/>
      <c r="N59" s="401" t="s">
        <v>52</v>
      </c>
      <c r="O59" s="610"/>
    </row>
    <row r="60" ht="13.5" customHeight="1">
      <c r="A60" s="602">
        <v>430.0</v>
      </c>
      <c r="B60" s="401" t="s">
        <v>2363</v>
      </c>
      <c r="C60" s="401" t="s">
        <v>843</v>
      </c>
      <c r="D60" s="739">
        <v>45496.0</v>
      </c>
      <c r="E60" s="704">
        <v>424900.0</v>
      </c>
      <c r="F60" s="704"/>
      <c r="G60" s="401" t="s">
        <v>166</v>
      </c>
      <c r="H60" s="401" t="s">
        <v>95</v>
      </c>
      <c r="I60" s="401" t="s">
        <v>8</v>
      </c>
      <c r="J60" s="608"/>
      <c r="K60" s="608"/>
      <c r="L60" s="608"/>
      <c r="M60" s="608"/>
      <c r="N60" s="401" t="s">
        <v>52</v>
      </c>
      <c r="O60" s="610"/>
    </row>
    <row r="61" ht="13.5" customHeight="1">
      <c r="A61" s="602">
        <v>431.0</v>
      </c>
      <c r="B61" s="401" t="s">
        <v>2364</v>
      </c>
      <c r="C61" s="401" t="s">
        <v>831</v>
      </c>
      <c r="D61" s="739">
        <v>45499.0</v>
      </c>
      <c r="E61" s="704">
        <v>1150000.0</v>
      </c>
      <c r="F61" s="704"/>
      <c r="G61" s="608"/>
      <c r="H61" s="401" t="s">
        <v>95</v>
      </c>
      <c r="I61" s="401" t="s">
        <v>8</v>
      </c>
      <c r="J61" s="401" t="s">
        <v>832</v>
      </c>
      <c r="K61" s="608"/>
      <c r="L61" s="608"/>
      <c r="M61" s="608"/>
      <c r="N61" s="401" t="s">
        <v>52</v>
      </c>
      <c r="O61" s="610"/>
    </row>
    <row r="62" ht="13.5" customHeight="1">
      <c r="A62" s="697">
        <v>364.0</v>
      </c>
      <c r="B62" s="401" t="s">
        <v>2365</v>
      </c>
      <c r="C62" s="695" t="s">
        <v>729</v>
      </c>
      <c r="D62" s="606">
        <v>45295.0</v>
      </c>
      <c r="E62" s="684">
        <v>3128020.0</v>
      </c>
      <c r="F62" s="702"/>
      <c r="G62" s="401" t="s">
        <v>138</v>
      </c>
      <c r="H62" s="608" t="s">
        <v>95</v>
      </c>
      <c r="I62" s="401" t="s">
        <v>13</v>
      </c>
      <c r="J62" s="608" t="s">
        <v>434</v>
      </c>
      <c r="K62" s="608"/>
      <c r="L62" s="608"/>
      <c r="M62" s="608"/>
      <c r="N62" s="401" t="s">
        <v>52</v>
      </c>
      <c r="O62" s="610"/>
    </row>
    <row r="63" ht="13.5" customHeight="1">
      <c r="A63" s="602">
        <v>366.0</v>
      </c>
      <c r="B63" s="401" t="s">
        <v>1656</v>
      </c>
      <c r="C63" s="608" t="s">
        <v>734</v>
      </c>
      <c r="D63" s="595">
        <v>45309.0</v>
      </c>
      <c r="E63" s="684">
        <v>2.1175619E8</v>
      </c>
      <c r="F63" s="684"/>
      <c r="G63" s="608" t="s">
        <v>1658</v>
      </c>
      <c r="H63" s="608" t="s">
        <v>95</v>
      </c>
      <c r="I63" s="401" t="s">
        <v>13</v>
      </c>
      <c r="J63" s="401" t="s">
        <v>735</v>
      </c>
      <c r="K63" s="608"/>
      <c r="L63" s="608"/>
      <c r="M63" s="608"/>
      <c r="N63" s="401" t="s">
        <v>52</v>
      </c>
      <c r="O63" s="610"/>
    </row>
    <row r="64" ht="13.5" customHeight="1">
      <c r="A64" s="602">
        <v>367.0</v>
      </c>
      <c r="B64" s="401" t="s">
        <v>2366</v>
      </c>
      <c r="C64" s="608" t="s">
        <v>737</v>
      </c>
      <c r="D64" s="606">
        <v>45310.0</v>
      </c>
      <c r="E64" s="704">
        <v>255000.0</v>
      </c>
      <c r="F64" s="684"/>
      <c r="G64" s="401" t="s">
        <v>336</v>
      </c>
      <c r="H64" s="608" t="s">
        <v>47</v>
      </c>
      <c r="I64" s="401" t="s">
        <v>13</v>
      </c>
      <c r="J64" s="608"/>
      <c r="K64" s="608"/>
      <c r="L64" s="608"/>
      <c r="M64" s="608"/>
      <c r="N64" s="401" t="s">
        <v>52</v>
      </c>
      <c r="O64" s="610"/>
    </row>
    <row r="65" ht="13.5" customHeight="1">
      <c r="A65" s="602">
        <v>368.0</v>
      </c>
      <c r="B65" s="401" t="s">
        <v>2367</v>
      </c>
      <c r="C65" s="608" t="s">
        <v>737</v>
      </c>
      <c r="D65" s="606">
        <v>45310.0</v>
      </c>
      <c r="E65" s="704">
        <v>255000.0</v>
      </c>
      <c r="F65" s="684"/>
      <c r="G65" s="401" t="s">
        <v>138</v>
      </c>
      <c r="H65" s="401" t="s">
        <v>95</v>
      </c>
      <c r="I65" s="401" t="s">
        <v>13</v>
      </c>
      <c r="J65" s="608"/>
      <c r="K65" s="608"/>
      <c r="L65" s="608"/>
      <c r="M65" s="608"/>
      <c r="N65" s="401" t="s">
        <v>52</v>
      </c>
      <c r="O65" s="610"/>
    </row>
    <row r="66" ht="13.5" customHeight="1">
      <c r="A66" s="602">
        <v>369.0</v>
      </c>
      <c r="B66" s="401" t="s">
        <v>2368</v>
      </c>
      <c r="C66" s="608" t="s">
        <v>741</v>
      </c>
      <c r="D66" s="606">
        <v>45335.0</v>
      </c>
      <c r="E66" s="704">
        <v>417500.0</v>
      </c>
      <c r="F66" s="684"/>
      <c r="G66" s="401" t="s">
        <v>138</v>
      </c>
      <c r="H66" s="608" t="s">
        <v>95</v>
      </c>
      <c r="I66" s="401" t="s">
        <v>13</v>
      </c>
      <c r="J66" s="608"/>
      <c r="K66" s="608"/>
      <c r="L66" s="608"/>
      <c r="M66" s="608"/>
      <c r="N66" s="401" t="s">
        <v>52</v>
      </c>
      <c r="O66" s="610"/>
    </row>
    <row r="67" ht="13.5" customHeight="1">
      <c r="A67" s="697">
        <v>370.0</v>
      </c>
      <c r="B67" s="401" t="s">
        <v>2369</v>
      </c>
      <c r="C67" s="608" t="s">
        <v>741</v>
      </c>
      <c r="D67" s="606">
        <v>45335.0</v>
      </c>
      <c r="E67" s="704">
        <v>417500.0</v>
      </c>
      <c r="F67" s="684"/>
      <c r="G67" s="401" t="s">
        <v>138</v>
      </c>
      <c r="H67" s="608" t="s">
        <v>95</v>
      </c>
      <c r="I67" s="401" t="s">
        <v>13</v>
      </c>
      <c r="J67" s="608"/>
      <c r="K67" s="608"/>
      <c r="L67" s="608"/>
      <c r="M67" s="608"/>
      <c r="N67" s="401" t="s">
        <v>52</v>
      </c>
      <c r="O67" s="610"/>
    </row>
    <row r="68" ht="13.5" customHeight="1">
      <c r="A68" s="602">
        <v>371.0</v>
      </c>
      <c r="B68" s="401" t="s">
        <v>2370</v>
      </c>
      <c r="C68" s="608" t="s">
        <v>744</v>
      </c>
      <c r="D68" s="606">
        <v>45335.0</v>
      </c>
      <c r="E68" s="704">
        <v>587550.0</v>
      </c>
      <c r="F68" s="684"/>
      <c r="G68" s="401" t="s">
        <v>138</v>
      </c>
      <c r="H68" s="608" t="s">
        <v>95</v>
      </c>
      <c r="I68" s="401" t="s">
        <v>13</v>
      </c>
      <c r="J68" s="608"/>
      <c r="K68" s="608"/>
      <c r="L68" s="608"/>
      <c r="M68" s="608"/>
      <c r="N68" s="401" t="s">
        <v>52</v>
      </c>
      <c r="O68" s="610"/>
    </row>
    <row r="69" ht="12.75" customHeight="1">
      <c r="A69" s="602">
        <v>372.0</v>
      </c>
      <c r="B69" s="401" t="s">
        <v>2371</v>
      </c>
      <c r="C69" s="608" t="s">
        <v>744</v>
      </c>
      <c r="D69" s="606">
        <v>45335.0</v>
      </c>
      <c r="E69" s="782">
        <v>587550.0</v>
      </c>
      <c r="F69" s="684"/>
      <c r="G69" s="401" t="s">
        <v>138</v>
      </c>
      <c r="H69" s="608" t="s">
        <v>95</v>
      </c>
      <c r="I69" s="401" t="s">
        <v>13</v>
      </c>
      <c r="J69" s="608"/>
      <c r="K69" s="608"/>
      <c r="L69" s="608"/>
      <c r="M69" s="608"/>
      <c r="N69" s="401" t="s">
        <v>52</v>
      </c>
      <c r="O69" s="610"/>
    </row>
    <row r="70" ht="13.5" customHeight="1">
      <c r="A70" s="602">
        <v>374.0</v>
      </c>
      <c r="B70" s="401" t="s">
        <v>2372</v>
      </c>
      <c r="C70" s="608" t="s">
        <v>747</v>
      </c>
      <c r="D70" s="606">
        <v>45342.0</v>
      </c>
      <c r="E70" s="704">
        <v>6.006E7</v>
      </c>
      <c r="F70" s="684"/>
      <c r="G70" s="401"/>
      <c r="H70" s="401" t="s">
        <v>622</v>
      </c>
      <c r="I70" s="401" t="s">
        <v>13</v>
      </c>
      <c r="J70" s="608"/>
      <c r="K70" s="608"/>
      <c r="L70" s="608"/>
      <c r="M70" s="608"/>
      <c r="N70" s="401" t="s">
        <v>52</v>
      </c>
      <c r="O70" s="610"/>
    </row>
    <row r="71" ht="13.5" customHeight="1">
      <c r="A71" s="602">
        <v>383.0</v>
      </c>
      <c r="B71" s="401" t="s">
        <v>2373</v>
      </c>
      <c r="C71" s="608" t="s">
        <v>760</v>
      </c>
      <c r="D71" s="606">
        <v>45351.0</v>
      </c>
      <c r="E71" s="684">
        <v>1.225E7</v>
      </c>
      <c r="F71" s="684"/>
      <c r="G71" s="608" t="s">
        <v>1906</v>
      </c>
      <c r="H71" s="608" t="s">
        <v>323</v>
      </c>
      <c r="I71" s="401" t="s">
        <v>13</v>
      </c>
      <c r="J71" s="608" t="s">
        <v>121</v>
      </c>
      <c r="K71" s="608"/>
      <c r="L71" s="608"/>
      <c r="M71" s="608"/>
      <c r="N71" s="401" t="s">
        <v>52</v>
      </c>
      <c r="O71" s="610"/>
    </row>
    <row r="72" ht="13.5" customHeight="1">
      <c r="A72" s="697">
        <v>392.0</v>
      </c>
      <c r="B72" s="401" t="s">
        <v>2374</v>
      </c>
      <c r="C72" s="608" t="s">
        <v>777</v>
      </c>
      <c r="D72" s="739">
        <v>45365.0</v>
      </c>
      <c r="E72" s="704">
        <v>1531532.0</v>
      </c>
      <c r="F72" s="684"/>
      <c r="G72" s="608" t="s">
        <v>120</v>
      </c>
      <c r="H72" s="608" t="s">
        <v>95</v>
      </c>
      <c r="I72" s="401" t="s">
        <v>13</v>
      </c>
      <c r="J72" s="608" t="s">
        <v>778</v>
      </c>
      <c r="K72" s="608"/>
      <c r="L72" s="608"/>
      <c r="M72" s="608"/>
      <c r="N72" s="401" t="s">
        <v>52</v>
      </c>
      <c r="O72" s="610"/>
    </row>
    <row r="73" ht="13.5" customHeight="1">
      <c r="A73" s="602">
        <v>397.0</v>
      </c>
      <c r="B73" s="401" t="s">
        <v>2375</v>
      </c>
      <c r="C73" s="608" t="s">
        <v>787</v>
      </c>
      <c r="D73" s="606">
        <v>45412.0</v>
      </c>
      <c r="E73" s="684">
        <v>6780000.0</v>
      </c>
      <c r="F73" s="684"/>
      <c r="G73" s="608" t="s">
        <v>1906</v>
      </c>
      <c r="H73" s="605" t="s">
        <v>51</v>
      </c>
      <c r="I73" s="401" t="s">
        <v>13</v>
      </c>
      <c r="J73" s="608" t="s">
        <v>788</v>
      </c>
      <c r="K73" s="608"/>
      <c r="L73" s="608"/>
      <c r="M73" s="608"/>
      <c r="N73" s="401" t="s">
        <v>52</v>
      </c>
      <c r="O73" s="610"/>
    </row>
    <row r="74" ht="13.5" customHeight="1">
      <c r="A74" s="602">
        <v>399.0</v>
      </c>
      <c r="B74" s="401" t="s">
        <v>2376</v>
      </c>
      <c r="C74" s="608" t="s">
        <v>793</v>
      </c>
      <c r="D74" s="606">
        <v>45412.0</v>
      </c>
      <c r="E74" s="704">
        <v>1600000.0</v>
      </c>
      <c r="F74" s="684"/>
      <c r="G74" s="401" t="s">
        <v>1906</v>
      </c>
      <c r="H74" s="608" t="s">
        <v>95</v>
      </c>
      <c r="I74" s="401" t="s">
        <v>13</v>
      </c>
      <c r="J74" s="608"/>
      <c r="K74" s="608"/>
      <c r="L74" s="608"/>
      <c r="M74" s="608"/>
      <c r="N74" s="401" t="s">
        <v>52</v>
      </c>
      <c r="O74" s="610"/>
    </row>
    <row r="75" ht="13.5" customHeight="1">
      <c r="A75" s="602">
        <v>400.0</v>
      </c>
      <c r="B75" s="783" t="s">
        <v>2377</v>
      </c>
      <c r="C75" s="784" t="s">
        <v>793</v>
      </c>
      <c r="D75" s="785">
        <v>45412.0</v>
      </c>
      <c r="E75" s="786">
        <v>1600000.0</v>
      </c>
      <c r="F75" s="787"/>
      <c r="G75" s="783" t="s">
        <v>1906</v>
      </c>
      <c r="H75" s="784" t="s">
        <v>95</v>
      </c>
      <c r="I75" s="783" t="s">
        <v>13</v>
      </c>
      <c r="J75" s="784"/>
      <c r="K75" s="784"/>
      <c r="L75" s="784"/>
      <c r="M75" s="784"/>
      <c r="N75" s="783" t="s">
        <v>52</v>
      </c>
      <c r="O75" s="788"/>
    </row>
    <row r="76" ht="13.5" customHeight="1">
      <c r="A76" s="602">
        <v>401.0</v>
      </c>
      <c r="B76" s="401" t="s">
        <v>2378</v>
      </c>
      <c r="C76" s="605" t="s">
        <v>796</v>
      </c>
      <c r="D76" s="606">
        <v>45412.0</v>
      </c>
      <c r="E76" s="684">
        <v>1328700.0</v>
      </c>
      <c r="F76" s="684"/>
      <c r="G76" s="401" t="s">
        <v>1906</v>
      </c>
      <c r="H76" s="401" t="s">
        <v>323</v>
      </c>
      <c r="I76" s="401" t="s">
        <v>13</v>
      </c>
      <c r="J76" s="608" t="s">
        <v>485</v>
      </c>
      <c r="K76" s="608"/>
      <c r="L76" s="608"/>
      <c r="M76" s="608"/>
      <c r="N76" s="401" t="s">
        <v>52</v>
      </c>
      <c r="O76" s="610"/>
    </row>
    <row r="77" ht="13.5" customHeight="1">
      <c r="A77" s="697">
        <v>432.0</v>
      </c>
      <c r="B77" s="608"/>
      <c r="C77" s="650" t="s">
        <v>846</v>
      </c>
      <c r="D77" s="700">
        <v>45513.0</v>
      </c>
      <c r="E77" s="701"/>
      <c r="F77" s="749">
        <v>1.05E7</v>
      </c>
      <c r="G77" s="649"/>
      <c r="H77" s="650" t="s">
        <v>51</v>
      </c>
      <c r="I77" s="650" t="s">
        <v>18</v>
      </c>
      <c r="J77" s="649"/>
      <c r="K77" s="649"/>
      <c r="L77" s="649"/>
      <c r="M77" s="649"/>
      <c r="N77" s="650" t="s">
        <v>52</v>
      </c>
      <c r="O77" s="652"/>
    </row>
    <row r="78" ht="13.5" customHeight="1">
      <c r="A78" s="602">
        <v>433.0</v>
      </c>
      <c r="B78" s="608"/>
      <c r="C78" s="650" t="s">
        <v>848</v>
      </c>
      <c r="D78" s="700">
        <v>45513.0</v>
      </c>
      <c r="E78" s="701"/>
      <c r="F78" s="749">
        <v>5.6E7</v>
      </c>
      <c r="G78" s="649"/>
      <c r="H78" s="650" t="s">
        <v>51</v>
      </c>
      <c r="I78" s="650" t="s">
        <v>18</v>
      </c>
      <c r="J78" s="649"/>
      <c r="K78" s="649"/>
      <c r="L78" s="649"/>
      <c r="M78" s="649"/>
      <c r="N78" s="650" t="s">
        <v>52</v>
      </c>
      <c r="O78" s="652"/>
    </row>
    <row r="79" ht="13.5" customHeight="1">
      <c r="A79" s="602">
        <v>434.0</v>
      </c>
      <c r="B79" s="608"/>
      <c r="C79" s="650" t="s">
        <v>850</v>
      </c>
      <c r="D79" s="700">
        <v>45513.0</v>
      </c>
      <c r="E79" s="701"/>
      <c r="F79" s="749">
        <v>1.25E7</v>
      </c>
      <c r="G79" s="649"/>
      <c r="H79" s="650" t="s">
        <v>51</v>
      </c>
      <c r="I79" s="650" t="s">
        <v>18</v>
      </c>
      <c r="J79" s="649"/>
      <c r="K79" s="649"/>
      <c r="L79" s="649"/>
      <c r="M79" s="649"/>
      <c r="N79" s="650" t="s">
        <v>52</v>
      </c>
      <c r="O79" s="652"/>
    </row>
    <row r="80" ht="13.5" customHeight="1">
      <c r="A80" s="602">
        <v>435.0</v>
      </c>
      <c r="B80" s="608"/>
      <c r="C80" s="650" t="s">
        <v>852</v>
      </c>
      <c r="D80" s="700">
        <v>45524.0</v>
      </c>
      <c r="E80" s="701"/>
      <c r="F80" s="749">
        <v>2700000.0</v>
      </c>
      <c r="G80" s="649"/>
      <c r="H80" s="650" t="s">
        <v>51</v>
      </c>
      <c r="I80" s="650" t="s">
        <v>18</v>
      </c>
      <c r="J80" s="649"/>
      <c r="K80" s="649"/>
      <c r="L80" s="649"/>
      <c r="M80" s="649"/>
      <c r="N80" s="650" t="s">
        <v>52</v>
      </c>
      <c r="O80" s="652"/>
    </row>
    <row r="81" ht="13.5" customHeight="1">
      <c r="A81" s="602">
        <v>436.0</v>
      </c>
      <c r="B81" s="608"/>
      <c r="C81" s="650" t="s">
        <v>855</v>
      </c>
      <c r="D81" s="700">
        <v>45524.0</v>
      </c>
      <c r="E81" s="701"/>
      <c r="F81" s="749">
        <v>7000000.0</v>
      </c>
      <c r="G81" s="649"/>
      <c r="H81" s="650" t="s">
        <v>51</v>
      </c>
      <c r="I81" s="650" t="s">
        <v>18</v>
      </c>
      <c r="J81" s="649"/>
      <c r="K81" s="649"/>
      <c r="L81" s="649"/>
      <c r="M81" s="649"/>
      <c r="N81" s="650" t="s">
        <v>52</v>
      </c>
      <c r="O81" s="652"/>
    </row>
    <row r="82" ht="13.5" customHeight="1">
      <c r="A82" s="697">
        <v>437.0</v>
      </c>
      <c r="B82" s="608"/>
      <c r="C82" s="650" t="s">
        <v>857</v>
      </c>
      <c r="D82" s="700">
        <v>45524.0</v>
      </c>
      <c r="E82" s="701"/>
      <c r="F82" s="749">
        <v>484500.0</v>
      </c>
      <c r="G82" s="649"/>
      <c r="H82" s="650" t="s">
        <v>51</v>
      </c>
      <c r="I82" s="650" t="s">
        <v>18</v>
      </c>
      <c r="J82" s="649"/>
      <c r="K82" s="649"/>
      <c r="L82" s="649"/>
      <c r="M82" s="649"/>
      <c r="N82" s="650" t="s">
        <v>52</v>
      </c>
      <c r="O82" s="652"/>
    </row>
    <row r="83" ht="13.5" customHeight="1">
      <c r="A83" s="602">
        <v>438.0</v>
      </c>
      <c r="B83" s="608"/>
      <c r="C83" s="650" t="s">
        <v>860</v>
      </c>
      <c r="D83" s="700">
        <v>45530.0</v>
      </c>
      <c r="E83" s="701"/>
      <c r="F83" s="749">
        <v>683375.0</v>
      </c>
      <c r="G83" s="649"/>
      <c r="H83" s="650" t="s">
        <v>51</v>
      </c>
      <c r="I83" s="650" t="s">
        <v>18</v>
      </c>
      <c r="J83" s="649"/>
      <c r="K83" s="649"/>
      <c r="L83" s="649"/>
      <c r="M83" s="649"/>
      <c r="N83" s="650" t="s">
        <v>52</v>
      </c>
      <c r="O83" s="652"/>
    </row>
    <row r="84" ht="13.5" customHeight="1">
      <c r="A84" s="572"/>
      <c r="B84" s="572"/>
      <c r="C84" s="572"/>
      <c r="D84" s="739"/>
      <c r="E84" s="570"/>
      <c r="F84" s="570"/>
      <c r="G84" s="572"/>
      <c r="H84" s="572"/>
      <c r="I84" s="572"/>
      <c r="J84" s="572"/>
      <c r="K84" s="572"/>
      <c r="L84" s="572"/>
      <c r="M84" s="572"/>
      <c r="N84" s="572"/>
      <c r="O84" s="574"/>
    </row>
    <row r="85" ht="13.5" customHeight="1">
      <c r="A85" s="572"/>
      <c r="B85" s="572"/>
      <c r="C85" s="572"/>
      <c r="D85" s="739"/>
      <c r="E85" s="570"/>
      <c r="F85" s="570"/>
      <c r="G85" s="572"/>
      <c r="H85" s="572"/>
      <c r="I85" s="572"/>
      <c r="J85" s="572"/>
      <c r="K85" s="572"/>
      <c r="L85" s="572"/>
      <c r="M85" s="572"/>
      <c r="N85" s="572"/>
      <c r="O85" s="574"/>
    </row>
    <row r="86" ht="13.5" customHeight="1">
      <c r="A86" s="572"/>
      <c r="B86" s="572"/>
      <c r="C86" s="572"/>
      <c r="D86" s="739"/>
      <c r="E86" s="570"/>
      <c r="F86" s="570"/>
      <c r="G86" s="572"/>
      <c r="H86" s="572"/>
      <c r="I86" s="572"/>
      <c r="J86" s="572"/>
      <c r="K86" s="572"/>
      <c r="L86" s="572"/>
      <c r="M86" s="572"/>
      <c r="N86" s="572"/>
      <c r="O86" s="574"/>
    </row>
    <row r="87" ht="13.5" customHeight="1">
      <c r="A87" s="572"/>
      <c r="B87" s="572"/>
      <c r="C87" s="572"/>
      <c r="D87" s="739"/>
      <c r="E87" s="570"/>
      <c r="F87" s="570"/>
      <c r="G87" s="572"/>
      <c r="H87" s="572"/>
      <c r="I87" s="572"/>
      <c r="J87" s="572"/>
      <c r="K87" s="572"/>
      <c r="L87" s="572"/>
      <c r="M87" s="572"/>
      <c r="N87" s="572"/>
      <c r="O87" s="574"/>
    </row>
    <row r="88" ht="13.5" customHeight="1">
      <c r="A88" s="572"/>
      <c r="B88" s="572"/>
      <c r="C88" s="572"/>
      <c r="D88" s="739"/>
      <c r="E88" s="570"/>
      <c r="F88" s="570"/>
      <c r="G88" s="572"/>
      <c r="H88" s="572"/>
      <c r="I88" s="572"/>
      <c r="J88" s="572"/>
      <c r="K88" s="572"/>
      <c r="L88" s="572"/>
      <c r="M88" s="572"/>
      <c r="N88" s="572"/>
      <c r="O88" s="574"/>
    </row>
    <row r="89" ht="13.5" customHeight="1">
      <c r="A89" s="572"/>
      <c r="B89" s="572"/>
      <c r="C89" s="572"/>
      <c r="D89" s="739"/>
      <c r="E89" s="570"/>
      <c r="F89" s="570"/>
      <c r="G89" s="572"/>
      <c r="H89" s="572"/>
      <c r="I89" s="572"/>
      <c r="J89" s="572"/>
      <c r="K89" s="572"/>
      <c r="L89" s="572"/>
      <c r="M89" s="572"/>
      <c r="N89" s="572"/>
      <c r="O89" s="574"/>
    </row>
    <row r="90" ht="13.5" customHeight="1">
      <c r="A90" s="572"/>
      <c r="B90" s="572"/>
      <c r="C90" s="572"/>
      <c r="D90" s="739"/>
      <c r="E90" s="570"/>
      <c r="F90" s="570"/>
      <c r="G90" s="572"/>
      <c r="H90" s="572"/>
      <c r="I90" s="572"/>
      <c r="J90" s="572"/>
      <c r="K90" s="572"/>
      <c r="L90" s="572"/>
      <c r="M90" s="572"/>
      <c r="N90" s="572"/>
      <c r="O90" s="574"/>
    </row>
    <row r="91" ht="13.5" customHeight="1">
      <c r="A91" s="572"/>
      <c r="B91" s="572"/>
      <c r="C91" s="572"/>
      <c r="D91" s="739"/>
      <c r="E91" s="570"/>
      <c r="F91" s="570"/>
      <c r="G91" s="572"/>
      <c r="H91" s="572"/>
      <c r="I91" s="572"/>
      <c r="J91" s="572"/>
      <c r="K91" s="572"/>
      <c r="L91" s="572"/>
      <c r="M91" s="572"/>
      <c r="N91" s="572"/>
      <c r="O91" s="574"/>
    </row>
    <row r="92" ht="13.5" customHeight="1">
      <c r="A92" s="572"/>
      <c r="B92" s="572"/>
      <c r="C92" s="572"/>
      <c r="D92" s="739"/>
      <c r="E92" s="570"/>
      <c r="F92" s="570"/>
      <c r="G92" s="572"/>
      <c r="H92" s="572"/>
      <c r="I92" s="572"/>
      <c r="J92" s="572"/>
      <c r="K92" s="572"/>
      <c r="L92" s="572"/>
      <c r="M92" s="572"/>
      <c r="N92" s="572"/>
      <c r="O92" s="574"/>
    </row>
    <row r="93" ht="13.5" customHeight="1">
      <c r="A93" s="572"/>
      <c r="B93" s="572"/>
      <c r="C93" s="572"/>
      <c r="D93" s="739"/>
      <c r="E93" s="570"/>
      <c r="F93" s="570"/>
      <c r="G93" s="572"/>
      <c r="H93" s="572"/>
      <c r="I93" s="572"/>
      <c r="J93" s="572"/>
      <c r="K93" s="572"/>
      <c r="L93" s="572"/>
      <c r="M93" s="572"/>
      <c r="N93" s="572"/>
      <c r="O93" s="574"/>
    </row>
    <row r="94" ht="13.5" customHeight="1">
      <c r="A94" s="572"/>
      <c r="B94" s="572"/>
      <c r="C94" s="572"/>
      <c r="D94" s="739"/>
      <c r="E94" s="570"/>
      <c r="F94" s="570"/>
      <c r="G94" s="572"/>
      <c r="H94" s="572"/>
      <c r="I94" s="572"/>
      <c r="J94" s="572"/>
      <c r="K94" s="572"/>
      <c r="L94" s="572"/>
      <c r="M94" s="572"/>
      <c r="N94" s="572"/>
      <c r="O94" s="574"/>
    </row>
    <row r="95" ht="13.5" customHeight="1">
      <c r="A95" s="572"/>
      <c r="B95" s="572"/>
      <c r="C95" s="572"/>
      <c r="D95" s="739"/>
      <c r="E95" s="570"/>
      <c r="F95" s="570"/>
      <c r="G95" s="572"/>
      <c r="H95" s="572"/>
      <c r="I95" s="572"/>
      <c r="J95" s="572"/>
      <c r="K95" s="572"/>
      <c r="L95" s="572"/>
      <c r="M95" s="572"/>
      <c r="N95" s="572"/>
      <c r="O95" s="574"/>
    </row>
    <row r="96" ht="13.5" customHeight="1">
      <c r="A96" s="572"/>
      <c r="B96" s="572"/>
      <c r="C96" s="572"/>
      <c r="D96" s="739"/>
      <c r="E96" s="570"/>
      <c r="F96" s="570"/>
      <c r="G96" s="572"/>
      <c r="H96" s="572"/>
      <c r="I96" s="572"/>
      <c r="J96" s="572"/>
      <c r="K96" s="572"/>
      <c r="L96" s="572"/>
      <c r="M96" s="572"/>
      <c r="N96" s="572"/>
      <c r="O96" s="574"/>
    </row>
    <row r="97" ht="13.5" customHeight="1">
      <c r="A97" s="572"/>
      <c r="B97" s="572"/>
      <c r="C97" s="572"/>
      <c r="D97" s="739"/>
      <c r="E97" s="570"/>
      <c r="F97" s="570"/>
      <c r="G97" s="572"/>
      <c r="H97" s="572"/>
      <c r="I97" s="572"/>
      <c r="J97" s="572"/>
      <c r="K97" s="572"/>
      <c r="L97" s="572"/>
      <c r="M97" s="572"/>
      <c r="N97" s="572"/>
      <c r="O97" s="574"/>
    </row>
    <row r="98" ht="13.5" customHeight="1">
      <c r="A98" s="572"/>
      <c r="B98" s="572"/>
      <c r="C98" s="572"/>
      <c r="D98" s="739"/>
      <c r="E98" s="570"/>
      <c r="F98" s="570"/>
      <c r="G98" s="572"/>
      <c r="H98" s="572"/>
      <c r="I98" s="572"/>
      <c r="J98" s="572"/>
      <c r="K98" s="572"/>
      <c r="L98" s="572"/>
      <c r="M98" s="572"/>
      <c r="N98" s="572"/>
      <c r="O98" s="574"/>
    </row>
    <row r="99" ht="13.5" customHeight="1">
      <c r="A99" s="572"/>
      <c r="B99" s="572"/>
      <c r="C99" s="572"/>
      <c r="D99" s="739"/>
      <c r="E99" s="570"/>
      <c r="F99" s="570"/>
      <c r="G99" s="572"/>
      <c r="H99" s="572"/>
      <c r="I99" s="572"/>
      <c r="J99" s="572"/>
      <c r="K99" s="572"/>
      <c r="L99" s="572"/>
      <c r="M99" s="572"/>
      <c r="N99" s="572"/>
      <c r="O99" s="574"/>
    </row>
    <row r="100" ht="13.5" customHeight="1">
      <c r="A100" s="572"/>
      <c r="B100" s="572"/>
      <c r="C100" s="572"/>
      <c r="D100" s="739"/>
      <c r="E100" s="570"/>
      <c r="F100" s="570"/>
      <c r="G100" s="572"/>
      <c r="H100" s="572"/>
      <c r="I100" s="572"/>
      <c r="J100" s="572"/>
      <c r="K100" s="572"/>
      <c r="L100" s="572"/>
      <c r="M100" s="572"/>
      <c r="N100" s="572"/>
      <c r="O100" s="574"/>
    </row>
    <row r="101" ht="13.5" customHeight="1">
      <c r="A101" s="572"/>
      <c r="B101" s="572"/>
      <c r="C101" s="572"/>
      <c r="D101" s="739"/>
      <c r="E101" s="570"/>
      <c r="F101" s="570"/>
      <c r="G101" s="572"/>
      <c r="H101" s="572"/>
      <c r="I101" s="572"/>
      <c r="J101" s="572"/>
      <c r="K101" s="572"/>
      <c r="L101" s="572"/>
      <c r="M101" s="572"/>
      <c r="N101" s="572"/>
      <c r="O101" s="574"/>
    </row>
    <row r="102" ht="13.5" customHeight="1">
      <c r="A102" s="572"/>
      <c r="B102" s="572"/>
      <c r="C102" s="572"/>
      <c r="D102" s="739"/>
      <c r="E102" s="570"/>
      <c r="F102" s="570"/>
      <c r="G102" s="572"/>
      <c r="H102" s="572"/>
      <c r="I102" s="572"/>
      <c r="J102" s="572"/>
      <c r="K102" s="572"/>
      <c r="L102" s="572"/>
      <c r="M102" s="572"/>
      <c r="N102" s="572"/>
      <c r="O102" s="574"/>
    </row>
    <row r="103" ht="13.5" customHeight="1">
      <c r="A103" s="572"/>
      <c r="B103" s="572"/>
      <c r="C103" s="572"/>
      <c r="D103" s="739"/>
      <c r="E103" s="570"/>
      <c r="F103" s="570"/>
      <c r="G103" s="572"/>
      <c r="H103" s="572"/>
      <c r="I103" s="572"/>
      <c r="J103" s="572"/>
      <c r="K103" s="572"/>
      <c r="L103" s="572"/>
      <c r="M103" s="572"/>
      <c r="N103" s="572"/>
      <c r="O103" s="574"/>
    </row>
    <row r="104" ht="13.5" customHeight="1">
      <c r="A104" s="572"/>
      <c r="B104" s="572"/>
      <c r="C104" s="572"/>
      <c r="D104" s="739"/>
      <c r="E104" s="570"/>
      <c r="F104" s="570"/>
      <c r="G104" s="572"/>
      <c r="H104" s="572"/>
      <c r="I104" s="572"/>
      <c r="J104" s="572"/>
      <c r="K104" s="572"/>
      <c r="L104" s="572"/>
      <c r="M104" s="572"/>
      <c r="N104" s="572"/>
      <c r="O104" s="574"/>
    </row>
    <row r="105" ht="13.5" customHeight="1">
      <c r="A105" s="572"/>
      <c r="B105" s="572"/>
      <c r="C105" s="572"/>
      <c r="D105" s="739"/>
      <c r="E105" s="570"/>
      <c r="F105" s="570"/>
      <c r="G105" s="572"/>
      <c r="H105" s="572"/>
      <c r="I105" s="572"/>
      <c r="J105" s="572"/>
      <c r="K105" s="572"/>
      <c r="L105" s="572"/>
      <c r="M105" s="572"/>
      <c r="N105" s="572"/>
      <c r="O105" s="574"/>
    </row>
    <row r="106" ht="13.5" customHeight="1">
      <c r="A106" s="572"/>
      <c r="B106" s="572"/>
      <c r="C106" s="572"/>
      <c r="D106" s="739"/>
      <c r="E106" s="570"/>
      <c r="F106" s="570"/>
      <c r="G106" s="572"/>
      <c r="H106" s="572"/>
      <c r="I106" s="572"/>
      <c r="J106" s="572"/>
      <c r="K106" s="572"/>
      <c r="L106" s="572"/>
      <c r="M106" s="572"/>
      <c r="N106" s="572"/>
      <c r="O106" s="574"/>
    </row>
    <row r="107" ht="13.5" customHeight="1">
      <c r="A107" s="572"/>
      <c r="B107" s="572"/>
      <c r="C107" s="572"/>
      <c r="D107" s="739"/>
      <c r="E107" s="570"/>
      <c r="F107" s="570"/>
      <c r="G107" s="572"/>
      <c r="H107" s="572"/>
      <c r="I107" s="572"/>
      <c r="J107" s="572"/>
      <c r="K107" s="572"/>
      <c r="L107" s="572"/>
      <c r="M107" s="572"/>
      <c r="N107" s="572"/>
      <c r="O107" s="574"/>
    </row>
    <row r="108" ht="13.5" customHeight="1">
      <c r="A108" s="572"/>
      <c r="B108" s="572"/>
      <c r="C108" s="572"/>
      <c r="D108" s="739"/>
      <c r="E108" s="570"/>
      <c r="F108" s="570"/>
      <c r="G108" s="572"/>
      <c r="H108" s="572"/>
      <c r="I108" s="572"/>
      <c r="J108" s="572"/>
      <c r="K108" s="572"/>
      <c r="L108" s="572"/>
      <c r="M108" s="572"/>
      <c r="N108" s="572"/>
      <c r="O108" s="574"/>
    </row>
    <row r="109" ht="13.5" customHeight="1">
      <c r="A109" s="572"/>
      <c r="B109" s="572"/>
      <c r="C109" s="572"/>
      <c r="D109" s="739"/>
      <c r="E109" s="570"/>
      <c r="F109" s="570"/>
      <c r="G109" s="572"/>
      <c r="H109" s="572"/>
      <c r="I109" s="572"/>
      <c r="J109" s="572"/>
      <c r="K109" s="572"/>
      <c r="L109" s="572"/>
      <c r="M109" s="572"/>
      <c r="N109" s="572"/>
      <c r="O109" s="574"/>
    </row>
    <row r="110" ht="13.5" customHeight="1">
      <c r="A110" s="572"/>
      <c r="B110" s="572"/>
      <c r="C110" s="572"/>
      <c r="D110" s="739"/>
      <c r="E110" s="570"/>
      <c r="F110" s="570"/>
      <c r="G110" s="572"/>
      <c r="H110" s="572"/>
      <c r="I110" s="572"/>
      <c r="J110" s="572"/>
      <c r="K110" s="572"/>
      <c r="L110" s="572"/>
      <c r="M110" s="572"/>
      <c r="N110" s="572"/>
      <c r="O110" s="574"/>
    </row>
    <row r="111" ht="13.5" customHeight="1">
      <c r="A111" s="572"/>
      <c r="B111" s="572"/>
      <c r="C111" s="572"/>
      <c r="D111" s="739"/>
      <c r="E111" s="570"/>
      <c r="F111" s="570"/>
      <c r="G111" s="572"/>
      <c r="H111" s="572"/>
      <c r="I111" s="572"/>
      <c r="J111" s="572"/>
      <c r="K111" s="572"/>
      <c r="L111" s="572"/>
      <c r="M111" s="572"/>
      <c r="N111" s="572"/>
      <c r="O111" s="574"/>
    </row>
    <row r="112" ht="13.5" customHeight="1">
      <c r="A112" s="572"/>
      <c r="B112" s="572"/>
      <c r="C112" s="572"/>
      <c r="D112" s="739"/>
      <c r="E112" s="570"/>
      <c r="F112" s="570"/>
      <c r="G112" s="572"/>
      <c r="H112" s="572"/>
      <c r="I112" s="572"/>
      <c r="J112" s="572"/>
      <c r="K112" s="572"/>
      <c r="L112" s="572"/>
      <c r="M112" s="572"/>
      <c r="N112" s="572"/>
      <c r="O112" s="574"/>
    </row>
    <row r="113" ht="13.5" customHeight="1">
      <c r="A113" s="572"/>
      <c r="B113" s="572"/>
      <c r="C113" s="572"/>
      <c r="D113" s="739"/>
      <c r="E113" s="570"/>
      <c r="F113" s="570"/>
      <c r="G113" s="572"/>
      <c r="H113" s="572"/>
      <c r="I113" s="572"/>
      <c r="J113" s="572"/>
      <c r="K113" s="572"/>
      <c r="L113" s="572"/>
      <c r="M113" s="572"/>
      <c r="N113" s="572"/>
      <c r="O113" s="574"/>
    </row>
    <row r="114" ht="13.5" customHeight="1">
      <c r="A114" s="572"/>
      <c r="B114" s="572"/>
      <c r="C114" s="572"/>
      <c r="D114" s="739"/>
      <c r="E114" s="570"/>
      <c r="F114" s="570"/>
      <c r="G114" s="572"/>
      <c r="H114" s="572"/>
      <c r="I114" s="572"/>
      <c r="J114" s="572"/>
      <c r="K114" s="572"/>
      <c r="L114" s="572"/>
      <c r="M114" s="572"/>
      <c r="N114" s="572"/>
      <c r="O114" s="574"/>
    </row>
    <row r="115" ht="13.5" customHeight="1">
      <c r="A115" s="572"/>
      <c r="B115" s="572"/>
      <c r="C115" s="572"/>
      <c r="D115" s="739"/>
      <c r="E115" s="570"/>
      <c r="F115" s="570"/>
      <c r="G115" s="572"/>
      <c r="H115" s="572"/>
      <c r="I115" s="572"/>
      <c r="J115" s="572"/>
      <c r="K115" s="572"/>
      <c r="L115" s="572"/>
      <c r="M115" s="572"/>
      <c r="N115" s="572"/>
      <c r="O115" s="574"/>
    </row>
    <row r="116" ht="13.5" customHeight="1">
      <c r="A116" s="572"/>
      <c r="B116" s="572"/>
      <c r="C116" s="572"/>
      <c r="D116" s="739"/>
      <c r="E116" s="570"/>
      <c r="F116" s="570"/>
      <c r="G116" s="572"/>
      <c r="H116" s="572"/>
      <c r="I116" s="572"/>
      <c r="J116" s="572"/>
      <c r="K116" s="572"/>
      <c r="L116" s="572"/>
      <c r="M116" s="572"/>
      <c r="N116" s="572"/>
      <c r="O116" s="574"/>
    </row>
    <row r="117" ht="13.5" customHeight="1">
      <c r="A117" s="572"/>
      <c r="B117" s="572"/>
      <c r="C117" s="572"/>
      <c r="D117" s="739"/>
      <c r="E117" s="570"/>
      <c r="F117" s="570"/>
      <c r="G117" s="572"/>
      <c r="H117" s="572"/>
      <c r="I117" s="572"/>
      <c r="J117" s="572"/>
      <c r="K117" s="572"/>
      <c r="L117" s="572"/>
      <c r="M117" s="572"/>
      <c r="N117" s="572"/>
      <c r="O117" s="574"/>
    </row>
    <row r="118" ht="13.5" customHeight="1">
      <c r="A118" s="572"/>
      <c r="B118" s="572"/>
      <c r="C118" s="572"/>
      <c r="D118" s="739"/>
      <c r="E118" s="570"/>
      <c r="F118" s="570"/>
      <c r="G118" s="572"/>
      <c r="H118" s="572"/>
      <c r="I118" s="572"/>
      <c r="J118" s="572"/>
      <c r="K118" s="572"/>
      <c r="L118" s="572"/>
      <c r="M118" s="572"/>
      <c r="N118" s="572"/>
      <c r="O118" s="574"/>
    </row>
    <row r="119" ht="13.5" customHeight="1">
      <c r="A119" s="572"/>
      <c r="B119" s="572"/>
      <c r="C119" s="572"/>
      <c r="D119" s="739"/>
      <c r="E119" s="570"/>
      <c r="F119" s="570"/>
      <c r="G119" s="572"/>
      <c r="H119" s="572"/>
      <c r="I119" s="572"/>
      <c r="J119" s="572"/>
      <c r="K119" s="572"/>
      <c r="L119" s="572"/>
      <c r="M119" s="572"/>
      <c r="N119" s="572"/>
      <c r="O119" s="574"/>
    </row>
    <row r="120" ht="13.5" customHeight="1">
      <c r="A120" s="572"/>
      <c r="B120" s="572"/>
      <c r="C120" s="572"/>
      <c r="D120" s="739"/>
      <c r="E120" s="570"/>
      <c r="F120" s="570"/>
      <c r="G120" s="572"/>
      <c r="H120" s="572"/>
      <c r="I120" s="572"/>
      <c r="J120" s="572"/>
      <c r="K120" s="572"/>
      <c r="L120" s="572"/>
      <c r="M120" s="572"/>
      <c r="N120" s="572"/>
      <c r="O120" s="574"/>
    </row>
    <row r="121" ht="13.5" customHeight="1">
      <c r="A121" s="572"/>
      <c r="B121" s="572"/>
      <c r="C121" s="572"/>
      <c r="D121" s="739"/>
      <c r="E121" s="570"/>
      <c r="F121" s="570"/>
      <c r="G121" s="572"/>
      <c r="H121" s="572"/>
      <c r="I121" s="572"/>
      <c r="J121" s="572"/>
      <c r="K121" s="572"/>
      <c r="L121" s="572"/>
      <c r="M121" s="572"/>
      <c r="N121" s="572"/>
      <c r="O121" s="574"/>
    </row>
    <row r="122" ht="13.5" customHeight="1">
      <c r="A122" s="572"/>
      <c r="B122" s="572"/>
      <c r="C122" s="572"/>
      <c r="D122" s="739"/>
      <c r="E122" s="570"/>
      <c r="F122" s="570"/>
      <c r="G122" s="572"/>
      <c r="H122" s="572"/>
      <c r="I122" s="572"/>
      <c r="J122" s="572"/>
      <c r="K122" s="572"/>
      <c r="L122" s="572"/>
      <c r="M122" s="572"/>
      <c r="N122" s="572"/>
      <c r="O122" s="574"/>
    </row>
    <row r="123" ht="13.5" customHeight="1">
      <c r="A123" s="572"/>
      <c r="B123" s="572"/>
      <c r="C123" s="572"/>
      <c r="D123" s="739"/>
      <c r="E123" s="570"/>
      <c r="F123" s="570"/>
      <c r="G123" s="572"/>
      <c r="H123" s="572"/>
      <c r="I123" s="572"/>
      <c r="J123" s="572"/>
      <c r="K123" s="572"/>
      <c r="L123" s="572"/>
      <c r="M123" s="572"/>
      <c r="N123" s="572"/>
      <c r="O123" s="574"/>
    </row>
    <row r="124" ht="13.5" customHeight="1">
      <c r="A124" s="572"/>
      <c r="B124" s="572"/>
      <c r="C124" s="572"/>
      <c r="D124" s="739"/>
      <c r="E124" s="570"/>
      <c r="F124" s="570"/>
      <c r="G124" s="572"/>
      <c r="H124" s="572"/>
      <c r="I124" s="572"/>
      <c r="J124" s="572"/>
      <c r="K124" s="572"/>
      <c r="L124" s="572"/>
      <c r="M124" s="572"/>
      <c r="N124" s="572"/>
      <c r="O124" s="574"/>
    </row>
    <row r="125" ht="13.5" customHeight="1">
      <c r="A125" s="572"/>
      <c r="B125" s="572"/>
      <c r="C125" s="572"/>
      <c r="D125" s="739"/>
      <c r="E125" s="570"/>
      <c r="F125" s="570"/>
      <c r="G125" s="572"/>
      <c r="H125" s="572"/>
      <c r="I125" s="572"/>
      <c r="J125" s="572"/>
      <c r="K125" s="572"/>
      <c r="L125" s="572"/>
      <c r="M125" s="572"/>
      <c r="N125" s="572"/>
      <c r="O125" s="574"/>
    </row>
    <row r="126" ht="13.5" customHeight="1">
      <c r="A126" s="572"/>
      <c r="B126" s="572"/>
      <c r="C126" s="572"/>
      <c r="D126" s="739"/>
      <c r="E126" s="570"/>
      <c r="F126" s="570"/>
      <c r="G126" s="572"/>
      <c r="H126" s="572"/>
      <c r="I126" s="572"/>
      <c r="J126" s="572"/>
      <c r="K126" s="572"/>
      <c r="L126" s="572"/>
      <c r="M126" s="572"/>
      <c r="N126" s="572"/>
      <c r="O126" s="574"/>
    </row>
    <row r="127" ht="13.5" customHeight="1">
      <c r="A127" s="572"/>
      <c r="B127" s="572"/>
      <c r="C127" s="572"/>
      <c r="D127" s="739"/>
      <c r="E127" s="570"/>
      <c r="F127" s="570"/>
      <c r="G127" s="572"/>
      <c r="H127" s="572"/>
      <c r="I127" s="572"/>
      <c r="J127" s="572"/>
      <c r="K127" s="572"/>
      <c r="L127" s="572"/>
      <c r="M127" s="572"/>
      <c r="N127" s="572"/>
      <c r="O127" s="574"/>
    </row>
    <row r="128" ht="13.5" customHeight="1">
      <c r="A128" s="572"/>
      <c r="B128" s="572"/>
      <c r="C128" s="572"/>
      <c r="D128" s="739"/>
      <c r="E128" s="570"/>
      <c r="F128" s="570"/>
      <c r="G128" s="572"/>
      <c r="H128" s="572"/>
      <c r="I128" s="572"/>
      <c r="J128" s="572"/>
      <c r="K128" s="572"/>
      <c r="L128" s="572"/>
      <c r="M128" s="572"/>
      <c r="N128" s="572"/>
      <c r="O128" s="574"/>
    </row>
    <row r="129" ht="13.5" customHeight="1">
      <c r="A129" s="572"/>
      <c r="B129" s="572"/>
      <c r="C129" s="572"/>
      <c r="D129" s="739"/>
      <c r="E129" s="570"/>
      <c r="F129" s="570"/>
      <c r="G129" s="572"/>
      <c r="H129" s="572"/>
      <c r="I129" s="572"/>
      <c r="J129" s="572"/>
      <c r="K129" s="572"/>
      <c r="L129" s="572"/>
      <c r="M129" s="572"/>
      <c r="N129" s="572"/>
      <c r="O129" s="574"/>
    </row>
    <row r="130" ht="13.5" customHeight="1">
      <c r="A130" s="572"/>
      <c r="B130" s="572"/>
      <c r="C130" s="572"/>
      <c r="D130" s="739"/>
      <c r="E130" s="570"/>
      <c r="F130" s="570"/>
      <c r="G130" s="572"/>
      <c r="H130" s="572"/>
      <c r="I130" s="572"/>
      <c r="J130" s="572"/>
      <c r="K130" s="572"/>
      <c r="L130" s="572"/>
      <c r="M130" s="572"/>
      <c r="N130" s="572"/>
      <c r="O130" s="574"/>
    </row>
    <row r="131" ht="13.5" customHeight="1">
      <c r="A131" s="572"/>
      <c r="B131" s="572"/>
      <c r="C131" s="572"/>
      <c r="D131" s="739"/>
      <c r="E131" s="570"/>
      <c r="F131" s="570"/>
      <c r="G131" s="572"/>
      <c r="H131" s="572"/>
      <c r="I131" s="572"/>
      <c r="J131" s="572"/>
      <c r="K131" s="572"/>
      <c r="L131" s="572"/>
      <c r="M131" s="572"/>
      <c r="N131" s="572"/>
      <c r="O131" s="574"/>
    </row>
    <row r="132" ht="13.5" customHeight="1">
      <c r="A132" s="572"/>
      <c r="B132" s="572"/>
      <c r="C132" s="572"/>
      <c r="D132" s="739"/>
      <c r="E132" s="570"/>
      <c r="F132" s="570"/>
      <c r="G132" s="572"/>
      <c r="H132" s="572"/>
      <c r="I132" s="572"/>
      <c r="J132" s="572"/>
      <c r="K132" s="572"/>
      <c r="L132" s="572"/>
      <c r="M132" s="572"/>
      <c r="N132" s="572"/>
      <c r="O132" s="574"/>
    </row>
    <row r="133" ht="13.5" customHeight="1">
      <c r="A133" s="572"/>
      <c r="B133" s="572"/>
      <c r="C133" s="572"/>
      <c r="D133" s="739"/>
      <c r="E133" s="570"/>
      <c r="F133" s="570"/>
      <c r="G133" s="572"/>
      <c r="H133" s="572"/>
      <c r="I133" s="572"/>
      <c r="J133" s="572"/>
      <c r="K133" s="572"/>
      <c r="L133" s="572"/>
      <c r="M133" s="572"/>
      <c r="N133" s="572"/>
      <c r="O133" s="574"/>
    </row>
    <row r="134" ht="13.5" customHeight="1">
      <c r="A134" s="572"/>
      <c r="B134" s="572"/>
      <c r="C134" s="572"/>
      <c r="D134" s="739"/>
      <c r="E134" s="570"/>
      <c r="F134" s="570"/>
      <c r="G134" s="572"/>
      <c r="H134" s="572"/>
      <c r="I134" s="572"/>
      <c r="J134" s="572"/>
      <c r="K134" s="572"/>
      <c r="L134" s="572"/>
      <c r="M134" s="572"/>
      <c r="N134" s="572"/>
      <c r="O134" s="574"/>
    </row>
    <row r="135" ht="13.5" customHeight="1">
      <c r="A135" s="572"/>
      <c r="B135" s="572"/>
      <c r="C135" s="572"/>
      <c r="D135" s="739"/>
      <c r="E135" s="570"/>
      <c r="F135" s="570"/>
      <c r="G135" s="572"/>
      <c r="H135" s="572"/>
      <c r="I135" s="572"/>
      <c r="J135" s="572"/>
      <c r="K135" s="572"/>
      <c r="L135" s="572"/>
      <c r="M135" s="572"/>
      <c r="N135" s="572"/>
      <c r="O135" s="574"/>
    </row>
    <row r="136" ht="13.5" customHeight="1">
      <c r="A136" s="572"/>
      <c r="B136" s="572"/>
      <c r="C136" s="572"/>
      <c r="D136" s="739"/>
      <c r="E136" s="570"/>
      <c r="F136" s="570"/>
      <c r="G136" s="572"/>
      <c r="H136" s="572"/>
      <c r="I136" s="572"/>
      <c r="J136" s="572"/>
      <c r="K136" s="572"/>
      <c r="L136" s="572"/>
      <c r="M136" s="572"/>
      <c r="N136" s="572"/>
      <c r="O136" s="574"/>
    </row>
    <row r="137" ht="13.5" customHeight="1">
      <c r="A137" s="572"/>
      <c r="B137" s="572"/>
      <c r="C137" s="572"/>
      <c r="D137" s="739"/>
      <c r="E137" s="570"/>
      <c r="F137" s="570"/>
      <c r="G137" s="572"/>
      <c r="H137" s="572"/>
      <c r="I137" s="572"/>
      <c r="J137" s="572"/>
      <c r="K137" s="572"/>
      <c r="L137" s="572"/>
      <c r="M137" s="572"/>
      <c r="N137" s="572"/>
      <c r="O137" s="574"/>
    </row>
    <row r="138" ht="13.5" customHeight="1">
      <c r="A138" s="572"/>
      <c r="B138" s="572"/>
      <c r="C138" s="572"/>
      <c r="D138" s="739"/>
      <c r="E138" s="570"/>
      <c r="F138" s="570"/>
      <c r="G138" s="572"/>
      <c r="H138" s="572"/>
      <c r="I138" s="572"/>
      <c r="J138" s="572"/>
      <c r="K138" s="572"/>
      <c r="L138" s="572"/>
      <c r="M138" s="572"/>
      <c r="N138" s="572"/>
      <c r="O138" s="574"/>
    </row>
    <row r="139" ht="13.5" customHeight="1">
      <c r="A139" s="572"/>
      <c r="B139" s="572"/>
      <c r="C139" s="572"/>
      <c r="D139" s="739"/>
      <c r="E139" s="570"/>
      <c r="F139" s="570"/>
      <c r="G139" s="572"/>
      <c r="H139" s="572"/>
      <c r="I139" s="572"/>
      <c r="J139" s="572"/>
      <c r="K139" s="572"/>
      <c r="L139" s="572"/>
      <c r="M139" s="572"/>
      <c r="N139" s="572"/>
      <c r="O139" s="574"/>
    </row>
    <row r="140" ht="13.5" customHeight="1">
      <c r="A140" s="572"/>
      <c r="B140" s="572"/>
      <c r="C140" s="572"/>
      <c r="D140" s="739"/>
      <c r="E140" s="570"/>
      <c r="F140" s="570"/>
      <c r="G140" s="572"/>
      <c r="H140" s="572"/>
      <c r="I140" s="572"/>
      <c r="J140" s="572"/>
      <c r="K140" s="572"/>
      <c r="L140" s="572"/>
      <c r="M140" s="572"/>
      <c r="N140" s="572"/>
      <c r="O140" s="574"/>
    </row>
    <row r="141" ht="13.5" customHeight="1">
      <c r="A141" s="572"/>
      <c r="B141" s="572"/>
      <c r="C141" s="572"/>
      <c r="D141" s="739"/>
      <c r="E141" s="570"/>
      <c r="F141" s="570"/>
      <c r="G141" s="572"/>
      <c r="H141" s="572"/>
      <c r="I141" s="572"/>
      <c r="J141" s="572"/>
      <c r="K141" s="572"/>
      <c r="L141" s="572"/>
      <c r="M141" s="572"/>
      <c r="N141" s="572"/>
      <c r="O141" s="574"/>
    </row>
    <row r="142" ht="13.5" customHeight="1">
      <c r="A142" s="572"/>
      <c r="B142" s="572"/>
      <c r="C142" s="572"/>
      <c r="D142" s="739"/>
      <c r="E142" s="570"/>
      <c r="F142" s="570"/>
      <c r="G142" s="572"/>
      <c r="H142" s="572"/>
      <c r="I142" s="572"/>
      <c r="J142" s="572"/>
      <c r="K142" s="572"/>
      <c r="L142" s="572"/>
      <c r="M142" s="572"/>
      <c r="N142" s="572"/>
      <c r="O142" s="574"/>
    </row>
    <row r="143" ht="13.5" customHeight="1">
      <c r="A143" s="572"/>
      <c r="B143" s="572"/>
      <c r="C143" s="572"/>
      <c r="D143" s="739"/>
      <c r="E143" s="570"/>
      <c r="F143" s="570"/>
      <c r="G143" s="572"/>
      <c r="H143" s="572"/>
      <c r="I143" s="572"/>
      <c r="J143" s="572"/>
      <c r="K143" s="572"/>
      <c r="L143" s="572"/>
      <c r="M143" s="572"/>
      <c r="N143" s="572"/>
      <c r="O143" s="574"/>
    </row>
    <row r="144" ht="13.5" customHeight="1">
      <c r="A144" s="572"/>
      <c r="B144" s="572"/>
      <c r="C144" s="572"/>
      <c r="D144" s="739"/>
      <c r="E144" s="570"/>
      <c r="F144" s="570"/>
      <c r="G144" s="572"/>
      <c r="H144" s="572"/>
      <c r="I144" s="572"/>
      <c r="J144" s="572"/>
      <c r="K144" s="572"/>
      <c r="L144" s="572"/>
      <c r="M144" s="572"/>
      <c r="N144" s="572"/>
      <c r="O144" s="574"/>
    </row>
    <row r="145" ht="13.5" customHeight="1">
      <c r="A145" s="572"/>
      <c r="B145" s="572"/>
      <c r="C145" s="572"/>
      <c r="D145" s="739"/>
      <c r="E145" s="570"/>
      <c r="F145" s="570"/>
      <c r="G145" s="572"/>
      <c r="H145" s="572"/>
      <c r="I145" s="572"/>
      <c r="J145" s="572"/>
      <c r="K145" s="572"/>
      <c r="L145" s="572"/>
      <c r="M145" s="572"/>
      <c r="N145" s="572"/>
      <c r="O145" s="574"/>
    </row>
    <row r="146" ht="13.5" customHeight="1">
      <c r="A146" s="572"/>
      <c r="B146" s="572"/>
      <c r="C146" s="572"/>
      <c r="D146" s="739"/>
      <c r="E146" s="570"/>
      <c r="F146" s="570"/>
      <c r="G146" s="572"/>
      <c r="H146" s="572"/>
      <c r="I146" s="572"/>
      <c r="J146" s="572"/>
      <c r="K146" s="572"/>
      <c r="L146" s="572"/>
      <c r="M146" s="572"/>
      <c r="N146" s="572"/>
      <c r="O146" s="574"/>
    </row>
    <row r="147" ht="13.5" customHeight="1">
      <c r="A147" s="572"/>
      <c r="B147" s="572"/>
      <c r="C147" s="572"/>
      <c r="D147" s="739"/>
      <c r="E147" s="570"/>
      <c r="F147" s="570"/>
      <c r="G147" s="572"/>
      <c r="H147" s="572"/>
      <c r="I147" s="572"/>
      <c r="J147" s="572"/>
      <c r="K147" s="572"/>
      <c r="L147" s="572"/>
      <c r="M147" s="572"/>
      <c r="N147" s="572"/>
      <c r="O147" s="574"/>
    </row>
    <row r="148" ht="13.5" customHeight="1">
      <c r="A148" s="572"/>
      <c r="B148" s="572"/>
      <c r="C148" s="572"/>
      <c r="D148" s="739"/>
      <c r="E148" s="570"/>
      <c r="F148" s="570"/>
      <c r="G148" s="572"/>
      <c r="H148" s="572"/>
      <c r="I148" s="572"/>
      <c r="J148" s="572"/>
      <c r="K148" s="572"/>
      <c r="L148" s="572"/>
      <c r="M148" s="572"/>
      <c r="N148" s="572"/>
      <c r="O148" s="574"/>
    </row>
    <row r="149" ht="13.5" customHeight="1">
      <c r="A149" s="572"/>
      <c r="B149" s="572"/>
      <c r="C149" s="572"/>
      <c r="D149" s="739"/>
      <c r="E149" s="570"/>
      <c r="F149" s="570"/>
      <c r="G149" s="572"/>
      <c r="H149" s="572"/>
      <c r="I149" s="572"/>
      <c r="J149" s="572"/>
      <c r="K149" s="572"/>
      <c r="L149" s="572"/>
      <c r="M149" s="572"/>
      <c r="N149" s="572"/>
      <c r="O149" s="574"/>
    </row>
    <row r="150" ht="13.5" customHeight="1">
      <c r="A150" s="572"/>
      <c r="B150" s="572"/>
      <c r="C150" s="572"/>
      <c r="D150" s="739"/>
      <c r="E150" s="570"/>
      <c r="F150" s="570"/>
      <c r="G150" s="572"/>
      <c r="H150" s="572"/>
      <c r="I150" s="572"/>
      <c r="J150" s="572"/>
      <c r="K150" s="572"/>
      <c r="L150" s="572"/>
      <c r="M150" s="572"/>
      <c r="N150" s="572"/>
      <c r="O150" s="574"/>
    </row>
    <row r="151" ht="13.5" customHeight="1">
      <c r="A151" s="572"/>
      <c r="B151" s="572"/>
      <c r="C151" s="572"/>
      <c r="D151" s="739"/>
      <c r="E151" s="570"/>
      <c r="F151" s="570"/>
      <c r="G151" s="572"/>
      <c r="H151" s="572"/>
      <c r="I151" s="572"/>
      <c r="J151" s="572"/>
      <c r="K151" s="572"/>
      <c r="L151" s="572"/>
      <c r="M151" s="572"/>
      <c r="N151" s="572"/>
      <c r="O151" s="574"/>
    </row>
    <row r="152" ht="13.5" customHeight="1">
      <c r="A152" s="572"/>
      <c r="B152" s="572"/>
      <c r="C152" s="572"/>
      <c r="D152" s="739"/>
      <c r="E152" s="570"/>
      <c r="F152" s="570"/>
      <c r="G152" s="572"/>
      <c r="H152" s="572"/>
      <c r="I152" s="572"/>
      <c r="J152" s="572"/>
      <c r="K152" s="572"/>
      <c r="L152" s="572"/>
      <c r="M152" s="572"/>
      <c r="N152" s="572"/>
      <c r="O152" s="574"/>
    </row>
    <row r="153" ht="13.5" customHeight="1">
      <c r="A153" s="572"/>
      <c r="B153" s="572"/>
      <c r="C153" s="572"/>
      <c r="D153" s="739"/>
      <c r="E153" s="570"/>
      <c r="F153" s="570"/>
      <c r="G153" s="572"/>
      <c r="H153" s="572"/>
      <c r="I153" s="572"/>
      <c r="J153" s="572"/>
      <c r="K153" s="572"/>
      <c r="L153" s="572"/>
      <c r="M153" s="572"/>
      <c r="N153" s="572"/>
      <c r="O153" s="574"/>
    </row>
    <row r="154" ht="13.5" customHeight="1">
      <c r="A154" s="572"/>
      <c r="B154" s="572"/>
      <c r="C154" s="572"/>
      <c r="D154" s="739"/>
      <c r="E154" s="570"/>
      <c r="F154" s="570"/>
      <c r="G154" s="572"/>
      <c r="H154" s="572"/>
      <c r="I154" s="572"/>
      <c r="J154" s="572"/>
      <c r="K154" s="572"/>
      <c r="L154" s="572"/>
      <c r="M154" s="572"/>
      <c r="N154" s="572"/>
      <c r="O154" s="574"/>
    </row>
    <row r="155" ht="13.5" customHeight="1">
      <c r="A155" s="572"/>
      <c r="B155" s="572"/>
      <c r="C155" s="572"/>
      <c r="D155" s="739"/>
      <c r="E155" s="570"/>
      <c r="F155" s="570"/>
      <c r="G155" s="572"/>
      <c r="H155" s="572"/>
      <c r="I155" s="572"/>
      <c r="J155" s="572"/>
      <c r="K155" s="572"/>
      <c r="L155" s="572"/>
      <c r="M155" s="572"/>
      <c r="N155" s="572"/>
      <c r="O155" s="574"/>
    </row>
    <row r="156" ht="13.5" customHeight="1">
      <c r="A156" s="572"/>
      <c r="B156" s="572"/>
      <c r="C156" s="572"/>
      <c r="D156" s="739"/>
      <c r="E156" s="570"/>
      <c r="F156" s="570"/>
      <c r="G156" s="572"/>
      <c r="H156" s="572"/>
      <c r="I156" s="572"/>
      <c r="J156" s="572"/>
      <c r="K156" s="572"/>
      <c r="L156" s="572"/>
      <c r="M156" s="572"/>
      <c r="N156" s="572"/>
      <c r="O156" s="574"/>
    </row>
    <row r="157" ht="13.5" customHeight="1">
      <c r="A157" s="572"/>
      <c r="B157" s="572"/>
      <c r="C157" s="572"/>
      <c r="D157" s="739"/>
      <c r="E157" s="570"/>
      <c r="F157" s="570"/>
      <c r="G157" s="572"/>
      <c r="H157" s="572"/>
      <c r="I157" s="572"/>
      <c r="J157" s="572"/>
      <c r="K157" s="572"/>
      <c r="L157" s="572"/>
      <c r="M157" s="572"/>
      <c r="N157" s="572"/>
      <c r="O157" s="574"/>
    </row>
    <row r="158" ht="13.5" customHeight="1">
      <c r="A158" s="572"/>
      <c r="B158" s="572"/>
      <c r="C158" s="572"/>
      <c r="D158" s="739"/>
      <c r="E158" s="570"/>
      <c r="F158" s="570"/>
      <c r="G158" s="572"/>
      <c r="H158" s="572"/>
      <c r="I158" s="572"/>
      <c r="J158" s="572"/>
      <c r="K158" s="572"/>
      <c r="L158" s="572"/>
      <c r="M158" s="572"/>
      <c r="N158" s="572"/>
      <c r="O158" s="574"/>
    </row>
    <row r="159" ht="13.5" customHeight="1">
      <c r="A159" s="572"/>
      <c r="B159" s="572"/>
      <c r="C159" s="572"/>
      <c r="D159" s="739"/>
      <c r="E159" s="570"/>
      <c r="F159" s="570"/>
      <c r="G159" s="572"/>
      <c r="H159" s="572"/>
      <c r="I159" s="572"/>
      <c r="J159" s="572"/>
      <c r="K159" s="572"/>
      <c r="L159" s="572"/>
      <c r="M159" s="572"/>
      <c r="N159" s="572"/>
      <c r="O159" s="574"/>
    </row>
    <row r="160" ht="13.5" customHeight="1">
      <c r="A160" s="572"/>
      <c r="B160" s="572"/>
      <c r="C160" s="572"/>
      <c r="D160" s="739"/>
      <c r="E160" s="570"/>
      <c r="F160" s="570"/>
      <c r="G160" s="572"/>
      <c r="H160" s="572"/>
      <c r="I160" s="572"/>
      <c r="J160" s="572"/>
      <c r="K160" s="572"/>
      <c r="L160" s="572"/>
      <c r="M160" s="572"/>
      <c r="N160" s="572"/>
      <c r="O160" s="574"/>
    </row>
    <row r="161" ht="13.5" customHeight="1">
      <c r="A161" s="572"/>
      <c r="B161" s="572"/>
      <c r="C161" s="572"/>
      <c r="D161" s="739"/>
      <c r="E161" s="570"/>
      <c r="F161" s="570"/>
      <c r="G161" s="572"/>
      <c r="H161" s="572"/>
      <c r="I161" s="572"/>
      <c r="J161" s="572"/>
      <c r="K161" s="572"/>
      <c r="L161" s="572"/>
      <c r="M161" s="572"/>
      <c r="N161" s="572"/>
      <c r="O161" s="574"/>
    </row>
    <row r="162" ht="13.5" customHeight="1">
      <c r="A162" s="572"/>
      <c r="B162" s="572"/>
      <c r="C162" s="572"/>
      <c r="D162" s="739"/>
      <c r="E162" s="570"/>
      <c r="F162" s="570"/>
      <c r="G162" s="572"/>
      <c r="H162" s="572"/>
      <c r="I162" s="572"/>
      <c r="J162" s="572"/>
      <c r="K162" s="572"/>
      <c r="L162" s="572"/>
      <c r="M162" s="572"/>
      <c r="N162" s="572"/>
      <c r="O162" s="574"/>
    </row>
    <row r="163" ht="13.5" customHeight="1">
      <c r="A163" s="572"/>
      <c r="B163" s="572"/>
      <c r="C163" s="572"/>
      <c r="D163" s="739"/>
      <c r="E163" s="570"/>
      <c r="F163" s="570"/>
      <c r="G163" s="572"/>
      <c r="H163" s="572"/>
      <c r="I163" s="572"/>
      <c r="J163" s="572"/>
      <c r="K163" s="572"/>
      <c r="L163" s="572"/>
      <c r="M163" s="572"/>
      <c r="N163" s="572"/>
      <c r="O163" s="574"/>
    </row>
    <row r="164" ht="13.5" customHeight="1">
      <c r="A164" s="572"/>
      <c r="B164" s="572"/>
      <c r="C164" s="572"/>
      <c r="D164" s="739"/>
      <c r="E164" s="570"/>
      <c r="F164" s="570"/>
      <c r="G164" s="572"/>
      <c r="H164" s="572"/>
      <c r="I164" s="572"/>
      <c r="J164" s="572"/>
      <c r="K164" s="572"/>
      <c r="L164" s="572"/>
      <c r="M164" s="572"/>
      <c r="N164" s="572"/>
      <c r="O164" s="574"/>
    </row>
    <row r="165" ht="13.5" customHeight="1">
      <c r="A165" s="572"/>
      <c r="B165" s="572"/>
      <c r="C165" s="572"/>
      <c r="D165" s="739"/>
      <c r="E165" s="570"/>
      <c r="F165" s="570"/>
      <c r="G165" s="572"/>
      <c r="H165" s="572"/>
      <c r="I165" s="572"/>
      <c r="J165" s="572"/>
      <c r="K165" s="572"/>
      <c r="L165" s="572"/>
      <c r="M165" s="572"/>
      <c r="N165" s="572"/>
      <c r="O165" s="574"/>
    </row>
    <row r="166" ht="13.5" customHeight="1">
      <c r="A166" s="572"/>
      <c r="B166" s="572"/>
      <c r="C166" s="572"/>
      <c r="D166" s="739"/>
      <c r="E166" s="570"/>
      <c r="F166" s="570"/>
      <c r="G166" s="572"/>
      <c r="H166" s="572"/>
      <c r="I166" s="572"/>
      <c r="J166" s="572"/>
      <c r="K166" s="572"/>
      <c r="L166" s="572"/>
      <c r="M166" s="572"/>
      <c r="N166" s="572"/>
      <c r="O166" s="574"/>
    </row>
    <row r="167" ht="13.5" customHeight="1">
      <c r="A167" s="572"/>
      <c r="B167" s="572"/>
      <c r="C167" s="572"/>
      <c r="D167" s="739"/>
      <c r="E167" s="570"/>
      <c r="F167" s="570"/>
      <c r="G167" s="572"/>
      <c r="H167" s="572"/>
      <c r="I167" s="572"/>
      <c r="J167" s="572"/>
      <c r="K167" s="572"/>
      <c r="L167" s="572"/>
      <c r="M167" s="572"/>
      <c r="N167" s="572"/>
      <c r="O167" s="574"/>
    </row>
    <row r="168" ht="13.5" customHeight="1">
      <c r="A168" s="572"/>
      <c r="B168" s="572"/>
      <c r="C168" s="572"/>
      <c r="D168" s="739"/>
      <c r="E168" s="570"/>
      <c r="F168" s="570"/>
      <c r="G168" s="572"/>
      <c r="H168" s="572"/>
      <c r="I168" s="572"/>
      <c r="J168" s="572"/>
      <c r="K168" s="572"/>
      <c r="L168" s="572"/>
      <c r="M168" s="572"/>
      <c r="N168" s="572"/>
      <c r="O168" s="574"/>
    </row>
    <row r="169" ht="13.5" customHeight="1">
      <c r="A169" s="572"/>
      <c r="B169" s="572"/>
      <c r="C169" s="572"/>
      <c r="D169" s="739"/>
      <c r="E169" s="570"/>
      <c r="F169" s="570"/>
      <c r="G169" s="572"/>
      <c r="H169" s="572"/>
      <c r="I169" s="572"/>
      <c r="J169" s="572"/>
      <c r="K169" s="572"/>
      <c r="L169" s="572"/>
      <c r="M169" s="572"/>
      <c r="N169" s="572"/>
      <c r="O169" s="574"/>
    </row>
    <row r="170" ht="13.5" customHeight="1">
      <c r="A170" s="572"/>
      <c r="B170" s="572"/>
      <c r="C170" s="572"/>
      <c r="D170" s="739"/>
      <c r="E170" s="570"/>
      <c r="F170" s="570"/>
      <c r="G170" s="572"/>
      <c r="H170" s="572"/>
      <c r="I170" s="572"/>
      <c r="J170" s="572"/>
      <c r="K170" s="572"/>
      <c r="L170" s="572"/>
      <c r="M170" s="572"/>
      <c r="N170" s="572"/>
      <c r="O170" s="574"/>
    </row>
    <row r="171" ht="13.5" customHeight="1">
      <c r="A171" s="572"/>
      <c r="B171" s="572"/>
      <c r="C171" s="572"/>
      <c r="D171" s="739"/>
      <c r="E171" s="570"/>
      <c r="F171" s="570"/>
      <c r="G171" s="572"/>
      <c r="H171" s="572"/>
      <c r="I171" s="572"/>
      <c r="J171" s="572"/>
      <c r="K171" s="572"/>
      <c r="L171" s="572"/>
      <c r="M171" s="572"/>
      <c r="N171" s="572"/>
      <c r="O171" s="574"/>
    </row>
    <row r="172" ht="13.5" customHeight="1">
      <c r="A172" s="572"/>
      <c r="B172" s="572"/>
      <c r="C172" s="572"/>
      <c r="D172" s="739"/>
      <c r="E172" s="570"/>
      <c r="F172" s="570"/>
      <c r="G172" s="572"/>
      <c r="H172" s="572"/>
      <c r="I172" s="572"/>
      <c r="J172" s="572"/>
      <c r="K172" s="572"/>
      <c r="L172" s="572"/>
      <c r="M172" s="572"/>
      <c r="N172" s="572"/>
      <c r="O172" s="574"/>
    </row>
    <row r="173" ht="13.5" customHeight="1">
      <c r="A173" s="572"/>
      <c r="B173" s="572"/>
      <c r="C173" s="572"/>
      <c r="D173" s="739"/>
      <c r="E173" s="570"/>
      <c r="F173" s="570"/>
      <c r="G173" s="572"/>
      <c r="H173" s="572"/>
      <c r="I173" s="572"/>
      <c r="J173" s="572"/>
      <c r="K173" s="572"/>
      <c r="L173" s="572"/>
      <c r="M173" s="572"/>
      <c r="N173" s="572"/>
      <c r="O173" s="574"/>
    </row>
    <row r="174" ht="13.5" customHeight="1">
      <c r="A174" s="572"/>
      <c r="B174" s="572"/>
      <c r="C174" s="572"/>
      <c r="D174" s="739"/>
      <c r="E174" s="570"/>
      <c r="F174" s="570"/>
      <c r="G174" s="572"/>
      <c r="H174" s="572"/>
      <c r="I174" s="572"/>
      <c r="J174" s="572"/>
      <c r="K174" s="572"/>
      <c r="L174" s="572"/>
      <c r="M174" s="572"/>
      <c r="N174" s="572"/>
      <c r="O174" s="574"/>
    </row>
    <row r="175" ht="13.5" customHeight="1">
      <c r="A175" s="572"/>
      <c r="B175" s="572"/>
      <c r="C175" s="572"/>
      <c r="D175" s="739"/>
      <c r="E175" s="570"/>
      <c r="F175" s="570"/>
      <c r="G175" s="572"/>
      <c r="H175" s="572"/>
      <c r="I175" s="572"/>
      <c r="J175" s="572"/>
      <c r="K175" s="572"/>
      <c r="L175" s="572"/>
      <c r="M175" s="572"/>
      <c r="N175" s="572"/>
      <c r="O175" s="574"/>
    </row>
    <row r="176" ht="13.5" customHeight="1">
      <c r="A176" s="572"/>
      <c r="B176" s="572"/>
      <c r="C176" s="572"/>
      <c r="D176" s="584"/>
      <c r="E176" s="570"/>
      <c r="F176" s="570"/>
      <c r="G176" s="572"/>
      <c r="H176" s="572"/>
      <c r="I176" s="572"/>
      <c r="J176" s="572"/>
      <c r="K176" s="572"/>
      <c r="L176" s="572"/>
      <c r="M176" s="572"/>
      <c r="N176" s="572"/>
      <c r="O176" s="574"/>
    </row>
    <row r="177" ht="13.5" customHeight="1">
      <c r="A177" s="572"/>
      <c r="B177" s="572"/>
      <c r="C177" s="572"/>
      <c r="D177" s="584"/>
      <c r="E177" s="570"/>
      <c r="F177" s="570"/>
      <c r="G177" s="572"/>
      <c r="H177" s="572"/>
      <c r="I177" s="572"/>
      <c r="J177" s="572"/>
      <c r="K177" s="572"/>
      <c r="L177" s="572"/>
      <c r="M177" s="572"/>
      <c r="N177" s="572"/>
      <c r="O177" s="574"/>
    </row>
    <row r="178" ht="13.5" customHeight="1">
      <c r="A178" s="572"/>
      <c r="B178" s="572"/>
      <c r="C178" s="572"/>
      <c r="D178" s="584"/>
      <c r="E178" s="570"/>
      <c r="F178" s="570"/>
      <c r="G178" s="572"/>
      <c r="H178" s="572"/>
      <c r="I178" s="572"/>
      <c r="J178" s="572"/>
      <c r="K178" s="572"/>
      <c r="L178" s="572"/>
      <c r="M178" s="572"/>
      <c r="N178" s="572"/>
      <c r="O178" s="574"/>
    </row>
    <row r="179" ht="13.5" customHeight="1">
      <c r="A179" s="572"/>
      <c r="B179" s="572"/>
      <c r="C179" s="572"/>
      <c r="D179" s="584"/>
      <c r="E179" s="570"/>
      <c r="F179" s="570"/>
      <c r="G179" s="572"/>
      <c r="H179" s="572"/>
      <c r="I179" s="572"/>
      <c r="J179" s="572"/>
      <c r="K179" s="572"/>
      <c r="L179" s="572"/>
      <c r="M179" s="572"/>
      <c r="N179" s="572"/>
      <c r="O179" s="574"/>
    </row>
    <row r="180" ht="13.5" customHeight="1">
      <c r="A180" s="572"/>
      <c r="B180" s="572"/>
      <c r="C180" s="572"/>
      <c r="D180" s="584"/>
      <c r="E180" s="570"/>
      <c r="F180" s="570"/>
      <c r="G180" s="572"/>
      <c r="H180" s="572"/>
      <c r="I180" s="572"/>
      <c r="J180" s="572"/>
      <c r="K180" s="572"/>
      <c r="L180" s="572"/>
      <c r="M180" s="572"/>
      <c r="N180" s="572"/>
      <c r="O180" s="574"/>
    </row>
    <row r="181" ht="13.5" customHeight="1">
      <c r="A181" s="572"/>
      <c r="B181" s="572"/>
      <c r="C181" s="572"/>
      <c r="D181" s="584"/>
      <c r="E181" s="570"/>
      <c r="F181" s="570"/>
      <c r="G181" s="572"/>
      <c r="H181" s="572"/>
      <c r="I181" s="572"/>
      <c r="J181" s="572"/>
      <c r="K181" s="572"/>
      <c r="L181" s="572"/>
      <c r="M181" s="572"/>
      <c r="N181" s="572"/>
      <c r="O181" s="574"/>
    </row>
    <row r="182" ht="13.5" customHeight="1">
      <c r="A182" s="572"/>
      <c r="B182" s="572"/>
      <c r="C182" s="572"/>
      <c r="D182" s="584"/>
      <c r="E182" s="570"/>
      <c r="F182" s="570"/>
      <c r="G182" s="572"/>
      <c r="H182" s="572"/>
      <c r="I182" s="572"/>
      <c r="J182" s="572"/>
      <c r="K182" s="572"/>
      <c r="L182" s="572"/>
      <c r="M182" s="572"/>
      <c r="N182" s="572"/>
      <c r="O182" s="574"/>
    </row>
    <row r="183" ht="13.5" customHeight="1">
      <c r="A183" s="572"/>
      <c r="B183" s="572"/>
      <c r="C183" s="572"/>
      <c r="D183" s="584"/>
      <c r="E183" s="570"/>
      <c r="F183" s="570"/>
      <c r="G183" s="572"/>
      <c r="H183" s="572"/>
      <c r="I183" s="572"/>
      <c r="J183" s="572"/>
      <c r="K183" s="572"/>
      <c r="L183" s="572"/>
      <c r="M183" s="572"/>
      <c r="N183" s="572"/>
      <c r="O183" s="574"/>
    </row>
    <row r="184" ht="13.5" customHeight="1">
      <c r="A184" s="572"/>
      <c r="B184" s="572"/>
      <c r="C184" s="572"/>
      <c r="D184" s="584"/>
      <c r="E184" s="570"/>
      <c r="F184" s="570"/>
      <c r="G184" s="572"/>
      <c r="H184" s="572"/>
      <c r="I184" s="572"/>
      <c r="J184" s="572"/>
      <c r="K184" s="572"/>
      <c r="L184" s="572"/>
      <c r="M184" s="572"/>
      <c r="N184" s="572"/>
      <c r="O184" s="574"/>
    </row>
    <row r="185" ht="13.5" customHeight="1">
      <c r="A185" s="572"/>
      <c r="B185" s="572"/>
      <c r="C185" s="572"/>
      <c r="D185" s="584"/>
      <c r="E185" s="570"/>
      <c r="F185" s="570"/>
      <c r="G185" s="572"/>
      <c r="H185" s="572"/>
      <c r="I185" s="572"/>
      <c r="J185" s="572"/>
      <c r="K185" s="572"/>
      <c r="L185" s="572"/>
      <c r="M185" s="572"/>
      <c r="N185" s="572"/>
      <c r="O185" s="574"/>
    </row>
    <row r="186" ht="13.5" customHeight="1">
      <c r="A186" s="572"/>
      <c r="B186" s="572"/>
      <c r="C186" s="572"/>
      <c r="D186" s="584"/>
      <c r="E186" s="570"/>
      <c r="F186" s="570"/>
      <c r="G186" s="572"/>
      <c r="H186" s="572"/>
      <c r="I186" s="572"/>
      <c r="J186" s="572"/>
      <c r="K186" s="572"/>
      <c r="L186" s="572"/>
      <c r="M186" s="572"/>
      <c r="N186" s="572"/>
      <c r="O186" s="574"/>
    </row>
    <row r="187" ht="13.5" customHeight="1">
      <c r="A187" s="572"/>
      <c r="B187" s="572"/>
      <c r="C187" s="572"/>
      <c r="D187" s="584"/>
      <c r="E187" s="570"/>
      <c r="F187" s="570"/>
      <c r="G187" s="572"/>
      <c r="H187" s="572"/>
      <c r="I187" s="572"/>
      <c r="J187" s="572"/>
      <c r="K187" s="572"/>
      <c r="L187" s="572"/>
      <c r="M187" s="572"/>
      <c r="N187" s="572"/>
      <c r="O187" s="574"/>
    </row>
    <row r="188" ht="13.5" customHeight="1">
      <c r="A188" s="572"/>
      <c r="B188" s="572"/>
      <c r="C188" s="572"/>
      <c r="D188" s="584"/>
      <c r="E188" s="570"/>
      <c r="F188" s="570"/>
      <c r="G188" s="572"/>
      <c r="H188" s="572"/>
      <c r="I188" s="572"/>
      <c r="J188" s="572"/>
      <c r="K188" s="572"/>
      <c r="L188" s="572"/>
      <c r="M188" s="572"/>
      <c r="N188" s="572"/>
      <c r="O188" s="574"/>
    </row>
    <row r="189" ht="13.5" customHeight="1">
      <c r="A189" s="572"/>
      <c r="B189" s="572"/>
      <c r="C189" s="572"/>
      <c r="D189" s="584"/>
      <c r="E189" s="570"/>
      <c r="F189" s="570"/>
      <c r="G189" s="572"/>
      <c r="H189" s="572"/>
      <c r="I189" s="572"/>
      <c r="J189" s="572"/>
      <c r="K189" s="572"/>
      <c r="L189" s="572"/>
      <c r="M189" s="572"/>
      <c r="N189" s="572"/>
      <c r="O189" s="574"/>
    </row>
    <row r="190" ht="13.5" customHeight="1">
      <c r="A190" s="572"/>
      <c r="B190" s="572"/>
      <c r="C190" s="572"/>
      <c r="D190" s="584"/>
      <c r="E190" s="570"/>
      <c r="F190" s="570"/>
      <c r="G190" s="572"/>
      <c r="H190" s="572"/>
      <c r="I190" s="572"/>
      <c r="J190" s="572"/>
      <c r="K190" s="572"/>
      <c r="L190" s="572"/>
      <c r="M190" s="572"/>
      <c r="N190" s="572"/>
      <c r="O190" s="574"/>
    </row>
    <row r="191" ht="13.5" customHeight="1">
      <c r="A191" s="572"/>
      <c r="B191" s="572"/>
      <c r="C191" s="572"/>
      <c r="D191" s="584"/>
      <c r="E191" s="570"/>
      <c r="F191" s="570"/>
      <c r="G191" s="572"/>
      <c r="H191" s="572"/>
      <c r="I191" s="572"/>
      <c r="J191" s="572"/>
      <c r="K191" s="572"/>
      <c r="L191" s="572"/>
      <c r="M191" s="572"/>
      <c r="N191" s="572"/>
      <c r="O191" s="574"/>
    </row>
    <row r="192" ht="13.5" customHeight="1">
      <c r="A192" s="572"/>
      <c r="B192" s="572"/>
      <c r="C192" s="572"/>
      <c r="D192" s="584"/>
      <c r="E192" s="570"/>
      <c r="F192" s="570"/>
      <c r="G192" s="572"/>
      <c r="H192" s="572"/>
      <c r="I192" s="572"/>
      <c r="J192" s="572"/>
      <c r="K192" s="572"/>
      <c r="L192" s="572"/>
      <c r="M192" s="572"/>
      <c r="N192" s="572"/>
      <c r="O192" s="574"/>
    </row>
    <row r="193" ht="13.5" customHeight="1">
      <c r="A193" s="572"/>
      <c r="B193" s="572"/>
      <c r="C193" s="572"/>
      <c r="D193" s="584"/>
      <c r="E193" s="570"/>
      <c r="F193" s="570"/>
      <c r="G193" s="572"/>
      <c r="H193" s="572"/>
      <c r="I193" s="572"/>
      <c r="J193" s="572"/>
      <c r="K193" s="572"/>
      <c r="L193" s="572"/>
      <c r="M193" s="572"/>
      <c r="N193" s="572"/>
      <c r="O193" s="574"/>
    </row>
    <row r="194" ht="13.5" customHeight="1">
      <c r="A194" s="572"/>
      <c r="B194" s="572"/>
      <c r="C194" s="572"/>
      <c r="D194" s="584"/>
      <c r="E194" s="570"/>
      <c r="F194" s="570"/>
      <c r="G194" s="572"/>
      <c r="H194" s="572"/>
      <c r="I194" s="572"/>
      <c r="J194" s="572"/>
      <c r="K194" s="572"/>
      <c r="L194" s="572"/>
      <c r="M194" s="572"/>
      <c r="N194" s="572"/>
      <c r="O194" s="574"/>
    </row>
    <row r="195" ht="13.5" customHeight="1">
      <c r="A195" s="572"/>
      <c r="B195" s="572"/>
      <c r="C195" s="572"/>
      <c r="D195" s="584"/>
      <c r="E195" s="570"/>
      <c r="F195" s="570"/>
      <c r="G195" s="572"/>
      <c r="H195" s="572"/>
      <c r="I195" s="572"/>
      <c r="J195" s="572"/>
      <c r="K195" s="572"/>
      <c r="L195" s="572"/>
      <c r="M195" s="572"/>
      <c r="N195" s="572"/>
      <c r="O195" s="574"/>
    </row>
    <row r="196" ht="13.5" customHeight="1">
      <c r="A196" s="572"/>
      <c r="B196" s="572"/>
      <c r="C196" s="572"/>
      <c r="D196" s="584"/>
      <c r="E196" s="570"/>
      <c r="F196" s="570"/>
      <c r="G196" s="572"/>
      <c r="H196" s="572"/>
      <c r="I196" s="572"/>
      <c r="J196" s="572"/>
      <c r="K196" s="572"/>
      <c r="L196" s="572"/>
      <c r="M196" s="572"/>
      <c r="N196" s="572"/>
      <c r="O196" s="574"/>
    </row>
    <row r="197" ht="13.5" customHeight="1">
      <c r="A197" s="572"/>
      <c r="B197" s="572"/>
      <c r="C197" s="572"/>
      <c r="D197" s="584"/>
      <c r="E197" s="570"/>
      <c r="F197" s="570"/>
      <c r="G197" s="572"/>
      <c r="H197" s="572"/>
      <c r="I197" s="572"/>
      <c r="J197" s="572"/>
      <c r="K197" s="572"/>
      <c r="L197" s="572"/>
      <c r="M197" s="572"/>
      <c r="N197" s="572"/>
      <c r="O197" s="574"/>
    </row>
    <row r="198" ht="13.5" customHeight="1">
      <c r="A198" s="572"/>
      <c r="B198" s="572"/>
      <c r="C198" s="572"/>
      <c r="D198" s="584"/>
      <c r="E198" s="570"/>
      <c r="F198" s="570"/>
      <c r="G198" s="572"/>
      <c r="H198" s="572"/>
      <c r="I198" s="572"/>
      <c r="J198" s="572"/>
      <c r="K198" s="572"/>
      <c r="L198" s="572"/>
      <c r="M198" s="572"/>
      <c r="N198" s="572"/>
      <c r="O198" s="574"/>
    </row>
    <row r="199" ht="13.5" customHeight="1">
      <c r="A199" s="572"/>
      <c r="B199" s="572"/>
      <c r="C199" s="572"/>
      <c r="D199" s="584"/>
      <c r="E199" s="570"/>
      <c r="F199" s="570"/>
      <c r="G199" s="572"/>
      <c r="H199" s="572"/>
      <c r="I199" s="572"/>
      <c r="J199" s="572"/>
      <c r="K199" s="572"/>
      <c r="L199" s="572"/>
      <c r="M199" s="572"/>
      <c r="N199" s="572"/>
      <c r="O199" s="574"/>
    </row>
    <row r="200" ht="13.5" customHeight="1">
      <c r="A200" s="572"/>
      <c r="B200" s="572"/>
      <c r="C200" s="572"/>
      <c r="D200" s="584"/>
      <c r="E200" s="570"/>
      <c r="F200" s="570"/>
      <c r="G200" s="572"/>
      <c r="H200" s="572"/>
      <c r="I200" s="572"/>
      <c r="J200" s="572"/>
      <c r="K200" s="572"/>
      <c r="L200" s="572"/>
      <c r="M200" s="572"/>
      <c r="N200" s="572"/>
      <c r="O200" s="574"/>
    </row>
    <row r="201" ht="13.5" customHeight="1">
      <c r="A201" s="572"/>
      <c r="B201" s="572"/>
      <c r="C201" s="572"/>
      <c r="D201" s="584"/>
      <c r="E201" s="570"/>
      <c r="F201" s="570"/>
      <c r="G201" s="572"/>
      <c r="H201" s="572"/>
      <c r="I201" s="572"/>
      <c r="J201" s="572"/>
      <c r="K201" s="572"/>
      <c r="L201" s="572"/>
      <c r="M201" s="572"/>
      <c r="N201" s="572"/>
      <c r="O201" s="574"/>
    </row>
    <row r="202" ht="13.5" customHeight="1">
      <c r="A202" s="572"/>
      <c r="B202" s="572"/>
      <c r="C202" s="572"/>
      <c r="D202" s="584"/>
      <c r="E202" s="570"/>
      <c r="F202" s="570"/>
      <c r="G202" s="572"/>
      <c r="H202" s="572"/>
      <c r="I202" s="572"/>
      <c r="J202" s="572"/>
      <c r="K202" s="572"/>
      <c r="L202" s="572"/>
      <c r="M202" s="572"/>
      <c r="N202" s="572"/>
      <c r="O202" s="574"/>
    </row>
    <row r="203" ht="13.5" customHeight="1">
      <c r="A203" s="572"/>
      <c r="B203" s="572"/>
      <c r="C203" s="572"/>
      <c r="D203" s="584"/>
      <c r="E203" s="570"/>
      <c r="F203" s="570"/>
      <c r="G203" s="572"/>
      <c r="H203" s="572"/>
      <c r="I203" s="572"/>
      <c r="J203" s="572"/>
      <c r="K203" s="572"/>
      <c r="L203" s="572"/>
      <c r="M203" s="572"/>
      <c r="N203" s="572"/>
      <c r="O203" s="574"/>
    </row>
    <row r="204" ht="13.5" customHeight="1">
      <c r="A204" s="572"/>
      <c r="B204" s="572"/>
      <c r="C204" s="572"/>
      <c r="D204" s="584"/>
      <c r="E204" s="570"/>
      <c r="F204" s="570"/>
      <c r="G204" s="572"/>
      <c r="H204" s="572"/>
      <c r="I204" s="572"/>
      <c r="J204" s="572"/>
      <c r="K204" s="572"/>
      <c r="L204" s="572"/>
      <c r="M204" s="572"/>
      <c r="N204" s="572"/>
      <c r="O204" s="574"/>
    </row>
    <row r="205" ht="13.5" customHeight="1">
      <c r="A205" s="572"/>
      <c r="B205" s="572"/>
      <c r="C205" s="572"/>
      <c r="D205" s="584"/>
      <c r="E205" s="570"/>
      <c r="F205" s="570"/>
      <c r="G205" s="572"/>
      <c r="H205" s="572"/>
      <c r="I205" s="572"/>
      <c r="J205" s="572"/>
      <c r="K205" s="572"/>
      <c r="L205" s="572"/>
      <c r="M205" s="572"/>
      <c r="N205" s="572"/>
      <c r="O205" s="574"/>
    </row>
    <row r="206" ht="13.5" customHeight="1">
      <c r="A206" s="572"/>
      <c r="B206" s="572"/>
      <c r="C206" s="572"/>
      <c r="D206" s="584"/>
      <c r="E206" s="570"/>
      <c r="F206" s="570"/>
      <c r="G206" s="572"/>
      <c r="H206" s="572"/>
      <c r="I206" s="572"/>
      <c r="J206" s="572"/>
      <c r="K206" s="572"/>
      <c r="L206" s="572"/>
      <c r="M206" s="572"/>
      <c r="N206" s="572"/>
      <c r="O206" s="574"/>
    </row>
    <row r="207" ht="13.5" customHeight="1">
      <c r="A207" s="572"/>
      <c r="B207" s="572"/>
      <c r="C207" s="572"/>
      <c r="D207" s="584"/>
      <c r="E207" s="570"/>
      <c r="F207" s="570"/>
      <c r="G207" s="572"/>
      <c r="H207" s="572"/>
      <c r="I207" s="572"/>
      <c r="J207" s="572"/>
      <c r="K207" s="572"/>
      <c r="L207" s="572"/>
      <c r="M207" s="572"/>
      <c r="N207" s="572"/>
      <c r="O207" s="574"/>
    </row>
    <row r="208" ht="13.5" customHeight="1">
      <c r="A208" s="572"/>
      <c r="B208" s="572"/>
      <c r="C208" s="572"/>
      <c r="D208" s="584"/>
      <c r="E208" s="570"/>
      <c r="F208" s="570"/>
      <c r="G208" s="572"/>
      <c r="H208" s="572"/>
      <c r="I208" s="572"/>
      <c r="J208" s="572"/>
      <c r="K208" s="572"/>
      <c r="L208" s="572"/>
      <c r="M208" s="572"/>
      <c r="N208" s="572"/>
      <c r="O208" s="574"/>
    </row>
    <row r="209" ht="13.5" customHeight="1">
      <c r="A209" s="572"/>
      <c r="B209" s="572"/>
      <c r="C209" s="572"/>
      <c r="D209" s="584"/>
      <c r="E209" s="570"/>
      <c r="F209" s="570"/>
      <c r="G209" s="572"/>
      <c r="H209" s="572"/>
      <c r="I209" s="572"/>
      <c r="J209" s="572"/>
      <c r="K209" s="572"/>
      <c r="L209" s="572"/>
      <c r="M209" s="572"/>
      <c r="N209" s="572"/>
      <c r="O209" s="574"/>
    </row>
    <row r="210" ht="13.5" customHeight="1">
      <c r="A210" s="572"/>
      <c r="B210" s="572"/>
      <c r="C210" s="572"/>
      <c r="D210" s="584"/>
      <c r="E210" s="570"/>
      <c r="F210" s="570"/>
      <c r="G210" s="572"/>
      <c r="H210" s="572"/>
      <c r="I210" s="572"/>
      <c r="J210" s="572"/>
      <c r="K210" s="572"/>
      <c r="L210" s="572"/>
      <c r="M210" s="572"/>
      <c r="N210" s="572"/>
      <c r="O210" s="574"/>
    </row>
    <row r="211" ht="13.5" customHeight="1">
      <c r="A211" s="572"/>
      <c r="B211" s="572"/>
      <c r="C211" s="572"/>
      <c r="D211" s="584"/>
      <c r="E211" s="570"/>
      <c r="F211" s="570"/>
      <c r="G211" s="572"/>
      <c r="H211" s="572"/>
      <c r="I211" s="572"/>
      <c r="J211" s="572"/>
      <c r="K211" s="572"/>
      <c r="L211" s="572"/>
      <c r="M211" s="572"/>
      <c r="N211" s="572"/>
      <c r="O211" s="574"/>
    </row>
    <row r="212" ht="13.5" customHeight="1">
      <c r="A212" s="572"/>
      <c r="B212" s="572"/>
      <c r="C212" s="572"/>
      <c r="D212" s="584"/>
      <c r="E212" s="570"/>
      <c r="F212" s="570"/>
      <c r="G212" s="572"/>
      <c r="H212" s="572"/>
      <c r="I212" s="572"/>
      <c r="J212" s="572"/>
      <c r="K212" s="572"/>
      <c r="L212" s="572"/>
      <c r="M212" s="572"/>
      <c r="N212" s="572"/>
      <c r="O212" s="574"/>
    </row>
    <row r="213" ht="13.5" customHeight="1">
      <c r="A213" s="572"/>
      <c r="B213" s="572"/>
      <c r="C213" s="572"/>
      <c r="D213" s="584"/>
      <c r="E213" s="570"/>
      <c r="F213" s="570"/>
      <c r="G213" s="572"/>
      <c r="H213" s="572"/>
      <c r="I213" s="572"/>
      <c r="J213" s="572"/>
      <c r="K213" s="572"/>
      <c r="L213" s="572"/>
      <c r="M213" s="572"/>
      <c r="N213" s="572"/>
      <c r="O213" s="574"/>
    </row>
    <row r="214" ht="13.5" customHeight="1">
      <c r="A214" s="572"/>
      <c r="B214" s="572"/>
      <c r="C214" s="572"/>
      <c r="D214" s="584"/>
      <c r="E214" s="570"/>
      <c r="F214" s="570"/>
      <c r="G214" s="572"/>
      <c r="H214" s="572"/>
      <c r="I214" s="572"/>
      <c r="J214" s="572"/>
      <c r="K214" s="572"/>
      <c r="L214" s="572"/>
      <c r="M214" s="572"/>
      <c r="N214" s="572"/>
      <c r="O214" s="574"/>
    </row>
    <row r="215" ht="13.5" customHeight="1">
      <c r="A215" s="572"/>
      <c r="B215" s="572"/>
      <c r="C215" s="572"/>
      <c r="D215" s="584"/>
      <c r="E215" s="570"/>
      <c r="F215" s="570"/>
      <c r="G215" s="572"/>
      <c r="H215" s="572"/>
      <c r="I215" s="572"/>
      <c r="J215" s="572"/>
      <c r="K215" s="572"/>
      <c r="L215" s="572"/>
      <c r="M215" s="572"/>
      <c r="N215" s="572"/>
      <c r="O215" s="574"/>
    </row>
    <row r="216" ht="13.5" customHeight="1">
      <c r="A216" s="572"/>
      <c r="B216" s="572"/>
      <c r="C216" s="572"/>
      <c r="D216" s="584"/>
      <c r="E216" s="570"/>
      <c r="F216" s="570"/>
      <c r="G216" s="572"/>
      <c r="H216" s="572"/>
      <c r="I216" s="572"/>
      <c r="J216" s="572"/>
      <c r="K216" s="572"/>
      <c r="L216" s="572"/>
      <c r="M216" s="572"/>
      <c r="N216" s="572"/>
      <c r="O216" s="574"/>
    </row>
    <row r="217" ht="13.5" customHeight="1">
      <c r="A217" s="572"/>
      <c r="B217" s="572"/>
      <c r="C217" s="572"/>
      <c r="D217" s="584"/>
      <c r="E217" s="570"/>
      <c r="F217" s="570"/>
      <c r="G217" s="572"/>
      <c r="H217" s="572"/>
      <c r="I217" s="572"/>
      <c r="J217" s="572"/>
      <c r="K217" s="572"/>
      <c r="L217" s="572"/>
      <c r="M217" s="572"/>
      <c r="N217" s="572"/>
      <c r="O217" s="574"/>
    </row>
    <row r="218" ht="13.5" customHeight="1">
      <c r="A218" s="572"/>
      <c r="B218" s="572"/>
      <c r="C218" s="572"/>
      <c r="D218" s="584"/>
      <c r="E218" s="570"/>
      <c r="F218" s="570"/>
      <c r="G218" s="572"/>
      <c r="H218" s="572"/>
      <c r="I218" s="572"/>
      <c r="J218" s="572"/>
      <c r="K218" s="572"/>
      <c r="L218" s="572"/>
      <c r="M218" s="572"/>
      <c r="N218" s="572"/>
      <c r="O218" s="574"/>
    </row>
    <row r="219" ht="13.5" customHeight="1">
      <c r="A219" s="572"/>
      <c r="B219" s="572"/>
      <c r="C219" s="572"/>
      <c r="D219" s="584"/>
      <c r="E219" s="570"/>
      <c r="F219" s="570"/>
      <c r="G219" s="572"/>
      <c r="H219" s="572"/>
      <c r="I219" s="572"/>
      <c r="J219" s="572"/>
      <c r="K219" s="572"/>
      <c r="L219" s="572"/>
      <c r="M219" s="572"/>
      <c r="N219" s="572"/>
      <c r="O219" s="574"/>
    </row>
    <row r="220" ht="13.5" customHeight="1">
      <c r="A220" s="572"/>
      <c r="B220" s="572"/>
      <c r="C220" s="572"/>
      <c r="D220" s="584"/>
      <c r="E220" s="570"/>
      <c r="F220" s="570"/>
      <c r="G220" s="572"/>
      <c r="H220" s="572"/>
      <c r="I220" s="572"/>
      <c r="J220" s="572"/>
      <c r="K220" s="572"/>
      <c r="L220" s="572"/>
      <c r="M220" s="572"/>
      <c r="N220" s="572"/>
      <c r="O220" s="574"/>
    </row>
    <row r="221" ht="13.5" customHeight="1">
      <c r="A221" s="572"/>
      <c r="B221" s="572"/>
      <c r="C221" s="572"/>
      <c r="D221" s="584"/>
      <c r="E221" s="570"/>
      <c r="F221" s="570"/>
      <c r="G221" s="572"/>
      <c r="H221" s="572"/>
      <c r="I221" s="572"/>
      <c r="J221" s="572"/>
      <c r="K221" s="572"/>
      <c r="L221" s="572"/>
      <c r="M221" s="572"/>
      <c r="N221" s="572"/>
      <c r="O221" s="574"/>
    </row>
    <row r="222" ht="13.5" customHeight="1">
      <c r="A222" s="572"/>
      <c r="B222" s="572"/>
      <c r="C222" s="572"/>
      <c r="D222" s="584"/>
      <c r="E222" s="570"/>
      <c r="F222" s="570"/>
      <c r="G222" s="572"/>
      <c r="H222" s="572"/>
      <c r="I222" s="572"/>
      <c r="J222" s="572"/>
      <c r="K222" s="572"/>
      <c r="L222" s="572"/>
      <c r="M222" s="572"/>
      <c r="N222" s="572"/>
      <c r="O222" s="574"/>
    </row>
    <row r="223" ht="13.5" customHeight="1">
      <c r="A223" s="572"/>
      <c r="B223" s="572"/>
      <c r="C223" s="572"/>
      <c r="D223" s="584"/>
      <c r="E223" s="570"/>
      <c r="F223" s="570"/>
      <c r="G223" s="572"/>
      <c r="H223" s="572"/>
      <c r="I223" s="572"/>
      <c r="J223" s="572"/>
      <c r="K223" s="572"/>
      <c r="L223" s="572"/>
      <c r="M223" s="572"/>
      <c r="N223" s="572"/>
      <c r="O223" s="574"/>
    </row>
    <row r="224" ht="13.5" customHeight="1">
      <c r="A224" s="572"/>
      <c r="B224" s="572"/>
      <c r="C224" s="572"/>
      <c r="D224" s="584"/>
      <c r="E224" s="570"/>
      <c r="F224" s="570"/>
      <c r="G224" s="572"/>
      <c r="H224" s="572"/>
      <c r="I224" s="572"/>
      <c r="J224" s="572"/>
      <c r="K224" s="572"/>
      <c r="L224" s="572"/>
      <c r="M224" s="572"/>
      <c r="N224" s="572"/>
      <c r="O224" s="574"/>
    </row>
    <row r="225" ht="13.5" customHeight="1">
      <c r="A225" s="572"/>
      <c r="B225" s="572"/>
      <c r="C225" s="572"/>
      <c r="D225" s="584"/>
      <c r="E225" s="570"/>
      <c r="F225" s="570"/>
      <c r="G225" s="572"/>
      <c r="H225" s="572"/>
      <c r="I225" s="572"/>
      <c r="J225" s="572"/>
      <c r="K225" s="572"/>
      <c r="L225" s="572"/>
      <c r="M225" s="572"/>
      <c r="N225" s="572"/>
      <c r="O225" s="574"/>
    </row>
    <row r="226" ht="13.5" customHeight="1">
      <c r="A226" s="572"/>
      <c r="B226" s="572"/>
      <c r="C226" s="572"/>
      <c r="D226" s="584"/>
      <c r="E226" s="570"/>
      <c r="F226" s="570"/>
      <c r="G226" s="572"/>
      <c r="H226" s="572"/>
      <c r="I226" s="572"/>
      <c r="J226" s="572"/>
      <c r="K226" s="572"/>
      <c r="L226" s="572"/>
      <c r="M226" s="572"/>
      <c r="N226" s="572"/>
      <c r="O226" s="574"/>
    </row>
    <row r="227" ht="13.5" customHeight="1">
      <c r="A227" s="572"/>
      <c r="B227" s="572"/>
      <c r="C227" s="572"/>
      <c r="D227" s="584"/>
      <c r="E227" s="570"/>
      <c r="F227" s="570"/>
      <c r="G227" s="572"/>
      <c r="H227" s="572"/>
      <c r="I227" s="572"/>
      <c r="J227" s="572"/>
      <c r="K227" s="572"/>
      <c r="L227" s="572"/>
      <c r="M227" s="572"/>
      <c r="N227" s="572"/>
      <c r="O227" s="574"/>
    </row>
    <row r="228" ht="13.5" customHeight="1">
      <c r="A228" s="572"/>
      <c r="B228" s="572"/>
      <c r="C228" s="572"/>
      <c r="D228" s="584"/>
      <c r="E228" s="570"/>
      <c r="F228" s="570"/>
      <c r="G228" s="572"/>
      <c r="H228" s="572"/>
      <c r="I228" s="572"/>
      <c r="J228" s="572"/>
      <c r="K228" s="572"/>
      <c r="L228" s="572"/>
      <c r="M228" s="572"/>
      <c r="N228" s="572"/>
      <c r="O228" s="574"/>
    </row>
    <row r="229" ht="13.5" customHeight="1">
      <c r="A229" s="572"/>
      <c r="B229" s="572"/>
      <c r="C229" s="572"/>
      <c r="D229" s="584"/>
      <c r="E229" s="570"/>
      <c r="F229" s="570"/>
      <c r="G229" s="572"/>
      <c r="H229" s="572"/>
      <c r="I229" s="572"/>
      <c r="J229" s="572"/>
      <c r="K229" s="572"/>
      <c r="L229" s="572"/>
      <c r="M229" s="572"/>
      <c r="N229" s="572"/>
      <c r="O229" s="574"/>
    </row>
    <row r="230" ht="13.5" customHeight="1">
      <c r="A230" s="572"/>
      <c r="B230" s="572"/>
      <c r="C230" s="572"/>
      <c r="D230" s="584"/>
      <c r="E230" s="570"/>
      <c r="F230" s="570"/>
      <c r="G230" s="572"/>
      <c r="H230" s="572"/>
      <c r="I230" s="572"/>
      <c r="J230" s="572"/>
      <c r="K230" s="572"/>
      <c r="L230" s="572"/>
      <c r="M230" s="572"/>
      <c r="N230" s="572"/>
      <c r="O230" s="574"/>
    </row>
    <row r="231" ht="13.5" customHeight="1">
      <c r="A231" s="572"/>
      <c r="B231" s="572"/>
      <c r="C231" s="572"/>
      <c r="D231" s="584"/>
      <c r="E231" s="570"/>
      <c r="F231" s="570"/>
      <c r="G231" s="572"/>
      <c r="H231" s="572"/>
      <c r="I231" s="572"/>
      <c r="J231" s="572"/>
      <c r="K231" s="572"/>
      <c r="L231" s="572"/>
      <c r="M231" s="572"/>
      <c r="N231" s="572"/>
      <c r="O231" s="574"/>
    </row>
    <row r="232" ht="13.5" customHeight="1">
      <c r="A232" s="572"/>
      <c r="B232" s="572"/>
      <c r="C232" s="572"/>
      <c r="D232" s="584"/>
      <c r="E232" s="570"/>
      <c r="F232" s="570"/>
      <c r="G232" s="572"/>
      <c r="H232" s="572"/>
      <c r="I232" s="572"/>
      <c r="J232" s="572"/>
      <c r="K232" s="572"/>
      <c r="L232" s="572"/>
      <c r="M232" s="572"/>
      <c r="N232" s="572"/>
      <c r="O232" s="574"/>
    </row>
    <row r="233" ht="13.5" customHeight="1">
      <c r="A233" s="572"/>
      <c r="B233" s="572"/>
      <c r="C233" s="572"/>
      <c r="D233" s="584"/>
      <c r="E233" s="570"/>
      <c r="F233" s="570"/>
      <c r="G233" s="572"/>
      <c r="H233" s="572"/>
      <c r="I233" s="572"/>
      <c r="J233" s="572"/>
      <c r="K233" s="572"/>
      <c r="L233" s="572"/>
      <c r="M233" s="572"/>
      <c r="N233" s="572"/>
      <c r="O233" s="574"/>
    </row>
    <row r="234" ht="13.5" customHeight="1">
      <c r="A234" s="572"/>
      <c r="B234" s="572"/>
      <c r="C234" s="572"/>
      <c r="D234" s="584"/>
      <c r="E234" s="570"/>
      <c r="F234" s="570"/>
      <c r="G234" s="572"/>
      <c r="H234" s="572"/>
      <c r="I234" s="572"/>
      <c r="J234" s="572"/>
      <c r="K234" s="572"/>
      <c r="L234" s="572"/>
      <c r="M234" s="572"/>
      <c r="N234" s="572"/>
      <c r="O234" s="574"/>
    </row>
    <row r="235" ht="13.5" customHeight="1">
      <c r="A235" s="572"/>
      <c r="B235" s="572"/>
      <c r="C235" s="572"/>
      <c r="D235" s="584"/>
      <c r="E235" s="570"/>
      <c r="F235" s="570"/>
      <c r="G235" s="572"/>
      <c r="H235" s="572"/>
      <c r="I235" s="572"/>
      <c r="J235" s="572"/>
      <c r="K235" s="572"/>
      <c r="L235" s="572"/>
      <c r="M235" s="572"/>
      <c r="N235" s="572"/>
      <c r="O235" s="574"/>
    </row>
    <row r="236" ht="13.5" customHeight="1">
      <c r="A236" s="572"/>
      <c r="B236" s="572"/>
      <c r="C236" s="572"/>
      <c r="D236" s="584"/>
      <c r="E236" s="570"/>
      <c r="F236" s="570"/>
      <c r="G236" s="572"/>
      <c r="H236" s="572"/>
      <c r="I236" s="572"/>
      <c r="J236" s="572"/>
      <c r="K236" s="572"/>
      <c r="L236" s="572"/>
      <c r="M236" s="572"/>
      <c r="N236" s="572"/>
      <c r="O236" s="574"/>
    </row>
    <row r="237" ht="13.5" customHeight="1">
      <c r="A237" s="572"/>
      <c r="B237" s="572"/>
      <c r="C237" s="572"/>
      <c r="D237" s="584"/>
      <c r="E237" s="570"/>
      <c r="F237" s="570"/>
      <c r="G237" s="572"/>
      <c r="H237" s="572"/>
      <c r="I237" s="572"/>
      <c r="J237" s="572"/>
      <c r="K237" s="572"/>
      <c r="L237" s="572"/>
      <c r="M237" s="572"/>
      <c r="N237" s="572"/>
      <c r="O237" s="574"/>
    </row>
    <row r="238" ht="13.5" customHeight="1">
      <c r="A238" s="572"/>
      <c r="B238" s="572"/>
      <c r="C238" s="572"/>
      <c r="D238" s="584"/>
      <c r="E238" s="570"/>
      <c r="F238" s="570"/>
      <c r="G238" s="572"/>
      <c r="H238" s="572"/>
      <c r="I238" s="572"/>
      <c r="J238" s="572"/>
      <c r="K238" s="572"/>
      <c r="L238" s="572"/>
      <c r="M238" s="572"/>
      <c r="N238" s="572"/>
      <c r="O238" s="574"/>
    </row>
    <row r="239" ht="13.5" customHeight="1">
      <c r="A239" s="572"/>
      <c r="B239" s="572"/>
      <c r="C239" s="572"/>
      <c r="D239" s="584"/>
      <c r="E239" s="570"/>
      <c r="F239" s="570"/>
      <c r="G239" s="572"/>
      <c r="H239" s="572"/>
      <c r="I239" s="572"/>
      <c r="J239" s="572"/>
      <c r="K239" s="572"/>
      <c r="L239" s="572"/>
      <c r="M239" s="572"/>
      <c r="N239" s="572"/>
      <c r="O239" s="574"/>
    </row>
    <row r="240" ht="13.5" customHeight="1">
      <c r="A240" s="572"/>
      <c r="B240" s="572"/>
      <c r="C240" s="572"/>
      <c r="D240" s="584"/>
      <c r="E240" s="570"/>
      <c r="F240" s="570"/>
      <c r="G240" s="572"/>
      <c r="H240" s="572"/>
      <c r="I240" s="572"/>
      <c r="J240" s="572"/>
      <c r="K240" s="572"/>
      <c r="L240" s="572"/>
      <c r="M240" s="572"/>
      <c r="N240" s="572"/>
      <c r="O240" s="574"/>
    </row>
    <row r="241" ht="13.5" customHeight="1">
      <c r="A241" s="572"/>
      <c r="B241" s="572"/>
      <c r="C241" s="572"/>
      <c r="D241" s="584"/>
      <c r="E241" s="570"/>
      <c r="F241" s="570"/>
      <c r="G241" s="572"/>
      <c r="H241" s="572"/>
      <c r="I241" s="572"/>
      <c r="J241" s="572"/>
      <c r="K241" s="572"/>
      <c r="L241" s="572"/>
      <c r="M241" s="572"/>
      <c r="N241" s="572"/>
      <c r="O241" s="574"/>
    </row>
    <row r="242" ht="13.5" customHeight="1">
      <c r="A242" s="572"/>
      <c r="B242" s="572"/>
      <c r="C242" s="572"/>
      <c r="D242" s="584"/>
      <c r="E242" s="570"/>
      <c r="F242" s="570"/>
      <c r="G242" s="572"/>
      <c r="H242" s="572"/>
      <c r="I242" s="572"/>
      <c r="J242" s="572"/>
      <c r="K242" s="572"/>
      <c r="L242" s="572"/>
      <c r="M242" s="572"/>
      <c r="N242" s="572"/>
      <c r="O242" s="574"/>
    </row>
    <row r="243" ht="13.5" customHeight="1">
      <c r="A243" s="572"/>
      <c r="B243" s="572"/>
      <c r="C243" s="572"/>
      <c r="D243" s="584"/>
      <c r="E243" s="570"/>
      <c r="F243" s="570"/>
      <c r="G243" s="572"/>
      <c r="H243" s="572"/>
      <c r="I243" s="572"/>
      <c r="J243" s="572"/>
      <c r="K243" s="572"/>
      <c r="L243" s="572"/>
      <c r="M243" s="572"/>
      <c r="N243" s="572"/>
      <c r="O243" s="574"/>
    </row>
    <row r="244" ht="13.5" customHeight="1">
      <c r="A244" s="572"/>
      <c r="B244" s="572"/>
      <c r="C244" s="572"/>
      <c r="D244" s="584"/>
      <c r="E244" s="570"/>
      <c r="F244" s="570"/>
      <c r="G244" s="572"/>
      <c r="H244" s="572"/>
      <c r="I244" s="572"/>
      <c r="J244" s="572"/>
      <c r="K244" s="572"/>
      <c r="L244" s="572"/>
      <c r="M244" s="572"/>
      <c r="N244" s="572"/>
      <c r="O244" s="574"/>
    </row>
    <row r="245" ht="13.5" customHeight="1">
      <c r="A245" s="572"/>
      <c r="B245" s="572"/>
      <c r="C245" s="572"/>
      <c r="D245" s="584"/>
      <c r="E245" s="570"/>
      <c r="F245" s="570"/>
      <c r="G245" s="572"/>
      <c r="H245" s="572"/>
      <c r="I245" s="572"/>
      <c r="J245" s="572"/>
      <c r="K245" s="572"/>
      <c r="L245" s="572"/>
      <c r="M245" s="572"/>
      <c r="N245" s="572"/>
      <c r="O245" s="574"/>
    </row>
    <row r="246" ht="13.5" customHeight="1">
      <c r="A246" s="572"/>
      <c r="B246" s="572"/>
      <c r="C246" s="572"/>
      <c r="D246" s="584"/>
      <c r="E246" s="570"/>
      <c r="F246" s="570"/>
      <c r="G246" s="572"/>
      <c r="H246" s="572"/>
      <c r="I246" s="572"/>
      <c r="J246" s="572"/>
      <c r="K246" s="572"/>
      <c r="L246" s="572"/>
      <c r="M246" s="572"/>
      <c r="N246" s="572"/>
      <c r="O246" s="574"/>
    </row>
    <row r="247" ht="13.5" customHeight="1">
      <c r="A247" s="572"/>
      <c r="B247" s="572"/>
      <c r="C247" s="572"/>
      <c r="D247" s="584"/>
      <c r="E247" s="570"/>
      <c r="F247" s="570"/>
      <c r="G247" s="572"/>
      <c r="H247" s="572"/>
      <c r="I247" s="572"/>
      <c r="J247" s="572"/>
      <c r="K247" s="572"/>
      <c r="L247" s="572"/>
      <c r="M247" s="572"/>
      <c r="N247" s="572"/>
      <c r="O247" s="574"/>
    </row>
    <row r="248" ht="13.5" customHeight="1">
      <c r="A248" s="572"/>
      <c r="B248" s="572"/>
      <c r="C248" s="572"/>
      <c r="D248" s="584"/>
      <c r="E248" s="570"/>
      <c r="F248" s="570"/>
      <c r="G248" s="572"/>
      <c r="H248" s="572"/>
      <c r="I248" s="572"/>
      <c r="J248" s="572"/>
      <c r="K248" s="572"/>
      <c r="L248" s="572"/>
      <c r="M248" s="572"/>
      <c r="N248" s="572"/>
      <c r="O248" s="574"/>
    </row>
    <row r="249" ht="13.5" customHeight="1">
      <c r="A249" s="572"/>
      <c r="B249" s="572"/>
      <c r="C249" s="572"/>
      <c r="D249" s="584"/>
      <c r="E249" s="570"/>
      <c r="F249" s="570"/>
      <c r="G249" s="572"/>
      <c r="H249" s="572"/>
      <c r="I249" s="572"/>
      <c r="J249" s="572"/>
      <c r="K249" s="572"/>
      <c r="L249" s="572"/>
      <c r="M249" s="572"/>
      <c r="N249" s="572"/>
      <c r="O249" s="574"/>
    </row>
    <row r="250" ht="13.5" customHeight="1">
      <c r="A250" s="572"/>
      <c r="B250" s="572"/>
      <c r="C250" s="572"/>
      <c r="D250" s="584"/>
      <c r="E250" s="570"/>
      <c r="F250" s="570"/>
      <c r="G250" s="572"/>
      <c r="H250" s="572"/>
      <c r="I250" s="572"/>
      <c r="J250" s="572"/>
      <c r="K250" s="572"/>
      <c r="L250" s="572"/>
      <c r="M250" s="572"/>
      <c r="N250" s="572"/>
      <c r="O250" s="574"/>
    </row>
    <row r="251" ht="13.5" customHeight="1">
      <c r="A251" s="572"/>
      <c r="B251" s="572"/>
      <c r="C251" s="572"/>
      <c r="D251" s="584"/>
      <c r="E251" s="570"/>
      <c r="F251" s="570"/>
      <c r="G251" s="572"/>
      <c r="H251" s="572"/>
      <c r="I251" s="572"/>
      <c r="J251" s="572"/>
      <c r="K251" s="572"/>
      <c r="L251" s="572"/>
      <c r="M251" s="572"/>
      <c r="N251" s="572"/>
      <c r="O251" s="574"/>
    </row>
    <row r="252" ht="13.5" customHeight="1">
      <c r="A252" s="572"/>
      <c r="B252" s="572"/>
      <c r="C252" s="572"/>
      <c r="D252" s="584"/>
      <c r="E252" s="570"/>
      <c r="F252" s="570"/>
      <c r="G252" s="572"/>
      <c r="H252" s="572"/>
      <c r="I252" s="572"/>
      <c r="J252" s="572"/>
      <c r="K252" s="572"/>
      <c r="L252" s="572"/>
      <c r="M252" s="572"/>
      <c r="N252" s="572"/>
      <c r="O252" s="574"/>
    </row>
    <row r="253" ht="13.5" customHeight="1">
      <c r="A253" s="572"/>
      <c r="B253" s="572"/>
      <c r="C253" s="572"/>
      <c r="D253" s="584"/>
      <c r="E253" s="570"/>
      <c r="F253" s="570"/>
      <c r="G253" s="572"/>
      <c r="H253" s="572"/>
      <c r="I253" s="572"/>
      <c r="J253" s="572"/>
      <c r="K253" s="572"/>
      <c r="L253" s="572"/>
      <c r="M253" s="572"/>
      <c r="N253" s="572"/>
      <c r="O253" s="574"/>
    </row>
    <row r="254" ht="13.5" customHeight="1">
      <c r="A254" s="572"/>
      <c r="B254" s="572"/>
      <c r="C254" s="572"/>
      <c r="D254" s="584"/>
      <c r="E254" s="570"/>
      <c r="F254" s="570"/>
      <c r="G254" s="572"/>
      <c r="H254" s="572"/>
      <c r="I254" s="572"/>
      <c r="J254" s="572"/>
      <c r="K254" s="572"/>
      <c r="L254" s="572"/>
      <c r="M254" s="572"/>
      <c r="N254" s="572"/>
      <c r="O254" s="574"/>
    </row>
    <row r="255" ht="13.5" customHeight="1">
      <c r="A255" s="572"/>
      <c r="B255" s="572"/>
      <c r="C255" s="572"/>
      <c r="D255" s="584"/>
      <c r="E255" s="570"/>
      <c r="F255" s="570"/>
      <c r="G255" s="572"/>
      <c r="H255" s="572"/>
      <c r="I255" s="572"/>
      <c r="J255" s="572"/>
      <c r="K255" s="572"/>
      <c r="L255" s="572"/>
      <c r="M255" s="572"/>
      <c r="N255" s="572"/>
      <c r="O255" s="574"/>
    </row>
    <row r="256" ht="13.5" customHeight="1">
      <c r="A256" s="572"/>
      <c r="B256" s="572"/>
      <c r="C256" s="572"/>
      <c r="D256" s="584"/>
      <c r="E256" s="570"/>
      <c r="F256" s="570"/>
      <c r="G256" s="572"/>
      <c r="H256" s="572"/>
      <c r="I256" s="572"/>
      <c r="J256" s="572"/>
      <c r="K256" s="572"/>
      <c r="L256" s="572"/>
      <c r="M256" s="572"/>
      <c r="N256" s="572"/>
      <c r="O256" s="574"/>
    </row>
    <row r="257" ht="13.5" customHeight="1">
      <c r="A257" s="572"/>
      <c r="B257" s="572"/>
      <c r="C257" s="572"/>
      <c r="D257" s="584"/>
      <c r="E257" s="570"/>
      <c r="F257" s="570"/>
      <c r="G257" s="572"/>
      <c r="H257" s="572"/>
      <c r="I257" s="572"/>
      <c r="J257" s="572"/>
      <c r="K257" s="572"/>
      <c r="L257" s="572"/>
      <c r="M257" s="572"/>
      <c r="N257" s="572"/>
      <c r="O257" s="574"/>
    </row>
    <row r="258" ht="13.5" customHeight="1">
      <c r="A258" s="572"/>
      <c r="B258" s="572"/>
      <c r="C258" s="572"/>
      <c r="D258" s="584"/>
      <c r="E258" s="570"/>
      <c r="F258" s="570"/>
      <c r="G258" s="572"/>
      <c r="H258" s="572"/>
      <c r="I258" s="572"/>
      <c r="J258" s="572"/>
      <c r="K258" s="572"/>
      <c r="L258" s="572"/>
      <c r="M258" s="572"/>
      <c r="N258" s="572"/>
      <c r="O258" s="574"/>
    </row>
    <row r="259" ht="13.5" customHeight="1">
      <c r="A259" s="572"/>
      <c r="B259" s="572"/>
      <c r="C259" s="572"/>
      <c r="D259" s="584"/>
      <c r="E259" s="570"/>
      <c r="F259" s="570"/>
      <c r="G259" s="572"/>
      <c r="H259" s="572"/>
      <c r="I259" s="572"/>
      <c r="J259" s="572"/>
      <c r="K259" s="572"/>
      <c r="L259" s="572"/>
      <c r="M259" s="572"/>
      <c r="N259" s="572"/>
      <c r="O259" s="574"/>
    </row>
    <row r="260" ht="13.5" customHeight="1">
      <c r="A260" s="572"/>
      <c r="B260" s="572"/>
      <c r="C260" s="572"/>
      <c r="D260" s="584"/>
      <c r="E260" s="570"/>
      <c r="F260" s="570"/>
      <c r="G260" s="572"/>
      <c r="H260" s="572"/>
      <c r="I260" s="572"/>
      <c r="J260" s="572"/>
      <c r="K260" s="572"/>
      <c r="L260" s="572"/>
      <c r="M260" s="572"/>
      <c r="N260" s="572"/>
      <c r="O260" s="574"/>
    </row>
    <row r="261" ht="13.5" customHeight="1">
      <c r="A261" s="572"/>
      <c r="B261" s="572"/>
      <c r="C261" s="572"/>
      <c r="D261" s="584"/>
      <c r="E261" s="570"/>
      <c r="F261" s="570"/>
      <c r="G261" s="572"/>
      <c r="H261" s="572"/>
      <c r="I261" s="572"/>
      <c r="J261" s="572"/>
      <c r="K261" s="572"/>
      <c r="L261" s="572"/>
      <c r="M261" s="572"/>
      <c r="N261" s="572"/>
      <c r="O261" s="574"/>
    </row>
    <row r="262" ht="13.5" customHeight="1">
      <c r="A262" s="572"/>
      <c r="B262" s="572"/>
      <c r="C262" s="572"/>
      <c r="D262" s="584"/>
      <c r="E262" s="570"/>
      <c r="F262" s="570"/>
      <c r="G262" s="572"/>
      <c r="H262" s="572"/>
      <c r="I262" s="572"/>
      <c r="J262" s="572"/>
      <c r="K262" s="572"/>
      <c r="L262" s="572"/>
      <c r="M262" s="572"/>
      <c r="N262" s="572"/>
      <c r="O262" s="574"/>
    </row>
    <row r="263" ht="13.5" customHeight="1">
      <c r="A263" s="572"/>
      <c r="B263" s="572"/>
      <c r="C263" s="572"/>
      <c r="D263" s="584"/>
      <c r="E263" s="570"/>
      <c r="F263" s="570"/>
      <c r="G263" s="572"/>
      <c r="H263" s="572"/>
      <c r="I263" s="572"/>
      <c r="J263" s="572"/>
      <c r="K263" s="572"/>
      <c r="L263" s="572"/>
      <c r="M263" s="572"/>
      <c r="N263" s="572"/>
      <c r="O263" s="574"/>
    </row>
    <row r="264" ht="13.5" customHeight="1">
      <c r="A264" s="572"/>
      <c r="B264" s="572"/>
      <c r="C264" s="572"/>
      <c r="D264" s="584"/>
      <c r="E264" s="570"/>
      <c r="F264" s="570"/>
      <c r="G264" s="572"/>
      <c r="H264" s="572"/>
      <c r="I264" s="572"/>
      <c r="J264" s="572"/>
      <c r="K264" s="572"/>
      <c r="L264" s="572"/>
      <c r="M264" s="572"/>
      <c r="N264" s="572"/>
      <c r="O264" s="574"/>
    </row>
    <row r="265" ht="13.5" customHeight="1">
      <c r="A265" s="572"/>
      <c r="B265" s="572"/>
      <c r="C265" s="572"/>
      <c r="D265" s="584"/>
      <c r="E265" s="570"/>
      <c r="F265" s="570"/>
      <c r="G265" s="572"/>
      <c r="H265" s="572"/>
      <c r="I265" s="572"/>
      <c r="J265" s="572"/>
      <c r="K265" s="572"/>
      <c r="L265" s="572"/>
      <c r="M265" s="572"/>
      <c r="N265" s="572"/>
      <c r="O265" s="574"/>
    </row>
    <row r="266" ht="13.5" customHeight="1">
      <c r="A266" s="572"/>
      <c r="B266" s="572"/>
      <c r="C266" s="572"/>
      <c r="D266" s="584"/>
      <c r="E266" s="570"/>
      <c r="F266" s="570"/>
      <c r="G266" s="572"/>
      <c r="H266" s="572"/>
      <c r="I266" s="572"/>
      <c r="J266" s="572"/>
      <c r="K266" s="572"/>
      <c r="L266" s="572"/>
      <c r="M266" s="572"/>
      <c r="N266" s="572"/>
      <c r="O266" s="574"/>
    </row>
    <row r="267" ht="13.5" customHeight="1">
      <c r="A267" s="572"/>
      <c r="B267" s="572"/>
      <c r="C267" s="572"/>
      <c r="D267" s="584"/>
      <c r="E267" s="570"/>
      <c r="F267" s="570"/>
      <c r="G267" s="572"/>
      <c r="H267" s="572"/>
      <c r="I267" s="572"/>
      <c r="J267" s="572"/>
      <c r="K267" s="572"/>
      <c r="L267" s="572"/>
      <c r="M267" s="572"/>
      <c r="N267" s="572"/>
      <c r="O267" s="574"/>
    </row>
    <row r="268" ht="13.5" customHeight="1">
      <c r="A268" s="572"/>
      <c r="B268" s="572"/>
      <c r="C268" s="572"/>
      <c r="D268" s="584"/>
      <c r="E268" s="570"/>
      <c r="F268" s="570"/>
      <c r="G268" s="572"/>
      <c r="H268" s="572"/>
      <c r="I268" s="572"/>
      <c r="J268" s="572"/>
      <c r="K268" s="572"/>
      <c r="L268" s="572"/>
      <c r="M268" s="572"/>
      <c r="N268" s="572"/>
      <c r="O268" s="574"/>
    </row>
    <row r="269" ht="13.5" customHeight="1">
      <c r="A269" s="572"/>
      <c r="B269" s="572"/>
      <c r="C269" s="572"/>
      <c r="D269" s="584"/>
      <c r="E269" s="570"/>
      <c r="F269" s="570"/>
      <c r="G269" s="572"/>
      <c r="H269" s="572"/>
      <c r="I269" s="572"/>
      <c r="J269" s="572"/>
      <c r="K269" s="572"/>
      <c r="L269" s="572"/>
      <c r="M269" s="572"/>
      <c r="N269" s="572"/>
      <c r="O269" s="574"/>
    </row>
    <row r="270" ht="13.5" customHeight="1">
      <c r="A270" s="572"/>
      <c r="B270" s="572"/>
      <c r="C270" s="572"/>
      <c r="D270" s="584"/>
      <c r="E270" s="570"/>
      <c r="F270" s="570"/>
      <c r="G270" s="572"/>
      <c r="H270" s="572"/>
      <c r="I270" s="572"/>
      <c r="J270" s="572"/>
      <c r="K270" s="572"/>
      <c r="L270" s="572"/>
      <c r="M270" s="572"/>
      <c r="N270" s="572"/>
      <c r="O270" s="574"/>
    </row>
    <row r="271" ht="13.5" customHeight="1">
      <c r="A271" s="572"/>
      <c r="B271" s="572"/>
      <c r="C271" s="572"/>
      <c r="D271" s="584"/>
      <c r="E271" s="570"/>
      <c r="F271" s="570"/>
      <c r="G271" s="572"/>
      <c r="H271" s="572"/>
      <c r="I271" s="572"/>
      <c r="J271" s="572"/>
      <c r="K271" s="572"/>
      <c r="L271" s="572"/>
      <c r="M271" s="572"/>
      <c r="N271" s="572"/>
      <c r="O271" s="574"/>
    </row>
    <row r="272" ht="13.5" customHeight="1">
      <c r="A272" s="572"/>
      <c r="B272" s="572"/>
      <c r="C272" s="572"/>
      <c r="D272" s="584"/>
      <c r="E272" s="570"/>
      <c r="F272" s="570"/>
      <c r="G272" s="572"/>
      <c r="H272" s="572"/>
      <c r="I272" s="572"/>
      <c r="J272" s="572"/>
      <c r="K272" s="572"/>
      <c r="L272" s="572"/>
      <c r="M272" s="572"/>
      <c r="N272" s="572"/>
      <c r="O272" s="574"/>
    </row>
    <row r="273" ht="13.5" customHeight="1">
      <c r="A273" s="572"/>
      <c r="B273" s="572"/>
      <c r="C273" s="572"/>
      <c r="D273" s="584"/>
      <c r="E273" s="570"/>
      <c r="F273" s="570"/>
      <c r="G273" s="572"/>
      <c r="H273" s="572"/>
      <c r="I273" s="572"/>
      <c r="J273" s="572"/>
      <c r="K273" s="572"/>
      <c r="L273" s="572"/>
      <c r="M273" s="572"/>
      <c r="N273" s="572"/>
      <c r="O273" s="574"/>
    </row>
    <row r="274" ht="13.5" customHeight="1">
      <c r="A274" s="572"/>
      <c r="B274" s="572"/>
      <c r="C274" s="572"/>
      <c r="D274" s="584"/>
      <c r="E274" s="570"/>
      <c r="F274" s="570"/>
      <c r="G274" s="572"/>
      <c r="H274" s="572"/>
      <c r="I274" s="572"/>
      <c r="J274" s="572"/>
      <c r="K274" s="572"/>
      <c r="L274" s="572"/>
      <c r="M274" s="572"/>
      <c r="N274" s="572"/>
      <c r="O274" s="574"/>
    </row>
    <row r="275" ht="13.5" customHeight="1">
      <c r="A275" s="572"/>
      <c r="B275" s="572"/>
      <c r="C275" s="572"/>
      <c r="D275" s="584"/>
      <c r="E275" s="570"/>
      <c r="F275" s="570"/>
      <c r="G275" s="572"/>
      <c r="H275" s="572"/>
      <c r="I275" s="572"/>
      <c r="J275" s="572"/>
      <c r="K275" s="572"/>
      <c r="L275" s="572"/>
      <c r="M275" s="572"/>
      <c r="N275" s="572"/>
      <c r="O275" s="574"/>
    </row>
    <row r="276" ht="13.5" customHeight="1">
      <c r="A276" s="572"/>
      <c r="B276" s="572"/>
      <c r="C276" s="572"/>
      <c r="D276" s="584"/>
      <c r="E276" s="570"/>
      <c r="F276" s="570"/>
      <c r="G276" s="572"/>
      <c r="H276" s="572"/>
      <c r="I276" s="572"/>
      <c r="J276" s="572"/>
      <c r="K276" s="572"/>
      <c r="L276" s="572"/>
      <c r="M276" s="572"/>
      <c r="N276" s="572"/>
      <c r="O276" s="574"/>
    </row>
    <row r="277" ht="13.5" customHeight="1">
      <c r="A277" s="572"/>
      <c r="B277" s="572"/>
      <c r="C277" s="572"/>
      <c r="D277" s="584"/>
      <c r="E277" s="570"/>
      <c r="F277" s="570"/>
      <c r="G277" s="572"/>
      <c r="H277" s="572"/>
      <c r="I277" s="572"/>
      <c r="J277" s="572"/>
      <c r="K277" s="572"/>
      <c r="L277" s="572"/>
      <c r="M277" s="572"/>
      <c r="N277" s="572"/>
      <c r="O277" s="574"/>
    </row>
    <row r="278" ht="13.5" customHeight="1">
      <c r="A278" s="572"/>
      <c r="B278" s="572"/>
      <c r="C278" s="572"/>
      <c r="D278" s="584"/>
      <c r="E278" s="570"/>
      <c r="F278" s="570"/>
      <c r="G278" s="572"/>
      <c r="H278" s="572"/>
      <c r="I278" s="572"/>
      <c r="J278" s="572"/>
      <c r="K278" s="572"/>
      <c r="L278" s="572"/>
      <c r="M278" s="572"/>
      <c r="N278" s="572"/>
      <c r="O278" s="574"/>
    </row>
    <row r="279" ht="13.5" customHeight="1">
      <c r="A279" s="572"/>
      <c r="B279" s="572"/>
      <c r="C279" s="572"/>
      <c r="D279" s="584"/>
      <c r="E279" s="570"/>
      <c r="F279" s="570"/>
      <c r="G279" s="572"/>
      <c r="H279" s="572"/>
      <c r="I279" s="572"/>
      <c r="J279" s="572"/>
      <c r="K279" s="572"/>
      <c r="L279" s="572"/>
      <c r="M279" s="572"/>
      <c r="N279" s="572"/>
      <c r="O279" s="574"/>
    </row>
    <row r="280" ht="13.5" customHeight="1">
      <c r="A280" s="572"/>
      <c r="B280" s="572"/>
      <c r="C280" s="572"/>
      <c r="D280" s="584"/>
      <c r="E280" s="570"/>
      <c r="F280" s="570"/>
      <c r="G280" s="572"/>
      <c r="H280" s="572"/>
      <c r="I280" s="572"/>
      <c r="J280" s="572"/>
      <c r="K280" s="572"/>
      <c r="L280" s="572"/>
      <c r="M280" s="572"/>
      <c r="N280" s="572"/>
      <c r="O280" s="574"/>
    </row>
    <row r="281" ht="13.5" customHeight="1">
      <c r="A281" s="572"/>
      <c r="B281" s="572"/>
      <c r="C281" s="572"/>
      <c r="D281" s="584"/>
      <c r="E281" s="570"/>
      <c r="F281" s="570"/>
      <c r="G281" s="572"/>
      <c r="H281" s="572"/>
      <c r="I281" s="572"/>
      <c r="J281" s="572"/>
      <c r="K281" s="572"/>
      <c r="L281" s="572"/>
      <c r="M281" s="572"/>
      <c r="N281" s="572"/>
      <c r="O281" s="574"/>
    </row>
    <row r="282" ht="13.5" customHeight="1">
      <c r="A282" s="572"/>
      <c r="B282" s="572"/>
      <c r="C282" s="572"/>
      <c r="D282" s="584"/>
      <c r="E282" s="570"/>
      <c r="F282" s="570"/>
      <c r="G282" s="572"/>
      <c r="H282" s="572"/>
      <c r="I282" s="572"/>
      <c r="J282" s="572"/>
      <c r="K282" s="572"/>
      <c r="L282" s="572"/>
      <c r="M282" s="572"/>
      <c r="N282" s="572"/>
      <c r="O282" s="574"/>
    </row>
    <row r="283" ht="13.5" customHeight="1">
      <c r="A283" s="572"/>
      <c r="B283" s="572"/>
      <c r="C283" s="572"/>
      <c r="D283" s="584"/>
      <c r="E283" s="570"/>
      <c r="F283" s="570"/>
      <c r="G283" s="572"/>
      <c r="H283" s="572"/>
      <c r="I283" s="572"/>
      <c r="J283" s="572"/>
      <c r="K283" s="572"/>
      <c r="L283" s="572"/>
      <c r="M283" s="572"/>
      <c r="N283" s="572"/>
      <c r="O283" s="574"/>
    </row>
    <row r="284" ht="13.5" customHeight="1">
      <c r="A284" s="572"/>
      <c r="B284" s="572"/>
      <c r="C284" s="572"/>
      <c r="D284" s="584"/>
      <c r="E284" s="570"/>
      <c r="F284" s="570"/>
      <c r="G284" s="572"/>
      <c r="H284" s="572"/>
      <c r="I284" s="572"/>
      <c r="J284" s="572"/>
      <c r="K284" s="572"/>
      <c r="L284" s="572"/>
      <c r="M284" s="572"/>
      <c r="N284" s="572"/>
      <c r="O284" s="574"/>
    </row>
    <row r="285" ht="13.5" customHeight="1">
      <c r="A285" s="572"/>
      <c r="B285" s="572"/>
      <c r="C285" s="572"/>
      <c r="D285" s="584"/>
      <c r="E285" s="570"/>
      <c r="F285" s="570"/>
      <c r="G285" s="572"/>
      <c r="H285" s="572"/>
      <c r="I285" s="572"/>
      <c r="J285" s="572"/>
      <c r="K285" s="572"/>
      <c r="L285" s="572"/>
      <c r="M285" s="572"/>
      <c r="N285" s="572"/>
      <c r="O285" s="574"/>
    </row>
    <row r="286" ht="13.5" customHeight="1">
      <c r="A286" s="572"/>
      <c r="B286" s="572"/>
      <c r="C286" s="572"/>
      <c r="D286" s="584"/>
      <c r="E286" s="570"/>
      <c r="F286" s="570"/>
      <c r="G286" s="572"/>
      <c r="H286" s="572"/>
      <c r="I286" s="572"/>
      <c r="J286" s="572"/>
      <c r="K286" s="572"/>
      <c r="L286" s="572"/>
      <c r="M286" s="572"/>
      <c r="N286" s="572"/>
      <c r="O286" s="574"/>
    </row>
    <row r="287" ht="13.5" customHeight="1">
      <c r="A287" s="572"/>
      <c r="B287" s="572"/>
      <c r="C287" s="572"/>
      <c r="D287" s="584"/>
      <c r="E287" s="570"/>
      <c r="F287" s="570"/>
      <c r="G287" s="572"/>
      <c r="H287" s="572"/>
      <c r="I287" s="572"/>
      <c r="J287" s="572"/>
      <c r="K287" s="572"/>
      <c r="L287" s="572"/>
      <c r="M287" s="572"/>
      <c r="N287" s="572"/>
      <c r="O287" s="574"/>
    </row>
    <row r="288" ht="13.5" customHeight="1">
      <c r="A288" s="572"/>
      <c r="B288" s="572"/>
      <c r="C288" s="572"/>
      <c r="D288" s="584"/>
      <c r="E288" s="570"/>
      <c r="F288" s="570"/>
      <c r="G288" s="572"/>
      <c r="H288" s="572"/>
      <c r="I288" s="572"/>
      <c r="J288" s="572"/>
      <c r="K288" s="572"/>
      <c r="L288" s="572"/>
      <c r="M288" s="572"/>
      <c r="N288" s="572"/>
      <c r="O288" s="574"/>
    </row>
    <row r="289" ht="13.5" customHeight="1">
      <c r="A289" s="572"/>
      <c r="B289" s="572"/>
      <c r="C289" s="572"/>
      <c r="D289" s="584"/>
      <c r="E289" s="570"/>
      <c r="F289" s="570"/>
      <c r="G289" s="572"/>
      <c r="H289" s="572"/>
      <c r="I289" s="572"/>
      <c r="J289" s="572"/>
      <c r="K289" s="572"/>
      <c r="L289" s="572"/>
      <c r="M289" s="572"/>
      <c r="N289" s="572"/>
      <c r="O289" s="574"/>
    </row>
    <row r="290" ht="13.5" customHeight="1">
      <c r="A290" s="572"/>
      <c r="B290" s="572"/>
      <c r="C290" s="572"/>
      <c r="D290" s="584"/>
      <c r="E290" s="570"/>
      <c r="F290" s="570"/>
      <c r="G290" s="572"/>
      <c r="H290" s="572"/>
      <c r="I290" s="572"/>
      <c r="J290" s="572"/>
      <c r="K290" s="572"/>
      <c r="L290" s="572"/>
      <c r="M290" s="572"/>
      <c r="N290" s="572"/>
      <c r="O290" s="574"/>
    </row>
    <row r="291" ht="13.5" customHeight="1">
      <c r="A291" s="572"/>
      <c r="B291" s="572"/>
      <c r="C291" s="572"/>
      <c r="D291" s="584"/>
      <c r="E291" s="570"/>
      <c r="F291" s="570"/>
      <c r="G291" s="572"/>
      <c r="H291" s="572"/>
      <c r="I291" s="572"/>
      <c r="J291" s="572"/>
      <c r="K291" s="572"/>
      <c r="L291" s="572"/>
      <c r="M291" s="572"/>
      <c r="N291" s="572"/>
      <c r="O291" s="574"/>
    </row>
    <row r="292" ht="13.5" customHeight="1">
      <c r="A292" s="572"/>
      <c r="B292" s="572"/>
      <c r="C292" s="572"/>
      <c r="D292" s="584"/>
      <c r="E292" s="570"/>
      <c r="F292" s="570"/>
      <c r="G292" s="572"/>
      <c r="H292" s="572"/>
      <c r="I292" s="572"/>
      <c r="J292" s="572"/>
      <c r="K292" s="572"/>
      <c r="L292" s="572"/>
      <c r="M292" s="572"/>
      <c r="N292" s="572"/>
      <c r="O292" s="574"/>
    </row>
    <row r="293" ht="13.5" customHeight="1">
      <c r="A293" s="572"/>
      <c r="B293" s="572"/>
      <c r="C293" s="572"/>
      <c r="D293" s="584"/>
      <c r="E293" s="570"/>
      <c r="F293" s="570"/>
      <c r="G293" s="572"/>
      <c r="H293" s="572"/>
      <c r="I293" s="572"/>
      <c r="J293" s="572"/>
      <c r="K293" s="572"/>
      <c r="L293" s="572"/>
      <c r="M293" s="572"/>
      <c r="N293" s="572"/>
      <c r="O293" s="574"/>
    </row>
    <row r="294" ht="13.5" customHeight="1">
      <c r="A294" s="572"/>
      <c r="B294" s="572"/>
      <c r="C294" s="572"/>
      <c r="D294" s="584"/>
      <c r="E294" s="570"/>
      <c r="F294" s="570"/>
      <c r="G294" s="572"/>
      <c r="H294" s="572"/>
      <c r="I294" s="572"/>
      <c r="J294" s="572"/>
      <c r="K294" s="572"/>
      <c r="L294" s="572"/>
      <c r="M294" s="572"/>
      <c r="N294" s="572"/>
      <c r="O294" s="574"/>
    </row>
    <row r="295" ht="13.5" customHeight="1">
      <c r="A295" s="572"/>
      <c r="B295" s="572"/>
      <c r="C295" s="572"/>
      <c r="D295" s="584"/>
      <c r="E295" s="570"/>
      <c r="F295" s="570"/>
      <c r="G295" s="572"/>
      <c r="H295" s="572"/>
      <c r="I295" s="572"/>
      <c r="J295" s="572"/>
      <c r="K295" s="572"/>
      <c r="L295" s="572"/>
      <c r="M295" s="572"/>
      <c r="N295" s="572"/>
      <c r="O295" s="574"/>
    </row>
    <row r="296" ht="13.5" customHeight="1">
      <c r="A296" s="572"/>
      <c r="B296" s="572"/>
      <c r="C296" s="572"/>
      <c r="D296" s="584"/>
      <c r="E296" s="570"/>
      <c r="F296" s="570"/>
      <c r="G296" s="572"/>
      <c r="H296" s="572"/>
      <c r="I296" s="572"/>
      <c r="J296" s="572"/>
      <c r="K296" s="572"/>
      <c r="L296" s="572"/>
      <c r="M296" s="572"/>
      <c r="N296" s="572"/>
      <c r="O296" s="574"/>
    </row>
    <row r="297" ht="13.5" customHeight="1">
      <c r="A297" s="572"/>
      <c r="B297" s="572"/>
      <c r="C297" s="572"/>
      <c r="D297" s="584"/>
      <c r="E297" s="570"/>
      <c r="F297" s="570"/>
      <c r="G297" s="572"/>
      <c r="H297" s="572"/>
      <c r="I297" s="572"/>
      <c r="J297" s="572"/>
      <c r="K297" s="572"/>
      <c r="L297" s="572"/>
      <c r="M297" s="572"/>
      <c r="N297" s="572"/>
      <c r="O297" s="574"/>
    </row>
    <row r="298" ht="13.5" customHeight="1">
      <c r="A298" s="572"/>
      <c r="B298" s="572"/>
      <c r="C298" s="572"/>
      <c r="D298" s="584"/>
      <c r="E298" s="570"/>
      <c r="F298" s="570"/>
      <c r="G298" s="572"/>
      <c r="H298" s="572"/>
      <c r="I298" s="572"/>
      <c r="J298" s="572"/>
      <c r="K298" s="572"/>
      <c r="L298" s="572"/>
      <c r="M298" s="572"/>
      <c r="N298" s="572"/>
      <c r="O298" s="574"/>
    </row>
    <row r="299" ht="13.5" customHeight="1">
      <c r="A299" s="572"/>
      <c r="B299" s="572"/>
      <c r="C299" s="572"/>
      <c r="D299" s="584"/>
      <c r="E299" s="570"/>
      <c r="F299" s="570"/>
      <c r="G299" s="572"/>
      <c r="H299" s="572"/>
      <c r="I299" s="572"/>
      <c r="J299" s="572"/>
      <c r="K299" s="572"/>
      <c r="L299" s="572"/>
      <c r="M299" s="572"/>
      <c r="N299" s="572"/>
      <c r="O299" s="574"/>
    </row>
    <row r="300" ht="13.5" customHeight="1">
      <c r="A300" s="572"/>
      <c r="B300" s="572"/>
      <c r="C300" s="572"/>
      <c r="D300" s="584"/>
      <c r="E300" s="570"/>
      <c r="F300" s="570"/>
      <c r="G300" s="572"/>
      <c r="H300" s="572"/>
      <c r="I300" s="572"/>
      <c r="J300" s="572"/>
      <c r="K300" s="572"/>
      <c r="L300" s="572"/>
      <c r="M300" s="572"/>
      <c r="N300" s="572"/>
      <c r="O300" s="574"/>
    </row>
    <row r="301" ht="13.5" customHeight="1">
      <c r="A301" s="572"/>
      <c r="B301" s="572"/>
      <c r="C301" s="572"/>
      <c r="D301" s="584"/>
      <c r="E301" s="570"/>
      <c r="F301" s="570"/>
      <c r="G301" s="572"/>
      <c r="H301" s="572"/>
      <c r="I301" s="572"/>
      <c r="J301" s="572"/>
      <c r="K301" s="572"/>
      <c r="L301" s="572"/>
      <c r="M301" s="572"/>
      <c r="N301" s="572"/>
      <c r="O301" s="574"/>
    </row>
    <row r="302" ht="13.5" customHeight="1">
      <c r="A302" s="572"/>
      <c r="B302" s="572"/>
      <c r="C302" s="572"/>
      <c r="D302" s="584"/>
      <c r="E302" s="570"/>
      <c r="F302" s="570"/>
      <c r="G302" s="572"/>
      <c r="H302" s="572"/>
      <c r="I302" s="572"/>
      <c r="J302" s="572"/>
      <c r="K302" s="572"/>
      <c r="L302" s="572"/>
      <c r="M302" s="572"/>
      <c r="N302" s="572"/>
      <c r="O302" s="574"/>
    </row>
    <row r="303" ht="13.5" customHeight="1">
      <c r="A303" s="572"/>
      <c r="B303" s="572"/>
      <c r="C303" s="572"/>
      <c r="D303" s="584"/>
      <c r="E303" s="570"/>
      <c r="F303" s="570"/>
      <c r="G303" s="572"/>
      <c r="H303" s="572"/>
      <c r="I303" s="572"/>
      <c r="J303" s="572"/>
      <c r="K303" s="572"/>
      <c r="L303" s="572"/>
      <c r="M303" s="572"/>
      <c r="N303" s="572"/>
      <c r="O303" s="574"/>
    </row>
    <row r="304" ht="13.5" customHeight="1">
      <c r="A304" s="572"/>
      <c r="B304" s="572"/>
      <c r="C304" s="572"/>
      <c r="D304" s="584"/>
      <c r="E304" s="570"/>
      <c r="F304" s="570"/>
      <c r="G304" s="572"/>
      <c r="H304" s="572"/>
      <c r="I304" s="572"/>
      <c r="J304" s="572"/>
      <c r="K304" s="572"/>
      <c r="L304" s="572"/>
      <c r="M304" s="572"/>
      <c r="N304" s="572"/>
      <c r="O304" s="574"/>
    </row>
    <row r="305" ht="13.5" customHeight="1">
      <c r="A305" s="572"/>
      <c r="B305" s="572"/>
      <c r="C305" s="572"/>
      <c r="D305" s="584"/>
      <c r="E305" s="570"/>
      <c r="F305" s="570"/>
      <c r="G305" s="572"/>
      <c r="H305" s="572"/>
      <c r="I305" s="572"/>
      <c r="J305" s="572"/>
      <c r="K305" s="572"/>
      <c r="L305" s="572"/>
      <c r="M305" s="572"/>
      <c r="N305" s="572"/>
      <c r="O305" s="574"/>
    </row>
    <row r="306" ht="13.5" customHeight="1">
      <c r="A306" s="572"/>
      <c r="B306" s="572"/>
      <c r="C306" s="572"/>
      <c r="D306" s="584"/>
      <c r="E306" s="570"/>
      <c r="F306" s="570"/>
      <c r="G306" s="572"/>
      <c r="H306" s="572"/>
      <c r="I306" s="572"/>
      <c r="J306" s="572"/>
      <c r="K306" s="572"/>
      <c r="L306" s="572"/>
      <c r="M306" s="572"/>
      <c r="N306" s="572"/>
      <c r="O306" s="574"/>
    </row>
    <row r="307" ht="13.5" customHeight="1">
      <c r="A307" s="572"/>
      <c r="B307" s="572"/>
      <c r="C307" s="572"/>
      <c r="D307" s="584"/>
      <c r="E307" s="570"/>
      <c r="F307" s="570"/>
      <c r="G307" s="572"/>
      <c r="H307" s="572"/>
      <c r="I307" s="572"/>
      <c r="J307" s="572"/>
      <c r="K307" s="572"/>
      <c r="L307" s="572"/>
      <c r="M307" s="572"/>
      <c r="N307" s="572"/>
      <c r="O307" s="574"/>
    </row>
    <row r="308" ht="13.5" customHeight="1">
      <c r="A308" s="572"/>
      <c r="B308" s="572"/>
      <c r="C308" s="572"/>
      <c r="D308" s="584"/>
      <c r="E308" s="570"/>
      <c r="F308" s="570"/>
      <c r="G308" s="572"/>
      <c r="H308" s="572"/>
      <c r="I308" s="572"/>
      <c r="J308" s="572"/>
      <c r="K308" s="572"/>
      <c r="L308" s="572"/>
      <c r="M308" s="572"/>
      <c r="N308" s="572"/>
      <c r="O308" s="574"/>
    </row>
    <row r="309" ht="13.5" customHeight="1">
      <c r="A309" s="572"/>
      <c r="B309" s="572"/>
      <c r="C309" s="572"/>
      <c r="D309" s="584"/>
      <c r="E309" s="570"/>
      <c r="F309" s="570"/>
      <c r="G309" s="572"/>
      <c r="H309" s="572"/>
      <c r="I309" s="572"/>
      <c r="J309" s="572"/>
      <c r="K309" s="572"/>
      <c r="L309" s="572"/>
      <c r="M309" s="572"/>
      <c r="N309" s="572"/>
      <c r="O309" s="574"/>
    </row>
    <row r="310" ht="13.5" customHeight="1">
      <c r="A310" s="572"/>
      <c r="B310" s="572"/>
      <c r="C310" s="572"/>
      <c r="D310" s="584"/>
      <c r="E310" s="570"/>
      <c r="F310" s="570"/>
      <c r="G310" s="572"/>
      <c r="H310" s="572"/>
      <c r="I310" s="572"/>
      <c r="J310" s="572"/>
      <c r="K310" s="572"/>
      <c r="L310" s="572"/>
      <c r="M310" s="572"/>
      <c r="N310" s="572"/>
      <c r="O310" s="574"/>
    </row>
    <row r="311" ht="13.5" customHeight="1">
      <c r="A311" s="572"/>
      <c r="B311" s="572"/>
      <c r="C311" s="572"/>
      <c r="D311" s="584"/>
      <c r="E311" s="570"/>
      <c r="F311" s="570"/>
      <c r="G311" s="572"/>
      <c r="H311" s="572"/>
      <c r="I311" s="572"/>
      <c r="J311" s="572"/>
      <c r="K311" s="572"/>
      <c r="L311" s="572"/>
      <c r="M311" s="572"/>
      <c r="N311" s="572"/>
      <c r="O311" s="574"/>
    </row>
    <row r="312" ht="13.5" customHeight="1">
      <c r="A312" s="572"/>
      <c r="B312" s="572"/>
      <c r="C312" s="572"/>
      <c r="D312" s="584"/>
      <c r="E312" s="570"/>
      <c r="F312" s="570"/>
      <c r="G312" s="572"/>
      <c r="H312" s="572"/>
      <c r="I312" s="572"/>
      <c r="J312" s="572"/>
      <c r="K312" s="572"/>
      <c r="L312" s="572"/>
      <c r="M312" s="572"/>
      <c r="N312" s="572"/>
      <c r="O312" s="574"/>
    </row>
    <row r="313" ht="13.5" customHeight="1">
      <c r="A313" s="572"/>
      <c r="B313" s="572"/>
      <c r="C313" s="572"/>
      <c r="D313" s="584"/>
      <c r="E313" s="570"/>
      <c r="F313" s="570"/>
      <c r="G313" s="572"/>
      <c r="H313" s="572"/>
      <c r="I313" s="572"/>
      <c r="J313" s="572"/>
      <c r="K313" s="572"/>
      <c r="L313" s="572"/>
      <c r="M313" s="572"/>
      <c r="N313" s="572"/>
      <c r="O313" s="574"/>
    </row>
    <row r="314" ht="13.5" customHeight="1">
      <c r="A314" s="572"/>
      <c r="B314" s="572"/>
      <c r="C314" s="572"/>
      <c r="D314" s="584"/>
      <c r="E314" s="570"/>
      <c r="F314" s="570"/>
      <c r="G314" s="572"/>
      <c r="H314" s="572"/>
      <c r="I314" s="572"/>
      <c r="J314" s="572"/>
      <c r="K314" s="572"/>
      <c r="L314" s="572"/>
      <c r="M314" s="572"/>
      <c r="N314" s="572"/>
      <c r="O314" s="574"/>
    </row>
    <row r="315" ht="13.5" customHeight="1">
      <c r="A315" s="572"/>
      <c r="B315" s="572"/>
      <c r="C315" s="572"/>
      <c r="D315" s="584"/>
      <c r="E315" s="570"/>
      <c r="F315" s="570"/>
      <c r="G315" s="572"/>
      <c r="H315" s="572"/>
      <c r="I315" s="572"/>
      <c r="J315" s="572"/>
      <c r="K315" s="572"/>
      <c r="L315" s="572"/>
      <c r="M315" s="572"/>
      <c r="N315" s="572"/>
      <c r="O315" s="574"/>
    </row>
    <row r="316" ht="13.5" customHeight="1">
      <c r="A316" s="572"/>
      <c r="B316" s="572"/>
      <c r="C316" s="572"/>
      <c r="D316" s="584"/>
      <c r="E316" s="570"/>
      <c r="F316" s="570"/>
      <c r="G316" s="572"/>
      <c r="H316" s="572"/>
      <c r="I316" s="572"/>
      <c r="J316" s="572"/>
      <c r="K316" s="572"/>
      <c r="L316" s="572"/>
      <c r="M316" s="572"/>
      <c r="N316" s="572"/>
      <c r="O316" s="574"/>
    </row>
    <row r="317" ht="13.5" customHeight="1">
      <c r="A317" s="572"/>
      <c r="B317" s="572"/>
      <c r="C317" s="572"/>
      <c r="D317" s="584"/>
      <c r="E317" s="570"/>
      <c r="F317" s="570"/>
      <c r="G317" s="572"/>
      <c r="H317" s="572"/>
      <c r="I317" s="572"/>
      <c r="J317" s="572"/>
      <c r="K317" s="572"/>
      <c r="L317" s="572"/>
      <c r="M317" s="572"/>
      <c r="N317" s="572"/>
      <c r="O317" s="574"/>
    </row>
    <row r="318" ht="13.5" customHeight="1">
      <c r="A318" s="572"/>
      <c r="B318" s="572"/>
      <c r="C318" s="572"/>
      <c r="D318" s="584"/>
      <c r="E318" s="570"/>
      <c r="F318" s="570"/>
      <c r="G318" s="572"/>
      <c r="H318" s="572"/>
      <c r="I318" s="572"/>
      <c r="J318" s="572"/>
      <c r="K318" s="572"/>
      <c r="L318" s="572"/>
      <c r="M318" s="572"/>
      <c r="N318" s="572"/>
      <c r="O318" s="574"/>
    </row>
    <row r="319" ht="13.5" customHeight="1">
      <c r="A319" s="572"/>
      <c r="B319" s="572"/>
      <c r="C319" s="572"/>
      <c r="D319" s="584"/>
      <c r="E319" s="570"/>
      <c r="F319" s="570"/>
      <c r="G319" s="572"/>
      <c r="H319" s="572"/>
      <c r="I319" s="572"/>
      <c r="J319" s="572"/>
      <c r="K319" s="572"/>
      <c r="L319" s="572"/>
      <c r="M319" s="572"/>
      <c r="N319" s="572"/>
      <c r="O319" s="574"/>
    </row>
    <row r="320" ht="13.5" customHeight="1">
      <c r="A320" s="572"/>
      <c r="B320" s="572"/>
      <c r="C320" s="572"/>
      <c r="D320" s="584"/>
      <c r="E320" s="570"/>
      <c r="F320" s="570"/>
      <c r="G320" s="572"/>
      <c r="H320" s="572"/>
      <c r="I320" s="572"/>
      <c r="J320" s="572"/>
      <c r="K320" s="572"/>
      <c r="L320" s="572"/>
      <c r="M320" s="572"/>
      <c r="N320" s="572"/>
      <c r="O320" s="574"/>
    </row>
    <row r="321" ht="13.5" customHeight="1">
      <c r="A321" s="572"/>
      <c r="B321" s="572"/>
      <c r="C321" s="572"/>
      <c r="D321" s="584"/>
      <c r="E321" s="570"/>
      <c r="F321" s="570"/>
      <c r="G321" s="572"/>
      <c r="H321" s="572"/>
      <c r="I321" s="572"/>
      <c r="J321" s="572"/>
      <c r="K321" s="572"/>
      <c r="L321" s="572"/>
      <c r="M321" s="572"/>
      <c r="N321" s="572"/>
      <c r="O321" s="574"/>
    </row>
    <row r="322" ht="13.5" customHeight="1">
      <c r="A322" s="572"/>
      <c r="B322" s="572"/>
      <c r="C322" s="572"/>
      <c r="D322" s="584"/>
      <c r="E322" s="570"/>
      <c r="F322" s="570"/>
      <c r="G322" s="572"/>
      <c r="H322" s="572"/>
      <c r="I322" s="572"/>
      <c r="J322" s="572"/>
      <c r="K322" s="572"/>
      <c r="L322" s="572"/>
      <c r="M322" s="572"/>
      <c r="N322" s="572"/>
      <c r="O322" s="574"/>
    </row>
    <row r="323" ht="13.5" customHeight="1">
      <c r="A323" s="572"/>
      <c r="B323" s="572"/>
      <c r="C323" s="572"/>
      <c r="D323" s="584"/>
      <c r="E323" s="570"/>
      <c r="F323" s="570"/>
      <c r="G323" s="572"/>
      <c r="H323" s="572"/>
      <c r="I323" s="572"/>
      <c r="J323" s="572"/>
      <c r="K323" s="572"/>
      <c r="L323" s="572"/>
      <c r="M323" s="572"/>
      <c r="N323" s="572"/>
      <c r="O323" s="574"/>
    </row>
    <row r="324" ht="13.5" customHeight="1">
      <c r="A324" s="572"/>
      <c r="B324" s="572"/>
      <c r="C324" s="572"/>
      <c r="D324" s="584"/>
      <c r="E324" s="570"/>
      <c r="F324" s="570"/>
      <c r="G324" s="572"/>
      <c r="H324" s="572"/>
      <c r="I324" s="572"/>
      <c r="J324" s="572"/>
      <c r="K324" s="572"/>
      <c r="L324" s="572"/>
      <c r="M324" s="572"/>
      <c r="N324" s="572"/>
      <c r="O324" s="574"/>
    </row>
    <row r="325" ht="13.5" customHeight="1">
      <c r="A325" s="572"/>
      <c r="B325" s="572"/>
      <c r="C325" s="572"/>
      <c r="D325" s="584"/>
      <c r="E325" s="570"/>
      <c r="F325" s="570"/>
      <c r="G325" s="572"/>
      <c r="H325" s="572"/>
      <c r="I325" s="572"/>
      <c r="J325" s="572"/>
      <c r="K325" s="572"/>
      <c r="L325" s="572"/>
      <c r="M325" s="572"/>
      <c r="N325" s="572"/>
      <c r="O325" s="574"/>
    </row>
    <row r="326" ht="13.5" customHeight="1">
      <c r="A326" s="572"/>
      <c r="B326" s="572"/>
      <c r="C326" s="572"/>
      <c r="D326" s="584"/>
      <c r="E326" s="570"/>
      <c r="F326" s="570"/>
      <c r="G326" s="572"/>
      <c r="H326" s="572"/>
      <c r="I326" s="572"/>
      <c r="J326" s="572"/>
      <c r="K326" s="572"/>
      <c r="L326" s="572"/>
      <c r="M326" s="572"/>
      <c r="N326" s="572"/>
      <c r="O326" s="574"/>
    </row>
    <row r="327" ht="13.5" customHeight="1">
      <c r="A327" s="572"/>
      <c r="B327" s="572"/>
      <c r="C327" s="572"/>
      <c r="D327" s="584"/>
      <c r="E327" s="570"/>
      <c r="F327" s="570"/>
      <c r="G327" s="572"/>
      <c r="H327" s="572"/>
      <c r="I327" s="572"/>
      <c r="J327" s="572"/>
      <c r="K327" s="572"/>
      <c r="L327" s="572"/>
      <c r="M327" s="572"/>
      <c r="N327" s="572"/>
      <c r="O327" s="574"/>
    </row>
    <row r="328" ht="13.5" customHeight="1">
      <c r="A328" s="572"/>
      <c r="B328" s="572"/>
      <c r="C328" s="572"/>
      <c r="D328" s="584"/>
      <c r="E328" s="570"/>
      <c r="F328" s="570"/>
      <c r="G328" s="572"/>
      <c r="H328" s="572"/>
      <c r="I328" s="572"/>
      <c r="J328" s="572"/>
      <c r="K328" s="572"/>
      <c r="L328" s="572"/>
      <c r="M328" s="572"/>
      <c r="N328" s="572"/>
      <c r="O328" s="574"/>
    </row>
    <row r="329" ht="13.5" customHeight="1">
      <c r="A329" s="572"/>
      <c r="B329" s="572"/>
      <c r="C329" s="572"/>
      <c r="D329" s="584"/>
      <c r="E329" s="570"/>
      <c r="F329" s="570"/>
      <c r="G329" s="572"/>
      <c r="H329" s="572"/>
      <c r="I329" s="572"/>
      <c r="J329" s="572"/>
      <c r="K329" s="572"/>
      <c r="L329" s="572"/>
      <c r="M329" s="572"/>
      <c r="N329" s="572"/>
      <c r="O329" s="574"/>
    </row>
    <row r="330" ht="13.5" customHeight="1">
      <c r="A330" s="572"/>
      <c r="B330" s="572"/>
      <c r="C330" s="572"/>
      <c r="D330" s="584"/>
      <c r="E330" s="570"/>
      <c r="F330" s="570"/>
      <c r="G330" s="572"/>
      <c r="H330" s="572"/>
      <c r="I330" s="572"/>
      <c r="J330" s="572"/>
      <c r="K330" s="572"/>
      <c r="L330" s="572"/>
      <c r="M330" s="572"/>
      <c r="N330" s="572"/>
      <c r="O330" s="574"/>
    </row>
    <row r="331" ht="13.5" customHeight="1">
      <c r="A331" s="572"/>
      <c r="B331" s="572"/>
      <c r="C331" s="572"/>
      <c r="D331" s="584"/>
      <c r="E331" s="570"/>
      <c r="F331" s="570"/>
      <c r="G331" s="572"/>
      <c r="H331" s="572"/>
      <c r="I331" s="572"/>
      <c r="J331" s="572"/>
      <c r="K331" s="572"/>
      <c r="L331" s="572"/>
      <c r="M331" s="572"/>
      <c r="N331" s="572"/>
      <c r="O331" s="574"/>
    </row>
    <row r="332" ht="13.5" customHeight="1">
      <c r="A332" s="572"/>
      <c r="B332" s="572"/>
      <c r="C332" s="572"/>
      <c r="D332" s="584"/>
      <c r="E332" s="570"/>
      <c r="F332" s="570"/>
      <c r="G332" s="572"/>
      <c r="H332" s="572"/>
      <c r="I332" s="572"/>
      <c r="J332" s="572"/>
      <c r="K332" s="572"/>
      <c r="L332" s="572"/>
      <c r="M332" s="572"/>
      <c r="N332" s="572"/>
      <c r="O332" s="574"/>
    </row>
    <row r="333" ht="13.5" customHeight="1">
      <c r="A333" s="572"/>
      <c r="B333" s="572"/>
      <c r="C333" s="572"/>
      <c r="D333" s="584"/>
      <c r="E333" s="570"/>
      <c r="F333" s="570"/>
      <c r="G333" s="572"/>
      <c r="H333" s="572"/>
      <c r="I333" s="572"/>
      <c r="J333" s="572"/>
      <c r="K333" s="572"/>
      <c r="L333" s="572"/>
      <c r="M333" s="572"/>
      <c r="N333" s="572"/>
      <c r="O333" s="574"/>
    </row>
    <row r="334" ht="13.5" customHeight="1">
      <c r="A334" s="572"/>
      <c r="B334" s="572"/>
      <c r="C334" s="572"/>
      <c r="D334" s="584"/>
      <c r="E334" s="570"/>
      <c r="F334" s="570"/>
      <c r="G334" s="572"/>
      <c r="H334" s="572"/>
      <c r="I334" s="572"/>
      <c r="J334" s="572"/>
      <c r="K334" s="572"/>
      <c r="L334" s="572"/>
      <c r="M334" s="572"/>
      <c r="N334" s="572"/>
      <c r="O334" s="574"/>
    </row>
    <row r="335" ht="13.5" customHeight="1">
      <c r="A335" s="572"/>
      <c r="B335" s="572"/>
      <c r="C335" s="572"/>
      <c r="D335" s="584"/>
      <c r="E335" s="570"/>
      <c r="F335" s="570"/>
      <c r="G335" s="572"/>
      <c r="H335" s="572"/>
      <c r="I335" s="572"/>
      <c r="J335" s="572"/>
      <c r="K335" s="572"/>
      <c r="L335" s="572"/>
      <c r="M335" s="572"/>
      <c r="N335" s="572"/>
      <c r="O335" s="574"/>
    </row>
    <row r="336" ht="13.5" customHeight="1">
      <c r="A336" s="572"/>
      <c r="B336" s="572"/>
      <c r="C336" s="572"/>
      <c r="D336" s="584"/>
      <c r="E336" s="570"/>
      <c r="F336" s="570"/>
      <c r="G336" s="572"/>
      <c r="H336" s="572"/>
      <c r="I336" s="572"/>
      <c r="J336" s="572"/>
      <c r="K336" s="572"/>
      <c r="L336" s="572"/>
      <c r="M336" s="572"/>
      <c r="N336" s="572"/>
      <c r="O336" s="574"/>
    </row>
    <row r="337" ht="13.5" customHeight="1">
      <c r="A337" s="572"/>
      <c r="B337" s="572"/>
      <c r="C337" s="572"/>
      <c r="D337" s="584"/>
      <c r="E337" s="570"/>
      <c r="F337" s="570"/>
      <c r="G337" s="572"/>
      <c r="H337" s="572"/>
      <c r="I337" s="572"/>
      <c r="J337" s="572"/>
      <c r="K337" s="572"/>
      <c r="L337" s="572"/>
      <c r="M337" s="572"/>
      <c r="N337" s="572"/>
      <c r="O337" s="574"/>
    </row>
    <row r="338" ht="13.5" customHeight="1">
      <c r="A338" s="572"/>
      <c r="B338" s="572"/>
      <c r="C338" s="572"/>
      <c r="D338" s="584"/>
      <c r="E338" s="570"/>
      <c r="F338" s="570"/>
      <c r="G338" s="572"/>
      <c r="H338" s="572"/>
      <c r="I338" s="572"/>
      <c r="J338" s="572"/>
      <c r="K338" s="572"/>
      <c r="L338" s="572"/>
      <c r="M338" s="572"/>
      <c r="N338" s="572"/>
      <c r="O338" s="574"/>
    </row>
    <row r="339" ht="13.5" customHeight="1">
      <c r="A339" s="572"/>
      <c r="B339" s="572"/>
      <c r="C339" s="572"/>
      <c r="D339" s="584"/>
      <c r="E339" s="570"/>
      <c r="F339" s="570"/>
      <c r="G339" s="572"/>
      <c r="H339" s="572"/>
      <c r="I339" s="572"/>
      <c r="J339" s="572"/>
      <c r="K339" s="572"/>
      <c r="L339" s="572"/>
      <c r="M339" s="572"/>
      <c r="N339" s="572"/>
      <c r="O339" s="574"/>
    </row>
    <row r="340" ht="13.5" customHeight="1">
      <c r="A340" s="572"/>
      <c r="B340" s="572"/>
      <c r="C340" s="572"/>
      <c r="D340" s="584"/>
      <c r="E340" s="570"/>
      <c r="F340" s="570"/>
      <c r="G340" s="572"/>
      <c r="H340" s="572"/>
      <c r="I340" s="572"/>
      <c r="J340" s="572"/>
      <c r="K340" s="572"/>
      <c r="L340" s="572"/>
      <c r="M340" s="572"/>
      <c r="N340" s="572"/>
      <c r="O340" s="574"/>
    </row>
    <row r="341" ht="13.5" customHeight="1">
      <c r="A341" s="572"/>
      <c r="B341" s="572"/>
      <c r="C341" s="572"/>
      <c r="D341" s="584"/>
      <c r="E341" s="570"/>
      <c r="F341" s="570"/>
      <c r="G341" s="572"/>
      <c r="H341" s="572"/>
      <c r="I341" s="572"/>
      <c r="J341" s="572"/>
      <c r="K341" s="572"/>
      <c r="L341" s="572"/>
      <c r="M341" s="572"/>
      <c r="N341" s="572"/>
      <c r="O341" s="574"/>
    </row>
    <row r="342" ht="13.5" customHeight="1">
      <c r="A342" s="572"/>
      <c r="B342" s="572"/>
      <c r="C342" s="572"/>
      <c r="D342" s="584"/>
      <c r="E342" s="570"/>
      <c r="F342" s="570"/>
      <c r="G342" s="572"/>
      <c r="H342" s="572"/>
      <c r="I342" s="572"/>
      <c r="J342" s="572"/>
      <c r="K342" s="572"/>
      <c r="L342" s="572"/>
      <c r="M342" s="572"/>
      <c r="N342" s="572"/>
      <c r="O342" s="574"/>
    </row>
    <row r="343" ht="13.5" customHeight="1">
      <c r="A343" s="572"/>
      <c r="B343" s="572"/>
      <c r="C343" s="572"/>
      <c r="D343" s="584"/>
      <c r="E343" s="570"/>
      <c r="F343" s="570"/>
      <c r="G343" s="572"/>
      <c r="H343" s="572"/>
      <c r="I343" s="572"/>
      <c r="J343" s="572"/>
      <c r="K343" s="572"/>
      <c r="L343" s="572"/>
      <c r="M343" s="572"/>
      <c r="N343" s="572"/>
      <c r="O343" s="574"/>
    </row>
    <row r="344" ht="13.5" customHeight="1">
      <c r="A344" s="572"/>
      <c r="B344" s="572"/>
      <c r="C344" s="572"/>
      <c r="D344" s="584"/>
      <c r="E344" s="570"/>
      <c r="F344" s="570"/>
      <c r="G344" s="572"/>
      <c r="H344" s="572"/>
      <c r="I344" s="572"/>
      <c r="J344" s="572"/>
      <c r="K344" s="572"/>
      <c r="L344" s="572"/>
      <c r="M344" s="572"/>
      <c r="N344" s="572"/>
      <c r="O344" s="574"/>
    </row>
    <row r="345" ht="13.5" customHeight="1">
      <c r="A345" s="572"/>
      <c r="B345" s="572"/>
      <c r="C345" s="572"/>
      <c r="D345" s="584"/>
      <c r="E345" s="570"/>
      <c r="F345" s="570"/>
      <c r="G345" s="572"/>
      <c r="H345" s="572"/>
      <c r="I345" s="572"/>
      <c r="J345" s="572"/>
      <c r="K345" s="572"/>
      <c r="L345" s="572"/>
      <c r="M345" s="572"/>
      <c r="N345" s="572"/>
      <c r="O345" s="574"/>
    </row>
    <row r="346" ht="13.5" customHeight="1">
      <c r="A346" s="572"/>
      <c r="B346" s="572"/>
      <c r="C346" s="572"/>
      <c r="D346" s="584"/>
      <c r="E346" s="570"/>
      <c r="F346" s="570"/>
      <c r="G346" s="572"/>
      <c r="H346" s="572"/>
      <c r="I346" s="572"/>
      <c r="J346" s="572"/>
      <c r="K346" s="572"/>
      <c r="L346" s="572"/>
      <c r="M346" s="572"/>
      <c r="N346" s="572"/>
      <c r="O346" s="574"/>
    </row>
    <row r="347" ht="13.5" customHeight="1">
      <c r="A347" s="572"/>
      <c r="B347" s="572"/>
      <c r="C347" s="572"/>
      <c r="D347" s="584"/>
      <c r="E347" s="570"/>
      <c r="F347" s="570"/>
      <c r="G347" s="572"/>
      <c r="H347" s="572"/>
      <c r="I347" s="572"/>
      <c r="J347" s="572"/>
      <c r="K347" s="572"/>
      <c r="L347" s="572"/>
      <c r="M347" s="572"/>
      <c r="N347" s="572"/>
      <c r="O347" s="574"/>
    </row>
    <row r="348" ht="13.5" customHeight="1">
      <c r="A348" s="572"/>
      <c r="B348" s="572"/>
      <c r="C348" s="572"/>
      <c r="D348" s="584"/>
      <c r="E348" s="570"/>
      <c r="F348" s="570"/>
      <c r="G348" s="572"/>
      <c r="H348" s="572"/>
      <c r="I348" s="572"/>
      <c r="J348" s="572"/>
      <c r="K348" s="572"/>
      <c r="L348" s="572"/>
      <c r="M348" s="572"/>
      <c r="N348" s="572"/>
      <c r="O348" s="574"/>
    </row>
    <row r="349" ht="13.5" customHeight="1">
      <c r="A349" s="572"/>
      <c r="B349" s="572"/>
      <c r="C349" s="572"/>
      <c r="D349" s="584"/>
      <c r="E349" s="570"/>
      <c r="F349" s="570"/>
      <c r="G349" s="572"/>
      <c r="H349" s="572"/>
      <c r="I349" s="572"/>
      <c r="J349" s="572"/>
      <c r="K349" s="572"/>
      <c r="L349" s="572"/>
      <c r="M349" s="572"/>
      <c r="N349" s="572"/>
      <c r="O349" s="574"/>
    </row>
    <row r="350" ht="13.5" customHeight="1">
      <c r="A350" s="572"/>
      <c r="B350" s="572"/>
      <c r="C350" s="572"/>
      <c r="D350" s="584"/>
      <c r="E350" s="570"/>
      <c r="F350" s="570"/>
      <c r="G350" s="572"/>
      <c r="H350" s="572"/>
      <c r="I350" s="572"/>
      <c r="J350" s="572"/>
      <c r="K350" s="572"/>
      <c r="L350" s="572"/>
      <c r="M350" s="572"/>
      <c r="N350" s="572"/>
      <c r="O350" s="574"/>
    </row>
    <row r="351" ht="13.5" customHeight="1">
      <c r="A351" s="572"/>
      <c r="B351" s="572"/>
      <c r="C351" s="572"/>
      <c r="D351" s="584"/>
      <c r="E351" s="570"/>
      <c r="F351" s="570"/>
      <c r="G351" s="572"/>
      <c r="H351" s="572"/>
      <c r="I351" s="572"/>
      <c r="J351" s="572"/>
      <c r="K351" s="572"/>
      <c r="L351" s="572"/>
      <c r="M351" s="572"/>
      <c r="N351" s="572"/>
      <c r="O351" s="574"/>
    </row>
    <row r="352" ht="13.5" customHeight="1">
      <c r="A352" s="572"/>
      <c r="B352" s="572"/>
      <c r="C352" s="572"/>
      <c r="D352" s="584"/>
      <c r="E352" s="570"/>
      <c r="F352" s="570"/>
      <c r="G352" s="572"/>
      <c r="H352" s="572"/>
      <c r="I352" s="572"/>
      <c r="J352" s="572"/>
      <c r="K352" s="572"/>
      <c r="L352" s="572"/>
      <c r="M352" s="572"/>
      <c r="N352" s="572"/>
      <c r="O352" s="574"/>
    </row>
    <row r="353" ht="13.5" customHeight="1">
      <c r="A353" s="572"/>
      <c r="B353" s="572"/>
      <c r="C353" s="572"/>
      <c r="D353" s="584"/>
      <c r="E353" s="570"/>
      <c r="F353" s="570"/>
      <c r="G353" s="572"/>
      <c r="H353" s="572"/>
      <c r="I353" s="572"/>
      <c r="J353" s="572"/>
      <c r="K353" s="572"/>
      <c r="L353" s="572"/>
      <c r="M353" s="572"/>
      <c r="N353" s="572"/>
      <c r="O353" s="574"/>
    </row>
    <row r="354" ht="13.5" customHeight="1">
      <c r="A354" s="572"/>
      <c r="B354" s="572"/>
      <c r="C354" s="572"/>
      <c r="D354" s="584"/>
      <c r="E354" s="570"/>
      <c r="F354" s="570"/>
      <c r="G354" s="572"/>
      <c r="H354" s="572"/>
      <c r="I354" s="572"/>
      <c r="J354" s="572"/>
      <c r="K354" s="572"/>
      <c r="L354" s="572"/>
      <c r="M354" s="572"/>
      <c r="N354" s="572"/>
      <c r="O354" s="574"/>
    </row>
    <row r="355" ht="13.5" customHeight="1">
      <c r="A355" s="572"/>
      <c r="B355" s="572"/>
      <c r="C355" s="572"/>
      <c r="D355" s="584"/>
      <c r="E355" s="570"/>
      <c r="F355" s="570"/>
      <c r="G355" s="572"/>
      <c r="H355" s="572"/>
      <c r="I355" s="572"/>
      <c r="J355" s="572"/>
      <c r="K355" s="572"/>
      <c r="L355" s="572"/>
      <c r="M355" s="572"/>
      <c r="N355" s="572"/>
      <c r="O355" s="574"/>
    </row>
    <row r="356" ht="13.5" customHeight="1">
      <c r="A356" s="572"/>
      <c r="B356" s="572"/>
      <c r="C356" s="572"/>
      <c r="D356" s="584"/>
      <c r="E356" s="570"/>
      <c r="F356" s="570"/>
      <c r="G356" s="572"/>
      <c r="H356" s="572"/>
      <c r="I356" s="572"/>
      <c r="J356" s="572"/>
      <c r="K356" s="572"/>
      <c r="L356" s="572"/>
      <c r="M356" s="572"/>
      <c r="N356" s="572"/>
      <c r="O356" s="574"/>
    </row>
    <row r="357" ht="13.5" customHeight="1">
      <c r="A357" s="572"/>
      <c r="B357" s="572"/>
      <c r="C357" s="572"/>
      <c r="D357" s="584"/>
      <c r="E357" s="570"/>
      <c r="F357" s="570"/>
      <c r="G357" s="572"/>
      <c r="H357" s="572"/>
      <c r="I357" s="572"/>
      <c r="J357" s="572"/>
      <c r="K357" s="572"/>
      <c r="L357" s="572"/>
      <c r="M357" s="572"/>
      <c r="N357" s="572"/>
      <c r="O357" s="574"/>
    </row>
    <row r="358" ht="13.5" customHeight="1">
      <c r="A358" s="572"/>
      <c r="B358" s="572"/>
      <c r="C358" s="572"/>
      <c r="D358" s="584"/>
      <c r="E358" s="570"/>
      <c r="F358" s="570"/>
      <c r="G358" s="572"/>
      <c r="H358" s="572"/>
      <c r="I358" s="572"/>
      <c r="J358" s="572"/>
      <c r="K358" s="572"/>
      <c r="L358" s="572"/>
      <c r="M358" s="572"/>
      <c r="N358" s="572"/>
      <c r="O358" s="574"/>
    </row>
    <row r="359" ht="13.5" customHeight="1">
      <c r="A359" s="572"/>
      <c r="B359" s="572"/>
      <c r="C359" s="572"/>
      <c r="D359" s="584"/>
      <c r="E359" s="570"/>
      <c r="F359" s="570"/>
      <c r="G359" s="572"/>
      <c r="H359" s="572"/>
      <c r="I359" s="572"/>
      <c r="J359" s="572"/>
      <c r="K359" s="572"/>
      <c r="L359" s="572"/>
      <c r="M359" s="572"/>
      <c r="N359" s="572"/>
      <c r="O359" s="574"/>
    </row>
    <row r="360" ht="13.5" customHeight="1">
      <c r="A360" s="572"/>
      <c r="B360" s="572"/>
      <c r="C360" s="572"/>
      <c r="D360" s="584"/>
      <c r="E360" s="570"/>
      <c r="F360" s="570"/>
      <c r="G360" s="572"/>
      <c r="H360" s="572"/>
      <c r="I360" s="572"/>
      <c r="J360" s="572"/>
      <c r="K360" s="572"/>
      <c r="L360" s="572"/>
      <c r="M360" s="572"/>
      <c r="N360" s="572"/>
      <c r="O360" s="574"/>
    </row>
    <row r="361" ht="13.5" customHeight="1">
      <c r="A361" s="572"/>
      <c r="B361" s="572"/>
      <c r="C361" s="572"/>
      <c r="D361" s="584"/>
      <c r="E361" s="570"/>
      <c r="F361" s="570"/>
      <c r="G361" s="572"/>
      <c r="H361" s="572"/>
      <c r="I361" s="572"/>
      <c r="J361" s="572"/>
      <c r="K361" s="572"/>
      <c r="L361" s="572"/>
      <c r="M361" s="572"/>
      <c r="N361" s="572"/>
      <c r="O361" s="574"/>
    </row>
    <row r="362" ht="13.5" customHeight="1">
      <c r="A362" s="572"/>
      <c r="B362" s="572"/>
      <c r="C362" s="572"/>
      <c r="D362" s="584"/>
      <c r="E362" s="570"/>
      <c r="F362" s="570"/>
      <c r="G362" s="572"/>
      <c r="H362" s="572"/>
      <c r="I362" s="572"/>
      <c r="J362" s="572"/>
      <c r="K362" s="572"/>
      <c r="L362" s="572"/>
      <c r="M362" s="572"/>
      <c r="N362" s="572"/>
      <c r="O362" s="574"/>
    </row>
    <row r="363" ht="13.5" customHeight="1">
      <c r="A363" s="572"/>
      <c r="B363" s="572"/>
      <c r="C363" s="572"/>
      <c r="D363" s="584"/>
      <c r="E363" s="570"/>
      <c r="F363" s="570"/>
      <c r="G363" s="572"/>
      <c r="H363" s="572"/>
      <c r="I363" s="572"/>
      <c r="J363" s="572"/>
      <c r="K363" s="572"/>
      <c r="L363" s="572"/>
      <c r="M363" s="572"/>
      <c r="N363" s="572"/>
      <c r="O363" s="574"/>
    </row>
    <row r="364" ht="13.5" customHeight="1">
      <c r="A364" s="572"/>
      <c r="B364" s="572"/>
      <c r="C364" s="572"/>
      <c r="D364" s="584"/>
      <c r="E364" s="570"/>
      <c r="F364" s="570"/>
      <c r="G364" s="572"/>
      <c r="H364" s="572"/>
      <c r="I364" s="572"/>
      <c r="J364" s="572"/>
      <c r="K364" s="572"/>
      <c r="L364" s="572"/>
      <c r="M364" s="572"/>
      <c r="N364" s="572"/>
      <c r="O364" s="574"/>
    </row>
    <row r="365" ht="13.5" customHeight="1">
      <c r="A365" s="572"/>
      <c r="B365" s="572"/>
      <c r="C365" s="572"/>
      <c r="D365" s="584"/>
      <c r="E365" s="570"/>
      <c r="F365" s="570"/>
      <c r="G365" s="572"/>
      <c r="H365" s="572"/>
      <c r="I365" s="572"/>
      <c r="J365" s="572"/>
      <c r="K365" s="572"/>
      <c r="L365" s="572"/>
      <c r="M365" s="572"/>
      <c r="N365" s="572"/>
      <c r="O365" s="574"/>
    </row>
    <row r="366" ht="13.5" customHeight="1">
      <c r="A366" s="572"/>
      <c r="B366" s="572"/>
      <c r="C366" s="572"/>
      <c r="D366" s="584"/>
      <c r="E366" s="570"/>
      <c r="F366" s="570"/>
      <c r="G366" s="572"/>
      <c r="H366" s="572"/>
      <c r="I366" s="572"/>
      <c r="J366" s="572"/>
      <c r="K366" s="572"/>
      <c r="L366" s="572"/>
      <c r="M366" s="572"/>
      <c r="N366" s="572"/>
      <c r="O366" s="574"/>
    </row>
    <row r="367" ht="13.5" customHeight="1">
      <c r="A367" s="572"/>
      <c r="B367" s="572"/>
      <c r="C367" s="572"/>
      <c r="D367" s="584"/>
      <c r="E367" s="570"/>
      <c r="F367" s="570"/>
      <c r="G367" s="572"/>
      <c r="H367" s="572"/>
      <c r="I367" s="572"/>
      <c r="J367" s="572"/>
      <c r="K367" s="572"/>
      <c r="L367" s="572"/>
      <c r="M367" s="572"/>
      <c r="N367" s="572"/>
      <c r="O367" s="574"/>
    </row>
    <row r="368" ht="13.5" customHeight="1">
      <c r="A368" s="572"/>
      <c r="B368" s="572"/>
      <c r="C368" s="572"/>
      <c r="D368" s="584"/>
      <c r="E368" s="570"/>
      <c r="F368" s="570"/>
      <c r="G368" s="572"/>
      <c r="H368" s="572"/>
      <c r="I368" s="572"/>
      <c r="J368" s="572"/>
      <c r="K368" s="572"/>
      <c r="L368" s="572"/>
      <c r="M368" s="572"/>
      <c r="N368" s="572"/>
      <c r="O368" s="574"/>
    </row>
    <row r="369" ht="13.5" customHeight="1">
      <c r="A369" s="572"/>
      <c r="B369" s="572"/>
      <c r="C369" s="572"/>
      <c r="D369" s="584"/>
      <c r="E369" s="570"/>
      <c r="F369" s="570"/>
      <c r="G369" s="572"/>
      <c r="H369" s="572"/>
      <c r="I369" s="572"/>
      <c r="J369" s="572"/>
      <c r="K369" s="572"/>
      <c r="L369" s="572"/>
      <c r="M369" s="572"/>
      <c r="N369" s="572"/>
      <c r="O369" s="574"/>
    </row>
    <row r="370" ht="13.5" customHeight="1">
      <c r="A370" s="572"/>
      <c r="B370" s="572"/>
      <c r="C370" s="572"/>
      <c r="D370" s="584"/>
      <c r="E370" s="570"/>
      <c r="F370" s="570"/>
      <c r="G370" s="572"/>
      <c r="H370" s="572"/>
      <c r="I370" s="572"/>
      <c r="J370" s="572"/>
      <c r="K370" s="572"/>
      <c r="L370" s="572"/>
      <c r="M370" s="572"/>
      <c r="N370" s="572"/>
      <c r="O370" s="574"/>
    </row>
    <row r="371" ht="13.5" customHeight="1">
      <c r="A371" s="572"/>
      <c r="B371" s="572"/>
      <c r="C371" s="572"/>
      <c r="D371" s="584"/>
      <c r="E371" s="570"/>
      <c r="F371" s="570"/>
      <c r="G371" s="572"/>
      <c r="H371" s="572"/>
      <c r="I371" s="572"/>
      <c r="J371" s="572"/>
      <c r="K371" s="572"/>
      <c r="L371" s="572"/>
      <c r="M371" s="572"/>
      <c r="N371" s="572"/>
      <c r="O371" s="574"/>
    </row>
    <row r="372" ht="13.5" customHeight="1">
      <c r="A372" s="572"/>
      <c r="B372" s="572"/>
      <c r="C372" s="572"/>
      <c r="D372" s="584"/>
      <c r="E372" s="570"/>
      <c r="F372" s="570"/>
      <c r="G372" s="572"/>
      <c r="H372" s="572"/>
      <c r="I372" s="572"/>
      <c r="J372" s="572"/>
      <c r="K372" s="572"/>
      <c r="L372" s="572"/>
      <c r="M372" s="572"/>
      <c r="N372" s="572"/>
      <c r="O372" s="574"/>
    </row>
    <row r="373" ht="13.5" customHeight="1">
      <c r="A373" s="572"/>
      <c r="B373" s="572"/>
      <c r="C373" s="572"/>
      <c r="D373" s="584"/>
      <c r="E373" s="570"/>
      <c r="F373" s="570"/>
      <c r="G373" s="572"/>
      <c r="H373" s="572"/>
      <c r="I373" s="572"/>
      <c r="J373" s="572"/>
      <c r="K373" s="572"/>
      <c r="L373" s="572"/>
      <c r="M373" s="572"/>
      <c r="N373" s="572"/>
      <c r="O373" s="574"/>
    </row>
    <row r="374" ht="13.5" customHeight="1">
      <c r="A374" s="572"/>
      <c r="B374" s="572"/>
      <c r="C374" s="572"/>
      <c r="D374" s="584"/>
      <c r="E374" s="570"/>
      <c r="F374" s="570"/>
      <c r="G374" s="572"/>
      <c r="H374" s="572"/>
      <c r="I374" s="572"/>
      <c r="J374" s="572"/>
      <c r="K374" s="572"/>
      <c r="L374" s="572"/>
      <c r="M374" s="572"/>
      <c r="N374" s="572"/>
      <c r="O374" s="574"/>
    </row>
    <row r="375" ht="13.5" customHeight="1">
      <c r="A375" s="572"/>
      <c r="B375" s="572"/>
      <c r="C375" s="572"/>
      <c r="D375" s="584"/>
      <c r="E375" s="570"/>
      <c r="F375" s="570"/>
      <c r="G375" s="572"/>
      <c r="H375" s="572"/>
      <c r="I375" s="572"/>
      <c r="J375" s="572"/>
      <c r="K375" s="572"/>
      <c r="L375" s="572"/>
      <c r="M375" s="572"/>
      <c r="N375" s="572"/>
      <c r="O375" s="574"/>
    </row>
    <row r="376" ht="13.5" customHeight="1">
      <c r="A376" s="572"/>
      <c r="B376" s="572"/>
      <c r="C376" s="572"/>
      <c r="D376" s="584"/>
      <c r="E376" s="570"/>
      <c r="F376" s="570"/>
      <c r="G376" s="572"/>
      <c r="H376" s="572"/>
      <c r="I376" s="572"/>
      <c r="J376" s="572"/>
      <c r="K376" s="572"/>
      <c r="L376" s="572"/>
      <c r="M376" s="572"/>
      <c r="N376" s="572"/>
      <c r="O376" s="574"/>
    </row>
    <row r="377" ht="13.5" customHeight="1">
      <c r="A377" s="572"/>
      <c r="B377" s="572"/>
      <c r="C377" s="572"/>
      <c r="D377" s="584"/>
      <c r="E377" s="570"/>
      <c r="F377" s="570"/>
      <c r="G377" s="572"/>
      <c r="H377" s="572"/>
      <c r="I377" s="572"/>
      <c r="J377" s="572"/>
      <c r="K377" s="572"/>
      <c r="L377" s="572"/>
      <c r="M377" s="572"/>
      <c r="N377" s="572"/>
      <c r="O377" s="574"/>
    </row>
    <row r="378" ht="13.5" customHeight="1">
      <c r="A378" s="572"/>
      <c r="B378" s="572"/>
      <c r="C378" s="572"/>
      <c r="D378" s="584"/>
      <c r="E378" s="570"/>
      <c r="F378" s="570"/>
      <c r="G378" s="572"/>
      <c r="H378" s="572"/>
      <c r="I378" s="572"/>
      <c r="J378" s="572"/>
      <c r="K378" s="572"/>
      <c r="L378" s="572"/>
      <c r="M378" s="572"/>
      <c r="N378" s="572"/>
      <c r="O378" s="574"/>
    </row>
    <row r="379" ht="13.5" customHeight="1">
      <c r="A379" s="572"/>
      <c r="B379" s="572"/>
      <c r="C379" s="572"/>
      <c r="D379" s="584"/>
      <c r="E379" s="570"/>
      <c r="F379" s="570"/>
      <c r="G379" s="572"/>
      <c r="H379" s="572"/>
      <c r="I379" s="572"/>
      <c r="J379" s="572"/>
      <c r="K379" s="572"/>
      <c r="L379" s="572"/>
      <c r="M379" s="572"/>
      <c r="N379" s="572"/>
      <c r="O379" s="574"/>
    </row>
    <row r="380" ht="13.5" customHeight="1">
      <c r="A380" s="572"/>
      <c r="B380" s="572"/>
      <c r="C380" s="572"/>
      <c r="D380" s="584"/>
      <c r="E380" s="570"/>
      <c r="F380" s="570"/>
      <c r="G380" s="572"/>
      <c r="H380" s="572"/>
      <c r="I380" s="572"/>
      <c r="J380" s="572"/>
      <c r="K380" s="572"/>
      <c r="L380" s="572"/>
      <c r="M380" s="572"/>
      <c r="N380" s="572"/>
      <c r="O380" s="574"/>
    </row>
    <row r="381" ht="13.5" customHeight="1">
      <c r="A381" s="572"/>
      <c r="B381" s="572"/>
      <c r="C381" s="572"/>
      <c r="D381" s="584"/>
      <c r="E381" s="570"/>
      <c r="F381" s="570"/>
      <c r="G381" s="572"/>
      <c r="H381" s="572"/>
      <c r="I381" s="572"/>
      <c r="J381" s="572"/>
      <c r="K381" s="572"/>
      <c r="L381" s="572"/>
      <c r="M381" s="572"/>
      <c r="N381" s="572"/>
      <c r="O381" s="574"/>
    </row>
    <row r="382" ht="13.5" customHeight="1">
      <c r="A382" s="572"/>
      <c r="B382" s="572"/>
      <c r="C382" s="572"/>
      <c r="D382" s="584"/>
      <c r="E382" s="570"/>
      <c r="F382" s="570"/>
      <c r="G382" s="572"/>
      <c r="H382" s="572"/>
      <c r="I382" s="572"/>
      <c r="J382" s="572"/>
      <c r="K382" s="572"/>
      <c r="L382" s="572"/>
      <c r="M382" s="572"/>
      <c r="N382" s="572"/>
      <c r="O382" s="574"/>
    </row>
    <row r="383" ht="13.5" customHeight="1">
      <c r="A383" s="572"/>
      <c r="B383" s="572"/>
      <c r="C383" s="572"/>
      <c r="D383" s="584"/>
      <c r="E383" s="570"/>
      <c r="F383" s="570"/>
      <c r="G383" s="572"/>
      <c r="H383" s="572"/>
      <c r="I383" s="572"/>
      <c r="J383" s="572"/>
      <c r="K383" s="572"/>
      <c r="L383" s="572"/>
      <c r="M383" s="572"/>
      <c r="N383" s="572"/>
      <c r="O383" s="574"/>
    </row>
    <row r="384" ht="13.5" customHeight="1">
      <c r="A384" s="572"/>
      <c r="B384" s="572"/>
      <c r="C384" s="572"/>
      <c r="D384" s="584"/>
      <c r="E384" s="570"/>
      <c r="F384" s="570"/>
      <c r="G384" s="572"/>
      <c r="H384" s="572"/>
      <c r="I384" s="572"/>
      <c r="J384" s="572"/>
      <c r="K384" s="572"/>
      <c r="L384" s="572"/>
      <c r="M384" s="572"/>
      <c r="N384" s="572"/>
      <c r="O384" s="574"/>
    </row>
    <row r="385" ht="13.5" customHeight="1">
      <c r="A385" s="572"/>
      <c r="B385" s="572"/>
      <c r="C385" s="572"/>
      <c r="D385" s="584"/>
      <c r="E385" s="570"/>
      <c r="F385" s="570"/>
      <c r="G385" s="572"/>
      <c r="H385" s="572"/>
      <c r="I385" s="572"/>
      <c r="J385" s="572"/>
      <c r="K385" s="572"/>
      <c r="L385" s="572"/>
      <c r="M385" s="572"/>
      <c r="N385" s="572"/>
      <c r="O385" s="574"/>
    </row>
    <row r="386" ht="13.5" customHeight="1">
      <c r="A386" s="572"/>
      <c r="B386" s="572"/>
      <c r="C386" s="572"/>
      <c r="D386" s="584"/>
      <c r="E386" s="570"/>
      <c r="F386" s="570"/>
      <c r="G386" s="572"/>
      <c r="H386" s="572"/>
      <c r="I386" s="572"/>
      <c r="J386" s="572"/>
      <c r="K386" s="572"/>
      <c r="L386" s="572"/>
      <c r="M386" s="572"/>
      <c r="N386" s="572"/>
      <c r="O386" s="574"/>
    </row>
    <row r="387" ht="13.5" customHeight="1">
      <c r="A387" s="572"/>
      <c r="B387" s="572"/>
      <c r="C387" s="572"/>
      <c r="D387" s="584"/>
      <c r="E387" s="570"/>
      <c r="F387" s="570"/>
      <c r="G387" s="572"/>
      <c r="H387" s="572"/>
      <c r="I387" s="572"/>
      <c r="J387" s="572"/>
      <c r="K387" s="572"/>
      <c r="L387" s="572"/>
      <c r="M387" s="572"/>
      <c r="N387" s="572"/>
      <c r="O387" s="574"/>
    </row>
    <row r="388" ht="13.5" customHeight="1">
      <c r="A388" s="572"/>
      <c r="B388" s="572"/>
      <c r="C388" s="572"/>
      <c r="D388" s="584"/>
      <c r="E388" s="570"/>
      <c r="F388" s="570"/>
      <c r="G388" s="572"/>
      <c r="H388" s="572"/>
      <c r="I388" s="572"/>
      <c r="J388" s="572"/>
      <c r="K388" s="572"/>
      <c r="L388" s="572"/>
      <c r="M388" s="572"/>
      <c r="N388" s="572"/>
      <c r="O388" s="574"/>
    </row>
    <row r="389" ht="13.5" customHeight="1">
      <c r="A389" s="572"/>
      <c r="B389" s="572"/>
      <c r="C389" s="572"/>
      <c r="D389" s="584"/>
      <c r="E389" s="570"/>
      <c r="F389" s="570"/>
      <c r="G389" s="572"/>
      <c r="H389" s="572"/>
      <c r="I389" s="572"/>
      <c r="J389" s="572"/>
      <c r="K389" s="572"/>
      <c r="L389" s="572"/>
      <c r="M389" s="572"/>
      <c r="N389" s="572"/>
      <c r="O389" s="574"/>
    </row>
    <row r="390" ht="13.5" customHeight="1">
      <c r="A390" s="572"/>
      <c r="B390" s="572"/>
      <c r="C390" s="572"/>
      <c r="D390" s="584"/>
      <c r="E390" s="570"/>
      <c r="F390" s="570"/>
      <c r="G390" s="572"/>
      <c r="H390" s="572"/>
      <c r="I390" s="572"/>
      <c r="J390" s="572"/>
      <c r="K390" s="572"/>
      <c r="L390" s="572"/>
      <c r="M390" s="572"/>
      <c r="N390" s="572"/>
      <c r="O390" s="574"/>
    </row>
    <row r="391" ht="13.5" customHeight="1">
      <c r="A391" s="572"/>
      <c r="B391" s="572"/>
      <c r="C391" s="572"/>
      <c r="D391" s="584"/>
      <c r="E391" s="570"/>
      <c r="F391" s="570"/>
      <c r="G391" s="572"/>
      <c r="H391" s="572"/>
      <c r="I391" s="572"/>
      <c r="J391" s="572"/>
      <c r="K391" s="572"/>
      <c r="L391" s="572"/>
      <c r="M391" s="572"/>
      <c r="N391" s="572"/>
      <c r="O391" s="574"/>
    </row>
    <row r="392" ht="13.5" customHeight="1">
      <c r="A392" s="572"/>
      <c r="B392" s="572"/>
      <c r="C392" s="572"/>
      <c r="D392" s="584"/>
      <c r="E392" s="570"/>
      <c r="F392" s="570"/>
      <c r="G392" s="572"/>
      <c r="H392" s="572"/>
      <c r="I392" s="572"/>
      <c r="J392" s="572"/>
      <c r="K392" s="572"/>
      <c r="L392" s="572"/>
      <c r="M392" s="572"/>
      <c r="N392" s="572"/>
      <c r="O392" s="574"/>
    </row>
    <row r="393" ht="13.5" customHeight="1">
      <c r="A393" s="572"/>
      <c r="B393" s="572"/>
      <c r="C393" s="572"/>
      <c r="D393" s="584"/>
      <c r="E393" s="570"/>
      <c r="F393" s="570"/>
      <c r="G393" s="572"/>
      <c r="H393" s="572"/>
      <c r="I393" s="572"/>
      <c r="J393" s="572"/>
      <c r="K393" s="572"/>
      <c r="L393" s="572"/>
      <c r="M393" s="572"/>
      <c r="N393" s="572"/>
      <c r="O393" s="574"/>
    </row>
    <row r="394" ht="13.5" customHeight="1">
      <c r="A394" s="572"/>
      <c r="B394" s="572"/>
      <c r="C394" s="572"/>
      <c r="D394" s="584"/>
      <c r="E394" s="570"/>
      <c r="F394" s="570"/>
      <c r="G394" s="572"/>
      <c r="H394" s="572"/>
      <c r="I394" s="572"/>
      <c r="J394" s="572"/>
      <c r="K394" s="572"/>
      <c r="L394" s="572"/>
      <c r="M394" s="572"/>
      <c r="N394" s="572"/>
      <c r="O394" s="574"/>
    </row>
    <row r="395" ht="13.5" customHeight="1">
      <c r="A395" s="572"/>
      <c r="B395" s="572"/>
      <c r="C395" s="572"/>
      <c r="D395" s="584"/>
      <c r="E395" s="570"/>
      <c r="F395" s="570"/>
      <c r="G395" s="572"/>
      <c r="H395" s="572"/>
      <c r="I395" s="572"/>
      <c r="J395" s="572"/>
      <c r="K395" s="572"/>
      <c r="L395" s="572"/>
      <c r="M395" s="572"/>
      <c r="N395" s="572"/>
      <c r="O395" s="574"/>
    </row>
    <row r="396" ht="13.5" customHeight="1">
      <c r="A396" s="572"/>
      <c r="B396" s="572"/>
      <c r="C396" s="572"/>
      <c r="D396" s="584"/>
      <c r="E396" s="570"/>
      <c r="F396" s="570"/>
      <c r="G396" s="572"/>
      <c r="H396" s="572"/>
      <c r="I396" s="572"/>
      <c r="J396" s="572"/>
      <c r="K396" s="572"/>
      <c r="L396" s="572"/>
      <c r="M396" s="572"/>
      <c r="N396" s="572"/>
      <c r="O396" s="574"/>
    </row>
    <row r="397" ht="13.5" customHeight="1">
      <c r="A397" s="572"/>
      <c r="B397" s="572"/>
      <c r="C397" s="572"/>
      <c r="D397" s="584"/>
      <c r="E397" s="570"/>
      <c r="F397" s="570"/>
      <c r="G397" s="572"/>
      <c r="H397" s="572"/>
      <c r="I397" s="572"/>
      <c r="J397" s="572"/>
      <c r="K397" s="572"/>
      <c r="L397" s="572"/>
      <c r="M397" s="572"/>
      <c r="N397" s="572"/>
      <c r="O397" s="574"/>
    </row>
    <row r="398" ht="13.5" customHeight="1">
      <c r="A398" s="572"/>
      <c r="B398" s="572"/>
      <c r="C398" s="572"/>
      <c r="D398" s="584"/>
      <c r="E398" s="570"/>
      <c r="F398" s="570"/>
      <c r="G398" s="572"/>
      <c r="H398" s="572"/>
      <c r="I398" s="572"/>
      <c r="J398" s="572"/>
      <c r="K398" s="572"/>
      <c r="L398" s="572"/>
      <c r="M398" s="572"/>
      <c r="N398" s="572"/>
      <c r="O398" s="574"/>
    </row>
    <row r="399" ht="13.5" customHeight="1">
      <c r="A399" s="572"/>
      <c r="B399" s="572"/>
      <c r="C399" s="572"/>
      <c r="D399" s="584"/>
      <c r="E399" s="570"/>
      <c r="F399" s="570"/>
      <c r="G399" s="572"/>
      <c r="H399" s="572"/>
      <c r="I399" s="572"/>
      <c r="J399" s="572"/>
      <c r="K399" s="572"/>
      <c r="L399" s="572"/>
      <c r="M399" s="572"/>
      <c r="N399" s="572"/>
      <c r="O399" s="574"/>
    </row>
    <row r="400" ht="13.5" customHeight="1">
      <c r="A400" s="572"/>
      <c r="B400" s="572"/>
      <c r="C400" s="572"/>
      <c r="D400" s="584"/>
      <c r="E400" s="570"/>
      <c r="F400" s="570"/>
      <c r="G400" s="572"/>
      <c r="H400" s="572"/>
      <c r="I400" s="572"/>
      <c r="J400" s="572"/>
      <c r="K400" s="572"/>
      <c r="L400" s="572"/>
      <c r="M400" s="572"/>
      <c r="N400" s="572"/>
      <c r="O400" s="574"/>
    </row>
    <row r="401" ht="13.5" customHeight="1">
      <c r="A401" s="572"/>
      <c r="B401" s="572"/>
      <c r="C401" s="572"/>
      <c r="D401" s="584"/>
      <c r="E401" s="570"/>
      <c r="F401" s="570"/>
      <c r="G401" s="572"/>
      <c r="H401" s="572"/>
      <c r="I401" s="572"/>
      <c r="J401" s="572"/>
      <c r="K401" s="572"/>
      <c r="L401" s="572"/>
      <c r="M401" s="572"/>
      <c r="N401" s="572"/>
      <c r="O401" s="574"/>
    </row>
    <row r="402" ht="13.5" customHeight="1">
      <c r="A402" s="572"/>
      <c r="B402" s="572"/>
      <c r="C402" s="572"/>
      <c r="D402" s="584"/>
      <c r="E402" s="570"/>
      <c r="F402" s="570"/>
      <c r="G402" s="572"/>
      <c r="H402" s="572"/>
      <c r="I402" s="572"/>
      <c r="J402" s="572"/>
      <c r="K402" s="572"/>
      <c r="L402" s="572"/>
      <c r="M402" s="572"/>
      <c r="N402" s="572"/>
      <c r="O402" s="574"/>
    </row>
    <row r="403" ht="13.5" customHeight="1">
      <c r="A403" s="572"/>
      <c r="B403" s="572"/>
      <c r="C403" s="572"/>
      <c r="D403" s="584"/>
      <c r="E403" s="570"/>
      <c r="F403" s="570"/>
      <c r="G403" s="572"/>
      <c r="H403" s="572"/>
      <c r="I403" s="572"/>
      <c r="J403" s="572"/>
      <c r="K403" s="572"/>
      <c r="L403" s="572"/>
      <c r="M403" s="572"/>
      <c r="N403" s="572"/>
      <c r="O403" s="574"/>
    </row>
    <row r="404" ht="13.5" customHeight="1">
      <c r="A404" s="572"/>
      <c r="B404" s="572"/>
      <c r="C404" s="572"/>
      <c r="D404" s="584"/>
      <c r="E404" s="570"/>
      <c r="F404" s="570"/>
      <c r="G404" s="572"/>
      <c r="H404" s="572"/>
      <c r="I404" s="572"/>
      <c r="J404" s="572"/>
      <c r="K404" s="572"/>
      <c r="L404" s="572"/>
      <c r="M404" s="572"/>
      <c r="N404" s="572"/>
      <c r="O404" s="574"/>
    </row>
    <row r="405" ht="13.5" customHeight="1">
      <c r="A405" s="572"/>
      <c r="B405" s="572"/>
      <c r="C405" s="572"/>
      <c r="D405" s="584"/>
      <c r="E405" s="570"/>
      <c r="F405" s="570"/>
      <c r="G405" s="572"/>
      <c r="H405" s="572"/>
      <c r="I405" s="572"/>
      <c r="J405" s="572"/>
      <c r="K405" s="572"/>
      <c r="L405" s="572"/>
      <c r="M405" s="572"/>
      <c r="N405" s="572"/>
      <c r="O405" s="574"/>
    </row>
    <row r="406" ht="13.5" customHeight="1">
      <c r="A406" s="572"/>
      <c r="B406" s="572"/>
      <c r="C406" s="572"/>
      <c r="D406" s="584"/>
      <c r="E406" s="570"/>
      <c r="F406" s="570"/>
      <c r="G406" s="572"/>
      <c r="H406" s="572"/>
      <c r="I406" s="572"/>
      <c r="J406" s="572"/>
      <c r="K406" s="572"/>
      <c r="L406" s="572"/>
      <c r="M406" s="572"/>
      <c r="N406" s="572"/>
      <c r="O406" s="574"/>
    </row>
    <row r="407" ht="13.5" customHeight="1">
      <c r="A407" s="572"/>
      <c r="B407" s="572"/>
      <c r="C407" s="572"/>
      <c r="D407" s="584"/>
      <c r="E407" s="570"/>
      <c r="F407" s="570"/>
      <c r="G407" s="572"/>
      <c r="H407" s="572"/>
      <c r="I407" s="572"/>
      <c r="J407" s="572"/>
      <c r="K407" s="572"/>
      <c r="L407" s="572"/>
      <c r="M407" s="572"/>
      <c r="N407" s="572"/>
      <c r="O407" s="574"/>
    </row>
    <row r="408" ht="13.5" customHeight="1">
      <c r="A408" s="572"/>
      <c r="B408" s="572"/>
      <c r="C408" s="572"/>
      <c r="D408" s="584"/>
      <c r="E408" s="570"/>
      <c r="F408" s="570"/>
      <c r="G408" s="572"/>
      <c r="H408" s="572"/>
      <c r="I408" s="572"/>
      <c r="J408" s="572"/>
      <c r="K408" s="572"/>
      <c r="L408" s="572"/>
      <c r="M408" s="572"/>
      <c r="N408" s="572"/>
      <c r="O408" s="574"/>
    </row>
    <row r="409" ht="13.5" customHeight="1">
      <c r="A409" s="572"/>
      <c r="B409" s="572"/>
      <c r="C409" s="572"/>
      <c r="D409" s="584"/>
      <c r="E409" s="570"/>
      <c r="F409" s="570"/>
      <c r="G409" s="572"/>
      <c r="H409" s="572"/>
      <c r="I409" s="572"/>
      <c r="J409" s="572"/>
      <c r="K409" s="572"/>
      <c r="L409" s="572"/>
      <c r="M409" s="572"/>
      <c r="N409" s="572"/>
      <c r="O409" s="574"/>
    </row>
    <row r="410" ht="13.5" customHeight="1">
      <c r="A410" s="572"/>
      <c r="B410" s="572"/>
      <c r="C410" s="572"/>
      <c r="D410" s="584"/>
      <c r="E410" s="570"/>
      <c r="F410" s="570"/>
      <c r="G410" s="572"/>
      <c r="H410" s="572"/>
      <c r="I410" s="572"/>
      <c r="J410" s="572"/>
      <c r="K410" s="572"/>
      <c r="L410" s="572"/>
      <c r="M410" s="572"/>
      <c r="N410" s="572"/>
      <c r="O410" s="574"/>
    </row>
    <row r="411" ht="13.5" customHeight="1">
      <c r="A411" s="572"/>
      <c r="B411" s="572"/>
      <c r="C411" s="572"/>
      <c r="D411" s="584"/>
      <c r="E411" s="570"/>
      <c r="F411" s="570"/>
      <c r="G411" s="572"/>
      <c r="H411" s="572"/>
      <c r="I411" s="572"/>
      <c r="J411" s="572"/>
      <c r="K411" s="572"/>
      <c r="L411" s="572"/>
      <c r="M411" s="572"/>
      <c r="N411" s="572"/>
      <c r="O411" s="574"/>
    </row>
    <row r="412" ht="13.5" customHeight="1">
      <c r="A412" s="572"/>
      <c r="B412" s="572"/>
      <c r="C412" s="572"/>
      <c r="D412" s="584"/>
      <c r="E412" s="570"/>
      <c r="F412" s="570"/>
      <c r="G412" s="572"/>
      <c r="H412" s="572"/>
      <c r="I412" s="572"/>
      <c r="J412" s="572"/>
      <c r="K412" s="572"/>
      <c r="L412" s="572"/>
      <c r="M412" s="572"/>
      <c r="N412" s="572"/>
      <c r="O412" s="574"/>
    </row>
    <row r="413" ht="13.5" customHeight="1">
      <c r="A413" s="572"/>
      <c r="B413" s="572"/>
      <c r="C413" s="572"/>
      <c r="D413" s="584"/>
      <c r="E413" s="570"/>
      <c r="F413" s="570"/>
      <c r="G413" s="572"/>
      <c r="H413" s="572"/>
      <c r="I413" s="572"/>
      <c r="J413" s="572"/>
      <c r="K413" s="572"/>
      <c r="L413" s="572"/>
      <c r="M413" s="572"/>
      <c r="N413" s="572"/>
      <c r="O413" s="574"/>
    </row>
    <row r="414" ht="13.5" customHeight="1">
      <c r="A414" s="572"/>
      <c r="B414" s="572"/>
      <c r="C414" s="572"/>
      <c r="D414" s="584"/>
      <c r="E414" s="570"/>
      <c r="F414" s="570"/>
      <c r="G414" s="572"/>
      <c r="H414" s="572"/>
      <c r="I414" s="572"/>
      <c r="J414" s="572"/>
      <c r="K414" s="572"/>
      <c r="L414" s="572"/>
      <c r="M414" s="572"/>
      <c r="N414" s="572"/>
      <c r="O414" s="574"/>
    </row>
    <row r="415" ht="13.5" customHeight="1">
      <c r="A415" s="572"/>
      <c r="B415" s="572"/>
      <c r="C415" s="572"/>
      <c r="D415" s="584"/>
      <c r="E415" s="570"/>
      <c r="F415" s="570"/>
      <c r="G415" s="572"/>
      <c r="H415" s="572"/>
      <c r="I415" s="572"/>
      <c r="J415" s="572"/>
      <c r="K415" s="572"/>
      <c r="L415" s="572"/>
      <c r="M415" s="572"/>
      <c r="N415" s="572"/>
      <c r="O415" s="574"/>
    </row>
    <row r="416" ht="13.5" customHeight="1">
      <c r="A416" s="572"/>
      <c r="B416" s="572"/>
      <c r="C416" s="572"/>
      <c r="D416" s="584"/>
      <c r="E416" s="570"/>
      <c r="F416" s="570"/>
      <c r="G416" s="572"/>
      <c r="H416" s="572"/>
      <c r="I416" s="572"/>
      <c r="J416" s="572"/>
      <c r="K416" s="572"/>
      <c r="L416" s="572"/>
      <c r="M416" s="572"/>
      <c r="N416" s="572"/>
      <c r="O416" s="574"/>
    </row>
    <row r="417" ht="13.5" customHeight="1">
      <c r="A417" s="572"/>
      <c r="B417" s="572"/>
      <c r="C417" s="572"/>
      <c r="D417" s="584"/>
      <c r="E417" s="570"/>
      <c r="F417" s="570"/>
      <c r="G417" s="572"/>
      <c r="H417" s="572"/>
      <c r="I417" s="572"/>
      <c r="J417" s="572"/>
      <c r="K417" s="572"/>
      <c r="L417" s="572"/>
      <c r="M417" s="572"/>
      <c r="N417" s="572"/>
      <c r="O417" s="574"/>
    </row>
    <row r="418" ht="13.5" customHeight="1">
      <c r="A418" s="572"/>
      <c r="B418" s="572"/>
      <c r="C418" s="572"/>
      <c r="D418" s="584"/>
      <c r="E418" s="570"/>
      <c r="F418" s="570"/>
      <c r="G418" s="572"/>
      <c r="H418" s="572"/>
      <c r="I418" s="572"/>
      <c r="J418" s="572"/>
      <c r="K418" s="572"/>
      <c r="L418" s="572"/>
      <c r="M418" s="572"/>
      <c r="N418" s="572"/>
      <c r="O418" s="574"/>
    </row>
    <row r="419" ht="13.5" customHeight="1">
      <c r="A419" s="572"/>
      <c r="B419" s="572"/>
      <c r="C419" s="572"/>
      <c r="D419" s="584"/>
      <c r="E419" s="570"/>
      <c r="F419" s="570"/>
      <c r="G419" s="572"/>
      <c r="H419" s="572"/>
      <c r="I419" s="572"/>
      <c r="J419" s="572"/>
      <c r="K419" s="572"/>
      <c r="L419" s="572"/>
      <c r="M419" s="572"/>
      <c r="N419" s="572"/>
      <c r="O419" s="574"/>
    </row>
    <row r="420" ht="13.5" customHeight="1">
      <c r="A420" s="572"/>
      <c r="B420" s="572"/>
      <c r="C420" s="572"/>
      <c r="D420" s="584"/>
      <c r="E420" s="570"/>
      <c r="F420" s="570"/>
      <c r="G420" s="572"/>
      <c r="H420" s="572"/>
      <c r="I420" s="572"/>
      <c r="J420" s="572"/>
      <c r="K420" s="572"/>
      <c r="L420" s="572"/>
      <c r="M420" s="572"/>
      <c r="N420" s="572"/>
      <c r="O420" s="574"/>
    </row>
    <row r="421" ht="13.5" customHeight="1">
      <c r="A421" s="572"/>
      <c r="B421" s="572"/>
      <c r="C421" s="572"/>
      <c r="D421" s="584"/>
      <c r="E421" s="570"/>
      <c r="F421" s="570"/>
      <c r="G421" s="572"/>
      <c r="H421" s="572"/>
      <c r="I421" s="572"/>
      <c r="J421" s="572"/>
      <c r="K421" s="572"/>
      <c r="L421" s="572"/>
      <c r="M421" s="572"/>
      <c r="N421" s="572"/>
      <c r="O421" s="574"/>
    </row>
    <row r="422" ht="13.5" customHeight="1">
      <c r="A422" s="572"/>
      <c r="B422" s="572"/>
      <c r="C422" s="572"/>
      <c r="D422" s="584"/>
      <c r="E422" s="570"/>
      <c r="F422" s="570"/>
      <c r="G422" s="572"/>
      <c r="H422" s="572"/>
      <c r="I422" s="572"/>
      <c r="J422" s="572"/>
      <c r="K422" s="572"/>
      <c r="L422" s="572"/>
      <c r="M422" s="572"/>
      <c r="N422" s="572"/>
      <c r="O422" s="574"/>
    </row>
    <row r="423" ht="13.5" customHeight="1">
      <c r="A423" s="572"/>
      <c r="B423" s="572"/>
      <c r="C423" s="572"/>
      <c r="D423" s="584"/>
      <c r="E423" s="570"/>
      <c r="F423" s="570"/>
      <c r="G423" s="572"/>
      <c r="H423" s="572"/>
      <c r="I423" s="572"/>
      <c r="J423" s="572"/>
      <c r="K423" s="572"/>
      <c r="L423" s="572"/>
      <c r="M423" s="572"/>
      <c r="N423" s="572"/>
      <c r="O423" s="574"/>
    </row>
    <row r="424" ht="13.5" customHeight="1">
      <c r="A424" s="572"/>
      <c r="B424" s="572"/>
      <c r="C424" s="572"/>
      <c r="D424" s="584"/>
      <c r="E424" s="570"/>
      <c r="F424" s="570"/>
      <c r="G424" s="572"/>
      <c r="H424" s="572"/>
      <c r="I424" s="572"/>
      <c r="J424" s="572"/>
      <c r="K424" s="572"/>
      <c r="L424" s="572"/>
      <c r="M424" s="572"/>
      <c r="N424" s="572"/>
      <c r="O424" s="574"/>
    </row>
    <row r="425" ht="13.5" customHeight="1">
      <c r="A425" s="572"/>
      <c r="B425" s="572"/>
      <c r="C425" s="572"/>
      <c r="D425" s="584"/>
      <c r="E425" s="570"/>
      <c r="F425" s="570"/>
      <c r="G425" s="572"/>
      <c r="H425" s="572"/>
      <c r="I425" s="572"/>
      <c r="J425" s="572"/>
      <c r="K425" s="572"/>
      <c r="L425" s="572"/>
      <c r="M425" s="572"/>
      <c r="N425" s="572"/>
      <c r="O425" s="574"/>
    </row>
    <row r="426" ht="13.5" customHeight="1">
      <c r="A426" s="572"/>
      <c r="B426" s="572"/>
      <c r="C426" s="572"/>
      <c r="D426" s="584"/>
      <c r="E426" s="570"/>
      <c r="F426" s="570"/>
      <c r="G426" s="572"/>
      <c r="H426" s="572"/>
      <c r="I426" s="572"/>
      <c r="J426" s="572"/>
      <c r="K426" s="572"/>
      <c r="L426" s="572"/>
      <c r="M426" s="572"/>
      <c r="N426" s="572"/>
      <c r="O426" s="574"/>
    </row>
    <row r="427" ht="13.5" customHeight="1">
      <c r="A427" s="572"/>
      <c r="B427" s="572"/>
      <c r="C427" s="572"/>
      <c r="D427" s="584"/>
      <c r="E427" s="570"/>
      <c r="F427" s="570"/>
      <c r="G427" s="572"/>
      <c r="H427" s="572"/>
      <c r="I427" s="572"/>
      <c r="J427" s="572"/>
      <c r="K427" s="572"/>
      <c r="L427" s="572"/>
      <c r="M427" s="572"/>
      <c r="N427" s="572"/>
      <c r="O427" s="574"/>
    </row>
    <row r="428" ht="13.5" customHeight="1">
      <c r="A428" s="572"/>
      <c r="B428" s="572"/>
      <c r="C428" s="572"/>
      <c r="D428" s="584"/>
      <c r="E428" s="570"/>
      <c r="F428" s="570"/>
      <c r="G428" s="572"/>
      <c r="H428" s="572"/>
      <c r="I428" s="572"/>
      <c r="J428" s="572"/>
      <c r="K428" s="572"/>
      <c r="L428" s="572"/>
      <c r="M428" s="572"/>
      <c r="N428" s="572"/>
      <c r="O428" s="574"/>
    </row>
    <row r="429" ht="13.5" customHeight="1">
      <c r="A429" s="572"/>
      <c r="B429" s="572"/>
      <c r="C429" s="572"/>
      <c r="D429" s="584"/>
      <c r="E429" s="570"/>
      <c r="F429" s="570"/>
      <c r="G429" s="572"/>
      <c r="H429" s="572"/>
      <c r="I429" s="572"/>
      <c r="J429" s="572"/>
      <c r="K429" s="572"/>
      <c r="L429" s="572"/>
      <c r="M429" s="572"/>
      <c r="N429" s="572"/>
      <c r="O429" s="574"/>
    </row>
    <row r="430" ht="13.5" customHeight="1">
      <c r="A430" s="572"/>
      <c r="B430" s="572"/>
      <c r="C430" s="572"/>
      <c r="D430" s="584"/>
      <c r="E430" s="570"/>
      <c r="F430" s="570"/>
      <c r="G430" s="572"/>
      <c r="H430" s="572"/>
      <c r="I430" s="572"/>
      <c r="J430" s="572"/>
      <c r="K430" s="572"/>
      <c r="L430" s="572"/>
      <c r="M430" s="572"/>
      <c r="N430" s="572"/>
      <c r="O430" s="574"/>
    </row>
    <row r="431" ht="13.5" customHeight="1">
      <c r="A431" s="572"/>
      <c r="B431" s="572"/>
      <c r="C431" s="572"/>
      <c r="D431" s="584"/>
      <c r="E431" s="570"/>
      <c r="F431" s="570"/>
      <c r="G431" s="572"/>
      <c r="H431" s="572"/>
      <c r="I431" s="572"/>
      <c r="J431" s="572"/>
      <c r="K431" s="572"/>
      <c r="L431" s="572"/>
      <c r="M431" s="572"/>
      <c r="N431" s="572"/>
      <c r="O431" s="574"/>
    </row>
    <row r="432" ht="13.5" customHeight="1">
      <c r="A432" s="572"/>
      <c r="B432" s="572"/>
      <c r="C432" s="572"/>
      <c r="D432" s="584"/>
      <c r="E432" s="570"/>
      <c r="F432" s="570"/>
      <c r="G432" s="572"/>
      <c r="H432" s="572"/>
      <c r="I432" s="572"/>
      <c r="J432" s="572"/>
      <c r="K432" s="572"/>
      <c r="L432" s="572"/>
      <c r="M432" s="572"/>
      <c r="N432" s="572"/>
      <c r="O432" s="574"/>
    </row>
    <row r="433" ht="13.5" customHeight="1">
      <c r="A433" s="572"/>
      <c r="B433" s="572"/>
      <c r="C433" s="572"/>
      <c r="D433" s="584"/>
      <c r="E433" s="570"/>
      <c r="F433" s="570"/>
      <c r="G433" s="572"/>
      <c r="H433" s="572"/>
      <c r="I433" s="572"/>
      <c r="J433" s="572"/>
      <c r="K433" s="572"/>
      <c r="L433" s="572"/>
      <c r="M433" s="572"/>
      <c r="N433" s="572"/>
      <c r="O433" s="574"/>
    </row>
    <row r="434" ht="13.5" customHeight="1">
      <c r="A434" s="572"/>
      <c r="B434" s="572"/>
      <c r="C434" s="572"/>
      <c r="D434" s="584"/>
      <c r="E434" s="570"/>
      <c r="F434" s="570"/>
      <c r="G434" s="572"/>
      <c r="H434" s="572"/>
      <c r="I434" s="572"/>
      <c r="J434" s="572"/>
      <c r="K434" s="572"/>
      <c r="L434" s="572"/>
      <c r="M434" s="572"/>
      <c r="N434" s="572"/>
      <c r="O434" s="574"/>
    </row>
    <row r="435" ht="13.5" customHeight="1">
      <c r="A435" s="572"/>
      <c r="B435" s="572"/>
      <c r="C435" s="572"/>
      <c r="D435" s="584"/>
      <c r="E435" s="570"/>
      <c r="F435" s="570"/>
      <c r="G435" s="572"/>
      <c r="H435" s="572"/>
      <c r="I435" s="572"/>
      <c r="J435" s="572"/>
      <c r="K435" s="572"/>
      <c r="L435" s="572"/>
      <c r="M435" s="572"/>
      <c r="N435" s="572"/>
      <c r="O435" s="574"/>
    </row>
    <row r="436" ht="13.5" customHeight="1">
      <c r="A436" s="572"/>
      <c r="B436" s="572"/>
      <c r="C436" s="572"/>
      <c r="D436" s="584"/>
      <c r="E436" s="570"/>
      <c r="F436" s="570"/>
      <c r="G436" s="572"/>
      <c r="H436" s="572"/>
      <c r="I436" s="572"/>
      <c r="J436" s="572"/>
      <c r="K436" s="572"/>
      <c r="L436" s="572"/>
      <c r="M436" s="572"/>
      <c r="N436" s="572"/>
      <c r="O436" s="574"/>
    </row>
    <row r="437" ht="13.5" customHeight="1">
      <c r="A437" s="572"/>
      <c r="B437" s="572"/>
      <c r="C437" s="572"/>
      <c r="D437" s="584"/>
      <c r="E437" s="570"/>
      <c r="F437" s="570"/>
      <c r="G437" s="572"/>
      <c r="H437" s="572"/>
      <c r="I437" s="572"/>
      <c r="J437" s="572"/>
      <c r="K437" s="572"/>
      <c r="L437" s="572"/>
      <c r="M437" s="572"/>
      <c r="N437" s="572"/>
      <c r="O437" s="574"/>
    </row>
    <row r="438" ht="13.5" customHeight="1">
      <c r="A438" s="572"/>
      <c r="B438" s="572"/>
      <c r="C438" s="572"/>
      <c r="D438" s="584"/>
      <c r="E438" s="570"/>
      <c r="F438" s="570"/>
      <c r="G438" s="572"/>
      <c r="H438" s="572"/>
      <c r="I438" s="572"/>
      <c r="J438" s="572"/>
      <c r="K438" s="572"/>
      <c r="L438" s="572"/>
      <c r="M438" s="572"/>
      <c r="N438" s="572"/>
      <c r="O438" s="574"/>
    </row>
    <row r="439" ht="13.5" customHeight="1">
      <c r="A439" s="572"/>
      <c r="B439" s="572"/>
      <c r="C439" s="572"/>
      <c r="D439" s="584"/>
      <c r="E439" s="570"/>
      <c r="F439" s="570"/>
      <c r="G439" s="572"/>
      <c r="H439" s="572"/>
      <c r="I439" s="572"/>
      <c r="J439" s="572"/>
      <c r="K439" s="572"/>
      <c r="L439" s="572"/>
      <c r="M439" s="572"/>
      <c r="N439" s="572"/>
      <c r="O439" s="574"/>
    </row>
    <row r="440" ht="13.5" customHeight="1">
      <c r="A440" s="572"/>
      <c r="B440" s="572"/>
      <c r="C440" s="572"/>
      <c r="D440" s="584"/>
      <c r="E440" s="570"/>
      <c r="F440" s="570"/>
      <c r="G440" s="572"/>
      <c r="H440" s="572"/>
      <c r="I440" s="572"/>
      <c r="J440" s="572"/>
      <c r="K440" s="572"/>
      <c r="L440" s="572"/>
      <c r="M440" s="572"/>
      <c r="N440" s="572"/>
      <c r="O440" s="574"/>
    </row>
    <row r="441" ht="13.5" customHeight="1">
      <c r="A441" s="572"/>
      <c r="B441" s="572"/>
      <c r="C441" s="572"/>
      <c r="D441" s="584"/>
      <c r="E441" s="570"/>
      <c r="F441" s="570"/>
      <c r="G441" s="572"/>
      <c r="H441" s="572"/>
      <c r="I441" s="572"/>
      <c r="J441" s="572"/>
      <c r="K441" s="572"/>
      <c r="L441" s="572"/>
      <c r="M441" s="572"/>
      <c r="N441" s="572"/>
      <c r="O441" s="574"/>
    </row>
    <row r="442" ht="13.5" customHeight="1">
      <c r="A442" s="572"/>
      <c r="B442" s="572"/>
      <c r="C442" s="572"/>
      <c r="D442" s="584"/>
      <c r="E442" s="570"/>
      <c r="F442" s="570"/>
      <c r="G442" s="572"/>
      <c r="H442" s="572"/>
      <c r="I442" s="572"/>
      <c r="J442" s="572"/>
      <c r="K442" s="572"/>
      <c r="L442" s="572"/>
      <c r="M442" s="572"/>
      <c r="N442" s="572"/>
      <c r="O442" s="574"/>
    </row>
    <row r="443" ht="13.5" customHeight="1">
      <c r="A443" s="572"/>
      <c r="B443" s="572"/>
      <c r="C443" s="572"/>
      <c r="D443" s="584"/>
      <c r="E443" s="570"/>
      <c r="F443" s="570"/>
      <c r="G443" s="572"/>
      <c r="H443" s="572"/>
      <c r="I443" s="572"/>
      <c r="J443" s="572"/>
      <c r="K443" s="572"/>
      <c r="L443" s="572"/>
      <c r="M443" s="572"/>
      <c r="N443" s="572"/>
      <c r="O443" s="574"/>
    </row>
    <row r="444" ht="13.5" customHeight="1">
      <c r="A444" s="572"/>
      <c r="B444" s="572"/>
      <c r="C444" s="572"/>
      <c r="D444" s="584"/>
      <c r="E444" s="570"/>
      <c r="F444" s="570"/>
      <c r="G444" s="572"/>
      <c r="H444" s="572"/>
      <c r="I444" s="572"/>
      <c r="J444" s="572"/>
      <c r="K444" s="572"/>
      <c r="L444" s="572"/>
      <c r="M444" s="572"/>
      <c r="N444" s="572"/>
      <c r="O444" s="574"/>
    </row>
    <row r="445" ht="13.5" customHeight="1">
      <c r="A445" s="572"/>
      <c r="B445" s="572"/>
      <c r="C445" s="572"/>
      <c r="D445" s="584"/>
      <c r="E445" s="570"/>
      <c r="F445" s="570"/>
      <c r="G445" s="572"/>
      <c r="H445" s="572"/>
      <c r="I445" s="572"/>
      <c r="J445" s="572"/>
      <c r="K445" s="572"/>
      <c r="L445" s="572"/>
      <c r="M445" s="572"/>
      <c r="N445" s="572"/>
      <c r="O445" s="574"/>
    </row>
    <row r="446" ht="13.5" customHeight="1">
      <c r="A446" s="572"/>
      <c r="B446" s="572"/>
      <c r="C446" s="572"/>
      <c r="D446" s="584"/>
      <c r="E446" s="570"/>
      <c r="F446" s="570"/>
      <c r="G446" s="572"/>
      <c r="H446" s="572"/>
      <c r="I446" s="572"/>
      <c r="J446" s="572"/>
      <c r="K446" s="572"/>
      <c r="L446" s="572"/>
      <c r="M446" s="572"/>
      <c r="N446" s="572"/>
      <c r="O446" s="574"/>
    </row>
    <row r="447" ht="13.5" customHeight="1">
      <c r="A447" s="572"/>
      <c r="B447" s="572"/>
      <c r="C447" s="572"/>
      <c r="D447" s="584"/>
      <c r="E447" s="570"/>
      <c r="F447" s="570"/>
      <c r="G447" s="572"/>
      <c r="H447" s="572"/>
      <c r="I447" s="572"/>
      <c r="J447" s="572"/>
      <c r="K447" s="572"/>
      <c r="L447" s="572"/>
      <c r="M447" s="572"/>
      <c r="N447" s="572"/>
      <c r="O447" s="574"/>
    </row>
    <row r="448" ht="13.5" customHeight="1">
      <c r="A448" s="572"/>
      <c r="B448" s="572"/>
      <c r="C448" s="572"/>
      <c r="D448" s="584"/>
      <c r="E448" s="570"/>
      <c r="F448" s="570"/>
      <c r="G448" s="572"/>
      <c r="H448" s="572"/>
      <c r="I448" s="572"/>
      <c r="J448" s="572"/>
      <c r="K448" s="572"/>
      <c r="L448" s="572"/>
      <c r="M448" s="572"/>
      <c r="N448" s="572"/>
      <c r="O448" s="574"/>
    </row>
    <row r="449" ht="13.5" customHeight="1">
      <c r="A449" s="572"/>
      <c r="B449" s="572"/>
      <c r="C449" s="572"/>
      <c r="D449" s="584"/>
      <c r="E449" s="570"/>
      <c r="F449" s="570"/>
      <c r="G449" s="572"/>
      <c r="H449" s="572"/>
      <c r="I449" s="572"/>
      <c r="J449" s="572"/>
      <c r="K449" s="572"/>
      <c r="L449" s="572"/>
      <c r="M449" s="572"/>
      <c r="N449" s="572"/>
      <c r="O449" s="574"/>
    </row>
    <row r="450" ht="13.5" customHeight="1">
      <c r="A450" s="572"/>
      <c r="B450" s="572"/>
      <c r="C450" s="572"/>
      <c r="D450" s="584"/>
      <c r="E450" s="570"/>
      <c r="F450" s="570"/>
      <c r="G450" s="572"/>
      <c r="H450" s="572"/>
      <c r="I450" s="572"/>
      <c r="J450" s="572"/>
      <c r="K450" s="572"/>
      <c r="L450" s="572"/>
      <c r="M450" s="572"/>
      <c r="N450" s="572"/>
      <c r="O450" s="574"/>
    </row>
    <row r="451" ht="13.5" customHeight="1">
      <c r="A451" s="572"/>
      <c r="B451" s="572"/>
      <c r="C451" s="572"/>
      <c r="D451" s="584"/>
      <c r="E451" s="570"/>
      <c r="F451" s="570"/>
      <c r="G451" s="572"/>
      <c r="H451" s="572"/>
      <c r="I451" s="572"/>
      <c r="J451" s="572"/>
      <c r="K451" s="572"/>
      <c r="L451" s="572"/>
      <c r="M451" s="572"/>
      <c r="N451" s="572"/>
      <c r="O451" s="574"/>
    </row>
    <row r="452" ht="13.5" customHeight="1">
      <c r="A452" s="572"/>
      <c r="B452" s="572"/>
      <c r="C452" s="572"/>
      <c r="D452" s="584"/>
      <c r="E452" s="570"/>
      <c r="F452" s="570"/>
      <c r="G452" s="572"/>
      <c r="H452" s="572"/>
      <c r="I452" s="572"/>
      <c r="J452" s="572"/>
      <c r="K452" s="572"/>
      <c r="L452" s="572"/>
      <c r="M452" s="572"/>
      <c r="N452" s="572"/>
      <c r="O452" s="574"/>
    </row>
    <row r="453" ht="13.5" customHeight="1">
      <c r="A453" s="572"/>
      <c r="B453" s="572"/>
      <c r="C453" s="572"/>
      <c r="D453" s="584"/>
      <c r="E453" s="570"/>
      <c r="F453" s="570"/>
      <c r="G453" s="572"/>
      <c r="H453" s="572"/>
      <c r="I453" s="572"/>
      <c r="J453" s="572"/>
      <c r="K453" s="572"/>
      <c r="L453" s="572"/>
      <c r="M453" s="572"/>
      <c r="N453" s="572"/>
      <c r="O453" s="574"/>
    </row>
    <row r="454" ht="13.5" customHeight="1">
      <c r="A454" s="572"/>
      <c r="B454" s="572"/>
      <c r="C454" s="572"/>
      <c r="D454" s="584"/>
      <c r="E454" s="570"/>
      <c r="F454" s="570"/>
      <c r="G454" s="572"/>
      <c r="H454" s="572"/>
      <c r="I454" s="572"/>
      <c r="J454" s="572"/>
      <c r="K454" s="572"/>
      <c r="L454" s="572"/>
      <c r="M454" s="572"/>
      <c r="N454" s="572"/>
      <c r="O454" s="574"/>
    </row>
    <row r="455" ht="13.5" customHeight="1">
      <c r="A455" s="572"/>
      <c r="B455" s="572"/>
      <c r="C455" s="572"/>
      <c r="D455" s="584"/>
      <c r="E455" s="570"/>
      <c r="F455" s="570"/>
      <c r="G455" s="572"/>
      <c r="H455" s="572"/>
      <c r="I455" s="572"/>
      <c r="J455" s="572"/>
      <c r="K455" s="572"/>
      <c r="L455" s="572"/>
      <c r="M455" s="572"/>
      <c r="N455" s="572"/>
      <c r="O455" s="574"/>
    </row>
    <row r="456" ht="13.5" customHeight="1">
      <c r="A456" s="572"/>
      <c r="B456" s="572"/>
      <c r="C456" s="572"/>
      <c r="D456" s="584"/>
      <c r="E456" s="570"/>
      <c r="F456" s="570"/>
      <c r="G456" s="572"/>
      <c r="H456" s="572"/>
      <c r="I456" s="572"/>
      <c r="J456" s="572"/>
      <c r="K456" s="572"/>
      <c r="L456" s="572"/>
      <c r="M456" s="572"/>
      <c r="N456" s="572"/>
      <c r="O456" s="574"/>
    </row>
    <row r="457" ht="13.5" customHeight="1">
      <c r="A457" s="572"/>
      <c r="B457" s="572"/>
      <c r="C457" s="572"/>
      <c r="D457" s="584"/>
      <c r="E457" s="570"/>
      <c r="F457" s="570"/>
      <c r="G457" s="572"/>
      <c r="H457" s="572"/>
      <c r="I457" s="572"/>
      <c r="J457" s="572"/>
      <c r="K457" s="572"/>
      <c r="L457" s="572"/>
      <c r="M457" s="572"/>
      <c r="N457" s="572"/>
      <c r="O457" s="574"/>
    </row>
    <row r="458" ht="13.5" customHeight="1">
      <c r="A458" s="572"/>
      <c r="B458" s="572"/>
      <c r="C458" s="572"/>
      <c r="D458" s="584"/>
      <c r="E458" s="570"/>
      <c r="F458" s="570"/>
      <c r="G458" s="572"/>
      <c r="H458" s="572"/>
      <c r="I458" s="572"/>
      <c r="J458" s="572"/>
      <c r="K458" s="572"/>
      <c r="L458" s="572"/>
      <c r="M458" s="572"/>
      <c r="N458" s="572"/>
      <c r="O458" s="574"/>
    </row>
    <row r="459" ht="13.5" customHeight="1">
      <c r="A459" s="572"/>
      <c r="B459" s="572"/>
      <c r="C459" s="572"/>
      <c r="D459" s="584"/>
      <c r="E459" s="570"/>
      <c r="F459" s="570"/>
      <c r="G459" s="572"/>
      <c r="H459" s="572"/>
      <c r="I459" s="572"/>
      <c r="J459" s="572"/>
      <c r="K459" s="572"/>
      <c r="L459" s="572"/>
      <c r="M459" s="572"/>
      <c r="N459" s="572"/>
      <c r="O459" s="574"/>
    </row>
    <row r="460" ht="13.5" customHeight="1">
      <c r="A460" s="572"/>
      <c r="B460" s="572"/>
      <c r="C460" s="572"/>
      <c r="D460" s="584"/>
      <c r="E460" s="570"/>
      <c r="F460" s="570"/>
      <c r="G460" s="572"/>
      <c r="H460" s="572"/>
      <c r="I460" s="572"/>
      <c r="J460" s="572"/>
      <c r="K460" s="572"/>
      <c r="L460" s="572"/>
      <c r="M460" s="572"/>
      <c r="N460" s="572"/>
      <c r="O460" s="574"/>
    </row>
    <row r="461" ht="13.5" customHeight="1">
      <c r="A461" s="572"/>
      <c r="B461" s="572"/>
      <c r="C461" s="572"/>
      <c r="D461" s="584"/>
      <c r="E461" s="570"/>
      <c r="F461" s="570"/>
      <c r="G461" s="572"/>
      <c r="H461" s="572"/>
      <c r="I461" s="572"/>
      <c r="J461" s="572"/>
      <c r="K461" s="572"/>
      <c r="L461" s="572"/>
      <c r="M461" s="572"/>
      <c r="N461" s="572"/>
      <c r="O461" s="574"/>
    </row>
    <row r="462" ht="13.5" customHeight="1">
      <c r="A462" s="572"/>
      <c r="B462" s="572"/>
      <c r="C462" s="572"/>
      <c r="D462" s="584"/>
      <c r="E462" s="570"/>
      <c r="F462" s="570"/>
      <c r="G462" s="572"/>
      <c r="H462" s="572"/>
      <c r="I462" s="572"/>
      <c r="J462" s="572"/>
      <c r="K462" s="572"/>
      <c r="L462" s="572"/>
      <c r="M462" s="572"/>
      <c r="N462" s="572"/>
      <c r="O462" s="574"/>
    </row>
    <row r="463" ht="13.5" customHeight="1">
      <c r="A463" s="572"/>
      <c r="B463" s="572"/>
      <c r="C463" s="572"/>
      <c r="D463" s="584"/>
      <c r="E463" s="570"/>
      <c r="F463" s="570"/>
      <c r="G463" s="572"/>
      <c r="H463" s="572"/>
      <c r="I463" s="572"/>
      <c r="J463" s="572"/>
      <c r="K463" s="572"/>
      <c r="L463" s="572"/>
      <c r="M463" s="572"/>
      <c r="N463" s="572"/>
      <c r="O463" s="574"/>
    </row>
    <row r="464" ht="13.5" customHeight="1">
      <c r="A464" s="572"/>
      <c r="B464" s="572"/>
      <c r="C464" s="572"/>
      <c r="D464" s="584"/>
      <c r="E464" s="570"/>
      <c r="F464" s="570"/>
      <c r="G464" s="572"/>
      <c r="H464" s="572"/>
      <c r="I464" s="572"/>
      <c r="J464" s="572"/>
      <c r="K464" s="572"/>
      <c r="L464" s="572"/>
      <c r="M464" s="572"/>
      <c r="N464" s="572"/>
      <c r="O464" s="574"/>
    </row>
    <row r="465" ht="13.5" customHeight="1">
      <c r="A465" s="572"/>
      <c r="B465" s="572"/>
      <c r="C465" s="572"/>
      <c r="D465" s="584"/>
      <c r="E465" s="570"/>
      <c r="F465" s="570"/>
      <c r="G465" s="572"/>
      <c r="H465" s="572"/>
      <c r="I465" s="572"/>
      <c r="J465" s="572"/>
      <c r="K465" s="572"/>
      <c r="L465" s="572"/>
      <c r="M465" s="572"/>
      <c r="N465" s="572"/>
      <c r="O465" s="574"/>
    </row>
    <row r="466" ht="13.5" customHeight="1">
      <c r="A466" s="572"/>
      <c r="B466" s="572"/>
      <c r="C466" s="572"/>
      <c r="D466" s="584"/>
      <c r="E466" s="570"/>
      <c r="F466" s="570"/>
      <c r="G466" s="572"/>
      <c r="H466" s="572"/>
      <c r="I466" s="572"/>
      <c r="J466" s="572"/>
      <c r="K466" s="572"/>
      <c r="L466" s="572"/>
      <c r="M466" s="572"/>
      <c r="N466" s="572"/>
      <c r="O466" s="574"/>
    </row>
    <row r="467" ht="13.5" customHeight="1">
      <c r="A467" s="572"/>
      <c r="B467" s="572"/>
      <c r="C467" s="572"/>
      <c r="D467" s="584"/>
      <c r="E467" s="570"/>
      <c r="F467" s="570"/>
      <c r="G467" s="572"/>
      <c r="H467" s="572"/>
      <c r="I467" s="572"/>
      <c r="J467" s="572"/>
      <c r="K467" s="572"/>
      <c r="L467" s="572"/>
      <c r="M467" s="572"/>
      <c r="N467" s="572"/>
      <c r="O467" s="574"/>
    </row>
    <row r="468" ht="13.5" customHeight="1">
      <c r="A468" s="572"/>
      <c r="B468" s="572"/>
      <c r="C468" s="572"/>
      <c r="D468" s="584"/>
      <c r="E468" s="570"/>
      <c r="F468" s="570"/>
      <c r="G468" s="572"/>
      <c r="H468" s="572"/>
      <c r="I468" s="572"/>
      <c r="J468" s="572"/>
      <c r="K468" s="572"/>
      <c r="L468" s="572"/>
      <c r="M468" s="572"/>
      <c r="N468" s="572"/>
      <c r="O468" s="574"/>
    </row>
    <row r="469" ht="13.5" customHeight="1">
      <c r="A469" s="572"/>
      <c r="B469" s="572"/>
      <c r="C469" s="572"/>
      <c r="D469" s="584"/>
      <c r="E469" s="570"/>
      <c r="F469" s="570"/>
      <c r="G469" s="572"/>
      <c r="H469" s="572"/>
      <c r="I469" s="572"/>
      <c r="J469" s="572"/>
      <c r="K469" s="572"/>
      <c r="L469" s="572"/>
      <c r="M469" s="572"/>
      <c r="N469" s="572"/>
      <c r="O469" s="574"/>
    </row>
    <row r="470" ht="13.5" customHeight="1">
      <c r="A470" s="572"/>
      <c r="B470" s="572"/>
      <c r="C470" s="572"/>
      <c r="D470" s="584"/>
      <c r="E470" s="570"/>
      <c r="F470" s="570"/>
      <c r="G470" s="572"/>
      <c r="H470" s="572"/>
      <c r="I470" s="572"/>
      <c r="J470" s="572"/>
      <c r="K470" s="572"/>
      <c r="L470" s="572"/>
      <c r="M470" s="572"/>
      <c r="N470" s="572"/>
      <c r="O470" s="574"/>
    </row>
    <row r="471" ht="13.5" customHeight="1">
      <c r="A471" s="572"/>
      <c r="B471" s="572"/>
      <c r="C471" s="572"/>
      <c r="D471" s="584"/>
      <c r="E471" s="570"/>
      <c r="F471" s="570"/>
      <c r="G471" s="572"/>
      <c r="H471" s="572"/>
      <c r="I471" s="572"/>
      <c r="J471" s="572"/>
      <c r="K471" s="572"/>
      <c r="L471" s="572"/>
      <c r="M471" s="572"/>
      <c r="N471" s="572"/>
      <c r="O471" s="574"/>
    </row>
    <row r="472" ht="13.5" customHeight="1">
      <c r="A472" s="572"/>
      <c r="B472" s="572"/>
      <c r="C472" s="572"/>
      <c r="D472" s="584"/>
      <c r="E472" s="570"/>
      <c r="F472" s="570"/>
      <c r="G472" s="572"/>
      <c r="H472" s="572"/>
      <c r="I472" s="572"/>
      <c r="J472" s="572"/>
      <c r="K472" s="572"/>
      <c r="L472" s="572"/>
      <c r="M472" s="572"/>
      <c r="N472" s="572"/>
      <c r="O472" s="574"/>
    </row>
    <row r="473" ht="13.5" customHeight="1">
      <c r="A473" s="572"/>
      <c r="B473" s="572"/>
      <c r="C473" s="572"/>
      <c r="D473" s="584"/>
      <c r="E473" s="570"/>
      <c r="F473" s="570"/>
      <c r="G473" s="572"/>
      <c r="H473" s="572"/>
      <c r="I473" s="572"/>
      <c r="J473" s="572"/>
      <c r="K473" s="572"/>
      <c r="L473" s="572"/>
      <c r="M473" s="572"/>
      <c r="N473" s="572"/>
      <c r="O473" s="574"/>
    </row>
    <row r="474" ht="13.5" customHeight="1">
      <c r="A474" s="572"/>
      <c r="B474" s="572"/>
      <c r="C474" s="572"/>
      <c r="D474" s="584"/>
      <c r="E474" s="570"/>
      <c r="F474" s="570"/>
      <c r="G474" s="572"/>
      <c r="H474" s="572"/>
      <c r="I474" s="572"/>
      <c r="J474" s="572"/>
      <c r="K474" s="572"/>
      <c r="L474" s="572"/>
      <c r="M474" s="572"/>
      <c r="N474" s="572"/>
      <c r="O474" s="574"/>
    </row>
    <row r="475" ht="13.5" customHeight="1">
      <c r="A475" s="572"/>
      <c r="B475" s="572"/>
      <c r="C475" s="572"/>
      <c r="D475" s="584"/>
      <c r="E475" s="570"/>
      <c r="F475" s="570"/>
      <c r="G475" s="572"/>
      <c r="H475" s="572"/>
      <c r="I475" s="572"/>
      <c r="J475" s="572"/>
      <c r="K475" s="572"/>
      <c r="L475" s="572"/>
      <c r="M475" s="572"/>
      <c r="N475" s="572"/>
      <c r="O475" s="574"/>
    </row>
    <row r="476" ht="13.5" customHeight="1">
      <c r="A476" s="572"/>
      <c r="B476" s="572"/>
      <c r="C476" s="572"/>
      <c r="D476" s="584"/>
      <c r="E476" s="570"/>
      <c r="F476" s="570"/>
      <c r="G476" s="572"/>
      <c r="H476" s="572"/>
      <c r="I476" s="572"/>
      <c r="J476" s="572"/>
      <c r="K476" s="572"/>
      <c r="L476" s="572"/>
      <c r="M476" s="572"/>
      <c r="N476" s="572"/>
      <c r="O476" s="574"/>
    </row>
    <row r="477" ht="13.5" customHeight="1">
      <c r="A477" s="572"/>
      <c r="B477" s="572"/>
      <c r="C477" s="572"/>
      <c r="D477" s="584"/>
      <c r="E477" s="570"/>
      <c r="F477" s="570"/>
      <c r="G477" s="572"/>
      <c r="H477" s="572"/>
      <c r="I477" s="572"/>
      <c r="J477" s="572"/>
      <c r="K477" s="572"/>
      <c r="L477" s="572"/>
      <c r="M477" s="572"/>
      <c r="N477" s="572"/>
      <c r="O477" s="574"/>
    </row>
    <row r="478" ht="13.5" customHeight="1">
      <c r="A478" s="572"/>
      <c r="B478" s="572"/>
      <c r="C478" s="572"/>
      <c r="D478" s="584"/>
      <c r="E478" s="570"/>
      <c r="F478" s="570"/>
      <c r="G478" s="572"/>
      <c r="H478" s="572"/>
      <c r="I478" s="572"/>
      <c r="J478" s="572"/>
      <c r="K478" s="572"/>
      <c r="L478" s="572"/>
      <c r="M478" s="572"/>
      <c r="N478" s="572"/>
      <c r="O478" s="574"/>
    </row>
    <row r="479" ht="13.5" customHeight="1">
      <c r="A479" s="572"/>
      <c r="B479" s="572"/>
      <c r="C479" s="572"/>
      <c r="D479" s="584"/>
      <c r="E479" s="570"/>
      <c r="F479" s="570"/>
      <c r="G479" s="572"/>
      <c r="H479" s="572"/>
      <c r="I479" s="572"/>
      <c r="J479" s="572"/>
      <c r="K479" s="572"/>
      <c r="L479" s="572"/>
      <c r="M479" s="572"/>
      <c r="N479" s="572"/>
      <c r="O479" s="574"/>
    </row>
    <row r="480" ht="13.5" customHeight="1">
      <c r="A480" s="572"/>
      <c r="B480" s="572"/>
      <c r="C480" s="572"/>
      <c r="D480" s="584"/>
      <c r="E480" s="570"/>
      <c r="F480" s="570"/>
      <c r="G480" s="572"/>
      <c r="H480" s="572"/>
      <c r="I480" s="572"/>
      <c r="J480" s="572"/>
      <c r="K480" s="572"/>
      <c r="L480" s="572"/>
      <c r="M480" s="572"/>
      <c r="N480" s="572"/>
      <c r="O480" s="574"/>
    </row>
    <row r="481" ht="13.5" customHeight="1">
      <c r="A481" s="572"/>
      <c r="B481" s="572"/>
      <c r="C481" s="572"/>
      <c r="D481" s="584"/>
      <c r="E481" s="570"/>
      <c r="F481" s="570"/>
      <c r="G481" s="572"/>
      <c r="H481" s="572"/>
      <c r="I481" s="572"/>
      <c r="J481" s="572"/>
      <c r="K481" s="572"/>
      <c r="L481" s="572"/>
      <c r="M481" s="572"/>
      <c r="N481" s="572"/>
      <c r="O481" s="574"/>
    </row>
    <row r="482" ht="13.5" customHeight="1">
      <c r="A482" s="572"/>
      <c r="B482" s="572"/>
      <c r="C482" s="572"/>
      <c r="D482" s="584"/>
      <c r="E482" s="570"/>
      <c r="F482" s="570"/>
      <c r="G482" s="572"/>
      <c r="H482" s="572"/>
      <c r="I482" s="572"/>
      <c r="J482" s="572"/>
      <c r="K482" s="572"/>
      <c r="L482" s="572"/>
      <c r="M482" s="572"/>
      <c r="N482" s="572"/>
      <c r="O482" s="574"/>
    </row>
    <row r="483" ht="13.5" customHeight="1">
      <c r="A483" s="572"/>
      <c r="B483" s="572"/>
      <c r="C483" s="572"/>
      <c r="D483" s="584"/>
      <c r="E483" s="570"/>
      <c r="F483" s="570"/>
      <c r="G483" s="572"/>
      <c r="H483" s="572"/>
      <c r="I483" s="572"/>
      <c r="J483" s="572"/>
      <c r="K483" s="572"/>
      <c r="L483" s="572"/>
      <c r="M483" s="572"/>
      <c r="N483" s="572"/>
      <c r="O483" s="574"/>
    </row>
    <row r="484" ht="13.5" customHeight="1">
      <c r="A484" s="572"/>
      <c r="B484" s="572"/>
      <c r="C484" s="572"/>
      <c r="D484" s="584"/>
      <c r="E484" s="570"/>
      <c r="F484" s="570"/>
      <c r="G484" s="572"/>
      <c r="H484" s="572"/>
      <c r="I484" s="572"/>
      <c r="J484" s="572"/>
      <c r="K484" s="572"/>
      <c r="L484" s="572"/>
      <c r="M484" s="572"/>
      <c r="N484" s="572"/>
      <c r="O484" s="574"/>
    </row>
    <row r="485" ht="13.5" customHeight="1">
      <c r="A485" s="572"/>
      <c r="B485" s="572"/>
      <c r="C485" s="572"/>
      <c r="D485" s="584"/>
      <c r="E485" s="570"/>
      <c r="F485" s="570"/>
      <c r="G485" s="572"/>
      <c r="H485" s="572"/>
      <c r="I485" s="572"/>
      <c r="J485" s="572"/>
      <c r="K485" s="572"/>
      <c r="L485" s="572"/>
      <c r="M485" s="572"/>
      <c r="N485" s="572"/>
      <c r="O485" s="574"/>
    </row>
    <row r="486" ht="13.5" customHeight="1">
      <c r="A486" s="572"/>
      <c r="B486" s="572"/>
      <c r="C486" s="572"/>
      <c r="D486" s="584"/>
      <c r="E486" s="570"/>
      <c r="F486" s="570"/>
      <c r="G486" s="572"/>
      <c r="H486" s="572"/>
      <c r="I486" s="572"/>
      <c r="J486" s="572"/>
      <c r="K486" s="572"/>
      <c r="L486" s="572"/>
      <c r="M486" s="572"/>
      <c r="N486" s="572"/>
      <c r="O486" s="574"/>
    </row>
    <row r="487" ht="13.5" customHeight="1">
      <c r="A487" s="572"/>
      <c r="B487" s="572"/>
      <c r="C487" s="572"/>
      <c r="D487" s="584"/>
      <c r="E487" s="570"/>
      <c r="F487" s="570"/>
      <c r="G487" s="572"/>
      <c r="H487" s="572"/>
      <c r="I487" s="572"/>
      <c r="J487" s="572"/>
      <c r="K487" s="572"/>
      <c r="L487" s="572"/>
      <c r="M487" s="572"/>
      <c r="N487" s="572"/>
      <c r="O487" s="574"/>
    </row>
    <row r="488" ht="13.5" customHeight="1">
      <c r="A488" s="572"/>
      <c r="B488" s="572"/>
      <c r="C488" s="572"/>
      <c r="D488" s="584"/>
      <c r="E488" s="570"/>
      <c r="F488" s="570"/>
      <c r="G488" s="572"/>
      <c r="H488" s="572"/>
      <c r="I488" s="572"/>
      <c r="J488" s="572"/>
      <c r="K488" s="572"/>
      <c r="L488" s="572"/>
      <c r="M488" s="572"/>
      <c r="N488" s="572"/>
      <c r="O488" s="574"/>
    </row>
    <row r="489" ht="13.5" customHeight="1">
      <c r="A489" s="572"/>
      <c r="B489" s="572"/>
      <c r="C489" s="572"/>
      <c r="D489" s="584"/>
      <c r="E489" s="570"/>
      <c r="F489" s="570"/>
      <c r="G489" s="572"/>
      <c r="H489" s="572"/>
      <c r="I489" s="572"/>
      <c r="J489" s="572"/>
      <c r="K489" s="572"/>
      <c r="L489" s="572"/>
      <c r="M489" s="572"/>
      <c r="N489" s="572"/>
      <c r="O489" s="574"/>
    </row>
    <row r="490" ht="13.5" customHeight="1">
      <c r="A490" s="572"/>
      <c r="B490" s="572"/>
      <c r="C490" s="572"/>
      <c r="D490" s="584"/>
      <c r="E490" s="570"/>
      <c r="F490" s="570"/>
      <c r="G490" s="572"/>
      <c r="H490" s="572"/>
      <c r="I490" s="572"/>
      <c r="J490" s="572"/>
      <c r="K490" s="572"/>
      <c r="L490" s="572"/>
      <c r="M490" s="572"/>
      <c r="N490" s="572"/>
      <c r="O490" s="574"/>
    </row>
    <row r="491" ht="13.5" customHeight="1">
      <c r="A491" s="572"/>
      <c r="B491" s="572"/>
      <c r="C491" s="572"/>
      <c r="D491" s="584"/>
      <c r="E491" s="570"/>
      <c r="F491" s="570"/>
      <c r="G491" s="572"/>
      <c r="H491" s="572"/>
      <c r="I491" s="572"/>
      <c r="J491" s="572"/>
      <c r="K491" s="572"/>
      <c r="L491" s="572"/>
      <c r="M491" s="572"/>
      <c r="N491" s="572"/>
      <c r="O491" s="574"/>
    </row>
    <row r="492" ht="13.5" customHeight="1">
      <c r="A492" s="572"/>
      <c r="B492" s="572"/>
      <c r="C492" s="572"/>
      <c r="D492" s="584"/>
      <c r="E492" s="570"/>
      <c r="F492" s="570"/>
      <c r="G492" s="572"/>
      <c r="H492" s="572"/>
      <c r="I492" s="572"/>
      <c r="J492" s="572"/>
      <c r="K492" s="572"/>
      <c r="L492" s="572"/>
      <c r="M492" s="572"/>
      <c r="N492" s="572"/>
      <c r="O492" s="574"/>
    </row>
    <row r="493" ht="13.5" customHeight="1">
      <c r="A493" s="572"/>
      <c r="B493" s="572"/>
      <c r="C493" s="572"/>
      <c r="D493" s="584"/>
      <c r="E493" s="570"/>
      <c r="F493" s="570"/>
      <c r="G493" s="572"/>
      <c r="H493" s="572"/>
      <c r="I493" s="572"/>
      <c r="J493" s="572"/>
      <c r="K493" s="572"/>
      <c r="L493" s="572"/>
      <c r="M493" s="572"/>
      <c r="N493" s="572"/>
      <c r="O493" s="574"/>
    </row>
    <row r="494" ht="13.5" customHeight="1">
      <c r="A494" s="572"/>
      <c r="B494" s="572"/>
      <c r="C494" s="572"/>
      <c r="D494" s="584"/>
      <c r="E494" s="570"/>
      <c r="F494" s="570"/>
      <c r="G494" s="572"/>
      <c r="H494" s="572"/>
      <c r="I494" s="572"/>
      <c r="J494" s="572"/>
      <c r="K494" s="572"/>
      <c r="L494" s="572"/>
      <c r="M494" s="572"/>
      <c r="N494" s="572"/>
      <c r="O494" s="574"/>
    </row>
    <row r="495" ht="13.5" customHeight="1">
      <c r="A495" s="572"/>
      <c r="B495" s="572"/>
      <c r="C495" s="572"/>
      <c r="D495" s="584"/>
      <c r="E495" s="570"/>
      <c r="F495" s="570"/>
      <c r="G495" s="572"/>
      <c r="H495" s="572"/>
      <c r="I495" s="572"/>
      <c r="J495" s="572"/>
      <c r="K495" s="572"/>
      <c r="L495" s="572"/>
      <c r="M495" s="572"/>
      <c r="N495" s="572"/>
      <c r="O495" s="574"/>
    </row>
    <row r="496" ht="13.5" customHeight="1">
      <c r="A496" s="572"/>
      <c r="B496" s="572"/>
      <c r="C496" s="572"/>
      <c r="D496" s="584"/>
      <c r="E496" s="570"/>
      <c r="F496" s="570"/>
      <c r="G496" s="572"/>
      <c r="H496" s="572"/>
      <c r="I496" s="572"/>
      <c r="J496" s="572"/>
      <c r="K496" s="572"/>
      <c r="L496" s="572"/>
      <c r="M496" s="572"/>
      <c r="N496" s="572"/>
      <c r="O496" s="574"/>
    </row>
    <row r="497" ht="13.5" customHeight="1">
      <c r="A497" s="572"/>
      <c r="B497" s="572"/>
      <c r="C497" s="572"/>
      <c r="D497" s="584"/>
      <c r="E497" s="570"/>
      <c r="F497" s="570"/>
      <c r="G497" s="572"/>
      <c r="H497" s="572"/>
      <c r="I497" s="572"/>
      <c r="J497" s="572"/>
      <c r="K497" s="572"/>
      <c r="L497" s="572"/>
      <c r="M497" s="572"/>
      <c r="N497" s="572"/>
      <c r="O497" s="574"/>
    </row>
    <row r="498" ht="13.5" customHeight="1">
      <c r="A498" s="572"/>
      <c r="B498" s="572"/>
      <c r="C498" s="572"/>
      <c r="D498" s="584"/>
      <c r="E498" s="570"/>
      <c r="F498" s="570"/>
      <c r="G498" s="572"/>
      <c r="H498" s="572"/>
      <c r="I498" s="572"/>
      <c r="J498" s="572"/>
      <c r="K498" s="572"/>
      <c r="L498" s="572"/>
      <c r="M498" s="572"/>
      <c r="N498" s="572"/>
      <c r="O498" s="574"/>
    </row>
    <row r="499" ht="13.5" customHeight="1">
      <c r="A499" s="572"/>
      <c r="B499" s="572"/>
      <c r="C499" s="572"/>
      <c r="D499" s="584"/>
      <c r="E499" s="570"/>
      <c r="F499" s="570"/>
      <c r="G499" s="572"/>
      <c r="H499" s="572"/>
      <c r="I499" s="572"/>
      <c r="J499" s="572"/>
      <c r="K499" s="572"/>
      <c r="L499" s="572"/>
      <c r="M499" s="572"/>
      <c r="N499" s="572"/>
      <c r="O499" s="574"/>
    </row>
    <row r="500" ht="13.5" customHeight="1">
      <c r="A500" s="572"/>
      <c r="B500" s="572"/>
      <c r="C500" s="572"/>
      <c r="D500" s="584"/>
      <c r="E500" s="570"/>
      <c r="F500" s="570"/>
      <c r="G500" s="572"/>
      <c r="H500" s="572"/>
      <c r="I500" s="572"/>
      <c r="J500" s="572"/>
      <c r="K500" s="572"/>
      <c r="L500" s="572"/>
      <c r="M500" s="572"/>
      <c r="N500" s="572"/>
      <c r="O500" s="574"/>
    </row>
    <row r="501" ht="13.5" customHeight="1">
      <c r="A501" s="572"/>
      <c r="B501" s="572"/>
      <c r="C501" s="572"/>
      <c r="D501" s="584"/>
      <c r="E501" s="570"/>
      <c r="F501" s="570"/>
      <c r="G501" s="572"/>
      <c r="H501" s="572"/>
      <c r="I501" s="572"/>
      <c r="J501" s="572"/>
      <c r="K501" s="572"/>
      <c r="L501" s="572"/>
      <c r="M501" s="572"/>
      <c r="N501" s="572"/>
      <c r="O501" s="574"/>
    </row>
    <row r="502" ht="13.5" customHeight="1">
      <c r="A502" s="572"/>
      <c r="B502" s="572"/>
      <c r="C502" s="572"/>
      <c r="D502" s="584"/>
      <c r="E502" s="570"/>
      <c r="F502" s="570"/>
      <c r="G502" s="572"/>
      <c r="H502" s="572"/>
      <c r="I502" s="572"/>
      <c r="J502" s="572"/>
      <c r="K502" s="572"/>
      <c r="L502" s="572"/>
      <c r="M502" s="572"/>
      <c r="N502" s="572"/>
      <c r="O502" s="574"/>
    </row>
    <row r="503" ht="13.5" customHeight="1">
      <c r="A503" s="572"/>
      <c r="B503" s="572"/>
      <c r="C503" s="572"/>
      <c r="D503" s="584"/>
      <c r="E503" s="570"/>
      <c r="F503" s="570"/>
      <c r="G503" s="572"/>
      <c r="H503" s="572"/>
      <c r="I503" s="572"/>
      <c r="J503" s="572"/>
      <c r="K503" s="572"/>
      <c r="L503" s="572"/>
      <c r="M503" s="572"/>
      <c r="N503" s="572"/>
      <c r="O503" s="574"/>
    </row>
    <row r="504" ht="13.5" customHeight="1">
      <c r="A504" s="572"/>
      <c r="B504" s="572"/>
      <c r="C504" s="572"/>
      <c r="D504" s="584"/>
      <c r="E504" s="570"/>
      <c r="F504" s="570"/>
      <c r="G504" s="572"/>
      <c r="H504" s="572"/>
      <c r="I504" s="572"/>
      <c r="J504" s="572"/>
      <c r="K504" s="572"/>
      <c r="L504" s="572"/>
      <c r="M504" s="572"/>
      <c r="N504" s="572"/>
      <c r="O504" s="574"/>
    </row>
    <row r="505" ht="13.5" customHeight="1">
      <c r="A505" s="572"/>
      <c r="B505" s="572"/>
      <c r="C505" s="572"/>
      <c r="D505" s="584"/>
      <c r="E505" s="570"/>
      <c r="F505" s="570"/>
      <c r="G505" s="572"/>
      <c r="H505" s="572"/>
      <c r="I505" s="572"/>
      <c r="J505" s="572"/>
      <c r="K505" s="572"/>
      <c r="L505" s="572"/>
      <c r="M505" s="572"/>
      <c r="N505" s="572"/>
      <c r="O505" s="574"/>
    </row>
    <row r="506" ht="13.5" customHeight="1">
      <c r="A506" s="572"/>
      <c r="B506" s="572"/>
      <c r="C506" s="572"/>
      <c r="D506" s="584"/>
      <c r="E506" s="570"/>
      <c r="F506" s="570"/>
      <c r="G506" s="572"/>
      <c r="H506" s="572"/>
      <c r="I506" s="572"/>
      <c r="J506" s="572"/>
      <c r="K506" s="572"/>
      <c r="L506" s="572"/>
      <c r="M506" s="572"/>
      <c r="N506" s="572"/>
      <c r="O506" s="574"/>
    </row>
    <row r="507" ht="13.5" customHeight="1">
      <c r="A507" s="572"/>
      <c r="B507" s="572"/>
      <c r="C507" s="572"/>
      <c r="D507" s="584"/>
      <c r="E507" s="570"/>
      <c r="F507" s="570"/>
      <c r="G507" s="572"/>
      <c r="H507" s="572"/>
      <c r="I507" s="572"/>
      <c r="J507" s="572"/>
      <c r="K507" s="572"/>
      <c r="L507" s="572"/>
      <c r="M507" s="572"/>
      <c r="N507" s="572"/>
      <c r="O507" s="574"/>
    </row>
    <row r="508" ht="13.5" customHeight="1">
      <c r="A508" s="572"/>
      <c r="B508" s="572"/>
      <c r="C508" s="572"/>
      <c r="D508" s="584"/>
      <c r="E508" s="570"/>
      <c r="F508" s="570"/>
      <c r="G508" s="572"/>
      <c r="H508" s="572"/>
      <c r="I508" s="572"/>
      <c r="J508" s="572"/>
      <c r="K508" s="572"/>
      <c r="L508" s="572"/>
      <c r="M508" s="572"/>
      <c r="N508" s="572"/>
      <c r="O508" s="574"/>
    </row>
    <row r="509" ht="13.5" customHeight="1">
      <c r="A509" s="572"/>
      <c r="B509" s="572"/>
      <c r="C509" s="572"/>
      <c r="D509" s="584"/>
      <c r="E509" s="570"/>
      <c r="F509" s="570"/>
      <c r="G509" s="572"/>
      <c r="H509" s="572"/>
      <c r="I509" s="572"/>
      <c r="J509" s="572"/>
      <c r="K509" s="572"/>
      <c r="L509" s="572"/>
      <c r="M509" s="572"/>
      <c r="N509" s="572"/>
      <c r="O509" s="574"/>
    </row>
    <row r="510" ht="13.5" customHeight="1">
      <c r="A510" s="572"/>
      <c r="B510" s="572"/>
      <c r="C510" s="572"/>
      <c r="D510" s="584"/>
      <c r="E510" s="570"/>
      <c r="F510" s="570"/>
      <c r="G510" s="572"/>
      <c r="H510" s="572"/>
      <c r="I510" s="572"/>
      <c r="J510" s="572"/>
      <c r="K510" s="572"/>
      <c r="L510" s="572"/>
      <c r="M510" s="572"/>
      <c r="N510" s="572"/>
      <c r="O510" s="574"/>
    </row>
    <row r="511" ht="13.5" customHeight="1">
      <c r="A511" s="572"/>
      <c r="B511" s="572"/>
      <c r="C511" s="572"/>
      <c r="D511" s="584"/>
      <c r="E511" s="570"/>
      <c r="F511" s="570"/>
      <c r="G511" s="572"/>
      <c r="H511" s="572"/>
      <c r="I511" s="572"/>
      <c r="J511" s="572"/>
      <c r="K511" s="572"/>
      <c r="L511" s="572"/>
      <c r="M511" s="572"/>
      <c r="N511" s="572"/>
      <c r="O511" s="574"/>
    </row>
    <row r="512" ht="13.5" customHeight="1">
      <c r="A512" s="572"/>
      <c r="B512" s="572"/>
      <c r="C512" s="572"/>
      <c r="D512" s="584"/>
      <c r="E512" s="570"/>
      <c r="F512" s="570"/>
      <c r="G512" s="572"/>
      <c r="H512" s="572"/>
      <c r="I512" s="572"/>
      <c r="J512" s="572"/>
      <c r="K512" s="572"/>
      <c r="L512" s="572"/>
      <c r="M512" s="572"/>
      <c r="N512" s="572"/>
      <c r="O512" s="574"/>
    </row>
    <row r="513" ht="13.5" customHeight="1">
      <c r="A513" s="572"/>
      <c r="B513" s="572"/>
      <c r="C513" s="572"/>
      <c r="D513" s="584"/>
      <c r="E513" s="570"/>
      <c r="F513" s="570"/>
      <c r="G513" s="572"/>
      <c r="H513" s="572"/>
      <c r="I513" s="572"/>
      <c r="J513" s="572"/>
      <c r="K513" s="572"/>
      <c r="L513" s="572"/>
      <c r="M513" s="572"/>
      <c r="N513" s="572"/>
      <c r="O513" s="574"/>
    </row>
    <row r="514" ht="13.5" customHeight="1">
      <c r="A514" s="572"/>
      <c r="B514" s="572"/>
      <c r="C514" s="572"/>
      <c r="D514" s="584"/>
      <c r="E514" s="570"/>
      <c r="F514" s="570"/>
      <c r="G514" s="572"/>
      <c r="H514" s="572"/>
      <c r="I514" s="572"/>
      <c r="J514" s="572"/>
      <c r="K514" s="572"/>
      <c r="L514" s="572"/>
      <c r="M514" s="572"/>
      <c r="N514" s="572"/>
      <c r="O514" s="574"/>
    </row>
    <row r="515" ht="13.5" customHeight="1">
      <c r="A515" s="572"/>
      <c r="B515" s="572"/>
      <c r="C515" s="572"/>
      <c r="D515" s="584"/>
      <c r="E515" s="570"/>
      <c r="F515" s="570"/>
      <c r="G515" s="572"/>
      <c r="H515" s="572"/>
      <c r="I515" s="572"/>
      <c r="J515" s="572"/>
      <c r="K515" s="572"/>
      <c r="L515" s="572"/>
      <c r="M515" s="572"/>
      <c r="N515" s="572"/>
      <c r="O515" s="574"/>
    </row>
    <row r="516" ht="13.5" customHeight="1">
      <c r="A516" s="572"/>
      <c r="B516" s="572"/>
      <c r="C516" s="572"/>
      <c r="D516" s="584"/>
      <c r="E516" s="570"/>
      <c r="F516" s="570"/>
      <c r="G516" s="572"/>
      <c r="H516" s="572"/>
      <c r="I516" s="572"/>
      <c r="J516" s="572"/>
      <c r="K516" s="572"/>
      <c r="L516" s="572"/>
      <c r="M516" s="572"/>
      <c r="N516" s="572"/>
      <c r="O516" s="574"/>
    </row>
    <row r="517" ht="13.5" customHeight="1">
      <c r="A517" s="572"/>
      <c r="B517" s="572"/>
      <c r="C517" s="572"/>
      <c r="D517" s="584"/>
      <c r="E517" s="570"/>
      <c r="F517" s="570"/>
      <c r="G517" s="572"/>
      <c r="H517" s="572"/>
      <c r="I517" s="572"/>
      <c r="J517" s="572"/>
      <c r="K517" s="572"/>
      <c r="L517" s="572"/>
      <c r="M517" s="572"/>
      <c r="N517" s="572"/>
      <c r="O517" s="574"/>
    </row>
    <row r="518" ht="13.5" customHeight="1">
      <c r="A518" s="572"/>
      <c r="B518" s="572"/>
      <c r="C518" s="572"/>
      <c r="D518" s="584"/>
      <c r="E518" s="570"/>
      <c r="F518" s="570"/>
      <c r="G518" s="572"/>
      <c r="H518" s="572"/>
      <c r="I518" s="572"/>
      <c r="J518" s="572"/>
      <c r="K518" s="572"/>
      <c r="L518" s="572"/>
      <c r="M518" s="572"/>
      <c r="N518" s="572"/>
      <c r="O518" s="574"/>
    </row>
    <row r="519" ht="13.5" customHeight="1">
      <c r="A519" s="572"/>
      <c r="B519" s="572"/>
      <c r="C519" s="572"/>
      <c r="D519" s="584"/>
      <c r="E519" s="570"/>
      <c r="F519" s="570"/>
      <c r="G519" s="572"/>
      <c r="H519" s="572"/>
      <c r="I519" s="572"/>
      <c r="J519" s="572"/>
      <c r="K519" s="572"/>
      <c r="L519" s="572"/>
      <c r="M519" s="572"/>
      <c r="N519" s="572"/>
      <c r="O519" s="574"/>
    </row>
    <row r="520" ht="13.5" customHeight="1">
      <c r="A520" s="572"/>
      <c r="B520" s="572"/>
      <c r="C520" s="572"/>
      <c r="D520" s="584"/>
      <c r="E520" s="570"/>
      <c r="F520" s="570"/>
      <c r="G520" s="572"/>
      <c r="H520" s="572"/>
      <c r="I520" s="572"/>
      <c r="J520" s="572"/>
      <c r="K520" s="572"/>
      <c r="L520" s="572"/>
      <c r="M520" s="572"/>
      <c r="N520" s="572"/>
      <c r="O520" s="574"/>
    </row>
    <row r="521" ht="13.5" customHeight="1">
      <c r="A521" s="572"/>
      <c r="B521" s="572"/>
      <c r="C521" s="572"/>
      <c r="D521" s="584"/>
      <c r="E521" s="570"/>
      <c r="F521" s="570"/>
      <c r="G521" s="572"/>
      <c r="H521" s="572"/>
      <c r="I521" s="572"/>
      <c r="J521" s="572"/>
      <c r="K521" s="572"/>
      <c r="L521" s="572"/>
      <c r="M521" s="572"/>
      <c r="N521" s="572"/>
      <c r="O521" s="574"/>
    </row>
    <row r="522" ht="13.5" customHeight="1">
      <c r="A522" s="572"/>
      <c r="B522" s="572"/>
      <c r="C522" s="572"/>
      <c r="D522" s="584"/>
      <c r="E522" s="570"/>
      <c r="F522" s="570"/>
      <c r="G522" s="572"/>
      <c r="H522" s="572"/>
      <c r="I522" s="572"/>
      <c r="J522" s="572"/>
      <c r="K522" s="572"/>
      <c r="L522" s="572"/>
      <c r="M522" s="572"/>
      <c r="N522" s="572"/>
      <c r="O522" s="574"/>
    </row>
    <row r="523" ht="13.5" customHeight="1">
      <c r="A523" s="572"/>
      <c r="B523" s="572"/>
      <c r="C523" s="572"/>
      <c r="D523" s="584"/>
      <c r="E523" s="570"/>
      <c r="F523" s="570"/>
      <c r="G523" s="572"/>
      <c r="H523" s="572"/>
      <c r="I523" s="572"/>
      <c r="J523" s="572"/>
      <c r="K523" s="572"/>
      <c r="L523" s="572"/>
      <c r="M523" s="572"/>
      <c r="N523" s="572"/>
      <c r="O523" s="574"/>
    </row>
    <row r="524" ht="13.5" customHeight="1">
      <c r="A524" s="572"/>
      <c r="B524" s="572"/>
      <c r="C524" s="572"/>
      <c r="D524" s="584"/>
      <c r="E524" s="570"/>
      <c r="F524" s="570"/>
      <c r="G524" s="572"/>
      <c r="H524" s="572"/>
      <c r="I524" s="572"/>
      <c r="J524" s="572"/>
      <c r="K524" s="572"/>
      <c r="L524" s="572"/>
      <c r="M524" s="572"/>
      <c r="N524" s="572"/>
      <c r="O524" s="574"/>
    </row>
    <row r="525" ht="13.5" customHeight="1">
      <c r="A525" s="572"/>
      <c r="B525" s="572"/>
      <c r="C525" s="572"/>
      <c r="D525" s="584"/>
      <c r="E525" s="570"/>
      <c r="F525" s="570"/>
      <c r="G525" s="572"/>
      <c r="H525" s="572"/>
      <c r="I525" s="572"/>
      <c r="J525" s="572"/>
      <c r="K525" s="572"/>
      <c r="L525" s="572"/>
      <c r="M525" s="572"/>
      <c r="N525" s="572"/>
      <c r="O525" s="574"/>
    </row>
    <row r="526" ht="13.5" customHeight="1">
      <c r="A526" s="572"/>
      <c r="B526" s="572"/>
      <c r="C526" s="572"/>
      <c r="D526" s="584"/>
      <c r="E526" s="570"/>
      <c r="F526" s="570"/>
      <c r="G526" s="572"/>
      <c r="H526" s="572"/>
      <c r="I526" s="572"/>
      <c r="J526" s="572"/>
      <c r="K526" s="572"/>
      <c r="L526" s="572"/>
      <c r="M526" s="572"/>
      <c r="N526" s="572"/>
      <c r="O526" s="574"/>
    </row>
    <row r="527" ht="13.5" customHeight="1">
      <c r="A527" s="572"/>
      <c r="B527" s="572"/>
      <c r="C527" s="572"/>
      <c r="D527" s="584"/>
      <c r="E527" s="570"/>
      <c r="F527" s="570"/>
      <c r="G527" s="572"/>
      <c r="H527" s="572"/>
      <c r="I527" s="572"/>
      <c r="J527" s="572"/>
      <c r="K527" s="572"/>
      <c r="L527" s="572"/>
      <c r="M527" s="572"/>
      <c r="N527" s="572"/>
      <c r="O527" s="574"/>
    </row>
    <row r="528" ht="13.5" customHeight="1">
      <c r="A528" s="572"/>
      <c r="B528" s="572"/>
      <c r="C528" s="572"/>
      <c r="D528" s="584"/>
      <c r="E528" s="570"/>
      <c r="F528" s="570"/>
      <c r="G528" s="572"/>
      <c r="H528" s="572"/>
      <c r="I528" s="572"/>
      <c r="J528" s="572"/>
      <c r="K528" s="572"/>
      <c r="L528" s="572"/>
      <c r="M528" s="572"/>
      <c r="N528" s="572"/>
      <c r="O528" s="574"/>
    </row>
    <row r="529" ht="13.5" customHeight="1">
      <c r="A529" s="572"/>
      <c r="B529" s="572"/>
      <c r="C529" s="572"/>
      <c r="D529" s="584"/>
      <c r="E529" s="570"/>
      <c r="F529" s="570"/>
      <c r="G529" s="572"/>
      <c r="H529" s="572"/>
      <c r="I529" s="572"/>
      <c r="J529" s="572"/>
      <c r="K529" s="572"/>
      <c r="L529" s="572"/>
      <c r="M529" s="572"/>
      <c r="N529" s="572"/>
      <c r="O529" s="574"/>
    </row>
    <row r="530" ht="13.5" customHeight="1">
      <c r="A530" s="572"/>
      <c r="B530" s="572"/>
      <c r="C530" s="572"/>
      <c r="D530" s="584"/>
      <c r="E530" s="570"/>
      <c r="F530" s="570"/>
      <c r="G530" s="572"/>
      <c r="H530" s="572"/>
      <c r="I530" s="572"/>
      <c r="J530" s="572"/>
      <c r="K530" s="572"/>
      <c r="L530" s="572"/>
      <c r="M530" s="572"/>
      <c r="N530" s="572"/>
      <c r="O530" s="574"/>
    </row>
    <row r="531" ht="13.5" customHeight="1">
      <c r="A531" s="572"/>
      <c r="B531" s="572"/>
      <c r="C531" s="572"/>
      <c r="D531" s="584"/>
      <c r="E531" s="570"/>
      <c r="F531" s="570"/>
      <c r="G531" s="572"/>
      <c r="H531" s="572"/>
      <c r="I531" s="572"/>
      <c r="J531" s="572"/>
      <c r="K531" s="572"/>
      <c r="L531" s="572"/>
      <c r="M531" s="572"/>
      <c r="N531" s="572"/>
      <c r="O531" s="574"/>
    </row>
    <row r="532" ht="13.5" customHeight="1">
      <c r="A532" s="572"/>
      <c r="B532" s="572"/>
      <c r="C532" s="572"/>
      <c r="D532" s="584"/>
      <c r="E532" s="570"/>
      <c r="F532" s="570"/>
      <c r="G532" s="572"/>
      <c r="H532" s="572"/>
      <c r="I532" s="572"/>
      <c r="J532" s="572"/>
      <c r="K532" s="572"/>
      <c r="L532" s="572"/>
      <c r="M532" s="572"/>
      <c r="N532" s="572"/>
      <c r="O532" s="574"/>
    </row>
    <row r="533" ht="13.5" customHeight="1">
      <c r="A533" s="572"/>
      <c r="B533" s="572"/>
      <c r="C533" s="572"/>
      <c r="D533" s="584"/>
      <c r="E533" s="570"/>
      <c r="F533" s="570"/>
      <c r="G533" s="572"/>
      <c r="H533" s="572"/>
      <c r="I533" s="572"/>
      <c r="J533" s="572"/>
      <c r="K533" s="572"/>
      <c r="L533" s="572"/>
      <c r="M533" s="572"/>
      <c r="N533" s="572"/>
      <c r="O533" s="574"/>
    </row>
    <row r="534" ht="13.5" customHeight="1">
      <c r="A534" s="572"/>
      <c r="B534" s="572"/>
      <c r="C534" s="572"/>
      <c r="D534" s="584"/>
      <c r="E534" s="570"/>
      <c r="F534" s="570"/>
      <c r="G534" s="572"/>
      <c r="H534" s="572"/>
      <c r="I534" s="572"/>
      <c r="J534" s="572"/>
      <c r="K534" s="572"/>
      <c r="L534" s="572"/>
      <c r="M534" s="572"/>
      <c r="N534" s="572"/>
      <c r="O534" s="574"/>
    </row>
    <row r="535" ht="13.5" customHeight="1">
      <c r="A535" s="572"/>
      <c r="B535" s="572"/>
      <c r="C535" s="572"/>
      <c r="D535" s="584"/>
      <c r="E535" s="570"/>
      <c r="F535" s="570"/>
      <c r="G535" s="572"/>
      <c r="H535" s="572"/>
      <c r="I535" s="572"/>
      <c r="J535" s="572"/>
      <c r="K535" s="572"/>
      <c r="L535" s="572"/>
      <c r="M535" s="572"/>
      <c r="N535" s="572"/>
      <c r="O535" s="574"/>
    </row>
    <row r="536" ht="13.5" customHeight="1">
      <c r="A536" s="572"/>
      <c r="B536" s="572"/>
      <c r="C536" s="572"/>
      <c r="D536" s="584"/>
      <c r="E536" s="570"/>
      <c r="F536" s="570"/>
      <c r="G536" s="572"/>
      <c r="H536" s="572"/>
      <c r="I536" s="572"/>
      <c r="J536" s="572"/>
      <c r="K536" s="572"/>
      <c r="L536" s="572"/>
      <c r="M536" s="572"/>
      <c r="N536" s="572"/>
      <c r="O536" s="574"/>
    </row>
    <row r="537" ht="13.5" customHeight="1">
      <c r="A537" s="572"/>
      <c r="B537" s="572"/>
      <c r="C537" s="572"/>
      <c r="D537" s="584"/>
      <c r="E537" s="570"/>
      <c r="F537" s="570"/>
      <c r="G537" s="572"/>
      <c r="H537" s="572"/>
      <c r="I537" s="572"/>
      <c r="J537" s="572"/>
      <c r="K537" s="572"/>
      <c r="L537" s="572"/>
      <c r="M537" s="572"/>
      <c r="N537" s="572"/>
      <c r="O537" s="574"/>
    </row>
    <row r="538" ht="13.5" customHeight="1">
      <c r="A538" s="572"/>
      <c r="B538" s="572"/>
      <c r="C538" s="572"/>
      <c r="D538" s="584"/>
      <c r="E538" s="570"/>
      <c r="F538" s="570"/>
      <c r="G538" s="572"/>
      <c r="H538" s="572"/>
      <c r="I538" s="572"/>
      <c r="J538" s="572"/>
      <c r="K538" s="572"/>
      <c r="L538" s="572"/>
      <c r="M538" s="572"/>
      <c r="N538" s="572"/>
      <c r="O538" s="574"/>
    </row>
    <row r="539" ht="13.5" customHeight="1">
      <c r="A539" s="572"/>
      <c r="B539" s="572"/>
      <c r="C539" s="572"/>
      <c r="D539" s="584"/>
      <c r="E539" s="570"/>
      <c r="F539" s="570"/>
      <c r="G539" s="572"/>
      <c r="H539" s="572"/>
      <c r="I539" s="572"/>
      <c r="J539" s="572"/>
      <c r="K539" s="572"/>
      <c r="L539" s="572"/>
      <c r="M539" s="572"/>
      <c r="N539" s="572"/>
      <c r="O539" s="574"/>
    </row>
    <row r="540" ht="13.5" customHeight="1">
      <c r="A540" s="572"/>
      <c r="B540" s="572"/>
      <c r="C540" s="572"/>
      <c r="D540" s="584"/>
      <c r="E540" s="570"/>
      <c r="F540" s="570"/>
      <c r="G540" s="572"/>
      <c r="H540" s="572"/>
      <c r="I540" s="572"/>
      <c r="J540" s="572"/>
      <c r="K540" s="572"/>
      <c r="L540" s="572"/>
      <c r="M540" s="572"/>
      <c r="N540" s="572"/>
      <c r="O540" s="574"/>
    </row>
    <row r="541" ht="13.5" customHeight="1">
      <c r="A541" s="572"/>
      <c r="B541" s="572"/>
      <c r="C541" s="572"/>
      <c r="D541" s="584"/>
      <c r="E541" s="570"/>
      <c r="F541" s="570"/>
      <c r="G541" s="572"/>
      <c r="H541" s="572"/>
      <c r="I541" s="572"/>
      <c r="J541" s="572"/>
      <c r="K541" s="572"/>
      <c r="L541" s="572"/>
      <c r="M541" s="572"/>
      <c r="N541" s="572"/>
      <c r="O541" s="574"/>
    </row>
    <row r="542" ht="13.5" customHeight="1">
      <c r="A542" s="572"/>
      <c r="B542" s="572"/>
      <c r="C542" s="572"/>
      <c r="D542" s="584"/>
      <c r="E542" s="570"/>
      <c r="F542" s="570"/>
      <c r="G542" s="572"/>
      <c r="H542" s="572"/>
      <c r="I542" s="572"/>
      <c r="J542" s="572"/>
      <c r="K542" s="572"/>
      <c r="L542" s="572"/>
      <c r="M542" s="572"/>
      <c r="N542" s="572"/>
      <c r="O542" s="574"/>
    </row>
    <row r="543" ht="13.5" customHeight="1">
      <c r="A543" s="572"/>
      <c r="B543" s="572"/>
      <c r="C543" s="572"/>
      <c r="D543" s="584"/>
      <c r="E543" s="570"/>
      <c r="F543" s="570"/>
      <c r="G543" s="572"/>
      <c r="H543" s="572"/>
      <c r="I543" s="572"/>
      <c r="J543" s="572"/>
      <c r="K543" s="572"/>
      <c r="L543" s="572"/>
      <c r="M543" s="572"/>
      <c r="N543" s="572"/>
      <c r="O543" s="574"/>
    </row>
    <row r="544" ht="13.5" customHeight="1">
      <c r="A544" s="572"/>
      <c r="B544" s="572"/>
      <c r="C544" s="572"/>
      <c r="D544" s="584"/>
      <c r="E544" s="570"/>
      <c r="F544" s="570"/>
      <c r="G544" s="572"/>
      <c r="H544" s="572"/>
      <c r="I544" s="572"/>
      <c r="J544" s="572"/>
      <c r="K544" s="572"/>
      <c r="L544" s="572"/>
      <c r="M544" s="572"/>
      <c r="N544" s="572"/>
      <c r="O544" s="574"/>
    </row>
    <row r="545" ht="13.5" customHeight="1">
      <c r="A545" s="572"/>
      <c r="B545" s="572"/>
      <c r="C545" s="572"/>
      <c r="D545" s="584"/>
      <c r="E545" s="570"/>
      <c r="F545" s="570"/>
      <c r="G545" s="572"/>
      <c r="H545" s="572"/>
      <c r="I545" s="572"/>
      <c r="J545" s="572"/>
      <c r="K545" s="572"/>
      <c r="L545" s="572"/>
      <c r="M545" s="572"/>
      <c r="N545" s="572"/>
      <c r="O545" s="574"/>
    </row>
    <row r="546" ht="13.5" customHeight="1">
      <c r="A546" s="572"/>
      <c r="B546" s="572"/>
      <c r="C546" s="572"/>
      <c r="D546" s="584"/>
      <c r="E546" s="570"/>
      <c r="F546" s="570"/>
      <c r="G546" s="572"/>
      <c r="H546" s="572"/>
      <c r="I546" s="572"/>
      <c r="J546" s="572"/>
      <c r="K546" s="572"/>
      <c r="L546" s="572"/>
      <c r="M546" s="572"/>
      <c r="N546" s="572"/>
      <c r="O546" s="574"/>
    </row>
    <row r="547" ht="13.5" customHeight="1">
      <c r="A547" s="572"/>
      <c r="B547" s="572"/>
      <c r="C547" s="572"/>
      <c r="D547" s="584"/>
      <c r="E547" s="570"/>
      <c r="F547" s="570"/>
      <c r="G547" s="572"/>
      <c r="H547" s="572"/>
      <c r="I547" s="572"/>
      <c r="J547" s="572"/>
      <c r="K547" s="572"/>
      <c r="L547" s="572"/>
      <c r="M547" s="572"/>
      <c r="N547" s="572"/>
      <c r="O547" s="574"/>
    </row>
    <row r="548" ht="13.5" customHeight="1">
      <c r="A548" s="572"/>
      <c r="B548" s="572"/>
      <c r="C548" s="572"/>
      <c r="D548" s="584"/>
      <c r="E548" s="570"/>
      <c r="F548" s="570"/>
      <c r="G548" s="572"/>
      <c r="H548" s="572"/>
      <c r="I548" s="572"/>
      <c r="J548" s="572"/>
      <c r="K548" s="572"/>
      <c r="L548" s="572"/>
      <c r="M548" s="572"/>
      <c r="N548" s="572"/>
      <c r="O548" s="574"/>
    </row>
    <row r="549" ht="13.5" customHeight="1">
      <c r="A549" s="572"/>
      <c r="B549" s="572"/>
      <c r="C549" s="572"/>
      <c r="D549" s="584"/>
      <c r="E549" s="570"/>
      <c r="F549" s="570"/>
      <c r="G549" s="572"/>
      <c r="H549" s="572"/>
      <c r="I549" s="572"/>
      <c r="J549" s="572"/>
      <c r="K549" s="572"/>
      <c r="L549" s="572"/>
      <c r="M549" s="572"/>
      <c r="N549" s="572"/>
      <c r="O549" s="574"/>
    </row>
    <row r="550" ht="13.5" customHeight="1">
      <c r="A550" s="572"/>
      <c r="B550" s="572"/>
      <c r="C550" s="572"/>
      <c r="D550" s="584"/>
      <c r="E550" s="570"/>
      <c r="F550" s="570"/>
      <c r="G550" s="572"/>
      <c r="H550" s="572"/>
      <c r="I550" s="572"/>
      <c r="J550" s="572"/>
      <c r="K550" s="572"/>
      <c r="L550" s="572"/>
      <c r="M550" s="572"/>
      <c r="N550" s="572"/>
      <c r="O550" s="574"/>
    </row>
    <row r="551" ht="13.5" customHeight="1">
      <c r="A551" s="572"/>
      <c r="B551" s="572"/>
      <c r="C551" s="572"/>
      <c r="D551" s="584"/>
      <c r="E551" s="570"/>
      <c r="F551" s="570"/>
      <c r="G551" s="572"/>
      <c r="H551" s="572"/>
      <c r="I551" s="572"/>
      <c r="J551" s="572"/>
      <c r="K551" s="572"/>
      <c r="L551" s="572"/>
      <c r="M551" s="572"/>
      <c r="N551" s="572"/>
      <c r="O551" s="574"/>
    </row>
    <row r="552" ht="13.5" customHeight="1">
      <c r="A552" s="572"/>
      <c r="B552" s="572"/>
      <c r="C552" s="572"/>
      <c r="D552" s="584"/>
      <c r="E552" s="570"/>
      <c r="F552" s="570"/>
      <c r="G552" s="572"/>
      <c r="H552" s="572"/>
      <c r="I552" s="572"/>
      <c r="J552" s="572"/>
      <c r="K552" s="572"/>
      <c r="L552" s="572"/>
      <c r="M552" s="572"/>
      <c r="N552" s="572"/>
      <c r="O552" s="574"/>
    </row>
    <row r="553" ht="13.5" customHeight="1">
      <c r="A553" s="572"/>
      <c r="B553" s="572"/>
      <c r="C553" s="572"/>
      <c r="D553" s="584"/>
      <c r="E553" s="570"/>
      <c r="F553" s="570"/>
      <c r="G553" s="572"/>
      <c r="H553" s="572"/>
      <c r="I553" s="572"/>
      <c r="J553" s="572"/>
      <c r="K553" s="572"/>
      <c r="L553" s="572"/>
      <c r="M553" s="572"/>
      <c r="N553" s="572"/>
      <c r="O553" s="574"/>
    </row>
    <row r="554" ht="13.5" customHeight="1">
      <c r="A554" s="572"/>
      <c r="B554" s="572"/>
      <c r="C554" s="572"/>
      <c r="D554" s="584"/>
      <c r="E554" s="570"/>
      <c r="F554" s="570"/>
      <c r="G554" s="572"/>
      <c r="H554" s="572"/>
      <c r="I554" s="572"/>
      <c r="J554" s="572"/>
      <c r="K554" s="572"/>
      <c r="L554" s="572"/>
      <c r="M554" s="572"/>
      <c r="N554" s="572"/>
      <c r="O554" s="574"/>
    </row>
    <row r="555" ht="13.5" customHeight="1">
      <c r="A555" s="572"/>
      <c r="B555" s="572"/>
      <c r="C555" s="572"/>
      <c r="D555" s="584"/>
      <c r="E555" s="570"/>
      <c r="F555" s="570"/>
      <c r="G555" s="572"/>
      <c r="H555" s="572"/>
      <c r="I555" s="572"/>
      <c r="J555" s="572"/>
      <c r="K555" s="572"/>
      <c r="L555" s="572"/>
      <c r="M555" s="572"/>
      <c r="N555" s="572"/>
      <c r="O555" s="574"/>
    </row>
    <row r="556" ht="13.5" customHeight="1">
      <c r="A556" s="572"/>
      <c r="B556" s="572"/>
      <c r="C556" s="572"/>
      <c r="D556" s="584"/>
      <c r="E556" s="570"/>
      <c r="F556" s="570"/>
      <c r="G556" s="572"/>
      <c r="H556" s="572"/>
      <c r="I556" s="572"/>
      <c r="J556" s="572"/>
      <c r="K556" s="572"/>
      <c r="L556" s="572"/>
      <c r="M556" s="572"/>
      <c r="N556" s="572"/>
      <c r="O556" s="574"/>
    </row>
    <row r="557" ht="13.5" customHeight="1">
      <c r="A557" s="572"/>
      <c r="B557" s="572"/>
      <c r="C557" s="572"/>
      <c r="D557" s="584"/>
      <c r="E557" s="570"/>
      <c r="F557" s="570"/>
      <c r="G557" s="572"/>
      <c r="H557" s="572"/>
      <c r="I557" s="572"/>
      <c r="J557" s="572"/>
      <c r="K557" s="572"/>
      <c r="L557" s="572"/>
      <c r="M557" s="572"/>
      <c r="N557" s="572"/>
      <c r="O557" s="574"/>
    </row>
    <row r="558" ht="13.5" customHeight="1">
      <c r="A558" s="572"/>
      <c r="B558" s="572"/>
      <c r="C558" s="572"/>
      <c r="D558" s="584"/>
      <c r="E558" s="570"/>
      <c r="F558" s="570"/>
      <c r="G558" s="572"/>
      <c r="H558" s="572"/>
      <c r="I558" s="572"/>
      <c r="J558" s="572"/>
      <c r="K558" s="572"/>
      <c r="L558" s="572"/>
      <c r="M558" s="572"/>
      <c r="N558" s="572"/>
      <c r="O558" s="574"/>
    </row>
    <row r="559" ht="13.5" customHeight="1">
      <c r="A559" s="572"/>
      <c r="B559" s="572"/>
      <c r="C559" s="572"/>
      <c r="D559" s="584"/>
      <c r="E559" s="570"/>
      <c r="F559" s="570"/>
      <c r="G559" s="572"/>
      <c r="H559" s="572"/>
      <c r="I559" s="572"/>
      <c r="J559" s="572"/>
      <c r="K559" s="572"/>
      <c r="L559" s="572"/>
      <c r="M559" s="572"/>
      <c r="N559" s="572"/>
      <c r="O559" s="574"/>
    </row>
    <row r="560" ht="13.5" customHeight="1">
      <c r="A560" s="572"/>
      <c r="B560" s="572"/>
      <c r="C560" s="572"/>
      <c r="D560" s="584"/>
      <c r="E560" s="570"/>
      <c r="F560" s="570"/>
      <c r="G560" s="572"/>
      <c r="H560" s="572"/>
      <c r="I560" s="572"/>
      <c r="J560" s="572"/>
      <c r="K560" s="572"/>
      <c r="L560" s="572"/>
      <c r="M560" s="572"/>
      <c r="N560" s="572"/>
      <c r="O560" s="574"/>
    </row>
    <row r="561" ht="13.5" customHeight="1">
      <c r="A561" s="572"/>
      <c r="B561" s="572"/>
      <c r="C561" s="572"/>
      <c r="D561" s="584"/>
      <c r="E561" s="570"/>
      <c r="F561" s="570"/>
      <c r="G561" s="572"/>
      <c r="H561" s="572"/>
      <c r="I561" s="572"/>
      <c r="J561" s="572"/>
      <c r="K561" s="572"/>
      <c r="L561" s="572"/>
      <c r="M561" s="572"/>
      <c r="N561" s="572"/>
      <c r="O561" s="574"/>
    </row>
    <row r="562" ht="13.5" customHeight="1">
      <c r="A562" s="572"/>
      <c r="B562" s="572"/>
      <c r="C562" s="572"/>
      <c r="D562" s="584"/>
      <c r="E562" s="570"/>
      <c r="F562" s="570"/>
      <c r="G562" s="572"/>
      <c r="H562" s="572"/>
      <c r="I562" s="572"/>
      <c r="J562" s="572"/>
      <c r="K562" s="572"/>
      <c r="L562" s="572"/>
      <c r="M562" s="572"/>
      <c r="N562" s="572"/>
      <c r="O562" s="574"/>
    </row>
    <row r="563" ht="13.5" customHeight="1">
      <c r="A563" s="572"/>
      <c r="B563" s="572"/>
      <c r="C563" s="572"/>
      <c r="D563" s="584"/>
      <c r="E563" s="570"/>
      <c r="F563" s="570"/>
      <c r="G563" s="572"/>
      <c r="H563" s="572"/>
      <c r="I563" s="572"/>
      <c r="J563" s="572"/>
      <c r="K563" s="572"/>
      <c r="L563" s="572"/>
      <c r="M563" s="572"/>
      <c r="N563" s="572"/>
      <c r="O563" s="574"/>
    </row>
    <row r="564" ht="13.5" customHeight="1">
      <c r="A564" s="572"/>
      <c r="B564" s="572"/>
      <c r="C564" s="572"/>
      <c r="D564" s="584"/>
      <c r="E564" s="570"/>
      <c r="F564" s="570"/>
      <c r="G564" s="572"/>
      <c r="H564" s="572"/>
      <c r="I564" s="572"/>
      <c r="J564" s="572"/>
      <c r="K564" s="572"/>
      <c r="L564" s="572"/>
      <c r="M564" s="572"/>
      <c r="N564" s="572"/>
      <c r="O564" s="574"/>
    </row>
    <row r="565" ht="13.5" customHeight="1">
      <c r="A565" s="572"/>
      <c r="B565" s="572"/>
      <c r="C565" s="572"/>
      <c r="D565" s="584"/>
      <c r="E565" s="570"/>
      <c r="F565" s="570"/>
      <c r="G565" s="572"/>
      <c r="H565" s="572"/>
      <c r="I565" s="572"/>
      <c r="J565" s="572"/>
      <c r="K565" s="572"/>
      <c r="L565" s="572"/>
      <c r="M565" s="572"/>
      <c r="N565" s="572"/>
      <c r="O565" s="574"/>
    </row>
    <row r="566" ht="13.5" customHeight="1">
      <c r="A566" s="572"/>
      <c r="B566" s="572"/>
      <c r="C566" s="572"/>
      <c r="D566" s="584"/>
      <c r="E566" s="570"/>
      <c r="F566" s="570"/>
      <c r="G566" s="572"/>
      <c r="H566" s="572"/>
      <c r="I566" s="572"/>
      <c r="J566" s="572"/>
      <c r="K566" s="572"/>
      <c r="L566" s="572"/>
      <c r="M566" s="572"/>
      <c r="N566" s="572"/>
      <c r="O566" s="574"/>
    </row>
    <row r="567" ht="13.5" customHeight="1">
      <c r="A567" s="572"/>
      <c r="B567" s="572"/>
      <c r="C567" s="572"/>
      <c r="D567" s="584"/>
      <c r="E567" s="570"/>
      <c r="F567" s="570"/>
      <c r="G567" s="572"/>
      <c r="H567" s="572"/>
      <c r="I567" s="572"/>
      <c r="J567" s="572"/>
      <c r="K567" s="572"/>
      <c r="L567" s="572"/>
      <c r="M567" s="572"/>
      <c r="N567" s="572"/>
      <c r="O567" s="574"/>
    </row>
    <row r="568" ht="13.5" customHeight="1">
      <c r="A568" s="572"/>
      <c r="B568" s="572"/>
      <c r="C568" s="572"/>
      <c r="D568" s="584"/>
      <c r="E568" s="570"/>
      <c r="F568" s="570"/>
      <c r="G568" s="572"/>
      <c r="H568" s="572"/>
      <c r="I568" s="572"/>
      <c r="J568" s="572"/>
      <c r="K568" s="572"/>
      <c r="L568" s="572"/>
      <c r="M568" s="572"/>
      <c r="N568" s="572"/>
      <c r="O568" s="574"/>
    </row>
    <row r="569" ht="13.5" customHeight="1">
      <c r="A569" s="572"/>
      <c r="B569" s="572"/>
      <c r="C569" s="572"/>
      <c r="D569" s="584"/>
      <c r="E569" s="570"/>
      <c r="F569" s="570"/>
      <c r="G569" s="572"/>
      <c r="H569" s="572"/>
      <c r="I569" s="572"/>
      <c r="J569" s="572"/>
      <c r="K569" s="572"/>
      <c r="L569" s="572"/>
      <c r="M569" s="572"/>
      <c r="N569" s="572"/>
      <c r="O569" s="574"/>
    </row>
    <row r="570" ht="13.5" customHeight="1">
      <c r="A570" s="572"/>
      <c r="B570" s="572"/>
      <c r="C570" s="572"/>
      <c r="D570" s="584"/>
      <c r="E570" s="570"/>
      <c r="F570" s="570"/>
      <c r="G570" s="572"/>
      <c r="H570" s="572"/>
      <c r="I570" s="572"/>
      <c r="J570" s="572"/>
      <c r="K570" s="572"/>
      <c r="L570" s="572"/>
      <c r="M570" s="572"/>
      <c r="N570" s="572"/>
      <c r="O570" s="574"/>
    </row>
    <row r="571" ht="13.5" customHeight="1">
      <c r="A571" s="572"/>
      <c r="B571" s="572"/>
      <c r="C571" s="572"/>
      <c r="D571" s="584"/>
      <c r="E571" s="570"/>
      <c r="F571" s="570"/>
      <c r="G571" s="572"/>
      <c r="H571" s="572"/>
      <c r="I571" s="572"/>
      <c r="J571" s="572"/>
      <c r="K571" s="572"/>
      <c r="L571" s="572"/>
      <c r="M571" s="572"/>
      <c r="N571" s="572"/>
      <c r="O571" s="574"/>
    </row>
    <row r="572" ht="13.5" customHeight="1">
      <c r="A572" s="572"/>
      <c r="B572" s="572"/>
      <c r="C572" s="572"/>
      <c r="D572" s="584"/>
      <c r="E572" s="570"/>
      <c r="F572" s="570"/>
      <c r="G572" s="572"/>
      <c r="H572" s="572"/>
      <c r="I572" s="572"/>
      <c r="J572" s="572"/>
      <c r="K572" s="572"/>
      <c r="L572" s="572"/>
      <c r="M572" s="572"/>
      <c r="N572" s="572"/>
      <c r="O572" s="574"/>
    </row>
    <row r="573" ht="13.5" customHeight="1">
      <c r="A573" s="572"/>
      <c r="B573" s="572"/>
      <c r="C573" s="572"/>
      <c r="D573" s="584"/>
      <c r="E573" s="570"/>
      <c r="F573" s="570"/>
      <c r="G573" s="572"/>
      <c r="H573" s="572"/>
      <c r="I573" s="572"/>
      <c r="J573" s="572"/>
      <c r="K573" s="572"/>
      <c r="L573" s="572"/>
      <c r="M573" s="572"/>
      <c r="N573" s="572"/>
      <c r="O573" s="574"/>
    </row>
    <row r="574" ht="13.5" customHeight="1">
      <c r="A574" s="572"/>
      <c r="B574" s="572"/>
      <c r="C574" s="572"/>
      <c r="D574" s="584"/>
      <c r="E574" s="570"/>
      <c r="F574" s="570"/>
      <c r="G574" s="572"/>
      <c r="H574" s="572"/>
      <c r="I574" s="572"/>
      <c r="J574" s="572"/>
      <c r="K574" s="572"/>
      <c r="L574" s="572"/>
      <c r="M574" s="572"/>
      <c r="N574" s="572"/>
      <c r="O574" s="574"/>
    </row>
    <row r="575" ht="13.5" customHeight="1">
      <c r="A575" s="572"/>
      <c r="B575" s="572"/>
      <c r="C575" s="572"/>
      <c r="D575" s="584"/>
      <c r="E575" s="570"/>
      <c r="F575" s="570"/>
      <c r="G575" s="572"/>
      <c r="H575" s="572"/>
      <c r="I575" s="572"/>
      <c r="J575" s="572"/>
      <c r="K575" s="572"/>
      <c r="L575" s="572"/>
      <c r="M575" s="572"/>
      <c r="N575" s="572"/>
      <c r="O575" s="574"/>
    </row>
    <row r="576" ht="13.5" customHeight="1">
      <c r="A576" s="572"/>
      <c r="B576" s="572"/>
      <c r="C576" s="572"/>
      <c r="D576" s="584"/>
      <c r="E576" s="570"/>
      <c r="F576" s="570"/>
      <c r="G576" s="572"/>
      <c r="H576" s="572"/>
      <c r="I576" s="572"/>
      <c r="J576" s="572"/>
      <c r="K576" s="572"/>
      <c r="L576" s="572"/>
      <c r="M576" s="572"/>
      <c r="N576" s="572"/>
      <c r="O576" s="574"/>
    </row>
    <row r="577" ht="13.5" customHeight="1">
      <c r="A577" s="572"/>
      <c r="B577" s="572"/>
      <c r="C577" s="572"/>
      <c r="D577" s="584"/>
      <c r="E577" s="570"/>
      <c r="F577" s="570"/>
      <c r="G577" s="572"/>
      <c r="H577" s="572"/>
      <c r="I577" s="572"/>
      <c r="J577" s="572"/>
      <c r="K577" s="572"/>
      <c r="L577" s="572"/>
      <c r="M577" s="572"/>
      <c r="N577" s="572"/>
      <c r="O577" s="574"/>
    </row>
    <row r="578" ht="13.5" customHeight="1">
      <c r="A578" s="572"/>
      <c r="B578" s="572"/>
      <c r="C578" s="572"/>
      <c r="D578" s="584"/>
      <c r="E578" s="570"/>
      <c r="F578" s="570"/>
      <c r="G578" s="572"/>
      <c r="H578" s="572"/>
      <c r="I578" s="572"/>
      <c r="J578" s="572"/>
      <c r="K578" s="572"/>
      <c r="L578" s="572"/>
      <c r="M578" s="572"/>
      <c r="N578" s="572"/>
      <c r="O578" s="574"/>
    </row>
    <row r="579" ht="13.5" customHeight="1">
      <c r="A579" s="572"/>
      <c r="B579" s="572"/>
      <c r="C579" s="572"/>
      <c r="D579" s="584"/>
      <c r="E579" s="570"/>
      <c r="F579" s="570"/>
      <c r="G579" s="572"/>
      <c r="H579" s="572"/>
      <c r="I579" s="572"/>
      <c r="J579" s="572"/>
      <c r="K579" s="572"/>
      <c r="L579" s="572"/>
      <c r="M579" s="572"/>
      <c r="N579" s="572"/>
      <c r="O579" s="574"/>
    </row>
    <row r="580" ht="13.5" customHeight="1">
      <c r="A580" s="572"/>
      <c r="B580" s="572"/>
      <c r="C580" s="572"/>
      <c r="D580" s="584"/>
      <c r="E580" s="570"/>
      <c r="F580" s="570"/>
      <c r="G580" s="572"/>
      <c r="H580" s="572"/>
      <c r="I580" s="572"/>
      <c r="J580" s="572"/>
      <c r="K580" s="572"/>
      <c r="L580" s="572"/>
      <c r="M580" s="572"/>
      <c r="N580" s="572"/>
      <c r="O580" s="574"/>
    </row>
    <row r="581" ht="13.5" customHeight="1">
      <c r="A581" s="572"/>
      <c r="B581" s="572"/>
      <c r="C581" s="572"/>
      <c r="D581" s="584"/>
      <c r="E581" s="570"/>
      <c r="F581" s="570"/>
      <c r="G581" s="572"/>
      <c r="H581" s="572"/>
      <c r="I581" s="572"/>
      <c r="J581" s="572"/>
      <c r="K581" s="572"/>
      <c r="L581" s="572"/>
      <c r="M581" s="572"/>
      <c r="N581" s="572"/>
      <c r="O581" s="574"/>
    </row>
    <row r="582" ht="13.5" customHeight="1">
      <c r="A582" s="572"/>
      <c r="B582" s="572"/>
      <c r="C582" s="572"/>
      <c r="D582" s="584"/>
      <c r="E582" s="570"/>
      <c r="F582" s="570"/>
      <c r="G582" s="572"/>
      <c r="H582" s="572"/>
      <c r="I582" s="572"/>
      <c r="J582" s="572"/>
      <c r="K582" s="572"/>
      <c r="L582" s="572"/>
      <c r="M582" s="572"/>
      <c r="N582" s="572"/>
      <c r="O582" s="574"/>
    </row>
    <row r="583" ht="13.5" customHeight="1">
      <c r="A583" s="572"/>
      <c r="B583" s="572"/>
      <c r="C583" s="572"/>
      <c r="D583" s="584"/>
      <c r="E583" s="570"/>
      <c r="F583" s="570"/>
      <c r="G583" s="572"/>
      <c r="H583" s="572"/>
      <c r="I583" s="572"/>
      <c r="J583" s="572"/>
      <c r="K583" s="572"/>
      <c r="L583" s="572"/>
      <c r="M583" s="572"/>
      <c r="N583" s="572"/>
      <c r="O583" s="574"/>
    </row>
    <row r="584" ht="13.5" customHeight="1">
      <c r="A584" s="572"/>
      <c r="B584" s="572"/>
      <c r="C584" s="572"/>
      <c r="D584" s="584"/>
      <c r="E584" s="570"/>
      <c r="F584" s="570"/>
      <c r="G584" s="572"/>
      <c r="H584" s="572"/>
      <c r="I584" s="572"/>
      <c r="J584" s="572"/>
      <c r="K584" s="572"/>
      <c r="L584" s="572"/>
      <c r="M584" s="572"/>
      <c r="N584" s="572"/>
      <c r="O584" s="574"/>
    </row>
    <row r="585" ht="13.5" customHeight="1">
      <c r="A585" s="572"/>
      <c r="B585" s="572"/>
      <c r="C585" s="572"/>
      <c r="D585" s="584"/>
      <c r="E585" s="570"/>
      <c r="F585" s="570"/>
      <c r="G585" s="572"/>
      <c r="H585" s="572"/>
      <c r="I585" s="572"/>
      <c r="J585" s="572"/>
      <c r="K585" s="572"/>
      <c r="L585" s="572"/>
      <c r="M585" s="572"/>
      <c r="N585" s="572"/>
      <c r="O585" s="574"/>
    </row>
    <row r="586" ht="13.5" customHeight="1">
      <c r="A586" s="572"/>
      <c r="B586" s="572"/>
      <c r="C586" s="572"/>
      <c r="D586" s="584"/>
      <c r="E586" s="570"/>
      <c r="F586" s="570"/>
      <c r="G586" s="572"/>
      <c r="H586" s="572"/>
      <c r="I586" s="572"/>
      <c r="J586" s="572"/>
      <c r="K586" s="572"/>
      <c r="L586" s="572"/>
      <c r="M586" s="572"/>
      <c r="N586" s="572"/>
      <c r="O586" s="574"/>
    </row>
    <row r="587" ht="13.5" customHeight="1">
      <c r="A587" s="572"/>
      <c r="B587" s="572"/>
      <c r="C587" s="572"/>
      <c r="D587" s="584"/>
      <c r="E587" s="570"/>
      <c r="F587" s="570"/>
      <c r="G587" s="572"/>
      <c r="H587" s="572"/>
      <c r="I587" s="572"/>
      <c r="J587" s="572"/>
      <c r="K587" s="572"/>
      <c r="L587" s="572"/>
      <c r="M587" s="572"/>
      <c r="N587" s="572"/>
      <c r="O587" s="574"/>
    </row>
    <row r="588" ht="13.5" customHeight="1">
      <c r="A588" s="572"/>
      <c r="B588" s="572"/>
      <c r="C588" s="572"/>
      <c r="D588" s="584"/>
      <c r="E588" s="570"/>
      <c r="F588" s="570"/>
      <c r="G588" s="572"/>
      <c r="H588" s="572"/>
      <c r="I588" s="572"/>
      <c r="J588" s="572"/>
      <c r="K588" s="572"/>
      <c r="L588" s="572"/>
      <c r="M588" s="572"/>
      <c r="N588" s="572"/>
      <c r="O588" s="574"/>
    </row>
    <row r="589" ht="13.5" customHeight="1">
      <c r="A589" s="572"/>
      <c r="B589" s="572"/>
      <c r="C589" s="572"/>
      <c r="D589" s="584"/>
      <c r="E589" s="570"/>
      <c r="F589" s="570"/>
      <c r="G589" s="572"/>
      <c r="H589" s="572"/>
      <c r="I589" s="572"/>
      <c r="J589" s="572"/>
      <c r="K589" s="572"/>
      <c r="L589" s="572"/>
      <c r="M589" s="572"/>
      <c r="N589" s="572"/>
      <c r="O589" s="574"/>
    </row>
    <row r="590" ht="13.5" customHeight="1">
      <c r="A590" s="572"/>
      <c r="B590" s="572"/>
      <c r="C590" s="572"/>
      <c r="D590" s="584"/>
      <c r="E590" s="570"/>
      <c r="F590" s="570"/>
      <c r="G590" s="572"/>
      <c r="H590" s="572"/>
      <c r="I590" s="572"/>
      <c r="J590" s="572"/>
      <c r="K590" s="572"/>
      <c r="L590" s="572"/>
      <c r="M590" s="572"/>
      <c r="N590" s="572"/>
      <c r="O590" s="574"/>
    </row>
    <row r="591" ht="13.5" customHeight="1">
      <c r="A591" s="572"/>
      <c r="B591" s="572"/>
      <c r="C591" s="572"/>
      <c r="D591" s="584"/>
      <c r="E591" s="570"/>
      <c r="F591" s="570"/>
      <c r="G591" s="572"/>
      <c r="H591" s="572"/>
      <c r="I591" s="572"/>
      <c r="J591" s="572"/>
      <c r="K591" s="572"/>
      <c r="L591" s="572"/>
      <c r="M591" s="572"/>
      <c r="N591" s="572"/>
      <c r="O591" s="574"/>
    </row>
    <row r="592" ht="13.5" customHeight="1">
      <c r="A592" s="572"/>
      <c r="B592" s="572"/>
      <c r="C592" s="572"/>
      <c r="D592" s="584"/>
      <c r="E592" s="570"/>
      <c r="F592" s="570"/>
      <c r="G592" s="572"/>
      <c r="H592" s="572"/>
      <c r="I592" s="572"/>
      <c r="J592" s="572"/>
      <c r="K592" s="572"/>
      <c r="L592" s="572"/>
      <c r="M592" s="572"/>
      <c r="N592" s="572"/>
      <c r="O592" s="574"/>
    </row>
    <row r="593" ht="13.5" customHeight="1">
      <c r="A593" s="572"/>
      <c r="B593" s="572"/>
      <c r="C593" s="572"/>
      <c r="D593" s="584"/>
      <c r="E593" s="570"/>
      <c r="F593" s="570"/>
      <c r="G593" s="572"/>
      <c r="H593" s="572"/>
      <c r="I593" s="572"/>
      <c r="J593" s="572"/>
      <c r="K593" s="572"/>
      <c r="L593" s="572"/>
      <c r="M593" s="572"/>
      <c r="N593" s="572"/>
      <c r="O593" s="574"/>
    </row>
    <row r="594" ht="13.5" customHeight="1">
      <c r="A594" s="572"/>
      <c r="B594" s="572"/>
      <c r="C594" s="572"/>
      <c r="D594" s="584"/>
      <c r="E594" s="570"/>
      <c r="F594" s="570"/>
      <c r="G594" s="572"/>
      <c r="H594" s="572"/>
      <c r="I594" s="572"/>
      <c r="J594" s="572"/>
      <c r="K594" s="572"/>
      <c r="L594" s="572"/>
      <c r="M594" s="572"/>
      <c r="N594" s="572"/>
      <c r="O594" s="574"/>
    </row>
    <row r="595" ht="13.5" customHeight="1">
      <c r="A595" s="572"/>
      <c r="B595" s="572"/>
      <c r="C595" s="572"/>
      <c r="D595" s="584"/>
      <c r="E595" s="570"/>
      <c r="F595" s="570"/>
      <c r="G595" s="572"/>
      <c r="H595" s="572"/>
      <c r="I595" s="572"/>
      <c r="J595" s="572"/>
      <c r="K595" s="572"/>
      <c r="L595" s="572"/>
      <c r="M595" s="572"/>
      <c r="N595" s="572"/>
      <c r="O595" s="574"/>
    </row>
    <row r="596" ht="13.5" customHeight="1">
      <c r="A596" s="572"/>
      <c r="B596" s="572"/>
      <c r="C596" s="572"/>
      <c r="D596" s="584"/>
      <c r="E596" s="570"/>
      <c r="F596" s="570"/>
      <c r="G596" s="572"/>
      <c r="H596" s="572"/>
      <c r="I596" s="572"/>
      <c r="J596" s="572"/>
      <c r="K596" s="572"/>
      <c r="L596" s="572"/>
      <c r="M596" s="572"/>
      <c r="N596" s="572"/>
      <c r="O596" s="574"/>
    </row>
    <row r="597" ht="13.5" customHeight="1">
      <c r="A597" s="572"/>
      <c r="B597" s="572"/>
      <c r="C597" s="572"/>
      <c r="D597" s="584"/>
      <c r="E597" s="570"/>
      <c r="F597" s="570"/>
      <c r="G597" s="572"/>
      <c r="H597" s="572"/>
      <c r="I597" s="572"/>
      <c r="J597" s="572"/>
      <c r="K597" s="572"/>
      <c r="L597" s="572"/>
      <c r="M597" s="572"/>
      <c r="N597" s="572"/>
      <c r="O597" s="574"/>
    </row>
    <row r="598" ht="13.5" customHeight="1">
      <c r="A598" s="572"/>
      <c r="B598" s="572"/>
      <c r="C598" s="572"/>
      <c r="D598" s="584"/>
      <c r="E598" s="570"/>
      <c r="F598" s="570"/>
      <c r="G598" s="572"/>
      <c r="H598" s="572"/>
      <c r="I598" s="572"/>
      <c r="J598" s="572"/>
      <c r="K598" s="572"/>
      <c r="L598" s="572"/>
      <c r="M598" s="572"/>
      <c r="N598" s="572"/>
      <c r="O598" s="574"/>
    </row>
    <row r="599" ht="13.5" customHeight="1">
      <c r="A599" s="572"/>
      <c r="B599" s="572"/>
      <c r="C599" s="572"/>
      <c r="D599" s="584"/>
      <c r="E599" s="570"/>
      <c r="F599" s="570"/>
      <c r="G599" s="572"/>
      <c r="H599" s="572"/>
      <c r="I599" s="572"/>
      <c r="J599" s="572"/>
      <c r="K599" s="572"/>
      <c r="L599" s="572"/>
      <c r="M599" s="572"/>
      <c r="N599" s="572"/>
      <c r="O599" s="574"/>
    </row>
    <row r="600" ht="13.5" customHeight="1">
      <c r="A600" s="572"/>
      <c r="B600" s="572"/>
      <c r="C600" s="572"/>
      <c r="D600" s="584"/>
      <c r="E600" s="570"/>
      <c r="F600" s="570"/>
      <c r="G600" s="572"/>
      <c r="H600" s="572"/>
      <c r="I600" s="572"/>
      <c r="J600" s="572"/>
      <c r="K600" s="572"/>
      <c r="L600" s="572"/>
      <c r="M600" s="572"/>
      <c r="N600" s="572"/>
      <c r="O600" s="574"/>
    </row>
    <row r="601" ht="13.5" customHeight="1">
      <c r="A601" s="572"/>
      <c r="B601" s="572"/>
      <c r="C601" s="572"/>
      <c r="D601" s="584"/>
      <c r="E601" s="570"/>
      <c r="F601" s="570"/>
      <c r="G601" s="572"/>
      <c r="H601" s="572"/>
      <c r="I601" s="572"/>
      <c r="J601" s="572"/>
      <c r="K601" s="572"/>
      <c r="L601" s="572"/>
      <c r="M601" s="572"/>
      <c r="N601" s="572"/>
      <c r="O601" s="574"/>
    </row>
    <row r="602" ht="13.5" customHeight="1">
      <c r="A602" s="572"/>
      <c r="B602" s="572"/>
      <c r="C602" s="572"/>
      <c r="D602" s="584"/>
      <c r="E602" s="570"/>
      <c r="F602" s="570"/>
      <c r="G602" s="572"/>
      <c r="H602" s="572"/>
      <c r="I602" s="572"/>
      <c r="J602" s="572"/>
      <c r="K602" s="572"/>
      <c r="L602" s="572"/>
      <c r="M602" s="572"/>
      <c r="N602" s="572"/>
      <c r="O602" s="574"/>
    </row>
    <row r="603" ht="13.5" customHeight="1">
      <c r="A603" s="572"/>
      <c r="B603" s="572"/>
      <c r="C603" s="572"/>
      <c r="D603" s="584"/>
      <c r="E603" s="570"/>
      <c r="F603" s="570"/>
      <c r="G603" s="572"/>
      <c r="H603" s="572"/>
      <c r="I603" s="572"/>
      <c r="J603" s="572"/>
      <c r="K603" s="572"/>
      <c r="L603" s="572"/>
      <c r="M603" s="572"/>
      <c r="N603" s="572"/>
      <c r="O603" s="574"/>
    </row>
    <row r="604" ht="13.5" customHeight="1">
      <c r="A604" s="572"/>
      <c r="B604" s="572"/>
      <c r="C604" s="572"/>
      <c r="D604" s="584"/>
      <c r="E604" s="570"/>
      <c r="F604" s="570"/>
      <c r="G604" s="572"/>
      <c r="H604" s="572"/>
      <c r="I604" s="572"/>
      <c r="J604" s="572"/>
      <c r="K604" s="572"/>
      <c r="L604" s="572"/>
      <c r="M604" s="572"/>
      <c r="N604" s="572"/>
      <c r="O604" s="574"/>
    </row>
    <row r="605" ht="13.5" customHeight="1">
      <c r="A605" s="572"/>
      <c r="B605" s="572"/>
      <c r="C605" s="572"/>
      <c r="D605" s="584"/>
      <c r="E605" s="570"/>
      <c r="F605" s="570"/>
      <c r="G605" s="572"/>
      <c r="H605" s="572"/>
      <c r="I605" s="572"/>
      <c r="J605" s="572"/>
      <c r="K605" s="572"/>
      <c r="L605" s="572"/>
      <c r="M605" s="572"/>
      <c r="N605" s="572"/>
      <c r="O605" s="574"/>
    </row>
    <row r="606" ht="13.5" customHeight="1">
      <c r="A606" s="572"/>
      <c r="B606" s="572"/>
      <c r="C606" s="572"/>
      <c r="D606" s="584"/>
      <c r="E606" s="570"/>
      <c r="F606" s="570"/>
      <c r="G606" s="572"/>
      <c r="H606" s="572"/>
      <c r="I606" s="572"/>
      <c r="J606" s="572"/>
      <c r="K606" s="572"/>
      <c r="L606" s="572"/>
      <c r="M606" s="572"/>
      <c r="N606" s="572"/>
      <c r="O606" s="574"/>
    </row>
    <row r="607" ht="13.5" customHeight="1">
      <c r="A607" s="572"/>
      <c r="B607" s="572"/>
      <c r="C607" s="572"/>
      <c r="D607" s="584"/>
      <c r="E607" s="570"/>
      <c r="F607" s="570"/>
      <c r="G607" s="572"/>
      <c r="H607" s="572"/>
      <c r="I607" s="572"/>
      <c r="J607" s="572"/>
      <c r="K607" s="572"/>
      <c r="L607" s="572"/>
      <c r="M607" s="572"/>
      <c r="N607" s="572"/>
      <c r="O607" s="574"/>
    </row>
    <row r="608" ht="13.5" customHeight="1">
      <c r="A608" s="572"/>
      <c r="B608" s="572"/>
      <c r="C608" s="572"/>
      <c r="D608" s="584"/>
      <c r="E608" s="570"/>
      <c r="F608" s="570"/>
      <c r="G608" s="572"/>
      <c r="H608" s="572"/>
      <c r="I608" s="572"/>
      <c r="J608" s="572"/>
      <c r="K608" s="572"/>
      <c r="L608" s="572"/>
      <c r="M608" s="572"/>
      <c r="N608" s="572"/>
      <c r="O608" s="574"/>
    </row>
    <row r="609" ht="13.5" customHeight="1">
      <c r="A609" s="572"/>
      <c r="B609" s="572"/>
      <c r="C609" s="572"/>
      <c r="D609" s="584"/>
      <c r="E609" s="570"/>
      <c r="F609" s="570"/>
      <c r="G609" s="572"/>
      <c r="H609" s="572"/>
      <c r="I609" s="572"/>
      <c r="J609" s="572"/>
      <c r="K609" s="572"/>
      <c r="L609" s="572"/>
      <c r="M609" s="572"/>
      <c r="N609" s="572"/>
      <c r="O609" s="574"/>
    </row>
    <row r="610" ht="13.5" customHeight="1">
      <c r="A610" s="572"/>
      <c r="B610" s="572"/>
      <c r="C610" s="572"/>
      <c r="D610" s="584"/>
      <c r="E610" s="570"/>
      <c r="F610" s="570"/>
      <c r="G610" s="572"/>
      <c r="H610" s="572"/>
      <c r="I610" s="572"/>
      <c r="J610" s="572"/>
      <c r="K610" s="572"/>
      <c r="L610" s="572"/>
      <c r="M610" s="572"/>
      <c r="N610" s="572"/>
      <c r="O610" s="574"/>
    </row>
    <row r="611" ht="13.5" customHeight="1">
      <c r="A611" s="572"/>
      <c r="B611" s="572"/>
      <c r="C611" s="572"/>
      <c r="D611" s="584"/>
      <c r="E611" s="570"/>
      <c r="F611" s="570"/>
      <c r="G611" s="572"/>
      <c r="H611" s="572"/>
      <c r="I611" s="572"/>
      <c r="J611" s="572"/>
      <c r="K611" s="572"/>
      <c r="L611" s="572"/>
      <c r="M611" s="572"/>
      <c r="N611" s="572"/>
      <c r="O611" s="574"/>
    </row>
    <row r="612" ht="13.5" customHeight="1">
      <c r="A612" s="572"/>
      <c r="B612" s="572"/>
      <c r="C612" s="572"/>
      <c r="D612" s="584"/>
      <c r="E612" s="570"/>
      <c r="F612" s="570"/>
      <c r="G612" s="572"/>
      <c r="H612" s="572"/>
      <c r="I612" s="572"/>
      <c r="J612" s="572"/>
      <c r="K612" s="572"/>
      <c r="L612" s="572"/>
      <c r="M612" s="572"/>
      <c r="N612" s="572"/>
      <c r="O612" s="574"/>
    </row>
    <row r="613" ht="13.5" customHeight="1">
      <c r="A613" s="572"/>
      <c r="B613" s="572"/>
      <c r="C613" s="572"/>
      <c r="D613" s="584"/>
      <c r="E613" s="570"/>
      <c r="F613" s="570"/>
      <c r="G613" s="572"/>
      <c r="H613" s="572"/>
      <c r="I613" s="572"/>
      <c r="J613" s="572"/>
      <c r="K613" s="572"/>
      <c r="L613" s="572"/>
      <c r="M613" s="572"/>
      <c r="N613" s="572"/>
      <c r="O613" s="574"/>
    </row>
    <row r="614" ht="13.5" customHeight="1">
      <c r="A614" s="572"/>
      <c r="B614" s="572"/>
      <c r="C614" s="572"/>
      <c r="D614" s="584"/>
      <c r="E614" s="570"/>
      <c r="F614" s="570"/>
      <c r="G614" s="572"/>
      <c r="H614" s="572"/>
      <c r="I614" s="572"/>
      <c r="J614" s="572"/>
      <c r="K614" s="572"/>
      <c r="L614" s="572"/>
      <c r="M614" s="572"/>
      <c r="N614" s="572"/>
      <c r="O614" s="574"/>
    </row>
    <row r="615" ht="13.5" customHeight="1">
      <c r="A615" s="572"/>
      <c r="B615" s="572"/>
      <c r="C615" s="572"/>
      <c r="D615" s="584"/>
      <c r="E615" s="570"/>
      <c r="F615" s="570"/>
      <c r="G615" s="572"/>
      <c r="H615" s="572"/>
      <c r="I615" s="572"/>
      <c r="J615" s="572"/>
      <c r="K615" s="572"/>
      <c r="L615" s="572"/>
      <c r="M615" s="572"/>
      <c r="N615" s="572"/>
      <c r="O615" s="574"/>
    </row>
    <row r="616" ht="13.5" customHeight="1">
      <c r="A616" s="572"/>
      <c r="B616" s="572"/>
      <c r="C616" s="572"/>
      <c r="D616" s="584"/>
      <c r="E616" s="570"/>
      <c r="F616" s="570"/>
      <c r="G616" s="572"/>
      <c r="H616" s="572"/>
      <c r="I616" s="572"/>
      <c r="J616" s="572"/>
      <c r="K616" s="572"/>
      <c r="L616" s="572"/>
      <c r="M616" s="572"/>
      <c r="N616" s="572"/>
      <c r="O616" s="574"/>
    </row>
    <row r="617" ht="13.5" customHeight="1">
      <c r="A617" s="572"/>
      <c r="B617" s="572"/>
      <c r="C617" s="572"/>
      <c r="D617" s="584"/>
      <c r="E617" s="570"/>
      <c r="F617" s="570"/>
      <c r="G617" s="572"/>
      <c r="H617" s="572"/>
      <c r="I617" s="572"/>
      <c r="J617" s="572"/>
      <c r="K617" s="572"/>
      <c r="L617" s="572"/>
      <c r="M617" s="572"/>
      <c r="N617" s="572"/>
      <c r="O617" s="574"/>
    </row>
    <row r="618" ht="13.5" customHeight="1">
      <c r="A618" s="572"/>
      <c r="B618" s="572"/>
      <c r="C618" s="572"/>
      <c r="D618" s="584"/>
      <c r="E618" s="570"/>
      <c r="F618" s="570"/>
      <c r="G618" s="572"/>
      <c r="H618" s="572"/>
      <c r="I618" s="572"/>
      <c r="J618" s="572"/>
      <c r="K618" s="572"/>
      <c r="L618" s="572"/>
      <c r="M618" s="572"/>
      <c r="N618" s="572"/>
      <c r="O618" s="574"/>
    </row>
    <row r="619" ht="13.5" customHeight="1">
      <c r="A619" s="572"/>
      <c r="B619" s="572"/>
      <c r="C619" s="572"/>
      <c r="D619" s="584"/>
      <c r="E619" s="570"/>
      <c r="F619" s="570"/>
      <c r="G619" s="572"/>
      <c r="H619" s="572"/>
      <c r="I619" s="572"/>
      <c r="J619" s="572"/>
      <c r="K619" s="572"/>
      <c r="L619" s="572"/>
      <c r="M619" s="572"/>
      <c r="N619" s="572"/>
      <c r="O619" s="574"/>
    </row>
    <row r="620" ht="13.5" customHeight="1">
      <c r="A620" s="572"/>
      <c r="B620" s="572"/>
      <c r="C620" s="572"/>
      <c r="D620" s="584"/>
      <c r="E620" s="570"/>
      <c r="F620" s="570"/>
      <c r="G620" s="572"/>
      <c r="H620" s="572"/>
      <c r="I620" s="572"/>
      <c r="J620" s="572"/>
      <c r="K620" s="572"/>
      <c r="L620" s="572"/>
      <c r="M620" s="572"/>
      <c r="N620" s="572"/>
      <c r="O620" s="574"/>
    </row>
    <row r="621" ht="13.5" customHeight="1">
      <c r="A621" s="572"/>
      <c r="B621" s="572"/>
      <c r="C621" s="572"/>
      <c r="D621" s="584"/>
      <c r="E621" s="570"/>
      <c r="F621" s="570"/>
      <c r="G621" s="572"/>
      <c r="H621" s="572"/>
      <c r="I621" s="572"/>
      <c r="J621" s="572"/>
      <c r="K621" s="572"/>
      <c r="L621" s="572"/>
      <c r="M621" s="572"/>
      <c r="N621" s="572"/>
      <c r="O621" s="574"/>
    </row>
    <row r="622" ht="13.5" customHeight="1">
      <c r="A622" s="572"/>
      <c r="B622" s="572"/>
      <c r="C622" s="572"/>
      <c r="D622" s="584"/>
      <c r="E622" s="570"/>
      <c r="F622" s="570"/>
      <c r="G622" s="572"/>
      <c r="H622" s="572"/>
      <c r="I622" s="572"/>
      <c r="J622" s="572"/>
      <c r="K622" s="572"/>
      <c r="L622" s="572"/>
      <c r="M622" s="572"/>
      <c r="N622" s="572"/>
      <c r="O622" s="574"/>
    </row>
    <row r="623" ht="13.5" customHeight="1">
      <c r="A623" s="572"/>
      <c r="B623" s="572"/>
      <c r="C623" s="572"/>
      <c r="D623" s="584"/>
      <c r="E623" s="570"/>
      <c r="F623" s="570"/>
      <c r="G623" s="572"/>
      <c r="H623" s="572"/>
      <c r="I623" s="572"/>
      <c r="J623" s="572"/>
      <c r="K623" s="572"/>
      <c r="L623" s="572"/>
      <c r="M623" s="572"/>
      <c r="N623" s="572"/>
      <c r="O623" s="574"/>
    </row>
    <row r="624" ht="13.5" customHeight="1">
      <c r="A624" s="572"/>
      <c r="B624" s="572"/>
      <c r="C624" s="572"/>
      <c r="D624" s="584"/>
      <c r="E624" s="570"/>
      <c r="F624" s="570"/>
      <c r="G624" s="572"/>
      <c r="H624" s="572"/>
      <c r="I624" s="572"/>
      <c r="J624" s="572"/>
      <c r="K624" s="572"/>
      <c r="L624" s="572"/>
      <c r="M624" s="572"/>
      <c r="N624" s="572"/>
      <c r="O624" s="574"/>
    </row>
    <row r="625" ht="13.5" customHeight="1">
      <c r="A625" s="572"/>
      <c r="B625" s="572"/>
      <c r="C625" s="572"/>
      <c r="D625" s="584"/>
      <c r="E625" s="570"/>
      <c r="F625" s="570"/>
      <c r="G625" s="572"/>
      <c r="H625" s="572"/>
      <c r="I625" s="572"/>
      <c r="J625" s="572"/>
      <c r="K625" s="572"/>
      <c r="L625" s="572"/>
      <c r="M625" s="572"/>
      <c r="N625" s="572"/>
      <c r="O625" s="574"/>
    </row>
    <row r="626" ht="13.5" customHeight="1">
      <c r="A626" s="572"/>
      <c r="B626" s="572"/>
      <c r="C626" s="572"/>
      <c r="D626" s="584"/>
      <c r="E626" s="570"/>
      <c r="F626" s="570"/>
      <c r="G626" s="572"/>
      <c r="H626" s="572"/>
      <c r="I626" s="572"/>
      <c r="J626" s="572"/>
      <c r="K626" s="572"/>
      <c r="L626" s="572"/>
      <c r="M626" s="572"/>
      <c r="N626" s="572"/>
      <c r="O626" s="574"/>
    </row>
    <row r="627" ht="13.5" customHeight="1">
      <c r="A627" s="572"/>
      <c r="B627" s="572"/>
      <c r="C627" s="572"/>
      <c r="D627" s="584"/>
      <c r="E627" s="570"/>
      <c r="F627" s="570"/>
      <c r="G627" s="572"/>
      <c r="H627" s="572"/>
      <c r="I627" s="572"/>
      <c r="J627" s="572"/>
      <c r="K627" s="572"/>
      <c r="L627" s="572"/>
      <c r="M627" s="572"/>
      <c r="N627" s="572"/>
      <c r="O627" s="574"/>
    </row>
    <row r="628" ht="13.5" customHeight="1">
      <c r="A628" s="572"/>
      <c r="B628" s="572"/>
      <c r="C628" s="572"/>
      <c r="D628" s="584"/>
      <c r="E628" s="570"/>
      <c r="F628" s="570"/>
      <c r="G628" s="572"/>
      <c r="H628" s="572"/>
      <c r="I628" s="572"/>
      <c r="J628" s="572"/>
      <c r="K628" s="572"/>
      <c r="L628" s="572"/>
      <c r="M628" s="572"/>
      <c r="N628" s="572"/>
      <c r="O628" s="574"/>
    </row>
    <row r="629" ht="13.5" customHeight="1">
      <c r="A629" s="572"/>
      <c r="B629" s="572"/>
      <c r="C629" s="572"/>
      <c r="D629" s="584"/>
      <c r="E629" s="570"/>
      <c r="F629" s="570"/>
      <c r="G629" s="572"/>
      <c r="H629" s="572"/>
      <c r="I629" s="572"/>
      <c r="J629" s="572"/>
      <c r="K629" s="572"/>
      <c r="L629" s="572"/>
      <c r="M629" s="572"/>
      <c r="N629" s="572"/>
      <c r="O629" s="574"/>
    </row>
    <row r="630" ht="13.5" customHeight="1">
      <c r="A630" s="572"/>
      <c r="B630" s="572"/>
      <c r="C630" s="572"/>
      <c r="D630" s="584"/>
      <c r="E630" s="570"/>
      <c r="F630" s="570"/>
      <c r="G630" s="572"/>
      <c r="H630" s="572"/>
      <c r="I630" s="572"/>
      <c r="J630" s="572"/>
      <c r="K630" s="572"/>
      <c r="L630" s="572"/>
      <c r="M630" s="572"/>
      <c r="N630" s="572"/>
      <c r="O630" s="574"/>
    </row>
    <row r="631" ht="13.5" customHeight="1">
      <c r="A631" s="572"/>
      <c r="B631" s="572"/>
      <c r="C631" s="572"/>
      <c r="D631" s="584"/>
      <c r="E631" s="570"/>
      <c r="F631" s="570"/>
      <c r="G631" s="572"/>
      <c r="H631" s="572"/>
      <c r="I631" s="572"/>
      <c r="J631" s="572"/>
      <c r="K631" s="572"/>
      <c r="L631" s="572"/>
      <c r="M631" s="572"/>
      <c r="N631" s="572"/>
      <c r="O631" s="574"/>
    </row>
    <row r="632" ht="13.5" customHeight="1">
      <c r="A632" s="572"/>
      <c r="B632" s="572"/>
      <c r="C632" s="572"/>
      <c r="D632" s="584"/>
      <c r="E632" s="570"/>
      <c r="F632" s="570"/>
      <c r="G632" s="572"/>
      <c r="H632" s="572"/>
      <c r="I632" s="572"/>
      <c r="J632" s="572"/>
      <c r="K632" s="572"/>
      <c r="L632" s="572"/>
      <c r="M632" s="572"/>
      <c r="N632" s="572"/>
      <c r="O632" s="574"/>
    </row>
    <row r="633" ht="13.5" customHeight="1">
      <c r="A633" s="572"/>
      <c r="B633" s="572"/>
      <c r="C633" s="572"/>
      <c r="D633" s="584"/>
      <c r="E633" s="570"/>
      <c r="F633" s="570"/>
      <c r="G633" s="572"/>
      <c r="H633" s="572"/>
      <c r="I633" s="572"/>
      <c r="J633" s="572"/>
      <c r="K633" s="572"/>
      <c r="L633" s="572"/>
      <c r="M633" s="572"/>
      <c r="N633" s="572"/>
      <c r="O633" s="574"/>
    </row>
    <row r="634" ht="13.5" customHeight="1">
      <c r="A634" s="572"/>
      <c r="B634" s="572"/>
      <c r="C634" s="572"/>
      <c r="D634" s="584"/>
      <c r="E634" s="570"/>
      <c r="F634" s="570"/>
      <c r="G634" s="572"/>
      <c r="H634" s="572"/>
      <c r="I634" s="572"/>
      <c r="J634" s="572"/>
      <c r="K634" s="572"/>
      <c r="L634" s="572"/>
      <c r="M634" s="572"/>
      <c r="N634" s="572"/>
      <c r="O634" s="574"/>
    </row>
    <row r="635" ht="13.5" customHeight="1">
      <c r="A635" s="572"/>
      <c r="B635" s="572"/>
      <c r="C635" s="572"/>
      <c r="D635" s="584"/>
      <c r="E635" s="570"/>
      <c r="F635" s="570"/>
      <c r="G635" s="572"/>
      <c r="H635" s="572"/>
      <c r="I635" s="572"/>
      <c r="J635" s="572"/>
      <c r="K635" s="572"/>
      <c r="L635" s="572"/>
      <c r="M635" s="572"/>
      <c r="N635" s="572"/>
      <c r="O635" s="574"/>
    </row>
    <row r="636" ht="13.5" customHeight="1">
      <c r="A636" s="572"/>
      <c r="B636" s="572"/>
      <c r="C636" s="572"/>
      <c r="D636" s="584"/>
      <c r="E636" s="570"/>
      <c r="F636" s="570"/>
      <c r="G636" s="572"/>
      <c r="H636" s="572"/>
      <c r="I636" s="572"/>
      <c r="J636" s="572"/>
      <c r="K636" s="572"/>
      <c r="L636" s="572"/>
      <c r="M636" s="572"/>
      <c r="N636" s="572"/>
      <c r="O636" s="574"/>
    </row>
    <row r="637" ht="13.5" customHeight="1">
      <c r="A637" s="572"/>
      <c r="B637" s="572"/>
      <c r="C637" s="572"/>
      <c r="D637" s="584"/>
      <c r="E637" s="570"/>
      <c r="F637" s="570"/>
      <c r="G637" s="572"/>
      <c r="H637" s="572"/>
      <c r="I637" s="572"/>
      <c r="J637" s="572"/>
      <c r="K637" s="572"/>
      <c r="L637" s="572"/>
      <c r="M637" s="572"/>
      <c r="N637" s="572"/>
      <c r="O637" s="574"/>
    </row>
    <row r="638" ht="13.5" customHeight="1">
      <c r="A638" s="572"/>
      <c r="B638" s="572"/>
      <c r="C638" s="572"/>
      <c r="D638" s="584"/>
      <c r="E638" s="570"/>
      <c r="F638" s="570"/>
      <c r="G638" s="572"/>
      <c r="H638" s="572"/>
      <c r="I638" s="572"/>
      <c r="J638" s="572"/>
      <c r="K638" s="572"/>
      <c r="L638" s="572"/>
      <c r="M638" s="572"/>
      <c r="N638" s="572"/>
      <c r="O638" s="574"/>
    </row>
    <row r="639" ht="13.5" customHeight="1">
      <c r="A639" s="572"/>
      <c r="B639" s="572"/>
      <c r="C639" s="572"/>
      <c r="D639" s="584"/>
      <c r="E639" s="570"/>
      <c r="F639" s="570"/>
      <c r="G639" s="572"/>
      <c r="H639" s="572"/>
      <c r="I639" s="572"/>
      <c r="J639" s="572"/>
      <c r="K639" s="572"/>
      <c r="L639" s="572"/>
      <c r="M639" s="572"/>
      <c r="N639" s="572"/>
      <c r="O639" s="574"/>
    </row>
    <row r="640" ht="13.5" customHeight="1">
      <c r="A640" s="572"/>
      <c r="B640" s="572"/>
      <c r="C640" s="572"/>
      <c r="D640" s="584"/>
      <c r="E640" s="570"/>
      <c r="F640" s="570"/>
      <c r="G640" s="572"/>
      <c r="H640" s="572"/>
      <c r="I640" s="572"/>
      <c r="J640" s="572"/>
      <c r="K640" s="572"/>
      <c r="L640" s="572"/>
      <c r="M640" s="572"/>
      <c r="N640" s="572"/>
      <c r="O640" s="574"/>
    </row>
    <row r="641" ht="13.5" customHeight="1">
      <c r="A641" s="572"/>
      <c r="B641" s="572"/>
      <c r="C641" s="572"/>
      <c r="D641" s="584"/>
      <c r="E641" s="570"/>
      <c r="F641" s="570"/>
      <c r="G641" s="572"/>
      <c r="H641" s="572"/>
      <c r="I641" s="572"/>
      <c r="J641" s="572"/>
      <c r="K641" s="572"/>
      <c r="L641" s="572"/>
      <c r="M641" s="572"/>
      <c r="N641" s="572"/>
      <c r="O641" s="574"/>
    </row>
    <row r="642" ht="13.5" customHeight="1">
      <c r="A642" s="572"/>
      <c r="B642" s="572"/>
      <c r="C642" s="572"/>
      <c r="D642" s="584"/>
      <c r="E642" s="570"/>
      <c r="F642" s="570"/>
      <c r="G642" s="572"/>
      <c r="H642" s="572"/>
      <c r="I642" s="572"/>
      <c r="J642" s="572"/>
      <c r="K642" s="572"/>
      <c r="L642" s="572"/>
      <c r="M642" s="572"/>
      <c r="N642" s="572"/>
      <c r="O642" s="574"/>
    </row>
    <row r="643" ht="13.5" customHeight="1">
      <c r="A643" s="572"/>
      <c r="B643" s="572"/>
      <c r="C643" s="572"/>
      <c r="D643" s="584"/>
      <c r="E643" s="570"/>
      <c r="F643" s="570"/>
      <c r="G643" s="572"/>
      <c r="H643" s="572"/>
      <c r="I643" s="572"/>
      <c r="J643" s="572"/>
      <c r="K643" s="572"/>
      <c r="L643" s="572"/>
      <c r="M643" s="572"/>
      <c r="N643" s="572"/>
      <c r="O643" s="574"/>
    </row>
    <row r="644" ht="13.5" customHeight="1">
      <c r="A644" s="572"/>
      <c r="B644" s="572"/>
      <c r="C644" s="572"/>
      <c r="D644" s="584"/>
      <c r="E644" s="570"/>
      <c r="F644" s="570"/>
      <c r="G644" s="572"/>
      <c r="H644" s="572"/>
      <c r="I644" s="572"/>
      <c r="J644" s="572"/>
      <c r="K644" s="572"/>
      <c r="L644" s="572"/>
      <c r="M644" s="572"/>
      <c r="N644" s="572"/>
      <c r="O644" s="574"/>
    </row>
    <row r="645" ht="13.5" customHeight="1">
      <c r="A645" s="572"/>
      <c r="B645" s="572"/>
      <c r="C645" s="572"/>
      <c r="D645" s="584"/>
      <c r="E645" s="570"/>
      <c r="F645" s="570"/>
      <c r="G645" s="572"/>
      <c r="H645" s="572"/>
      <c r="I645" s="572"/>
      <c r="J645" s="572"/>
      <c r="K645" s="572"/>
      <c r="L645" s="572"/>
      <c r="M645" s="572"/>
      <c r="N645" s="572"/>
      <c r="O645" s="574"/>
    </row>
    <row r="646" ht="13.5" customHeight="1">
      <c r="A646" s="572"/>
      <c r="B646" s="572"/>
      <c r="C646" s="572"/>
      <c r="D646" s="584"/>
      <c r="E646" s="570"/>
      <c r="F646" s="570"/>
      <c r="G646" s="572"/>
      <c r="H646" s="572"/>
      <c r="I646" s="572"/>
      <c r="J646" s="572"/>
      <c r="K646" s="572"/>
      <c r="L646" s="572"/>
      <c r="M646" s="572"/>
      <c r="N646" s="572"/>
      <c r="O646" s="574"/>
    </row>
    <row r="647" ht="13.5" customHeight="1">
      <c r="A647" s="572"/>
      <c r="B647" s="572"/>
      <c r="C647" s="572"/>
      <c r="D647" s="584"/>
      <c r="E647" s="570"/>
      <c r="F647" s="570"/>
      <c r="G647" s="572"/>
      <c r="H647" s="572"/>
      <c r="I647" s="572"/>
      <c r="J647" s="572"/>
      <c r="K647" s="572"/>
      <c r="L647" s="572"/>
      <c r="M647" s="572"/>
      <c r="N647" s="572"/>
      <c r="O647" s="574"/>
    </row>
    <row r="648" ht="13.5" customHeight="1">
      <c r="A648" s="572"/>
      <c r="B648" s="572"/>
      <c r="C648" s="572"/>
      <c r="D648" s="584"/>
      <c r="E648" s="570"/>
      <c r="F648" s="570"/>
      <c r="G648" s="572"/>
      <c r="H648" s="572"/>
      <c r="I648" s="572"/>
      <c r="J648" s="572"/>
      <c r="K648" s="572"/>
      <c r="L648" s="572"/>
      <c r="M648" s="572"/>
      <c r="N648" s="572"/>
      <c r="O648" s="574"/>
    </row>
    <row r="649" ht="13.5" customHeight="1">
      <c r="A649" s="572"/>
      <c r="B649" s="572"/>
      <c r="C649" s="572"/>
      <c r="D649" s="584"/>
      <c r="E649" s="570"/>
      <c r="F649" s="570"/>
      <c r="G649" s="572"/>
      <c r="H649" s="572"/>
      <c r="I649" s="572"/>
      <c r="J649" s="572"/>
      <c r="K649" s="572"/>
      <c r="L649" s="572"/>
      <c r="M649" s="572"/>
      <c r="N649" s="572"/>
      <c r="O649" s="574"/>
    </row>
    <row r="650" ht="13.5" customHeight="1">
      <c r="A650" s="572"/>
      <c r="B650" s="572"/>
      <c r="C650" s="572"/>
      <c r="D650" s="584"/>
      <c r="E650" s="570"/>
      <c r="F650" s="570"/>
      <c r="G650" s="572"/>
      <c r="H650" s="572"/>
      <c r="I650" s="572"/>
      <c r="J650" s="572"/>
      <c r="K650" s="572"/>
      <c r="L650" s="572"/>
      <c r="M650" s="572"/>
      <c r="N650" s="572"/>
      <c r="O650" s="574"/>
    </row>
    <row r="651" ht="13.5" customHeight="1">
      <c r="A651" s="572"/>
      <c r="B651" s="572"/>
      <c r="C651" s="572"/>
      <c r="D651" s="584"/>
      <c r="E651" s="570"/>
      <c r="F651" s="570"/>
      <c r="G651" s="572"/>
      <c r="H651" s="572"/>
      <c r="I651" s="572"/>
      <c r="J651" s="572"/>
      <c r="K651" s="572"/>
      <c r="L651" s="572"/>
      <c r="M651" s="572"/>
      <c r="N651" s="572"/>
      <c r="O651" s="574"/>
    </row>
    <row r="652" ht="13.5" customHeight="1">
      <c r="A652" s="572"/>
      <c r="B652" s="572"/>
      <c r="C652" s="572"/>
      <c r="D652" s="584"/>
      <c r="E652" s="570"/>
      <c r="F652" s="570"/>
      <c r="G652" s="572"/>
      <c r="H652" s="572"/>
      <c r="I652" s="572"/>
      <c r="J652" s="572"/>
      <c r="K652" s="572"/>
      <c r="L652" s="572"/>
      <c r="M652" s="572"/>
      <c r="N652" s="572"/>
      <c r="O652" s="574"/>
    </row>
    <row r="653" ht="13.5" customHeight="1">
      <c r="A653" s="572"/>
      <c r="B653" s="572"/>
      <c r="C653" s="572"/>
      <c r="D653" s="584"/>
      <c r="E653" s="570"/>
      <c r="F653" s="570"/>
      <c r="G653" s="572"/>
      <c r="H653" s="572"/>
      <c r="I653" s="572"/>
      <c r="J653" s="572"/>
      <c r="K653" s="572"/>
      <c r="L653" s="572"/>
      <c r="M653" s="572"/>
      <c r="N653" s="572"/>
      <c r="O653" s="574"/>
    </row>
    <row r="654" ht="13.5" customHeight="1">
      <c r="A654" s="572"/>
      <c r="B654" s="572"/>
      <c r="C654" s="572"/>
      <c r="D654" s="584"/>
      <c r="E654" s="570"/>
      <c r="F654" s="570"/>
      <c r="G654" s="572"/>
      <c r="H654" s="572"/>
      <c r="I654" s="572"/>
      <c r="J654" s="572"/>
      <c r="K654" s="572"/>
      <c r="L654" s="572"/>
      <c r="M654" s="572"/>
      <c r="N654" s="572"/>
      <c r="O654" s="574"/>
    </row>
    <row r="655" ht="13.5" customHeight="1">
      <c r="A655" s="572"/>
      <c r="B655" s="572"/>
      <c r="C655" s="572"/>
      <c r="D655" s="584"/>
      <c r="E655" s="570"/>
      <c r="F655" s="570"/>
      <c r="G655" s="572"/>
      <c r="H655" s="572"/>
      <c r="I655" s="572"/>
      <c r="J655" s="572"/>
      <c r="K655" s="572"/>
      <c r="L655" s="572"/>
      <c r="M655" s="572"/>
      <c r="N655" s="572"/>
      <c r="O655" s="574"/>
    </row>
    <row r="656" ht="13.5" customHeight="1">
      <c r="A656" s="572"/>
      <c r="B656" s="572"/>
      <c r="C656" s="572"/>
      <c r="D656" s="584"/>
      <c r="E656" s="570"/>
      <c r="F656" s="570"/>
      <c r="G656" s="572"/>
      <c r="H656" s="572"/>
      <c r="I656" s="572"/>
      <c r="J656" s="572"/>
      <c r="K656" s="572"/>
      <c r="L656" s="572"/>
      <c r="M656" s="572"/>
      <c r="N656" s="572"/>
      <c r="O656" s="574"/>
    </row>
    <row r="657" ht="13.5" customHeight="1">
      <c r="A657" s="572"/>
      <c r="B657" s="572"/>
      <c r="C657" s="572"/>
      <c r="D657" s="584"/>
      <c r="E657" s="570"/>
      <c r="F657" s="570"/>
      <c r="G657" s="572"/>
      <c r="H657" s="572"/>
      <c r="I657" s="572"/>
      <c r="J657" s="572"/>
      <c r="K657" s="572"/>
      <c r="L657" s="572"/>
      <c r="M657" s="572"/>
      <c r="N657" s="572"/>
      <c r="O657" s="574"/>
    </row>
    <row r="658" ht="13.5" customHeight="1">
      <c r="A658" s="572"/>
      <c r="B658" s="572"/>
      <c r="C658" s="572"/>
      <c r="D658" s="584"/>
      <c r="E658" s="570"/>
      <c r="F658" s="570"/>
      <c r="G658" s="572"/>
      <c r="H658" s="572"/>
      <c r="I658" s="572"/>
      <c r="J658" s="572"/>
      <c r="K658" s="572"/>
      <c r="L658" s="572"/>
      <c r="M658" s="572"/>
      <c r="N658" s="572"/>
      <c r="O658" s="574"/>
    </row>
  </sheetData>
  <autoFilter ref="$A$9:$O$83">
    <sortState ref="A9:O83">
      <sortCondition ref="I9:I83"/>
    </sortState>
  </autoFilter>
  <mergeCells count="1">
    <mergeCell ref="A1:B1"/>
  </mergeCells>
  <conditionalFormatting sqref="D9:D175">
    <cfRule type="notContainsBlanks" dxfId="3" priority="1">
      <formula>LEN(TRIM(D9))&gt;0</formula>
    </cfRule>
  </conditionalFormatting>
  <dataValidations>
    <dataValidation type="list" allowBlank="1" showErrorMessage="1" sqref="N1:N8 N10:N658">
      <formula1>"Active,Broken,Lost/ Missing,Sell"</formula1>
    </dataValidation>
    <dataValidation type="list" allowBlank="1" showErrorMessage="1" sqref="H1:H8 H10:H658">
      <formula1>"BOD,Business Development,Digital Marketing &amp; Creative,Engineering,Finance &amp; Accounting,HRGA &amp; Legal,Operational,PITD,QA/QC,Sales &amp; Marketing,Supply Chain"</formula1>
    </dataValidation>
    <dataValidation type="list" allowBlank="1" showErrorMessage="1" sqref="I1:I8 I10:I658">
      <formula1>"BSD,Deltamas 1,Deltamas 2,Other Area"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2024-07-02T02:48:17Z</dcterms:created>
  <dc:creator>DANIELLA VANNESA CHRISSANT PUTRI</dc:creator>
</cp:coreProperties>
</file>